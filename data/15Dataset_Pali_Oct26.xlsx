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\FORD Project\Ford Proposal\Ford 2.0\Visit _Meeting FORD Team\Cadence Meeting_9th September 2026\District_Diagnose_and_Plan_(Draft)\Pali\"/>
    </mc:Choice>
  </mc:AlternateContent>
  <bookViews>
    <workbookView xWindow="0" yWindow="0" windowWidth="20490" windowHeight="7755" activeTab="1"/>
  </bookViews>
  <sheets>
    <sheet name="DESURI " sheetId="1" r:id="rId1"/>
    <sheet name="BALI " sheetId="2" r:id="rId2"/>
    <sheet name="JAITARAN " sheetId="3" r:id="rId3"/>
    <sheet name="MARWAR JUNCTION " sheetId="4" r:id="rId4"/>
    <sheet name="PALI " sheetId="5" r:id="rId5"/>
    <sheet name="RAIPUR " sheetId="6" r:id="rId6"/>
    <sheet name="ROHAT " sheetId="7" r:id="rId7"/>
    <sheet name="SOJAT" sheetId="8" r:id="rId8"/>
    <sheet name="SUMERPUR " sheetId="9" r:id="rId9"/>
    <sheet name="RANI " sheetId="11" r:id="rId10"/>
  </sheets>
  <definedNames>
    <definedName name="_xlnm._FilterDatabase" localSheetId="1" hidden="1">'BALI '!$A$3:$AE$3</definedName>
    <definedName name="_xlnm._FilterDatabase" localSheetId="0" hidden="1">'DESURI '!$A$3:$AE$3</definedName>
    <definedName name="_xlnm._FilterDatabase" localSheetId="2" hidden="1">'JAITARAN '!$A$2:$AE$2</definedName>
    <definedName name="_xlnm._FilterDatabase" localSheetId="3" hidden="1">'MARWAR JUNCTION '!$A$3:$AE$3</definedName>
    <definedName name="_xlnm._FilterDatabase" localSheetId="4" hidden="1">'PALI '!$A$3:$AE$3</definedName>
    <definedName name="_xlnm._FilterDatabase" localSheetId="5" hidden="1">'RAIPUR '!$A$3:$AE$3</definedName>
    <definedName name="_xlnm._FilterDatabase" localSheetId="9" hidden="1">'RANI '!$A$3:$AE$3</definedName>
    <definedName name="_xlnm._FilterDatabase" localSheetId="6" hidden="1">'ROHAT '!$A$3:$AE$3</definedName>
    <definedName name="_xlnm._FilterDatabase" localSheetId="7" hidden="1">SOJAT!$A$3:$AE$3</definedName>
    <definedName name="_xlnm._FilterDatabase" localSheetId="8" hidden="1">'SUMERPUR '!$A$3:$AF$3</definedName>
  </definedNames>
  <calcPr calcId="152511"/>
</workbook>
</file>

<file path=xl/calcChain.xml><?xml version="1.0" encoding="utf-8"?>
<calcChain xmlns="http://schemas.openxmlformats.org/spreadsheetml/2006/main">
  <c r="N12" i="5" l="1"/>
  <c r="L12" i="5"/>
  <c r="N11" i="5"/>
  <c r="L11" i="5"/>
  <c r="N10" i="5"/>
  <c r="L10" i="5"/>
  <c r="N52" i="11" l="1"/>
  <c r="L52" i="11"/>
  <c r="N6" i="11"/>
  <c r="L6" i="11"/>
  <c r="N15" i="11"/>
  <c r="L15" i="11"/>
  <c r="N56" i="11"/>
  <c r="L56" i="11"/>
  <c r="N55" i="11"/>
  <c r="L55" i="11"/>
  <c r="N49" i="11"/>
  <c r="L49" i="11"/>
  <c r="N48" i="11"/>
  <c r="L48" i="11"/>
  <c r="N47" i="11"/>
  <c r="L47" i="11"/>
  <c r="N46" i="11"/>
  <c r="L46" i="11"/>
  <c r="N5" i="11"/>
  <c r="L5" i="11"/>
  <c r="N4" i="11"/>
  <c r="L4" i="11"/>
  <c r="N45" i="11"/>
  <c r="L45" i="11"/>
  <c r="N35" i="11"/>
  <c r="L35" i="11"/>
  <c r="N34" i="11"/>
  <c r="L34" i="11"/>
  <c r="N33" i="11"/>
  <c r="L33" i="11"/>
  <c r="N14" i="11"/>
  <c r="L14" i="11"/>
  <c r="N11" i="11"/>
  <c r="L11" i="11"/>
  <c r="N61" i="11"/>
  <c r="L61" i="11"/>
  <c r="N76" i="11"/>
  <c r="L76" i="11"/>
  <c r="N75" i="11"/>
  <c r="L75" i="11"/>
  <c r="N65" i="11"/>
  <c r="L65" i="11"/>
  <c r="N64" i="11"/>
  <c r="L64" i="11"/>
  <c r="N31" i="11"/>
  <c r="L31" i="11"/>
  <c r="N30" i="11"/>
  <c r="L30" i="11"/>
  <c r="N29" i="11"/>
  <c r="L29" i="11"/>
  <c r="N28" i="11"/>
  <c r="L28" i="11"/>
  <c r="N13" i="11"/>
  <c r="L13" i="11"/>
  <c r="N12" i="11"/>
  <c r="L12" i="11"/>
  <c r="N69" i="11"/>
  <c r="L69" i="11"/>
  <c r="N40" i="11"/>
  <c r="L40" i="11"/>
  <c r="N60" i="11"/>
  <c r="L60" i="11"/>
  <c r="N39" i="11"/>
  <c r="L39" i="11"/>
  <c r="N38" i="11"/>
  <c r="L38" i="11"/>
  <c r="N59" i="11"/>
  <c r="L59" i="11"/>
  <c r="N58" i="11"/>
  <c r="L58" i="11"/>
  <c r="N57" i="11"/>
  <c r="L57" i="11"/>
  <c r="N43" i="11"/>
  <c r="L43" i="11"/>
  <c r="N42" i="11"/>
  <c r="L42" i="11"/>
  <c r="N41" i="11"/>
  <c r="L41" i="11"/>
  <c r="N63" i="11"/>
  <c r="L63" i="11"/>
  <c r="N73" i="11"/>
  <c r="L73" i="11"/>
  <c r="N72" i="11"/>
  <c r="L72" i="11"/>
  <c r="N37" i="11"/>
  <c r="L37" i="11"/>
  <c r="N19" i="11"/>
  <c r="L19" i="11"/>
  <c r="N51" i="11"/>
  <c r="L51" i="11"/>
  <c r="N50" i="11"/>
  <c r="L50" i="11"/>
  <c r="N68" i="11"/>
  <c r="L68" i="11"/>
  <c r="N67" i="11"/>
  <c r="L67" i="11"/>
  <c r="N66" i="11"/>
  <c r="L66" i="11"/>
  <c r="N54" i="11"/>
  <c r="L54" i="11"/>
  <c r="N53" i="11"/>
  <c r="L53" i="11"/>
  <c r="N36" i="11"/>
  <c r="L36" i="11"/>
  <c r="N18" i="11"/>
  <c r="L18" i="11"/>
  <c r="N17" i="11"/>
  <c r="L17" i="11"/>
  <c r="N71" i="11"/>
  <c r="L71" i="11"/>
  <c r="N16" i="11"/>
  <c r="L16" i="11"/>
  <c r="N27" i="11"/>
  <c r="L27" i="11"/>
  <c r="N70" i="11"/>
  <c r="L70" i="11"/>
  <c r="N62" i="11"/>
  <c r="L62" i="11"/>
  <c r="N74" i="11"/>
  <c r="L74" i="11"/>
  <c r="N23" i="11"/>
  <c r="L23" i="11"/>
  <c r="N22" i="11"/>
  <c r="L22" i="11"/>
  <c r="N21" i="11"/>
  <c r="L21" i="11"/>
  <c r="N20" i="11"/>
  <c r="L20" i="11"/>
  <c r="N44" i="11"/>
  <c r="L44" i="11"/>
  <c r="N79" i="11"/>
  <c r="L79" i="11"/>
  <c r="N78" i="11"/>
  <c r="L78" i="11"/>
  <c r="N77" i="11"/>
  <c r="L77" i="11"/>
  <c r="N26" i="11"/>
  <c r="L26" i="11"/>
  <c r="N25" i="11"/>
  <c r="L25" i="11"/>
  <c r="N10" i="11"/>
  <c r="L10" i="11"/>
  <c r="N9" i="11"/>
  <c r="L9" i="11"/>
  <c r="N24" i="11"/>
  <c r="L24" i="11"/>
  <c r="N8" i="11"/>
  <c r="L8" i="11"/>
  <c r="N7" i="11"/>
  <c r="L7" i="11"/>
  <c r="N32" i="11"/>
  <c r="L32" i="11"/>
  <c r="R52" i="2" l="1"/>
  <c r="L98" i="8" l="1"/>
  <c r="L99" i="8"/>
  <c r="L100" i="8"/>
  <c r="L25" i="8"/>
  <c r="L26" i="8"/>
  <c r="L27" i="8"/>
  <c r="L101" i="8"/>
  <c r="L33" i="8"/>
  <c r="L34" i="8"/>
  <c r="L35" i="8"/>
  <c r="L36" i="8"/>
  <c r="L114" i="8"/>
  <c r="L115" i="8"/>
  <c r="L116" i="8"/>
  <c r="L117" i="8"/>
  <c r="L64" i="8"/>
  <c r="L28" i="8"/>
  <c r="L82" i="8"/>
  <c r="L23" i="8"/>
  <c r="L24" i="8"/>
  <c r="L108" i="8"/>
  <c r="L109" i="8"/>
  <c r="L92" i="8"/>
  <c r="L93" i="8"/>
  <c r="L94" i="8"/>
  <c r="L95" i="8"/>
  <c r="L110" i="8"/>
  <c r="L37" i="8"/>
  <c r="L65" i="8"/>
  <c r="L66" i="8"/>
  <c r="L118" i="8"/>
  <c r="L119" i="8"/>
  <c r="L120" i="8"/>
  <c r="L123" i="8"/>
  <c r="L124" i="8"/>
  <c r="L125" i="8"/>
  <c r="L126" i="8"/>
  <c r="L127" i="8"/>
  <c r="L128" i="8"/>
  <c r="L38" i="8"/>
  <c r="L39" i="8"/>
  <c r="L40" i="8"/>
  <c r="L111" i="8"/>
  <c r="L96" i="8"/>
  <c r="L72" i="8"/>
  <c r="L73" i="8"/>
  <c r="L112" i="8"/>
  <c r="L10" i="8"/>
  <c r="L11" i="8"/>
  <c r="L41" i="8"/>
  <c r="L31" i="8"/>
  <c r="L29" i="8"/>
  <c r="L30" i="8"/>
  <c r="L32" i="8"/>
  <c r="L75" i="8"/>
  <c r="L76" i="8"/>
  <c r="L77" i="8"/>
  <c r="L78" i="8"/>
  <c r="L79" i="8"/>
  <c r="L80" i="8"/>
  <c r="L81" i="8"/>
  <c r="L104" i="8"/>
  <c r="L8" i="8"/>
  <c r="L9" i="8"/>
  <c r="L105" i="8"/>
  <c r="L106" i="8"/>
  <c r="L107" i="8"/>
  <c r="L121" i="8"/>
  <c r="L67" i="8"/>
  <c r="L122" i="8"/>
  <c r="L5" i="8"/>
  <c r="L83" i="8"/>
  <c r="L88" i="8"/>
  <c r="L89" i="8"/>
  <c r="L90" i="8"/>
  <c r="L74" i="8"/>
  <c r="L91" i="8"/>
  <c r="L13" i="8"/>
  <c r="L4" i="8"/>
  <c r="L14" i="8"/>
  <c r="L15" i="8"/>
  <c r="L6" i="8"/>
  <c r="L7" i="8"/>
  <c r="L113" i="8"/>
  <c r="L17" i="8"/>
  <c r="L16" i="8"/>
  <c r="L18" i="8"/>
  <c r="L19" i="8"/>
  <c r="L20" i="8"/>
  <c r="L21" i="8"/>
  <c r="L68" i="8"/>
  <c r="L69" i="8"/>
  <c r="L102" i="8"/>
  <c r="L103" i="8"/>
  <c r="L42" i="8"/>
  <c r="L44" i="8"/>
  <c r="L22" i="8"/>
  <c r="L45" i="8"/>
  <c r="L46" i="8"/>
  <c r="L70" i="8"/>
  <c r="L71" i="8"/>
  <c r="L55" i="8"/>
  <c r="L60" i="8"/>
  <c r="L49" i="8"/>
  <c r="L61" i="8"/>
  <c r="L62" i="8"/>
  <c r="L63" i="8"/>
  <c r="L50" i="8"/>
  <c r="L51" i="8"/>
  <c r="L56" i="8"/>
  <c r="L52" i="8"/>
  <c r="L53" i="8"/>
  <c r="L54" i="8"/>
  <c r="L57" i="8"/>
  <c r="L58" i="8"/>
  <c r="L59" i="8"/>
  <c r="L47" i="8"/>
  <c r="L48" i="8"/>
  <c r="L84" i="8"/>
  <c r="L85" i="8"/>
  <c r="L86" i="8"/>
  <c r="L87" i="8"/>
  <c r="L97" i="8"/>
  <c r="N98" i="8"/>
  <c r="N99" i="8"/>
  <c r="N100" i="8"/>
  <c r="N25" i="8"/>
  <c r="N26" i="8"/>
  <c r="N27" i="8"/>
  <c r="N101" i="8"/>
  <c r="N33" i="8"/>
  <c r="N34" i="8"/>
  <c r="N35" i="8"/>
  <c r="N36" i="8"/>
  <c r="N114" i="8"/>
  <c r="N115" i="8"/>
  <c r="N116" i="8"/>
  <c r="N117" i="8"/>
  <c r="N64" i="8"/>
  <c r="N28" i="8"/>
  <c r="N82" i="8"/>
  <c r="N23" i="8"/>
  <c r="N24" i="8"/>
  <c r="N108" i="8"/>
  <c r="N109" i="8"/>
  <c r="N92" i="8"/>
  <c r="N93" i="8"/>
  <c r="N94" i="8"/>
  <c r="N95" i="8"/>
  <c r="N110" i="8"/>
  <c r="N37" i="8"/>
  <c r="N65" i="8"/>
  <c r="N66" i="8"/>
  <c r="N118" i="8"/>
  <c r="N119" i="8"/>
  <c r="N120" i="8"/>
  <c r="N123" i="8"/>
  <c r="N124" i="8"/>
  <c r="N125" i="8"/>
  <c r="N126" i="8"/>
  <c r="N127" i="8"/>
  <c r="N128" i="8"/>
  <c r="N38" i="8"/>
  <c r="N39" i="8"/>
  <c r="N40" i="8"/>
  <c r="N111" i="8"/>
  <c r="N96" i="8"/>
  <c r="N72" i="8"/>
  <c r="N73" i="8"/>
  <c r="N112" i="8"/>
  <c r="N10" i="8"/>
  <c r="N11" i="8"/>
  <c r="N41" i="8"/>
  <c r="N31" i="8"/>
  <c r="N29" i="8"/>
  <c r="N30" i="8"/>
  <c r="N32" i="8"/>
  <c r="N75" i="8"/>
  <c r="N76" i="8"/>
  <c r="N77" i="8"/>
  <c r="N78" i="8"/>
  <c r="N79" i="8"/>
  <c r="N80" i="8"/>
  <c r="N81" i="8"/>
  <c r="N104" i="8"/>
  <c r="N8" i="8"/>
  <c r="N9" i="8"/>
  <c r="N105" i="8"/>
  <c r="N106" i="8"/>
  <c r="N107" i="8"/>
  <c r="N121" i="8"/>
  <c r="N67" i="8"/>
  <c r="N122" i="8"/>
  <c r="N5" i="8"/>
  <c r="N83" i="8"/>
  <c r="N88" i="8"/>
  <c r="N89" i="8"/>
  <c r="N90" i="8"/>
  <c r="N74" i="8"/>
  <c r="N91" i="8"/>
  <c r="N13" i="8"/>
  <c r="N4" i="8"/>
  <c r="N14" i="8"/>
  <c r="N15" i="8"/>
  <c r="N6" i="8"/>
  <c r="N7" i="8"/>
  <c r="N113" i="8"/>
  <c r="N17" i="8"/>
  <c r="N16" i="8"/>
  <c r="N18" i="8"/>
  <c r="N19" i="8"/>
  <c r="N20" i="8"/>
  <c r="N21" i="8"/>
  <c r="N68" i="8"/>
  <c r="N69" i="8"/>
  <c r="N102" i="8"/>
  <c r="N103" i="8"/>
  <c r="N42" i="8"/>
  <c r="N44" i="8"/>
  <c r="N22" i="8"/>
  <c r="N45" i="8"/>
  <c r="N46" i="8"/>
  <c r="N70" i="8"/>
  <c r="N71" i="8"/>
  <c r="N55" i="8"/>
  <c r="N60" i="8"/>
  <c r="N49" i="8"/>
  <c r="N61" i="8"/>
  <c r="N62" i="8"/>
  <c r="N63" i="8"/>
  <c r="N50" i="8"/>
  <c r="N51" i="8"/>
  <c r="N56" i="8"/>
  <c r="N52" i="8"/>
  <c r="N53" i="8"/>
  <c r="N54" i="8"/>
  <c r="N57" i="8"/>
  <c r="N58" i="8"/>
  <c r="N59" i="8"/>
  <c r="N47" i="8"/>
  <c r="N48" i="8"/>
  <c r="N84" i="8"/>
  <c r="N85" i="8"/>
  <c r="N86" i="8"/>
  <c r="N87" i="8"/>
  <c r="N97" i="8"/>
  <c r="L32" i="7"/>
  <c r="L33" i="7"/>
  <c r="L34" i="7"/>
  <c r="L35" i="7"/>
  <c r="L26" i="7"/>
  <c r="L62" i="7"/>
  <c r="L27" i="7"/>
  <c r="L22" i="7"/>
  <c r="L46" i="7"/>
  <c r="L47" i="7"/>
  <c r="L48" i="7"/>
  <c r="L77" i="7"/>
  <c r="L78" i="7"/>
  <c r="L79" i="7"/>
  <c r="L23" i="7"/>
  <c r="L24" i="7"/>
  <c r="L25" i="7"/>
  <c r="L28" i="7"/>
  <c r="L80" i="7"/>
  <c r="L9" i="7"/>
  <c r="L10" i="7"/>
  <c r="L11" i="7"/>
  <c r="L12" i="7"/>
  <c r="L55" i="7"/>
  <c r="L56" i="7"/>
  <c r="L57" i="7"/>
  <c r="L58" i="7"/>
  <c r="L59" i="7"/>
  <c r="L60" i="7"/>
  <c r="L61" i="7"/>
  <c r="L81" i="7"/>
  <c r="L82" i="7"/>
  <c r="L65" i="7"/>
  <c r="L51" i="7"/>
  <c r="L83" i="7"/>
  <c r="L29" i="7"/>
  <c r="L52" i="7"/>
  <c r="L53" i="7"/>
  <c r="L54" i="7"/>
  <c r="L7" i="7"/>
  <c r="L30" i="7"/>
  <c r="L8" i="7"/>
  <c r="L74" i="7"/>
  <c r="L75" i="7"/>
  <c r="L66" i="7"/>
  <c r="L76" i="7"/>
  <c r="L67" i="7"/>
  <c r="L68" i="7"/>
  <c r="L41" i="7"/>
  <c r="L71" i="7"/>
  <c r="L72" i="7"/>
  <c r="L73" i="7"/>
  <c r="L42" i="7"/>
  <c r="L43" i="7"/>
  <c r="L44" i="7"/>
  <c r="L45" i="7"/>
  <c r="L69" i="7"/>
  <c r="L70" i="7"/>
  <c r="L13" i="7"/>
  <c r="L14" i="7"/>
  <c r="L15" i="7"/>
  <c r="L16" i="7"/>
  <c r="L17" i="7"/>
  <c r="L49" i="7"/>
  <c r="L50" i="7"/>
  <c r="L18" i="7"/>
  <c r="L4" i="7"/>
  <c r="L19" i="7"/>
  <c r="L20" i="7"/>
  <c r="L21" i="7"/>
  <c r="L5" i="7"/>
  <c r="L6" i="7"/>
  <c r="L36" i="7"/>
  <c r="L37" i="7"/>
  <c r="L38" i="7"/>
  <c r="L39" i="7"/>
  <c r="L40" i="7"/>
  <c r="L63" i="7"/>
  <c r="L64" i="7"/>
  <c r="L31" i="7"/>
  <c r="N32" i="7"/>
  <c r="N33" i="7"/>
  <c r="N34" i="7"/>
  <c r="N35" i="7"/>
  <c r="N26" i="7"/>
  <c r="N62" i="7"/>
  <c r="N27" i="7"/>
  <c r="N22" i="7"/>
  <c r="N46" i="7"/>
  <c r="N47" i="7"/>
  <c r="N48" i="7"/>
  <c r="N77" i="7"/>
  <c r="N78" i="7"/>
  <c r="N79" i="7"/>
  <c r="N23" i="7"/>
  <c r="N24" i="7"/>
  <c r="N25" i="7"/>
  <c r="N28" i="7"/>
  <c r="N80" i="7"/>
  <c r="N9" i="7"/>
  <c r="N10" i="7"/>
  <c r="N11" i="7"/>
  <c r="N12" i="7"/>
  <c r="N55" i="7"/>
  <c r="N56" i="7"/>
  <c r="N57" i="7"/>
  <c r="N58" i="7"/>
  <c r="N59" i="7"/>
  <c r="N60" i="7"/>
  <c r="N61" i="7"/>
  <c r="N81" i="7"/>
  <c r="N82" i="7"/>
  <c r="N65" i="7"/>
  <c r="N51" i="7"/>
  <c r="N83" i="7"/>
  <c r="N29" i="7"/>
  <c r="N52" i="7"/>
  <c r="N53" i="7"/>
  <c r="N54" i="7"/>
  <c r="N7" i="7"/>
  <c r="N30" i="7"/>
  <c r="N8" i="7"/>
  <c r="N74" i="7"/>
  <c r="N75" i="7"/>
  <c r="N66" i="7"/>
  <c r="N76" i="7"/>
  <c r="N67" i="7"/>
  <c r="N68" i="7"/>
  <c r="N41" i="7"/>
  <c r="N71" i="7"/>
  <c r="N72" i="7"/>
  <c r="N73" i="7"/>
  <c r="N42" i="7"/>
  <c r="N43" i="7"/>
  <c r="N44" i="7"/>
  <c r="N45" i="7"/>
  <c r="N69" i="7"/>
  <c r="N70" i="7"/>
  <c r="N13" i="7"/>
  <c r="N14" i="7"/>
  <c r="N15" i="7"/>
  <c r="N16" i="7"/>
  <c r="N17" i="7"/>
  <c r="N49" i="7"/>
  <c r="N50" i="7"/>
  <c r="N18" i="7"/>
  <c r="N4" i="7"/>
  <c r="N19" i="7"/>
  <c r="N20" i="7"/>
  <c r="N21" i="7"/>
  <c r="N5" i="7"/>
  <c r="N6" i="7"/>
  <c r="N36" i="7"/>
  <c r="N37" i="7"/>
  <c r="N38" i="7"/>
  <c r="N39" i="7"/>
  <c r="N40" i="7"/>
  <c r="N63" i="7"/>
  <c r="N64" i="7"/>
  <c r="N31" i="7"/>
  <c r="L112" i="6"/>
  <c r="L113" i="6"/>
  <c r="L114" i="6"/>
  <c r="L92" i="6"/>
  <c r="L93" i="6"/>
  <c r="L115" i="6"/>
  <c r="L86" i="6"/>
  <c r="L15" i="6"/>
  <c r="L101" i="6"/>
  <c r="L87" i="6"/>
  <c r="L71" i="6"/>
  <c r="L72" i="6"/>
  <c r="L73" i="6"/>
  <c r="L74" i="6"/>
  <c r="L60" i="6"/>
  <c r="L75" i="6"/>
  <c r="L107" i="6"/>
  <c r="L76" i="6"/>
  <c r="L108" i="6"/>
  <c r="L109" i="6"/>
  <c r="L61" i="6"/>
  <c r="L128" i="6"/>
  <c r="L129" i="6"/>
  <c r="L130" i="6"/>
  <c r="L131" i="6"/>
  <c r="L110" i="6"/>
  <c r="L111" i="6"/>
  <c r="L62" i="6"/>
  <c r="L11" i="6"/>
  <c r="L69" i="6"/>
  <c r="L70" i="6"/>
  <c r="L12" i="6"/>
  <c r="L13" i="6"/>
  <c r="L14" i="6"/>
  <c r="L63" i="6"/>
  <c r="L64" i="6"/>
  <c r="L65" i="6"/>
  <c r="L66" i="6"/>
  <c r="L94" i="6"/>
  <c r="L95" i="6"/>
  <c r="L96" i="6"/>
  <c r="L97" i="6"/>
  <c r="L42" i="6"/>
  <c r="L43" i="6"/>
  <c r="L44" i="6"/>
  <c r="L77" i="6"/>
  <c r="L78" i="6"/>
  <c r="L16" i="6"/>
  <c r="L67" i="6"/>
  <c r="L68" i="6"/>
  <c r="L56" i="6"/>
  <c r="L79" i="6"/>
  <c r="L80" i="6"/>
  <c r="L57" i="6"/>
  <c r="L81" i="6"/>
  <c r="L17" i="6"/>
  <c r="L18" i="6"/>
  <c r="L19" i="6"/>
  <c r="L20" i="6"/>
  <c r="L21" i="6"/>
  <c r="L22" i="6"/>
  <c r="L23" i="6"/>
  <c r="L53" i="6"/>
  <c r="L54" i="6"/>
  <c r="L55" i="6"/>
  <c r="L82" i="6"/>
  <c r="L83" i="6"/>
  <c r="L50" i="6"/>
  <c r="L51" i="6"/>
  <c r="L84" i="6"/>
  <c r="L85" i="6"/>
  <c r="L26" i="6"/>
  <c r="L27" i="6"/>
  <c r="L98" i="6"/>
  <c r="L88" i="6"/>
  <c r="L89" i="6"/>
  <c r="L90" i="6"/>
  <c r="L91" i="6"/>
  <c r="L123" i="6"/>
  <c r="L124" i="6"/>
  <c r="L125" i="6"/>
  <c r="L126" i="6"/>
  <c r="L127" i="6"/>
  <c r="L35" i="6"/>
  <c r="L36" i="6"/>
  <c r="L37" i="6"/>
  <c r="L38" i="6"/>
  <c r="L39" i="6"/>
  <c r="L40" i="6"/>
  <c r="L24" i="6"/>
  <c r="L25" i="6"/>
  <c r="L132" i="6"/>
  <c r="L58" i="6"/>
  <c r="L59" i="6"/>
  <c r="L133" i="6"/>
  <c r="L134" i="6"/>
  <c r="L135" i="6"/>
  <c r="L136" i="6"/>
  <c r="L4" i="6"/>
  <c r="L137" i="6"/>
  <c r="L138" i="6"/>
  <c r="L139" i="6"/>
  <c r="L140" i="6"/>
  <c r="L5" i="6"/>
  <c r="L6" i="6"/>
  <c r="L141" i="6"/>
  <c r="L7" i="6"/>
  <c r="L28" i="6"/>
  <c r="L29" i="6"/>
  <c r="L30" i="6"/>
  <c r="L31" i="6"/>
  <c r="L32" i="6"/>
  <c r="L8" i="6"/>
  <c r="L33" i="6"/>
  <c r="L34" i="6"/>
  <c r="L116" i="6"/>
  <c r="L41" i="6"/>
  <c r="L117" i="6"/>
  <c r="L99" i="6"/>
  <c r="L100" i="6"/>
  <c r="L9" i="6"/>
  <c r="L46" i="6"/>
  <c r="L47" i="6"/>
  <c r="L10" i="6"/>
  <c r="L48" i="6"/>
  <c r="L49" i="6"/>
  <c r="L102" i="6"/>
  <c r="L52" i="6"/>
  <c r="L103" i="6"/>
  <c r="L104" i="6"/>
  <c r="L105" i="6"/>
  <c r="L118" i="6"/>
  <c r="L119" i="6"/>
  <c r="L120" i="6"/>
  <c r="L121" i="6"/>
  <c r="L142" i="6"/>
  <c r="L143" i="6"/>
  <c r="L106" i="6"/>
  <c r="L144" i="6"/>
  <c r="L122" i="6"/>
  <c r="L45" i="6"/>
  <c r="N112" i="6"/>
  <c r="N113" i="6"/>
  <c r="N114" i="6"/>
  <c r="N92" i="6"/>
  <c r="N93" i="6"/>
  <c r="N115" i="6"/>
  <c r="N86" i="6"/>
  <c r="N15" i="6"/>
  <c r="N101" i="6"/>
  <c r="N87" i="6"/>
  <c r="N71" i="6"/>
  <c r="N72" i="6"/>
  <c r="N73" i="6"/>
  <c r="N74" i="6"/>
  <c r="N60" i="6"/>
  <c r="N75" i="6"/>
  <c r="N107" i="6"/>
  <c r="N76" i="6"/>
  <c r="N108" i="6"/>
  <c r="N109" i="6"/>
  <c r="N61" i="6"/>
  <c r="N128" i="6"/>
  <c r="N129" i="6"/>
  <c r="N130" i="6"/>
  <c r="N131" i="6"/>
  <c r="N110" i="6"/>
  <c r="N111" i="6"/>
  <c r="N62" i="6"/>
  <c r="N11" i="6"/>
  <c r="N69" i="6"/>
  <c r="N70" i="6"/>
  <c r="N12" i="6"/>
  <c r="N13" i="6"/>
  <c r="N14" i="6"/>
  <c r="N63" i="6"/>
  <c r="N64" i="6"/>
  <c r="N65" i="6"/>
  <c r="N66" i="6"/>
  <c r="N94" i="6"/>
  <c r="N95" i="6"/>
  <c r="N96" i="6"/>
  <c r="N97" i="6"/>
  <c r="N42" i="6"/>
  <c r="N43" i="6"/>
  <c r="N44" i="6"/>
  <c r="N77" i="6"/>
  <c r="N78" i="6"/>
  <c r="N16" i="6"/>
  <c r="N67" i="6"/>
  <c r="N68" i="6"/>
  <c r="N56" i="6"/>
  <c r="N79" i="6"/>
  <c r="N80" i="6"/>
  <c r="N57" i="6"/>
  <c r="N81" i="6"/>
  <c r="N17" i="6"/>
  <c r="N18" i="6"/>
  <c r="N19" i="6"/>
  <c r="N20" i="6"/>
  <c r="N21" i="6"/>
  <c r="N22" i="6"/>
  <c r="N23" i="6"/>
  <c r="N53" i="6"/>
  <c r="N54" i="6"/>
  <c r="N55" i="6"/>
  <c r="N82" i="6"/>
  <c r="N83" i="6"/>
  <c r="N50" i="6"/>
  <c r="N51" i="6"/>
  <c r="N84" i="6"/>
  <c r="N85" i="6"/>
  <c r="N26" i="6"/>
  <c r="N27" i="6"/>
  <c r="N98" i="6"/>
  <c r="N88" i="6"/>
  <c r="N89" i="6"/>
  <c r="N90" i="6"/>
  <c r="N91" i="6"/>
  <c r="N123" i="6"/>
  <c r="N124" i="6"/>
  <c r="N125" i="6"/>
  <c r="N126" i="6"/>
  <c r="N127" i="6"/>
  <c r="N35" i="6"/>
  <c r="N36" i="6"/>
  <c r="N37" i="6"/>
  <c r="N38" i="6"/>
  <c r="N39" i="6"/>
  <c r="N40" i="6"/>
  <c r="N24" i="6"/>
  <c r="N25" i="6"/>
  <c r="N132" i="6"/>
  <c r="N58" i="6"/>
  <c r="N59" i="6"/>
  <c r="N133" i="6"/>
  <c r="N134" i="6"/>
  <c r="N135" i="6"/>
  <c r="N136" i="6"/>
  <c r="N4" i="6"/>
  <c r="N137" i="6"/>
  <c r="N138" i="6"/>
  <c r="N139" i="6"/>
  <c r="N140" i="6"/>
  <c r="N5" i="6"/>
  <c r="N6" i="6"/>
  <c r="N141" i="6"/>
  <c r="N7" i="6"/>
  <c r="N28" i="6"/>
  <c r="N29" i="6"/>
  <c r="N30" i="6"/>
  <c r="N31" i="6"/>
  <c r="N32" i="6"/>
  <c r="N8" i="6"/>
  <c r="N33" i="6"/>
  <c r="N34" i="6"/>
  <c r="N116" i="6"/>
  <c r="N41" i="6"/>
  <c r="N117" i="6"/>
  <c r="N99" i="6"/>
  <c r="N100" i="6"/>
  <c r="N9" i="6"/>
  <c r="N46" i="6"/>
  <c r="N47" i="6"/>
  <c r="N10" i="6"/>
  <c r="N48" i="6"/>
  <c r="N49" i="6"/>
  <c r="N102" i="6"/>
  <c r="N52" i="6"/>
  <c r="N103" i="6"/>
  <c r="N104" i="6"/>
  <c r="N105" i="6"/>
  <c r="N118" i="6"/>
  <c r="N119" i="6"/>
  <c r="N120" i="6"/>
  <c r="N121" i="6"/>
  <c r="N142" i="6"/>
  <c r="N143" i="6"/>
  <c r="N106" i="6"/>
  <c r="N144" i="6"/>
  <c r="N122" i="6"/>
  <c r="N45" i="6"/>
  <c r="L21" i="5"/>
  <c r="L22" i="5"/>
  <c r="L77" i="5"/>
  <c r="L78" i="5"/>
  <c r="L79" i="5"/>
  <c r="L80" i="5"/>
  <c r="L81" i="5"/>
  <c r="L24" i="5"/>
  <c r="L25" i="5"/>
  <c r="L59" i="5"/>
  <c r="L26" i="5"/>
  <c r="L15" i="5"/>
  <c r="L16" i="5"/>
  <c r="L17" i="5"/>
  <c r="L18" i="5"/>
  <c r="L19" i="5"/>
  <c r="L20" i="5"/>
  <c r="L60" i="5"/>
  <c r="L61" i="5"/>
  <c r="L27" i="5"/>
  <c r="L28" i="5"/>
  <c r="L86" i="5"/>
  <c r="L87" i="5"/>
  <c r="L4" i="5"/>
  <c r="L54" i="5"/>
  <c r="L62" i="5"/>
  <c r="L5" i="5"/>
  <c r="L6" i="5"/>
  <c r="L13" i="5"/>
  <c r="L88" i="5"/>
  <c r="L89" i="5"/>
  <c r="L50" i="5"/>
  <c r="L51" i="5"/>
  <c r="L52" i="5"/>
  <c r="L53" i="5"/>
  <c r="L36" i="5"/>
  <c r="L37" i="5"/>
  <c r="L38" i="5"/>
  <c r="L39" i="5"/>
  <c r="L40" i="5"/>
  <c r="L67" i="5"/>
  <c r="L68" i="5"/>
  <c r="L69" i="5"/>
  <c r="L70" i="5"/>
  <c r="L71" i="5"/>
  <c r="L31" i="5"/>
  <c r="L41" i="5"/>
  <c r="L48" i="5"/>
  <c r="L49" i="5"/>
  <c r="L42" i="5"/>
  <c r="L43" i="5"/>
  <c r="L44" i="5"/>
  <c r="L82" i="5"/>
  <c r="L83" i="5"/>
  <c r="L14" i="5"/>
  <c r="L90" i="5"/>
  <c r="L91" i="5"/>
  <c r="L84" i="5"/>
  <c r="L85" i="5"/>
  <c r="L34" i="5"/>
  <c r="L55" i="5"/>
  <c r="L33" i="5"/>
  <c r="L32" i="5"/>
  <c r="L63" i="5"/>
  <c r="L23" i="5"/>
  <c r="L29" i="5"/>
  <c r="L30" i="5"/>
  <c r="L72" i="5"/>
  <c r="L73" i="5"/>
  <c r="L74" i="5"/>
  <c r="L75" i="5"/>
  <c r="L76" i="5"/>
  <c r="L64" i="5"/>
  <c r="L65" i="5"/>
  <c r="L56" i="5"/>
  <c r="L57" i="5"/>
  <c r="L58" i="5"/>
  <c r="L45" i="5"/>
  <c r="L46" i="5"/>
  <c r="L35" i="5"/>
  <c r="L47" i="5"/>
  <c r="L66" i="5"/>
  <c r="N21" i="5"/>
  <c r="N22" i="5"/>
  <c r="N77" i="5"/>
  <c r="N78" i="5"/>
  <c r="N79" i="5"/>
  <c r="N80" i="5"/>
  <c r="N81" i="5"/>
  <c r="N24" i="5"/>
  <c r="N25" i="5"/>
  <c r="N59" i="5"/>
  <c r="N26" i="5"/>
  <c r="N15" i="5"/>
  <c r="N16" i="5"/>
  <c r="N17" i="5"/>
  <c r="N18" i="5"/>
  <c r="N19" i="5"/>
  <c r="N20" i="5"/>
  <c r="N60" i="5"/>
  <c r="N61" i="5"/>
  <c r="N27" i="5"/>
  <c r="N28" i="5"/>
  <c r="N86" i="5"/>
  <c r="N87" i="5"/>
  <c r="N4" i="5"/>
  <c r="N54" i="5"/>
  <c r="N62" i="5"/>
  <c r="N5" i="5"/>
  <c r="N6" i="5"/>
  <c r="N13" i="5"/>
  <c r="N88" i="5"/>
  <c r="N89" i="5"/>
  <c r="N50" i="5"/>
  <c r="N51" i="5"/>
  <c r="N52" i="5"/>
  <c r="N53" i="5"/>
  <c r="N36" i="5"/>
  <c r="N37" i="5"/>
  <c r="N38" i="5"/>
  <c r="N39" i="5"/>
  <c r="N40" i="5"/>
  <c r="N67" i="5"/>
  <c r="N68" i="5"/>
  <c r="N69" i="5"/>
  <c r="N70" i="5"/>
  <c r="N71" i="5"/>
  <c r="N31" i="5"/>
  <c r="N41" i="5"/>
  <c r="N48" i="5"/>
  <c r="N49" i="5"/>
  <c r="N42" i="5"/>
  <c r="N43" i="5"/>
  <c r="N44" i="5"/>
  <c r="N82" i="5"/>
  <c r="N83" i="5"/>
  <c r="N14" i="5"/>
  <c r="N90" i="5"/>
  <c r="N91" i="5"/>
  <c r="N84" i="5"/>
  <c r="N85" i="5"/>
  <c r="N34" i="5"/>
  <c r="N55" i="5"/>
  <c r="N33" i="5"/>
  <c r="N32" i="5"/>
  <c r="N63" i="5"/>
  <c r="N23" i="5"/>
  <c r="N29" i="5"/>
  <c r="N30" i="5"/>
  <c r="N72" i="5"/>
  <c r="N73" i="5"/>
  <c r="N74" i="5"/>
  <c r="N75" i="5"/>
  <c r="N76" i="5"/>
  <c r="N64" i="5"/>
  <c r="N65" i="5"/>
  <c r="N56" i="5"/>
  <c r="N57" i="5"/>
  <c r="N58" i="5"/>
  <c r="N45" i="5"/>
  <c r="N46" i="5"/>
  <c r="N35" i="5"/>
  <c r="N47" i="5"/>
  <c r="N66" i="5"/>
  <c r="L104" i="4"/>
  <c r="L105" i="4"/>
  <c r="L154" i="4"/>
  <c r="L106" i="4"/>
  <c r="L21" i="4"/>
  <c r="L63" i="4"/>
  <c r="L155" i="4"/>
  <c r="L76" i="4"/>
  <c r="L77" i="4"/>
  <c r="L92" i="4"/>
  <c r="L156" i="4"/>
  <c r="L121" i="4"/>
  <c r="L64" i="4"/>
  <c r="L22" i="4"/>
  <c r="L97" i="4"/>
  <c r="L98" i="4"/>
  <c r="L99" i="4"/>
  <c r="L23" i="4"/>
  <c r="L39" i="4"/>
  <c r="L65" i="4"/>
  <c r="L66" i="4"/>
  <c r="L40" i="4"/>
  <c r="L93" i="4"/>
  <c r="L94" i="4"/>
  <c r="L95" i="4"/>
  <c r="L96" i="4"/>
  <c r="L67" i="4"/>
  <c r="L68" i="4"/>
  <c r="L69" i="4"/>
  <c r="L124" i="4"/>
  <c r="L125" i="4"/>
  <c r="L126" i="4"/>
  <c r="L143" i="4"/>
  <c r="L144" i="4"/>
  <c r="L127" i="4"/>
  <c r="L149" i="4"/>
  <c r="L75" i="4"/>
  <c r="L150" i="4"/>
  <c r="L151" i="4"/>
  <c r="L51" i="4"/>
  <c r="L52" i="4"/>
  <c r="L53" i="4"/>
  <c r="L54" i="4"/>
  <c r="L152" i="4"/>
  <c r="L153" i="4"/>
  <c r="L157" i="4"/>
  <c r="L118" i="4"/>
  <c r="L110" i="4"/>
  <c r="L111" i="4"/>
  <c r="L112" i="4"/>
  <c r="L113" i="4"/>
  <c r="L114" i="4"/>
  <c r="L115" i="4"/>
  <c r="L116" i="4"/>
  <c r="L41" i="4"/>
  <c r="L42" i="4"/>
  <c r="L43" i="4"/>
  <c r="L44" i="4"/>
  <c r="L45" i="4"/>
  <c r="L46" i="4"/>
  <c r="L47" i="4"/>
  <c r="L48" i="4"/>
  <c r="L49" i="4"/>
  <c r="L141" i="4"/>
  <c r="L142" i="4"/>
  <c r="L158" i="4"/>
  <c r="L159" i="4"/>
  <c r="L128" i="4"/>
  <c r="L122" i="4"/>
  <c r="L70" i="4"/>
  <c r="L140" i="4"/>
  <c r="L78" i="4"/>
  <c r="L79" i="4"/>
  <c r="L84" i="4"/>
  <c r="L4" i="4"/>
  <c r="L5" i="4"/>
  <c r="L6" i="4"/>
  <c r="L7" i="4"/>
  <c r="L8" i="4"/>
  <c r="L9" i="4"/>
  <c r="L119" i="4"/>
  <c r="L120" i="4"/>
  <c r="L72" i="4"/>
  <c r="L100" i="4"/>
  <c r="L38" i="4"/>
  <c r="L129" i="4"/>
  <c r="L130" i="4"/>
  <c r="L20" i="4"/>
  <c r="L131" i="4"/>
  <c r="L107" i="4"/>
  <c r="L71" i="4"/>
  <c r="L108" i="4"/>
  <c r="L109" i="4"/>
  <c r="L101" i="4"/>
  <c r="L102" i="4"/>
  <c r="L80" i="4"/>
  <c r="L81" i="4"/>
  <c r="L85" i="4"/>
  <c r="L86" i="4"/>
  <c r="L137" i="4"/>
  <c r="L138" i="4"/>
  <c r="L139" i="4"/>
  <c r="L87" i="4"/>
  <c r="L123" i="4"/>
  <c r="L88" i="4"/>
  <c r="L145" i="4"/>
  <c r="L146" i="4"/>
  <c r="L147" i="4"/>
  <c r="L148" i="4"/>
  <c r="L89" i="4"/>
  <c r="L90" i="4"/>
  <c r="L50" i="4"/>
  <c r="L132" i="4"/>
  <c r="L133" i="4"/>
  <c r="L134" i="4"/>
  <c r="L135" i="4"/>
  <c r="L136" i="4"/>
  <c r="L91" i="4"/>
  <c r="L55" i="4"/>
  <c r="L56" i="4"/>
  <c r="L57" i="4"/>
  <c r="L58" i="4"/>
  <c r="L82" i="4"/>
  <c r="L83" i="4"/>
  <c r="L24" i="4"/>
  <c r="L25" i="4"/>
  <c r="L26" i="4"/>
  <c r="L73" i="4"/>
  <c r="L74" i="4"/>
  <c r="L27" i="4"/>
  <c r="L28" i="4"/>
  <c r="L10" i="4"/>
  <c r="L11" i="4"/>
  <c r="L12" i="4"/>
  <c r="L13" i="4"/>
  <c r="L30" i="4"/>
  <c r="L31" i="4"/>
  <c r="L32" i="4"/>
  <c r="L117" i="4"/>
  <c r="L29" i="4"/>
  <c r="L14" i="4"/>
  <c r="L33" i="4"/>
  <c r="L59" i="4"/>
  <c r="L60" i="4"/>
  <c r="L61" i="4"/>
  <c r="L62" i="4"/>
  <c r="L34" i="4"/>
  <c r="L35" i="4"/>
  <c r="L36" i="4"/>
  <c r="L37" i="4"/>
  <c r="L15" i="4"/>
  <c r="L16" i="4"/>
  <c r="L17" i="4"/>
  <c r="L18" i="4"/>
  <c r="L19" i="4"/>
  <c r="L103" i="4"/>
  <c r="N104" i="4"/>
  <c r="N105" i="4"/>
  <c r="N154" i="4"/>
  <c r="N106" i="4"/>
  <c r="N21" i="4"/>
  <c r="N63" i="4"/>
  <c r="N155" i="4"/>
  <c r="N76" i="4"/>
  <c r="N77" i="4"/>
  <c r="N92" i="4"/>
  <c r="N156" i="4"/>
  <c r="N121" i="4"/>
  <c r="N64" i="4"/>
  <c r="N22" i="4"/>
  <c r="N97" i="4"/>
  <c r="N98" i="4"/>
  <c r="N99" i="4"/>
  <c r="N23" i="4"/>
  <c r="N39" i="4"/>
  <c r="N65" i="4"/>
  <c r="N66" i="4"/>
  <c r="N40" i="4"/>
  <c r="N93" i="4"/>
  <c r="N94" i="4"/>
  <c r="N95" i="4"/>
  <c r="N96" i="4"/>
  <c r="N67" i="4"/>
  <c r="N68" i="4"/>
  <c r="N69" i="4"/>
  <c r="N124" i="4"/>
  <c r="N125" i="4"/>
  <c r="N126" i="4"/>
  <c r="N143" i="4"/>
  <c r="N144" i="4"/>
  <c r="N127" i="4"/>
  <c r="N149" i="4"/>
  <c r="N75" i="4"/>
  <c r="N150" i="4"/>
  <c r="N151" i="4"/>
  <c r="N51" i="4"/>
  <c r="N52" i="4"/>
  <c r="N53" i="4"/>
  <c r="N54" i="4"/>
  <c r="N152" i="4"/>
  <c r="N153" i="4"/>
  <c r="N157" i="4"/>
  <c r="N118" i="4"/>
  <c r="N110" i="4"/>
  <c r="N111" i="4"/>
  <c r="N112" i="4"/>
  <c r="N113" i="4"/>
  <c r="N114" i="4"/>
  <c r="N115" i="4"/>
  <c r="N116" i="4"/>
  <c r="N41" i="4"/>
  <c r="N42" i="4"/>
  <c r="N43" i="4"/>
  <c r="N44" i="4"/>
  <c r="N45" i="4"/>
  <c r="N46" i="4"/>
  <c r="N47" i="4"/>
  <c r="N48" i="4"/>
  <c r="N49" i="4"/>
  <c r="N141" i="4"/>
  <c r="N142" i="4"/>
  <c r="N158" i="4"/>
  <c r="N159" i="4"/>
  <c r="N128" i="4"/>
  <c r="N122" i="4"/>
  <c r="N70" i="4"/>
  <c r="N140" i="4"/>
  <c r="N78" i="4"/>
  <c r="N79" i="4"/>
  <c r="N84" i="4"/>
  <c r="N4" i="4"/>
  <c r="N5" i="4"/>
  <c r="N6" i="4"/>
  <c r="N7" i="4"/>
  <c r="N8" i="4"/>
  <c r="N9" i="4"/>
  <c r="N119" i="4"/>
  <c r="N120" i="4"/>
  <c r="N72" i="4"/>
  <c r="N100" i="4"/>
  <c r="N38" i="4"/>
  <c r="N129" i="4"/>
  <c r="N130" i="4"/>
  <c r="N20" i="4"/>
  <c r="N131" i="4"/>
  <c r="N107" i="4"/>
  <c r="N71" i="4"/>
  <c r="N108" i="4"/>
  <c r="N109" i="4"/>
  <c r="N101" i="4"/>
  <c r="N102" i="4"/>
  <c r="N80" i="4"/>
  <c r="N81" i="4"/>
  <c r="N85" i="4"/>
  <c r="N86" i="4"/>
  <c r="N137" i="4"/>
  <c r="N138" i="4"/>
  <c r="N139" i="4"/>
  <c r="N87" i="4"/>
  <c r="N123" i="4"/>
  <c r="N88" i="4"/>
  <c r="N145" i="4"/>
  <c r="N146" i="4"/>
  <c r="N147" i="4"/>
  <c r="N148" i="4"/>
  <c r="N89" i="4"/>
  <c r="N90" i="4"/>
  <c r="N50" i="4"/>
  <c r="N132" i="4"/>
  <c r="N133" i="4"/>
  <c r="N134" i="4"/>
  <c r="N135" i="4"/>
  <c r="N136" i="4"/>
  <c r="N91" i="4"/>
  <c r="N55" i="4"/>
  <c r="N56" i="4"/>
  <c r="N57" i="4"/>
  <c r="N58" i="4"/>
  <c r="N82" i="4"/>
  <c r="N83" i="4"/>
  <c r="N24" i="4"/>
  <c r="N25" i="4"/>
  <c r="N26" i="4"/>
  <c r="N73" i="4"/>
  <c r="N74" i="4"/>
  <c r="N27" i="4"/>
  <c r="N28" i="4"/>
  <c r="N10" i="4"/>
  <c r="N11" i="4"/>
  <c r="N12" i="4"/>
  <c r="N13" i="4"/>
  <c r="N30" i="4"/>
  <c r="N31" i="4"/>
  <c r="N32" i="4"/>
  <c r="N117" i="4"/>
  <c r="N29" i="4"/>
  <c r="N14" i="4"/>
  <c r="N33" i="4"/>
  <c r="N59" i="4"/>
  <c r="N60" i="4"/>
  <c r="N61" i="4"/>
  <c r="N62" i="4"/>
  <c r="N34" i="4"/>
  <c r="N35" i="4"/>
  <c r="N36" i="4"/>
  <c r="N37" i="4"/>
  <c r="N15" i="4"/>
  <c r="N16" i="4"/>
  <c r="N17" i="4"/>
  <c r="N18" i="4"/>
  <c r="N19" i="4"/>
  <c r="N103" i="4"/>
  <c r="L62" i="3"/>
  <c r="L42" i="3"/>
  <c r="L63" i="3"/>
  <c r="L43" i="3"/>
  <c r="L91" i="3"/>
  <c r="L92" i="3"/>
  <c r="L93" i="3"/>
  <c r="L94" i="3"/>
  <c r="L95" i="3"/>
  <c r="L56" i="3"/>
  <c r="L69" i="3"/>
  <c r="L57" i="3"/>
  <c r="L58" i="3"/>
  <c r="L96" i="3"/>
  <c r="L9" i="3"/>
  <c r="L10" i="3"/>
  <c r="L20" i="3"/>
  <c r="L21" i="3"/>
  <c r="L54" i="3"/>
  <c r="L55" i="3"/>
  <c r="L79" i="3"/>
  <c r="L80" i="3"/>
  <c r="L72" i="3"/>
  <c r="L102" i="3"/>
  <c r="L103" i="3"/>
  <c r="L104" i="3"/>
  <c r="L31" i="3"/>
  <c r="L22" i="3"/>
  <c r="L51" i="3"/>
  <c r="L88" i="3"/>
  <c r="L17" i="3"/>
  <c r="L52" i="3"/>
  <c r="L89" i="3"/>
  <c r="L90" i="3"/>
  <c r="L32" i="3"/>
  <c r="L33" i="3"/>
  <c r="L34" i="3"/>
  <c r="L35" i="3"/>
  <c r="L44" i="3"/>
  <c r="L45" i="3"/>
  <c r="L46" i="3"/>
  <c r="L23" i="3"/>
  <c r="L24" i="3"/>
  <c r="L25" i="3"/>
  <c r="L26" i="3"/>
  <c r="L47" i="3"/>
  <c r="L84" i="3"/>
  <c r="L85" i="3"/>
  <c r="L86" i="3"/>
  <c r="L87" i="3"/>
  <c r="L37" i="3"/>
  <c r="L36" i="3"/>
  <c r="L4" i="3"/>
  <c r="L38" i="3"/>
  <c r="L40" i="3"/>
  <c r="L48" i="3"/>
  <c r="L50" i="3"/>
  <c r="L107" i="3"/>
  <c r="L5" i="3"/>
  <c r="L77" i="3"/>
  <c r="L108" i="3"/>
  <c r="L78" i="3"/>
  <c r="L109" i="3"/>
  <c r="L110" i="3"/>
  <c r="L97" i="3"/>
  <c r="L98" i="3"/>
  <c r="L53" i="3"/>
  <c r="L18" i="3"/>
  <c r="L100" i="3"/>
  <c r="L19" i="3"/>
  <c r="L11" i="3"/>
  <c r="L101" i="3"/>
  <c r="L70" i="3"/>
  <c r="L71" i="3"/>
  <c r="L59" i="3"/>
  <c r="L60" i="3"/>
  <c r="L27" i="3"/>
  <c r="L28" i="3"/>
  <c r="L6" i="3"/>
  <c r="L7" i="3"/>
  <c r="L8" i="3"/>
  <c r="L29" i="3"/>
  <c r="L30" i="3"/>
  <c r="L61" i="3"/>
  <c r="L64" i="3"/>
  <c r="L65" i="3"/>
  <c r="L66" i="3"/>
  <c r="L67" i="3"/>
  <c r="L68" i="3"/>
  <c r="L111" i="3"/>
  <c r="L112" i="3"/>
  <c r="L113" i="3"/>
  <c r="L81" i="3"/>
  <c r="L114" i="3"/>
  <c r="L115" i="3"/>
  <c r="L82" i="3"/>
  <c r="L105" i="3"/>
  <c r="L106" i="3"/>
  <c r="L14" i="3"/>
  <c r="L15" i="3"/>
  <c r="L83" i="3"/>
  <c r="L16" i="3"/>
  <c r="L116" i="3"/>
  <c r="L117" i="3"/>
  <c r="L118" i="3"/>
  <c r="L12" i="3"/>
  <c r="L13" i="3"/>
  <c r="L99" i="3"/>
  <c r="L73" i="3"/>
  <c r="L74" i="3"/>
  <c r="L75" i="3"/>
  <c r="L76" i="3"/>
  <c r="L41" i="3"/>
  <c r="N62" i="3"/>
  <c r="N42" i="3"/>
  <c r="N63" i="3"/>
  <c r="N43" i="3"/>
  <c r="N91" i="3"/>
  <c r="N92" i="3"/>
  <c r="N93" i="3"/>
  <c r="N94" i="3"/>
  <c r="N95" i="3"/>
  <c r="N56" i="3"/>
  <c r="N69" i="3"/>
  <c r="N57" i="3"/>
  <c r="N58" i="3"/>
  <c r="N96" i="3"/>
  <c r="N9" i="3"/>
  <c r="N10" i="3"/>
  <c r="N20" i="3"/>
  <c r="N21" i="3"/>
  <c r="N54" i="3"/>
  <c r="N55" i="3"/>
  <c r="N79" i="3"/>
  <c r="N80" i="3"/>
  <c r="N72" i="3"/>
  <c r="N102" i="3"/>
  <c r="N103" i="3"/>
  <c r="N104" i="3"/>
  <c r="N31" i="3"/>
  <c r="N22" i="3"/>
  <c r="N51" i="3"/>
  <c r="N88" i="3"/>
  <c r="N17" i="3"/>
  <c r="N52" i="3"/>
  <c r="N89" i="3"/>
  <c r="N90" i="3"/>
  <c r="N32" i="3"/>
  <c r="N33" i="3"/>
  <c r="N34" i="3"/>
  <c r="N35" i="3"/>
  <c r="N44" i="3"/>
  <c r="N45" i="3"/>
  <c r="N46" i="3"/>
  <c r="N23" i="3"/>
  <c r="N24" i="3"/>
  <c r="N25" i="3"/>
  <c r="N26" i="3"/>
  <c r="N47" i="3"/>
  <c r="N84" i="3"/>
  <c r="N85" i="3"/>
  <c r="N86" i="3"/>
  <c r="N87" i="3"/>
  <c r="N37" i="3"/>
  <c r="N36" i="3"/>
  <c r="N4" i="3"/>
  <c r="N38" i="3"/>
  <c r="N40" i="3"/>
  <c r="N48" i="3"/>
  <c r="N50" i="3"/>
  <c r="N107" i="3"/>
  <c r="N5" i="3"/>
  <c r="N77" i="3"/>
  <c r="N108" i="3"/>
  <c r="N78" i="3"/>
  <c r="N109" i="3"/>
  <c r="N110" i="3"/>
  <c r="N97" i="3"/>
  <c r="N98" i="3"/>
  <c r="N53" i="3"/>
  <c r="N18" i="3"/>
  <c r="N100" i="3"/>
  <c r="N19" i="3"/>
  <c r="N11" i="3"/>
  <c r="N101" i="3"/>
  <c r="N70" i="3"/>
  <c r="N71" i="3"/>
  <c r="N59" i="3"/>
  <c r="N60" i="3"/>
  <c r="N27" i="3"/>
  <c r="N28" i="3"/>
  <c r="N6" i="3"/>
  <c r="N7" i="3"/>
  <c r="N8" i="3"/>
  <c r="N29" i="3"/>
  <c r="N30" i="3"/>
  <c r="N61" i="3"/>
  <c r="N64" i="3"/>
  <c r="N65" i="3"/>
  <c r="N66" i="3"/>
  <c r="N67" i="3"/>
  <c r="N68" i="3"/>
  <c r="N111" i="3"/>
  <c r="N112" i="3"/>
  <c r="N113" i="3"/>
  <c r="N81" i="3"/>
  <c r="N114" i="3"/>
  <c r="N115" i="3"/>
  <c r="N82" i="3"/>
  <c r="N105" i="3"/>
  <c r="N106" i="3"/>
  <c r="N14" i="3"/>
  <c r="N15" i="3"/>
  <c r="N83" i="3"/>
  <c r="N16" i="3"/>
  <c r="N116" i="3"/>
  <c r="N117" i="3"/>
  <c r="N118" i="3"/>
  <c r="N12" i="3"/>
  <c r="N13" i="3"/>
  <c r="N99" i="3"/>
  <c r="N73" i="3"/>
  <c r="N74" i="3"/>
  <c r="N75" i="3"/>
  <c r="N76" i="3"/>
  <c r="N41" i="3"/>
  <c r="L79" i="2"/>
  <c r="L80" i="2"/>
  <c r="L81" i="2"/>
  <c r="L82" i="2"/>
  <c r="L40" i="2"/>
  <c r="L83" i="2"/>
  <c r="L41" i="2"/>
  <c r="L42" i="2"/>
  <c r="L28" i="2"/>
  <c r="L97" i="2"/>
  <c r="L8" i="2"/>
  <c r="L9" i="2"/>
  <c r="L29" i="2"/>
  <c r="L27" i="2"/>
  <c r="L30" i="2"/>
  <c r="L31" i="2"/>
  <c r="L51" i="2"/>
  <c r="L19" i="2"/>
  <c r="L43" i="2"/>
  <c r="L20" i="2"/>
  <c r="L52" i="2"/>
  <c r="L53" i="2"/>
  <c r="L84" i="2"/>
  <c r="L54" i="2"/>
  <c r="L55" i="2"/>
  <c r="L104" i="2"/>
  <c r="L25" i="2"/>
  <c r="L94" i="2"/>
  <c r="L95" i="2"/>
  <c r="L10" i="2"/>
  <c r="L24" i="2"/>
  <c r="L96" i="2"/>
  <c r="L26" i="2"/>
  <c r="L106" i="2"/>
  <c r="L76" i="2"/>
  <c r="L7" i="2"/>
  <c r="L72" i="2"/>
  <c r="L105" i="2"/>
  <c r="L107" i="2"/>
  <c r="L108" i="2"/>
  <c r="L109" i="2"/>
  <c r="L110" i="2"/>
  <c r="L69" i="2"/>
  <c r="L70" i="2"/>
  <c r="L71" i="2"/>
  <c r="L77" i="2"/>
  <c r="L78" i="2"/>
  <c r="L89" i="2"/>
  <c r="L90" i="2"/>
  <c r="L91" i="2"/>
  <c r="L92" i="2"/>
  <c r="L93" i="2"/>
  <c r="L62" i="2"/>
  <c r="L23" i="2"/>
  <c r="L18" i="2"/>
  <c r="L102" i="2"/>
  <c r="L103" i="2"/>
  <c r="L33" i="2"/>
  <c r="L34" i="2"/>
  <c r="L35" i="2"/>
  <c r="L36" i="2"/>
  <c r="L37" i="2"/>
  <c r="L11" i="2"/>
  <c r="L12" i="2"/>
  <c r="L14" i="2"/>
  <c r="L13" i="2"/>
  <c r="L59" i="2"/>
  <c r="L60" i="2"/>
  <c r="L16" i="2"/>
  <c r="L98" i="2"/>
  <c r="L17" i="2"/>
  <c r="L61" i="2"/>
  <c r="L56" i="2"/>
  <c r="L57" i="2"/>
  <c r="L66" i="2"/>
  <c r="L67" i="2"/>
  <c r="L73" i="2"/>
  <c r="L68" i="2"/>
  <c r="L74" i="2"/>
  <c r="L32" i="2"/>
  <c r="L75" i="2"/>
  <c r="L4" i="2"/>
  <c r="L5" i="2"/>
  <c r="L6" i="2"/>
  <c r="L88" i="2"/>
  <c r="L99" i="2"/>
  <c r="L100" i="2"/>
  <c r="L101" i="2"/>
  <c r="L111" i="2"/>
  <c r="L112" i="2"/>
  <c r="L85" i="2"/>
  <c r="L21" i="2"/>
  <c r="L113" i="2"/>
  <c r="L22" i="2"/>
  <c r="L114" i="2"/>
  <c r="L86" i="2"/>
  <c r="L87" i="2"/>
  <c r="L58" i="2"/>
  <c r="L38" i="2"/>
  <c r="L44" i="2"/>
  <c r="L15" i="2"/>
  <c r="L45" i="2"/>
  <c r="L47" i="2"/>
  <c r="L63" i="2"/>
  <c r="L64" i="2"/>
  <c r="L65" i="2"/>
  <c r="L39" i="2"/>
  <c r="L48" i="2"/>
  <c r="L49" i="2"/>
  <c r="L46" i="2"/>
  <c r="L50" i="2"/>
  <c r="N79" i="2"/>
  <c r="N80" i="2"/>
  <c r="N81" i="2"/>
  <c r="N82" i="2"/>
  <c r="N40" i="2"/>
  <c r="N83" i="2"/>
  <c r="N41" i="2"/>
  <c r="N42" i="2"/>
  <c r="N28" i="2"/>
  <c r="N97" i="2"/>
  <c r="N8" i="2"/>
  <c r="N9" i="2"/>
  <c r="N29" i="2"/>
  <c r="N27" i="2"/>
  <c r="N30" i="2"/>
  <c r="N31" i="2"/>
  <c r="N51" i="2"/>
  <c r="N19" i="2"/>
  <c r="N43" i="2"/>
  <c r="N20" i="2"/>
  <c r="N52" i="2"/>
  <c r="N53" i="2"/>
  <c r="N84" i="2"/>
  <c r="N54" i="2"/>
  <c r="N55" i="2"/>
  <c r="N104" i="2"/>
  <c r="N25" i="2"/>
  <c r="N94" i="2"/>
  <c r="N95" i="2"/>
  <c r="N10" i="2"/>
  <c r="N24" i="2"/>
  <c r="N96" i="2"/>
  <c r="N26" i="2"/>
  <c r="N106" i="2"/>
  <c r="N76" i="2"/>
  <c r="N7" i="2"/>
  <c r="N72" i="2"/>
  <c r="N105" i="2"/>
  <c r="N107" i="2"/>
  <c r="N108" i="2"/>
  <c r="N109" i="2"/>
  <c r="N110" i="2"/>
  <c r="N69" i="2"/>
  <c r="N70" i="2"/>
  <c r="N71" i="2"/>
  <c r="N77" i="2"/>
  <c r="N78" i="2"/>
  <c r="N89" i="2"/>
  <c r="N90" i="2"/>
  <c r="N91" i="2"/>
  <c r="N92" i="2"/>
  <c r="N93" i="2"/>
  <c r="N62" i="2"/>
  <c r="N23" i="2"/>
  <c r="N18" i="2"/>
  <c r="N102" i="2"/>
  <c r="N103" i="2"/>
  <c r="N33" i="2"/>
  <c r="N34" i="2"/>
  <c r="N35" i="2"/>
  <c r="N36" i="2"/>
  <c r="N37" i="2"/>
  <c r="N11" i="2"/>
  <c r="N12" i="2"/>
  <c r="N14" i="2"/>
  <c r="N13" i="2"/>
  <c r="N59" i="2"/>
  <c r="N60" i="2"/>
  <c r="N16" i="2"/>
  <c r="N98" i="2"/>
  <c r="N17" i="2"/>
  <c r="N61" i="2"/>
  <c r="N56" i="2"/>
  <c r="N57" i="2"/>
  <c r="N66" i="2"/>
  <c r="N67" i="2"/>
  <c r="N73" i="2"/>
  <c r="N68" i="2"/>
  <c r="N74" i="2"/>
  <c r="N32" i="2"/>
  <c r="N75" i="2"/>
  <c r="N4" i="2"/>
  <c r="N5" i="2"/>
  <c r="N6" i="2"/>
  <c r="N88" i="2"/>
  <c r="N99" i="2"/>
  <c r="N100" i="2"/>
  <c r="N101" i="2"/>
  <c r="N111" i="2"/>
  <c r="N112" i="2"/>
  <c r="N85" i="2"/>
  <c r="N21" i="2"/>
  <c r="N113" i="2"/>
  <c r="N22" i="2"/>
  <c r="N114" i="2"/>
  <c r="N86" i="2"/>
  <c r="N87" i="2"/>
  <c r="N58" i="2"/>
  <c r="N38" i="2"/>
  <c r="N44" i="2"/>
  <c r="N15" i="2"/>
  <c r="N45" i="2"/>
  <c r="N47" i="2"/>
  <c r="N63" i="2"/>
  <c r="N64" i="2"/>
  <c r="N65" i="2"/>
  <c r="N39" i="2"/>
  <c r="N48" i="2"/>
  <c r="N49" i="2"/>
  <c r="N46" i="2"/>
  <c r="N50" i="2"/>
  <c r="L69" i="1"/>
  <c r="L70" i="1"/>
  <c r="L71" i="1"/>
  <c r="L72" i="1"/>
  <c r="L73" i="1"/>
  <c r="L74" i="1"/>
  <c r="L40" i="1"/>
  <c r="L41" i="1"/>
  <c r="L42" i="1"/>
  <c r="L50" i="1"/>
  <c r="L43" i="1"/>
  <c r="L44" i="1"/>
  <c r="L8" i="1"/>
  <c r="L9" i="1"/>
  <c r="L51" i="1"/>
  <c r="L52" i="1"/>
  <c r="L53" i="1"/>
  <c r="L54" i="1"/>
  <c r="L55" i="1"/>
  <c r="L10" i="1"/>
  <c r="L11" i="1"/>
  <c r="L79" i="1"/>
  <c r="L80" i="1"/>
  <c r="L59" i="1"/>
  <c r="L81" i="1"/>
  <c r="L17" i="1"/>
  <c r="L18" i="1"/>
  <c r="L60" i="1"/>
  <c r="L34" i="1"/>
  <c r="L35" i="1"/>
  <c r="L66" i="1"/>
  <c r="L45" i="1"/>
  <c r="L15" i="1"/>
  <c r="L16" i="1"/>
  <c r="L20" i="1"/>
  <c r="L46" i="1"/>
  <c r="L47" i="1"/>
  <c r="L48" i="1"/>
  <c r="L4" i="1"/>
  <c r="L67" i="1"/>
  <c r="L36" i="1"/>
  <c r="L37" i="1"/>
  <c r="L38" i="1"/>
  <c r="L39" i="1"/>
  <c r="L61" i="1"/>
  <c r="L62" i="1"/>
  <c r="L63" i="1"/>
  <c r="L5" i="1"/>
  <c r="L6" i="1"/>
  <c r="L7" i="1"/>
  <c r="L75" i="1"/>
  <c r="L21" i="1"/>
  <c r="L22" i="1"/>
  <c r="L12" i="1"/>
  <c r="L13" i="1"/>
  <c r="L14" i="1"/>
  <c r="L23" i="1"/>
  <c r="L76" i="1"/>
  <c r="L64" i="1"/>
  <c r="L65" i="1"/>
  <c r="L49" i="1"/>
  <c r="L30" i="1"/>
  <c r="L77" i="1"/>
  <c r="L78" i="1"/>
  <c r="L24" i="1"/>
  <c r="L25" i="1"/>
  <c r="L26" i="1"/>
  <c r="L27" i="1"/>
  <c r="L19" i="1"/>
  <c r="L28" i="1"/>
  <c r="L29" i="1"/>
  <c r="L31" i="1"/>
  <c r="L32" i="1"/>
  <c r="L33" i="1"/>
  <c r="L56" i="1"/>
  <c r="L57" i="1"/>
  <c r="L58" i="1"/>
  <c r="L68" i="1"/>
  <c r="N69" i="1"/>
  <c r="N70" i="1"/>
  <c r="N71" i="1"/>
  <c r="N72" i="1"/>
  <c r="N73" i="1"/>
  <c r="N74" i="1"/>
  <c r="N40" i="1"/>
  <c r="N41" i="1"/>
  <c r="N42" i="1"/>
  <c r="N50" i="1"/>
  <c r="N43" i="1"/>
  <c r="N44" i="1"/>
  <c r="N8" i="1"/>
  <c r="N9" i="1"/>
  <c r="N51" i="1"/>
  <c r="N52" i="1"/>
  <c r="N53" i="1"/>
  <c r="N54" i="1"/>
  <c r="N55" i="1"/>
  <c r="N10" i="1"/>
  <c r="N11" i="1"/>
  <c r="N79" i="1"/>
  <c r="N80" i="1"/>
  <c r="N59" i="1"/>
  <c r="N81" i="1"/>
  <c r="N17" i="1"/>
  <c r="N18" i="1"/>
  <c r="N60" i="1"/>
  <c r="N34" i="1"/>
  <c r="N35" i="1"/>
  <c r="N66" i="1"/>
  <c r="N45" i="1"/>
  <c r="N15" i="1"/>
  <c r="N16" i="1"/>
  <c r="N20" i="1"/>
  <c r="N46" i="1"/>
  <c r="N47" i="1"/>
  <c r="N48" i="1"/>
  <c r="N4" i="1"/>
  <c r="N67" i="1"/>
  <c r="N36" i="1"/>
  <c r="N37" i="1"/>
  <c r="N38" i="1"/>
  <c r="N39" i="1"/>
  <c r="N61" i="1"/>
  <c r="N62" i="1"/>
  <c r="N63" i="1"/>
  <c r="N5" i="1"/>
  <c r="N6" i="1"/>
  <c r="N7" i="1"/>
  <c r="N75" i="1"/>
  <c r="N21" i="1"/>
  <c r="N22" i="1"/>
  <c r="N12" i="1"/>
  <c r="N13" i="1"/>
  <c r="N14" i="1"/>
  <c r="N23" i="1"/>
  <c r="N76" i="1"/>
  <c r="N64" i="1"/>
  <c r="N65" i="1"/>
  <c r="N49" i="1"/>
  <c r="N30" i="1"/>
  <c r="N77" i="1"/>
  <c r="N78" i="1"/>
  <c r="N24" i="1"/>
  <c r="N25" i="1"/>
  <c r="N26" i="1"/>
  <c r="N27" i="1"/>
  <c r="N19" i="1"/>
  <c r="N28" i="1"/>
  <c r="N29" i="1"/>
  <c r="N31" i="1"/>
  <c r="N32" i="1"/>
  <c r="N33" i="1"/>
  <c r="N56" i="1"/>
  <c r="N57" i="1"/>
  <c r="N58" i="1"/>
  <c r="N68" i="1"/>
  <c r="L22" i="9" l="1"/>
  <c r="N22" i="9"/>
  <c r="N4" i="9"/>
  <c r="N5" i="9"/>
  <c r="N29" i="9"/>
  <c r="N52" i="9"/>
  <c r="N6" i="9"/>
  <c r="N53" i="9"/>
  <c r="N54" i="9"/>
  <c r="N30" i="9"/>
  <c r="N31" i="9"/>
  <c r="N26" i="9"/>
  <c r="N27" i="9"/>
  <c r="N28" i="9"/>
  <c r="N17" i="9"/>
  <c r="N18" i="9"/>
  <c r="N61" i="9"/>
  <c r="N62" i="9"/>
  <c r="N37" i="9"/>
  <c r="N38" i="9"/>
  <c r="N39" i="9"/>
  <c r="N40" i="9"/>
  <c r="N51" i="9"/>
  <c r="N42" i="9"/>
  <c r="N43" i="9"/>
  <c r="N44" i="9"/>
  <c r="N20" i="9"/>
  <c r="N21" i="9"/>
  <c r="N23" i="9"/>
  <c r="N24" i="9"/>
  <c r="N25" i="9"/>
  <c r="N69" i="9"/>
  <c r="N32" i="9"/>
  <c r="N7" i="9"/>
  <c r="N8" i="9"/>
  <c r="N9" i="9"/>
  <c r="N58" i="9"/>
  <c r="N10" i="9"/>
  <c r="N11" i="9"/>
  <c r="N12" i="9"/>
  <c r="N16" i="9"/>
  <c r="N45" i="9"/>
  <c r="N70" i="9"/>
  <c r="N71" i="9"/>
  <c r="N55" i="9"/>
  <c r="N56" i="9"/>
  <c r="N63" i="9"/>
  <c r="N64" i="9"/>
  <c r="N19" i="9"/>
  <c r="N48" i="9"/>
  <c r="N49" i="9"/>
  <c r="N13" i="9"/>
  <c r="N50" i="9"/>
  <c r="N14" i="9"/>
  <c r="N15" i="9"/>
  <c r="N59" i="9"/>
  <c r="N60" i="9"/>
  <c r="N66" i="9"/>
  <c r="N67" i="9"/>
  <c r="N65" i="9"/>
  <c r="N68" i="9"/>
  <c r="N46" i="9"/>
  <c r="N57" i="9"/>
  <c r="N47" i="9"/>
  <c r="N33" i="9"/>
  <c r="N34" i="9"/>
  <c r="N35" i="9"/>
  <c r="N36" i="9"/>
  <c r="N41" i="9"/>
  <c r="L4" i="9"/>
  <c r="L5" i="9"/>
  <c r="L29" i="9"/>
  <c r="L52" i="9"/>
  <c r="L6" i="9"/>
  <c r="L53" i="9"/>
  <c r="L54" i="9"/>
  <c r="L30" i="9"/>
  <c r="L31" i="9"/>
  <c r="L26" i="9"/>
  <c r="L27" i="9"/>
  <c r="L28" i="9"/>
  <c r="L17" i="9"/>
  <c r="L18" i="9"/>
  <c r="L61" i="9"/>
  <c r="L62" i="9"/>
  <c r="L37" i="9"/>
  <c r="L38" i="9"/>
  <c r="L39" i="9"/>
  <c r="L40" i="9"/>
  <c r="L51" i="9"/>
  <c r="L42" i="9"/>
  <c r="L43" i="9"/>
  <c r="L44" i="9"/>
  <c r="L20" i="9"/>
  <c r="L21" i="9"/>
  <c r="L23" i="9"/>
  <c r="L24" i="9"/>
  <c r="L25" i="9"/>
  <c r="L69" i="9"/>
  <c r="L32" i="9"/>
  <c r="L7" i="9"/>
  <c r="L8" i="9"/>
  <c r="L9" i="9"/>
  <c r="L58" i="9"/>
  <c r="L10" i="9"/>
  <c r="L11" i="9"/>
  <c r="L12" i="9"/>
  <c r="L16" i="9"/>
  <c r="L45" i="9"/>
  <c r="L70" i="9"/>
  <c r="L71" i="9"/>
  <c r="L55" i="9"/>
  <c r="L56" i="9"/>
  <c r="L63" i="9"/>
  <c r="L64" i="9"/>
  <c r="L19" i="9"/>
  <c r="L48" i="9"/>
  <c r="L49" i="9"/>
  <c r="L13" i="9"/>
  <c r="L50" i="9"/>
  <c r="L14" i="9"/>
  <c r="L15" i="9"/>
  <c r="L59" i="9"/>
  <c r="L60" i="9"/>
  <c r="L66" i="9"/>
  <c r="L67" i="9"/>
  <c r="L65" i="9"/>
  <c r="L68" i="9"/>
  <c r="L46" i="9"/>
  <c r="L57" i="9"/>
  <c r="L47" i="9"/>
  <c r="L33" i="9"/>
  <c r="L34" i="9"/>
  <c r="L35" i="9"/>
  <c r="L36" i="9"/>
  <c r="L41" i="9"/>
</calcChain>
</file>

<file path=xl/sharedStrings.xml><?xml version="1.0" encoding="utf-8"?>
<sst xmlns="http://schemas.openxmlformats.org/spreadsheetml/2006/main" count="6715" uniqueCount="1386">
  <si>
    <t>Pali</t>
  </si>
  <si>
    <t>Desuri</t>
  </si>
  <si>
    <t>Mevi Kalan</t>
  </si>
  <si>
    <t>PANOTA</t>
  </si>
  <si>
    <t>Mevi Khurd</t>
  </si>
  <si>
    <t>Panota</t>
  </si>
  <si>
    <t>Ashapura</t>
  </si>
  <si>
    <t>SANSARI</t>
  </si>
  <si>
    <t>Sansari</t>
  </si>
  <si>
    <t>Gurha Durjan</t>
  </si>
  <si>
    <t>Gurha Gopinath</t>
  </si>
  <si>
    <t>Sambhariya</t>
  </si>
  <si>
    <t>KOT SOLANKIYAN</t>
  </si>
  <si>
    <t>Kot Solankiyan</t>
  </si>
  <si>
    <t>Nayagaon</t>
  </si>
  <si>
    <t>Gurha Kalan</t>
  </si>
  <si>
    <t>MAGAR TALAB</t>
  </si>
  <si>
    <t>Gurha Kitiyan</t>
  </si>
  <si>
    <t>Gurha Deora Solan Kiyan</t>
  </si>
  <si>
    <t>Kaklawas</t>
  </si>
  <si>
    <t>BAGOL</t>
  </si>
  <si>
    <t>Bagol</t>
  </si>
  <si>
    <t>Magar Talab</t>
  </si>
  <si>
    <t>Kolar</t>
  </si>
  <si>
    <t>Bhanka</t>
  </si>
  <si>
    <t>Kharchee</t>
  </si>
  <si>
    <t>Gurha Jetawatan</t>
  </si>
  <si>
    <t>Gurha Deora Mertiyan</t>
  </si>
  <si>
    <t>Chak Vardiya</t>
  </si>
  <si>
    <t>Ganthi</t>
  </si>
  <si>
    <t>SUMER</t>
  </si>
  <si>
    <t>Sumer</t>
  </si>
  <si>
    <t>Teekhi</t>
  </si>
  <si>
    <t>MANDPUR</t>
  </si>
  <si>
    <t>Gurha Askaran</t>
  </si>
  <si>
    <t>Daylana Khurd</t>
  </si>
  <si>
    <t>DAYLANA KALAN</t>
  </si>
  <si>
    <t>Daylana Kalan</t>
  </si>
  <si>
    <t>Madpur</t>
  </si>
  <si>
    <t>Kesuli</t>
  </si>
  <si>
    <t>KESULI</t>
  </si>
  <si>
    <t>Gurha Akheraj</t>
  </si>
  <si>
    <t>Nadol</t>
  </si>
  <si>
    <t>NADOL</t>
  </si>
  <si>
    <t>Nawa Gurha</t>
  </si>
  <si>
    <t>KOTRI</t>
  </si>
  <si>
    <t>Warka</t>
  </si>
  <si>
    <t>DADAI</t>
  </si>
  <si>
    <t>Dadai</t>
  </si>
  <si>
    <t>Veerampura Mataji</t>
  </si>
  <si>
    <t>DHALOP</t>
  </si>
  <si>
    <t>Kotri</t>
  </si>
  <si>
    <t>Karnawa</t>
  </si>
  <si>
    <t>Gura Prithviraj</t>
  </si>
  <si>
    <t>Sarangwas</t>
  </si>
  <si>
    <t>AANA</t>
  </si>
  <si>
    <t>Narlai</t>
  </si>
  <si>
    <t>NARLAI</t>
  </si>
  <si>
    <t>Chak Sujapura</t>
  </si>
  <si>
    <t>Dhelri</t>
  </si>
  <si>
    <t>Rampura</t>
  </si>
  <si>
    <t>Atatiya</t>
  </si>
  <si>
    <t>Anewa</t>
  </si>
  <si>
    <t>Lampi</t>
  </si>
  <si>
    <t>Gurha Khowa</t>
  </si>
  <si>
    <t>Sohana</t>
  </si>
  <si>
    <t>Sobhawas</t>
  </si>
  <si>
    <t>Ana</t>
  </si>
  <si>
    <t>Bara Solankiyan</t>
  </si>
  <si>
    <t>SINDARLI</t>
  </si>
  <si>
    <t>Dhalop</t>
  </si>
  <si>
    <t>Padampura</t>
  </si>
  <si>
    <t>Undarthal</t>
  </si>
  <si>
    <t>BAROD</t>
  </si>
  <si>
    <t>Sarthur</t>
  </si>
  <si>
    <t>Barod</t>
  </si>
  <si>
    <t>Girali</t>
  </si>
  <si>
    <t>Sindarli</t>
  </si>
  <si>
    <t>Morkha</t>
  </si>
  <si>
    <t>MORKHA</t>
  </si>
  <si>
    <t>Juna</t>
  </si>
  <si>
    <t>Mada</t>
  </si>
  <si>
    <t>MADA</t>
  </si>
  <si>
    <t>Muthana</t>
  </si>
  <si>
    <t>GUDA JATAN</t>
  </si>
  <si>
    <t>Gura Mangaliya</t>
  </si>
  <si>
    <t>Gurha Patiya</t>
  </si>
  <si>
    <t>Chhora</t>
  </si>
  <si>
    <t>DUDAPURA</t>
  </si>
  <si>
    <t>Dudapura</t>
  </si>
  <si>
    <t>Kana</t>
  </si>
  <si>
    <t>Veerampura Rebariyan</t>
  </si>
  <si>
    <t>DESURI</t>
  </si>
  <si>
    <t>Gurha Bhopsingh</t>
  </si>
  <si>
    <t>GHANERAO</t>
  </si>
  <si>
    <t>Ghanerao</t>
  </si>
  <si>
    <t>Gura Sutharan</t>
  </si>
  <si>
    <t>Joba</t>
  </si>
  <si>
    <t>Gurha Jatan</t>
  </si>
  <si>
    <t>Mandigarh</t>
  </si>
  <si>
    <t>MANDIGARH</t>
  </si>
  <si>
    <t>Alsipura</t>
  </si>
  <si>
    <t>Rajpura</t>
  </si>
  <si>
    <t>Bali</t>
  </si>
  <si>
    <t>Kheemel</t>
  </si>
  <si>
    <t>KHIMEL</t>
  </si>
  <si>
    <t>Mokhampura</t>
  </si>
  <si>
    <t>MOKAMPURA</t>
  </si>
  <si>
    <t>Sarkhejra</t>
  </si>
  <si>
    <t>Dhanda</t>
  </si>
  <si>
    <t>Mataji Ka Bara</t>
  </si>
  <si>
    <t>Fattapura</t>
  </si>
  <si>
    <t>GURALAS</t>
  </si>
  <si>
    <t>Bamniya</t>
  </si>
  <si>
    <t>Ramaniya</t>
  </si>
  <si>
    <t>Guralas</t>
  </si>
  <si>
    <t>Dhani</t>
  </si>
  <si>
    <t>DHANI</t>
  </si>
  <si>
    <t>Phalna (Rural)</t>
  </si>
  <si>
    <t>PHALNA (RURAL)</t>
  </si>
  <si>
    <t>Jadri</t>
  </si>
  <si>
    <t>BEDAL</t>
  </si>
  <si>
    <t>Bedal</t>
  </si>
  <si>
    <t>Sela</t>
  </si>
  <si>
    <t>Chamunderi Mertiyan</t>
  </si>
  <si>
    <t>CHAMUNDERI</t>
  </si>
  <si>
    <t>Kagri</t>
  </si>
  <si>
    <t>Karlai</t>
  </si>
  <si>
    <t>Kerapura</t>
  </si>
  <si>
    <t>KOTBALIYAN</t>
  </si>
  <si>
    <t>Dantiwara</t>
  </si>
  <si>
    <t>BHEETWARA</t>
  </si>
  <si>
    <t>Panchalwara</t>
  </si>
  <si>
    <t>Bheetwara</t>
  </si>
  <si>
    <t>Teepri</t>
  </si>
  <si>
    <t>Sadalwa</t>
  </si>
  <si>
    <t>Mundara</t>
  </si>
  <si>
    <t>MUNDARA</t>
  </si>
  <si>
    <t>Kotbaliyan</t>
  </si>
  <si>
    <t>Punariya</t>
  </si>
  <si>
    <t>Sesli</t>
  </si>
  <si>
    <t>SESLI</t>
  </si>
  <si>
    <t>Boya</t>
  </si>
  <si>
    <t>BOYA</t>
  </si>
  <si>
    <t>Sokra</t>
  </si>
  <si>
    <t>PERWA</t>
  </si>
  <si>
    <t>Perwa</t>
  </si>
  <si>
    <t>Beeroliya</t>
  </si>
  <si>
    <t>Beesalpur</t>
  </si>
  <si>
    <t>BISALPUR</t>
  </si>
  <si>
    <t>Bhagli</t>
  </si>
  <si>
    <t>Kotra</t>
  </si>
  <si>
    <t>Sewari</t>
  </si>
  <si>
    <t>SEWARI</t>
  </si>
  <si>
    <t>Patawa</t>
  </si>
  <si>
    <t>MIRGESWAR</t>
  </si>
  <si>
    <t>Barwa</t>
  </si>
  <si>
    <t>BARWA</t>
  </si>
  <si>
    <t>Lunawa</t>
  </si>
  <si>
    <t>LUNAWA</t>
  </si>
  <si>
    <t>Lalrai</t>
  </si>
  <si>
    <t>Doongli</t>
  </si>
  <si>
    <t>SHIVTALOB</t>
  </si>
  <si>
    <t>Shivtalav</t>
  </si>
  <si>
    <t>Biliya</t>
  </si>
  <si>
    <t>Malari</t>
  </si>
  <si>
    <t>Latara</t>
  </si>
  <si>
    <t>LATARA</t>
  </si>
  <si>
    <t>Gura Kalyansingh</t>
  </si>
  <si>
    <t>Sadra</t>
  </si>
  <si>
    <t>Karanwa</t>
  </si>
  <si>
    <t>Mirgesar</t>
  </si>
  <si>
    <t>Padarla</t>
  </si>
  <si>
    <t>PADERLA</t>
  </si>
  <si>
    <t>Khindawa</t>
  </si>
  <si>
    <t>Gura Devisingh</t>
  </si>
  <si>
    <t>Gura Gumansingh</t>
  </si>
  <si>
    <t>Peepla</t>
  </si>
  <si>
    <t>PEEPLA</t>
  </si>
  <si>
    <t>Kundal</t>
  </si>
  <si>
    <t>Beejapur</t>
  </si>
  <si>
    <t>BIJAPUR</t>
  </si>
  <si>
    <t>Bhatoond</t>
  </si>
  <si>
    <t>BHATUND</t>
  </si>
  <si>
    <t>Jeewda</t>
  </si>
  <si>
    <t>SENA</t>
  </si>
  <si>
    <t>Sena</t>
  </si>
  <si>
    <t>Doodni</t>
  </si>
  <si>
    <t>DOODNI</t>
  </si>
  <si>
    <t>Rughnathpura</t>
  </si>
  <si>
    <t>Mori Beda Station</t>
  </si>
  <si>
    <t>Barawal</t>
  </si>
  <si>
    <t>Mori</t>
  </si>
  <si>
    <t>Bera</t>
  </si>
  <si>
    <t>BERA</t>
  </si>
  <si>
    <t>Juna Bera</t>
  </si>
  <si>
    <t>Berdi</t>
  </si>
  <si>
    <t>Ronwada</t>
  </si>
  <si>
    <t>Sendla</t>
  </si>
  <si>
    <t>KUMTIYA</t>
  </si>
  <si>
    <t>Serawa</t>
  </si>
  <si>
    <t>Virampura</t>
  </si>
  <si>
    <t>BHANDAR</t>
  </si>
  <si>
    <t>Bharala</t>
  </si>
  <si>
    <t>Bhandar</t>
  </si>
  <si>
    <t>Kumtiya</t>
  </si>
  <si>
    <t>Kothar</t>
  </si>
  <si>
    <t>KOTHAR</t>
  </si>
  <si>
    <t>Velar</t>
  </si>
  <si>
    <t>Chimanpura</t>
  </si>
  <si>
    <t>Lalpura</t>
  </si>
  <si>
    <t>Maldar</t>
  </si>
  <si>
    <t>Lundara</t>
  </si>
  <si>
    <t>LUNDARA</t>
  </si>
  <si>
    <t>Heerola</t>
  </si>
  <si>
    <t>MALNOO</t>
  </si>
  <si>
    <t>Chamunderi Rana Watan</t>
  </si>
  <si>
    <t>Malnoo</t>
  </si>
  <si>
    <t>Laxman Pura Jod</t>
  </si>
  <si>
    <t>AMLIYA</t>
  </si>
  <si>
    <t>Amliya</t>
  </si>
  <si>
    <t>Kagdara</t>
  </si>
  <si>
    <t>Nana</t>
  </si>
  <si>
    <t>NANA</t>
  </si>
  <si>
    <t>Reliya</t>
  </si>
  <si>
    <t>Kharda</t>
  </si>
  <si>
    <t>Gordhanpura</t>
  </si>
  <si>
    <t>Thandi Beri</t>
  </si>
  <si>
    <t>Bothara</t>
  </si>
  <si>
    <t>Nadiya</t>
  </si>
  <si>
    <t>Bheemana</t>
  </si>
  <si>
    <t>BHIMANA</t>
  </si>
  <si>
    <t>Upla Bhimana</t>
  </si>
  <si>
    <t>Urana</t>
  </si>
  <si>
    <t>Tani</t>
  </si>
  <si>
    <t>Chingta Bhata</t>
  </si>
  <si>
    <t>Chopa Ki Nal</t>
  </si>
  <si>
    <t>Koyalvao</t>
  </si>
  <si>
    <t>KOYALWAO</t>
  </si>
  <si>
    <t>Goriya</t>
  </si>
  <si>
    <t>GORIYA</t>
  </si>
  <si>
    <t>Kakradi</t>
  </si>
  <si>
    <t>KAKARADI</t>
  </si>
  <si>
    <t>Danverli</t>
  </si>
  <si>
    <t>Aradwan</t>
  </si>
  <si>
    <t>Kolwara</t>
  </si>
  <si>
    <t>Khetarli</t>
  </si>
  <si>
    <t>Kuran Khadara</t>
  </si>
  <si>
    <t>KURAN</t>
  </si>
  <si>
    <t>Kooran</t>
  </si>
  <si>
    <t>Kotiwada</t>
  </si>
  <si>
    <t>Korwa</t>
  </si>
  <si>
    <t>Khetarli Khada</t>
  </si>
  <si>
    <t>Sambharwara</t>
  </si>
  <si>
    <t>Jaitaran</t>
  </si>
  <si>
    <t>Digarna</t>
  </si>
  <si>
    <t>DIGARNA</t>
  </si>
  <si>
    <t>Sinla</t>
  </si>
  <si>
    <t>Kharadi</t>
  </si>
  <si>
    <t>Doongar Nagar</t>
  </si>
  <si>
    <t>Falka</t>
  </si>
  <si>
    <t>FALKA</t>
  </si>
  <si>
    <t>Peepara</t>
  </si>
  <si>
    <t>Teebri</t>
  </si>
  <si>
    <t>Akodiya</t>
  </si>
  <si>
    <t>Tigara</t>
  </si>
  <si>
    <t>Bankas</t>
  </si>
  <si>
    <t>Kharchiya</t>
  </si>
  <si>
    <t>KANWALIYA KALLAN</t>
  </si>
  <si>
    <t>Kheramolawas</t>
  </si>
  <si>
    <t>LAMBIYA</t>
  </si>
  <si>
    <t>Kanwaliya Kalan</t>
  </si>
  <si>
    <t>Kanwaliya Khurd</t>
  </si>
  <si>
    <t>Leelriya</t>
  </si>
  <si>
    <t>Anandpur Kalu With Chak</t>
  </si>
  <si>
    <t>ANANDPUR KALU</t>
  </si>
  <si>
    <t>Devnagar</t>
  </si>
  <si>
    <t>Baloonda</t>
  </si>
  <si>
    <t>BALUNDA</t>
  </si>
  <si>
    <t>Kanawas</t>
  </si>
  <si>
    <t>BANJA KURI</t>
  </si>
  <si>
    <t>Kanecha Ranawatan</t>
  </si>
  <si>
    <t>KANECHA</t>
  </si>
  <si>
    <t>Litariya</t>
  </si>
  <si>
    <t>Nimbol</t>
  </si>
  <si>
    <t>NIMBOL</t>
  </si>
  <si>
    <t>Bogasani</t>
  </si>
  <si>
    <t>Lototi</t>
  </si>
  <si>
    <t>LOTOTI</t>
  </si>
  <si>
    <t>Ramawas Kalan</t>
  </si>
  <si>
    <t>RAMAWAS KALAN</t>
  </si>
  <si>
    <t>Ramawas Khurd</t>
  </si>
  <si>
    <t>Beekarlai</t>
  </si>
  <si>
    <t>Malpuriya</t>
  </si>
  <si>
    <t>BIROL</t>
  </si>
  <si>
    <t>Banjakuri</t>
  </si>
  <si>
    <t>Ghorawar</t>
  </si>
  <si>
    <t>GHORAWAR</t>
  </si>
  <si>
    <t>Chak Jaitaran</t>
  </si>
  <si>
    <t>PEEPALIYA KHURD</t>
  </si>
  <si>
    <t>Hinganiya</t>
  </si>
  <si>
    <t>BALARA</t>
  </si>
  <si>
    <t>Mundawa</t>
  </si>
  <si>
    <t>Peepaliya Khurd</t>
  </si>
  <si>
    <t>Talkiya</t>
  </si>
  <si>
    <t>Patus</t>
  </si>
  <si>
    <t>Thakarwas</t>
  </si>
  <si>
    <t>Karoliya</t>
  </si>
  <si>
    <t>Birol</t>
  </si>
  <si>
    <t>Khati Khera</t>
  </si>
  <si>
    <t>GARNIYA</t>
  </si>
  <si>
    <t>Garniya</t>
  </si>
  <si>
    <t>Raniwal</t>
  </si>
  <si>
    <t>Ber Khurd</t>
  </si>
  <si>
    <t>BER KALAN</t>
  </si>
  <si>
    <t>Kishan Nagar</t>
  </si>
  <si>
    <t>Ber Kalan</t>
  </si>
  <si>
    <t>Prithvi Pura</t>
  </si>
  <si>
    <t>Bhakhar Wasni</t>
  </si>
  <si>
    <t>Lakhasani</t>
  </si>
  <si>
    <t>PATWA</t>
  </si>
  <si>
    <t>Jajanwas</t>
  </si>
  <si>
    <t>Rajadand</t>
  </si>
  <si>
    <t>Patwa</t>
  </si>
  <si>
    <t>Lumbarawas</t>
  </si>
  <si>
    <t>DEORIYA</t>
  </si>
  <si>
    <t>Chawandiya</t>
  </si>
  <si>
    <t>CHAWANDIA KALLAN</t>
  </si>
  <si>
    <t>Agewa</t>
  </si>
  <si>
    <t>AGEWA</t>
  </si>
  <si>
    <t>Deoriya</t>
  </si>
  <si>
    <t>Jodhawas</t>
  </si>
  <si>
    <t>Hunawas Kalan</t>
  </si>
  <si>
    <t>Hunawas Khurd</t>
  </si>
  <si>
    <t>Jhujhanda</t>
  </si>
  <si>
    <t>SANGAWAS</t>
  </si>
  <si>
    <t>Janasani</t>
  </si>
  <si>
    <t>Nimaj</t>
  </si>
  <si>
    <t>NIMAJ</t>
  </si>
  <si>
    <t>Khera Ramgarh</t>
  </si>
  <si>
    <t>Khera Deogarh</t>
  </si>
  <si>
    <t>Sangawas</t>
  </si>
  <si>
    <t>Bhakarwas</t>
  </si>
  <si>
    <t>Khinawari</t>
  </si>
  <si>
    <t>PHOOLMAL</t>
  </si>
  <si>
    <t>Phoolmal</t>
  </si>
  <si>
    <t>Lasni</t>
  </si>
  <si>
    <t>Balara</t>
  </si>
  <si>
    <t>Rabariyas</t>
  </si>
  <si>
    <t>RABRIYAWAS</t>
  </si>
  <si>
    <t>Gyas</t>
  </si>
  <si>
    <t>Bassi</t>
  </si>
  <si>
    <t>Pratappura</t>
  </si>
  <si>
    <t>Lambiya</t>
  </si>
  <si>
    <t>Gangaliya</t>
  </si>
  <si>
    <t>Likhmaniya</t>
  </si>
  <si>
    <t>KEKINDARA</t>
  </si>
  <si>
    <t>Kekindara</t>
  </si>
  <si>
    <t>Bhoombaliya</t>
  </si>
  <si>
    <t>BHOOMBALIYA</t>
  </si>
  <si>
    <t>Odawas</t>
  </si>
  <si>
    <t>Amarpura</t>
  </si>
  <si>
    <t>Balupura</t>
  </si>
  <si>
    <t>Dayalpura</t>
  </si>
  <si>
    <t>Katmor</t>
  </si>
  <si>
    <t>Dhaneriya</t>
  </si>
  <si>
    <t>Bakhtawarpura Manpura</t>
  </si>
  <si>
    <t>KURKI</t>
  </si>
  <si>
    <t>Kurki</t>
  </si>
  <si>
    <t>Mohangarh</t>
  </si>
  <si>
    <t>Kheendawas</t>
  </si>
  <si>
    <t>Kotariya</t>
  </si>
  <si>
    <t>Gurha Hemadai</t>
  </si>
  <si>
    <t>SEWARIYA</t>
  </si>
  <si>
    <t>Sewariya</t>
  </si>
  <si>
    <t>Bassi@Chainpura</t>
  </si>
  <si>
    <t>Roop Nagar</t>
  </si>
  <si>
    <t>Paliyawas</t>
  </si>
  <si>
    <t>Deoriya Raiputan</t>
  </si>
  <si>
    <t>Khera Nainpura</t>
  </si>
  <si>
    <t>Ras</t>
  </si>
  <si>
    <t>RAS</t>
  </si>
  <si>
    <t>Kesharpura</t>
  </si>
  <si>
    <t>Patan</t>
  </si>
  <si>
    <t>Bagatpura Mandi Chouraha</t>
  </si>
  <si>
    <t>Bagatpura</t>
  </si>
  <si>
    <t>Bhil Deva</t>
  </si>
  <si>
    <t>Bheevgarh</t>
  </si>
  <si>
    <t>Toonkara</t>
  </si>
  <si>
    <t>TOONKARA</t>
  </si>
  <si>
    <t>Vijay Garh</t>
  </si>
  <si>
    <t>Nimbera Khurd</t>
  </si>
  <si>
    <t>Asarlai</t>
  </si>
  <si>
    <t>ASARLAI</t>
  </si>
  <si>
    <t>Dharanagari</t>
  </si>
  <si>
    <t>Khera Maharajpura</t>
  </si>
  <si>
    <t>Samokhi</t>
  </si>
  <si>
    <t>MOHRAI</t>
  </si>
  <si>
    <t>Birampuri</t>
  </si>
  <si>
    <t>Mohrai</t>
  </si>
  <si>
    <t>Dagla</t>
  </si>
  <si>
    <t>Marwar Junction</t>
  </si>
  <si>
    <t>Talka</t>
  </si>
  <si>
    <t>JADAN</t>
  </si>
  <si>
    <t>Jadan Khalsa</t>
  </si>
  <si>
    <t>Jadan Jageer</t>
  </si>
  <si>
    <t>SINLA</t>
  </si>
  <si>
    <t>Khardi</t>
  </si>
  <si>
    <t>Rajkiyawas Khurd</t>
  </si>
  <si>
    <t>BARSA</t>
  </si>
  <si>
    <t>Jograwas</t>
  </si>
  <si>
    <t>CHAWADIYA</t>
  </si>
  <si>
    <t>Akhawas</t>
  </si>
  <si>
    <t>Jor Dudor</t>
  </si>
  <si>
    <t>DUDOR</t>
  </si>
  <si>
    <t>Dudor</t>
  </si>
  <si>
    <t>Hemliyawas Kalan (Rural)</t>
  </si>
  <si>
    <t>HEMLIYA WAS KHURD (RURAL)</t>
  </si>
  <si>
    <t>Lolawas</t>
  </si>
  <si>
    <t>Kharchi</t>
  </si>
  <si>
    <t>KHARCHI</t>
  </si>
  <si>
    <t>Chawadiya</t>
  </si>
  <si>
    <t>Rajkiyawas Kalan</t>
  </si>
  <si>
    <t>Godawas</t>
  </si>
  <si>
    <t>HINGOLA KHURD</t>
  </si>
  <si>
    <t>Hingola Kalan</t>
  </si>
  <si>
    <t>Sugaliya</t>
  </si>
  <si>
    <t>Barsa</t>
  </si>
  <si>
    <t>Bhagwanpura</t>
  </si>
  <si>
    <t>BITHORA KALAN</t>
  </si>
  <si>
    <t>Bithora Khurd</t>
  </si>
  <si>
    <t>Surya Nagar</t>
  </si>
  <si>
    <t>Bithora Kalan</t>
  </si>
  <si>
    <t>Narsinghpura</t>
  </si>
  <si>
    <t>Hemliyawas Khurd (Rural)</t>
  </si>
  <si>
    <t>Rewariya</t>
  </si>
  <si>
    <t>Chirpatiya</t>
  </si>
  <si>
    <t>CHIRPATIYA</t>
  </si>
  <si>
    <t>Kushalpura</t>
  </si>
  <si>
    <t>Gopawas</t>
  </si>
  <si>
    <t>Phooliya</t>
  </si>
  <si>
    <t>MANDA</t>
  </si>
  <si>
    <t>Manda</t>
  </si>
  <si>
    <t>Reesaniya</t>
  </si>
  <si>
    <t>SAWRAD</t>
  </si>
  <si>
    <t>Sawrad</t>
  </si>
  <si>
    <t>Musaliya</t>
  </si>
  <si>
    <t>MUSALIYA</t>
  </si>
  <si>
    <t>Melawas</t>
  </si>
  <si>
    <t>SEHWAJ</t>
  </si>
  <si>
    <t>Dhundhala</t>
  </si>
  <si>
    <t>DHUNDHALA</t>
  </si>
  <si>
    <t>Dadiya</t>
  </si>
  <si>
    <t>Sehwaj</t>
  </si>
  <si>
    <t>Gudangiri</t>
  </si>
  <si>
    <t>BORNARI</t>
  </si>
  <si>
    <t>Bornari</t>
  </si>
  <si>
    <t>Bheenwli</t>
  </si>
  <si>
    <t>Rajola Khurd</t>
  </si>
  <si>
    <t>Hameer Was</t>
  </si>
  <si>
    <t>SHEKHAWAS</t>
  </si>
  <si>
    <t>Shekhawas</t>
  </si>
  <si>
    <t>Melap</t>
  </si>
  <si>
    <t>VOPARI</t>
  </si>
  <si>
    <t>Kantaliya</t>
  </si>
  <si>
    <t>KANTALIYA</t>
  </si>
  <si>
    <t>Thal</t>
  </si>
  <si>
    <t>JHINJHARDI</t>
  </si>
  <si>
    <t>Jeejardi</t>
  </si>
  <si>
    <t>Sarakmaliya</t>
  </si>
  <si>
    <t>Pardi</t>
  </si>
  <si>
    <t>Dhareshwar</t>
  </si>
  <si>
    <t>Mewara Ki Dhani</t>
  </si>
  <si>
    <t>Bhaban</t>
  </si>
  <si>
    <t>Seenchiyawas</t>
  </si>
  <si>
    <t>BORI MADA</t>
  </si>
  <si>
    <t>Mudiya</t>
  </si>
  <si>
    <t>Rad Jhalra</t>
  </si>
  <si>
    <t>Jhambuda</t>
  </si>
  <si>
    <t>Mayala Gurha</t>
  </si>
  <si>
    <t>Bori Mada</t>
  </si>
  <si>
    <t>Telpura</t>
  </si>
  <si>
    <t>Nichli Nimbadi</t>
  </si>
  <si>
    <t>Uparli Neembari</t>
  </si>
  <si>
    <t>Baraton Ka Oda</t>
  </si>
  <si>
    <t>SARAN</t>
  </si>
  <si>
    <t>Saran</t>
  </si>
  <si>
    <t>Vopari</t>
  </si>
  <si>
    <t>Bhojawas</t>
  </si>
  <si>
    <t>Nimbli Manda</t>
  </si>
  <si>
    <t>NIMBLI MANDA</t>
  </si>
  <si>
    <t>Thakurwas</t>
  </si>
  <si>
    <t>MALSA BAORI</t>
  </si>
  <si>
    <t>Bari</t>
  </si>
  <si>
    <t>Ranawas</t>
  </si>
  <si>
    <t>RANAWAS</t>
  </si>
  <si>
    <t>Gadana</t>
  </si>
  <si>
    <t>GADANA</t>
  </si>
  <si>
    <t>Chelawas</t>
  </si>
  <si>
    <t>Angdosh</t>
  </si>
  <si>
    <t>GURA RAMSINGH</t>
  </si>
  <si>
    <t>Jatiyon Ki Dhani</t>
  </si>
  <si>
    <t>AUWA</t>
  </si>
  <si>
    <t>Auwa</t>
  </si>
  <si>
    <t>Kharcho Ki Dhani</t>
  </si>
  <si>
    <t>Asan (Ghanchian)</t>
  </si>
  <si>
    <t>Satiyon Ki Dhani</t>
  </si>
  <si>
    <t>Chaudhariyon Ki Dhani</t>
  </si>
  <si>
    <t>Karari</t>
  </si>
  <si>
    <t>KARARI</t>
  </si>
  <si>
    <t>Dhamli</t>
  </si>
  <si>
    <t>DHAMLI</t>
  </si>
  <si>
    <t>Hingola Khurd</t>
  </si>
  <si>
    <t>Bhimaliya</t>
  </si>
  <si>
    <t>BHIWALIYA</t>
  </si>
  <si>
    <t>Panchetiya</t>
  </si>
  <si>
    <t>PANCHETIYA</t>
  </si>
  <si>
    <t>Gura Hindu</t>
  </si>
  <si>
    <t>Banta</t>
  </si>
  <si>
    <t>BANTA</t>
  </si>
  <si>
    <t>Wadiya</t>
  </si>
  <si>
    <t>Jaitpura</t>
  </si>
  <si>
    <t>JANUDA</t>
  </si>
  <si>
    <t>Deoli (Auwa)</t>
  </si>
  <si>
    <t>DEOLI</t>
  </si>
  <si>
    <t>Mukanpura</t>
  </si>
  <si>
    <t>Janunda</t>
  </si>
  <si>
    <t>Gura Mokam Singh</t>
  </si>
  <si>
    <t>ISALI</t>
  </si>
  <si>
    <t>Isali</t>
  </si>
  <si>
    <t>Gura Keshar Singh</t>
  </si>
  <si>
    <t>GURA KESHAR SINGH</t>
  </si>
  <si>
    <t>Kadoo</t>
  </si>
  <si>
    <t>Gura Ramsingh</t>
  </si>
  <si>
    <t>Gura Durjan</t>
  </si>
  <si>
    <t>Gura Rughnathsingh</t>
  </si>
  <si>
    <t>RADAWAS</t>
  </si>
  <si>
    <t>Gura Premsingh</t>
  </si>
  <si>
    <t>Radawas</t>
  </si>
  <si>
    <t>Gura Mehkaran</t>
  </si>
  <si>
    <t>GURA SOORSINGH</t>
  </si>
  <si>
    <t>Malsa Baori</t>
  </si>
  <si>
    <t>Sinchana</t>
  </si>
  <si>
    <t>Shivsagar</t>
  </si>
  <si>
    <t>SEERIYARI</t>
  </si>
  <si>
    <t>Seeriyari</t>
  </si>
  <si>
    <t>Mayli Siriyari</t>
  </si>
  <si>
    <t>Gudabarjaliya</t>
  </si>
  <si>
    <t>Gura Soorsingh</t>
  </si>
  <si>
    <t>Vaniya Mali</t>
  </si>
  <si>
    <t>Gura Dhamawata</t>
  </si>
  <si>
    <t>Dingor</t>
  </si>
  <si>
    <t>PHULAD</t>
  </si>
  <si>
    <t>Jooni Phulad</t>
  </si>
  <si>
    <t>Gawar</t>
  </si>
  <si>
    <t>Phulad</t>
  </si>
  <si>
    <t>Dhal</t>
  </si>
  <si>
    <t>Asan Melra</t>
  </si>
  <si>
    <t>Chaukariya</t>
  </si>
  <si>
    <t>CHAUKARIYA</t>
  </si>
  <si>
    <t>Nawa Gura</t>
  </si>
  <si>
    <t>Asan Dakaniya</t>
  </si>
  <si>
    <t>Asan Jodhwan</t>
  </si>
  <si>
    <t>Guranawa</t>
  </si>
  <si>
    <t>Mani</t>
  </si>
  <si>
    <t>Gurha Ajba</t>
  </si>
  <si>
    <t>BASNI JOJAWAR</t>
  </si>
  <si>
    <t>Basni Jojawar</t>
  </si>
  <si>
    <t>Gura Durga</t>
  </si>
  <si>
    <t>Kolpura</t>
  </si>
  <si>
    <t>DHANLA</t>
  </si>
  <si>
    <t>Dhanla</t>
  </si>
  <si>
    <t>Gura Himta</t>
  </si>
  <si>
    <t>Anji Ki Dhani</t>
  </si>
  <si>
    <t>Jorkiya</t>
  </si>
  <si>
    <t>BANSOR</t>
  </si>
  <si>
    <t>Golki</t>
  </si>
  <si>
    <t>Teja Ka Guda</t>
  </si>
  <si>
    <t>Rana Nadi</t>
  </si>
  <si>
    <t>Khakhron Ka Aauda</t>
  </si>
  <si>
    <t>BHAGORA</t>
  </si>
  <si>
    <t>Rambag</t>
  </si>
  <si>
    <t>Jojawar</t>
  </si>
  <si>
    <t>JOJAWAR</t>
  </si>
  <si>
    <t>Neevon Ki Khejri</t>
  </si>
  <si>
    <t>Sodon Ka Dhana</t>
  </si>
  <si>
    <t>Gura Bhopa</t>
  </si>
  <si>
    <t>Bogla</t>
  </si>
  <si>
    <t>Karmal</t>
  </si>
  <si>
    <t>Guraganga-I</t>
  </si>
  <si>
    <t>Guraganga-II</t>
  </si>
  <si>
    <t>Chatra Ka Gura</t>
  </si>
  <si>
    <t>Bhagora</t>
  </si>
  <si>
    <t>Karwara</t>
  </si>
  <si>
    <t>Gura Bhopat</t>
  </si>
  <si>
    <t>Dhel Pura</t>
  </si>
  <si>
    <t>Halawat</t>
  </si>
  <si>
    <t>Seemal</t>
  </si>
  <si>
    <t>Khera Kalyanpura</t>
  </si>
  <si>
    <t>Bansor</t>
  </si>
  <si>
    <t>Nimbara</t>
  </si>
  <si>
    <t>NIMBARA</t>
  </si>
  <si>
    <t>Bhalelao</t>
  </si>
  <si>
    <t>BHANGESAR</t>
  </si>
  <si>
    <t>Bhangesar</t>
  </si>
  <si>
    <t>Bhambolai</t>
  </si>
  <si>
    <t>SANPA</t>
  </si>
  <si>
    <t>Sowaniya</t>
  </si>
  <si>
    <t>Khetawas</t>
  </si>
  <si>
    <t>Sanpa</t>
  </si>
  <si>
    <t>Indra Nagar</t>
  </si>
  <si>
    <t>Utvan</t>
  </si>
  <si>
    <t>BOMADARA</t>
  </si>
  <si>
    <t>Akeli</t>
  </si>
  <si>
    <t>Rawalwas</t>
  </si>
  <si>
    <t>Bomadara</t>
  </si>
  <si>
    <t>Neembala Khera</t>
  </si>
  <si>
    <t>BANIYAWAS</t>
  </si>
  <si>
    <t>Parasla Kalan</t>
  </si>
  <si>
    <t>Baniyawas</t>
  </si>
  <si>
    <t>Parasla Khurd</t>
  </si>
  <si>
    <t>Akrawas</t>
  </si>
  <si>
    <t>Akrawas Purohitan</t>
  </si>
  <si>
    <t>Sankrawas</t>
  </si>
  <si>
    <t>Balelao</t>
  </si>
  <si>
    <t>Sadawas</t>
  </si>
  <si>
    <t>Aaichiya</t>
  </si>
  <si>
    <t>SONAI MANJI</t>
  </si>
  <si>
    <t>Budhwara</t>
  </si>
  <si>
    <t>BADER WAS</t>
  </si>
  <si>
    <t>Kherwa</t>
  </si>
  <si>
    <t>KHERWA</t>
  </si>
  <si>
    <t>Shivpura</t>
  </si>
  <si>
    <t>Kenpura</t>
  </si>
  <si>
    <t>Bader Ka Was</t>
  </si>
  <si>
    <t>Gura Narkhan</t>
  </si>
  <si>
    <t>Sonai Manji</t>
  </si>
  <si>
    <t>Hemawas</t>
  </si>
  <si>
    <t>HEMAWAS</t>
  </si>
  <si>
    <t>Ramasiya</t>
  </si>
  <si>
    <t>Jor Kandra</t>
  </si>
  <si>
    <t>Jorjoonamath</t>
  </si>
  <si>
    <t>Gulabpura</t>
  </si>
  <si>
    <t>GIRADRA</t>
  </si>
  <si>
    <t>Giradra Jageer</t>
  </si>
  <si>
    <t>Jawariya</t>
  </si>
  <si>
    <t>Bhaton Ki Dhani</t>
  </si>
  <si>
    <t>Baldo Ki Dhani</t>
  </si>
  <si>
    <t>Kerla</t>
  </si>
  <si>
    <t>ROOPAWAS</t>
  </si>
  <si>
    <t>Muliawas</t>
  </si>
  <si>
    <t>Raunagar</t>
  </si>
  <si>
    <t>Roopawas</t>
  </si>
  <si>
    <t>Chawarda</t>
  </si>
  <si>
    <t>DAYALPURA</t>
  </si>
  <si>
    <t>Giradra Khalsa</t>
  </si>
  <si>
    <t>Gurdai</t>
  </si>
  <si>
    <t>Kandara</t>
  </si>
  <si>
    <t>Hathlai</t>
  </si>
  <si>
    <t>GUNDOJ</t>
  </si>
  <si>
    <t>Gundoj</t>
  </si>
  <si>
    <t>Togawas</t>
  </si>
  <si>
    <t>Sodawas</t>
  </si>
  <si>
    <t>SODAWAS</t>
  </si>
  <si>
    <t>Sapooni</t>
  </si>
  <si>
    <t>Guragirdhari</t>
  </si>
  <si>
    <t>Tewali Kalan</t>
  </si>
  <si>
    <t>TEWALI</t>
  </si>
  <si>
    <t>Tewali Khurd</t>
  </si>
  <si>
    <t>Thakurla</t>
  </si>
  <si>
    <t>Gura Bichchhu</t>
  </si>
  <si>
    <t>Dingai</t>
  </si>
  <si>
    <t>DINGAI</t>
  </si>
  <si>
    <t>Kanlao</t>
  </si>
  <si>
    <t>KOORNA</t>
  </si>
  <si>
    <t>Denda</t>
  </si>
  <si>
    <t>DENDA</t>
  </si>
  <si>
    <t>Madri</t>
  </si>
  <si>
    <t>Manihari</t>
  </si>
  <si>
    <t>MANIHARI</t>
  </si>
  <si>
    <t>Bhanwri</t>
  </si>
  <si>
    <t>BHANWARI</t>
  </si>
  <si>
    <t>DARI</t>
  </si>
  <si>
    <t>Deeri</t>
  </si>
  <si>
    <t>Bhawnagar</t>
  </si>
  <si>
    <t>SAKDARA</t>
  </si>
  <si>
    <t>Sakdara</t>
  </si>
  <si>
    <t>Penawa</t>
  </si>
  <si>
    <t>Sundelao</t>
  </si>
  <si>
    <t>Saali</t>
  </si>
  <si>
    <t>Gura Pratapsingh</t>
  </si>
  <si>
    <t>Bala</t>
  </si>
  <si>
    <t>Koorna</t>
  </si>
  <si>
    <t>Girwar</t>
  </si>
  <si>
    <t>Endlawas</t>
  </si>
  <si>
    <t>GURA ENDLA</t>
  </si>
  <si>
    <t>Jooni Endla</t>
  </si>
  <si>
    <t>Gura Endla</t>
  </si>
  <si>
    <t>Raipur</t>
  </si>
  <si>
    <t>Deoli Kalan</t>
  </si>
  <si>
    <t>DEOLI KALAN</t>
  </si>
  <si>
    <t>Seengla</t>
  </si>
  <si>
    <t>RAMPURA KALAN</t>
  </si>
  <si>
    <t>Basni Kaviyan</t>
  </si>
  <si>
    <t>Nokh</t>
  </si>
  <si>
    <t>Nimbera Kalan</t>
  </si>
  <si>
    <t>NIMBERA KALAN</t>
  </si>
  <si>
    <t>Basni Dadhwariyan</t>
  </si>
  <si>
    <t>Rampura Kalan</t>
  </si>
  <si>
    <t>Mohra Kalan</t>
  </si>
  <si>
    <t>MOHRA KALAN</t>
  </si>
  <si>
    <t>Banseeya</t>
  </si>
  <si>
    <t>BANSIYA</t>
  </si>
  <si>
    <t>Peepaliya Kalan</t>
  </si>
  <si>
    <t>PEEPALIYA KALAN</t>
  </si>
  <si>
    <t>Karmawas Maliyan</t>
  </si>
  <si>
    <t>KUSHALPURA</t>
  </si>
  <si>
    <t>Bagiyara</t>
  </si>
  <si>
    <t>LEELAMBA</t>
  </si>
  <si>
    <t>Aakeli</t>
  </si>
  <si>
    <t>Leelamba</t>
  </si>
  <si>
    <t>Beechardi</t>
  </si>
  <si>
    <t>JHOONTHA</t>
  </si>
  <si>
    <t>Kapoordi</t>
  </si>
  <si>
    <t>RAIPUR</t>
  </si>
  <si>
    <t>Madelav</t>
  </si>
  <si>
    <t>Lakky Talab</t>
  </si>
  <si>
    <t>Jhoontha</t>
  </si>
  <si>
    <t>Guriya</t>
  </si>
  <si>
    <t>SABALPURA</t>
  </si>
  <si>
    <t>Sabalpura</t>
  </si>
  <si>
    <t>Kalakot</t>
  </si>
  <si>
    <t>Deola</t>
  </si>
  <si>
    <t>Kheenwal</t>
  </si>
  <si>
    <t>Kalab Kalan</t>
  </si>
  <si>
    <t>KALAB KALAN</t>
  </si>
  <si>
    <t>Belpana</t>
  </si>
  <si>
    <t>BAGRI</t>
  </si>
  <si>
    <t>Seerma</t>
  </si>
  <si>
    <t>KOT KIRANA</t>
  </si>
  <si>
    <t>Kot Kirana</t>
  </si>
  <si>
    <t>Bhaiu</t>
  </si>
  <si>
    <t>Bagri</t>
  </si>
  <si>
    <t>Khanda Bhaga</t>
  </si>
  <si>
    <t>Chogat</t>
  </si>
  <si>
    <t>KALALIYA</t>
  </si>
  <si>
    <t>Bafola</t>
  </si>
  <si>
    <t>Kalaliya</t>
  </si>
  <si>
    <t>Asan Jilelao</t>
  </si>
  <si>
    <t>Kalab Khurd</t>
  </si>
  <si>
    <t>PACHANPURA</t>
  </si>
  <si>
    <t>Peepaliya Badia</t>
  </si>
  <si>
    <t>Pachanpura</t>
  </si>
  <si>
    <t>Mohra Khurd</t>
  </si>
  <si>
    <t>Balloo Pura</t>
  </si>
  <si>
    <t>DEEPAWAS</t>
  </si>
  <si>
    <t>Lawacha</t>
  </si>
  <si>
    <t>Deepawas</t>
  </si>
  <si>
    <t>Malni</t>
  </si>
  <si>
    <t>Megarda</t>
  </si>
  <si>
    <t>Bhairu Ka Naka</t>
  </si>
  <si>
    <t>Makarwali</t>
  </si>
  <si>
    <t>BAR</t>
  </si>
  <si>
    <t>Chak Deepawas</t>
  </si>
  <si>
    <t>KANUJA</t>
  </si>
  <si>
    <t>Kanuja</t>
  </si>
  <si>
    <t>Asan Tiloriya</t>
  </si>
  <si>
    <t>JHALA KI CHOWKI</t>
  </si>
  <si>
    <t>Fata Khera</t>
  </si>
  <si>
    <t>Kaya Bheela</t>
  </si>
  <si>
    <t>Relmagra</t>
  </si>
  <si>
    <t>Bar</t>
  </si>
  <si>
    <t>Dholi Dhed</t>
  </si>
  <si>
    <t>BIRATIYA KALLAN</t>
  </si>
  <si>
    <t>Bogasani Khurd</t>
  </si>
  <si>
    <t>Beesawas Khurd</t>
  </si>
  <si>
    <t>Birantiya Kalan</t>
  </si>
  <si>
    <t>Beerbasni</t>
  </si>
  <si>
    <t>Beesawas Kalan</t>
  </si>
  <si>
    <t>Hajiwas</t>
  </si>
  <si>
    <t>HAJIWAS</t>
  </si>
  <si>
    <t>Dhoolkot</t>
  </si>
  <si>
    <t>Lawamali</t>
  </si>
  <si>
    <t>Kheramamawas</t>
  </si>
  <si>
    <t>Mesiya</t>
  </si>
  <si>
    <t>Khokhari</t>
  </si>
  <si>
    <t>Giri</t>
  </si>
  <si>
    <t>GIRI</t>
  </si>
  <si>
    <t>Loharo Ka Badiya</t>
  </si>
  <si>
    <t>Chanwadiya Kalan</t>
  </si>
  <si>
    <t>Boontiwas</t>
  </si>
  <si>
    <t>BOOTIWAS</t>
  </si>
  <si>
    <t>Ramawas</t>
  </si>
  <si>
    <t>Naharpura</t>
  </si>
  <si>
    <t>Sodpura</t>
  </si>
  <si>
    <t>NANANA</t>
  </si>
  <si>
    <t>Rawat Khera</t>
  </si>
  <si>
    <t>Nanana</t>
  </si>
  <si>
    <t>Shayampura</t>
  </si>
  <si>
    <t>Shahpura</t>
  </si>
  <si>
    <t>RELRA</t>
  </si>
  <si>
    <t>Chainpura</t>
  </si>
  <si>
    <t>Relra</t>
  </si>
  <si>
    <t>Deoli Khurd</t>
  </si>
  <si>
    <t>Kanecha Udawatan</t>
  </si>
  <si>
    <t>Hathibhata</t>
  </si>
  <si>
    <t>CHITAR</t>
  </si>
  <si>
    <t>Chhapriya</t>
  </si>
  <si>
    <t>Chitar</t>
  </si>
  <si>
    <t>Sanderiya</t>
  </si>
  <si>
    <t>Gavali Badiya</t>
  </si>
  <si>
    <t>Kanpura</t>
  </si>
  <si>
    <t>Jheentra</t>
  </si>
  <si>
    <t>BIRATIYA KHURD</t>
  </si>
  <si>
    <t>Birantiya Khurd</t>
  </si>
  <si>
    <t>Kesarpura</t>
  </si>
  <si>
    <t>SENDARA</t>
  </si>
  <si>
    <t>Jhala Ki Chauki</t>
  </si>
  <si>
    <t>Sendara</t>
  </si>
  <si>
    <t>Borwar</t>
  </si>
  <si>
    <t>Dholiya</t>
  </si>
  <si>
    <t>Kurantiya</t>
  </si>
  <si>
    <t>AMARPURA</t>
  </si>
  <si>
    <t>Ramgarh Sedontan</t>
  </si>
  <si>
    <t>Khera Sagrotan</t>
  </si>
  <si>
    <t>Manpura</t>
  </si>
  <si>
    <t>Shergarh</t>
  </si>
  <si>
    <t>Saradhana</t>
  </si>
  <si>
    <t>Baripol</t>
  </si>
  <si>
    <t>CHANG</t>
  </si>
  <si>
    <t>Salakot</t>
  </si>
  <si>
    <t>Miyapuriya</t>
  </si>
  <si>
    <t>Chang</t>
  </si>
  <si>
    <t>Jagmal Pura</t>
  </si>
  <si>
    <t>Amargarh Chang</t>
  </si>
  <si>
    <t>Ramgarh Chang</t>
  </si>
  <si>
    <t>Sailpura</t>
  </si>
  <si>
    <t>RATDIYA</t>
  </si>
  <si>
    <t>Lakhina Panabaori</t>
  </si>
  <si>
    <t>Ratdiya</t>
  </si>
  <si>
    <t>Bhanwariya</t>
  </si>
  <si>
    <t>Gopalpura</t>
  </si>
  <si>
    <t>BABRA</t>
  </si>
  <si>
    <t>Jhalamand</t>
  </si>
  <si>
    <t>Devgarh</t>
  </si>
  <si>
    <t>Babra</t>
  </si>
  <si>
    <t>Ramgarh</t>
  </si>
  <si>
    <t>Chadhawaton Ki Dhani</t>
  </si>
  <si>
    <t>PRATAPGARH</t>
  </si>
  <si>
    <t>Pratapgarh</t>
  </si>
  <si>
    <t>Karanpura</t>
  </si>
  <si>
    <t>Naya Badiya</t>
  </si>
  <si>
    <t>Rawaniya</t>
  </si>
  <si>
    <t>Dujodiya</t>
  </si>
  <si>
    <t>SUMEL</t>
  </si>
  <si>
    <t>Sumel</t>
  </si>
  <si>
    <t>Mohra</t>
  </si>
  <si>
    <t>Peelpaya</t>
  </si>
  <si>
    <t>Nahargarh</t>
  </si>
  <si>
    <t>Rohat</t>
  </si>
  <si>
    <t>DIWANDI</t>
  </si>
  <si>
    <t>Pukhtari</t>
  </si>
  <si>
    <t>GELAWAS</t>
  </si>
  <si>
    <t>Lambra</t>
  </si>
  <si>
    <t>Gelawas</t>
  </si>
  <si>
    <t>Reoda Khurd</t>
  </si>
  <si>
    <t>Panch Padariya</t>
  </si>
  <si>
    <t>Khutani</t>
  </si>
  <si>
    <t>Mandawas</t>
  </si>
  <si>
    <t>MANDAWAS</t>
  </si>
  <si>
    <t>Murdiya</t>
  </si>
  <si>
    <t>Phenkariya</t>
  </si>
  <si>
    <t>DHOLERIYA SASAN</t>
  </si>
  <si>
    <t>Heerawas</t>
  </si>
  <si>
    <t>KHANDI</t>
  </si>
  <si>
    <t>Khandi</t>
  </si>
  <si>
    <t>Dungar Pur</t>
  </si>
  <si>
    <t>Sonailakha</t>
  </si>
  <si>
    <t>SONAILAKHA</t>
  </si>
  <si>
    <t>Sajianpura</t>
  </si>
  <si>
    <t>Saji</t>
  </si>
  <si>
    <t>Nehra</t>
  </si>
  <si>
    <t>Dholeriya Sasan</t>
  </si>
  <si>
    <t>Dholeriya Jagir</t>
  </si>
  <si>
    <t>Jaitpur</t>
  </si>
  <si>
    <t>GADHWARA</t>
  </si>
  <si>
    <t>Beenja</t>
  </si>
  <si>
    <t>VAYAD</t>
  </si>
  <si>
    <t>Chenda</t>
  </si>
  <si>
    <t>CHENDA</t>
  </si>
  <si>
    <t>Sirana</t>
  </si>
  <si>
    <t>Pati</t>
  </si>
  <si>
    <t>Hanjawa</t>
  </si>
  <si>
    <t>Dhingana</t>
  </si>
  <si>
    <t>KULTHANA</t>
  </si>
  <si>
    <t>Umkali</t>
  </si>
  <si>
    <t>Kundli Charnan</t>
  </si>
  <si>
    <t>Dewan</t>
  </si>
  <si>
    <t>Bhinder</t>
  </si>
  <si>
    <t>Kulthana</t>
  </si>
  <si>
    <t>Rakhana</t>
  </si>
  <si>
    <t>Vayad</t>
  </si>
  <si>
    <t>Rana</t>
  </si>
  <si>
    <t>RANA</t>
  </si>
  <si>
    <t>Sedariya</t>
  </si>
  <si>
    <t>KHUNDAWAS</t>
  </si>
  <si>
    <t>Undra</t>
  </si>
  <si>
    <t>Garwaliya</t>
  </si>
  <si>
    <t>Malwa</t>
  </si>
  <si>
    <t>Khundawas</t>
  </si>
  <si>
    <t>Sukarlai</t>
  </si>
  <si>
    <t>Chatelao</t>
  </si>
  <si>
    <t>BITHOO</t>
  </si>
  <si>
    <t>Garwara</t>
  </si>
  <si>
    <t>Beethoo</t>
  </si>
  <si>
    <t>Moriya</t>
  </si>
  <si>
    <t>SINGARI</t>
  </si>
  <si>
    <t>Singari</t>
  </si>
  <si>
    <t>Dhundali</t>
  </si>
  <si>
    <t>ROHAT</t>
  </si>
  <si>
    <t>Doodali</t>
  </si>
  <si>
    <t>Neembli Patelan</t>
  </si>
  <si>
    <t>Neembli Bramnan</t>
  </si>
  <si>
    <t>Lalki</t>
  </si>
  <si>
    <t>KALALI</t>
  </si>
  <si>
    <t>Antan</t>
  </si>
  <si>
    <t>SANWALTA KALAN</t>
  </si>
  <si>
    <t>Sanwalta Kalan</t>
  </si>
  <si>
    <t>Sanwalta Khurd</t>
  </si>
  <si>
    <t>Bhooriyasani</t>
  </si>
  <si>
    <t>Chamundanagar</t>
  </si>
  <si>
    <t>Kalali</t>
  </si>
  <si>
    <t>Dalpatgarh</t>
  </si>
  <si>
    <t>Danasani</t>
  </si>
  <si>
    <t>CHOTILA</t>
  </si>
  <si>
    <t>Chotila</t>
  </si>
  <si>
    <t>Sawaipura</t>
  </si>
  <si>
    <t>Dharamdhari</t>
  </si>
  <si>
    <t>Gajangarh</t>
  </si>
  <si>
    <t>KHARDA</t>
  </si>
  <si>
    <t>Bandai</t>
  </si>
  <si>
    <t>Aratiya</t>
  </si>
  <si>
    <t>BHAKRIWALA</t>
  </si>
  <si>
    <t>Dhabar</t>
  </si>
  <si>
    <t>DHABAR</t>
  </si>
  <si>
    <t>Doodiya</t>
  </si>
  <si>
    <t>Mandli Darjiyan</t>
  </si>
  <si>
    <t>Bhakriwala</t>
  </si>
  <si>
    <t>Indrokon Ki Dhani</t>
  </si>
  <si>
    <t>JHEETRA</t>
  </si>
  <si>
    <t>Jheetra</t>
  </si>
  <si>
    <t>Madpuriya</t>
  </si>
  <si>
    <t>Kala Pipal Ki Dhani</t>
  </si>
  <si>
    <t>Peepaliya Ki Dhani</t>
  </si>
  <si>
    <t>Bagariya</t>
  </si>
  <si>
    <t>NIMBLI URA</t>
  </si>
  <si>
    <t>Neembli Urra</t>
  </si>
  <si>
    <t>Sojat</t>
  </si>
  <si>
    <t>Rajola Kalan</t>
  </si>
  <si>
    <t>RAJOLA KALAN</t>
  </si>
  <si>
    <t>Sohan Nagar</t>
  </si>
  <si>
    <t>Bhaniya</t>
  </si>
  <si>
    <t>Lanera</t>
  </si>
  <si>
    <t>Abkai Ki Dhani</t>
  </si>
  <si>
    <t>CHOPRA</t>
  </si>
  <si>
    <t>Naya Gaon</t>
  </si>
  <si>
    <t>Chopra</t>
  </si>
  <si>
    <t>Napawas</t>
  </si>
  <si>
    <t>Potaliya</t>
  </si>
  <si>
    <t>DHURASANI</t>
  </si>
  <si>
    <t>Dhurasani</t>
  </si>
  <si>
    <t>Chundlai</t>
  </si>
  <si>
    <t>Sobrawas</t>
  </si>
  <si>
    <t>Nai Dhani</t>
  </si>
  <si>
    <t>SARDAR SAMAND</t>
  </si>
  <si>
    <t>Sardar Samand</t>
  </si>
  <si>
    <t>SHIVPURA</t>
  </si>
  <si>
    <t>Haripur</t>
  </si>
  <si>
    <t>Pachchwa Khurd</t>
  </si>
  <si>
    <t>JHUPELAO</t>
  </si>
  <si>
    <t>Chandasani</t>
  </si>
  <si>
    <t>Panchwa Kalan</t>
  </si>
  <si>
    <t>KHOKHARA</t>
  </si>
  <si>
    <t>Charwas</t>
  </si>
  <si>
    <t>CHARWAS</t>
  </si>
  <si>
    <t>Dhangarwas</t>
  </si>
  <si>
    <t>Reprawas</t>
  </si>
  <si>
    <t>REPRAWAS</t>
  </si>
  <si>
    <t>Hapat</t>
  </si>
  <si>
    <t>Ramasani Sandwan</t>
  </si>
  <si>
    <t>MEV</t>
  </si>
  <si>
    <t>Tharasani</t>
  </si>
  <si>
    <t>Meo</t>
  </si>
  <si>
    <t>Deo Nagar</t>
  </si>
  <si>
    <t>Godelao</t>
  </si>
  <si>
    <t>Bariyala</t>
  </si>
  <si>
    <t>GAGRAU</t>
  </si>
  <si>
    <t>Jhupelao</t>
  </si>
  <si>
    <t>Shiv Nagar</t>
  </si>
  <si>
    <t>Morawas</t>
  </si>
  <si>
    <t>Bijpur</t>
  </si>
  <si>
    <t>Khamal</t>
  </si>
  <si>
    <t>Malpuriya Khurd</t>
  </si>
  <si>
    <t>SURAYTA</t>
  </si>
  <si>
    <t>Malpuriya Kalan</t>
  </si>
  <si>
    <t>Basni Surayta</t>
  </si>
  <si>
    <t>Basni Anant</t>
  </si>
  <si>
    <t>Surayta</t>
  </si>
  <si>
    <t>Gagura</t>
  </si>
  <si>
    <t>Sandarda</t>
  </si>
  <si>
    <t>Birawas</t>
  </si>
  <si>
    <t>Rupawas</t>
  </si>
  <si>
    <t>RUPAWAS</t>
  </si>
  <si>
    <t>Butelao</t>
  </si>
  <si>
    <t>Khariya Neev</t>
  </si>
  <si>
    <t>KHARIYA NEEV</t>
  </si>
  <si>
    <t>Chamdiyak</t>
  </si>
  <si>
    <t>Lundawas</t>
  </si>
  <si>
    <t>Sojat (Rural)</t>
  </si>
  <si>
    <t>BILAWAS</t>
  </si>
  <si>
    <t>Bilawas</t>
  </si>
  <si>
    <t>Hingawas</t>
  </si>
  <si>
    <t>Ajeetpura</t>
  </si>
  <si>
    <t>DHEENAWAS</t>
  </si>
  <si>
    <t>Dhakri</t>
  </si>
  <si>
    <t>DHAKRI</t>
  </si>
  <si>
    <t>Bagawas</t>
  </si>
  <si>
    <t>Dheenawas</t>
  </si>
  <si>
    <t>Basni Jodhraj</t>
  </si>
  <si>
    <t>KHARIYA SODA</t>
  </si>
  <si>
    <t>Basni Bhadawatan</t>
  </si>
  <si>
    <t>Basni Narsingh</t>
  </si>
  <si>
    <t>Mamawas</t>
  </si>
  <si>
    <t>Bijliyawas</t>
  </si>
  <si>
    <t>Khariya Swami</t>
  </si>
  <si>
    <t>Khariya Soda</t>
  </si>
  <si>
    <t>Rendari</t>
  </si>
  <si>
    <t>RENDRI</t>
  </si>
  <si>
    <t>Bhaisana</t>
  </si>
  <si>
    <t>BHAISANA</t>
  </si>
  <si>
    <t>Sisarwada</t>
  </si>
  <si>
    <t>Basni Mootha</t>
  </si>
  <si>
    <t>Basni Tilwadiyan</t>
  </si>
  <si>
    <t>Alawas</t>
  </si>
  <si>
    <t>Siyat</t>
  </si>
  <si>
    <t>SIYAT</t>
  </si>
  <si>
    <t>Pachunda Kalan</t>
  </si>
  <si>
    <t>Pachunda Khurd</t>
  </si>
  <si>
    <t>BAGARI NAGAR</t>
  </si>
  <si>
    <t>Khokhara</t>
  </si>
  <si>
    <t>Sardarpura</t>
  </si>
  <si>
    <t>MANDLA</t>
  </si>
  <si>
    <t>Dhandheri</t>
  </si>
  <si>
    <t>Vaidhnath Mahadev Nagar</t>
  </si>
  <si>
    <t>Ramasanibala</t>
  </si>
  <si>
    <t>Mandla</t>
  </si>
  <si>
    <t>Roondiya</t>
  </si>
  <si>
    <t>BOYAL</t>
  </si>
  <si>
    <t>Atpara</t>
  </si>
  <si>
    <t>ATBRA</t>
  </si>
  <si>
    <t>Chheetariya</t>
  </si>
  <si>
    <t>Boyal</t>
  </si>
  <si>
    <t>Basna</t>
  </si>
  <si>
    <t>BASNA</t>
  </si>
  <si>
    <t>Nathal Kundi</t>
  </si>
  <si>
    <t>Sandiya</t>
  </si>
  <si>
    <t>SANDIYA</t>
  </si>
  <si>
    <t>Gurha Bachhraj</t>
  </si>
  <si>
    <t>CHANDAWAL STATION</t>
  </si>
  <si>
    <t>Chandawal</t>
  </si>
  <si>
    <t>CHANDAWAL</t>
  </si>
  <si>
    <t>Murdawa</t>
  </si>
  <si>
    <t>Roopnagar</t>
  </si>
  <si>
    <t>Chandawal Station</t>
  </si>
  <si>
    <t>Udeshi Kua</t>
  </si>
  <si>
    <t>Dornari</t>
  </si>
  <si>
    <t>KARMAWAS</t>
  </si>
  <si>
    <t>Karmawas</t>
  </si>
  <si>
    <t>Singpura</t>
  </si>
  <si>
    <t>RAYARA KALAN (KHURD)</t>
  </si>
  <si>
    <t>Rayara Kalan &amp; Khurd</t>
  </si>
  <si>
    <t>Guda Beeja</t>
  </si>
  <si>
    <t>GUDA BEEJA</t>
  </si>
  <si>
    <t>Pokariya Nadi</t>
  </si>
  <si>
    <t>Deoli Hulla</t>
  </si>
  <si>
    <t>Ladpura</t>
  </si>
  <si>
    <t>Salarmal</t>
  </si>
  <si>
    <t>Kelwad</t>
  </si>
  <si>
    <t>KELWAD</t>
  </si>
  <si>
    <t>Peeplad</t>
  </si>
  <si>
    <t>Dhoondha Lambodi</t>
  </si>
  <si>
    <t>GUDA RAMSINGH</t>
  </si>
  <si>
    <t>HARIYA MALI</t>
  </si>
  <si>
    <t>Guda Chatura</t>
  </si>
  <si>
    <t>GUDA KALAN</t>
  </si>
  <si>
    <t>Hariya Mali</t>
  </si>
  <si>
    <t>Ker Khera</t>
  </si>
  <si>
    <t>Guda Bhadawatan</t>
  </si>
  <si>
    <t>Guda Shyama</t>
  </si>
  <si>
    <t>Khakhra</t>
  </si>
  <si>
    <t>Khera Nabra</t>
  </si>
  <si>
    <t>Bhanwar Bhata</t>
  </si>
  <si>
    <t>Rodawas</t>
  </si>
  <si>
    <t>Guda Kalan</t>
  </si>
  <si>
    <t>Guda Ramsingh</t>
  </si>
  <si>
    <t>Dadi</t>
  </si>
  <si>
    <t>Gajnai</t>
  </si>
  <si>
    <t>Lakhan Ka Khet</t>
  </si>
  <si>
    <t>Sand Magra</t>
  </si>
  <si>
    <t>KHORIYA</t>
  </si>
  <si>
    <t>Khejari Ka Bala</t>
  </si>
  <si>
    <t>Khoriya</t>
  </si>
  <si>
    <t>Kharnikhera</t>
  </si>
  <si>
    <t>Sumerpur</t>
  </si>
  <si>
    <t>Chanod</t>
  </si>
  <si>
    <t>CHANOD</t>
  </si>
  <si>
    <t>Anoppura</t>
  </si>
  <si>
    <t>ANOPPURA</t>
  </si>
  <si>
    <t>Beethura</t>
  </si>
  <si>
    <t>Dhola Jageer</t>
  </si>
  <si>
    <t>DHOLA</t>
  </si>
  <si>
    <t>Bargaowra</t>
  </si>
  <si>
    <t>LAPOD</t>
  </si>
  <si>
    <t>Bhachoonda</t>
  </si>
  <si>
    <t>Pichawa</t>
  </si>
  <si>
    <t>Lapod</t>
  </si>
  <si>
    <t>Dhola Shasan</t>
  </si>
  <si>
    <t>Barli</t>
  </si>
  <si>
    <t>DHANA</t>
  </si>
  <si>
    <t>Dhana</t>
  </si>
  <si>
    <t>Daulpura</t>
  </si>
  <si>
    <t>Baba-Gaon</t>
  </si>
  <si>
    <t>BASANT</t>
  </si>
  <si>
    <t>Basant</t>
  </si>
  <si>
    <t>Pawa</t>
  </si>
  <si>
    <t>PAWA</t>
  </si>
  <si>
    <t>Khejariya</t>
  </si>
  <si>
    <t>Nawa Khera</t>
  </si>
  <si>
    <t>GOGARA</t>
  </si>
  <si>
    <t>Gogra</t>
  </si>
  <si>
    <t>Heengola</t>
  </si>
  <si>
    <t>Koselao</t>
  </si>
  <si>
    <t>KOSELAO</t>
  </si>
  <si>
    <t>Kheemara</t>
  </si>
  <si>
    <t>KHIMARA</t>
  </si>
  <si>
    <t>Bangri</t>
  </si>
  <si>
    <t>Khangri</t>
  </si>
  <si>
    <t>Birami Ki Dhani</t>
  </si>
  <si>
    <t>BIRAMI</t>
  </si>
  <si>
    <t>Birami</t>
  </si>
  <si>
    <t>Venpura</t>
  </si>
  <si>
    <t>DAOTARA</t>
  </si>
  <si>
    <t>Deotara</t>
  </si>
  <si>
    <t>Akdara</t>
  </si>
  <si>
    <t>Sanderao</t>
  </si>
  <si>
    <t>SANDERAO</t>
  </si>
  <si>
    <t>Dujana</t>
  </si>
  <si>
    <t>DUJANA</t>
  </si>
  <si>
    <t>BALANA</t>
  </si>
  <si>
    <t>Balana</t>
  </si>
  <si>
    <t>Bithiya</t>
  </si>
  <si>
    <t>BALUPURA</t>
  </si>
  <si>
    <t>Nowi</t>
  </si>
  <si>
    <t>NOVI</t>
  </si>
  <si>
    <t>Jana</t>
  </si>
  <si>
    <t>Naya Balupura</t>
  </si>
  <si>
    <t>Bankali</t>
  </si>
  <si>
    <t>BANKALI</t>
  </si>
  <si>
    <t>Khiwandi</t>
  </si>
  <si>
    <t>KHIWANDI</t>
  </si>
  <si>
    <t>Sindroo</t>
  </si>
  <si>
    <t>SINDRU</t>
  </si>
  <si>
    <t>Khindara Gaon</t>
  </si>
  <si>
    <t>Netra</t>
  </si>
  <si>
    <t>NETRA</t>
  </si>
  <si>
    <t>Rojra</t>
  </si>
  <si>
    <t>Mordoo</t>
  </si>
  <si>
    <t>POMAWA</t>
  </si>
  <si>
    <t>Pomawa</t>
  </si>
  <si>
    <t>Bharoonda</t>
  </si>
  <si>
    <t>BHARUNDA</t>
  </si>
  <si>
    <t>Bagar</t>
  </si>
  <si>
    <t>KORTA</t>
  </si>
  <si>
    <t>Korta</t>
  </si>
  <si>
    <t>Bamnera</t>
  </si>
  <si>
    <t>BAMNERA</t>
  </si>
  <si>
    <t>Khera Narwi</t>
  </si>
  <si>
    <t>Poyana</t>
  </si>
  <si>
    <t>Dhanapura</t>
  </si>
  <si>
    <t>Bapu Nagar</t>
  </si>
  <si>
    <t>PALRI</t>
  </si>
  <si>
    <t>Palri</t>
  </si>
  <si>
    <t>Salodariya</t>
  </si>
  <si>
    <t>SALODARIYA</t>
  </si>
  <si>
    <t>Fatapura</t>
  </si>
  <si>
    <t>Purara</t>
  </si>
  <si>
    <t>Jakhora</t>
  </si>
  <si>
    <t>KOLIWARA</t>
  </si>
  <si>
    <t>Parakhiya</t>
  </si>
  <si>
    <t>Koliwara</t>
  </si>
  <si>
    <t>Angor</t>
  </si>
  <si>
    <t>Galthani</t>
  </si>
  <si>
    <t>Sonpura</t>
  </si>
  <si>
    <t>Ramnagar</t>
  </si>
  <si>
    <t>Balwana</t>
  </si>
  <si>
    <t>Jawai Bandh</t>
  </si>
  <si>
    <t>Rani</t>
  </si>
  <si>
    <t>Itandara Mertiyan</t>
  </si>
  <si>
    <t>ITENDRA MERTIYAN</t>
  </si>
  <si>
    <t>Odwadiya</t>
  </si>
  <si>
    <t>BHADARLAU</t>
  </si>
  <si>
    <t>Duthariya</t>
  </si>
  <si>
    <t>Septawa</t>
  </si>
  <si>
    <t>INDERWARA</t>
  </si>
  <si>
    <t>Bhadarlau</t>
  </si>
  <si>
    <t>Somesar</t>
  </si>
  <si>
    <t>Indarwara</t>
  </si>
  <si>
    <t>Gurha Jaitsingh</t>
  </si>
  <si>
    <t>Raipuriya</t>
  </si>
  <si>
    <t>WANDAR</t>
  </si>
  <si>
    <t>Wandar</t>
  </si>
  <si>
    <t>Gura Daulji</t>
  </si>
  <si>
    <t>Khiwara</t>
  </si>
  <si>
    <t>KHINWARA</t>
  </si>
  <si>
    <t>Gajnipura</t>
  </si>
  <si>
    <t>GAJNIPURA</t>
  </si>
  <si>
    <t>Gura Mataji</t>
  </si>
  <si>
    <t>Barari</t>
  </si>
  <si>
    <t>Gurha Thakurji</t>
  </si>
  <si>
    <t>Siwas</t>
  </si>
  <si>
    <t>SIWAS</t>
  </si>
  <si>
    <t>Peelowani</t>
  </si>
  <si>
    <t>Roongri</t>
  </si>
  <si>
    <t>SANWALTA</t>
  </si>
  <si>
    <t>Elani</t>
  </si>
  <si>
    <t>Gurha Bheemsingh</t>
  </si>
  <si>
    <t>DEOLI PABUJI</t>
  </si>
  <si>
    <t>Sanwalta</t>
  </si>
  <si>
    <t>Deoli</t>
  </si>
  <si>
    <t>Dhariya</t>
  </si>
  <si>
    <t>DHARIYA</t>
  </si>
  <si>
    <t>Jawali</t>
  </si>
  <si>
    <t>JAWALI</t>
  </si>
  <si>
    <t>Gurha Ganga</t>
  </si>
  <si>
    <t>NADANA BHATAN</t>
  </si>
  <si>
    <t>Nadana Jodhan</t>
  </si>
  <si>
    <t>Anjaneshwar</t>
  </si>
  <si>
    <t>SALARIYA</t>
  </si>
  <si>
    <t>Salariya</t>
  </si>
  <si>
    <t>Rabriya</t>
  </si>
  <si>
    <t>KISHANPURA</t>
  </si>
  <si>
    <t>Kishanpura</t>
  </si>
  <si>
    <t>Kharada</t>
  </si>
  <si>
    <t>Jeewand Kalan</t>
  </si>
  <si>
    <t>JEEWAND KALAN</t>
  </si>
  <si>
    <t>Bola Kura</t>
  </si>
  <si>
    <t>Gura Meghsingh</t>
  </si>
  <si>
    <t>Ghenri</t>
  </si>
  <si>
    <t>Gura Ramaji</t>
  </si>
  <si>
    <t>KERLI</t>
  </si>
  <si>
    <t>Kerli</t>
  </si>
  <si>
    <t>Tokarla</t>
  </si>
  <si>
    <t>Gawara</t>
  </si>
  <si>
    <t>NEEPAL</t>
  </si>
  <si>
    <t>Neepal</t>
  </si>
  <si>
    <t>Kesargarh</t>
  </si>
  <si>
    <t>Boradi</t>
  </si>
  <si>
    <t>Jeewand Khurd</t>
  </si>
  <si>
    <t>Gurha Keshar Singh</t>
  </si>
  <si>
    <t>Gurha Roopsingh</t>
  </si>
  <si>
    <t>Gurha Mehram</t>
  </si>
  <si>
    <t>Beejowa</t>
  </si>
  <si>
    <t>BIJOWA</t>
  </si>
  <si>
    <t>Bhagwanpura Station</t>
  </si>
  <si>
    <t>Bhagwan Pura</t>
  </si>
  <si>
    <t>ITENDRA CHARANAN</t>
  </si>
  <si>
    <t>Itandara Charnan</t>
  </si>
  <si>
    <t>Padarli Sindhlan</t>
  </si>
  <si>
    <t>Rani Kalan</t>
  </si>
  <si>
    <t>RANI KALAN</t>
  </si>
  <si>
    <t>Dudwar</t>
  </si>
  <si>
    <t>Varkana</t>
  </si>
  <si>
    <t>VARKANA</t>
  </si>
  <si>
    <t>Vingarla</t>
  </si>
  <si>
    <t>Pratap Garh</t>
  </si>
  <si>
    <t>Neembara</t>
  </si>
  <si>
    <t>Busi</t>
  </si>
  <si>
    <t>BUSI</t>
  </si>
  <si>
    <t>Hirankhuri</t>
  </si>
  <si>
    <t>Padarli Turkan</t>
  </si>
  <si>
    <t>Khor</t>
  </si>
  <si>
    <t>KHOR</t>
  </si>
  <si>
    <t>Nawagura</t>
  </si>
  <si>
    <t>BALRAI</t>
  </si>
  <si>
    <t>Balrai</t>
  </si>
  <si>
    <t>Keerwa</t>
  </si>
  <si>
    <t>KIRWA</t>
  </si>
  <si>
    <t>Changwa</t>
  </si>
  <si>
    <t>Kalyan Pura</t>
  </si>
  <si>
    <t>Gura Durgadas</t>
  </si>
  <si>
    <t>Khatukra</t>
  </si>
  <si>
    <t>Nadana Bhatan</t>
  </si>
  <si>
    <t>Chanchori</t>
  </si>
  <si>
    <t>CHANCHORI</t>
  </si>
  <si>
    <t>Gura Khuni</t>
  </si>
  <si>
    <t>Mandal</t>
  </si>
  <si>
    <t>MANDAL</t>
  </si>
  <si>
    <t>Resolution for CVS formation/ reorganisation</t>
  </si>
  <si>
    <t>CVS formed/ reorganised</t>
  </si>
  <si>
    <t>Application by CVS for Pastureland recognition (Resolution)</t>
  </si>
  <si>
    <t xml:space="preserve">Recognition of VI &amp; Tenure over Pasture land under 170 (1) (Sahmati Patra) </t>
  </si>
  <si>
    <t>Entry of Pasture land in Panchayat asset register</t>
  </si>
  <si>
    <t>Village specific bylaws for Pasture land</t>
  </si>
  <si>
    <t>Action taken for demarcation of Pasture land</t>
  </si>
  <si>
    <t>Action taken for removal of enchrochment of Pasture land</t>
  </si>
  <si>
    <t>Removal of encrochment from Pasture Land</t>
  </si>
  <si>
    <t xml:space="preserve">Ecorestoration Plan of Pasture land </t>
  </si>
  <si>
    <t xml:space="preserve">Ecorestoration work  integrated VBGMRG /VPGP /GPDP  </t>
  </si>
  <si>
    <t>Work done under VBGRAMG/ other Govt schemes</t>
  </si>
  <si>
    <t xml:space="preserve">Activities narration of work done under VBGRAMG/ Govt schemes </t>
  </si>
  <si>
    <t>GPS Co-ordinates</t>
  </si>
  <si>
    <t>Y/N</t>
  </si>
  <si>
    <t>Month/Year</t>
  </si>
  <si>
    <t>Ha</t>
  </si>
  <si>
    <t>Narration</t>
  </si>
  <si>
    <t>Latitude</t>
  </si>
  <si>
    <t>Longitude</t>
  </si>
  <si>
    <t>P1/L1</t>
  </si>
  <si>
    <t>P1/L2</t>
  </si>
  <si>
    <t>P2/L2</t>
  </si>
  <si>
    <t>P3/L3</t>
  </si>
  <si>
    <t>Permanent Pasture &amp; other Grazing Land Area</t>
  </si>
  <si>
    <t>Potential CFRR Area</t>
  </si>
  <si>
    <t>No.</t>
  </si>
  <si>
    <t>%</t>
  </si>
  <si>
    <t>Hac</t>
  </si>
  <si>
    <t>District</t>
  </si>
  <si>
    <t>Block</t>
  </si>
  <si>
    <t>Panchayat</t>
  </si>
  <si>
    <t>Village</t>
  </si>
  <si>
    <t>CODE11</t>
  </si>
  <si>
    <t>Total Geographical Area</t>
  </si>
  <si>
    <t>Total Households</t>
  </si>
  <si>
    <t>Total Population</t>
  </si>
  <si>
    <t>Total male</t>
  </si>
  <si>
    <t>Total Female</t>
  </si>
  <si>
    <t>Total SC Population</t>
  </si>
  <si>
    <t>Total ST Population</t>
  </si>
  <si>
    <t>YES</t>
  </si>
  <si>
    <t>गोचर विकास कार्य, सारंगवास</t>
  </si>
  <si>
    <t>पुरानी गोचर में चारागाह एव मेड़बंदी कार्य, गुडा देवड़ान मेडतियान</t>
  </si>
  <si>
    <t>गोचर विकास कार्य खसरा न 173 , दादाई</t>
  </si>
  <si>
    <t>chavndiya khurd</t>
  </si>
  <si>
    <t>yes</t>
  </si>
  <si>
    <t xml:space="preserve">YES </t>
  </si>
  <si>
    <t>YSE</t>
  </si>
  <si>
    <t>`</t>
  </si>
  <si>
    <t>(0) 20/11/19</t>
  </si>
  <si>
    <t>YS</t>
  </si>
  <si>
    <t xml:space="preserve"> 27-07-20197/27/2019</t>
  </si>
  <si>
    <t>31-11-2019</t>
  </si>
  <si>
    <t xml:space="preserve">CHARAGAH VIKAS KARY </t>
  </si>
  <si>
    <t xml:space="preserve">NADI KUDAI KARY </t>
  </si>
  <si>
    <t xml:space="preserve"> NARSURY CHARAGAH VIKAS KARY </t>
  </si>
  <si>
    <t>CHARAGAH VIKAS KARY (WATER SHED )</t>
  </si>
  <si>
    <t>15/12/19</t>
  </si>
  <si>
    <t>22/12/19</t>
  </si>
  <si>
    <t>15/11/19</t>
  </si>
  <si>
    <t>13/11/19</t>
  </si>
  <si>
    <t>19/11/19</t>
  </si>
  <si>
    <t>17/11/19</t>
  </si>
  <si>
    <t>18/11/19</t>
  </si>
  <si>
    <t>14/11/19</t>
  </si>
  <si>
    <t>22/10/19</t>
  </si>
  <si>
    <t>23/11/19</t>
  </si>
  <si>
    <t>14/12/19</t>
  </si>
  <si>
    <t>21/11/19</t>
  </si>
  <si>
    <t>20/11/19</t>
  </si>
  <si>
    <t>medbandi nirman kary gochar bhumi</t>
  </si>
  <si>
    <t xml:space="preserve">NADI KHUDAI KARY </t>
  </si>
  <si>
    <t xml:space="preserve">NADI NIRMAN KARY </t>
  </si>
  <si>
    <t>Charagah vikas kary</t>
  </si>
  <si>
    <t xml:space="preserve">CHAAGAH VIKAS KARY </t>
  </si>
  <si>
    <t>Charagah/Viraksharopn kary water shed</t>
  </si>
  <si>
    <t>chragah vikas kary</t>
  </si>
  <si>
    <t>Modal charagah vikas kary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</si>
</sst>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Times New Roman"/>
      <family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</font>
    <font>
      <sz val="10"/>
      <color rgb="FF212529"/>
      <name val="Segoe UI"/>
      <family val="2"/>
    </font>
    <font>
      <sz val="9"/>
      <color rgb="FF212529"/>
      <name val="Segoe UI"/>
      <family val="2"/>
    </font>
    <font>
      <sz val="8"/>
      <color rgb="FF212529"/>
      <name val="Segoe UI"/>
      <family val="2"/>
    </font>
    <font>
      <sz val="11"/>
      <color rgb="FF000000"/>
      <name val="Calibri"/>
      <family val="2"/>
    </font>
    <font>
      <sz val="12"/>
      <color rgb="FF000000"/>
      <name val="Calibri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24">
    <xf numFmtId="0" fontId="0" fillId="0" borderId="0" xfId="0"/>
    <xf numFmtId="49" fontId="1" fillId="2" borderId="1" xfId="0" applyNumberFormat="1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right"/>
    </xf>
    <xf numFmtId="0" fontId="0" fillId="2" borderId="1" xfId="0" applyFill="1" applyBorder="1"/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4" fillId="2" borderId="2" xfId="0" applyNumberFormat="1" applyFont="1" applyFill="1" applyBorder="1" applyAlignment="1">
      <alignment wrapText="1"/>
    </xf>
    <xf numFmtId="0" fontId="4" fillId="2" borderId="2" xfId="0" applyNumberFormat="1" applyFont="1" applyFill="1" applyBorder="1" applyAlignment="1">
      <alignment horizontal="center" wrapText="1"/>
    </xf>
    <xf numFmtId="0" fontId="4" fillId="0" borderId="2" xfId="0" applyNumberFormat="1" applyFont="1" applyBorder="1"/>
    <xf numFmtId="0" fontId="5" fillId="0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right"/>
    </xf>
    <xf numFmtId="0" fontId="1" fillId="2" borderId="3" xfId="0" applyFont="1" applyFill="1" applyBorder="1"/>
    <xf numFmtId="0" fontId="2" fillId="2" borderId="5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vertical="center" wrapText="1"/>
    </xf>
    <xf numFmtId="0" fontId="0" fillId="0" borderId="2" xfId="0" applyBorder="1"/>
    <xf numFmtId="0" fontId="6" fillId="0" borderId="0" xfId="0" applyFont="1"/>
    <xf numFmtId="0" fontId="6" fillId="0" borderId="0" xfId="0" applyFont="1" applyAlignment="1">
      <alignment wrapText="1"/>
    </xf>
    <xf numFmtId="0" fontId="3" fillId="0" borderId="2" xfId="0" applyNumberFormat="1" applyFont="1" applyFill="1" applyBorder="1" applyAlignment="1">
      <alignment wrapText="1"/>
    </xf>
    <xf numFmtId="0" fontId="3" fillId="0" borderId="2" xfId="0" applyNumberFormat="1" applyFont="1" applyFill="1" applyBorder="1" applyAlignment="1">
      <alignment vertical="center" wrapText="1"/>
    </xf>
    <xf numFmtId="0" fontId="0" fillId="0" borderId="0" xfId="0" applyAlignment="1">
      <alignment vertical="center"/>
    </xf>
    <xf numFmtId="49" fontId="7" fillId="2" borderId="1" xfId="0" applyNumberFormat="1" applyFont="1" applyFill="1" applyBorder="1"/>
    <xf numFmtId="0" fontId="9" fillId="2" borderId="2" xfId="1" applyFont="1" applyFill="1" applyBorder="1" applyAlignment="1">
      <alignment horizontal="center"/>
    </xf>
    <xf numFmtId="14" fontId="8" fillId="2" borderId="2" xfId="1" applyNumberFormat="1" applyFill="1" applyBorder="1" applyAlignment="1">
      <alignment horizontal="center"/>
    </xf>
    <xf numFmtId="0" fontId="0" fillId="2" borderId="2" xfId="0" applyFill="1" applyBorder="1"/>
    <xf numFmtId="0" fontId="8" fillId="0" borderId="2" xfId="1" applyBorder="1" applyAlignment="1">
      <alignment vertical="center"/>
    </xf>
    <xf numFmtId="0" fontId="8" fillId="0" borderId="2" xfId="1" applyBorder="1" applyAlignment="1">
      <alignment vertical="center"/>
    </xf>
    <xf numFmtId="0" fontId="8" fillId="0" borderId="2" xfId="1" applyBorder="1" applyAlignment="1">
      <alignment vertical="center"/>
    </xf>
    <xf numFmtId="0" fontId="8" fillId="0" borderId="2" xfId="1" applyBorder="1" applyAlignment="1">
      <alignment vertical="center"/>
    </xf>
    <xf numFmtId="0" fontId="9" fillId="2" borderId="2" xfId="1" applyFont="1" applyFill="1" applyBorder="1" applyAlignment="1">
      <alignment horizontal="center"/>
    </xf>
    <xf numFmtId="0" fontId="0" fillId="0" borderId="2" xfId="0" applyBorder="1" applyAlignment="1">
      <alignment vertical="center" wrapText="1"/>
    </xf>
    <xf numFmtId="0" fontId="9" fillId="2" borderId="2" xfId="1" applyFont="1" applyFill="1" applyBorder="1" applyAlignment="1">
      <alignment horizontal="center"/>
    </xf>
    <xf numFmtId="0" fontId="9" fillId="2" borderId="2" xfId="1" applyFont="1" applyFill="1" applyBorder="1" applyAlignment="1">
      <alignment horizontal="center"/>
    </xf>
    <xf numFmtId="0" fontId="8" fillId="0" borderId="2" xfId="1" applyBorder="1" applyAlignment="1">
      <alignment vertical="center"/>
    </xf>
    <xf numFmtId="0" fontId="8" fillId="0" borderId="2" xfId="1" applyBorder="1" applyAlignment="1">
      <alignment vertical="center"/>
    </xf>
    <xf numFmtId="0" fontId="8" fillId="0" borderId="2" xfId="1" applyBorder="1" applyAlignment="1">
      <alignment vertical="center"/>
    </xf>
    <xf numFmtId="0" fontId="8" fillId="0" borderId="2" xfId="1" applyBorder="1" applyAlignment="1">
      <alignment vertical="center"/>
    </xf>
    <xf numFmtId="0" fontId="9" fillId="2" borderId="2" xfId="1" applyFont="1" applyFill="1" applyBorder="1" applyAlignment="1">
      <alignment horizontal="center"/>
    </xf>
    <xf numFmtId="14" fontId="8" fillId="0" borderId="2" xfId="1" applyNumberFormat="1" applyBorder="1" applyAlignment="1">
      <alignment horizontal="center"/>
    </xf>
    <xf numFmtId="0" fontId="9" fillId="2" borderId="2" xfId="1" applyFont="1" applyFill="1" applyBorder="1" applyAlignment="1">
      <alignment horizontal="center"/>
    </xf>
    <xf numFmtId="0" fontId="8" fillId="0" borderId="2" xfId="1" applyBorder="1" applyAlignment="1">
      <alignment vertical="center"/>
    </xf>
    <xf numFmtId="0" fontId="8" fillId="0" borderId="2" xfId="1" applyBorder="1" applyAlignment="1">
      <alignment vertical="center"/>
    </xf>
    <xf numFmtId="0" fontId="9" fillId="2" borderId="2" xfId="1" applyFont="1" applyFill="1" applyBorder="1" applyAlignment="1">
      <alignment horizontal="center"/>
    </xf>
    <xf numFmtId="0" fontId="8" fillId="0" borderId="2" xfId="1" applyBorder="1" applyAlignment="1">
      <alignment vertical="center"/>
    </xf>
    <xf numFmtId="0" fontId="8" fillId="0" borderId="2" xfId="1" applyBorder="1" applyAlignment="1">
      <alignment vertical="center"/>
    </xf>
    <xf numFmtId="0" fontId="8" fillId="0" borderId="2" xfId="1" applyBorder="1" applyAlignment="1">
      <alignment vertical="center"/>
    </xf>
    <xf numFmtId="0" fontId="8" fillId="0" borderId="2" xfId="1" applyBorder="1" applyAlignment="1">
      <alignment vertical="center"/>
    </xf>
    <xf numFmtId="0" fontId="8" fillId="0" borderId="2" xfId="1" applyBorder="1" applyAlignment="1">
      <alignment vertical="center"/>
    </xf>
    <xf numFmtId="0" fontId="8" fillId="0" borderId="2" xfId="1" applyBorder="1" applyAlignment="1">
      <alignment vertical="center"/>
    </xf>
    <xf numFmtId="0" fontId="8" fillId="0" borderId="2" xfId="1" applyBorder="1" applyAlignment="1">
      <alignment vertical="center"/>
    </xf>
    <xf numFmtId="14" fontId="8" fillId="2" borderId="2" xfId="1" applyNumberFormat="1" applyFill="1" applyBorder="1" applyAlignment="1">
      <alignment horizontal="center" vertical="center"/>
    </xf>
    <xf numFmtId="0" fontId="8" fillId="0" borderId="2" xfId="1" applyBorder="1" applyAlignment="1">
      <alignment vertical="center"/>
    </xf>
    <xf numFmtId="0" fontId="9" fillId="2" borderId="2" xfId="1" applyFont="1" applyFill="1" applyBorder="1" applyAlignment="1">
      <alignment horizontal="center"/>
    </xf>
    <xf numFmtId="0" fontId="9" fillId="2" borderId="2" xfId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49" fontId="7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49" fontId="1" fillId="2" borderId="1" xfId="0" applyNumberFormat="1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0" fillId="0" borderId="2" xfId="0" applyBorder="1" applyAlignment="1">
      <alignment vertical="center"/>
    </xf>
    <xf numFmtId="0" fontId="8" fillId="0" borderId="2" xfId="1" applyBorder="1" applyAlignment="1">
      <alignment vertical="center"/>
    </xf>
    <xf numFmtId="0" fontId="8" fillId="0" borderId="2" xfId="1" applyBorder="1" applyAlignment="1">
      <alignment vertical="center"/>
    </xf>
    <xf numFmtId="0" fontId="9" fillId="2" borderId="2" xfId="1" applyFont="1" applyFill="1" applyBorder="1" applyAlignment="1">
      <alignment horizontal="center"/>
    </xf>
    <xf numFmtId="0" fontId="8" fillId="0" borderId="2" xfId="1" applyBorder="1" applyAlignment="1">
      <alignment vertical="center"/>
    </xf>
    <xf numFmtId="0" fontId="8" fillId="0" borderId="2" xfId="1" applyBorder="1" applyAlignment="1">
      <alignment vertical="center"/>
    </xf>
    <xf numFmtId="0" fontId="9" fillId="2" borderId="2" xfId="1" applyFont="1" applyFill="1" applyBorder="1" applyAlignment="1">
      <alignment horizontal="center"/>
    </xf>
    <xf numFmtId="0" fontId="8" fillId="0" borderId="2" xfId="1" applyBorder="1" applyAlignment="1">
      <alignment vertical="center"/>
    </xf>
    <xf numFmtId="0" fontId="9" fillId="2" borderId="2" xfId="1" applyFont="1" applyFill="1" applyBorder="1" applyAlignment="1">
      <alignment horizontal="center"/>
    </xf>
    <xf numFmtId="0" fontId="8" fillId="0" borderId="2" xfId="1" applyBorder="1" applyAlignment="1">
      <alignment vertical="center"/>
    </xf>
    <xf numFmtId="14" fontId="8" fillId="0" borderId="2" xfId="1" applyNumberFormat="1" applyBorder="1" applyAlignment="1">
      <alignment horizontal="center"/>
    </xf>
    <xf numFmtId="0" fontId="8" fillId="0" borderId="2" xfId="1" applyBorder="1" applyAlignment="1">
      <alignment vertical="center"/>
    </xf>
    <xf numFmtId="0" fontId="9" fillId="2" borderId="2" xfId="1" applyFont="1" applyFill="1" applyBorder="1" applyAlignment="1">
      <alignment horizontal="center"/>
    </xf>
    <xf numFmtId="0" fontId="10" fillId="0" borderId="0" xfId="0" applyFont="1"/>
    <xf numFmtId="0" fontId="12" fillId="0" borderId="0" xfId="0" applyFont="1" applyAlignment="1">
      <alignment wrapText="1"/>
    </xf>
    <xf numFmtId="0" fontId="11" fillId="0" borderId="0" xfId="0" applyFont="1" applyAlignment="1">
      <alignment wrapText="1"/>
    </xf>
    <xf numFmtId="14" fontId="0" fillId="0" borderId="2" xfId="0" applyNumberFormat="1" applyBorder="1"/>
    <xf numFmtId="0" fontId="3" fillId="0" borderId="2" xfId="0" applyFont="1" applyFill="1" applyBorder="1" applyAlignment="1">
      <alignment vertical="center" wrapText="1"/>
    </xf>
    <xf numFmtId="14" fontId="0" fillId="2" borderId="2" xfId="0" applyNumberFormat="1" applyFill="1" applyBorder="1"/>
    <xf numFmtId="0" fontId="3" fillId="0" borderId="2" xfId="0" applyFon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4" fontId="13" fillId="2" borderId="2" xfId="0" applyNumberFormat="1" applyFont="1" applyFill="1" applyBorder="1" applyAlignment="1">
      <alignment horizontal="center" wrapText="1"/>
    </xf>
    <xf numFmtId="14" fontId="1" fillId="2" borderId="2" xfId="0" applyNumberFormat="1" applyFont="1" applyFill="1" applyBorder="1"/>
    <xf numFmtId="0" fontId="1" fillId="2" borderId="2" xfId="0" applyFont="1" applyFill="1" applyBorder="1"/>
    <xf numFmtId="0" fontId="0" fillId="2" borderId="0" xfId="0" applyFill="1"/>
    <xf numFmtId="0" fontId="15" fillId="2" borderId="2" xfId="0" applyNumberFormat="1" applyFont="1" applyFill="1" applyBorder="1" applyAlignment="1">
      <alignment wrapText="1"/>
    </xf>
    <xf numFmtId="0" fontId="16" fillId="2" borderId="2" xfId="0" applyNumberFormat="1" applyFont="1" applyFill="1" applyBorder="1" applyAlignment="1">
      <alignment horizontal="center" vertical="center" wrapText="1"/>
    </xf>
    <xf numFmtId="14" fontId="13" fillId="2" borderId="2" xfId="0" applyNumberFormat="1" applyFont="1" applyFill="1" applyBorder="1"/>
    <xf numFmtId="0" fontId="0" fillId="2" borderId="2" xfId="0" applyFont="1" applyFill="1" applyBorder="1"/>
    <xf numFmtId="0" fontId="13" fillId="2" borderId="2" xfId="0" applyFont="1" applyFill="1" applyBorder="1"/>
    <xf numFmtId="0" fontId="0" fillId="2" borderId="0" xfId="0" applyFont="1" applyFill="1"/>
    <xf numFmtId="0" fontId="9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0" fillId="2" borderId="2" xfId="0" applyNumberFormat="1" applyFont="1" applyFill="1" applyBorder="1"/>
    <xf numFmtId="14" fontId="8" fillId="2" borderId="2" xfId="0" applyNumberFormat="1" applyFont="1" applyFill="1" applyBorder="1"/>
    <xf numFmtId="0" fontId="8" fillId="2" borderId="2" xfId="0" applyFont="1" applyFill="1" applyBorder="1"/>
    <xf numFmtId="0" fontId="3" fillId="0" borderId="2" xfId="0" applyFont="1" applyFill="1" applyBorder="1" applyAlignment="1">
      <alignment vertical="center" wrapText="1"/>
    </xf>
    <xf numFmtId="0" fontId="15" fillId="2" borderId="2" xfId="0" applyNumberFormat="1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14" fontId="0" fillId="2" borderId="2" xfId="0" applyNumberFormat="1" applyFont="1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14" fontId="17" fillId="2" borderId="2" xfId="0" applyNumberFormat="1" applyFont="1" applyFill="1" applyBorder="1" applyAlignment="1">
      <alignment horizontal="center"/>
    </xf>
    <xf numFmtId="14" fontId="0" fillId="2" borderId="2" xfId="0" applyNumberFormat="1" applyFill="1" applyBorder="1" applyAlignment="1">
      <alignment horizontal="center" vertical="center"/>
    </xf>
    <xf numFmtId="0" fontId="0" fillId="0" borderId="0" xfId="0" applyBorder="1"/>
    <xf numFmtId="0" fontId="0" fillId="2" borderId="2" xfId="0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6" xfId="0" applyBorder="1"/>
    <xf numFmtId="17" fontId="0" fillId="2" borderId="2" xfId="0" applyNumberFormat="1" applyFont="1" applyFill="1" applyBorder="1"/>
    <xf numFmtId="0" fontId="16" fillId="2" borderId="5" xfId="0" applyNumberFormat="1" applyFont="1" applyFill="1" applyBorder="1" applyAlignment="1">
      <alignment horizontal="center" vertical="center" wrapText="1"/>
    </xf>
    <xf numFmtId="0" fontId="3" fillId="0" borderId="6" xfId="0" applyNumberFormat="1" applyFont="1" applyFill="1" applyBorder="1" applyAlignment="1">
      <alignment horizontal="center" wrapText="1"/>
    </xf>
    <xf numFmtId="0" fontId="3" fillId="0" borderId="4" xfId="0" applyNumberFormat="1" applyFont="1" applyFill="1" applyBorder="1" applyAlignment="1">
      <alignment horizontal="center" wrapText="1"/>
    </xf>
    <xf numFmtId="0" fontId="3" fillId="0" borderId="2" xfId="0" applyFont="1" applyFill="1" applyBorder="1" applyAlignment="1">
      <alignment vertical="center" wrapText="1"/>
    </xf>
    <xf numFmtId="0" fontId="3" fillId="0" borderId="6" xfId="0" applyNumberFormat="1" applyFont="1" applyFill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1"/>
  <sheetViews>
    <sheetView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F3" sqref="F3"/>
    </sheetView>
  </sheetViews>
  <sheetFormatPr defaultRowHeight="15" x14ac:dyDescent="0.25"/>
  <cols>
    <col min="3" max="3" width="17.42578125" customWidth="1"/>
    <col min="4" max="4" width="20.85546875" customWidth="1"/>
    <col min="5" max="5" width="7.42578125" customWidth="1"/>
    <col min="6" max="6" width="14.28515625" customWidth="1"/>
    <col min="7" max="7" width="14.140625" customWidth="1"/>
    <col min="8" max="8" width="12.5703125" customWidth="1"/>
    <col min="9" max="9" width="12.85546875" customWidth="1"/>
    <col min="11" max="11" width="14.42578125" customWidth="1"/>
    <col min="12" max="12" width="11.5703125" customWidth="1"/>
    <col min="18" max="18" width="11.85546875" customWidth="1"/>
    <col min="27" max="27" width="16.7109375" customWidth="1"/>
    <col min="28" max="28" width="16" customWidth="1"/>
    <col min="29" max="29" width="31.7109375" customWidth="1"/>
    <col min="30" max="30" width="15.5703125" customWidth="1"/>
    <col min="31" max="31" width="13.85546875" customWidth="1"/>
  </cols>
  <sheetData>
    <row r="1" spans="1:31" ht="15.75" x14ac:dyDescent="0.25">
      <c r="A1" s="23"/>
      <c r="B1" s="23"/>
      <c r="C1" s="24"/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11" t="s">
        <v>1327</v>
      </c>
      <c r="R1" s="11" t="s">
        <v>1327</v>
      </c>
      <c r="S1" s="11" t="s">
        <v>1328</v>
      </c>
      <c r="T1" s="12" t="s">
        <v>1329</v>
      </c>
      <c r="U1" s="11" t="s">
        <v>1329</v>
      </c>
      <c r="V1" s="11" t="s">
        <v>1329</v>
      </c>
      <c r="W1" s="11" t="s">
        <v>1329</v>
      </c>
      <c r="X1" s="11" t="s">
        <v>1329</v>
      </c>
      <c r="Y1" s="11" t="s">
        <v>1329</v>
      </c>
      <c r="Z1" s="13" t="s">
        <v>1330</v>
      </c>
      <c r="AA1" s="13" t="s">
        <v>1330</v>
      </c>
      <c r="AB1" s="13" t="s">
        <v>1330</v>
      </c>
      <c r="AC1" s="13" t="s">
        <v>1330</v>
      </c>
      <c r="AD1" s="13" t="s">
        <v>1330</v>
      </c>
      <c r="AE1" s="13" t="s">
        <v>1330</v>
      </c>
    </row>
    <row r="2" spans="1:31" ht="165" x14ac:dyDescent="0.25">
      <c r="A2" s="25" t="s">
        <v>1336</v>
      </c>
      <c r="B2" s="25" t="s">
        <v>1337</v>
      </c>
      <c r="C2" s="25" t="s">
        <v>1338</v>
      </c>
      <c r="D2" s="25" t="s">
        <v>1339</v>
      </c>
      <c r="E2" s="25" t="s">
        <v>1340</v>
      </c>
      <c r="F2" s="25" t="s">
        <v>1341</v>
      </c>
      <c r="G2" s="25" t="s">
        <v>1342</v>
      </c>
      <c r="H2" s="25" t="s">
        <v>1343</v>
      </c>
      <c r="I2" s="25" t="s">
        <v>1344</v>
      </c>
      <c r="J2" s="25" t="s">
        <v>1345</v>
      </c>
      <c r="K2" s="119" t="s">
        <v>1346</v>
      </c>
      <c r="L2" s="120"/>
      <c r="M2" s="119" t="s">
        <v>1347</v>
      </c>
      <c r="N2" s="120"/>
      <c r="O2" s="14" t="s">
        <v>1331</v>
      </c>
      <c r="P2" s="14" t="s">
        <v>1332</v>
      </c>
      <c r="Q2" s="6" t="s">
        <v>1307</v>
      </c>
      <c r="R2" s="6" t="s">
        <v>1308</v>
      </c>
      <c r="S2" s="6" t="s">
        <v>1309</v>
      </c>
      <c r="T2" s="7" t="s">
        <v>1310</v>
      </c>
      <c r="U2" s="6" t="s">
        <v>1311</v>
      </c>
      <c r="V2" s="7" t="s">
        <v>1312</v>
      </c>
      <c r="W2" s="6" t="s">
        <v>1313</v>
      </c>
      <c r="X2" s="6" t="s">
        <v>1314</v>
      </c>
      <c r="Y2" s="7" t="s">
        <v>1315</v>
      </c>
      <c r="Z2" s="7" t="s">
        <v>1316</v>
      </c>
      <c r="AA2" s="7" t="s">
        <v>1317</v>
      </c>
      <c r="AB2" s="7" t="s">
        <v>1318</v>
      </c>
      <c r="AC2" s="7" t="s">
        <v>1319</v>
      </c>
      <c r="AD2" s="121" t="s">
        <v>1320</v>
      </c>
      <c r="AE2" s="121"/>
    </row>
    <row r="3" spans="1:31" ht="31.5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8" t="s">
        <v>1333</v>
      </c>
      <c r="L3" s="8" t="s">
        <v>1334</v>
      </c>
      <c r="M3" s="8" t="s">
        <v>1333</v>
      </c>
      <c r="N3" s="8" t="s">
        <v>1334</v>
      </c>
      <c r="O3" s="14" t="s">
        <v>1335</v>
      </c>
      <c r="P3" s="14" t="s">
        <v>1335</v>
      </c>
      <c r="Q3" s="8" t="s">
        <v>1321</v>
      </c>
      <c r="R3" s="8" t="s">
        <v>1322</v>
      </c>
      <c r="S3" s="8" t="s">
        <v>1323</v>
      </c>
      <c r="T3" s="9" t="s">
        <v>1323</v>
      </c>
      <c r="U3" s="8" t="s">
        <v>1321</v>
      </c>
      <c r="V3" s="8" t="s">
        <v>1321</v>
      </c>
      <c r="W3" s="9" t="s">
        <v>1321</v>
      </c>
      <c r="X3" s="9" t="s">
        <v>1321</v>
      </c>
      <c r="Y3" s="9" t="s">
        <v>1323</v>
      </c>
      <c r="Z3" s="9" t="s">
        <v>1321</v>
      </c>
      <c r="AA3" s="9" t="s">
        <v>1321</v>
      </c>
      <c r="AB3" s="9" t="s">
        <v>1323</v>
      </c>
      <c r="AC3" s="8" t="s">
        <v>1324</v>
      </c>
      <c r="AD3" s="10" t="s">
        <v>1325</v>
      </c>
      <c r="AE3" s="10" t="s">
        <v>1326</v>
      </c>
    </row>
    <row r="4" spans="1:31" ht="15.75" x14ac:dyDescent="0.25">
      <c r="A4" s="1" t="s">
        <v>0</v>
      </c>
      <c r="B4" s="1" t="s">
        <v>1</v>
      </c>
      <c r="C4" s="2" t="s">
        <v>55</v>
      </c>
      <c r="D4" s="28" t="s">
        <v>54</v>
      </c>
      <c r="E4" s="1"/>
      <c r="F4" s="3">
        <v>195</v>
      </c>
      <c r="G4" s="3">
        <v>128</v>
      </c>
      <c r="H4" s="4">
        <v>655</v>
      </c>
      <c r="I4" s="3">
        <v>331</v>
      </c>
      <c r="J4" s="3">
        <v>324</v>
      </c>
      <c r="K4" s="3">
        <v>257</v>
      </c>
      <c r="L4" s="3">
        <f t="shared" ref="L4:L35" si="0">(K4/H4)*100</f>
        <v>39.236641221374043</v>
      </c>
      <c r="M4" s="3">
        <v>0</v>
      </c>
      <c r="N4" s="3">
        <f t="shared" ref="N4:N35" si="1">(M4/H4)*100</f>
        <v>0</v>
      </c>
      <c r="O4" s="3">
        <v>12</v>
      </c>
      <c r="P4" s="15">
        <v>0</v>
      </c>
      <c r="Q4" s="22" t="s">
        <v>1348</v>
      </c>
      <c r="S4" s="33">
        <v>116.47</v>
      </c>
      <c r="T4" s="22"/>
      <c r="U4" s="36" t="s">
        <v>1348</v>
      </c>
      <c r="V4" s="29" t="s">
        <v>1348</v>
      </c>
      <c r="W4" s="36" t="s">
        <v>1348</v>
      </c>
      <c r="X4" s="22"/>
      <c r="Y4" s="22"/>
      <c r="Z4" s="22"/>
      <c r="AA4" s="22" t="s">
        <v>1348</v>
      </c>
      <c r="AB4" s="22">
        <v>10</v>
      </c>
      <c r="AC4" s="80" t="s">
        <v>1349</v>
      </c>
      <c r="AD4" s="22"/>
      <c r="AE4" s="22"/>
    </row>
    <row r="5" spans="1:31" ht="15.75" x14ac:dyDescent="0.25">
      <c r="A5" s="1" t="s">
        <v>0</v>
      </c>
      <c r="B5" s="1" t="s">
        <v>1</v>
      </c>
      <c r="C5" s="2" t="s">
        <v>55</v>
      </c>
      <c r="D5" s="28" t="s">
        <v>65</v>
      </c>
      <c r="E5" s="1"/>
      <c r="F5" s="3">
        <v>414</v>
      </c>
      <c r="G5" s="3">
        <v>169</v>
      </c>
      <c r="H5" s="4">
        <v>721</v>
      </c>
      <c r="I5" s="3">
        <v>347</v>
      </c>
      <c r="J5" s="3">
        <v>374</v>
      </c>
      <c r="K5" s="3">
        <v>187</v>
      </c>
      <c r="L5" s="3">
        <f t="shared" si="0"/>
        <v>25.936199722607491</v>
      </c>
      <c r="M5" s="3">
        <v>0</v>
      </c>
      <c r="N5" s="3">
        <f t="shared" si="1"/>
        <v>0</v>
      </c>
      <c r="O5" s="3">
        <v>20</v>
      </c>
      <c r="P5" s="15">
        <v>0</v>
      </c>
      <c r="Q5" s="22" t="s">
        <v>1348</v>
      </c>
      <c r="R5" s="30">
        <v>43889</v>
      </c>
      <c r="S5" s="35">
        <v>47.55</v>
      </c>
      <c r="T5" s="22"/>
      <c r="U5" s="36" t="s">
        <v>1348</v>
      </c>
      <c r="V5" s="29" t="s">
        <v>1348</v>
      </c>
      <c r="W5" s="36" t="s">
        <v>1348</v>
      </c>
      <c r="X5" s="22"/>
      <c r="Y5" s="22"/>
      <c r="Z5" s="22"/>
      <c r="AA5" s="22" t="s">
        <v>1348</v>
      </c>
      <c r="AB5" s="22"/>
      <c r="AC5" s="22"/>
      <c r="AD5" s="22"/>
      <c r="AE5" s="22"/>
    </row>
    <row r="6" spans="1:31" ht="15.75" x14ac:dyDescent="0.25">
      <c r="A6" s="1" t="s">
        <v>0</v>
      </c>
      <c r="B6" s="1" t="s">
        <v>1</v>
      </c>
      <c r="C6" s="2" t="s">
        <v>55</v>
      </c>
      <c r="D6" s="28" t="s">
        <v>66</v>
      </c>
      <c r="E6" s="1"/>
      <c r="F6" s="3">
        <v>221</v>
      </c>
      <c r="G6" s="3">
        <v>97</v>
      </c>
      <c r="H6" s="4">
        <v>439</v>
      </c>
      <c r="I6" s="3">
        <v>217</v>
      </c>
      <c r="J6" s="3">
        <v>222</v>
      </c>
      <c r="K6" s="3">
        <v>209</v>
      </c>
      <c r="L6" s="3">
        <f t="shared" si="0"/>
        <v>47.608200455580871</v>
      </c>
      <c r="M6" s="3">
        <v>25</v>
      </c>
      <c r="N6" s="3">
        <f t="shared" si="1"/>
        <v>5.6947608200455582</v>
      </c>
      <c r="O6" s="3">
        <v>34</v>
      </c>
      <c r="P6" s="15">
        <v>0</v>
      </c>
      <c r="Q6" s="22" t="s">
        <v>1348</v>
      </c>
      <c r="R6" s="30">
        <v>43876</v>
      </c>
      <c r="S6" s="34">
        <v>35.64</v>
      </c>
      <c r="T6" s="22"/>
      <c r="U6" s="36" t="s">
        <v>1348</v>
      </c>
      <c r="V6" s="29" t="s">
        <v>1348</v>
      </c>
      <c r="W6" s="36" t="s">
        <v>1348</v>
      </c>
      <c r="X6" s="22"/>
      <c r="Y6" s="22"/>
      <c r="Z6" s="22"/>
      <c r="AA6" s="22" t="s">
        <v>1348</v>
      </c>
      <c r="AB6" s="22"/>
      <c r="AC6" s="22"/>
      <c r="AD6" s="22"/>
      <c r="AE6" s="22"/>
    </row>
    <row r="7" spans="1:31" ht="15.75" x14ac:dyDescent="0.25">
      <c r="A7" s="1" t="s">
        <v>0</v>
      </c>
      <c r="B7" s="1" t="s">
        <v>1</v>
      </c>
      <c r="C7" s="2" t="s">
        <v>55</v>
      </c>
      <c r="D7" s="28" t="s">
        <v>67</v>
      </c>
      <c r="E7" s="1"/>
      <c r="F7" s="3">
        <v>1363</v>
      </c>
      <c r="G7" s="3">
        <v>547</v>
      </c>
      <c r="H7" s="4">
        <v>2487</v>
      </c>
      <c r="I7" s="3">
        <v>1200</v>
      </c>
      <c r="J7" s="3">
        <v>1287</v>
      </c>
      <c r="K7" s="3">
        <v>645</v>
      </c>
      <c r="L7" s="3">
        <f t="shared" si="0"/>
        <v>25.934861278648974</v>
      </c>
      <c r="M7" s="3">
        <v>8</v>
      </c>
      <c r="N7" s="3">
        <f t="shared" si="1"/>
        <v>0.32167269802975473</v>
      </c>
      <c r="O7" s="3">
        <v>109</v>
      </c>
      <c r="P7" s="15">
        <v>0</v>
      </c>
      <c r="Q7" s="22" t="s">
        <v>1348</v>
      </c>
      <c r="R7" s="22"/>
      <c r="S7" s="32">
        <v>91.88</v>
      </c>
      <c r="T7" s="22"/>
      <c r="U7" s="36" t="s">
        <v>1348</v>
      </c>
      <c r="V7" s="29" t="s">
        <v>1348</v>
      </c>
      <c r="W7" s="36" t="s">
        <v>1348</v>
      </c>
      <c r="X7" s="22"/>
      <c r="Y7" s="22"/>
      <c r="Z7" s="22"/>
      <c r="AA7" s="22" t="s">
        <v>1348</v>
      </c>
      <c r="AB7" s="22"/>
      <c r="AC7" s="22"/>
      <c r="AD7" s="22"/>
      <c r="AE7" s="22"/>
    </row>
    <row r="8" spans="1:31" ht="15.75" x14ac:dyDescent="0.25">
      <c r="A8" s="1" t="s">
        <v>0</v>
      </c>
      <c r="B8" s="1" t="s">
        <v>1</v>
      </c>
      <c r="C8" s="2" t="s">
        <v>20</v>
      </c>
      <c r="D8" s="28" t="s">
        <v>19</v>
      </c>
      <c r="E8" s="1"/>
      <c r="F8" s="3">
        <v>241</v>
      </c>
      <c r="G8" s="3">
        <v>117</v>
      </c>
      <c r="H8" s="4">
        <v>509</v>
      </c>
      <c r="I8" s="3">
        <v>246</v>
      </c>
      <c r="J8" s="3">
        <v>263</v>
      </c>
      <c r="K8" s="3">
        <v>0</v>
      </c>
      <c r="L8" s="3">
        <f t="shared" si="0"/>
        <v>0</v>
      </c>
      <c r="M8" s="3">
        <v>193</v>
      </c>
      <c r="N8" s="3">
        <f t="shared" si="1"/>
        <v>37.917485265225928</v>
      </c>
      <c r="O8" s="3">
        <v>7</v>
      </c>
      <c r="P8" s="15">
        <v>0</v>
      </c>
      <c r="Q8" s="22" t="s">
        <v>1348</v>
      </c>
      <c r="R8" s="30">
        <v>43872</v>
      </c>
      <c r="S8" s="3">
        <v>7</v>
      </c>
      <c r="T8" s="22"/>
      <c r="U8" s="38" t="s">
        <v>1348</v>
      </c>
      <c r="V8" s="38" t="s">
        <v>1348</v>
      </c>
      <c r="W8" s="38" t="s">
        <v>1348</v>
      </c>
      <c r="X8" s="22"/>
      <c r="Y8" s="22"/>
      <c r="Z8" s="22"/>
      <c r="AA8" s="22"/>
      <c r="AB8" s="22"/>
      <c r="AC8" s="22"/>
      <c r="AD8" s="22"/>
      <c r="AE8" s="22"/>
    </row>
    <row r="9" spans="1:31" ht="15.75" x14ac:dyDescent="0.25">
      <c r="A9" s="1" t="s">
        <v>0</v>
      </c>
      <c r="B9" s="1" t="s">
        <v>1</v>
      </c>
      <c r="C9" s="2" t="s">
        <v>20</v>
      </c>
      <c r="D9" s="28" t="s">
        <v>21</v>
      </c>
      <c r="E9" s="1"/>
      <c r="F9" s="3">
        <v>2592</v>
      </c>
      <c r="G9" s="3">
        <v>416</v>
      </c>
      <c r="H9" s="4">
        <v>1862</v>
      </c>
      <c r="I9" s="3">
        <v>927</v>
      </c>
      <c r="J9" s="3">
        <v>935</v>
      </c>
      <c r="K9" s="3">
        <v>397</v>
      </c>
      <c r="L9" s="3">
        <f t="shared" si="0"/>
        <v>21.321160042964554</v>
      </c>
      <c r="M9" s="3">
        <v>243</v>
      </c>
      <c r="N9" s="3">
        <f t="shared" si="1"/>
        <v>13.050483351235231</v>
      </c>
      <c r="O9" s="3">
        <v>131</v>
      </c>
      <c r="P9" s="15">
        <v>1570</v>
      </c>
      <c r="Q9" s="22"/>
      <c r="R9" s="31"/>
      <c r="S9" s="3">
        <v>131</v>
      </c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</row>
    <row r="10" spans="1:31" ht="22.5" x14ac:dyDescent="0.25">
      <c r="A10" s="1" t="s">
        <v>0</v>
      </c>
      <c r="B10" s="1" t="s">
        <v>1</v>
      </c>
      <c r="C10" s="2" t="s">
        <v>20</v>
      </c>
      <c r="D10" s="28" t="s">
        <v>27</v>
      </c>
      <c r="E10" s="1"/>
      <c r="F10" s="3">
        <v>240</v>
      </c>
      <c r="G10" s="3">
        <v>382</v>
      </c>
      <c r="H10" s="4">
        <v>1866</v>
      </c>
      <c r="I10" s="3">
        <v>937</v>
      </c>
      <c r="J10" s="3">
        <v>929</v>
      </c>
      <c r="K10" s="3">
        <v>264</v>
      </c>
      <c r="L10" s="3">
        <f t="shared" si="0"/>
        <v>14.14790996784566</v>
      </c>
      <c r="M10" s="3">
        <v>0</v>
      </c>
      <c r="N10" s="3">
        <f t="shared" si="1"/>
        <v>0</v>
      </c>
      <c r="O10" s="3">
        <v>73</v>
      </c>
      <c r="P10" s="15">
        <v>0</v>
      </c>
      <c r="Q10" s="22" t="s">
        <v>1348</v>
      </c>
      <c r="R10" s="30">
        <v>43871</v>
      </c>
      <c r="S10" s="3">
        <v>73</v>
      </c>
      <c r="T10" s="22"/>
      <c r="U10" s="38" t="s">
        <v>1348</v>
      </c>
      <c r="V10" s="38" t="s">
        <v>1348</v>
      </c>
      <c r="W10" s="38" t="s">
        <v>1348</v>
      </c>
      <c r="X10" s="22"/>
      <c r="Y10" s="22"/>
      <c r="Z10" s="22"/>
      <c r="AA10" s="22"/>
      <c r="AB10" s="22">
        <v>10</v>
      </c>
      <c r="AC10" s="81" t="s">
        <v>1350</v>
      </c>
      <c r="AD10" s="22"/>
      <c r="AE10" s="22"/>
    </row>
    <row r="11" spans="1:31" ht="15.75" x14ac:dyDescent="0.25">
      <c r="A11" s="1" t="s">
        <v>0</v>
      </c>
      <c r="B11" s="1" t="s">
        <v>1</v>
      </c>
      <c r="C11" s="2" t="s">
        <v>20</v>
      </c>
      <c r="D11" s="28" t="s">
        <v>28</v>
      </c>
      <c r="E11" s="1"/>
      <c r="F11" s="3">
        <v>57</v>
      </c>
      <c r="G11" s="3">
        <v>15</v>
      </c>
      <c r="H11" s="4">
        <v>83</v>
      </c>
      <c r="I11" s="3">
        <v>37</v>
      </c>
      <c r="J11" s="3">
        <v>46</v>
      </c>
      <c r="K11" s="3">
        <v>0</v>
      </c>
      <c r="L11" s="3">
        <f t="shared" si="0"/>
        <v>0</v>
      </c>
      <c r="M11" s="3">
        <v>0</v>
      </c>
      <c r="N11" s="3">
        <f t="shared" si="1"/>
        <v>0</v>
      </c>
      <c r="O11" s="3">
        <v>0</v>
      </c>
      <c r="P11" s="15">
        <v>0</v>
      </c>
      <c r="Q11" s="22"/>
      <c r="R11" s="22"/>
      <c r="S11" s="3">
        <v>0</v>
      </c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ht="15.75" x14ac:dyDescent="0.25">
      <c r="A12" s="1" t="s">
        <v>0</v>
      </c>
      <c r="B12" s="1" t="s">
        <v>1</v>
      </c>
      <c r="C12" s="2" t="s">
        <v>73</v>
      </c>
      <c r="D12" s="28" t="s">
        <v>72</v>
      </c>
      <c r="E12" s="1"/>
      <c r="F12" s="3">
        <v>799</v>
      </c>
      <c r="G12" s="3">
        <v>237</v>
      </c>
      <c r="H12" s="4">
        <v>1248</v>
      </c>
      <c r="I12" s="3">
        <v>639</v>
      </c>
      <c r="J12" s="3">
        <v>609</v>
      </c>
      <c r="K12" s="3">
        <v>160</v>
      </c>
      <c r="L12" s="3">
        <f t="shared" si="0"/>
        <v>12.820512820512819</v>
      </c>
      <c r="M12" s="3">
        <v>2</v>
      </c>
      <c r="N12" s="3">
        <f t="shared" si="1"/>
        <v>0.16025641025641024</v>
      </c>
      <c r="O12" s="3">
        <v>143</v>
      </c>
      <c r="P12" s="15">
        <v>0</v>
      </c>
      <c r="Q12" s="22"/>
      <c r="R12" s="83">
        <v>44080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 spans="1:31" ht="15.75" x14ac:dyDescent="0.25">
      <c r="A13" s="1" t="s">
        <v>0</v>
      </c>
      <c r="B13" s="1" t="s">
        <v>1</v>
      </c>
      <c r="C13" s="2" t="s">
        <v>73</v>
      </c>
      <c r="D13" s="28" t="s">
        <v>74</v>
      </c>
      <c r="E13" s="1"/>
      <c r="F13" s="3">
        <v>817</v>
      </c>
      <c r="G13" s="3">
        <v>320</v>
      </c>
      <c r="H13" s="4">
        <v>1463</v>
      </c>
      <c r="I13" s="3">
        <v>750</v>
      </c>
      <c r="J13" s="3">
        <v>713</v>
      </c>
      <c r="K13" s="3">
        <v>452</v>
      </c>
      <c r="L13" s="3">
        <f t="shared" si="0"/>
        <v>30.895420369104581</v>
      </c>
      <c r="M13" s="3">
        <v>0</v>
      </c>
      <c r="N13" s="3">
        <f t="shared" si="1"/>
        <v>0</v>
      </c>
      <c r="O13" s="3">
        <v>112</v>
      </c>
      <c r="P13" s="15">
        <v>0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1:31" ht="15.75" x14ac:dyDescent="0.25">
      <c r="A14" s="1" t="s">
        <v>0</v>
      </c>
      <c r="B14" s="1" t="s">
        <v>1</v>
      </c>
      <c r="C14" s="2" t="s">
        <v>73</v>
      </c>
      <c r="D14" s="28" t="s">
        <v>75</v>
      </c>
      <c r="E14" s="1"/>
      <c r="F14" s="3">
        <v>779</v>
      </c>
      <c r="G14" s="3">
        <v>172</v>
      </c>
      <c r="H14" s="4">
        <v>701</v>
      </c>
      <c r="I14" s="3">
        <v>325</v>
      </c>
      <c r="J14" s="3">
        <v>376</v>
      </c>
      <c r="K14" s="3">
        <v>141</v>
      </c>
      <c r="L14" s="3">
        <f t="shared" si="0"/>
        <v>20.114122681883025</v>
      </c>
      <c r="M14" s="3">
        <v>2</v>
      </c>
      <c r="N14" s="3">
        <f t="shared" si="1"/>
        <v>0.28530670470756064</v>
      </c>
      <c r="O14" s="3">
        <v>41</v>
      </c>
      <c r="P14" s="15">
        <v>0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1" ht="15.75" x14ac:dyDescent="0.25">
      <c r="A15" s="1" t="s">
        <v>0</v>
      </c>
      <c r="B15" s="1" t="s">
        <v>1</v>
      </c>
      <c r="C15" s="2" t="s">
        <v>47</v>
      </c>
      <c r="D15" s="28" t="s">
        <v>46</v>
      </c>
      <c r="E15" s="1"/>
      <c r="F15" s="3">
        <v>312.51</v>
      </c>
      <c r="G15" s="3">
        <v>56</v>
      </c>
      <c r="H15" s="4">
        <v>383</v>
      </c>
      <c r="I15" s="3">
        <v>202</v>
      </c>
      <c r="J15" s="3">
        <v>181</v>
      </c>
      <c r="K15" s="3">
        <v>37</v>
      </c>
      <c r="L15" s="3">
        <f t="shared" si="0"/>
        <v>9.660574412532636</v>
      </c>
      <c r="M15" s="3">
        <v>0</v>
      </c>
      <c r="N15" s="3">
        <f t="shared" si="1"/>
        <v>0</v>
      </c>
      <c r="O15" s="3">
        <v>24.05</v>
      </c>
      <c r="P15" s="15">
        <v>0</v>
      </c>
      <c r="Q15" s="22" t="s">
        <v>1348</v>
      </c>
      <c r="R15" s="30">
        <v>43880</v>
      </c>
      <c r="S15" s="41">
        <v>99.17</v>
      </c>
      <c r="T15" s="22"/>
      <c r="U15" s="39" t="s">
        <v>1348</v>
      </c>
      <c r="V15" s="39" t="s">
        <v>1348</v>
      </c>
      <c r="W15" s="39" t="s">
        <v>1348</v>
      </c>
      <c r="X15" s="22" t="s">
        <v>1348</v>
      </c>
      <c r="Y15" s="22">
        <v>2</v>
      </c>
      <c r="Z15" s="22"/>
      <c r="AA15" s="22"/>
      <c r="AB15" s="22"/>
      <c r="AC15" s="22"/>
      <c r="AD15" s="22"/>
      <c r="AE15" s="22"/>
    </row>
    <row r="16" spans="1:31" ht="16.5" customHeight="1" x14ac:dyDescent="0.25">
      <c r="A16" s="1" t="s">
        <v>0</v>
      </c>
      <c r="B16" s="1" t="s">
        <v>1</v>
      </c>
      <c r="C16" s="2" t="s">
        <v>47</v>
      </c>
      <c r="D16" s="28" t="s">
        <v>48</v>
      </c>
      <c r="E16" s="1"/>
      <c r="F16" s="3">
        <v>1900.47</v>
      </c>
      <c r="G16" s="3">
        <v>700</v>
      </c>
      <c r="H16" s="4">
        <v>3184</v>
      </c>
      <c r="I16" s="3">
        <v>1498</v>
      </c>
      <c r="J16" s="3">
        <v>1686</v>
      </c>
      <c r="K16" s="3">
        <v>690</v>
      </c>
      <c r="L16" s="3">
        <f t="shared" si="0"/>
        <v>21.670854271356784</v>
      </c>
      <c r="M16" s="3">
        <v>37</v>
      </c>
      <c r="N16" s="3">
        <f t="shared" si="1"/>
        <v>1.1620603015075377</v>
      </c>
      <c r="O16" s="3">
        <v>165.1</v>
      </c>
      <c r="P16" s="15">
        <v>0</v>
      </c>
      <c r="Q16" s="22" t="s">
        <v>1348</v>
      </c>
      <c r="R16" s="30">
        <v>7272</v>
      </c>
      <c r="S16" s="40">
        <v>17.91</v>
      </c>
      <c r="T16" s="22"/>
      <c r="U16" s="39" t="s">
        <v>1348</v>
      </c>
      <c r="V16" s="39" t="s">
        <v>1348</v>
      </c>
      <c r="W16" s="39" t="s">
        <v>1348</v>
      </c>
      <c r="X16" s="22"/>
      <c r="Y16" s="22"/>
      <c r="Z16" s="22"/>
      <c r="AA16" s="22"/>
      <c r="AB16" s="22">
        <v>8</v>
      </c>
      <c r="AC16" s="82" t="s">
        <v>1351</v>
      </c>
      <c r="AD16" s="22">
        <v>25.202396</v>
      </c>
      <c r="AE16" s="22">
        <v>73.232761999999994</v>
      </c>
    </row>
    <row r="17" spans="1:31" ht="15.75" x14ac:dyDescent="0.25">
      <c r="A17" s="1" t="s">
        <v>0</v>
      </c>
      <c r="B17" s="1" t="s">
        <v>1</v>
      </c>
      <c r="C17" s="2" t="s">
        <v>36</v>
      </c>
      <c r="D17" s="28" t="s">
        <v>35</v>
      </c>
      <c r="E17" s="1"/>
      <c r="F17" s="3">
        <v>927.47</v>
      </c>
      <c r="G17" s="3">
        <v>253</v>
      </c>
      <c r="H17" s="4">
        <v>1330</v>
      </c>
      <c r="I17" s="3">
        <v>708</v>
      </c>
      <c r="J17" s="3">
        <v>622</v>
      </c>
      <c r="K17" s="3">
        <v>204</v>
      </c>
      <c r="L17" s="3">
        <f t="shared" si="0"/>
        <v>15.338345864661655</v>
      </c>
      <c r="M17" s="3">
        <v>0</v>
      </c>
      <c r="N17" s="3">
        <f t="shared" si="1"/>
        <v>0</v>
      </c>
      <c r="O17" s="3">
        <v>129</v>
      </c>
      <c r="P17" s="15">
        <v>0</v>
      </c>
      <c r="Q17" s="22" t="s">
        <v>1348</v>
      </c>
      <c r="R17" s="30">
        <v>43882</v>
      </c>
      <c r="S17" s="42">
        <v>120.26</v>
      </c>
      <c r="T17" s="22"/>
      <c r="U17" s="44" t="s">
        <v>1348</v>
      </c>
      <c r="V17" s="44" t="s">
        <v>1348</v>
      </c>
      <c r="W17" s="44" t="s">
        <v>1348</v>
      </c>
      <c r="X17" s="22"/>
      <c r="Y17" s="22"/>
      <c r="Z17" s="22"/>
      <c r="AA17" s="22"/>
      <c r="AB17" s="22"/>
      <c r="AC17" s="22"/>
      <c r="AD17" s="22"/>
      <c r="AE17" s="22"/>
    </row>
    <row r="18" spans="1:31" ht="15.75" x14ac:dyDescent="0.25">
      <c r="A18" s="1" t="s">
        <v>0</v>
      </c>
      <c r="B18" s="1" t="s">
        <v>1</v>
      </c>
      <c r="C18" s="2" t="s">
        <v>36</v>
      </c>
      <c r="D18" s="28" t="s">
        <v>37</v>
      </c>
      <c r="E18" s="1"/>
      <c r="F18" s="3">
        <v>1521.29</v>
      </c>
      <c r="G18" s="3">
        <v>461</v>
      </c>
      <c r="H18" s="4">
        <v>2010</v>
      </c>
      <c r="I18" s="3">
        <v>956</v>
      </c>
      <c r="J18" s="3">
        <v>1054</v>
      </c>
      <c r="K18" s="3">
        <v>606</v>
      </c>
      <c r="L18" s="3">
        <f t="shared" si="0"/>
        <v>30.149253731343283</v>
      </c>
      <c r="M18" s="3">
        <v>3</v>
      </c>
      <c r="N18" s="3">
        <f t="shared" si="1"/>
        <v>0.1492537313432836</v>
      </c>
      <c r="O18" s="3">
        <v>168</v>
      </c>
      <c r="P18" s="15">
        <v>0</v>
      </c>
      <c r="Q18" s="22" t="s">
        <v>1348</v>
      </c>
      <c r="R18" s="30">
        <v>43881</v>
      </c>
      <c r="S18" s="43">
        <v>74.959999999999994</v>
      </c>
      <c r="T18" s="22"/>
      <c r="U18" s="44" t="s">
        <v>1348</v>
      </c>
      <c r="V18" s="44" t="s">
        <v>1348</v>
      </c>
      <c r="W18" s="44" t="s">
        <v>1348</v>
      </c>
      <c r="X18" s="22"/>
      <c r="Y18" s="22"/>
      <c r="Z18" s="22"/>
      <c r="AA18" s="22"/>
      <c r="AB18" s="22"/>
      <c r="AC18" s="22"/>
      <c r="AD18" s="22"/>
      <c r="AE18" s="22"/>
    </row>
    <row r="19" spans="1:31" ht="15.75" x14ac:dyDescent="0.25">
      <c r="A19" s="1" t="s">
        <v>0</v>
      </c>
      <c r="B19" s="1" t="s">
        <v>1</v>
      </c>
      <c r="C19" s="2" t="s">
        <v>92</v>
      </c>
      <c r="D19" s="28" t="s">
        <v>1</v>
      </c>
      <c r="E19" s="1"/>
      <c r="F19" s="3">
        <v>4836</v>
      </c>
      <c r="G19" s="3">
        <v>2086</v>
      </c>
      <c r="H19" s="4">
        <v>10377</v>
      </c>
      <c r="I19" s="3">
        <v>5068</v>
      </c>
      <c r="J19" s="3">
        <v>5309</v>
      </c>
      <c r="K19" s="3">
        <v>1854</v>
      </c>
      <c r="L19" s="3">
        <f t="shared" si="0"/>
        <v>17.866435385949696</v>
      </c>
      <c r="M19" s="3">
        <v>1176</v>
      </c>
      <c r="N19" s="3">
        <f t="shared" si="1"/>
        <v>11.332755131540907</v>
      </c>
      <c r="O19" s="3">
        <v>362</v>
      </c>
      <c r="P19" s="15">
        <v>1737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</row>
    <row r="20" spans="1:31" ht="15.75" x14ac:dyDescent="0.25">
      <c r="A20" s="1" t="s">
        <v>0</v>
      </c>
      <c r="B20" s="1" t="s">
        <v>1</v>
      </c>
      <c r="C20" s="2" t="s">
        <v>50</v>
      </c>
      <c r="D20" s="28" t="s">
        <v>49</v>
      </c>
      <c r="E20" s="1"/>
      <c r="F20" s="3">
        <v>526</v>
      </c>
      <c r="G20" s="3">
        <v>189</v>
      </c>
      <c r="H20" s="4">
        <v>805</v>
      </c>
      <c r="I20" s="3">
        <v>378</v>
      </c>
      <c r="J20" s="3">
        <v>427</v>
      </c>
      <c r="K20" s="3">
        <v>184</v>
      </c>
      <c r="L20" s="3">
        <f t="shared" si="0"/>
        <v>22.857142857142858</v>
      </c>
      <c r="M20" s="3">
        <v>0</v>
      </c>
      <c r="N20" s="3">
        <f t="shared" si="1"/>
        <v>0</v>
      </c>
      <c r="O20" s="3">
        <v>29</v>
      </c>
      <c r="P20" s="15">
        <v>0</v>
      </c>
      <c r="Q20" s="22" t="s">
        <v>1348</v>
      </c>
      <c r="R20" s="30">
        <v>7274</v>
      </c>
      <c r="S20" s="47">
        <v>115.28</v>
      </c>
      <c r="T20" s="22"/>
      <c r="U20" s="46" t="s">
        <v>1348</v>
      </c>
      <c r="V20" s="46" t="s">
        <v>1348</v>
      </c>
      <c r="W20" s="46" t="s">
        <v>1348</v>
      </c>
      <c r="X20" s="22"/>
      <c r="Y20" s="22"/>
      <c r="Z20" s="22"/>
      <c r="AA20" s="22"/>
      <c r="AB20" s="22"/>
      <c r="AC20" s="22"/>
      <c r="AD20" s="22"/>
      <c r="AE20" s="22"/>
    </row>
    <row r="21" spans="1:31" ht="15.75" x14ac:dyDescent="0.25">
      <c r="A21" s="1" t="s">
        <v>0</v>
      </c>
      <c r="B21" s="1" t="s">
        <v>1</v>
      </c>
      <c r="C21" s="2" t="s">
        <v>50</v>
      </c>
      <c r="D21" s="28" t="s">
        <v>70</v>
      </c>
      <c r="E21" s="1"/>
      <c r="F21" s="3">
        <v>1012</v>
      </c>
      <c r="G21" s="3">
        <v>308</v>
      </c>
      <c r="H21" s="4">
        <v>1375</v>
      </c>
      <c r="I21" s="3">
        <v>633</v>
      </c>
      <c r="J21" s="3">
        <v>742</v>
      </c>
      <c r="K21" s="3">
        <v>366</v>
      </c>
      <c r="L21" s="3">
        <f t="shared" si="0"/>
        <v>26.618181818181817</v>
      </c>
      <c r="M21" s="3">
        <v>7</v>
      </c>
      <c r="N21" s="3">
        <f t="shared" si="1"/>
        <v>0.50909090909090915</v>
      </c>
      <c r="O21" s="3">
        <v>144</v>
      </c>
      <c r="P21" s="15">
        <v>0</v>
      </c>
      <c r="Q21" s="22"/>
      <c r="R21" s="83">
        <v>44090</v>
      </c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1:31" ht="15.75" x14ac:dyDescent="0.25">
      <c r="A22" s="1" t="s">
        <v>0</v>
      </c>
      <c r="B22" s="1" t="s">
        <v>1</v>
      </c>
      <c r="C22" s="2" t="s">
        <v>50</v>
      </c>
      <c r="D22" s="28" t="s">
        <v>71</v>
      </c>
      <c r="E22" s="1"/>
      <c r="F22" s="3">
        <v>225</v>
      </c>
      <c r="G22" s="3">
        <v>104</v>
      </c>
      <c r="H22" s="4">
        <v>537</v>
      </c>
      <c r="I22" s="3">
        <v>279</v>
      </c>
      <c r="J22" s="3">
        <v>258</v>
      </c>
      <c r="K22" s="3">
        <v>72</v>
      </c>
      <c r="L22" s="3">
        <f t="shared" si="0"/>
        <v>13.407821229050279</v>
      </c>
      <c r="M22" s="3">
        <v>0</v>
      </c>
      <c r="N22" s="3">
        <f t="shared" si="1"/>
        <v>0</v>
      </c>
      <c r="O22" s="3">
        <v>0</v>
      </c>
      <c r="P22" s="15">
        <v>0</v>
      </c>
      <c r="Q22" s="22" t="s">
        <v>1348</v>
      </c>
      <c r="R22" s="45">
        <v>43862</v>
      </c>
      <c r="S22" s="48">
        <v>17.05</v>
      </c>
      <c r="T22" s="22"/>
      <c r="U22" s="46" t="s">
        <v>1348</v>
      </c>
      <c r="V22" s="46" t="s">
        <v>1348</v>
      </c>
      <c r="W22" s="46" t="s">
        <v>1348</v>
      </c>
      <c r="X22" s="22"/>
      <c r="Y22" s="22"/>
      <c r="Z22" s="22"/>
      <c r="AA22" s="22"/>
      <c r="AB22" s="22"/>
      <c r="AC22" s="22"/>
      <c r="AD22" s="22"/>
      <c r="AE22" s="22"/>
    </row>
    <row r="23" spans="1:31" ht="15.75" x14ac:dyDescent="0.25">
      <c r="A23" s="1" t="s">
        <v>0</v>
      </c>
      <c r="B23" s="1" t="s">
        <v>1</v>
      </c>
      <c r="C23" s="2" t="s">
        <v>50</v>
      </c>
      <c r="D23" s="28" t="s">
        <v>76</v>
      </c>
      <c r="E23" s="1"/>
      <c r="F23" s="3">
        <v>623</v>
      </c>
      <c r="G23" s="3">
        <v>200</v>
      </c>
      <c r="H23" s="4">
        <v>923</v>
      </c>
      <c r="I23" s="3">
        <v>466</v>
      </c>
      <c r="J23" s="3">
        <v>457</v>
      </c>
      <c r="K23" s="3">
        <v>315</v>
      </c>
      <c r="L23" s="3">
        <f t="shared" si="0"/>
        <v>34.127843986998919</v>
      </c>
      <c r="M23" s="3">
        <v>0</v>
      </c>
      <c r="N23" s="3">
        <f t="shared" si="1"/>
        <v>0</v>
      </c>
      <c r="O23" s="3">
        <v>79</v>
      </c>
      <c r="P23" s="15">
        <v>0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 spans="1:31" ht="15.75" x14ac:dyDescent="0.25">
      <c r="A24" s="1" t="s">
        <v>0</v>
      </c>
      <c r="B24" s="1" t="s">
        <v>1</v>
      </c>
      <c r="C24" s="2" t="s">
        <v>88</v>
      </c>
      <c r="D24" s="28" t="s">
        <v>87</v>
      </c>
      <c r="E24" s="1"/>
      <c r="F24" s="3">
        <v>1448.05</v>
      </c>
      <c r="G24" s="3">
        <v>247</v>
      </c>
      <c r="H24" s="4">
        <v>1169</v>
      </c>
      <c r="I24" s="3">
        <v>553</v>
      </c>
      <c r="J24" s="3">
        <v>616</v>
      </c>
      <c r="K24" s="3">
        <v>236</v>
      </c>
      <c r="L24" s="3">
        <f t="shared" si="0"/>
        <v>20.188195038494438</v>
      </c>
      <c r="M24" s="3">
        <v>21</v>
      </c>
      <c r="N24" s="3">
        <f t="shared" si="1"/>
        <v>1.7964071856287425</v>
      </c>
      <c r="O24" s="3">
        <v>43</v>
      </c>
      <c r="P24" s="15">
        <v>35.049999999999997</v>
      </c>
      <c r="Q24" s="22" t="s">
        <v>1348</v>
      </c>
      <c r="R24" s="30">
        <v>7640</v>
      </c>
      <c r="S24" s="50">
        <v>41.55</v>
      </c>
      <c r="T24" s="22"/>
      <c r="U24" s="49" t="s">
        <v>1348</v>
      </c>
      <c r="V24" s="49" t="s">
        <v>1348</v>
      </c>
      <c r="W24" s="49" t="s">
        <v>1348</v>
      </c>
      <c r="X24" s="22"/>
      <c r="Y24" s="22"/>
      <c r="Z24" s="22"/>
      <c r="AA24" s="22"/>
      <c r="AB24" s="22"/>
      <c r="AC24" s="22"/>
      <c r="AD24" s="22"/>
      <c r="AE24" s="22"/>
    </row>
    <row r="25" spans="1:31" ht="15.75" x14ac:dyDescent="0.25">
      <c r="A25" s="1" t="s">
        <v>0</v>
      </c>
      <c r="B25" s="1" t="s">
        <v>1</v>
      </c>
      <c r="C25" s="2" t="s">
        <v>88</v>
      </c>
      <c r="D25" s="28" t="s">
        <v>89</v>
      </c>
      <c r="E25" s="1"/>
      <c r="F25" s="3">
        <v>408.46</v>
      </c>
      <c r="G25" s="3">
        <v>218</v>
      </c>
      <c r="H25" s="4">
        <v>986</v>
      </c>
      <c r="I25" s="3">
        <v>451</v>
      </c>
      <c r="J25" s="3">
        <v>535</v>
      </c>
      <c r="K25" s="3">
        <v>99</v>
      </c>
      <c r="L25" s="3">
        <f t="shared" si="0"/>
        <v>10.04056795131846</v>
      </c>
      <c r="M25" s="3">
        <v>8</v>
      </c>
      <c r="N25" s="3">
        <f t="shared" si="1"/>
        <v>0.81135902636916835</v>
      </c>
      <c r="O25" s="3">
        <v>71</v>
      </c>
      <c r="P25" s="15">
        <v>19</v>
      </c>
      <c r="Q25" s="22" t="s">
        <v>1348</v>
      </c>
      <c r="R25" s="30">
        <v>8005</v>
      </c>
      <c r="S25" s="50">
        <v>32.549999999999997</v>
      </c>
      <c r="T25" s="22"/>
      <c r="U25" s="49" t="s">
        <v>1348</v>
      </c>
      <c r="V25" s="49" t="s">
        <v>1348</v>
      </c>
      <c r="W25" s="49" t="s">
        <v>1348</v>
      </c>
      <c r="X25" s="22"/>
      <c r="Y25" s="22"/>
      <c r="Z25" s="22"/>
      <c r="AA25" s="22"/>
      <c r="AB25" s="22"/>
      <c r="AC25" s="22"/>
      <c r="AD25" s="22"/>
      <c r="AE25" s="22"/>
    </row>
    <row r="26" spans="1:31" ht="15.75" x14ac:dyDescent="0.25">
      <c r="A26" s="1" t="s">
        <v>0</v>
      </c>
      <c r="B26" s="1" t="s">
        <v>1</v>
      </c>
      <c r="C26" s="2" t="s">
        <v>88</v>
      </c>
      <c r="D26" s="28" t="s">
        <v>90</v>
      </c>
      <c r="E26" s="1"/>
      <c r="F26" s="3">
        <v>685</v>
      </c>
      <c r="G26" s="3">
        <v>205</v>
      </c>
      <c r="H26" s="4">
        <v>960</v>
      </c>
      <c r="I26" s="3">
        <v>442</v>
      </c>
      <c r="J26" s="3">
        <v>518</v>
      </c>
      <c r="K26" s="3">
        <v>218</v>
      </c>
      <c r="L26" s="3">
        <f t="shared" si="0"/>
        <v>22.708333333333332</v>
      </c>
      <c r="M26" s="3">
        <v>2</v>
      </c>
      <c r="N26" s="3">
        <f t="shared" si="1"/>
        <v>0.20833333333333334</v>
      </c>
      <c r="O26" s="3">
        <v>2</v>
      </c>
      <c r="P26" s="15">
        <v>173</v>
      </c>
      <c r="Q26" s="22" t="s">
        <v>1348</v>
      </c>
      <c r="R26" s="30">
        <v>8370</v>
      </c>
      <c r="S26" s="50">
        <v>194.12</v>
      </c>
      <c r="T26" s="22"/>
      <c r="U26" s="49" t="s">
        <v>1348</v>
      </c>
      <c r="V26" s="49" t="s">
        <v>1348</v>
      </c>
      <c r="W26" s="49" t="s">
        <v>1348</v>
      </c>
      <c r="X26" s="22"/>
      <c r="Y26" s="22"/>
      <c r="Z26" s="22"/>
      <c r="AA26" s="22"/>
      <c r="AB26" s="22"/>
      <c r="AC26" s="22"/>
      <c r="AD26" s="22"/>
      <c r="AE26" s="22"/>
    </row>
    <row r="27" spans="1:31" ht="15.75" x14ac:dyDescent="0.25">
      <c r="A27" s="1" t="s">
        <v>0</v>
      </c>
      <c r="B27" s="1" t="s">
        <v>1</v>
      </c>
      <c r="C27" s="2" t="s">
        <v>88</v>
      </c>
      <c r="D27" s="28" t="s">
        <v>91</v>
      </c>
      <c r="E27" s="1"/>
      <c r="F27" s="3">
        <v>388.24</v>
      </c>
      <c r="G27" s="3">
        <v>126</v>
      </c>
      <c r="H27" s="4">
        <v>771</v>
      </c>
      <c r="I27" s="3">
        <v>402</v>
      </c>
      <c r="J27" s="3">
        <v>369</v>
      </c>
      <c r="K27" s="3">
        <v>201</v>
      </c>
      <c r="L27" s="3">
        <f t="shared" si="0"/>
        <v>26.07003891050584</v>
      </c>
      <c r="M27" s="3">
        <v>0</v>
      </c>
      <c r="N27" s="3">
        <f t="shared" si="1"/>
        <v>0</v>
      </c>
      <c r="O27" s="3">
        <v>155</v>
      </c>
      <c r="P27" s="15">
        <v>0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 spans="1:31" ht="15.75" x14ac:dyDescent="0.25">
      <c r="A28" s="1" t="s">
        <v>0</v>
      </c>
      <c r="B28" s="1" t="s">
        <v>1</v>
      </c>
      <c r="C28" s="2" t="s">
        <v>94</v>
      </c>
      <c r="D28" s="28" t="s">
        <v>93</v>
      </c>
      <c r="E28" s="1"/>
      <c r="F28" s="3">
        <v>57.15</v>
      </c>
      <c r="G28" s="3">
        <v>273</v>
      </c>
      <c r="H28" s="4">
        <v>1308</v>
      </c>
      <c r="I28" s="3">
        <v>643</v>
      </c>
      <c r="J28" s="3">
        <v>665</v>
      </c>
      <c r="K28" s="3">
        <v>12</v>
      </c>
      <c r="L28" s="3">
        <f t="shared" si="0"/>
        <v>0.91743119266055051</v>
      </c>
      <c r="M28" s="3">
        <v>852</v>
      </c>
      <c r="N28" s="3">
        <f t="shared" si="1"/>
        <v>65.137614678899084</v>
      </c>
      <c r="O28" s="3">
        <v>0</v>
      </c>
      <c r="P28" s="15">
        <v>0</v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 spans="1:31" ht="15.75" x14ac:dyDescent="0.25">
      <c r="A29" s="1" t="s">
        <v>0</v>
      </c>
      <c r="B29" s="1" t="s">
        <v>1</v>
      </c>
      <c r="C29" s="2" t="s">
        <v>94</v>
      </c>
      <c r="D29" s="28" t="s">
        <v>95</v>
      </c>
      <c r="E29" s="1"/>
      <c r="F29" s="3">
        <v>4776.12</v>
      </c>
      <c r="G29" s="3">
        <v>1581</v>
      </c>
      <c r="H29" s="4">
        <v>7904</v>
      </c>
      <c r="I29" s="3">
        <v>3923</v>
      </c>
      <c r="J29" s="3">
        <v>3981</v>
      </c>
      <c r="K29" s="3">
        <v>1457</v>
      </c>
      <c r="L29" s="3">
        <f t="shared" si="0"/>
        <v>18.433704453441297</v>
      </c>
      <c r="M29" s="3">
        <v>801</v>
      </c>
      <c r="N29" s="3">
        <f t="shared" si="1"/>
        <v>10.134109311740891</v>
      </c>
      <c r="O29" s="3">
        <v>236.05</v>
      </c>
      <c r="P29" s="15">
        <v>2125</v>
      </c>
      <c r="Q29" s="22"/>
      <c r="R29" s="83">
        <v>44090</v>
      </c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</row>
    <row r="30" spans="1:31" ht="15.75" x14ac:dyDescent="0.25">
      <c r="A30" s="1" t="s">
        <v>0</v>
      </c>
      <c r="B30" s="1" t="s">
        <v>1</v>
      </c>
      <c r="C30" s="2" t="s">
        <v>84</v>
      </c>
      <c r="D30" s="28" t="s">
        <v>83</v>
      </c>
      <c r="E30" s="1"/>
      <c r="F30" s="3">
        <v>391.52</v>
      </c>
      <c r="G30" s="3">
        <v>118</v>
      </c>
      <c r="H30" s="4">
        <v>546</v>
      </c>
      <c r="I30" s="3">
        <v>253</v>
      </c>
      <c r="J30" s="3">
        <v>293</v>
      </c>
      <c r="K30" s="3">
        <v>128</v>
      </c>
      <c r="L30" s="3">
        <f t="shared" si="0"/>
        <v>23.443223443223442</v>
      </c>
      <c r="M30" s="3">
        <v>8</v>
      </c>
      <c r="N30" s="3">
        <f t="shared" si="1"/>
        <v>1.4652014652014651</v>
      </c>
      <c r="O30" s="3">
        <v>19.64</v>
      </c>
      <c r="P30" s="15">
        <v>0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</row>
    <row r="31" spans="1:31" ht="15.75" x14ac:dyDescent="0.25">
      <c r="A31" s="1" t="s">
        <v>0</v>
      </c>
      <c r="B31" s="1" t="s">
        <v>1</v>
      </c>
      <c r="C31" s="2" t="s">
        <v>84</v>
      </c>
      <c r="D31" s="28" t="s">
        <v>96</v>
      </c>
      <c r="E31" s="1"/>
      <c r="F31" s="3">
        <v>291.02999999999997</v>
      </c>
      <c r="G31" s="3">
        <v>165</v>
      </c>
      <c r="H31" s="4">
        <v>810</v>
      </c>
      <c r="I31" s="3">
        <v>415</v>
      </c>
      <c r="J31" s="3">
        <v>395</v>
      </c>
      <c r="K31" s="3">
        <v>285</v>
      </c>
      <c r="L31" s="3">
        <f t="shared" si="0"/>
        <v>35.185185185185183</v>
      </c>
      <c r="M31" s="3">
        <v>0</v>
      </c>
      <c r="N31" s="3">
        <f t="shared" si="1"/>
        <v>0</v>
      </c>
      <c r="O31" s="3">
        <v>68</v>
      </c>
      <c r="P31" s="15">
        <v>0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 spans="1:31" ht="15.75" x14ac:dyDescent="0.25">
      <c r="A32" s="1" t="s">
        <v>0</v>
      </c>
      <c r="B32" s="1" t="s">
        <v>1</v>
      </c>
      <c r="C32" s="2" t="s">
        <v>84</v>
      </c>
      <c r="D32" s="28" t="s">
        <v>97</v>
      </c>
      <c r="E32" s="1"/>
      <c r="F32" s="3">
        <v>1149.9000000000001</v>
      </c>
      <c r="G32" s="3">
        <v>183</v>
      </c>
      <c r="H32" s="4">
        <v>881</v>
      </c>
      <c r="I32" s="3">
        <v>472</v>
      </c>
      <c r="J32" s="3">
        <v>409</v>
      </c>
      <c r="K32" s="3">
        <v>328</v>
      </c>
      <c r="L32" s="3">
        <f t="shared" si="0"/>
        <v>37.230419977298524</v>
      </c>
      <c r="M32" s="3">
        <v>1</v>
      </c>
      <c r="N32" s="3">
        <f t="shared" si="1"/>
        <v>0.11350737797956867</v>
      </c>
      <c r="O32" s="3">
        <v>50</v>
      </c>
      <c r="P32" s="15">
        <v>634.9</v>
      </c>
      <c r="Q32" s="22"/>
      <c r="R32" s="83">
        <v>44068</v>
      </c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</row>
    <row r="33" spans="1:31" ht="15.75" x14ac:dyDescent="0.25">
      <c r="A33" s="1" t="s">
        <v>0</v>
      </c>
      <c r="B33" s="1" t="s">
        <v>1</v>
      </c>
      <c r="C33" s="2" t="s">
        <v>84</v>
      </c>
      <c r="D33" s="28" t="s">
        <v>98</v>
      </c>
      <c r="E33" s="1"/>
      <c r="F33" s="3">
        <v>247</v>
      </c>
      <c r="G33" s="3">
        <v>334</v>
      </c>
      <c r="H33" s="4">
        <v>1641</v>
      </c>
      <c r="I33" s="3">
        <v>762</v>
      </c>
      <c r="J33" s="3">
        <v>879</v>
      </c>
      <c r="K33" s="3">
        <v>329</v>
      </c>
      <c r="L33" s="3">
        <f t="shared" si="0"/>
        <v>20.048750761730652</v>
      </c>
      <c r="M33" s="3">
        <v>49</v>
      </c>
      <c r="N33" s="3">
        <f t="shared" si="1"/>
        <v>2.9859841560024374</v>
      </c>
      <c r="O33" s="3">
        <v>0</v>
      </c>
      <c r="P33" s="15">
        <v>0</v>
      </c>
      <c r="Q33" s="22"/>
      <c r="R33" s="83">
        <v>44064</v>
      </c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 spans="1:31" ht="15.75" x14ac:dyDescent="0.25">
      <c r="A34" s="1" t="s">
        <v>0</v>
      </c>
      <c r="B34" s="1" t="s">
        <v>1</v>
      </c>
      <c r="C34" s="2" t="s">
        <v>40</v>
      </c>
      <c r="D34" s="28" t="s">
        <v>39</v>
      </c>
      <c r="E34" s="1"/>
      <c r="F34" s="3">
        <v>1497</v>
      </c>
      <c r="G34" s="3">
        <v>393</v>
      </c>
      <c r="H34" s="4">
        <v>1878</v>
      </c>
      <c r="I34" s="3">
        <v>913</v>
      </c>
      <c r="J34" s="3">
        <v>965</v>
      </c>
      <c r="K34" s="3">
        <v>447</v>
      </c>
      <c r="L34" s="3">
        <f t="shared" si="0"/>
        <v>23.80191693290735</v>
      </c>
      <c r="M34" s="3">
        <v>6</v>
      </c>
      <c r="N34" s="3">
        <f t="shared" si="1"/>
        <v>0.31948881789137379</v>
      </c>
      <c r="O34" s="3">
        <v>224</v>
      </c>
      <c r="P34" s="15">
        <v>233</v>
      </c>
      <c r="Q34" s="22" t="s">
        <v>1348</v>
      </c>
      <c r="R34" s="30">
        <v>43885</v>
      </c>
      <c r="S34" s="53">
        <v>22.35</v>
      </c>
      <c r="T34" s="22"/>
      <c r="U34" s="22" t="s">
        <v>1348</v>
      </c>
      <c r="V34" s="22" t="s">
        <v>1348</v>
      </c>
      <c r="W34" s="22" t="s">
        <v>1348</v>
      </c>
      <c r="X34" s="22"/>
      <c r="Y34" s="22"/>
      <c r="Z34" s="22"/>
      <c r="AA34" s="22"/>
      <c r="AB34" s="22"/>
      <c r="AC34" s="22"/>
      <c r="AD34" s="22"/>
      <c r="AE34" s="22"/>
    </row>
    <row r="35" spans="1:31" ht="15.75" x14ac:dyDescent="0.25">
      <c r="A35" s="1" t="s">
        <v>0</v>
      </c>
      <c r="B35" s="1" t="s">
        <v>1</v>
      </c>
      <c r="C35" s="2" t="s">
        <v>40</v>
      </c>
      <c r="D35" s="28" t="s">
        <v>41</v>
      </c>
      <c r="E35" s="1"/>
      <c r="F35" s="3">
        <v>614</v>
      </c>
      <c r="G35" s="3">
        <v>221</v>
      </c>
      <c r="H35" s="4">
        <v>949</v>
      </c>
      <c r="I35" s="3">
        <v>425</v>
      </c>
      <c r="J35" s="3">
        <v>524</v>
      </c>
      <c r="K35" s="3">
        <v>132</v>
      </c>
      <c r="L35" s="3">
        <f t="shared" si="0"/>
        <v>13.909378292939936</v>
      </c>
      <c r="M35" s="3">
        <v>0</v>
      </c>
      <c r="N35" s="3">
        <f t="shared" si="1"/>
        <v>0</v>
      </c>
      <c r="O35" s="3">
        <v>13</v>
      </c>
      <c r="P35" s="15">
        <v>0</v>
      </c>
      <c r="Q35" s="22" t="s">
        <v>1348</v>
      </c>
      <c r="R35" s="30">
        <v>43885</v>
      </c>
      <c r="S35" s="51">
        <v>49.38</v>
      </c>
      <c r="T35" s="22"/>
      <c r="U35" s="22" t="s">
        <v>1348</v>
      </c>
      <c r="V35" s="22" t="s">
        <v>1348</v>
      </c>
      <c r="W35" s="22" t="s">
        <v>1348</v>
      </c>
      <c r="X35" s="22"/>
      <c r="Y35" s="22"/>
      <c r="Z35" s="22"/>
      <c r="AA35" s="22"/>
      <c r="AB35" s="22"/>
      <c r="AC35" s="22"/>
      <c r="AD35" s="22"/>
      <c r="AE35" s="22"/>
    </row>
    <row r="36" spans="1:31" ht="15.75" x14ac:dyDescent="0.25">
      <c r="A36" s="1" t="s">
        <v>0</v>
      </c>
      <c r="B36" s="1" t="s">
        <v>1</v>
      </c>
      <c r="C36" s="2" t="s">
        <v>40</v>
      </c>
      <c r="D36" s="28" t="s">
        <v>58</v>
      </c>
      <c r="E36" s="1"/>
      <c r="F36" s="3">
        <v>360</v>
      </c>
      <c r="G36" s="3">
        <v>21</v>
      </c>
      <c r="H36" s="4">
        <v>97</v>
      </c>
      <c r="I36" s="3">
        <v>42</v>
      </c>
      <c r="J36" s="3">
        <v>55</v>
      </c>
      <c r="K36" s="3">
        <v>12</v>
      </c>
      <c r="L36" s="3">
        <f t="shared" ref="L36:L67" si="2">(K36/H36)*100</f>
        <v>12.371134020618557</v>
      </c>
      <c r="M36" s="3">
        <v>0</v>
      </c>
      <c r="N36" s="3">
        <f t="shared" ref="N36:N67" si="3">(M36/H36)*100</f>
        <v>0</v>
      </c>
      <c r="O36" s="3">
        <v>19</v>
      </c>
      <c r="P36" s="15">
        <v>0</v>
      </c>
      <c r="Q36" s="22"/>
      <c r="R36" s="83">
        <v>44121</v>
      </c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 spans="1:31" ht="15.75" x14ac:dyDescent="0.25">
      <c r="A37" s="1" t="s">
        <v>0</v>
      </c>
      <c r="B37" s="1" t="s">
        <v>1</v>
      </c>
      <c r="C37" s="2" t="s">
        <v>40</v>
      </c>
      <c r="D37" s="28" t="s">
        <v>59</v>
      </c>
      <c r="E37" s="1"/>
      <c r="F37" s="3">
        <v>351</v>
      </c>
      <c r="G37" s="3">
        <v>64</v>
      </c>
      <c r="H37" s="4">
        <v>328</v>
      </c>
      <c r="I37" s="3">
        <v>177</v>
      </c>
      <c r="J37" s="3">
        <v>151</v>
      </c>
      <c r="K37" s="3">
        <v>79</v>
      </c>
      <c r="L37" s="3">
        <f t="shared" si="2"/>
        <v>24.085365853658537</v>
      </c>
      <c r="M37" s="3">
        <v>0</v>
      </c>
      <c r="N37" s="3">
        <f t="shared" si="3"/>
        <v>0</v>
      </c>
      <c r="O37" s="3">
        <v>25</v>
      </c>
      <c r="P37" s="15">
        <v>5</v>
      </c>
      <c r="Q37" s="22" t="s">
        <v>1348</v>
      </c>
      <c r="R37" s="30">
        <v>43884</v>
      </c>
      <c r="S37" s="54">
        <v>16.14</v>
      </c>
      <c r="T37" s="22"/>
      <c r="U37" s="22" t="s">
        <v>1348</v>
      </c>
      <c r="V37" s="22" t="s">
        <v>1348</v>
      </c>
      <c r="W37" s="22" t="s">
        <v>1348</v>
      </c>
      <c r="X37" s="22"/>
      <c r="Y37" s="22"/>
      <c r="Z37" s="22"/>
      <c r="AA37" s="22"/>
      <c r="AB37" s="22"/>
      <c r="AC37" s="22"/>
      <c r="AD37" s="22"/>
      <c r="AE37" s="22"/>
    </row>
    <row r="38" spans="1:31" ht="15.75" x14ac:dyDescent="0.25">
      <c r="A38" s="1" t="s">
        <v>0</v>
      </c>
      <c r="B38" s="1" t="s">
        <v>1</v>
      </c>
      <c r="C38" s="2" t="s">
        <v>40</v>
      </c>
      <c r="D38" s="28" t="s">
        <v>60</v>
      </c>
      <c r="E38" s="1"/>
      <c r="F38" s="3">
        <v>168</v>
      </c>
      <c r="G38" s="3">
        <v>64</v>
      </c>
      <c r="H38" s="4">
        <v>291</v>
      </c>
      <c r="I38" s="3">
        <v>130</v>
      </c>
      <c r="J38" s="3">
        <v>161</v>
      </c>
      <c r="K38" s="3">
        <v>41</v>
      </c>
      <c r="L38" s="3">
        <f t="shared" si="2"/>
        <v>14.0893470790378</v>
      </c>
      <c r="M38" s="3">
        <v>0</v>
      </c>
      <c r="N38" s="3">
        <f t="shared" si="3"/>
        <v>0</v>
      </c>
      <c r="O38" s="3">
        <v>34</v>
      </c>
      <c r="P38" s="15">
        <v>1</v>
      </c>
      <c r="Q38" s="22" t="s">
        <v>1348</v>
      </c>
      <c r="R38" s="30">
        <v>43886</v>
      </c>
      <c r="S38" s="52">
        <v>66.83</v>
      </c>
      <c r="T38" s="22"/>
      <c r="U38" s="22" t="s">
        <v>1348</v>
      </c>
      <c r="V38" s="22" t="s">
        <v>1348</v>
      </c>
      <c r="W38" s="22" t="s">
        <v>1348</v>
      </c>
      <c r="X38" s="22"/>
      <c r="Y38" s="22"/>
      <c r="Z38" s="22"/>
      <c r="AA38" s="22"/>
      <c r="AB38" s="22"/>
      <c r="AC38" s="22"/>
      <c r="AD38" s="22"/>
      <c r="AE38" s="22"/>
    </row>
    <row r="39" spans="1:31" ht="15.75" x14ac:dyDescent="0.25">
      <c r="A39" s="1" t="s">
        <v>0</v>
      </c>
      <c r="B39" s="1" t="s">
        <v>1</v>
      </c>
      <c r="C39" s="2" t="s">
        <v>40</v>
      </c>
      <c r="D39" s="28" t="s">
        <v>61</v>
      </c>
      <c r="E39" s="1"/>
      <c r="F39" s="3">
        <v>362</v>
      </c>
      <c r="G39" s="3">
        <v>186</v>
      </c>
      <c r="H39" s="4">
        <v>894</v>
      </c>
      <c r="I39" s="3">
        <v>445</v>
      </c>
      <c r="J39" s="3">
        <v>449</v>
      </c>
      <c r="K39" s="3">
        <v>58</v>
      </c>
      <c r="L39" s="3">
        <f t="shared" si="2"/>
        <v>6.4876957494407153</v>
      </c>
      <c r="M39" s="3">
        <v>0</v>
      </c>
      <c r="N39" s="3">
        <f t="shared" si="3"/>
        <v>0</v>
      </c>
      <c r="O39" s="3">
        <v>35</v>
      </c>
      <c r="P39" s="15">
        <v>0</v>
      </c>
      <c r="Q39" s="22" t="s">
        <v>1348</v>
      </c>
      <c r="R39" s="30">
        <v>43883</v>
      </c>
      <c r="S39" s="55">
        <v>1.33</v>
      </c>
      <c r="T39" s="22"/>
      <c r="U39" s="22" t="s">
        <v>1348</v>
      </c>
      <c r="V39" s="22" t="s">
        <v>1348</v>
      </c>
      <c r="W39" s="22" t="s">
        <v>1348</v>
      </c>
      <c r="X39" s="22"/>
      <c r="Y39" s="22"/>
      <c r="Z39" s="22"/>
      <c r="AA39" s="22"/>
      <c r="AB39" s="22"/>
      <c r="AC39" s="22"/>
      <c r="AD39" s="22"/>
      <c r="AE39" s="22"/>
    </row>
    <row r="40" spans="1:31" ht="15.75" x14ac:dyDescent="0.25">
      <c r="A40" s="1" t="s">
        <v>0</v>
      </c>
      <c r="B40" s="1" t="s">
        <v>1</v>
      </c>
      <c r="C40" s="2" t="s">
        <v>12</v>
      </c>
      <c r="D40" s="28" t="s">
        <v>11</v>
      </c>
      <c r="E40" s="1"/>
      <c r="F40" s="3">
        <v>238</v>
      </c>
      <c r="G40" s="3">
        <v>109</v>
      </c>
      <c r="H40" s="4">
        <v>630</v>
      </c>
      <c r="I40" s="3">
        <v>331</v>
      </c>
      <c r="J40" s="3">
        <v>299</v>
      </c>
      <c r="K40" s="3">
        <v>29</v>
      </c>
      <c r="L40" s="3">
        <f t="shared" si="2"/>
        <v>4.6031746031746037</v>
      </c>
      <c r="M40" s="3">
        <v>288</v>
      </c>
      <c r="N40" s="3">
        <f t="shared" si="3"/>
        <v>45.714285714285715</v>
      </c>
      <c r="O40" s="3">
        <v>18</v>
      </c>
      <c r="P40" s="15">
        <v>96</v>
      </c>
      <c r="Q40" s="22" t="s">
        <v>1348</v>
      </c>
      <c r="R40" s="30">
        <v>43875</v>
      </c>
      <c r="S40" s="56">
        <v>53.8</v>
      </c>
      <c r="T40" s="22"/>
      <c r="U40" s="22" t="s">
        <v>1348</v>
      </c>
      <c r="V40" s="22" t="s">
        <v>1348</v>
      </c>
      <c r="W40" s="22" t="s">
        <v>1348</v>
      </c>
      <c r="X40" s="22"/>
      <c r="Y40" s="22"/>
      <c r="Z40" s="22"/>
      <c r="AA40" s="22"/>
      <c r="AB40" s="22"/>
      <c r="AC40" s="22"/>
      <c r="AD40" s="22"/>
      <c r="AE40" s="22"/>
    </row>
    <row r="41" spans="1:31" ht="15.75" x14ac:dyDescent="0.25">
      <c r="A41" s="1" t="s">
        <v>0</v>
      </c>
      <c r="B41" s="1" t="s">
        <v>1</v>
      </c>
      <c r="C41" s="2" t="s">
        <v>12</v>
      </c>
      <c r="D41" s="28" t="s">
        <v>13</v>
      </c>
      <c r="E41" s="1"/>
      <c r="F41" s="3">
        <v>3379</v>
      </c>
      <c r="G41" s="3">
        <v>392</v>
      </c>
      <c r="H41" s="4">
        <v>1854</v>
      </c>
      <c r="I41" s="3">
        <v>964</v>
      </c>
      <c r="J41" s="3">
        <v>890</v>
      </c>
      <c r="K41" s="3">
        <v>519</v>
      </c>
      <c r="L41" s="3">
        <f t="shared" si="2"/>
        <v>27.993527508090615</v>
      </c>
      <c r="M41" s="3">
        <v>634</v>
      </c>
      <c r="N41" s="3">
        <f t="shared" si="3"/>
        <v>34.196332254584682</v>
      </c>
      <c r="O41" s="3">
        <v>134</v>
      </c>
      <c r="P41" s="15">
        <v>2369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 spans="1:31" ht="15.75" x14ac:dyDescent="0.25">
      <c r="A42" s="1" t="s">
        <v>0</v>
      </c>
      <c r="B42" s="1" t="s">
        <v>1</v>
      </c>
      <c r="C42" s="2" t="s">
        <v>12</v>
      </c>
      <c r="D42" s="28" t="s">
        <v>14</v>
      </c>
      <c r="E42" s="1"/>
      <c r="F42" s="3">
        <v>109</v>
      </c>
      <c r="G42" s="3">
        <v>206</v>
      </c>
      <c r="H42" s="4">
        <v>1115</v>
      </c>
      <c r="I42" s="3">
        <v>588</v>
      </c>
      <c r="J42" s="3">
        <v>527</v>
      </c>
      <c r="K42" s="3">
        <v>211</v>
      </c>
      <c r="L42" s="3">
        <f t="shared" si="2"/>
        <v>18.923766816143498</v>
      </c>
      <c r="M42" s="3">
        <v>216</v>
      </c>
      <c r="N42" s="3">
        <f t="shared" si="3"/>
        <v>19.372197309417043</v>
      </c>
      <c r="O42" s="3">
        <v>0</v>
      </c>
      <c r="P42" s="15">
        <v>3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 spans="1:31" ht="15.75" x14ac:dyDescent="0.25">
      <c r="A43" s="1" t="s">
        <v>0</v>
      </c>
      <c r="B43" s="1" t="s">
        <v>1</v>
      </c>
      <c r="C43" s="2" t="s">
        <v>12</v>
      </c>
      <c r="D43" s="28" t="s">
        <v>17</v>
      </c>
      <c r="E43" s="1"/>
      <c r="F43" s="3">
        <v>127</v>
      </c>
      <c r="G43" s="3">
        <v>57</v>
      </c>
      <c r="H43" s="4">
        <v>322</v>
      </c>
      <c r="I43" s="3">
        <v>173</v>
      </c>
      <c r="J43" s="3">
        <v>149</v>
      </c>
      <c r="K43" s="3">
        <v>5</v>
      </c>
      <c r="L43" s="3">
        <f t="shared" si="2"/>
        <v>1.5527950310559007</v>
      </c>
      <c r="M43" s="3">
        <v>99</v>
      </c>
      <c r="N43" s="3">
        <f t="shared" si="3"/>
        <v>30.745341614906835</v>
      </c>
      <c r="O43" s="3">
        <v>10</v>
      </c>
      <c r="P43" s="15">
        <v>13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:31" ht="15.75" x14ac:dyDescent="0.25">
      <c r="A44" s="1" t="s">
        <v>0</v>
      </c>
      <c r="B44" s="1" t="s">
        <v>1</v>
      </c>
      <c r="C44" s="2" t="s">
        <v>12</v>
      </c>
      <c r="D44" s="28" t="s">
        <v>18</v>
      </c>
      <c r="E44" s="1"/>
      <c r="F44" s="3">
        <v>53</v>
      </c>
      <c r="G44" s="3">
        <v>83</v>
      </c>
      <c r="H44" s="4">
        <v>456</v>
      </c>
      <c r="I44" s="3">
        <v>229</v>
      </c>
      <c r="J44" s="3">
        <v>227</v>
      </c>
      <c r="K44" s="3">
        <v>3</v>
      </c>
      <c r="L44" s="3">
        <f t="shared" si="2"/>
        <v>0.6578947368421052</v>
      </c>
      <c r="M44" s="3">
        <v>0</v>
      </c>
      <c r="N44" s="3">
        <f t="shared" si="3"/>
        <v>0</v>
      </c>
      <c r="O44" s="3">
        <v>0</v>
      </c>
      <c r="P44" s="15">
        <v>0</v>
      </c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:31" ht="15.75" x14ac:dyDescent="0.25">
      <c r="A45" s="1" t="s">
        <v>0</v>
      </c>
      <c r="B45" s="1" t="s">
        <v>1</v>
      </c>
      <c r="C45" s="2" t="s">
        <v>45</v>
      </c>
      <c r="D45" s="28" t="s">
        <v>44</v>
      </c>
      <c r="E45" s="1"/>
      <c r="F45" s="3">
        <v>238.86</v>
      </c>
      <c r="G45" s="3">
        <v>77</v>
      </c>
      <c r="H45" s="4">
        <v>400</v>
      </c>
      <c r="I45" s="3">
        <v>202</v>
      </c>
      <c r="J45" s="3">
        <v>198</v>
      </c>
      <c r="K45" s="3">
        <v>0</v>
      </c>
      <c r="L45" s="3">
        <f t="shared" si="2"/>
        <v>0</v>
      </c>
      <c r="M45" s="3">
        <v>357</v>
      </c>
      <c r="N45" s="3">
        <f t="shared" si="3"/>
        <v>89.25</v>
      </c>
      <c r="O45" s="3">
        <v>0</v>
      </c>
      <c r="P45" s="15">
        <v>0</v>
      </c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 spans="1:31" s="27" customFormat="1" ht="15.75" x14ac:dyDescent="0.25">
      <c r="A46" s="61" t="s">
        <v>0</v>
      </c>
      <c r="B46" s="61" t="s">
        <v>1</v>
      </c>
      <c r="C46" s="62" t="s">
        <v>45</v>
      </c>
      <c r="D46" s="63" t="s">
        <v>51</v>
      </c>
      <c r="E46" s="61"/>
      <c r="F46" s="64">
        <v>901.09</v>
      </c>
      <c r="G46" s="64">
        <v>290</v>
      </c>
      <c r="H46" s="65">
        <v>1121</v>
      </c>
      <c r="I46" s="64">
        <v>508</v>
      </c>
      <c r="J46" s="64">
        <v>613</v>
      </c>
      <c r="K46" s="64">
        <v>318</v>
      </c>
      <c r="L46" s="64">
        <f t="shared" si="2"/>
        <v>28.367528991971451</v>
      </c>
      <c r="M46" s="64">
        <v>0</v>
      </c>
      <c r="N46" s="64">
        <f t="shared" si="3"/>
        <v>0</v>
      </c>
      <c r="O46" s="64">
        <v>57.09</v>
      </c>
      <c r="P46" s="66">
        <v>0</v>
      </c>
      <c r="Q46" s="67" t="s">
        <v>1348</v>
      </c>
      <c r="R46" s="57">
        <v>43878</v>
      </c>
      <c r="S46" s="58">
        <v>41.82</v>
      </c>
      <c r="T46" s="67"/>
      <c r="U46" s="60" t="s">
        <v>1348</v>
      </c>
      <c r="V46" s="60" t="s">
        <v>1348</v>
      </c>
      <c r="W46" s="60" t="s">
        <v>1348</v>
      </c>
      <c r="X46" s="67" t="s">
        <v>1348</v>
      </c>
      <c r="Y46" s="37">
        <v>5</v>
      </c>
      <c r="Z46" s="67"/>
      <c r="AA46" s="67"/>
      <c r="AB46" s="67"/>
      <c r="AC46" s="67"/>
      <c r="AD46" s="67"/>
      <c r="AE46" s="67"/>
    </row>
    <row r="47" spans="1:31" ht="15.75" x14ac:dyDescent="0.25">
      <c r="A47" s="1" t="s">
        <v>0</v>
      </c>
      <c r="B47" s="1" t="s">
        <v>1</v>
      </c>
      <c r="C47" s="2" t="s">
        <v>45</v>
      </c>
      <c r="D47" s="28" t="s">
        <v>52</v>
      </c>
      <c r="E47" s="1"/>
      <c r="F47" s="3">
        <v>1081.0999999999999</v>
      </c>
      <c r="G47" s="3">
        <v>403</v>
      </c>
      <c r="H47" s="4">
        <v>2240</v>
      </c>
      <c r="I47" s="3">
        <v>1140</v>
      </c>
      <c r="J47" s="3">
        <v>1100</v>
      </c>
      <c r="K47" s="3">
        <v>618</v>
      </c>
      <c r="L47" s="3">
        <f t="shared" si="2"/>
        <v>27.589285714285715</v>
      </c>
      <c r="M47" s="3">
        <v>30</v>
      </c>
      <c r="N47" s="3">
        <f t="shared" si="3"/>
        <v>1.3392857142857142</v>
      </c>
      <c r="O47" s="3">
        <v>62.1</v>
      </c>
      <c r="P47" s="15">
        <v>0</v>
      </c>
      <c r="Q47" s="22" t="s">
        <v>1348</v>
      </c>
      <c r="R47" s="30">
        <v>43877</v>
      </c>
      <c r="S47" s="58">
        <v>82.34</v>
      </c>
      <c r="T47" s="22"/>
      <c r="U47" s="59" t="s">
        <v>1348</v>
      </c>
      <c r="V47" s="59" t="s">
        <v>1348</v>
      </c>
      <c r="W47" s="59" t="s">
        <v>1348</v>
      </c>
      <c r="X47" s="22"/>
      <c r="Y47" s="22"/>
      <c r="Z47" s="22"/>
      <c r="AA47" s="22"/>
      <c r="AB47" s="22"/>
      <c r="AC47" s="22"/>
      <c r="AD47" s="22"/>
      <c r="AE47" s="22"/>
    </row>
    <row r="48" spans="1:31" ht="15.75" x14ac:dyDescent="0.25">
      <c r="A48" s="1" t="s">
        <v>0</v>
      </c>
      <c r="B48" s="1" t="s">
        <v>1</v>
      </c>
      <c r="C48" s="2" t="s">
        <v>45</v>
      </c>
      <c r="D48" s="28" t="s">
        <v>53</v>
      </c>
      <c r="E48" s="1"/>
      <c r="F48" s="3">
        <v>593.95000000000005</v>
      </c>
      <c r="G48" s="3">
        <v>225</v>
      </c>
      <c r="H48" s="4">
        <v>888</v>
      </c>
      <c r="I48" s="3">
        <v>409</v>
      </c>
      <c r="J48" s="3">
        <v>479</v>
      </c>
      <c r="K48" s="3">
        <v>290</v>
      </c>
      <c r="L48" s="3">
        <f t="shared" si="2"/>
        <v>32.657657657657658</v>
      </c>
      <c r="M48" s="3">
        <v>0</v>
      </c>
      <c r="N48" s="3">
        <f t="shared" si="3"/>
        <v>0</v>
      </c>
      <c r="O48" s="3">
        <v>43</v>
      </c>
      <c r="P48" s="15">
        <v>0</v>
      </c>
      <c r="Q48" s="22" t="s">
        <v>1348</v>
      </c>
      <c r="R48" s="30">
        <v>43876</v>
      </c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</row>
    <row r="49" spans="1:31" ht="15.75" x14ac:dyDescent="0.25">
      <c r="A49" s="1" t="s">
        <v>0</v>
      </c>
      <c r="B49" s="1" t="s">
        <v>1</v>
      </c>
      <c r="C49" s="2" t="s">
        <v>82</v>
      </c>
      <c r="D49" s="28" t="s">
        <v>81</v>
      </c>
      <c r="E49" s="1"/>
      <c r="F49" s="3">
        <v>1360.15</v>
      </c>
      <c r="G49" s="3">
        <v>568</v>
      </c>
      <c r="H49" s="4">
        <v>2644</v>
      </c>
      <c r="I49" s="3">
        <v>1253</v>
      </c>
      <c r="J49" s="3">
        <v>1391</v>
      </c>
      <c r="K49" s="3">
        <v>576</v>
      </c>
      <c r="L49" s="3">
        <f t="shared" si="2"/>
        <v>21.785173978819969</v>
      </c>
      <c r="M49" s="3">
        <v>9</v>
      </c>
      <c r="N49" s="3">
        <f t="shared" si="3"/>
        <v>0.34039334341906202</v>
      </c>
      <c r="O49" s="3">
        <v>26.05</v>
      </c>
      <c r="P49" s="15">
        <v>0</v>
      </c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 spans="1:31" ht="15.75" x14ac:dyDescent="0.25">
      <c r="A50" s="1" t="s">
        <v>0</v>
      </c>
      <c r="B50" s="1" t="s">
        <v>1</v>
      </c>
      <c r="C50" s="2" t="s">
        <v>16</v>
      </c>
      <c r="D50" s="28" t="s">
        <v>15</v>
      </c>
      <c r="E50" s="1"/>
      <c r="F50" s="3">
        <v>176.06</v>
      </c>
      <c r="G50" s="3">
        <v>40</v>
      </c>
      <c r="H50" s="4">
        <v>210</v>
      </c>
      <c r="I50" s="3">
        <v>104</v>
      </c>
      <c r="J50" s="3">
        <v>106</v>
      </c>
      <c r="K50" s="3">
        <v>0</v>
      </c>
      <c r="L50" s="3">
        <f t="shared" si="2"/>
        <v>0</v>
      </c>
      <c r="M50" s="3">
        <v>0</v>
      </c>
      <c r="N50" s="3">
        <f t="shared" si="3"/>
        <v>0</v>
      </c>
      <c r="O50" s="3">
        <v>8</v>
      </c>
      <c r="P50" s="15">
        <v>51.06</v>
      </c>
      <c r="Q50" s="22" t="s">
        <v>1348</v>
      </c>
      <c r="R50" s="30">
        <v>43876</v>
      </c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 spans="1:31" ht="15.75" x14ac:dyDescent="0.25">
      <c r="A51" s="1" t="s">
        <v>0</v>
      </c>
      <c r="B51" s="1" t="s">
        <v>1</v>
      </c>
      <c r="C51" s="2" t="s">
        <v>16</v>
      </c>
      <c r="D51" s="28" t="s">
        <v>22</v>
      </c>
      <c r="E51" s="1"/>
      <c r="F51" s="3">
        <v>612.98</v>
      </c>
      <c r="G51" s="3">
        <v>259</v>
      </c>
      <c r="H51" s="4">
        <v>1211</v>
      </c>
      <c r="I51" s="3">
        <v>608</v>
      </c>
      <c r="J51" s="3">
        <v>603</v>
      </c>
      <c r="K51" s="3">
        <v>140</v>
      </c>
      <c r="L51" s="3">
        <f t="shared" si="2"/>
        <v>11.560693641618498</v>
      </c>
      <c r="M51" s="3">
        <v>217</v>
      </c>
      <c r="N51" s="3">
        <f t="shared" si="3"/>
        <v>17.919075144508671</v>
      </c>
      <c r="O51" s="3">
        <v>133</v>
      </c>
      <c r="P51" s="15">
        <v>1</v>
      </c>
      <c r="Q51" s="22" t="s">
        <v>1348</v>
      </c>
      <c r="R51" s="30">
        <v>43869</v>
      </c>
      <c r="S51" s="71">
        <v>40.46</v>
      </c>
      <c r="T51" s="22"/>
      <c r="U51" s="73" t="s">
        <v>1348</v>
      </c>
      <c r="V51" s="73" t="s">
        <v>1348</v>
      </c>
      <c r="W51" s="73" t="s">
        <v>1348</v>
      </c>
      <c r="X51" s="22"/>
      <c r="Y51" s="22"/>
      <c r="Z51" s="22"/>
      <c r="AA51" s="22"/>
      <c r="AB51" s="22"/>
      <c r="AC51" s="22"/>
      <c r="AD51" s="22"/>
      <c r="AE51" s="22"/>
    </row>
    <row r="52" spans="1:31" ht="15.75" x14ac:dyDescent="0.25">
      <c r="A52" s="1" t="s">
        <v>0</v>
      </c>
      <c r="B52" s="1" t="s">
        <v>1</v>
      </c>
      <c r="C52" s="2" t="s">
        <v>16</v>
      </c>
      <c r="D52" s="28" t="s">
        <v>23</v>
      </c>
      <c r="E52" s="1"/>
      <c r="F52" s="3">
        <v>2222.34</v>
      </c>
      <c r="G52" s="3">
        <v>184</v>
      </c>
      <c r="H52" s="4">
        <v>868</v>
      </c>
      <c r="I52" s="3">
        <v>446</v>
      </c>
      <c r="J52" s="3">
        <v>422</v>
      </c>
      <c r="K52" s="3">
        <v>302</v>
      </c>
      <c r="L52" s="3">
        <f t="shared" si="2"/>
        <v>34.792626728110598</v>
      </c>
      <c r="M52" s="3">
        <v>36</v>
      </c>
      <c r="N52" s="3">
        <f t="shared" si="3"/>
        <v>4.1474654377880187</v>
      </c>
      <c r="O52" s="3">
        <v>242</v>
      </c>
      <c r="P52" s="15">
        <v>67</v>
      </c>
      <c r="Q52" s="22" t="s">
        <v>1348</v>
      </c>
      <c r="R52" s="30">
        <v>43870</v>
      </c>
      <c r="S52" s="72">
        <v>77.08</v>
      </c>
      <c r="T52" s="22"/>
      <c r="U52" s="73" t="s">
        <v>1348</v>
      </c>
      <c r="V52" s="73" t="s">
        <v>1348</v>
      </c>
      <c r="W52" s="73" t="s">
        <v>1348</v>
      </c>
      <c r="X52" s="22"/>
      <c r="Y52" s="22"/>
      <c r="Z52" s="22"/>
      <c r="AA52" s="22"/>
      <c r="AB52" s="22"/>
      <c r="AC52" s="22"/>
      <c r="AD52" s="22"/>
      <c r="AE52" s="22"/>
    </row>
    <row r="53" spans="1:31" ht="15.75" x14ac:dyDescent="0.25">
      <c r="A53" s="1" t="s">
        <v>0</v>
      </c>
      <c r="B53" s="1" t="s">
        <v>1</v>
      </c>
      <c r="C53" s="2" t="s">
        <v>16</v>
      </c>
      <c r="D53" s="28" t="s">
        <v>24</v>
      </c>
      <c r="E53" s="1"/>
      <c r="F53" s="3">
        <v>224.99</v>
      </c>
      <c r="G53" s="3">
        <v>102</v>
      </c>
      <c r="H53" s="4">
        <v>512</v>
      </c>
      <c r="I53" s="3">
        <v>264</v>
      </c>
      <c r="J53" s="3">
        <v>248</v>
      </c>
      <c r="K53" s="3">
        <v>32</v>
      </c>
      <c r="L53" s="3">
        <f t="shared" si="2"/>
        <v>6.25</v>
      </c>
      <c r="M53" s="3">
        <v>0</v>
      </c>
      <c r="N53" s="3">
        <f t="shared" si="3"/>
        <v>0</v>
      </c>
      <c r="O53" s="3">
        <v>0</v>
      </c>
      <c r="P53" s="15">
        <v>0</v>
      </c>
      <c r="Q53" s="22"/>
      <c r="R53" s="31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 spans="1:31" ht="15.75" x14ac:dyDescent="0.25">
      <c r="A54" s="1" t="s">
        <v>0</v>
      </c>
      <c r="B54" s="1" t="s">
        <v>1</v>
      </c>
      <c r="C54" s="2" t="s">
        <v>16</v>
      </c>
      <c r="D54" s="28" t="s">
        <v>25</v>
      </c>
      <c r="E54" s="1"/>
      <c r="F54" s="3">
        <v>271.83</v>
      </c>
      <c r="G54" s="3">
        <v>47</v>
      </c>
      <c r="H54" s="4">
        <v>210</v>
      </c>
      <c r="I54" s="3">
        <v>98</v>
      </c>
      <c r="J54" s="3">
        <v>112</v>
      </c>
      <c r="K54" s="3">
        <v>1</v>
      </c>
      <c r="L54" s="3">
        <f t="shared" si="2"/>
        <v>0.47619047619047622</v>
      </c>
      <c r="M54" s="3">
        <v>35</v>
      </c>
      <c r="N54" s="3">
        <f t="shared" si="3"/>
        <v>16.666666666666664</v>
      </c>
      <c r="O54" s="3">
        <v>0</v>
      </c>
      <c r="P54" s="15">
        <v>0</v>
      </c>
      <c r="Q54" s="22"/>
      <c r="R54" s="85">
        <v>44189</v>
      </c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 spans="1:31" ht="15.75" x14ac:dyDescent="0.25">
      <c r="A55" s="1" t="s">
        <v>0</v>
      </c>
      <c r="B55" s="1" t="s">
        <v>1</v>
      </c>
      <c r="C55" s="2" t="s">
        <v>16</v>
      </c>
      <c r="D55" s="28" t="s">
        <v>26</v>
      </c>
      <c r="E55" s="1"/>
      <c r="F55" s="3">
        <v>526.38</v>
      </c>
      <c r="G55" s="3">
        <v>230</v>
      </c>
      <c r="H55" s="4">
        <v>1243</v>
      </c>
      <c r="I55" s="3">
        <v>623</v>
      </c>
      <c r="J55" s="3">
        <v>620</v>
      </c>
      <c r="K55" s="3">
        <v>428</v>
      </c>
      <c r="L55" s="3">
        <f t="shared" si="2"/>
        <v>34.432823813354787</v>
      </c>
      <c r="M55" s="3">
        <v>4</v>
      </c>
      <c r="N55" s="3">
        <f t="shared" si="3"/>
        <v>0.32180209171359614</v>
      </c>
      <c r="O55" s="3">
        <v>80</v>
      </c>
      <c r="P55" s="15">
        <v>0</v>
      </c>
      <c r="Q55" s="22"/>
      <c r="R55" s="31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 spans="1:31" ht="15.75" x14ac:dyDescent="0.25">
      <c r="A56" s="1" t="s">
        <v>0</v>
      </c>
      <c r="B56" s="1" t="s">
        <v>1</v>
      </c>
      <c r="C56" s="2" t="s">
        <v>100</v>
      </c>
      <c r="D56" s="28" t="s">
        <v>99</v>
      </c>
      <c r="E56" s="1"/>
      <c r="F56" s="3">
        <v>751.48</v>
      </c>
      <c r="G56" s="3">
        <v>391</v>
      </c>
      <c r="H56" s="4">
        <v>1739</v>
      </c>
      <c r="I56" s="3">
        <v>807</v>
      </c>
      <c r="J56" s="3">
        <v>932</v>
      </c>
      <c r="K56" s="3">
        <v>242</v>
      </c>
      <c r="L56" s="3">
        <f t="shared" si="2"/>
        <v>13.916043703277744</v>
      </c>
      <c r="M56" s="3">
        <v>293</v>
      </c>
      <c r="N56" s="3">
        <f t="shared" si="3"/>
        <v>16.848763657274297</v>
      </c>
      <c r="O56" s="3">
        <v>45</v>
      </c>
      <c r="P56" s="15">
        <v>313</v>
      </c>
      <c r="Q56" s="22" t="s">
        <v>1348</v>
      </c>
      <c r="R56" s="30">
        <v>43881</v>
      </c>
      <c r="S56" s="74">
        <v>143.66999999999999</v>
      </c>
      <c r="T56" s="22"/>
      <c r="U56" s="75" t="s">
        <v>1348</v>
      </c>
      <c r="V56" s="75" t="s">
        <v>1348</v>
      </c>
      <c r="W56" s="75" t="s">
        <v>1348</v>
      </c>
      <c r="X56" s="22"/>
      <c r="Y56" s="22"/>
      <c r="Z56" s="22"/>
      <c r="AA56" s="22"/>
      <c r="AB56" s="22"/>
      <c r="AC56" s="22"/>
      <c r="AD56" s="22"/>
      <c r="AE56" s="22"/>
    </row>
    <row r="57" spans="1:31" ht="15.75" x14ac:dyDescent="0.25">
      <c r="A57" s="1" t="s">
        <v>0</v>
      </c>
      <c r="B57" s="1" t="s">
        <v>1</v>
      </c>
      <c r="C57" s="2" t="s">
        <v>100</v>
      </c>
      <c r="D57" s="28" t="s">
        <v>101</v>
      </c>
      <c r="E57" s="1"/>
      <c r="F57" s="3">
        <v>1286</v>
      </c>
      <c r="G57" s="3">
        <v>83</v>
      </c>
      <c r="H57" s="4">
        <v>398</v>
      </c>
      <c r="I57" s="3">
        <v>202</v>
      </c>
      <c r="J57" s="3">
        <v>196</v>
      </c>
      <c r="K57" s="3">
        <v>2</v>
      </c>
      <c r="L57" s="3">
        <f t="shared" si="2"/>
        <v>0.50251256281407031</v>
      </c>
      <c r="M57" s="3">
        <v>112</v>
      </c>
      <c r="N57" s="3">
        <f t="shared" si="3"/>
        <v>28.140703517587941</v>
      </c>
      <c r="O57" s="3">
        <v>0</v>
      </c>
      <c r="P57" s="15">
        <v>1150</v>
      </c>
      <c r="Q57" s="22"/>
      <c r="R57" s="31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</row>
    <row r="58" spans="1:31" ht="15.75" x14ac:dyDescent="0.25">
      <c r="A58" s="1" t="s">
        <v>0</v>
      </c>
      <c r="B58" s="1" t="s">
        <v>1</v>
      </c>
      <c r="C58" s="2" t="s">
        <v>100</v>
      </c>
      <c r="D58" s="28" t="s">
        <v>102</v>
      </c>
      <c r="E58" s="1"/>
      <c r="F58" s="3">
        <v>2093</v>
      </c>
      <c r="G58" s="3">
        <v>395</v>
      </c>
      <c r="H58" s="4">
        <v>1865</v>
      </c>
      <c r="I58" s="3">
        <v>870</v>
      </c>
      <c r="J58" s="3">
        <v>995</v>
      </c>
      <c r="K58" s="3">
        <v>245</v>
      </c>
      <c r="L58" s="3">
        <f t="shared" si="2"/>
        <v>13.136729222520108</v>
      </c>
      <c r="M58" s="3">
        <v>156</v>
      </c>
      <c r="N58" s="3">
        <f t="shared" si="3"/>
        <v>8.3646112600536195</v>
      </c>
      <c r="O58" s="3">
        <v>50</v>
      </c>
      <c r="P58" s="15">
        <v>1434</v>
      </c>
      <c r="Q58" s="22"/>
      <c r="R58" s="31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 spans="1:31" ht="15.75" x14ac:dyDescent="0.25">
      <c r="A59" s="1" t="s">
        <v>0</v>
      </c>
      <c r="B59" s="1" t="s">
        <v>1</v>
      </c>
      <c r="C59" s="2" t="s">
        <v>33</v>
      </c>
      <c r="D59" s="28" t="s">
        <v>32</v>
      </c>
      <c r="E59" s="1"/>
      <c r="F59" s="3">
        <v>663</v>
      </c>
      <c r="G59" s="3">
        <v>54</v>
      </c>
      <c r="H59" s="4">
        <v>247</v>
      </c>
      <c r="I59" s="3">
        <v>119</v>
      </c>
      <c r="J59" s="3">
        <v>128</v>
      </c>
      <c r="K59" s="3">
        <v>14</v>
      </c>
      <c r="L59" s="3">
        <f t="shared" si="2"/>
        <v>5.668016194331984</v>
      </c>
      <c r="M59" s="3">
        <v>0</v>
      </c>
      <c r="N59" s="3">
        <f t="shared" si="3"/>
        <v>0</v>
      </c>
      <c r="O59" s="3">
        <v>6</v>
      </c>
      <c r="P59" s="15">
        <v>319</v>
      </c>
      <c r="Q59" s="22" t="s">
        <v>1348</v>
      </c>
      <c r="R59" s="30">
        <v>43878</v>
      </c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</row>
    <row r="60" spans="1:31" ht="15.75" x14ac:dyDescent="0.25">
      <c r="A60" s="1" t="s">
        <v>0</v>
      </c>
      <c r="B60" s="1" t="s">
        <v>1</v>
      </c>
      <c r="C60" s="2" t="s">
        <v>33</v>
      </c>
      <c r="D60" s="28" t="s">
        <v>38</v>
      </c>
      <c r="E60" s="1"/>
      <c r="F60" s="3">
        <v>1099</v>
      </c>
      <c r="G60" s="3">
        <v>229</v>
      </c>
      <c r="H60" s="4">
        <v>1024</v>
      </c>
      <c r="I60" s="3">
        <v>488</v>
      </c>
      <c r="J60" s="3">
        <v>536</v>
      </c>
      <c r="K60" s="3">
        <v>309</v>
      </c>
      <c r="L60" s="3">
        <f t="shared" si="2"/>
        <v>30.17578125</v>
      </c>
      <c r="M60" s="3">
        <v>0</v>
      </c>
      <c r="N60" s="3">
        <f t="shared" si="3"/>
        <v>0</v>
      </c>
      <c r="O60" s="3">
        <v>95</v>
      </c>
      <c r="P60" s="15">
        <v>96</v>
      </c>
      <c r="Q60" s="22" t="s">
        <v>1348</v>
      </c>
      <c r="R60" s="30">
        <v>43877</v>
      </c>
      <c r="S60" s="69">
        <v>69.38</v>
      </c>
      <c r="T60" s="22"/>
      <c r="U60" s="70" t="s">
        <v>1348</v>
      </c>
      <c r="V60" s="70" t="s">
        <v>1348</v>
      </c>
      <c r="W60" s="70" t="s">
        <v>1348</v>
      </c>
      <c r="X60" s="22"/>
      <c r="Y60" s="22"/>
      <c r="Z60" s="22"/>
      <c r="AA60" s="22"/>
      <c r="AB60" s="22"/>
      <c r="AC60" s="22"/>
      <c r="AD60" s="22"/>
      <c r="AE60" s="22"/>
    </row>
    <row r="61" spans="1:31" ht="15.75" x14ac:dyDescent="0.25">
      <c r="A61" s="1" t="s">
        <v>0</v>
      </c>
      <c r="B61" s="1" t="s">
        <v>1</v>
      </c>
      <c r="C61" s="2" t="s">
        <v>33</v>
      </c>
      <c r="D61" s="28" t="s">
        <v>62</v>
      </c>
      <c r="E61" s="1"/>
      <c r="F61" s="3">
        <v>1123</v>
      </c>
      <c r="G61" s="3">
        <v>200</v>
      </c>
      <c r="H61" s="4">
        <v>945</v>
      </c>
      <c r="I61" s="3">
        <v>461</v>
      </c>
      <c r="J61" s="3">
        <v>484</v>
      </c>
      <c r="K61" s="3">
        <v>137</v>
      </c>
      <c r="L61" s="3">
        <f t="shared" si="2"/>
        <v>14.497354497354497</v>
      </c>
      <c r="M61" s="3">
        <v>0</v>
      </c>
      <c r="N61" s="3">
        <f t="shared" si="3"/>
        <v>0</v>
      </c>
      <c r="O61" s="3">
        <v>43</v>
      </c>
      <c r="P61" s="15">
        <v>0</v>
      </c>
      <c r="Q61" s="22" t="s">
        <v>1348</v>
      </c>
      <c r="R61" s="30">
        <v>43875</v>
      </c>
      <c r="S61" s="68">
        <v>52.58</v>
      </c>
      <c r="T61" s="22"/>
      <c r="U61" s="70" t="s">
        <v>1348</v>
      </c>
      <c r="V61" s="70" t="s">
        <v>1348</v>
      </c>
      <c r="W61" s="70" t="s">
        <v>1348</v>
      </c>
      <c r="X61" s="22"/>
      <c r="Y61" s="22"/>
      <c r="Z61" s="22"/>
      <c r="AA61" s="22"/>
      <c r="AB61" s="22"/>
      <c r="AC61" s="22"/>
      <c r="AD61" s="22"/>
      <c r="AE61" s="22"/>
    </row>
    <row r="62" spans="1:31" ht="15.75" x14ac:dyDescent="0.25">
      <c r="A62" s="1" t="s">
        <v>0</v>
      </c>
      <c r="B62" s="1" t="s">
        <v>1</v>
      </c>
      <c r="C62" s="2" t="s">
        <v>33</v>
      </c>
      <c r="D62" s="28" t="s">
        <v>63</v>
      </c>
      <c r="E62" s="1"/>
      <c r="F62" s="3">
        <v>795</v>
      </c>
      <c r="G62" s="3">
        <v>210</v>
      </c>
      <c r="H62" s="4">
        <v>1051</v>
      </c>
      <c r="I62" s="3">
        <v>505</v>
      </c>
      <c r="J62" s="3">
        <v>546</v>
      </c>
      <c r="K62" s="3">
        <v>233</v>
      </c>
      <c r="L62" s="3">
        <f t="shared" si="2"/>
        <v>22.169362511893436</v>
      </c>
      <c r="M62" s="3">
        <v>85</v>
      </c>
      <c r="N62" s="3">
        <f t="shared" si="3"/>
        <v>8.0875356803044731</v>
      </c>
      <c r="O62" s="3">
        <v>160</v>
      </c>
      <c r="P62" s="15">
        <v>226</v>
      </c>
      <c r="Q62" s="22" t="s">
        <v>1348</v>
      </c>
      <c r="R62" s="30">
        <v>43876</v>
      </c>
      <c r="S62" s="68">
        <v>22.47</v>
      </c>
      <c r="T62" s="22"/>
      <c r="U62" s="70" t="s">
        <v>1348</v>
      </c>
      <c r="V62" s="70" t="s">
        <v>1348</v>
      </c>
      <c r="W62" s="70" t="s">
        <v>1348</v>
      </c>
      <c r="X62" s="22"/>
      <c r="Y62" s="22"/>
      <c r="Z62" s="22"/>
      <c r="AA62" s="22"/>
      <c r="AB62" s="22"/>
      <c r="AC62" s="22"/>
      <c r="AD62" s="22"/>
      <c r="AE62" s="22"/>
    </row>
    <row r="63" spans="1:31" ht="15.75" x14ac:dyDescent="0.25">
      <c r="A63" s="1" t="s">
        <v>0</v>
      </c>
      <c r="B63" s="1" t="s">
        <v>1</v>
      </c>
      <c r="C63" s="2" t="s">
        <v>33</v>
      </c>
      <c r="D63" s="28" t="s">
        <v>64</v>
      </c>
      <c r="E63" s="1"/>
      <c r="F63" s="3">
        <v>320</v>
      </c>
      <c r="G63" s="3">
        <v>38</v>
      </c>
      <c r="H63" s="4">
        <v>190</v>
      </c>
      <c r="I63" s="3">
        <v>94</v>
      </c>
      <c r="J63" s="3">
        <v>96</v>
      </c>
      <c r="K63" s="3">
        <v>44</v>
      </c>
      <c r="L63" s="3">
        <f t="shared" si="2"/>
        <v>23.157894736842106</v>
      </c>
      <c r="M63" s="3">
        <v>0</v>
      </c>
      <c r="N63" s="3">
        <f t="shared" si="3"/>
        <v>0</v>
      </c>
      <c r="O63" s="3">
        <v>0</v>
      </c>
      <c r="P63" s="15">
        <v>0</v>
      </c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spans="1:31" ht="15.75" x14ac:dyDescent="0.25">
      <c r="A64" s="1" t="s">
        <v>0</v>
      </c>
      <c r="B64" s="1" t="s">
        <v>1</v>
      </c>
      <c r="C64" s="2" t="s">
        <v>79</v>
      </c>
      <c r="D64" s="28" t="s">
        <v>78</v>
      </c>
      <c r="E64" s="1"/>
      <c r="F64" s="3">
        <v>490.37</v>
      </c>
      <c r="G64" s="3">
        <v>375</v>
      </c>
      <c r="H64" s="4">
        <v>1602</v>
      </c>
      <c r="I64" s="3">
        <v>664</v>
      </c>
      <c r="J64" s="3">
        <v>938</v>
      </c>
      <c r="K64" s="3">
        <v>313</v>
      </c>
      <c r="L64" s="3">
        <f t="shared" si="2"/>
        <v>19.538077403245943</v>
      </c>
      <c r="M64" s="3">
        <v>0</v>
      </c>
      <c r="N64" s="3">
        <f t="shared" si="3"/>
        <v>0</v>
      </c>
      <c r="O64" s="3">
        <v>24.37</v>
      </c>
      <c r="P64" s="15">
        <v>0</v>
      </c>
      <c r="Q64" s="22"/>
      <c r="R64" s="83">
        <v>44083</v>
      </c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 spans="1:31" ht="15.75" x14ac:dyDescent="0.25">
      <c r="A65" s="1" t="s">
        <v>0</v>
      </c>
      <c r="B65" s="1" t="s">
        <v>1</v>
      </c>
      <c r="C65" s="2" t="s">
        <v>79</v>
      </c>
      <c r="D65" s="28" t="s">
        <v>80</v>
      </c>
      <c r="E65" s="1"/>
      <c r="F65" s="3">
        <v>330.23</v>
      </c>
      <c r="G65" s="3">
        <v>552</v>
      </c>
      <c r="H65" s="4">
        <v>3046</v>
      </c>
      <c r="I65" s="3">
        <v>1589</v>
      </c>
      <c r="J65" s="3">
        <v>1457</v>
      </c>
      <c r="K65" s="3">
        <v>601</v>
      </c>
      <c r="L65" s="3">
        <f t="shared" si="2"/>
        <v>19.730794484569927</v>
      </c>
      <c r="M65" s="3">
        <v>198</v>
      </c>
      <c r="N65" s="3">
        <f t="shared" si="3"/>
        <v>6.5003282994090608</v>
      </c>
      <c r="O65" s="3">
        <v>0</v>
      </c>
      <c r="P65" s="15">
        <v>0</v>
      </c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 spans="1:31" ht="15.75" x14ac:dyDescent="0.25">
      <c r="A66" s="1" t="s">
        <v>0</v>
      </c>
      <c r="B66" s="1" t="s">
        <v>1</v>
      </c>
      <c r="C66" s="2" t="s">
        <v>43</v>
      </c>
      <c r="D66" s="28" t="s">
        <v>42</v>
      </c>
      <c r="E66" s="1"/>
      <c r="F66" s="3">
        <v>5635.92</v>
      </c>
      <c r="G66" s="3">
        <v>2031</v>
      </c>
      <c r="H66" s="4">
        <v>9361</v>
      </c>
      <c r="I66" s="3">
        <v>4494</v>
      </c>
      <c r="J66" s="3">
        <v>4867</v>
      </c>
      <c r="K66" s="3">
        <v>2119</v>
      </c>
      <c r="L66" s="3">
        <f t="shared" si="2"/>
        <v>22.636470462557419</v>
      </c>
      <c r="M66" s="3">
        <v>165</v>
      </c>
      <c r="N66" s="3">
        <f t="shared" si="3"/>
        <v>1.762632197414806</v>
      </c>
      <c r="O66" s="3">
        <v>182</v>
      </c>
      <c r="P66" s="15">
        <v>0</v>
      </c>
      <c r="Q66" s="22"/>
      <c r="R66" s="83">
        <v>44095</v>
      </c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spans="1:31" ht="15.75" x14ac:dyDescent="0.25">
      <c r="A67" s="1" t="s">
        <v>0</v>
      </c>
      <c r="B67" s="1" t="s">
        <v>1</v>
      </c>
      <c r="C67" s="2" t="s">
        <v>57</v>
      </c>
      <c r="D67" s="28" t="s">
        <v>56</v>
      </c>
      <c r="E67" s="1"/>
      <c r="F67" s="3">
        <v>3343</v>
      </c>
      <c r="G67" s="3">
        <v>1481</v>
      </c>
      <c r="H67" s="4">
        <v>6713</v>
      </c>
      <c r="I67" s="3">
        <v>3264</v>
      </c>
      <c r="J67" s="3">
        <v>3449</v>
      </c>
      <c r="K67" s="3">
        <v>1520</v>
      </c>
      <c r="L67" s="3">
        <f t="shared" si="2"/>
        <v>22.642633695814094</v>
      </c>
      <c r="M67" s="3">
        <v>384</v>
      </c>
      <c r="N67" s="3">
        <f t="shared" si="3"/>
        <v>5.7202443021004026</v>
      </c>
      <c r="O67" s="3">
        <v>124</v>
      </c>
      <c r="P67" s="15">
        <v>0</v>
      </c>
      <c r="Q67" s="22"/>
      <c r="R67" s="83">
        <v>44084</v>
      </c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</row>
    <row r="68" spans="1:31" ht="15.75" x14ac:dyDescent="0.25">
      <c r="A68" s="1" t="s">
        <v>0</v>
      </c>
      <c r="B68" s="1" t="s">
        <v>1</v>
      </c>
      <c r="C68" s="2" t="s">
        <v>3</v>
      </c>
      <c r="D68" s="28" t="s">
        <v>2</v>
      </c>
      <c r="E68" s="1"/>
      <c r="F68" s="3">
        <v>374.09</v>
      </c>
      <c r="G68" s="3">
        <v>198</v>
      </c>
      <c r="H68" s="4">
        <v>952</v>
      </c>
      <c r="I68" s="3">
        <v>477</v>
      </c>
      <c r="J68" s="3">
        <v>475</v>
      </c>
      <c r="K68" s="3">
        <v>206</v>
      </c>
      <c r="L68" s="3">
        <f t="shared" ref="L68:L81" si="4">(K68/H68)*100</f>
        <v>21.638655462184875</v>
      </c>
      <c r="M68" s="3">
        <v>8</v>
      </c>
      <c r="N68" s="3">
        <f t="shared" ref="N68:N81" si="5">(M68/H68)*100</f>
        <v>0.84033613445378152</v>
      </c>
      <c r="O68" s="3">
        <v>27</v>
      </c>
      <c r="P68" s="15">
        <v>0</v>
      </c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</row>
    <row r="69" spans="1:31" ht="15.75" x14ac:dyDescent="0.25">
      <c r="A69" s="1" t="s">
        <v>0</v>
      </c>
      <c r="B69" s="1" t="s">
        <v>1</v>
      </c>
      <c r="C69" s="2" t="s">
        <v>3</v>
      </c>
      <c r="D69" s="28" t="s">
        <v>4</v>
      </c>
      <c r="E69" s="1"/>
      <c r="F69" s="3">
        <v>312.41000000000003</v>
      </c>
      <c r="G69" s="3">
        <v>185</v>
      </c>
      <c r="H69" s="4">
        <v>1015</v>
      </c>
      <c r="I69" s="3">
        <v>532</v>
      </c>
      <c r="J69" s="3">
        <v>483</v>
      </c>
      <c r="K69" s="3">
        <v>388</v>
      </c>
      <c r="L69" s="3">
        <f t="shared" si="4"/>
        <v>38.226600985221673</v>
      </c>
      <c r="M69" s="3">
        <v>0</v>
      </c>
      <c r="N69" s="3">
        <f t="shared" si="5"/>
        <v>0</v>
      </c>
      <c r="O69" s="3">
        <v>2.1</v>
      </c>
      <c r="P69" s="15">
        <v>0</v>
      </c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</row>
    <row r="70" spans="1:31" ht="15.75" x14ac:dyDescent="0.25">
      <c r="A70" s="1" t="s">
        <v>0</v>
      </c>
      <c r="B70" s="1" t="s">
        <v>1</v>
      </c>
      <c r="C70" s="2" t="s">
        <v>3</v>
      </c>
      <c r="D70" s="28" t="s">
        <v>5</v>
      </c>
      <c r="E70" s="1"/>
      <c r="F70" s="3">
        <v>1302.76</v>
      </c>
      <c r="G70" s="3">
        <v>394</v>
      </c>
      <c r="H70" s="4">
        <v>1969</v>
      </c>
      <c r="I70" s="3">
        <v>948</v>
      </c>
      <c r="J70" s="3">
        <v>1021</v>
      </c>
      <c r="K70" s="3">
        <v>388</v>
      </c>
      <c r="L70" s="3">
        <f t="shared" si="4"/>
        <v>19.705434230573896</v>
      </c>
      <c r="M70" s="3">
        <v>47</v>
      </c>
      <c r="N70" s="3">
        <f t="shared" si="5"/>
        <v>2.3869984763839511</v>
      </c>
      <c r="O70" s="3">
        <v>290.39999999999998</v>
      </c>
      <c r="P70" s="15">
        <v>0</v>
      </c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 spans="1:31" ht="15.75" x14ac:dyDescent="0.25">
      <c r="A71" s="1" t="s">
        <v>0</v>
      </c>
      <c r="B71" s="1" t="s">
        <v>1</v>
      </c>
      <c r="C71" s="2" t="s">
        <v>7</v>
      </c>
      <c r="D71" s="28" t="s">
        <v>6</v>
      </c>
      <c r="E71" s="1"/>
      <c r="F71" s="3">
        <v>381.93</v>
      </c>
      <c r="G71" s="3">
        <v>173</v>
      </c>
      <c r="H71" s="4">
        <v>895</v>
      </c>
      <c r="I71" s="3">
        <v>471</v>
      </c>
      <c r="J71" s="3">
        <v>424</v>
      </c>
      <c r="K71" s="3">
        <v>215</v>
      </c>
      <c r="L71" s="3">
        <f t="shared" si="4"/>
        <v>24.022346368715084</v>
      </c>
      <c r="M71" s="3">
        <v>9</v>
      </c>
      <c r="N71" s="3">
        <f t="shared" si="5"/>
        <v>1.005586592178771</v>
      </c>
      <c r="O71" s="3">
        <v>46.38</v>
      </c>
      <c r="P71" s="15">
        <v>0</v>
      </c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 spans="1:31" ht="15.75" x14ac:dyDescent="0.25">
      <c r="A72" s="1" t="s">
        <v>0</v>
      </c>
      <c r="B72" s="1" t="s">
        <v>1</v>
      </c>
      <c r="C72" s="2" t="s">
        <v>7</v>
      </c>
      <c r="D72" s="28" t="s">
        <v>8</v>
      </c>
      <c r="E72" s="1"/>
      <c r="F72" s="3">
        <v>637</v>
      </c>
      <c r="G72" s="3">
        <v>286</v>
      </c>
      <c r="H72" s="4">
        <v>1484</v>
      </c>
      <c r="I72" s="3">
        <v>762</v>
      </c>
      <c r="J72" s="3">
        <v>722</v>
      </c>
      <c r="K72" s="3">
        <v>263</v>
      </c>
      <c r="L72" s="3">
        <f t="shared" si="4"/>
        <v>17.722371967654986</v>
      </c>
      <c r="M72" s="3">
        <v>171</v>
      </c>
      <c r="N72" s="3">
        <f t="shared" si="5"/>
        <v>11.522911051212938</v>
      </c>
      <c r="O72" s="3">
        <v>11</v>
      </c>
      <c r="P72" s="15">
        <v>51</v>
      </c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 spans="1:31" ht="15.75" x14ac:dyDescent="0.25">
      <c r="A73" s="1" t="s">
        <v>0</v>
      </c>
      <c r="B73" s="1" t="s">
        <v>1</v>
      </c>
      <c r="C73" s="2" t="s">
        <v>7</v>
      </c>
      <c r="D73" s="28" t="s">
        <v>9</v>
      </c>
      <c r="E73" s="1"/>
      <c r="F73" s="3">
        <v>544</v>
      </c>
      <c r="G73" s="3">
        <v>84</v>
      </c>
      <c r="H73" s="4">
        <v>403</v>
      </c>
      <c r="I73" s="3">
        <v>201</v>
      </c>
      <c r="J73" s="3">
        <v>202</v>
      </c>
      <c r="K73" s="3">
        <v>113</v>
      </c>
      <c r="L73" s="3">
        <f t="shared" si="4"/>
        <v>28.039702233250619</v>
      </c>
      <c r="M73" s="3">
        <v>63</v>
      </c>
      <c r="N73" s="3">
        <f t="shared" si="5"/>
        <v>15.632754342431761</v>
      </c>
      <c r="O73" s="3">
        <v>0</v>
      </c>
      <c r="P73" s="15">
        <v>230</v>
      </c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 spans="1:31" ht="15.75" x14ac:dyDescent="0.25">
      <c r="A74" s="1" t="s">
        <v>0</v>
      </c>
      <c r="B74" s="1" t="s">
        <v>1</v>
      </c>
      <c r="C74" s="2" t="s">
        <v>7</v>
      </c>
      <c r="D74" s="28" t="s">
        <v>10</v>
      </c>
      <c r="E74" s="1"/>
      <c r="F74" s="3">
        <v>990</v>
      </c>
      <c r="G74" s="3">
        <v>136</v>
      </c>
      <c r="H74" s="4">
        <v>732</v>
      </c>
      <c r="I74" s="3">
        <v>373</v>
      </c>
      <c r="J74" s="3">
        <v>359</v>
      </c>
      <c r="K74" s="3">
        <v>141</v>
      </c>
      <c r="L74" s="3">
        <f t="shared" si="4"/>
        <v>19.262295081967213</v>
      </c>
      <c r="M74" s="3">
        <v>0</v>
      </c>
      <c r="N74" s="3">
        <f t="shared" si="5"/>
        <v>0</v>
      </c>
      <c r="O74" s="3">
        <v>104</v>
      </c>
      <c r="P74" s="15">
        <v>637</v>
      </c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</row>
    <row r="75" spans="1:31" ht="15.75" x14ac:dyDescent="0.25">
      <c r="A75" s="1" t="s">
        <v>0</v>
      </c>
      <c r="B75" s="1" t="s">
        <v>1</v>
      </c>
      <c r="C75" s="2" t="s">
        <v>69</v>
      </c>
      <c r="D75" s="28" t="s">
        <v>68</v>
      </c>
      <c r="E75" s="1"/>
      <c r="F75" s="3">
        <v>300</v>
      </c>
      <c r="G75" s="3">
        <v>131</v>
      </c>
      <c r="H75" s="4">
        <v>639</v>
      </c>
      <c r="I75" s="3">
        <v>326</v>
      </c>
      <c r="J75" s="3">
        <v>313</v>
      </c>
      <c r="K75" s="3">
        <v>181</v>
      </c>
      <c r="L75" s="3">
        <f t="shared" si="4"/>
        <v>28.325508607198746</v>
      </c>
      <c r="M75" s="3">
        <v>0</v>
      </c>
      <c r="N75" s="3">
        <f t="shared" si="5"/>
        <v>0</v>
      </c>
      <c r="O75" s="3">
        <v>36</v>
      </c>
      <c r="P75" s="15">
        <v>0</v>
      </c>
      <c r="Q75" s="22" t="s">
        <v>1348</v>
      </c>
      <c r="R75" s="77">
        <v>43873</v>
      </c>
      <c r="S75" s="78">
        <v>10.65</v>
      </c>
      <c r="T75" s="22"/>
      <c r="U75" s="79" t="s">
        <v>1348</v>
      </c>
      <c r="V75" s="79" t="s">
        <v>1348</v>
      </c>
      <c r="W75" s="79" t="s">
        <v>1348</v>
      </c>
      <c r="X75" s="22"/>
      <c r="Y75" s="22"/>
      <c r="Z75" s="22"/>
      <c r="AA75" s="22"/>
      <c r="AB75" s="22"/>
      <c r="AC75" s="22"/>
      <c r="AD75" s="22"/>
      <c r="AE75" s="22"/>
    </row>
    <row r="76" spans="1:31" ht="15.75" x14ac:dyDescent="0.25">
      <c r="A76" s="1" t="s">
        <v>0</v>
      </c>
      <c r="B76" s="1" t="s">
        <v>1</v>
      </c>
      <c r="C76" s="2" t="s">
        <v>69</v>
      </c>
      <c r="D76" s="28" t="s">
        <v>77</v>
      </c>
      <c r="E76" s="1"/>
      <c r="F76" s="3">
        <v>1357</v>
      </c>
      <c r="G76" s="3">
        <v>412</v>
      </c>
      <c r="H76" s="4">
        <v>1860</v>
      </c>
      <c r="I76" s="3">
        <v>800</v>
      </c>
      <c r="J76" s="3">
        <v>1060</v>
      </c>
      <c r="K76" s="3">
        <v>530</v>
      </c>
      <c r="L76" s="3">
        <f t="shared" si="4"/>
        <v>28.49462365591398</v>
      </c>
      <c r="M76" s="3">
        <v>29</v>
      </c>
      <c r="N76" s="3">
        <f t="shared" si="5"/>
        <v>1.5591397849462365</v>
      </c>
      <c r="O76" s="3">
        <v>112</v>
      </c>
      <c r="P76" s="15">
        <v>298</v>
      </c>
      <c r="Q76" s="22" t="s">
        <v>1348</v>
      </c>
      <c r="R76" s="30">
        <v>43886</v>
      </c>
      <c r="S76" s="76">
        <v>32.31</v>
      </c>
      <c r="T76" s="22"/>
      <c r="U76" s="79" t="s">
        <v>1348</v>
      </c>
      <c r="V76" s="79" t="s">
        <v>1348</v>
      </c>
      <c r="W76" s="79" t="s">
        <v>1348</v>
      </c>
      <c r="X76" s="22"/>
      <c r="Y76" s="22"/>
      <c r="Z76" s="22"/>
      <c r="AA76" s="22"/>
      <c r="AB76" s="22"/>
      <c r="AC76" s="22"/>
      <c r="AD76" s="22"/>
      <c r="AE76" s="22"/>
    </row>
    <row r="77" spans="1:31" ht="15.75" x14ac:dyDescent="0.25">
      <c r="A77" s="1" t="s">
        <v>0</v>
      </c>
      <c r="B77" s="1" t="s">
        <v>1</v>
      </c>
      <c r="C77" s="2" t="s">
        <v>69</v>
      </c>
      <c r="D77" s="28" t="s">
        <v>85</v>
      </c>
      <c r="E77" s="1"/>
      <c r="F77" s="3">
        <v>475</v>
      </c>
      <c r="G77" s="3">
        <v>225</v>
      </c>
      <c r="H77" s="4">
        <v>1063</v>
      </c>
      <c r="I77" s="3">
        <v>480</v>
      </c>
      <c r="J77" s="3">
        <v>583</v>
      </c>
      <c r="K77" s="3">
        <v>245</v>
      </c>
      <c r="L77" s="3">
        <f t="shared" si="4"/>
        <v>23.047977422389465</v>
      </c>
      <c r="M77" s="3">
        <v>0</v>
      </c>
      <c r="N77" s="3">
        <f t="shared" si="5"/>
        <v>0</v>
      </c>
      <c r="O77" s="3">
        <v>54</v>
      </c>
      <c r="P77" s="15">
        <v>0</v>
      </c>
      <c r="Q77" s="22" t="s">
        <v>1348</v>
      </c>
      <c r="R77" s="30">
        <v>43877</v>
      </c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</row>
    <row r="78" spans="1:31" ht="15.75" x14ac:dyDescent="0.25">
      <c r="A78" s="1" t="s">
        <v>0</v>
      </c>
      <c r="B78" s="1" t="s">
        <v>1</v>
      </c>
      <c r="C78" s="2" t="s">
        <v>69</v>
      </c>
      <c r="D78" s="28" t="s">
        <v>86</v>
      </c>
      <c r="E78" s="1"/>
      <c r="F78" s="3">
        <v>249</v>
      </c>
      <c r="G78" s="3">
        <v>78</v>
      </c>
      <c r="H78" s="4">
        <v>395</v>
      </c>
      <c r="I78" s="3">
        <v>207</v>
      </c>
      <c r="J78" s="3">
        <v>188</v>
      </c>
      <c r="K78" s="3">
        <v>75</v>
      </c>
      <c r="L78" s="3">
        <f t="shared" si="4"/>
        <v>18.9873417721519</v>
      </c>
      <c r="M78" s="3">
        <v>0</v>
      </c>
      <c r="N78" s="3">
        <f t="shared" si="5"/>
        <v>0</v>
      </c>
      <c r="O78" s="3">
        <v>35</v>
      </c>
      <c r="P78" s="15">
        <v>0</v>
      </c>
      <c r="Q78" s="22" t="s">
        <v>1348</v>
      </c>
      <c r="R78" s="30">
        <v>43879</v>
      </c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 spans="1:31" ht="15.75" x14ac:dyDescent="0.25">
      <c r="A79" s="1" t="s">
        <v>0</v>
      </c>
      <c r="B79" s="1" t="s">
        <v>1</v>
      </c>
      <c r="C79" s="2" t="s">
        <v>30</v>
      </c>
      <c r="D79" s="28" t="s">
        <v>29</v>
      </c>
      <c r="E79" s="1"/>
      <c r="F79" s="3">
        <v>1942.67</v>
      </c>
      <c r="G79" s="3">
        <v>484</v>
      </c>
      <c r="H79" s="4">
        <v>2573</v>
      </c>
      <c r="I79" s="3">
        <v>1305</v>
      </c>
      <c r="J79" s="3">
        <v>1268</v>
      </c>
      <c r="K79" s="3">
        <v>620</v>
      </c>
      <c r="L79" s="3">
        <f t="shared" si="4"/>
        <v>24.096385542168676</v>
      </c>
      <c r="M79" s="3">
        <v>549</v>
      </c>
      <c r="N79" s="3">
        <f t="shared" si="5"/>
        <v>21.336960746210647</v>
      </c>
      <c r="O79" s="3">
        <v>26.59</v>
      </c>
      <c r="P79" s="15">
        <v>1273.03</v>
      </c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</row>
    <row r="80" spans="1:31" ht="15.75" x14ac:dyDescent="0.25">
      <c r="A80" s="1" t="s">
        <v>0</v>
      </c>
      <c r="B80" s="1" t="s">
        <v>1</v>
      </c>
      <c r="C80" s="2" t="s">
        <v>30</v>
      </c>
      <c r="D80" s="28" t="s">
        <v>31</v>
      </c>
      <c r="E80" s="1"/>
      <c r="F80" s="3">
        <v>1502.33</v>
      </c>
      <c r="G80" s="3">
        <v>165</v>
      </c>
      <c r="H80" s="4">
        <v>954</v>
      </c>
      <c r="I80" s="3">
        <v>501</v>
      </c>
      <c r="J80" s="3">
        <v>453</v>
      </c>
      <c r="K80" s="3">
        <v>63</v>
      </c>
      <c r="L80" s="3">
        <f t="shared" si="4"/>
        <v>6.6037735849056602</v>
      </c>
      <c r="M80" s="3">
        <v>8</v>
      </c>
      <c r="N80" s="3">
        <f t="shared" si="5"/>
        <v>0.83857442348008393</v>
      </c>
      <c r="O80" s="3">
        <v>105</v>
      </c>
      <c r="P80" s="15">
        <v>1070.92</v>
      </c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</row>
    <row r="81" spans="1:31" ht="15.75" x14ac:dyDescent="0.25">
      <c r="A81" s="1" t="s">
        <v>0</v>
      </c>
      <c r="B81" s="1" t="s">
        <v>1</v>
      </c>
      <c r="C81" s="2" t="s">
        <v>30</v>
      </c>
      <c r="D81" s="28" t="s">
        <v>34</v>
      </c>
      <c r="E81" s="1"/>
      <c r="F81" s="3">
        <v>294.74</v>
      </c>
      <c r="G81" s="3">
        <v>136</v>
      </c>
      <c r="H81" s="4">
        <v>788</v>
      </c>
      <c r="I81" s="3">
        <v>417</v>
      </c>
      <c r="J81" s="3">
        <v>371</v>
      </c>
      <c r="K81" s="3">
        <v>164</v>
      </c>
      <c r="L81" s="3">
        <f t="shared" si="4"/>
        <v>20.812182741116754</v>
      </c>
      <c r="M81" s="3">
        <v>0</v>
      </c>
      <c r="N81" s="3">
        <f t="shared" si="5"/>
        <v>0</v>
      </c>
      <c r="O81" s="3">
        <v>46</v>
      </c>
      <c r="P81" s="15">
        <v>0</v>
      </c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</row>
  </sheetData>
  <mergeCells count="3">
    <mergeCell ref="K2:L2"/>
    <mergeCell ref="M2:N2"/>
    <mergeCell ref="AD2:A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4"/>
  <sheetViews>
    <sheetView tabSelected="1" workbookViewId="0">
      <pane xSplit="12" ySplit="4" topLeftCell="O5" activePane="bottomRight" state="frozen"/>
      <selection pane="topRight" activeCell="M1" sqref="M1"/>
      <selection pane="bottomLeft" activeCell="A5" sqref="A5"/>
      <selection pane="bottomRight" activeCell="E7" sqref="E7"/>
    </sheetView>
  </sheetViews>
  <sheetFormatPr defaultRowHeight="15" x14ac:dyDescent="0.25"/>
  <cols>
    <col min="3" max="3" width="18.7109375" customWidth="1"/>
    <col min="4" max="4" width="24.140625" customWidth="1"/>
    <col min="5" max="5" width="18.42578125" customWidth="1"/>
    <col min="18" max="19" width="10.42578125" bestFit="1" customWidth="1"/>
  </cols>
  <sheetData>
    <row r="1" spans="1:31" ht="15.75" x14ac:dyDescent="0.25">
      <c r="A1" s="23"/>
      <c r="B1" s="23"/>
      <c r="C1" s="24"/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11" t="s">
        <v>1327</v>
      </c>
      <c r="R1" s="11" t="s">
        <v>1327</v>
      </c>
      <c r="S1" s="11" t="s">
        <v>1328</v>
      </c>
      <c r="T1" s="12" t="s">
        <v>1329</v>
      </c>
      <c r="U1" s="11" t="s">
        <v>1329</v>
      </c>
      <c r="V1" s="11" t="s">
        <v>1329</v>
      </c>
      <c r="W1" s="11" t="s">
        <v>1329</v>
      </c>
      <c r="X1" s="11" t="s">
        <v>1329</v>
      </c>
      <c r="Y1" s="11" t="s">
        <v>1329</v>
      </c>
      <c r="Z1" s="13" t="s">
        <v>1330</v>
      </c>
      <c r="AA1" s="13" t="s">
        <v>1330</v>
      </c>
      <c r="AB1" s="13" t="s">
        <v>1330</v>
      </c>
      <c r="AC1" s="13" t="s">
        <v>1330</v>
      </c>
      <c r="AD1" s="13" t="s">
        <v>1330</v>
      </c>
      <c r="AE1" s="13" t="s">
        <v>1330</v>
      </c>
    </row>
    <row r="2" spans="1:31" s="27" customFormat="1" ht="165" x14ac:dyDescent="0.25">
      <c r="A2" s="26" t="s">
        <v>1336</v>
      </c>
      <c r="B2" s="26" t="s">
        <v>1337</v>
      </c>
      <c r="C2" s="26" t="s">
        <v>1338</v>
      </c>
      <c r="D2" s="26" t="s">
        <v>1339</v>
      </c>
      <c r="E2" s="26" t="s">
        <v>1340</v>
      </c>
      <c r="F2" s="26" t="s">
        <v>1341</v>
      </c>
      <c r="G2" s="26" t="s">
        <v>1342</v>
      </c>
      <c r="H2" s="26" t="s">
        <v>1343</v>
      </c>
      <c r="I2" s="26" t="s">
        <v>1344</v>
      </c>
      <c r="J2" s="26" t="s">
        <v>1345</v>
      </c>
      <c r="K2" s="122" t="s">
        <v>1346</v>
      </c>
      <c r="L2" s="123"/>
      <c r="M2" s="122" t="s">
        <v>1347</v>
      </c>
      <c r="N2" s="123"/>
      <c r="O2" s="14" t="s">
        <v>1331</v>
      </c>
      <c r="P2" s="14" t="s">
        <v>1332</v>
      </c>
      <c r="Q2" s="6" t="s">
        <v>1307</v>
      </c>
      <c r="R2" s="6" t="s">
        <v>1308</v>
      </c>
      <c r="S2" s="6" t="s">
        <v>1309</v>
      </c>
      <c r="T2" s="7" t="s">
        <v>1310</v>
      </c>
      <c r="U2" s="6" t="s">
        <v>1311</v>
      </c>
      <c r="V2" s="7" t="s">
        <v>1312</v>
      </c>
      <c r="W2" s="6" t="s">
        <v>1313</v>
      </c>
      <c r="X2" s="6" t="s">
        <v>1314</v>
      </c>
      <c r="Y2" s="7" t="s">
        <v>1315</v>
      </c>
      <c r="Z2" s="7" t="s">
        <v>1316</v>
      </c>
      <c r="AA2" s="7" t="s">
        <v>1317</v>
      </c>
      <c r="AB2" s="7" t="s">
        <v>1318</v>
      </c>
      <c r="AC2" s="7" t="s">
        <v>1319</v>
      </c>
      <c r="AD2" s="121" t="s">
        <v>1320</v>
      </c>
      <c r="AE2" s="121"/>
    </row>
    <row r="3" spans="1:31" ht="31.5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8" t="s">
        <v>1333</v>
      </c>
      <c r="L3" s="8" t="s">
        <v>1334</v>
      </c>
      <c r="M3" s="8" t="s">
        <v>1333</v>
      </c>
      <c r="N3" s="8" t="s">
        <v>1334</v>
      </c>
      <c r="O3" s="14" t="s">
        <v>1335</v>
      </c>
      <c r="P3" s="14" t="s">
        <v>1335</v>
      </c>
      <c r="Q3" s="8" t="s">
        <v>1321</v>
      </c>
      <c r="R3" s="8" t="s">
        <v>1322</v>
      </c>
      <c r="S3" s="8" t="s">
        <v>1323</v>
      </c>
      <c r="T3" s="9" t="s">
        <v>1323</v>
      </c>
      <c r="U3" s="8" t="s">
        <v>1321</v>
      </c>
      <c r="V3" s="8" t="s">
        <v>1321</v>
      </c>
      <c r="W3" s="9" t="s">
        <v>1321</v>
      </c>
      <c r="X3" s="9" t="s">
        <v>1321</v>
      </c>
      <c r="Y3" s="9" t="s">
        <v>1323</v>
      </c>
      <c r="Z3" s="9" t="s">
        <v>1321</v>
      </c>
      <c r="AA3" s="9" t="s">
        <v>1321</v>
      </c>
      <c r="AB3" s="9" t="s">
        <v>1323</v>
      </c>
      <c r="AC3" s="8" t="s">
        <v>1324</v>
      </c>
      <c r="AD3" s="10" t="s">
        <v>1325</v>
      </c>
      <c r="AE3" s="10" t="s">
        <v>1326</v>
      </c>
    </row>
    <row r="4" spans="1:31" x14ac:dyDescent="0.25">
      <c r="A4" s="1" t="s">
        <v>0</v>
      </c>
      <c r="B4" s="1" t="s">
        <v>103</v>
      </c>
      <c r="C4" s="2" t="s">
        <v>219</v>
      </c>
      <c r="D4" s="1" t="s">
        <v>218</v>
      </c>
      <c r="E4" s="1"/>
      <c r="F4" s="3">
        <v>215</v>
      </c>
      <c r="G4" s="3">
        <v>106</v>
      </c>
      <c r="H4" s="4">
        <v>561</v>
      </c>
      <c r="I4" s="3">
        <v>267</v>
      </c>
      <c r="J4" s="3">
        <v>294</v>
      </c>
      <c r="K4" s="3">
        <v>1</v>
      </c>
      <c r="L4" s="3">
        <f t="shared" ref="L4:L35" si="0">(K4/H4)*100</f>
        <v>0.17825311942959002</v>
      </c>
      <c r="M4" s="3">
        <v>354</v>
      </c>
      <c r="N4" s="3">
        <f t="shared" ref="N4:N35" si="1">(M4/H4)*100</f>
        <v>63.101604278074866</v>
      </c>
      <c r="O4" s="3">
        <v>0</v>
      </c>
      <c r="P4" s="15">
        <v>0</v>
      </c>
      <c r="Q4" s="22"/>
      <c r="R4" s="83">
        <v>44210</v>
      </c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</row>
    <row r="5" spans="1:31" x14ac:dyDescent="0.25">
      <c r="A5" s="1" t="s">
        <v>0</v>
      </c>
      <c r="B5" s="1" t="s">
        <v>103</v>
      </c>
      <c r="C5" s="2" t="s">
        <v>219</v>
      </c>
      <c r="D5" s="1" t="s">
        <v>220</v>
      </c>
      <c r="E5" s="1"/>
      <c r="F5" s="3">
        <v>347</v>
      </c>
      <c r="G5" s="3">
        <v>216</v>
      </c>
      <c r="H5" s="4">
        <v>1069</v>
      </c>
      <c r="I5" s="3">
        <v>548</v>
      </c>
      <c r="J5" s="3">
        <v>521</v>
      </c>
      <c r="K5" s="3">
        <v>159</v>
      </c>
      <c r="L5" s="3">
        <f t="shared" si="0"/>
        <v>14.873713751169317</v>
      </c>
      <c r="M5" s="3">
        <v>198</v>
      </c>
      <c r="N5" s="3">
        <f t="shared" si="1"/>
        <v>18.521983161833489</v>
      </c>
      <c r="O5" s="3">
        <v>139</v>
      </c>
      <c r="P5" s="15">
        <v>0</v>
      </c>
      <c r="Q5" s="22"/>
      <c r="R5" s="83">
        <v>44462</v>
      </c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</row>
    <row r="6" spans="1:31" x14ac:dyDescent="0.25">
      <c r="A6" s="1" t="s">
        <v>0</v>
      </c>
      <c r="B6" s="1" t="s">
        <v>103</v>
      </c>
      <c r="C6" s="2" t="s">
        <v>219</v>
      </c>
      <c r="D6" s="1" t="s">
        <v>221</v>
      </c>
      <c r="E6" s="1"/>
      <c r="F6" s="3">
        <v>695</v>
      </c>
      <c r="G6" s="3">
        <v>262</v>
      </c>
      <c r="H6" s="4">
        <v>1294</v>
      </c>
      <c r="I6" s="3">
        <v>691</v>
      </c>
      <c r="J6" s="3">
        <v>603</v>
      </c>
      <c r="K6" s="3">
        <v>39</v>
      </c>
      <c r="L6" s="3">
        <f t="shared" si="0"/>
        <v>3.0139103554868623</v>
      </c>
      <c r="M6" s="3">
        <v>1070</v>
      </c>
      <c r="N6" s="3">
        <f t="shared" si="1"/>
        <v>82.689335394126743</v>
      </c>
      <c r="O6" s="3">
        <v>202</v>
      </c>
      <c r="P6" s="15">
        <v>0</v>
      </c>
      <c r="Q6" s="22" t="s">
        <v>1355</v>
      </c>
      <c r="R6" s="83">
        <v>44104</v>
      </c>
      <c r="S6" s="22">
        <v>202</v>
      </c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</row>
    <row r="7" spans="1:31" x14ac:dyDescent="0.25">
      <c r="A7" s="1" t="s">
        <v>0</v>
      </c>
      <c r="B7" s="1" t="s">
        <v>103</v>
      </c>
      <c r="C7" s="2" t="s">
        <v>157</v>
      </c>
      <c r="D7" s="1" t="s">
        <v>156</v>
      </c>
      <c r="E7" s="1"/>
      <c r="F7" s="3">
        <v>870.93</v>
      </c>
      <c r="G7" s="3">
        <v>568</v>
      </c>
      <c r="H7" s="4">
        <v>2592</v>
      </c>
      <c r="I7" s="3">
        <v>1194</v>
      </c>
      <c r="J7" s="3">
        <v>1398</v>
      </c>
      <c r="K7" s="3">
        <v>891</v>
      </c>
      <c r="L7" s="3">
        <f t="shared" si="0"/>
        <v>34.375</v>
      </c>
      <c r="M7" s="3">
        <v>7</v>
      </c>
      <c r="N7" s="3">
        <f t="shared" si="1"/>
        <v>0.27006172839506171</v>
      </c>
      <c r="O7" s="3">
        <v>130</v>
      </c>
      <c r="P7" s="15">
        <v>0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</row>
    <row r="8" spans="1:31" x14ac:dyDescent="0.25">
      <c r="A8" s="1" t="s">
        <v>0</v>
      </c>
      <c r="B8" s="1" t="s">
        <v>103</v>
      </c>
      <c r="C8" s="2" t="s">
        <v>121</v>
      </c>
      <c r="D8" s="1" t="s">
        <v>120</v>
      </c>
      <c r="E8" s="1"/>
      <c r="F8" s="3">
        <v>1624.48</v>
      </c>
      <c r="G8" s="3">
        <v>185</v>
      </c>
      <c r="H8" s="4">
        <v>941</v>
      </c>
      <c r="I8" s="3">
        <v>490</v>
      </c>
      <c r="J8" s="3">
        <v>451</v>
      </c>
      <c r="K8" s="3">
        <v>292</v>
      </c>
      <c r="L8" s="3">
        <f t="shared" si="0"/>
        <v>31.030818278427201</v>
      </c>
      <c r="M8" s="3">
        <v>16</v>
      </c>
      <c r="N8" s="3">
        <f t="shared" si="1"/>
        <v>1.7003188097768331</v>
      </c>
      <c r="O8" s="3">
        <v>0</v>
      </c>
      <c r="P8" s="15">
        <v>286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</row>
    <row r="9" spans="1:31" x14ac:dyDescent="0.25">
      <c r="A9" s="1" t="s">
        <v>0</v>
      </c>
      <c r="B9" s="1" t="s">
        <v>103</v>
      </c>
      <c r="C9" s="2" t="s">
        <v>121</v>
      </c>
      <c r="D9" s="1" t="s">
        <v>122</v>
      </c>
      <c r="E9" s="1"/>
      <c r="F9" s="3">
        <v>1233.47</v>
      </c>
      <c r="G9" s="3">
        <v>248</v>
      </c>
      <c r="H9" s="4">
        <v>1289</v>
      </c>
      <c r="I9" s="3">
        <v>635</v>
      </c>
      <c r="J9" s="3">
        <v>654</v>
      </c>
      <c r="K9" s="3">
        <v>165</v>
      </c>
      <c r="L9" s="3">
        <f t="shared" si="0"/>
        <v>12.800620636152054</v>
      </c>
      <c r="M9" s="3">
        <v>3</v>
      </c>
      <c r="N9" s="3">
        <f t="shared" si="1"/>
        <v>0.23273855702094648</v>
      </c>
      <c r="O9" s="3">
        <v>0</v>
      </c>
      <c r="P9" s="15">
        <v>0</v>
      </c>
      <c r="Q9" s="22" t="s">
        <v>1354</v>
      </c>
      <c r="R9" s="83">
        <v>44606</v>
      </c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</row>
    <row r="10" spans="1:31" x14ac:dyDescent="0.25">
      <c r="A10" s="1" t="s">
        <v>0</v>
      </c>
      <c r="B10" s="1" t="s">
        <v>103</v>
      </c>
      <c r="C10" s="2" t="s">
        <v>121</v>
      </c>
      <c r="D10" s="1" t="s">
        <v>147</v>
      </c>
      <c r="E10" s="1"/>
      <c r="F10" s="3">
        <v>869.93</v>
      </c>
      <c r="G10" s="3">
        <v>201</v>
      </c>
      <c r="H10" s="4">
        <v>1089</v>
      </c>
      <c r="I10" s="3">
        <v>560</v>
      </c>
      <c r="J10" s="3">
        <v>529</v>
      </c>
      <c r="K10" s="3">
        <v>207</v>
      </c>
      <c r="L10" s="3">
        <f t="shared" si="0"/>
        <v>19.008264462809919</v>
      </c>
      <c r="M10" s="3">
        <v>34</v>
      </c>
      <c r="N10" s="3">
        <f t="shared" si="1"/>
        <v>3.1221303948576673</v>
      </c>
      <c r="O10" s="3">
        <v>0</v>
      </c>
      <c r="P10" s="15">
        <v>0</v>
      </c>
      <c r="Q10" s="22" t="s">
        <v>1354</v>
      </c>
      <c r="R10" s="83">
        <v>44613</v>
      </c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</row>
    <row r="11" spans="1:31" x14ac:dyDescent="0.25">
      <c r="A11" s="1" t="s">
        <v>0</v>
      </c>
      <c r="B11" s="1" t="s">
        <v>103</v>
      </c>
      <c r="C11" s="2" t="s">
        <v>194</v>
      </c>
      <c r="D11" s="1" t="s">
        <v>193</v>
      </c>
      <c r="E11" s="1"/>
      <c r="F11" s="3">
        <v>3900.71</v>
      </c>
      <c r="G11" s="3">
        <v>1945</v>
      </c>
      <c r="H11" s="4">
        <v>9667</v>
      </c>
      <c r="I11" s="3">
        <v>4840</v>
      </c>
      <c r="J11" s="3">
        <v>4827</v>
      </c>
      <c r="K11" s="3">
        <v>1937</v>
      </c>
      <c r="L11" s="3">
        <f t="shared" si="0"/>
        <v>20.037240095169132</v>
      </c>
      <c r="M11" s="3">
        <v>1880</v>
      </c>
      <c r="N11" s="3">
        <f t="shared" si="1"/>
        <v>19.447605254991206</v>
      </c>
      <c r="O11" s="3">
        <v>242</v>
      </c>
      <c r="P11" s="15">
        <v>272</v>
      </c>
      <c r="Q11" s="22" t="s">
        <v>1354</v>
      </c>
      <c r="R11" s="83">
        <v>44491</v>
      </c>
      <c r="S11" s="22">
        <v>242</v>
      </c>
      <c r="T11" s="22"/>
      <c r="U11" s="22" t="s">
        <v>1348</v>
      </c>
      <c r="V11" s="22" t="s">
        <v>1348</v>
      </c>
      <c r="W11" s="22" t="s">
        <v>1348</v>
      </c>
      <c r="X11" s="22" t="s">
        <v>1348</v>
      </c>
      <c r="Y11" s="22">
        <v>5</v>
      </c>
      <c r="Z11" s="22"/>
      <c r="AA11" s="22"/>
      <c r="AB11" s="22"/>
      <c r="AC11" s="22"/>
      <c r="AD11" s="22"/>
      <c r="AE11" s="22"/>
    </row>
    <row r="12" spans="1:31" x14ac:dyDescent="0.25">
      <c r="A12" s="1" t="s">
        <v>0</v>
      </c>
      <c r="B12" s="1" t="s">
        <v>103</v>
      </c>
      <c r="C12" s="2" t="s">
        <v>194</v>
      </c>
      <c r="D12" s="1" t="s">
        <v>195</v>
      </c>
      <c r="E12" s="1"/>
      <c r="F12" s="3">
        <v>340.07</v>
      </c>
      <c r="G12" s="3">
        <v>241</v>
      </c>
      <c r="H12" s="4">
        <v>1310</v>
      </c>
      <c r="I12" s="3">
        <v>691</v>
      </c>
      <c r="J12" s="3">
        <v>619</v>
      </c>
      <c r="K12" s="3">
        <v>4</v>
      </c>
      <c r="L12" s="3">
        <f t="shared" si="0"/>
        <v>0.30534351145038169</v>
      </c>
      <c r="M12" s="3">
        <v>858</v>
      </c>
      <c r="N12" s="3">
        <f t="shared" si="1"/>
        <v>65.496183206106878</v>
      </c>
      <c r="O12" s="3">
        <v>0</v>
      </c>
      <c r="P12" s="15">
        <v>0</v>
      </c>
      <c r="Q12" s="22" t="s">
        <v>1354</v>
      </c>
      <c r="R12" s="83">
        <v>44493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 spans="1:31" x14ac:dyDescent="0.25">
      <c r="A13" s="1" t="s">
        <v>0</v>
      </c>
      <c r="B13" s="1" t="s">
        <v>103</v>
      </c>
      <c r="C13" s="2" t="s">
        <v>194</v>
      </c>
      <c r="D13" s="1" t="s">
        <v>197</v>
      </c>
      <c r="E13" s="1"/>
      <c r="F13" s="3">
        <v>593.80999999999995</v>
      </c>
      <c r="G13" s="3">
        <v>130</v>
      </c>
      <c r="H13" s="4">
        <v>790</v>
      </c>
      <c r="I13" s="3">
        <v>408</v>
      </c>
      <c r="J13" s="3">
        <v>382</v>
      </c>
      <c r="K13" s="3">
        <v>4</v>
      </c>
      <c r="L13" s="3">
        <f t="shared" si="0"/>
        <v>0.50632911392405067</v>
      </c>
      <c r="M13" s="3">
        <v>771</v>
      </c>
      <c r="N13" s="3">
        <f t="shared" si="1"/>
        <v>97.594936708860757</v>
      </c>
      <c r="O13" s="3">
        <v>0</v>
      </c>
      <c r="P13" s="15">
        <v>386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1:31" x14ac:dyDescent="0.25">
      <c r="A14" s="1" t="s">
        <v>0</v>
      </c>
      <c r="B14" s="1" t="s">
        <v>103</v>
      </c>
      <c r="C14" s="2" t="s">
        <v>196</v>
      </c>
      <c r="D14" s="1" t="s">
        <v>196</v>
      </c>
      <c r="E14" s="1"/>
      <c r="F14" s="3">
        <v>1613.24</v>
      </c>
      <c r="G14" s="3">
        <v>306</v>
      </c>
      <c r="H14" s="4">
        <v>1713</v>
      </c>
      <c r="I14" s="3">
        <v>896</v>
      </c>
      <c r="J14" s="3">
        <v>817</v>
      </c>
      <c r="K14" s="3">
        <v>31</v>
      </c>
      <c r="L14" s="3">
        <f t="shared" si="0"/>
        <v>1.8096906012842966</v>
      </c>
      <c r="M14" s="3">
        <v>1653</v>
      </c>
      <c r="N14" s="3">
        <f t="shared" si="1"/>
        <v>96.497373029772319</v>
      </c>
      <c r="O14" s="3">
        <v>0</v>
      </c>
      <c r="P14" s="15">
        <v>1326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1" x14ac:dyDescent="0.25">
      <c r="A15" s="1" t="s">
        <v>0</v>
      </c>
      <c r="B15" s="1" t="s">
        <v>103</v>
      </c>
      <c r="C15" s="2" t="s">
        <v>196</v>
      </c>
      <c r="D15" s="1" t="s">
        <v>243</v>
      </c>
      <c r="E15" s="1"/>
      <c r="F15" s="3">
        <v>1045.2</v>
      </c>
      <c r="G15" s="3">
        <v>217</v>
      </c>
      <c r="H15" s="4">
        <v>1192</v>
      </c>
      <c r="I15" s="3">
        <v>598</v>
      </c>
      <c r="J15" s="3">
        <v>594</v>
      </c>
      <c r="K15" s="3">
        <v>13</v>
      </c>
      <c r="L15" s="3">
        <f t="shared" si="0"/>
        <v>1.0906040268456376</v>
      </c>
      <c r="M15" s="3">
        <v>1153</v>
      </c>
      <c r="N15" s="3">
        <f t="shared" si="1"/>
        <v>96.728187919463082</v>
      </c>
      <c r="O15" s="3">
        <v>0</v>
      </c>
      <c r="P15" s="15">
        <v>318.05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 spans="1:31" x14ac:dyDescent="0.25">
      <c r="A16" s="1" t="s">
        <v>0</v>
      </c>
      <c r="B16" s="1" t="s">
        <v>103</v>
      </c>
      <c r="C16" s="2" t="s">
        <v>202</v>
      </c>
      <c r="D16" s="1" t="s">
        <v>201</v>
      </c>
      <c r="E16" s="1"/>
      <c r="F16" s="3">
        <v>567</v>
      </c>
      <c r="G16" s="3">
        <v>401</v>
      </c>
      <c r="H16" s="4">
        <v>2020</v>
      </c>
      <c r="I16" s="3">
        <v>1072</v>
      </c>
      <c r="J16" s="3">
        <v>948</v>
      </c>
      <c r="K16" s="3">
        <v>325</v>
      </c>
      <c r="L16" s="3">
        <f t="shared" si="0"/>
        <v>16.089108910891088</v>
      </c>
      <c r="M16" s="3">
        <v>305</v>
      </c>
      <c r="N16" s="3">
        <f t="shared" si="1"/>
        <v>15.099009900990099</v>
      </c>
      <c r="O16" s="3">
        <v>0</v>
      </c>
      <c r="P16" s="15">
        <v>0</v>
      </c>
      <c r="Q16" s="22"/>
      <c r="R16" s="83">
        <v>44210</v>
      </c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1:31" x14ac:dyDescent="0.25">
      <c r="A17" s="1" t="s">
        <v>0</v>
      </c>
      <c r="B17" s="1" t="s">
        <v>103</v>
      </c>
      <c r="C17" s="2" t="s">
        <v>202</v>
      </c>
      <c r="D17" s="1" t="s">
        <v>204</v>
      </c>
      <c r="E17" s="1"/>
      <c r="F17" s="3">
        <v>2945</v>
      </c>
      <c r="G17" s="3">
        <v>781</v>
      </c>
      <c r="H17" s="4">
        <v>3835</v>
      </c>
      <c r="I17" s="3">
        <v>1959</v>
      </c>
      <c r="J17" s="3">
        <v>1876</v>
      </c>
      <c r="K17" s="3">
        <v>505</v>
      </c>
      <c r="L17" s="3">
        <f t="shared" si="0"/>
        <v>13.168187744458931</v>
      </c>
      <c r="M17" s="3">
        <v>831</v>
      </c>
      <c r="N17" s="3">
        <f t="shared" si="1"/>
        <v>21.668839634941332</v>
      </c>
      <c r="O17" s="3">
        <v>536</v>
      </c>
      <c r="P17" s="15">
        <v>208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 spans="1:31" x14ac:dyDescent="0.25">
      <c r="A18" s="1" t="s">
        <v>0</v>
      </c>
      <c r="B18" s="1" t="s">
        <v>103</v>
      </c>
      <c r="C18" s="2" t="s">
        <v>183</v>
      </c>
      <c r="D18" s="1" t="s">
        <v>182</v>
      </c>
      <c r="E18" s="1"/>
      <c r="F18" s="3">
        <v>3827</v>
      </c>
      <c r="G18" s="3">
        <v>1042</v>
      </c>
      <c r="H18" s="4">
        <v>5178</v>
      </c>
      <c r="I18" s="3">
        <v>2655</v>
      </c>
      <c r="J18" s="3">
        <v>2523</v>
      </c>
      <c r="K18" s="3">
        <v>624</v>
      </c>
      <c r="L18" s="3">
        <f t="shared" si="0"/>
        <v>12.050984936268829</v>
      </c>
      <c r="M18" s="3">
        <v>1125</v>
      </c>
      <c r="N18" s="3">
        <f t="shared" si="1"/>
        <v>21.726535341830822</v>
      </c>
      <c r="O18" s="3">
        <v>226</v>
      </c>
      <c r="P18" s="15">
        <v>1569</v>
      </c>
      <c r="Q18" s="22" t="s">
        <v>1354</v>
      </c>
      <c r="R18" s="83">
        <v>44408</v>
      </c>
      <c r="S18" s="22">
        <v>226</v>
      </c>
      <c r="T18" s="22"/>
      <c r="U18" s="22" t="s">
        <v>1348</v>
      </c>
      <c r="V18" s="22" t="s">
        <v>1348</v>
      </c>
      <c r="W18" s="22" t="s">
        <v>1348</v>
      </c>
      <c r="X18" s="22"/>
      <c r="Y18" s="22"/>
      <c r="Z18" s="22"/>
      <c r="AA18" s="22"/>
      <c r="AB18" s="22"/>
      <c r="AC18" s="22"/>
      <c r="AD18" s="22"/>
      <c r="AE18" s="22"/>
    </row>
    <row r="19" spans="1:31" x14ac:dyDescent="0.25">
      <c r="A19" s="1" t="s">
        <v>0</v>
      </c>
      <c r="B19" s="1" t="s">
        <v>103</v>
      </c>
      <c r="C19" s="2" t="s">
        <v>131</v>
      </c>
      <c r="D19" s="1" t="s">
        <v>130</v>
      </c>
      <c r="E19" s="1"/>
      <c r="F19" s="3">
        <v>1345</v>
      </c>
      <c r="G19" s="3">
        <v>369</v>
      </c>
      <c r="H19" s="4">
        <v>1542</v>
      </c>
      <c r="I19" s="3">
        <v>708</v>
      </c>
      <c r="J19" s="3">
        <v>834</v>
      </c>
      <c r="K19" s="3">
        <v>297</v>
      </c>
      <c r="L19" s="3">
        <f t="shared" si="0"/>
        <v>19.260700389105061</v>
      </c>
      <c r="M19" s="3">
        <v>19</v>
      </c>
      <c r="N19" s="3">
        <f t="shared" si="1"/>
        <v>1.2321660181582361</v>
      </c>
      <c r="O19" s="3">
        <v>173</v>
      </c>
      <c r="P19" s="15">
        <v>215</v>
      </c>
      <c r="Q19" s="22" t="s">
        <v>1354</v>
      </c>
      <c r="R19" s="83">
        <v>44599</v>
      </c>
      <c r="S19" s="22">
        <v>173</v>
      </c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</row>
    <row r="20" spans="1:31" x14ac:dyDescent="0.25">
      <c r="A20" s="1" t="s">
        <v>0</v>
      </c>
      <c r="B20" s="1" t="s">
        <v>103</v>
      </c>
      <c r="C20" s="2" t="s">
        <v>131</v>
      </c>
      <c r="D20" s="1" t="s">
        <v>133</v>
      </c>
      <c r="E20" s="1"/>
      <c r="F20" s="3">
        <v>1333</v>
      </c>
      <c r="G20" s="3">
        <v>369</v>
      </c>
      <c r="H20" s="4">
        <v>1823</v>
      </c>
      <c r="I20" s="3">
        <v>901</v>
      </c>
      <c r="J20" s="3">
        <v>922</v>
      </c>
      <c r="K20" s="3">
        <v>431</v>
      </c>
      <c r="L20" s="3">
        <f t="shared" si="0"/>
        <v>23.642347778387276</v>
      </c>
      <c r="M20" s="3">
        <v>0</v>
      </c>
      <c r="N20" s="3">
        <f t="shared" si="1"/>
        <v>0</v>
      </c>
      <c r="O20" s="3">
        <v>116</v>
      </c>
      <c r="P20" s="15">
        <v>38</v>
      </c>
      <c r="Q20" s="22"/>
      <c r="R20" s="83">
        <v>44599</v>
      </c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 spans="1:31" x14ac:dyDescent="0.25">
      <c r="A21" s="1" t="s">
        <v>0</v>
      </c>
      <c r="B21" s="1" t="s">
        <v>103</v>
      </c>
      <c r="C21" s="2" t="s">
        <v>231</v>
      </c>
      <c r="D21" s="1" t="s">
        <v>230</v>
      </c>
      <c r="E21" s="1"/>
      <c r="F21" s="3">
        <v>713</v>
      </c>
      <c r="G21" s="3">
        <v>592</v>
      </c>
      <c r="H21" s="4">
        <v>3162</v>
      </c>
      <c r="I21" s="3">
        <v>1590</v>
      </c>
      <c r="J21" s="3">
        <v>1572</v>
      </c>
      <c r="K21" s="3">
        <v>56</v>
      </c>
      <c r="L21" s="3">
        <f t="shared" si="0"/>
        <v>1.7710309930423784</v>
      </c>
      <c r="M21" s="3">
        <v>3014</v>
      </c>
      <c r="N21" s="3">
        <f t="shared" si="1"/>
        <v>95.31941808981658</v>
      </c>
      <c r="O21" s="3">
        <v>0</v>
      </c>
      <c r="P21" s="15">
        <v>42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1:31" x14ac:dyDescent="0.25">
      <c r="A22" s="1" t="s">
        <v>0</v>
      </c>
      <c r="B22" s="1" t="s">
        <v>103</v>
      </c>
      <c r="C22" s="2" t="s">
        <v>231</v>
      </c>
      <c r="D22" s="1" t="s">
        <v>233</v>
      </c>
      <c r="E22" s="1"/>
      <c r="F22" s="3">
        <v>1194</v>
      </c>
      <c r="G22" s="3">
        <v>353</v>
      </c>
      <c r="H22" s="4">
        <v>1951</v>
      </c>
      <c r="I22" s="3">
        <v>973</v>
      </c>
      <c r="J22" s="3">
        <v>978</v>
      </c>
      <c r="K22" s="3">
        <v>15</v>
      </c>
      <c r="L22" s="3">
        <f t="shared" si="0"/>
        <v>0.76883649410558697</v>
      </c>
      <c r="M22" s="3">
        <v>1929</v>
      </c>
      <c r="N22" s="3">
        <f t="shared" si="1"/>
        <v>98.872373141978471</v>
      </c>
      <c r="O22" s="3">
        <v>0</v>
      </c>
      <c r="P22" s="15">
        <v>0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 spans="1:31" x14ac:dyDescent="0.25">
      <c r="A23" s="1" t="s">
        <v>0</v>
      </c>
      <c r="B23" s="1" t="s">
        <v>103</v>
      </c>
      <c r="C23" s="2" t="s">
        <v>181</v>
      </c>
      <c r="D23" s="1" t="s">
        <v>180</v>
      </c>
      <c r="E23" s="1"/>
      <c r="F23" s="3">
        <v>6828</v>
      </c>
      <c r="G23" s="3">
        <v>1613</v>
      </c>
      <c r="H23" s="4">
        <v>8021</v>
      </c>
      <c r="I23" s="3">
        <v>4127</v>
      </c>
      <c r="J23" s="3">
        <v>3894</v>
      </c>
      <c r="K23" s="3">
        <v>2103</v>
      </c>
      <c r="L23" s="3">
        <f t="shared" si="0"/>
        <v>26.218675975564143</v>
      </c>
      <c r="M23" s="3">
        <v>1068</v>
      </c>
      <c r="N23" s="3">
        <f t="shared" si="1"/>
        <v>13.315047999002619</v>
      </c>
      <c r="O23" s="3">
        <v>210</v>
      </c>
      <c r="P23" s="15">
        <v>4098</v>
      </c>
      <c r="Q23" s="22" t="s">
        <v>1354</v>
      </c>
      <c r="R23" s="83">
        <v>44267</v>
      </c>
      <c r="S23" s="22">
        <v>210</v>
      </c>
      <c r="T23" s="22"/>
      <c r="U23" s="22" t="s">
        <v>1348</v>
      </c>
      <c r="V23" s="22" t="s">
        <v>1348</v>
      </c>
      <c r="W23" s="22" t="s">
        <v>1348</v>
      </c>
      <c r="X23" s="22" t="s">
        <v>1348</v>
      </c>
      <c r="Y23" s="22">
        <v>4</v>
      </c>
      <c r="Z23" s="22"/>
      <c r="AA23" s="22"/>
      <c r="AB23" s="22"/>
      <c r="AC23" s="22"/>
      <c r="AD23" s="22"/>
      <c r="AE23" s="22"/>
    </row>
    <row r="24" spans="1:31" x14ac:dyDescent="0.25">
      <c r="A24" s="1" t="s">
        <v>0</v>
      </c>
      <c r="B24" s="1" t="s">
        <v>103</v>
      </c>
      <c r="C24" s="2" t="s">
        <v>149</v>
      </c>
      <c r="D24" s="1" t="s">
        <v>148</v>
      </c>
      <c r="E24" s="1"/>
      <c r="F24" s="3">
        <v>4217</v>
      </c>
      <c r="G24" s="3">
        <v>1205</v>
      </c>
      <c r="H24" s="4">
        <v>5520</v>
      </c>
      <c r="I24" s="3">
        <v>2831</v>
      </c>
      <c r="J24" s="3">
        <v>2689</v>
      </c>
      <c r="K24" s="3">
        <v>1619</v>
      </c>
      <c r="L24" s="3">
        <f t="shared" si="0"/>
        <v>29.329710144927535</v>
      </c>
      <c r="M24" s="3">
        <v>449</v>
      </c>
      <c r="N24" s="3">
        <f t="shared" si="1"/>
        <v>8.1340579710144922</v>
      </c>
      <c r="O24" s="3">
        <v>305</v>
      </c>
      <c r="P24" s="15">
        <v>435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</row>
    <row r="25" spans="1:31" x14ac:dyDescent="0.25">
      <c r="A25" s="1" t="s">
        <v>0</v>
      </c>
      <c r="B25" s="1" t="s">
        <v>103</v>
      </c>
      <c r="C25" s="2" t="s">
        <v>143</v>
      </c>
      <c r="D25" s="1" t="s">
        <v>142</v>
      </c>
      <c r="E25" s="1"/>
      <c r="F25" s="3">
        <v>2475.5100000000002</v>
      </c>
      <c r="G25" s="3">
        <v>539</v>
      </c>
      <c r="H25" s="4">
        <v>2480</v>
      </c>
      <c r="I25" s="3">
        <v>1190</v>
      </c>
      <c r="J25" s="3">
        <v>1290</v>
      </c>
      <c r="K25" s="3">
        <v>745</v>
      </c>
      <c r="L25" s="3">
        <f t="shared" si="0"/>
        <v>30.040322580645164</v>
      </c>
      <c r="M25" s="3">
        <v>161</v>
      </c>
      <c r="N25" s="3">
        <f t="shared" si="1"/>
        <v>6.491935483870968</v>
      </c>
      <c r="O25" s="3">
        <v>197</v>
      </c>
      <c r="P25" s="15">
        <v>0</v>
      </c>
      <c r="Q25" s="22" t="s">
        <v>1354</v>
      </c>
      <c r="R25" s="83">
        <v>44435</v>
      </c>
      <c r="S25" s="22">
        <v>197</v>
      </c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</row>
    <row r="26" spans="1:31" x14ac:dyDescent="0.25">
      <c r="A26" s="1" t="s">
        <v>0</v>
      </c>
      <c r="B26" s="1" t="s">
        <v>103</v>
      </c>
      <c r="C26" s="2" t="s">
        <v>143</v>
      </c>
      <c r="D26" s="1" t="s">
        <v>151</v>
      </c>
      <c r="E26" s="1"/>
      <c r="F26" s="3">
        <v>695.69</v>
      </c>
      <c r="G26" s="3">
        <v>56</v>
      </c>
      <c r="H26" s="4">
        <v>291</v>
      </c>
      <c r="I26" s="3">
        <v>145</v>
      </c>
      <c r="J26" s="3">
        <v>146</v>
      </c>
      <c r="K26" s="3">
        <v>0</v>
      </c>
      <c r="L26" s="3">
        <f t="shared" si="0"/>
        <v>0</v>
      </c>
      <c r="M26" s="3">
        <v>5</v>
      </c>
      <c r="N26" s="3">
        <f t="shared" si="1"/>
        <v>1.7182130584192441</v>
      </c>
      <c r="O26" s="3">
        <v>132</v>
      </c>
      <c r="P26" s="15">
        <v>0</v>
      </c>
      <c r="Q26" s="22" t="s">
        <v>1354</v>
      </c>
      <c r="R26" s="83">
        <v>44435</v>
      </c>
      <c r="S26" s="22">
        <v>132</v>
      </c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</row>
    <row r="27" spans="1:31" x14ac:dyDescent="0.25">
      <c r="A27" s="1" t="s">
        <v>0</v>
      </c>
      <c r="B27" s="1" t="s">
        <v>103</v>
      </c>
      <c r="C27" s="2" t="s">
        <v>125</v>
      </c>
      <c r="D27" s="1" t="s">
        <v>124</v>
      </c>
      <c r="E27" s="1"/>
      <c r="F27" s="3">
        <v>435</v>
      </c>
      <c r="G27" s="3">
        <v>94</v>
      </c>
      <c r="H27" s="4">
        <v>481</v>
      </c>
      <c r="I27" s="3">
        <v>228</v>
      </c>
      <c r="J27" s="3">
        <v>253</v>
      </c>
      <c r="K27" s="3">
        <v>144</v>
      </c>
      <c r="L27" s="3">
        <f t="shared" si="0"/>
        <v>29.937629937629939</v>
      </c>
      <c r="M27" s="3">
        <v>30</v>
      </c>
      <c r="N27" s="3">
        <f t="shared" si="1"/>
        <v>6.2370062370062378</v>
      </c>
      <c r="O27" s="3">
        <v>44</v>
      </c>
      <c r="P27" s="15">
        <v>5</v>
      </c>
      <c r="Q27" s="22" t="s">
        <v>1354</v>
      </c>
      <c r="R27" s="83">
        <v>44597</v>
      </c>
      <c r="S27" s="22">
        <v>44</v>
      </c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 spans="1:31" x14ac:dyDescent="0.25">
      <c r="A28" s="1" t="s">
        <v>0</v>
      </c>
      <c r="B28" s="1" t="s">
        <v>103</v>
      </c>
      <c r="C28" s="2" t="s">
        <v>117</v>
      </c>
      <c r="D28" s="1" t="s">
        <v>116</v>
      </c>
      <c r="E28" s="1"/>
      <c r="F28" s="3">
        <v>1556</v>
      </c>
      <c r="G28" s="3">
        <v>478</v>
      </c>
      <c r="H28" s="4">
        <v>2388</v>
      </c>
      <c r="I28" s="3">
        <v>1152</v>
      </c>
      <c r="J28" s="3">
        <v>1236</v>
      </c>
      <c r="K28" s="3">
        <v>681</v>
      </c>
      <c r="L28" s="3">
        <f t="shared" si="0"/>
        <v>28.51758793969849</v>
      </c>
      <c r="M28" s="3">
        <v>18</v>
      </c>
      <c r="N28" s="3">
        <f t="shared" si="1"/>
        <v>0.75376884422110546</v>
      </c>
      <c r="O28" s="3">
        <v>78</v>
      </c>
      <c r="P28" s="15">
        <v>84</v>
      </c>
      <c r="Q28" s="22" t="s">
        <v>1354</v>
      </c>
      <c r="R28" s="83">
        <v>44604</v>
      </c>
      <c r="S28" s="22">
        <v>78</v>
      </c>
      <c r="T28" s="22"/>
      <c r="U28" s="22" t="s">
        <v>1353</v>
      </c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 spans="1:31" x14ac:dyDescent="0.25">
      <c r="A29" s="1" t="s">
        <v>0</v>
      </c>
      <c r="B29" s="1" t="s">
        <v>103</v>
      </c>
      <c r="C29" s="2" t="s">
        <v>117</v>
      </c>
      <c r="D29" s="1" t="s">
        <v>123</v>
      </c>
      <c r="E29" s="1"/>
      <c r="F29" s="3">
        <v>1063</v>
      </c>
      <c r="G29" s="3">
        <v>366</v>
      </c>
      <c r="H29" s="4">
        <v>1774</v>
      </c>
      <c r="I29" s="3">
        <v>877</v>
      </c>
      <c r="J29" s="3">
        <v>897</v>
      </c>
      <c r="K29" s="3">
        <v>516</v>
      </c>
      <c r="L29" s="3">
        <f t="shared" si="0"/>
        <v>29.086809470124013</v>
      </c>
      <c r="M29" s="3">
        <v>0</v>
      </c>
      <c r="N29" s="3">
        <f t="shared" si="1"/>
        <v>0</v>
      </c>
      <c r="O29" s="3">
        <v>36</v>
      </c>
      <c r="P29" s="15">
        <v>66</v>
      </c>
      <c r="Q29" s="22" t="s">
        <v>1354</v>
      </c>
      <c r="R29" s="83">
        <v>44268</v>
      </c>
      <c r="S29" s="22">
        <v>36</v>
      </c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</row>
    <row r="30" spans="1:31" x14ac:dyDescent="0.25">
      <c r="A30" s="1" t="s">
        <v>0</v>
      </c>
      <c r="B30" s="1" t="s">
        <v>103</v>
      </c>
      <c r="C30" s="2" t="s">
        <v>117</v>
      </c>
      <c r="D30" s="1" t="s">
        <v>126</v>
      </c>
      <c r="E30" s="1"/>
      <c r="F30" s="3">
        <v>383</v>
      </c>
      <c r="G30" s="3">
        <v>81</v>
      </c>
      <c r="H30" s="4">
        <v>459</v>
      </c>
      <c r="I30" s="3">
        <v>251</v>
      </c>
      <c r="J30" s="3">
        <v>208</v>
      </c>
      <c r="K30" s="3">
        <v>70</v>
      </c>
      <c r="L30" s="3">
        <f t="shared" si="0"/>
        <v>15.250544662309368</v>
      </c>
      <c r="M30" s="3">
        <v>0</v>
      </c>
      <c r="N30" s="3">
        <f t="shared" si="1"/>
        <v>0</v>
      </c>
      <c r="O30" s="3">
        <v>72</v>
      </c>
      <c r="P30" s="15">
        <v>0</v>
      </c>
      <c r="Q30" s="22" t="s">
        <v>1354</v>
      </c>
      <c r="R30" s="83">
        <v>44596</v>
      </c>
      <c r="S30" s="22">
        <v>72</v>
      </c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</row>
    <row r="31" spans="1:31" x14ac:dyDescent="0.25">
      <c r="A31" s="1" t="s">
        <v>0</v>
      </c>
      <c r="B31" s="1" t="s">
        <v>103</v>
      </c>
      <c r="C31" s="2" t="s">
        <v>117</v>
      </c>
      <c r="D31" s="1" t="s">
        <v>127</v>
      </c>
      <c r="E31" s="1"/>
      <c r="F31" s="3">
        <v>324</v>
      </c>
      <c r="G31" s="3">
        <v>18</v>
      </c>
      <c r="H31" s="4">
        <v>80</v>
      </c>
      <c r="I31" s="3">
        <v>39</v>
      </c>
      <c r="J31" s="3">
        <v>41</v>
      </c>
      <c r="K31" s="3">
        <v>69</v>
      </c>
      <c r="L31" s="3">
        <f t="shared" si="0"/>
        <v>86.25</v>
      </c>
      <c r="M31" s="3">
        <v>0</v>
      </c>
      <c r="N31" s="3">
        <f t="shared" si="1"/>
        <v>0</v>
      </c>
      <c r="O31" s="3">
        <v>275</v>
      </c>
      <c r="P31" s="15">
        <v>23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 spans="1:31" x14ac:dyDescent="0.25">
      <c r="A32" s="1" t="s">
        <v>0</v>
      </c>
      <c r="B32" s="1" t="s">
        <v>103</v>
      </c>
      <c r="C32" s="2" t="s">
        <v>117</v>
      </c>
      <c r="D32" s="1" t="s">
        <v>216</v>
      </c>
      <c r="E32" s="1"/>
      <c r="F32" s="3">
        <v>4487</v>
      </c>
      <c r="G32" s="3">
        <v>1616</v>
      </c>
      <c r="H32" s="4">
        <v>7854</v>
      </c>
      <c r="I32" s="3">
        <v>4007</v>
      </c>
      <c r="J32" s="3">
        <v>3847</v>
      </c>
      <c r="K32" s="3">
        <v>1654</v>
      </c>
      <c r="L32" s="3">
        <f t="shared" si="0"/>
        <v>21.059332824038705</v>
      </c>
      <c r="M32" s="3">
        <v>500</v>
      </c>
      <c r="N32" s="3">
        <f t="shared" si="1"/>
        <v>6.3661828367710722</v>
      </c>
      <c r="O32" s="3">
        <v>190</v>
      </c>
      <c r="P32" s="15">
        <v>281</v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</row>
    <row r="33" spans="1:31" x14ac:dyDescent="0.25">
      <c r="A33" s="1" t="s">
        <v>0</v>
      </c>
      <c r="B33" s="1" t="s">
        <v>103</v>
      </c>
      <c r="C33" s="2" t="s">
        <v>188</v>
      </c>
      <c r="D33" s="1" t="s">
        <v>187</v>
      </c>
      <c r="E33" s="1"/>
      <c r="F33" s="3">
        <v>2717</v>
      </c>
      <c r="G33" s="3">
        <v>616</v>
      </c>
      <c r="H33" s="4">
        <v>2856</v>
      </c>
      <c r="I33" s="3">
        <v>1421</v>
      </c>
      <c r="J33" s="3">
        <v>1435</v>
      </c>
      <c r="K33" s="3">
        <v>484</v>
      </c>
      <c r="L33" s="3">
        <f t="shared" si="0"/>
        <v>16.946778711484594</v>
      </c>
      <c r="M33" s="3">
        <v>30</v>
      </c>
      <c r="N33" s="3">
        <f t="shared" si="1"/>
        <v>1.0504201680672269</v>
      </c>
      <c r="O33" s="3">
        <v>0</v>
      </c>
      <c r="P33" s="15">
        <v>0</v>
      </c>
      <c r="Q33" s="22" t="s">
        <v>1354</v>
      </c>
      <c r="R33" s="83">
        <v>44273</v>
      </c>
      <c r="S33" s="22">
        <v>8</v>
      </c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 spans="1:31" x14ac:dyDescent="0.25">
      <c r="A34" s="1" t="s">
        <v>0</v>
      </c>
      <c r="B34" s="1" t="s">
        <v>103</v>
      </c>
      <c r="C34" s="2" t="s">
        <v>188</v>
      </c>
      <c r="D34" s="1" t="s">
        <v>189</v>
      </c>
      <c r="E34" s="1"/>
      <c r="F34" s="3">
        <v>824</v>
      </c>
      <c r="G34" s="3">
        <v>239</v>
      </c>
      <c r="H34" s="4">
        <v>1189</v>
      </c>
      <c r="I34" s="3">
        <v>622</v>
      </c>
      <c r="J34" s="3">
        <v>567</v>
      </c>
      <c r="K34" s="3">
        <v>92</v>
      </c>
      <c r="L34" s="3">
        <f t="shared" si="0"/>
        <v>7.7375946173254846</v>
      </c>
      <c r="M34" s="3">
        <v>637</v>
      </c>
      <c r="N34" s="3">
        <f t="shared" si="1"/>
        <v>53.574432296047107</v>
      </c>
      <c r="O34" s="3">
        <v>8</v>
      </c>
      <c r="P34" s="15">
        <v>0</v>
      </c>
      <c r="Q34" s="22"/>
      <c r="R34" s="83">
        <v>44273</v>
      </c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</row>
    <row r="35" spans="1:31" x14ac:dyDescent="0.25">
      <c r="A35" s="1" t="s">
        <v>0</v>
      </c>
      <c r="B35" s="1" t="s">
        <v>103</v>
      </c>
      <c r="C35" s="2" t="s">
        <v>188</v>
      </c>
      <c r="D35" s="1" t="s">
        <v>190</v>
      </c>
      <c r="E35" s="1"/>
      <c r="F35" s="3">
        <v>442</v>
      </c>
      <c r="G35" s="3">
        <v>142</v>
      </c>
      <c r="H35" s="4">
        <v>671</v>
      </c>
      <c r="I35" s="3">
        <v>352</v>
      </c>
      <c r="J35" s="3">
        <v>319</v>
      </c>
      <c r="K35" s="3">
        <v>38</v>
      </c>
      <c r="L35" s="3">
        <f t="shared" si="0"/>
        <v>5.6631892697466473</v>
      </c>
      <c r="M35" s="3">
        <v>277</v>
      </c>
      <c r="N35" s="3">
        <f t="shared" si="1"/>
        <v>41.281669150521608</v>
      </c>
      <c r="O35" s="3">
        <v>167</v>
      </c>
      <c r="P35" s="15">
        <v>0</v>
      </c>
      <c r="Q35" s="22" t="s">
        <v>1354</v>
      </c>
      <c r="R35" s="83">
        <v>44276</v>
      </c>
      <c r="S35" s="22">
        <v>167</v>
      </c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</row>
    <row r="36" spans="1:31" x14ac:dyDescent="0.25">
      <c r="A36" s="1" t="s">
        <v>0</v>
      </c>
      <c r="B36" s="1" t="s">
        <v>103</v>
      </c>
      <c r="C36" s="2" t="s">
        <v>188</v>
      </c>
      <c r="D36" s="1" t="s">
        <v>191</v>
      </c>
      <c r="E36" s="1"/>
      <c r="F36" s="3">
        <v>220</v>
      </c>
      <c r="G36" s="3">
        <v>100</v>
      </c>
      <c r="H36" s="4">
        <v>529</v>
      </c>
      <c r="I36" s="3">
        <v>290</v>
      </c>
      <c r="J36" s="3">
        <v>239</v>
      </c>
      <c r="K36" s="3">
        <v>0</v>
      </c>
      <c r="L36" s="3">
        <f t="shared" ref="L36:L67" si="2">(K36/H36)*100</f>
        <v>0</v>
      </c>
      <c r="M36" s="3">
        <v>22</v>
      </c>
      <c r="N36" s="3">
        <f t="shared" ref="N36:N67" si="3">(M36/H36)*100</f>
        <v>4.1587901701323249</v>
      </c>
      <c r="O36" s="3">
        <v>22</v>
      </c>
      <c r="P36" s="15">
        <v>0</v>
      </c>
      <c r="Q36" s="22" t="s">
        <v>1354</v>
      </c>
      <c r="R36" s="83">
        <v>44272</v>
      </c>
      <c r="S36" s="22">
        <v>22</v>
      </c>
      <c r="T36" s="22"/>
      <c r="U36" s="22" t="s">
        <v>1348</v>
      </c>
      <c r="V36" s="22" t="s">
        <v>1354</v>
      </c>
      <c r="W36" s="22" t="s">
        <v>1354</v>
      </c>
      <c r="X36" s="22"/>
      <c r="Y36" s="22"/>
      <c r="Z36" s="22"/>
      <c r="AA36" s="22"/>
      <c r="AB36" s="22"/>
      <c r="AC36" s="22"/>
      <c r="AD36" s="22"/>
      <c r="AE36" s="22"/>
    </row>
    <row r="37" spans="1:31" x14ac:dyDescent="0.25">
      <c r="A37" s="1" t="s">
        <v>0</v>
      </c>
      <c r="B37" s="1" t="s">
        <v>103</v>
      </c>
      <c r="C37" s="2" t="s">
        <v>188</v>
      </c>
      <c r="D37" s="1" t="s">
        <v>192</v>
      </c>
      <c r="E37" s="1"/>
      <c r="F37" s="3">
        <v>457</v>
      </c>
      <c r="G37" s="3">
        <v>245</v>
      </c>
      <c r="H37" s="4">
        <v>1258</v>
      </c>
      <c r="I37" s="3">
        <v>637</v>
      </c>
      <c r="J37" s="3">
        <v>621</v>
      </c>
      <c r="K37" s="3">
        <v>68</v>
      </c>
      <c r="L37" s="3">
        <f t="shared" si="2"/>
        <v>5.4054054054054053</v>
      </c>
      <c r="M37" s="3">
        <v>70</v>
      </c>
      <c r="N37" s="3">
        <f t="shared" si="3"/>
        <v>5.5643879173290935</v>
      </c>
      <c r="O37" s="3">
        <v>56</v>
      </c>
      <c r="P37" s="15">
        <v>0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 spans="1:31" x14ac:dyDescent="0.25">
      <c r="A38" s="1" t="s">
        <v>0</v>
      </c>
      <c r="B38" s="1" t="s">
        <v>103</v>
      </c>
      <c r="C38" s="2" t="s">
        <v>240</v>
      </c>
      <c r="D38" s="1" t="s">
        <v>239</v>
      </c>
      <c r="E38" s="1"/>
      <c r="F38" s="3">
        <v>2584</v>
      </c>
      <c r="G38" s="3">
        <v>546</v>
      </c>
      <c r="H38" s="4">
        <v>3207</v>
      </c>
      <c r="I38" s="3">
        <v>1616</v>
      </c>
      <c r="J38" s="3">
        <v>1591</v>
      </c>
      <c r="K38" s="3">
        <v>9</v>
      </c>
      <c r="L38" s="3">
        <f t="shared" si="2"/>
        <v>0.2806361085126286</v>
      </c>
      <c r="M38" s="3">
        <v>3186</v>
      </c>
      <c r="N38" s="3">
        <f t="shared" si="3"/>
        <v>99.345182413470539</v>
      </c>
      <c r="O38" s="3">
        <v>0</v>
      </c>
      <c r="P38" s="15">
        <v>592</v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</row>
    <row r="39" spans="1:31" x14ac:dyDescent="0.25">
      <c r="A39" s="1" t="s">
        <v>0</v>
      </c>
      <c r="B39" s="1" t="s">
        <v>103</v>
      </c>
      <c r="C39" s="2" t="s">
        <v>240</v>
      </c>
      <c r="D39" s="1" t="s">
        <v>251</v>
      </c>
      <c r="E39" s="1"/>
      <c r="F39" s="3">
        <v>1231</v>
      </c>
      <c r="G39" s="3">
        <v>192</v>
      </c>
      <c r="H39" s="4">
        <v>1139</v>
      </c>
      <c r="I39" s="3">
        <v>559</v>
      </c>
      <c r="J39" s="3">
        <v>580</v>
      </c>
      <c r="K39" s="3">
        <v>1</v>
      </c>
      <c r="L39" s="3">
        <f t="shared" si="2"/>
        <v>8.7796312554872691E-2</v>
      </c>
      <c r="M39" s="3">
        <v>1137</v>
      </c>
      <c r="N39" s="3">
        <f t="shared" si="3"/>
        <v>99.824407374890257</v>
      </c>
      <c r="O39" s="3">
        <v>0</v>
      </c>
      <c r="P39" s="15">
        <v>862</v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31" x14ac:dyDescent="0.25">
      <c r="A40" s="1" t="s">
        <v>0</v>
      </c>
      <c r="B40" s="1" t="s">
        <v>103</v>
      </c>
      <c r="C40" s="2" t="s">
        <v>112</v>
      </c>
      <c r="D40" s="1" t="s">
        <v>111</v>
      </c>
      <c r="E40" s="1"/>
      <c r="F40" s="3">
        <v>309</v>
      </c>
      <c r="G40" s="3">
        <v>121</v>
      </c>
      <c r="H40" s="4">
        <v>525</v>
      </c>
      <c r="I40" s="3">
        <v>257</v>
      </c>
      <c r="J40" s="3">
        <v>268</v>
      </c>
      <c r="K40" s="3">
        <v>59</v>
      </c>
      <c r="L40" s="3">
        <f t="shared" si="2"/>
        <v>11.238095238095239</v>
      </c>
      <c r="M40" s="3">
        <v>7</v>
      </c>
      <c r="N40" s="3">
        <f t="shared" si="3"/>
        <v>1.3333333333333335</v>
      </c>
      <c r="O40" s="3">
        <v>52</v>
      </c>
      <c r="P40" s="15">
        <v>0</v>
      </c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31" x14ac:dyDescent="0.25">
      <c r="A41" s="1" t="s">
        <v>0</v>
      </c>
      <c r="B41" s="1" t="s">
        <v>103</v>
      </c>
      <c r="C41" s="2" t="s">
        <v>112</v>
      </c>
      <c r="D41" s="1" t="s">
        <v>114</v>
      </c>
      <c r="E41" s="1"/>
      <c r="F41" s="3">
        <v>524</v>
      </c>
      <c r="G41" s="3">
        <v>73</v>
      </c>
      <c r="H41" s="4">
        <v>334</v>
      </c>
      <c r="I41" s="3">
        <v>176</v>
      </c>
      <c r="J41" s="3">
        <v>158</v>
      </c>
      <c r="K41" s="3">
        <v>20</v>
      </c>
      <c r="L41" s="3">
        <f t="shared" si="2"/>
        <v>5.9880239520958085</v>
      </c>
      <c r="M41" s="3">
        <v>8</v>
      </c>
      <c r="N41" s="3">
        <f t="shared" si="3"/>
        <v>2.3952095808383236</v>
      </c>
      <c r="O41" s="3">
        <v>63</v>
      </c>
      <c r="P41" s="15">
        <v>80</v>
      </c>
      <c r="Q41" s="22" t="s">
        <v>1354</v>
      </c>
      <c r="R41" s="83">
        <v>44601</v>
      </c>
      <c r="S41" s="22">
        <v>63</v>
      </c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 spans="1:31" x14ac:dyDescent="0.25">
      <c r="A42" s="1" t="s">
        <v>0</v>
      </c>
      <c r="B42" s="1" t="s">
        <v>103</v>
      </c>
      <c r="C42" s="2" t="s">
        <v>112</v>
      </c>
      <c r="D42" s="1" t="s">
        <v>115</v>
      </c>
      <c r="E42" s="1"/>
      <c r="F42" s="3">
        <v>1109</v>
      </c>
      <c r="G42" s="3">
        <v>290</v>
      </c>
      <c r="H42" s="4">
        <v>1484</v>
      </c>
      <c r="I42" s="3">
        <v>767</v>
      </c>
      <c r="J42" s="3">
        <v>717</v>
      </c>
      <c r="K42" s="3">
        <v>344</v>
      </c>
      <c r="L42" s="3">
        <f t="shared" si="2"/>
        <v>23.180592991913745</v>
      </c>
      <c r="M42" s="3">
        <v>0</v>
      </c>
      <c r="N42" s="3">
        <f t="shared" si="3"/>
        <v>0</v>
      </c>
      <c r="O42" s="3">
        <v>193</v>
      </c>
      <c r="P42" s="15">
        <v>200</v>
      </c>
      <c r="Q42" s="22" t="s">
        <v>1354</v>
      </c>
      <c r="R42" s="83">
        <v>44600</v>
      </c>
      <c r="S42" s="22">
        <v>193</v>
      </c>
      <c r="T42" s="22"/>
      <c r="U42" s="22" t="s">
        <v>1353</v>
      </c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 spans="1:31" x14ac:dyDescent="0.25">
      <c r="A43" s="1" t="s">
        <v>0</v>
      </c>
      <c r="B43" s="1" t="s">
        <v>103</v>
      </c>
      <c r="C43" s="2" t="s">
        <v>112</v>
      </c>
      <c r="D43" s="1" t="s">
        <v>132</v>
      </c>
      <c r="E43" s="1"/>
      <c r="F43" s="3">
        <v>743</v>
      </c>
      <c r="G43" s="3">
        <v>196</v>
      </c>
      <c r="H43" s="4">
        <v>906</v>
      </c>
      <c r="I43" s="3">
        <v>431</v>
      </c>
      <c r="J43" s="3">
        <v>475</v>
      </c>
      <c r="K43" s="3">
        <v>184</v>
      </c>
      <c r="L43" s="3">
        <f t="shared" si="2"/>
        <v>20.309050772626932</v>
      </c>
      <c r="M43" s="3">
        <v>0</v>
      </c>
      <c r="N43" s="3">
        <f t="shared" si="3"/>
        <v>0</v>
      </c>
      <c r="O43" s="3">
        <v>120</v>
      </c>
      <c r="P43" s="15">
        <v>41</v>
      </c>
      <c r="Q43" s="22" t="s">
        <v>1354</v>
      </c>
      <c r="R43" s="83">
        <v>44601</v>
      </c>
      <c r="S43" s="22">
        <v>120</v>
      </c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:31" x14ac:dyDescent="0.25">
      <c r="A44" s="1" t="s">
        <v>0</v>
      </c>
      <c r="B44" s="1" t="s">
        <v>103</v>
      </c>
      <c r="C44" s="2" t="s">
        <v>242</v>
      </c>
      <c r="D44" s="1" t="s">
        <v>241</v>
      </c>
      <c r="E44" s="1"/>
      <c r="F44" s="3">
        <v>1039.97</v>
      </c>
      <c r="G44" s="3">
        <v>264</v>
      </c>
      <c r="H44" s="4">
        <v>1393</v>
      </c>
      <c r="I44" s="3">
        <v>722</v>
      </c>
      <c r="J44" s="3">
        <v>671</v>
      </c>
      <c r="K44" s="3">
        <v>0</v>
      </c>
      <c r="L44" s="3">
        <f t="shared" si="2"/>
        <v>0</v>
      </c>
      <c r="M44" s="3">
        <v>1357</v>
      </c>
      <c r="N44" s="3">
        <f t="shared" si="3"/>
        <v>97.415649676956207</v>
      </c>
      <c r="O44" s="3">
        <v>0</v>
      </c>
      <c r="P44" s="15">
        <v>261.48</v>
      </c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:31" x14ac:dyDescent="0.25">
      <c r="A45" s="1" t="s">
        <v>0</v>
      </c>
      <c r="B45" s="1" t="s">
        <v>103</v>
      </c>
      <c r="C45" s="2" t="s">
        <v>242</v>
      </c>
      <c r="D45" s="1" t="s">
        <v>244</v>
      </c>
      <c r="E45" s="1"/>
      <c r="F45" s="3">
        <v>542.21</v>
      </c>
      <c r="G45" s="3">
        <v>124</v>
      </c>
      <c r="H45" s="4">
        <v>670</v>
      </c>
      <c r="I45" s="3">
        <v>333</v>
      </c>
      <c r="J45" s="3">
        <v>337</v>
      </c>
      <c r="K45" s="3">
        <v>0</v>
      </c>
      <c r="L45" s="3">
        <f t="shared" si="2"/>
        <v>0</v>
      </c>
      <c r="M45" s="3">
        <v>665</v>
      </c>
      <c r="N45" s="3">
        <f t="shared" si="3"/>
        <v>99.253731343283576</v>
      </c>
      <c r="O45" s="3">
        <v>0</v>
      </c>
      <c r="P45" s="15">
        <v>0</v>
      </c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 spans="1:31" x14ac:dyDescent="0.25">
      <c r="A46" s="1" t="s">
        <v>0</v>
      </c>
      <c r="B46" s="1" t="s">
        <v>103</v>
      </c>
      <c r="C46" s="2" t="s">
        <v>242</v>
      </c>
      <c r="D46" s="1" t="s">
        <v>253</v>
      </c>
      <c r="E46" s="1"/>
      <c r="F46" s="3">
        <v>746.6</v>
      </c>
      <c r="G46" s="3">
        <v>312</v>
      </c>
      <c r="H46" s="4">
        <v>1572</v>
      </c>
      <c r="I46" s="3">
        <v>832</v>
      </c>
      <c r="J46" s="3">
        <v>740</v>
      </c>
      <c r="K46" s="3">
        <v>0</v>
      </c>
      <c r="L46" s="3">
        <f t="shared" si="2"/>
        <v>0</v>
      </c>
      <c r="M46" s="3">
        <v>1567</v>
      </c>
      <c r="N46" s="3">
        <f t="shared" si="3"/>
        <v>99.681933842239189</v>
      </c>
      <c r="O46" s="3">
        <v>0</v>
      </c>
      <c r="P46" s="15">
        <v>211.37</v>
      </c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 spans="1:31" x14ac:dyDescent="0.25">
      <c r="A47" s="1" t="s">
        <v>0</v>
      </c>
      <c r="B47" s="1" t="s">
        <v>103</v>
      </c>
      <c r="C47" s="2" t="s">
        <v>246</v>
      </c>
      <c r="D47" s="1" t="s">
        <v>245</v>
      </c>
      <c r="E47" s="1"/>
      <c r="F47" s="3">
        <v>780</v>
      </c>
      <c r="G47" s="3">
        <v>191</v>
      </c>
      <c r="H47" s="4">
        <v>1020</v>
      </c>
      <c r="I47" s="3">
        <v>521</v>
      </c>
      <c r="J47" s="3">
        <v>499</v>
      </c>
      <c r="K47" s="3">
        <v>0</v>
      </c>
      <c r="L47" s="3">
        <f t="shared" si="2"/>
        <v>0</v>
      </c>
      <c r="M47" s="3">
        <v>1015</v>
      </c>
      <c r="N47" s="3">
        <f t="shared" si="3"/>
        <v>99.509803921568633</v>
      </c>
      <c r="O47" s="3">
        <v>0</v>
      </c>
      <c r="P47" s="15">
        <v>0</v>
      </c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 spans="1:31" x14ac:dyDescent="0.25">
      <c r="A48" s="1" t="s">
        <v>0</v>
      </c>
      <c r="B48" s="1" t="s">
        <v>103</v>
      </c>
      <c r="C48" s="2" t="s">
        <v>246</v>
      </c>
      <c r="D48" s="1" t="s">
        <v>246</v>
      </c>
      <c r="E48" s="1"/>
      <c r="F48" s="3">
        <v>740</v>
      </c>
      <c r="G48" s="3">
        <v>284</v>
      </c>
      <c r="H48" s="4">
        <v>1556</v>
      </c>
      <c r="I48" s="3">
        <v>732</v>
      </c>
      <c r="J48" s="3">
        <v>824</v>
      </c>
      <c r="K48" s="3">
        <v>3</v>
      </c>
      <c r="L48" s="3">
        <f t="shared" si="2"/>
        <v>0.19280205655526991</v>
      </c>
      <c r="M48" s="3">
        <v>1541</v>
      </c>
      <c r="N48" s="3">
        <f t="shared" si="3"/>
        <v>99.035989717223643</v>
      </c>
      <c r="O48" s="3">
        <v>0</v>
      </c>
      <c r="P48" s="15">
        <v>0</v>
      </c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</row>
    <row r="49" spans="1:31" x14ac:dyDescent="0.25">
      <c r="A49" s="1" t="s">
        <v>0</v>
      </c>
      <c r="B49" s="1" t="s">
        <v>103</v>
      </c>
      <c r="C49" s="2" t="s">
        <v>246</v>
      </c>
      <c r="D49" s="1" t="s">
        <v>252</v>
      </c>
      <c r="E49" s="1"/>
      <c r="F49" s="3">
        <v>619</v>
      </c>
      <c r="G49" s="3">
        <v>175</v>
      </c>
      <c r="H49" s="4">
        <v>802</v>
      </c>
      <c r="I49" s="3">
        <v>401</v>
      </c>
      <c r="J49" s="3">
        <v>401</v>
      </c>
      <c r="K49" s="3">
        <v>0</v>
      </c>
      <c r="L49" s="3">
        <f t="shared" si="2"/>
        <v>0</v>
      </c>
      <c r="M49" s="3">
        <v>799</v>
      </c>
      <c r="N49" s="3">
        <f t="shared" si="3"/>
        <v>99.625935162094763</v>
      </c>
      <c r="O49" s="3">
        <v>152</v>
      </c>
      <c r="P49" s="15">
        <v>341</v>
      </c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 spans="1:31" x14ac:dyDescent="0.25">
      <c r="A50" s="1" t="s">
        <v>0</v>
      </c>
      <c r="B50" s="1" t="s">
        <v>103</v>
      </c>
      <c r="C50" s="2" t="s">
        <v>105</v>
      </c>
      <c r="D50" s="1" t="s">
        <v>104</v>
      </c>
      <c r="E50" s="1"/>
      <c r="F50" s="3">
        <v>3488</v>
      </c>
      <c r="G50" s="3">
        <v>890</v>
      </c>
      <c r="H50" s="4">
        <v>4272</v>
      </c>
      <c r="I50" s="3">
        <v>2000</v>
      </c>
      <c r="J50" s="3">
        <v>2272</v>
      </c>
      <c r="K50" s="3">
        <v>1167</v>
      </c>
      <c r="L50" s="3">
        <f t="shared" si="2"/>
        <v>27.317415730337082</v>
      </c>
      <c r="M50" s="3">
        <v>129</v>
      </c>
      <c r="N50" s="3">
        <f t="shared" si="3"/>
        <v>3.0196629213483148</v>
      </c>
      <c r="O50" s="3">
        <v>249</v>
      </c>
      <c r="P50" s="15">
        <v>137</v>
      </c>
      <c r="Q50" s="22" t="s">
        <v>1354</v>
      </c>
      <c r="R50" s="83">
        <v>44604</v>
      </c>
      <c r="S50" s="22">
        <v>249</v>
      </c>
      <c r="T50" s="22"/>
      <c r="U50" s="22" t="s">
        <v>1348</v>
      </c>
      <c r="V50" s="22" t="s">
        <v>1354</v>
      </c>
      <c r="W50" s="22" t="s">
        <v>1354</v>
      </c>
      <c r="X50" s="22"/>
      <c r="Y50" s="22"/>
      <c r="Z50" s="22"/>
      <c r="AA50" s="22"/>
      <c r="AB50" s="22"/>
      <c r="AC50" s="22"/>
      <c r="AD50" s="22"/>
      <c r="AE50" s="22"/>
    </row>
    <row r="51" spans="1:31" x14ac:dyDescent="0.25">
      <c r="A51" s="1" t="s">
        <v>0</v>
      </c>
      <c r="B51" s="1" t="s">
        <v>103</v>
      </c>
      <c r="C51" s="2" t="s">
        <v>129</v>
      </c>
      <c r="D51" s="1" t="s">
        <v>128</v>
      </c>
      <c r="E51" s="1"/>
      <c r="F51" s="3">
        <v>194</v>
      </c>
      <c r="G51" s="3">
        <v>39</v>
      </c>
      <c r="H51" s="4">
        <v>160</v>
      </c>
      <c r="I51" s="3">
        <v>87</v>
      </c>
      <c r="J51" s="3">
        <v>73</v>
      </c>
      <c r="K51" s="3">
        <v>0</v>
      </c>
      <c r="L51" s="3">
        <f t="shared" si="2"/>
        <v>0</v>
      </c>
      <c r="M51" s="3">
        <v>29</v>
      </c>
      <c r="N51" s="3">
        <f t="shared" si="3"/>
        <v>18.125</v>
      </c>
      <c r="O51" s="3">
        <v>3</v>
      </c>
      <c r="P51" s="15">
        <v>17</v>
      </c>
      <c r="Q51" s="22" t="s">
        <v>1354</v>
      </c>
      <c r="R51" s="83">
        <v>44602</v>
      </c>
      <c r="S51" s="22">
        <v>3</v>
      </c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 spans="1:31" x14ac:dyDescent="0.25">
      <c r="A52" s="1" t="s">
        <v>0</v>
      </c>
      <c r="B52" s="1" t="s">
        <v>103</v>
      </c>
      <c r="C52" s="2" t="s">
        <v>129</v>
      </c>
      <c r="D52" s="1" t="s">
        <v>134</v>
      </c>
      <c r="E52" s="1"/>
      <c r="F52" s="3">
        <v>717</v>
      </c>
      <c r="G52" s="3">
        <v>158</v>
      </c>
      <c r="H52" s="4">
        <v>874</v>
      </c>
      <c r="I52" s="3">
        <v>439</v>
      </c>
      <c r="J52" s="3">
        <v>435</v>
      </c>
      <c r="K52" s="3">
        <v>300</v>
      </c>
      <c r="L52" s="3">
        <f t="shared" si="2"/>
        <v>34.324942791762012</v>
      </c>
      <c r="M52" s="3">
        <v>0</v>
      </c>
      <c r="N52" s="3">
        <f t="shared" si="3"/>
        <v>0</v>
      </c>
      <c r="O52" s="3">
        <v>49</v>
      </c>
      <c r="P52" s="15">
        <v>28</v>
      </c>
      <c r="Q52" s="22" t="s">
        <v>1354</v>
      </c>
      <c r="R52" s="83">
        <f>$R$51</f>
        <v>44602</v>
      </c>
      <c r="S52" s="22">
        <v>49</v>
      </c>
      <c r="T52" s="22" t="s">
        <v>1356</v>
      </c>
      <c r="U52" s="22" t="s">
        <v>1348</v>
      </c>
      <c r="V52" s="22" t="s">
        <v>1354</v>
      </c>
      <c r="W52" s="22" t="s">
        <v>1354</v>
      </c>
      <c r="X52" s="22"/>
      <c r="Y52" s="22"/>
      <c r="Z52" s="22"/>
      <c r="AA52" s="22"/>
      <c r="AB52" s="22"/>
      <c r="AC52" s="22"/>
      <c r="AD52" s="22"/>
      <c r="AE52" s="22"/>
    </row>
    <row r="53" spans="1:31" x14ac:dyDescent="0.25">
      <c r="A53" s="1" t="s">
        <v>0</v>
      </c>
      <c r="B53" s="1" t="s">
        <v>103</v>
      </c>
      <c r="C53" s="2" t="s">
        <v>129</v>
      </c>
      <c r="D53" s="1" t="s">
        <v>135</v>
      </c>
      <c r="E53" s="1"/>
      <c r="F53" s="3">
        <v>399</v>
      </c>
      <c r="G53" s="3">
        <v>142</v>
      </c>
      <c r="H53" s="4">
        <v>779</v>
      </c>
      <c r="I53" s="3">
        <v>390</v>
      </c>
      <c r="J53" s="3">
        <v>389</v>
      </c>
      <c r="K53" s="3">
        <v>185</v>
      </c>
      <c r="L53" s="3">
        <f t="shared" si="2"/>
        <v>23.748395378690628</v>
      </c>
      <c r="M53" s="3">
        <v>79</v>
      </c>
      <c r="N53" s="3">
        <f t="shared" si="3"/>
        <v>10.141206675224646</v>
      </c>
      <c r="O53" s="3">
        <v>28</v>
      </c>
      <c r="P53" s="15">
        <v>3</v>
      </c>
      <c r="Q53" s="22" t="s">
        <v>1354</v>
      </c>
      <c r="R53" s="83">
        <v>44603</v>
      </c>
      <c r="S53" s="22">
        <v>28</v>
      </c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 spans="1:31" x14ac:dyDescent="0.25">
      <c r="A54" s="1" t="s">
        <v>0</v>
      </c>
      <c r="B54" s="1" t="s">
        <v>103</v>
      </c>
      <c r="C54" s="2" t="s">
        <v>129</v>
      </c>
      <c r="D54" s="1" t="s">
        <v>138</v>
      </c>
      <c r="E54" s="1"/>
      <c r="F54" s="3">
        <v>1256</v>
      </c>
      <c r="G54" s="3">
        <v>653</v>
      </c>
      <c r="H54" s="4">
        <v>3255</v>
      </c>
      <c r="I54" s="3">
        <v>1585</v>
      </c>
      <c r="J54" s="3">
        <v>1670</v>
      </c>
      <c r="K54" s="3">
        <v>1047</v>
      </c>
      <c r="L54" s="3">
        <f t="shared" si="2"/>
        <v>32.165898617511516</v>
      </c>
      <c r="M54" s="3">
        <v>118</v>
      </c>
      <c r="N54" s="3">
        <f t="shared" si="3"/>
        <v>3.6251920122887866</v>
      </c>
      <c r="O54" s="3">
        <v>156</v>
      </c>
      <c r="P54" s="15">
        <v>0</v>
      </c>
      <c r="Q54" s="22" t="s">
        <v>1354</v>
      </c>
      <c r="R54" s="83">
        <v>44603</v>
      </c>
      <c r="S54" s="22">
        <v>156</v>
      </c>
      <c r="T54" s="22"/>
      <c r="U54" s="22" t="s">
        <v>1354</v>
      </c>
      <c r="V54" s="22" t="s">
        <v>1354</v>
      </c>
      <c r="W54" s="22" t="s">
        <v>1354</v>
      </c>
      <c r="X54" s="22" t="s">
        <v>1354</v>
      </c>
      <c r="Y54" s="22">
        <v>2</v>
      </c>
      <c r="Z54" s="22"/>
      <c r="AA54" s="22"/>
      <c r="AB54" s="22"/>
      <c r="AC54" s="22"/>
      <c r="AD54" s="22"/>
      <c r="AE54" s="22"/>
    </row>
    <row r="55" spans="1:31" x14ac:dyDescent="0.25">
      <c r="A55" s="1" t="s">
        <v>0</v>
      </c>
      <c r="B55" s="1" t="s">
        <v>103</v>
      </c>
      <c r="C55" s="2" t="s">
        <v>129</v>
      </c>
      <c r="D55" s="1" t="s">
        <v>139</v>
      </c>
      <c r="E55" s="1"/>
      <c r="F55" s="3">
        <v>661</v>
      </c>
      <c r="G55" s="3">
        <v>195</v>
      </c>
      <c r="H55" s="4">
        <v>971</v>
      </c>
      <c r="I55" s="3">
        <v>477</v>
      </c>
      <c r="J55" s="3">
        <v>494</v>
      </c>
      <c r="K55" s="3">
        <v>354</v>
      </c>
      <c r="L55" s="3">
        <f t="shared" si="2"/>
        <v>36.4572605561277</v>
      </c>
      <c r="M55" s="3">
        <v>111</v>
      </c>
      <c r="N55" s="3">
        <f t="shared" si="3"/>
        <v>11.431513903192585</v>
      </c>
      <c r="O55" s="3">
        <v>81</v>
      </c>
      <c r="P55" s="15">
        <v>0</v>
      </c>
      <c r="Q55" s="22" t="s">
        <v>1354</v>
      </c>
      <c r="R55" s="83">
        <v>44598</v>
      </c>
      <c r="S55" s="22">
        <v>81</v>
      </c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 spans="1:31" x14ac:dyDescent="0.25">
      <c r="A56" s="1" t="s">
        <v>0</v>
      </c>
      <c r="B56" s="1" t="s">
        <v>103</v>
      </c>
      <c r="C56" s="2" t="s">
        <v>207</v>
      </c>
      <c r="D56" s="1" t="s">
        <v>206</v>
      </c>
      <c r="E56" s="1"/>
      <c r="F56" s="3">
        <v>2209</v>
      </c>
      <c r="G56" s="3">
        <v>637</v>
      </c>
      <c r="H56" s="4">
        <v>2959</v>
      </c>
      <c r="I56" s="3">
        <v>1529</v>
      </c>
      <c r="J56" s="3">
        <v>1430</v>
      </c>
      <c r="K56" s="3">
        <v>583</v>
      </c>
      <c r="L56" s="3">
        <f t="shared" si="2"/>
        <v>19.702602230483272</v>
      </c>
      <c r="M56" s="3">
        <v>676</v>
      </c>
      <c r="N56" s="3">
        <f t="shared" si="3"/>
        <v>22.845555931057788</v>
      </c>
      <c r="O56" s="3">
        <v>1185</v>
      </c>
      <c r="P56" s="15">
        <v>0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 spans="1:31" x14ac:dyDescent="0.25">
      <c r="A57" s="1" t="s">
        <v>0</v>
      </c>
      <c r="B57" s="1" t="s">
        <v>103</v>
      </c>
      <c r="C57" s="2" t="s">
        <v>207</v>
      </c>
      <c r="D57" s="1" t="s">
        <v>208</v>
      </c>
      <c r="E57" s="1"/>
      <c r="F57" s="3">
        <v>3643</v>
      </c>
      <c r="G57" s="3">
        <v>246</v>
      </c>
      <c r="H57" s="4">
        <v>1211</v>
      </c>
      <c r="I57" s="3">
        <v>647</v>
      </c>
      <c r="J57" s="3">
        <v>564</v>
      </c>
      <c r="K57" s="3">
        <v>276</v>
      </c>
      <c r="L57" s="3">
        <f t="shared" si="2"/>
        <v>22.791081750619323</v>
      </c>
      <c r="M57" s="3">
        <v>166</v>
      </c>
      <c r="N57" s="3">
        <f t="shared" si="3"/>
        <v>13.707679603633361</v>
      </c>
      <c r="O57" s="3">
        <v>1398</v>
      </c>
      <c r="P57" s="15">
        <v>645</v>
      </c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</row>
    <row r="58" spans="1:31" x14ac:dyDescent="0.25">
      <c r="A58" s="1" t="s">
        <v>0</v>
      </c>
      <c r="B58" s="1" t="s">
        <v>103</v>
      </c>
      <c r="C58" s="2" t="s">
        <v>238</v>
      </c>
      <c r="D58" s="1" t="s">
        <v>237</v>
      </c>
      <c r="E58" s="1"/>
      <c r="F58" s="3">
        <v>3094</v>
      </c>
      <c r="G58" s="3">
        <v>1001</v>
      </c>
      <c r="H58" s="4">
        <v>5009</v>
      </c>
      <c r="I58" s="3">
        <v>2506</v>
      </c>
      <c r="J58" s="3">
        <v>2503</v>
      </c>
      <c r="K58" s="3">
        <v>25</v>
      </c>
      <c r="L58" s="3">
        <f t="shared" si="2"/>
        <v>0.49910161708923939</v>
      </c>
      <c r="M58" s="3">
        <v>4954</v>
      </c>
      <c r="N58" s="3">
        <f t="shared" si="3"/>
        <v>98.901976442403665</v>
      </c>
      <c r="O58" s="3">
        <v>0</v>
      </c>
      <c r="P58" s="15">
        <v>657</v>
      </c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 spans="1:31" x14ac:dyDescent="0.25">
      <c r="A59" s="1" t="s">
        <v>0</v>
      </c>
      <c r="B59" s="1" t="s">
        <v>103</v>
      </c>
      <c r="C59" s="2" t="s">
        <v>199</v>
      </c>
      <c r="D59" s="1" t="s">
        <v>198</v>
      </c>
      <c r="E59" s="1"/>
      <c r="F59" s="3">
        <v>535</v>
      </c>
      <c r="G59" s="3">
        <v>302</v>
      </c>
      <c r="H59" s="4">
        <v>1408</v>
      </c>
      <c r="I59" s="3">
        <v>701</v>
      </c>
      <c r="J59" s="3">
        <v>707</v>
      </c>
      <c r="K59" s="3">
        <v>235</v>
      </c>
      <c r="L59" s="3">
        <f t="shared" si="2"/>
        <v>16.69034090909091</v>
      </c>
      <c r="M59" s="3">
        <v>77</v>
      </c>
      <c r="N59" s="3">
        <f t="shared" si="3"/>
        <v>5.46875</v>
      </c>
      <c r="O59" s="3">
        <v>29</v>
      </c>
      <c r="P59" s="15">
        <v>0</v>
      </c>
      <c r="Q59" s="22"/>
      <c r="R59" s="83">
        <v>44406</v>
      </c>
      <c r="S59" s="22">
        <v>29</v>
      </c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</row>
    <row r="60" spans="1:31" x14ac:dyDescent="0.25">
      <c r="A60" s="1" t="s">
        <v>0</v>
      </c>
      <c r="B60" s="1" t="s">
        <v>103</v>
      </c>
      <c r="C60" s="2" t="s">
        <v>199</v>
      </c>
      <c r="D60" s="1" t="s">
        <v>200</v>
      </c>
      <c r="E60" s="1"/>
      <c r="F60" s="3">
        <v>1250</v>
      </c>
      <c r="G60" s="3">
        <v>192</v>
      </c>
      <c r="H60" s="4">
        <v>1097</v>
      </c>
      <c r="I60" s="3">
        <v>576</v>
      </c>
      <c r="J60" s="3">
        <v>521</v>
      </c>
      <c r="K60" s="3">
        <v>1</v>
      </c>
      <c r="L60" s="3">
        <f t="shared" si="2"/>
        <v>9.1157702825888781E-2</v>
      </c>
      <c r="M60" s="3">
        <v>997</v>
      </c>
      <c r="N60" s="3">
        <f t="shared" si="3"/>
        <v>90.884229717411131</v>
      </c>
      <c r="O60" s="3">
        <v>290</v>
      </c>
      <c r="P60" s="15">
        <v>702</v>
      </c>
      <c r="Q60" s="22"/>
      <c r="R60" s="83">
        <v>44407</v>
      </c>
      <c r="S60" s="22">
        <v>290</v>
      </c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 spans="1:31" x14ac:dyDescent="0.25">
      <c r="A61" s="1" t="s">
        <v>0</v>
      </c>
      <c r="B61" s="1" t="s">
        <v>103</v>
      </c>
      <c r="C61" s="2" t="s">
        <v>199</v>
      </c>
      <c r="D61" s="1" t="s">
        <v>205</v>
      </c>
      <c r="E61" s="1"/>
      <c r="F61" s="3">
        <v>345</v>
      </c>
      <c r="G61" s="3">
        <v>257</v>
      </c>
      <c r="H61" s="4">
        <v>1388</v>
      </c>
      <c r="I61" s="3">
        <v>739</v>
      </c>
      <c r="J61" s="3">
        <v>649</v>
      </c>
      <c r="K61" s="3">
        <v>396</v>
      </c>
      <c r="L61" s="3">
        <f t="shared" si="2"/>
        <v>28.530259365994237</v>
      </c>
      <c r="M61" s="3">
        <v>1</v>
      </c>
      <c r="N61" s="3">
        <f t="shared" si="3"/>
        <v>7.2046109510086456E-2</v>
      </c>
      <c r="O61" s="3">
        <v>29</v>
      </c>
      <c r="P61" s="15">
        <v>0</v>
      </c>
      <c r="Q61" s="22"/>
      <c r="R61" s="83">
        <v>44403</v>
      </c>
      <c r="S61" s="22">
        <v>29</v>
      </c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</row>
    <row r="62" spans="1:31" x14ac:dyDescent="0.25">
      <c r="A62" s="1" t="s">
        <v>0</v>
      </c>
      <c r="B62" s="1" t="s">
        <v>103</v>
      </c>
      <c r="C62" s="2" t="s">
        <v>179</v>
      </c>
      <c r="D62" s="1" t="s">
        <v>179</v>
      </c>
      <c r="E62" s="1"/>
      <c r="F62" s="3">
        <v>323</v>
      </c>
      <c r="G62" s="3">
        <v>493</v>
      </c>
      <c r="H62" s="4">
        <v>2717</v>
      </c>
      <c r="I62" s="3">
        <v>1388</v>
      </c>
      <c r="J62" s="3">
        <v>1329</v>
      </c>
      <c r="K62" s="3">
        <v>9</v>
      </c>
      <c r="L62" s="3">
        <f t="shared" si="2"/>
        <v>0.33124769966875228</v>
      </c>
      <c r="M62" s="3">
        <v>2687</v>
      </c>
      <c r="N62" s="3">
        <f t="shared" si="3"/>
        <v>98.895841001104159</v>
      </c>
      <c r="O62" s="3">
        <v>9</v>
      </c>
      <c r="P62" s="15">
        <v>0</v>
      </c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 spans="1:31" x14ac:dyDescent="0.25">
      <c r="A63" s="1" t="s">
        <v>0</v>
      </c>
      <c r="B63" s="1" t="s">
        <v>103</v>
      </c>
      <c r="C63" s="2" t="s">
        <v>248</v>
      </c>
      <c r="D63" s="1" t="s">
        <v>247</v>
      </c>
      <c r="E63" s="1"/>
      <c r="F63" s="3">
        <v>182</v>
      </c>
      <c r="G63" s="3">
        <v>150</v>
      </c>
      <c r="H63" s="4">
        <v>802</v>
      </c>
      <c r="I63" s="3">
        <v>396</v>
      </c>
      <c r="J63" s="3">
        <v>406</v>
      </c>
      <c r="K63" s="3">
        <v>3</v>
      </c>
      <c r="L63" s="3">
        <f t="shared" si="2"/>
        <v>0.37406483790523692</v>
      </c>
      <c r="M63" s="3">
        <v>795</v>
      </c>
      <c r="N63" s="3">
        <f t="shared" si="3"/>
        <v>99.127182044887789</v>
      </c>
      <c r="O63" s="3">
        <v>0</v>
      </c>
      <c r="P63" s="15">
        <v>0</v>
      </c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spans="1:31" x14ac:dyDescent="0.25">
      <c r="A64" s="1" t="s">
        <v>0</v>
      </c>
      <c r="B64" s="1" t="s">
        <v>103</v>
      </c>
      <c r="C64" s="2" t="s">
        <v>248</v>
      </c>
      <c r="D64" s="1" t="s">
        <v>249</v>
      </c>
      <c r="E64" s="1"/>
      <c r="F64" s="3">
        <v>387</v>
      </c>
      <c r="G64" s="3">
        <v>278</v>
      </c>
      <c r="H64" s="4">
        <v>1437</v>
      </c>
      <c r="I64" s="3">
        <v>696</v>
      </c>
      <c r="J64" s="3">
        <v>741</v>
      </c>
      <c r="K64" s="3">
        <v>0</v>
      </c>
      <c r="L64" s="3">
        <f t="shared" si="2"/>
        <v>0</v>
      </c>
      <c r="M64" s="3">
        <v>1430</v>
      </c>
      <c r="N64" s="3">
        <f t="shared" si="3"/>
        <v>99.512874043145445</v>
      </c>
      <c r="O64" s="3">
        <v>0</v>
      </c>
      <c r="P64" s="15">
        <v>0</v>
      </c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 spans="1:31" x14ac:dyDescent="0.25">
      <c r="A65" s="1" t="s">
        <v>0</v>
      </c>
      <c r="B65" s="1" t="s">
        <v>103</v>
      </c>
      <c r="C65" s="2" t="s">
        <v>248</v>
      </c>
      <c r="D65" s="1" t="s">
        <v>250</v>
      </c>
      <c r="E65" s="1"/>
      <c r="F65" s="3">
        <v>393</v>
      </c>
      <c r="G65" s="3">
        <v>139</v>
      </c>
      <c r="H65" s="4">
        <v>753</v>
      </c>
      <c r="I65" s="3">
        <v>375</v>
      </c>
      <c r="J65" s="3">
        <v>378</v>
      </c>
      <c r="K65" s="3">
        <v>2</v>
      </c>
      <c r="L65" s="3">
        <f t="shared" si="2"/>
        <v>0.26560424966799467</v>
      </c>
      <c r="M65" s="3">
        <v>737</v>
      </c>
      <c r="N65" s="3">
        <f t="shared" si="3"/>
        <v>97.875166002656044</v>
      </c>
      <c r="O65" s="3">
        <v>0</v>
      </c>
      <c r="P65" s="15">
        <v>0</v>
      </c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 spans="1:31" x14ac:dyDescent="0.25">
      <c r="A66" s="1" t="s">
        <v>0</v>
      </c>
      <c r="B66" s="1" t="s">
        <v>103</v>
      </c>
      <c r="C66" s="2" t="s">
        <v>210</v>
      </c>
      <c r="D66" s="1" t="s">
        <v>209</v>
      </c>
      <c r="E66" s="1"/>
      <c r="F66" s="3">
        <v>192</v>
      </c>
      <c r="G66" s="3">
        <v>181</v>
      </c>
      <c r="H66" s="4">
        <v>922</v>
      </c>
      <c r="I66" s="3">
        <v>478</v>
      </c>
      <c r="J66" s="3">
        <v>444</v>
      </c>
      <c r="K66" s="3">
        <v>76</v>
      </c>
      <c r="L66" s="3">
        <f t="shared" si="2"/>
        <v>8.2429501084598709</v>
      </c>
      <c r="M66" s="3">
        <v>559</v>
      </c>
      <c r="N66" s="3">
        <f t="shared" si="3"/>
        <v>60.629067245119309</v>
      </c>
      <c r="O66" s="3">
        <v>0</v>
      </c>
      <c r="P66" s="15">
        <v>0</v>
      </c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spans="1:31" x14ac:dyDescent="0.25">
      <c r="A67" s="1" t="s">
        <v>0</v>
      </c>
      <c r="B67" s="1" t="s">
        <v>103</v>
      </c>
      <c r="C67" s="2" t="s">
        <v>210</v>
      </c>
      <c r="D67" s="1" t="s">
        <v>211</v>
      </c>
      <c r="E67" s="1"/>
      <c r="F67" s="3">
        <v>750</v>
      </c>
      <c r="G67" s="3">
        <v>169</v>
      </c>
      <c r="H67" s="4">
        <v>838</v>
      </c>
      <c r="I67" s="3">
        <v>445</v>
      </c>
      <c r="J67" s="3">
        <v>393</v>
      </c>
      <c r="K67" s="3">
        <v>3</v>
      </c>
      <c r="L67" s="3">
        <f t="shared" si="2"/>
        <v>0.35799522673031026</v>
      </c>
      <c r="M67" s="3">
        <v>764</v>
      </c>
      <c r="N67" s="3">
        <f t="shared" si="3"/>
        <v>91.169451073985684</v>
      </c>
      <c r="O67" s="3">
        <v>0</v>
      </c>
      <c r="P67" s="15">
        <v>87</v>
      </c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</row>
    <row r="68" spans="1:31" x14ac:dyDescent="0.25">
      <c r="A68" s="1" t="s">
        <v>0</v>
      </c>
      <c r="B68" s="1" t="s">
        <v>103</v>
      </c>
      <c r="C68" s="2" t="s">
        <v>210</v>
      </c>
      <c r="D68" s="1" t="s">
        <v>210</v>
      </c>
      <c r="E68" s="1"/>
      <c r="F68" s="3">
        <v>208</v>
      </c>
      <c r="G68" s="3">
        <v>186</v>
      </c>
      <c r="H68" s="4">
        <v>953</v>
      </c>
      <c r="I68" s="3">
        <v>519</v>
      </c>
      <c r="J68" s="3">
        <v>434</v>
      </c>
      <c r="K68" s="3">
        <v>30</v>
      </c>
      <c r="L68" s="3">
        <f t="shared" ref="L68:L99" si="4">(K68/H68)*100</f>
        <v>3.147953830010493</v>
      </c>
      <c r="M68" s="3">
        <v>850</v>
      </c>
      <c r="N68" s="3">
        <f t="shared" ref="N68:N99" si="5">(M68/H68)*100</f>
        <v>89.192025183630648</v>
      </c>
      <c r="O68" s="3">
        <v>0</v>
      </c>
      <c r="P68" s="15">
        <v>0</v>
      </c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</row>
    <row r="69" spans="1:31" x14ac:dyDescent="0.25">
      <c r="A69" s="1" t="s">
        <v>0</v>
      </c>
      <c r="B69" s="1" t="s">
        <v>103</v>
      </c>
      <c r="C69" s="2" t="s">
        <v>167</v>
      </c>
      <c r="D69" s="1" t="s">
        <v>166</v>
      </c>
      <c r="E69" s="1"/>
      <c r="F69" s="3">
        <v>3388</v>
      </c>
      <c r="G69" s="3">
        <v>642</v>
      </c>
      <c r="H69" s="4">
        <v>3245</v>
      </c>
      <c r="I69" s="3">
        <v>1564</v>
      </c>
      <c r="J69" s="3">
        <v>1681</v>
      </c>
      <c r="K69" s="3">
        <v>811</v>
      </c>
      <c r="L69" s="3">
        <f t="shared" si="4"/>
        <v>24.992295839753467</v>
      </c>
      <c r="M69" s="3">
        <v>340</v>
      </c>
      <c r="N69" s="3">
        <f t="shared" si="5"/>
        <v>10.477657935285054</v>
      </c>
      <c r="O69" s="3">
        <v>146</v>
      </c>
      <c r="P69" s="15">
        <v>2196</v>
      </c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</row>
    <row r="70" spans="1:31" x14ac:dyDescent="0.25">
      <c r="A70" s="1" t="s">
        <v>0</v>
      </c>
      <c r="B70" s="1" t="s">
        <v>103</v>
      </c>
      <c r="C70" s="2" t="s">
        <v>167</v>
      </c>
      <c r="D70" s="1" t="s">
        <v>168</v>
      </c>
      <c r="E70" s="1"/>
      <c r="F70" s="3">
        <v>187</v>
      </c>
      <c r="G70" s="3">
        <v>144</v>
      </c>
      <c r="H70" s="4">
        <v>625</v>
      </c>
      <c r="I70" s="3">
        <v>290</v>
      </c>
      <c r="J70" s="3">
        <v>335</v>
      </c>
      <c r="K70" s="3">
        <v>106</v>
      </c>
      <c r="L70" s="3">
        <f t="shared" si="4"/>
        <v>16.96</v>
      </c>
      <c r="M70" s="3">
        <v>0</v>
      </c>
      <c r="N70" s="3">
        <f t="shared" si="5"/>
        <v>0</v>
      </c>
      <c r="O70" s="3">
        <v>35</v>
      </c>
      <c r="P70" s="15">
        <v>0</v>
      </c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 spans="1:31" x14ac:dyDescent="0.25">
      <c r="A71" s="1" t="s">
        <v>0</v>
      </c>
      <c r="B71" s="1" t="s">
        <v>103</v>
      </c>
      <c r="C71" s="2" t="s">
        <v>167</v>
      </c>
      <c r="D71" s="1" t="s">
        <v>169</v>
      </c>
      <c r="E71" s="1"/>
      <c r="F71" s="3">
        <v>2041</v>
      </c>
      <c r="G71" s="3">
        <v>399</v>
      </c>
      <c r="H71" s="4">
        <v>1873</v>
      </c>
      <c r="I71" s="3">
        <v>941</v>
      </c>
      <c r="J71" s="3">
        <v>932</v>
      </c>
      <c r="K71" s="3">
        <v>502</v>
      </c>
      <c r="L71" s="3">
        <f t="shared" si="4"/>
        <v>26.801922050186867</v>
      </c>
      <c r="M71" s="3">
        <v>0</v>
      </c>
      <c r="N71" s="3">
        <f t="shared" si="5"/>
        <v>0</v>
      </c>
      <c r="O71" s="3">
        <v>76</v>
      </c>
      <c r="P71" s="15">
        <v>1162</v>
      </c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 spans="1:31" x14ac:dyDescent="0.25">
      <c r="A72" s="1" t="s">
        <v>0</v>
      </c>
      <c r="B72" s="1" t="s">
        <v>103</v>
      </c>
      <c r="C72" s="2" t="s">
        <v>159</v>
      </c>
      <c r="D72" s="1" t="s">
        <v>158</v>
      </c>
      <c r="E72" s="1"/>
      <c r="F72" s="3">
        <v>1881</v>
      </c>
      <c r="G72" s="3">
        <v>1142</v>
      </c>
      <c r="H72" s="4">
        <v>5684</v>
      </c>
      <c r="I72" s="3">
        <v>2826</v>
      </c>
      <c r="J72" s="3">
        <v>2858</v>
      </c>
      <c r="K72" s="3">
        <v>1013</v>
      </c>
      <c r="L72" s="3">
        <f t="shared" si="4"/>
        <v>17.8219563687544</v>
      </c>
      <c r="M72" s="3">
        <v>403</v>
      </c>
      <c r="N72" s="3">
        <f t="shared" si="5"/>
        <v>7.0900774102744553</v>
      </c>
      <c r="O72" s="3">
        <v>0</v>
      </c>
      <c r="P72" s="15">
        <v>541</v>
      </c>
      <c r="Q72" s="22"/>
      <c r="R72" s="83">
        <v>44426</v>
      </c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 spans="1:31" x14ac:dyDescent="0.25">
      <c r="A73" s="1" t="s">
        <v>0</v>
      </c>
      <c r="B73" s="1" t="s">
        <v>103</v>
      </c>
      <c r="C73" s="2" t="s">
        <v>213</v>
      </c>
      <c r="D73" s="1" t="s">
        <v>212</v>
      </c>
      <c r="E73" s="1"/>
      <c r="F73" s="3">
        <v>2455</v>
      </c>
      <c r="G73" s="3">
        <v>578</v>
      </c>
      <c r="H73" s="4">
        <v>2891</v>
      </c>
      <c r="I73" s="3">
        <v>1499</v>
      </c>
      <c r="J73" s="3">
        <v>1392</v>
      </c>
      <c r="K73" s="3">
        <v>195</v>
      </c>
      <c r="L73" s="3">
        <f t="shared" si="4"/>
        <v>6.7450709097198205</v>
      </c>
      <c r="M73" s="3">
        <v>1083</v>
      </c>
      <c r="N73" s="3">
        <f t="shared" si="5"/>
        <v>37.461086129366997</v>
      </c>
      <c r="O73" s="3">
        <v>833</v>
      </c>
      <c r="P73" s="15">
        <v>715</v>
      </c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 spans="1:31" x14ac:dyDescent="0.25">
      <c r="A74" s="1" t="s">
        <v>0</v>
      </c>
      <c r="B74" s="1" t="s">
        <v>103</v>
      </c>
      <c r="C74" s="2" t="s">
        <v>215</v>
      </c>
      <c r="D74" s="1" t="s">
        <v>214</v>
      </c>
      <c r="E74" s="1"/>
      <c r="F74" s="3">
        <v>220</v>
      </c>
      <c r="G74" s="3">
        <v>68</v>
      </c>
      <c r="H74" s="4">
        <v>326</v>
      </c>
      <c r="I74" s="3">
        <v>179</v>
      </c>
      <c r="J74" s="3">
        <v>147</v>
      </c>
      <c r="K74" s="3">
        <v>0</v>
      </c>
      <c r="L74" s="3">
        <f t="shared" si="4"/>
        <v>0</v>
      </c>
      <c r="M74" s="3">
        <v>309</v>
      </c>
      <c r="N74" s="3">
        <f t="shared" si="5"/>
        <v>94.785276073619627</v>
      </c>
      <c r="O74" s="3">
        <v>40</v>
      </c>
      <c r="P74" s="15">
        <v>4</v>
      </c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</row>
    <row r="75" spans="1:31" x14ac:dyDescent="0.25">
      <c r="A75" s="1" t="s">
        <v>0</v>
      </c>
      <c r="B75" s="1" t="s">
        <v>103</v>
      </c>
      <c r="C75" s="2" t="s">
        <v>215</v>
      </c>
      <c r="D75" s="1" t="s">
        <v>217</v>
      </c>
      <c r="E75" s="1"/>
      <c r="F75" s="3">
        <v>1793</v>
      </c>
      <c r="G75" s="3">
        <v>651</v>
      </c>
      <c r="H75" s="4">
        <v>3116</v>
      </c>
      <c r="I75" s="3">
        <v>1695</v>
      </c>
      <c r="J75" s="3">
        <v>1421</v>
      </c>
      <c r="K75" s="3">
        <v>419</v>
      </c>
      <c r="L75" s="3">
        <f t="shared" si="4"/>
        <v>13.446726572528883</v>
      </c>
      <c r="M75" s="3">
        <v>2016</v>
      </c>
      <c r="N75" s="3">
        <f t="shared" si="5"/>
        <v>64.698331193838257</v>
      </c>
      <c r="O75" s="3">
        <v>326</v>
      </c>
      <c r="P75" s="15">
        <v>876</v>
      </c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 spans="1:31" x14ac:dyDescent="0.25">
      <c r="A76" s="1" t="s">
        <v>0</v>
      </c>
      <c r="B76" s="1" t="s">
        <v>103</v>
      </c>
      <c r="C76" s="2" t="s">
        <v>155</v>
      </c>
      <c r="D76" s="1" t="s">
        <v>154</v>
      </c>
      <c r="E76" s="1"/>
      <c r="F76" s="3">
        <v>184.87</v>
      </c>
      <c r="G76" s="3">
        <v>199</v>
      </c>
      <c r="H76" s="4">
        <v>1164</v>
      </c>
      <c r="I76" s="3">
        <v>599</v>
      </c>
      <c r="J76" s="3">
        <v>565</v>
      </c>
      <c r="K76" s="3">
        <v>166</v>
      </c>
      <c r="L76" s="3">
        <f t="shared" si="4"/>
        <v>14.261168384879724</v>
      </c>
      <c r="M76" s="3">
        <v>0</v>
      </c>
      <c r="N76" s="3">
        <f t="shared" si="5"/>
        <v>0</v>
      </c>
      <c r="O76" s="3">
        <v>21</v>
      </c>
      <c r="P76" s="15">
        <v>0</v>
      </c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</row>
    <row r="77" spans="1:31" x14ac:dyDescent="0.25">
      <c r="A77" s="1" t="s">
        <v>0</v>
      </c>
      <c r="B77" s="1" t="s">
        <v>103</v>
      </c>
      <c r="C77" s="2" t="s">
        <v>155</v>
      </c>
      <c r="D77" s="1" t="s">
        <v>170</v>
      </c>
      <c r="E77" s="1"/>
      <c r="F77" s="3">
        <v>70.260000000000005</v>
      </c>
      <c r="G77" s="3">
        <v>349</v>
      </c>
      <c r="H77" s="4">
        <v>1782</v>
      </c>
      <c r="I77" s="3">
        <v>885</v>
      </c>
      <c r="J77" s="3">
        <v>897</v>
      </c>
      <c r="K77" s="3">
        <v>776</v>
      </c>
      <c r="L77" s="3">
        <f t="shared" si="4"/>
        <v>43.546576879910212</v>
      </c>
      <c r="M77" s="3">
        <v>3</v>
      </c>
      <c r="N77" s="3">
        <f t="shared" si="5"/>
        <v>0.16835016835016833</v>
      </c>
      <c r="O77" s="3">
        <v>0</v>
      </c>
      <c r="P77" s="15">
        <v>0</v>
      </c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</row>
    <row r="78" spans="1:31" x14ac:dyDescent="0.25">
      <c r="A78" s="1" t="s">
        <v>0</v>
      </c>
      <c r="B78" s="1" t="s">
        <v>103</v>
      </c>
      <c r="C78" s="2" t="s">
        <v>155</v>
      </c>
      <c r="D78" s="1" t="s">
        <v>171</v>
      </c>
      <c r="E78" s="1"/>
      <c r="F78" s="3">
        <v>280.66000000000003</v>
      </c>
      <c r="G78" s="3">
        <v>136</v>
      </c>
      <c r="H78" s="4">
        <v>714</v>
      </c>
      <c r="I78" s="3">
        <v>373</v>
      </c>
      <c r="J78" s="3">
        <v>341</v>
      </c>
      <c r="K78" s="3">
        <v>167</v>
      </c>
      <c r="L78" s="3">
        <f t="shared" si="4"/>
        <v>23.389355742296917</v>
      </c>
      <c r="M78" s="3">
        <v>9</v>
      </c>
      <c r="N78" s="3">
        <f t="shared" si="5"/>
        <v>1.2605042016806722</v>
      </c>
      <c r="O78" s="3">
        <v>77.47</v>
      </c>
      <c r="P78" s="15">
        <v>0</v>
      </c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 spans="1:31" x14ac:dyDescent="0.25">
      <c r="A79" s="1" t="s">
        <v>0</v>
      </c>
      <c r="B79" s="1" t="s">
        <v>103</v>
      </c>
      <c r="C79" s="2" t="s">
        <v>107</v>
      </c>
      <c r="D79" s="1" t="s">
        <v>106</v>
      </c>
      <c r="E79" s="1"/>
      <c r="F79" s="3">
        <v>655</v>
      </c>
      <c r="G79" s="3">
        <v>505</v>
      </c>
      <c r="H79" s="4">
        <v>2372</v>
      </c>
      <c r="I79" s="3">
        <v>1137</v>
      </c>
      <c r="J79" s="3">
        <v>1235</v>
      </c>
      <c r="K79" s="3">
        <v>419</v>
      </c>
      <c r="L79" s="3">
        <f t="shared" si="4"/>
        <v>17.664418212478921</v>
      </c>
      <c r="M79" s="3">
        <v>0</v>
      </c>
      <c r="N79" s="3">
        <f t="shared" si="5"/>
        <v>0</v>
      </c>
      <c r="O79" s="3">
        <v>73</v>
      </c>
      <c r="P79" s="15">
        <v>0</v>
      </c>
      <c r="Q79" s="22"/>
      <c r="R79" s="83">
        <v>44612</v>
      </c>
      <c r="S79" s="22">
        <v>73</v>
      </c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</row>
    <row r="80" spans="1:31" x14ac:dyDescent="0.25">
      <c r="A80" s="1" t="s">
        <v>0</v>
      </c>
      <c r="B80" s="1" t="s">
        <v>103</v>
      </c>
      <c r="C80" s="2" t="s">
        <v>107</v>
      </c>
      <c r="D80" s="1" t="s">
        <v>108</v>
      </c>
      <c r="E80" s="1"/>
      <c r="F80" s="3">
        <v>169</v>
      </c>
      <c r="G80" s="3">
        <v>26</v>
      </c>
      <c r="H80" s="4">
        <v>118</v>
      </c>
      <c r="I80" s="3">
        <v>55</v>
      </c>
      <c r="J80" s="3">
        <v>63</v>
      </c>
      <c r="K80" s="3">
        <v>5</v>
      </c>
      <c r="L80" s="3">
        <f t="shared" si="4"/>
        <v>4.2372881355932197</v>
      </c>
      <c r="M80" s="3">
        <v>1</v>
      </c>
      <c r="N80" s="3">
        <f t="shared" si="5"/>
        <v>0.84745762711864403</v>
      </c>
      <c r="O80" s="3">
        <v>11</v>
      </c>
      <c r="P80" s="15">
        <v>0</v>
      </c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</row>
    <row r="81" spans="1:31" x14ac:dyDescent="0.25">
      <c r="A81" s="1" t="s">
        <v>0</v>
      </c>
      <c r="B81" s="1" t="s">
        <v>103</v>
      </c>
      <c r="C81" s="2" t="s">
        <v>107</v>
      </c>
      <c r="D81" s="1" t="s">
        <v>109</v>
      </c>
      <c r="E81" s="1"/>
      <c r="F81" s="3">
        <v>588</v>
      </c>
      <c r="G81" s="3">
        <v>192</v>
      </c>
      <c r="H81" s="4">
        <v>887</v>
      </c>
      <c r="I81" s="3">
        <v>408</v>
      </c>
      <c r="J81" s="3">
        <v>479</v>
      </c>
      <c r="K81" s="3">
        <v>111</v>
      </c>
      <c r="L81" s="3">
        <f t="shared" si="4"/>
        <v>12.514092446448705</v>
      </c>
      <c r="M81" s="3">
        <v>4</v>
      </c>
      <c r="N81" s="3">
        <f t="shared" si="5"/>
        <v>0.45095828635851182</v>
      </c>
      <c r="O81" s="3">
        <v>56</v>
      </c>
      <c r="P81" s="15">
        <v>0</v>
      </c>
      <c r="Q81" s="22"/>
      <c r="R81" s="83">
        <v>44614</v>
      </c>
      <c r="S81" s="22">
        <v>56</v>
      </c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</row>
    <row r="82" spans="1:31" x14ac:dyDescent="0.25">
      <c r="A82" s="1" t="s">
        <v>0</v>
      </c>
      <c r="B82" s="1" t="s">
        <v>103</v>
      </c>
      <c r="C82" s="2" t="s">
        <v>107</v>
      </c>
      <c r="D82" s="1" t="s">
        <v>110</v>
      </c>
      <c r="E82" s="1"/>
      <c r="F82" s="3">
        <v>816</v>
      </c>
      <c r="G82" s="3">
        <v>287</v>
      </c>
      <c r="H82" s="4">
        <v>1306</v>
      </c>
      <c r="I82" s="3">
        <v>603</v>
      </c>
      <c r="J82" s="3">
        <v>703</v>
      </c>
      <c r="K82" s="3">
        <v>272</v>
      </c>
      <c r="L82" s="3">
        <f t="shared" si="4"/>
        <v>20.826952526799388</v>
      </c>
      <c r="M82" s="3">
        <v>29</v>
      </c>
      <c r="N82" s="3">
        <f t="shared" si="5"/>
        <v>2.2205206738131702</v>
      </c>
      <c r="O82" s="3">
        <v>50</v>
      </c>
      <c r="P82" s="15">
        <v>0</v>
      </c>
      <c r="Q82" s="22"/>
      <c r="R82" s="83">
        <v>44611</v>
      </c>
      <c r="S82" s="22">
        <v>50</v>
      </c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</row>
    <row r="83" spans="1:31" x14ac:dyDescent="0.25">
      <c r="A83" s="1" t="s">
        <v>0</v>
      </c>
      <c r="B83" s="1" t="s">
        <v>103</v>
      </c>
      <c r="C83" s="2" t="s">
        <v>107</v>
      </c>
      <c r="D83" s="1" t="s">
        <v>113</v>
      </c>
      <c r="E83" s="1"/>
      <c r="F83" s="3">
        <v>799</v>
      </c>
      <c r="G83" s="3">
        <v>192</v>
      </c>
      <c r="H83" s="4">
        <v>937</v>
      </c>
      <c r="I83" s="3">
        <v>455</v>
      </c>
      <c r="J83" s="3">
        <v>482</v>
      </c>
      <c r="K83" s="3">
        <v>147</v>
      </c>
      <c r="L83" s="3">
        <f t="shared" si="4"/>
        <v>15.688367129135539</v>
      </c>
      <c r="M83" s="3">
        <v>2</v>
      </c>
      <c r="N83" s="3">
        <f t="shared" si="5"/>
        <v>0.21344717182497333</v>
      </c>
      <c r="O83" s="3">
        <v>154</v>
      </c>
      <c r="P83" s="15">
        <v>32</v>
      </c>
      <c r="Q83" s="22"/>
      <c r="R83" s="83">
        <v>44609</v>
      </c>
      <c r="S83" s="22">
        <v>154</v>
      </c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</row>
    <row r="84" spans="1:31" x14ac:dyDescent="0.25">
      <c r="A84" s="1" t="s">
        <v>0</v>
      </c>
      <c r="B84" s="1" t="s">
        <v>103</v>
      </c>
      <c r="C84" s="2" t="s">
        <v>137</v>
      </c>
      <c r="D84" s="1" t="s">
        <v>136</v>
      </c>
      <c r="E84" s="1"/>
      <c r="F84" s="3">
        <v>2601</v>
      </c>
      <c r="G84" s="3">
        <v>1718</v>
      </c>
      <c r="H84" s="4">
        <v>7896</v>
      </c>
      <c r="I84" s="3">
        <v>3762</v>
      </c>
      <c r="J84" s="3">
        <v>4134</v>
      </c>
      <c r="K84" s="3">
        <v>1725</v>
      </c>
      <c r="L84" s="3">
        <f t="shared" si="4"/>
        <v>21.846504559270517</v>
      </c>
      <c r="M84" s="3">
        <v>5</v>
      </c>
      <c r="N84" s="3">
        <f t="shared" si="5"/>
        <v>6.3323201621073966E-2</v>
      </c>
      <c r="O84" s="3">
        <v>102</v>
      </c>
      <c r="P84" s="15">
        <v>0</v>
      </c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</row>
    <row r="85" spans="1:31" x14ac:dyDescent="0.25">
      <c r="A85" s="1" t="s">
        <v>0</v>
      </c>
      <c r="B85" s="1" t="s">
        <v>103</v>
      </c>
      <c r="C85" s="2" t="s">
        <v>229</v>
      </c>
      <c r="D85" s="1" t="s">
        <v>229</v>
      </c>
      <c r="E85" s="1"/>
      <c r="F85" s="3">
        <v>566</v>
      </c>
      <c r="G85" s="3">
        <v>266</v>
      </c>
      <c r="H85" s="4">
        <v>1316</v>
      </c>
      <c r="I85" s="3">
        <v>682</v>
      </c>
      <c r="J85" s="3">
        <v>634</v>
      </c>
      <c r="K85" s="3">
        <v>2</v>
      </c>
      <c r="L85" s="3">
        <f t="shared" si="4"/>
        <v>0.1519756838905775</v>
      </c>
      <c r="M85" s="3">
        <v>1298</v>
      </c>
      <c r="N85" s="3">
        <f t="shared" si="5"/>
        <v>98.632218844984791</v>
      </c>
      <c r="O85" s="3">
        <v>0</v>
      </c>
      <c r="P85" s="15">
        <v>0</v>
      </c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</row>
    <row r="86" spans="1:31" x14ac:dyDescent="0.25">
      <c r="A86" s="1" t="s">
        <v>0</v>
      </c>
      <c r="B86" s="1" t="s">
        <v>103</v>
      </c>
      <c r="C86" s="2" t="s">
        <v>229</v>
      </c>
      <c r="D86" s="1" t="s">
        <v>235</v>
      </c>
      <c r="E86" s="1"/>
      <c r="F86" s="3">
        <v>283</v>
      </c>
      <c r="G86" s="3">
        <v>243</v>
      </c>
      <c r="H86" s="4">
        <v>1162</v>
      </c>
      <c r="I86" s="3">
        <v>604</v>
      </c>
      <c r="J86" s="3">
        <v>558</v>
      </c>
      <c r="K86" s="3">
        <v>1</v>
      </c>
      <c r="L86" s="3">
        <f t="shared" si="4"/>
        <v>8.6058519793459562E-2</v>
      </c>
      <c r="M86" s="3">
        <v>1150</v>
      </c>
      <c r="N86" s="3">
        <f t="shared" si="5"/>
        <v>98.967297762478495</v>
      </c>
      <c r="O86" s="3">
        <v>0</v>
      </c>
      <c r="P86" s="15">
        <v>0</v>
      </c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</row>
    <row r="87" spans="1:31" x14ac:dyDescent="0.25">
      <c r="A87" s="1" t="s">
        <v>0</v>
      </c>
      <c r="B87" s="1" t="s">
        <v>103</v>
      </c>
      <c r="C87" s="2" t="s">
        <v>229</v>
      </c>
      <c r="D87" s="1" t="s">
        <v>236</v>
      </c>
      <c r="E87" s="1"/>
      <c r="F87" s="3">
        <v>758</v>
      </c>
      <c r="G87" s="3">
        <v>124</v>
      </c>
      <c r="H87" s="4">
        <v>583</v>
      </c>
      <c r="I87" s="3">
        <v>290</v>
      </c>
      <c r="J87" s="3">
        <v>293</v>
      </c>
      <c r="K87" s="3">
        <v>0</v>
      </c>
      <c r="L87" s="3">
        <f t="shared" si="4"/>
        <v>0</v>
      </c>
      <c r="M87" s="3">
        <v>581</v>
      </c>
      <c r="N87" s="3">
        <f t="shared" si="5"/>
        <v>99.656946826758158</v>
      </c>
      <c r="O87" s="3">
        <v>0</v>
      </c>
      <c r="P87" s="15">
        <v>0</v>
      </c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</row>
    <row r="88" spans="1:31" x14ac:dyDescent="0.25">
      <c r="A88" s="1" t="s">
        <v>0</v>
      </c>
      <c r="B88" s="1" t="s">
        <v>103</v>
      </c>
      <c r="C88" s="2" t="s">
        <v>223</v>
      </c>
      <c r="D88" s="1" t="s">
        <v>222</v>
      </c>
      <c r="E88" s="1"/>
      <c r="F88" s="3">
        <v>3241</v>
      </c>
      <c r="G88" s="3">
        <v>2088</v>
      </c>
      <c r="H88" s="4">
        <v>10333</v>
      </c>
      <c r="I88" s="3">
        <v>5240</v>
      </c>
      <c r="J88" s="3">
        <v>5093</v>
      </c>
      <c r="K88" s="3">
        <v>1902</v>
      </c>
      <c r="L88" s="3">
        <f t="shared" si="4"/>
        <v>18.40704538856092</v>
      </c>
      <c r="M88" s="3">
        <v>2222</v>
      </c>
      <c r="N88" s="3">
        <f t="shared" si="5"/>
        <v>21.503919481273588</v>
      </c>
      <c r="O88" s="3">
        <v>552</v>
      </c>
      <c r="P88" s="15">
        <v>580</v>
      </c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</row>
    <row r="89" spans="1:31" x14ac:dyDescent="0.25">
      <c r="A89" s="1" t="s">
        <v>0</v>
      </c>
      <c r="B89" s="1" t="s">
        <v>103</v>
      </c>
      <c r="C89" s="2" t="s">
        <v>173</v>
      </c>
      <c r="D89" s="1" t="s">
        <v>172</v>
      </c>
      <c r="E89" s="1"/>
      <c r="F89" s="3">
        <v>682</v>
      </c>
      <c r="G89" s="3">
        <v>351</v>
      </c>
      <c r="H89" s="4">
        <v>1543</v>
      </c>
      <c r="I89" s="3">
        <v>813</v>
      </c>
      <c r="J89" s="3">
        <v>730</v>
      </c>
      <c r="K89" s="3">
        <v>629</v>
      </c>
      <c r="L89" s="3">
        <f t="shared" si="4"/>
        <v>40.764744005184703</v>
      </c>
      <c r="M89" s="3">
        <v>8</v>
      </c>
      <c r="N89" s="3">
        <f t="shared" si="5"/>
        <v>0.51847051198963057</v>
      </c>
      <c r="O89" s="3">
        <v>64</v>
      </c>
      <c r="P89" s="15">
        <v>0</v>
      </c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</row>
    <row r="90" spans="1:31" x14ac:dyDescent="0.25">
      <c r="A90" s="1" t="s">
        <v>0</v>
      </c>
      <c r="B90" s="1" t="s">
        <v>103</v>
      </c>
      <c r="C90" s="2" t="s">
        <v>173</v>
      </c>
      <c r="D90" s="1" t="s">
        <v>174</v>
      </c>
      <c r="E90" s="1"/>
      <c r="F90" s="3">
        <v>233</v>
      </c>
      <c r="G90" s="3">
        <v>125</v>
      </c>
      <c r="H90" s="4">
        <v>590</v>
      </c>
      <c r="I90" s="3">
        <v>317</v>
      </c>
      <c r="J90" s="3">
        <v>273</v>
      </c>
      <c r="K90" s="3">
        <v>160</v>
      </c>
      <c r="L90" s="3">
        <f t="shared" si="4"/>
        <v>27.118644067796609</v>
      </c>
      <c r="M90" s="3">
        <v>208</v>
      </c>
      <c r="N90" s="3">
        <f t="shared" si="5"/>
        <v>35.254237288135592</v>
      </c>
      <c r="O90" s="3">
        <v>1</v>
      </c>
      <c r="P90" s="15">
        <v>0</v>
      </c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</row>
    <row r="91" spans="1:31" x14ac:dyDescent="0.25">
      <c r="A91" s="1" t="s">
        <v>0</v>
      </c>
      <c r="B91" s="1" t="s">
        <v>103</v>
      </c>
      <c r="C91" s="2" t="s">
        <v>173</v>
      </c>
      <c r="D91" s="1" t="s">
        <v>175</v>
      </c>
      <c r="E91" s="1"/>
      <c r="F91" s="3">
        <v>133</v>
      </c>
      <c r="G91" s="3">
        <v>21</v>
      </c>
      <c r="H91" s="4">
        <v>101</v>
      </c>
      <c r="I91" s="3">
        <v>62</v>
      </c>
      <c r="J91" s="3">
        <v>39</v>
      </c>
      <c r="K91" s="3">
        <v>35</v>
      </c>
      <c r="L91" s="3">
        <f t="shared" si="4"/>
        <v>34.653465346534652</v>
      </c>
      <c r="M91" s="3">
        <v>0</v>
      </c>
      <c r="N91" s="3">
        <f t="shared" si="5"/>
        <v>0</v>
      </c>
      <c r="O91" s="3">
        <v>0</v>
      </c>
      <c r="P91" s="15">
        <v>0</v>
      </c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</row>
    <row r="92" spans="1:31" x14ac:dyDescent="0.25">
      <c r="A92" s="1" t="s">
        <v>0</v>
      </c>
      <c r="B92" s="1" t="s">
        <v>103</v>
      </c>
      <c r="C92" s="2" t="s">
        <v>173</v>
      </c>
      <c r="D92" s="1" t="s">
        <v>176</v>
      </c>
      <c r="E92" s="1"/>
      <c r="F92" s="3">
        <v>1093</v>
      </c>
      <c r="G92" s="3">
        <v>210</v>
      </c>
      <c r="H92" s="4">
        <v>1029</v>
      </c>
      <c r="I92" s="3">
        <v>528</v>
      </c>
      <c r="J92" s="3">
        <v>501</v>
      </c>
      <c r="K92" s="3">
        <v>65</v>
      </c>
      <c r="L92" s="3">
        <f t="shared" si="4"/>
        <v>6.316812439261418</v>
      </c>
      <c r="M92" s="3">
        <v>333</v>
      </c>
      <c r="N92" s="3">
        <f t="shared" si="5"/>
        <v>32.361516034985421</v>
      </c>
      <c r="O92" s="3">
        <v>152</v>
      </c>
      <c r="P92" s="15">
        <v>624</v>
      </c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</row>
    <row r="93" spans="1:31" x14ac:dyDescent="0.25">
      <c r="A93" s="1" t="s">
        <v>0</v>
      </c>
      <c r="B93" s="1" t="s">
        <v>103</v>
      </c>
      <c r="C93" s="2" t="s">
        <v>178</v>
      </c>
      <c r="D93" s="1" t="s">
        <v>177</v>
      </c>
      <c r="E93" s="1"/>
      <c r="F93" s="3">
        <v>5366</v>
      </c>
      <c r="G93" s="3">
        <v>648</v>
      </c>
      <c r="H93" s="4">
        <v>3903</v>
      </c>
      <c r="I93" s="3">
        <v>2016</v>
      </c>
      <c r="J93" s="3">
        <v>1887</v>
      </c>
      <c r="K93" s="3">
        <v>17</v>
      </c>
      <c r="L93" s="3">
        <f t="shared" si="4"/>
        <v>0.4355623879067384</v>
      </c>
      <c r="M93" s="3">
        <v>3818</v>
      </c>
      <c r="N93" s="3">
        <f t="shared" si="5"/>
        <v>97.822188060466303</v>
      </c>
      <c r="O93" s="3">
        <v>0</v>
      </c>
      <c r="P93" s="15">
        <v>4996</v>
      </c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</row>
    <row r="94" spans="1:31" x14ac:dyDescent="0.25">
      <c r="A94" s="1" t="s">
        <v>0</v>
      </c>
      <c r="B94" s="1" t="s">
        <v>103</v>
      </c>
      <c r="C94" s="2" t="s">
        <v>145</v>
      </c>
      <c r="D94" s="1" t="s">
        <v>144</v>
      </c>
      <c r="E94" s="1"/>
      <c r="F94" s="3">
        <v>585</v>
      </c>
      <c r="G94" s="3">
        <v>161</v>
      </c>
      <c r="H94" s="4">
        <v>787</v>
      </c>
      <c r="I94" s="3">
        <v>385</v>
      </c>
      <c r="J94" s="3">
        <v>402</v>
      </c>
      <c r="K94" s="3">
        <v>227</v>
      </c>
      <c r="L94" s="3">
        <f t="shared" si="4"/>
        <v>28.843710292249046</v>
      </c>
      <c r="M94" s="3">
        <v>22</v>
      </c>
      <c r="N94" s="3">
        <f t="shared" si="5"/>
        <v>2.7954256670902162</v>
      </c>
      <c r="O94" s="3">
        <v>95</v>
      </c>
      <c r="P94" s="15">
        <v>0</v>
      </c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</row>
    <row r="95" spans="1:31" x14ac:dyDescent="0.25">
      <c r="A95" s="1" t="s">
        <v>0</v>
      </c>
      <c r="B95" s="1" t="s">
        <v>103</v>
      </c>
      <c r="C95" s="2" t="s">
        <v>145</v>
      </c>
      <c r="D95" s="1" t="s">
        <v>146</v>
      </c>
      <c r="E95" s="1"/>
      <c r="F95" s="3">
        <v>1419</v>
      </c>
      <c r="G95" s="3">
        <v>331</v>
      </c>
      <c r="H95" s="4">
        <v>1543</v>
      </c>
      <c r="I95" s="3">
        <v>797</v>
      </c>
      <c r="J95" s="3">
        <v>746</v>
      </c>
      <c r="K95" s="3">
        <v>508</v>
      </c>
      <c r="L95" s="3">
        <f t="shared" si="4"/>
        <v>32.92287751134154</v>
      </c>
      <c r="M95" s="3">
        <v>14</v>
      </c>
      <c r="N95" s="3">
        <f t="shared" si="5"/>
        <v>0.90732339598185352</v>
      </c>
      <c r="O95" s="3">
        <v>92</v>
      </c>
      <c r="P95" s="15">
        <v>0</v>
      </c>
      <c r="Q95" s="22"/>
      <c r="R95" s="22"/>
      <c r="S95" s="22"/>
      <c r="T95" s="22"/>
      <c r="U95" s="22" t="s">
        <v>1353</v>
      </c>
      <c r="V95" s="22"/>
      <c r="W95" s="22"/>
      <c r="X95" s="22"/>
      <c r="Y95" s="22"/>
      <c r="Z95" s="22"/>
      <c r="AA95" s="22"/>
      <c r="AB95" s="22"/>
      <c r="AC95" s="22"/>
      <c r="AD95" s="22"/>
      <c r="AE95" s="22"/>
    </row>
    <row r="96" spans="1:31" x14ac:dyDescent="0.25">
      <c r="A96" s="1" t="s">
        <v>0</v>
      </c>
      <c r="B96" s="1" t="s">
        <v>103</v>
      </c>
      <c r="C96" s="2" t="s">
        <v>145</v>
      </c>
      <c r="D96" s="1" t="s">
        <v>150</v>
      </c>
      <c r="E96" s="1"/>
      <c r="F96" s="3">
        <v>709</v>
      </c>
      <c r="G96" s="3">
        <v>130</v>
      </c>
      <c r="H96" s="4">
        <v>675</v>
      </c>
      <c r="I96" s="3">
        <v>354</v>
      </c>
      <c r="J96" s="3">
        <v>321</v>
      </c>
      <c r="K96" s="3">
        <v>72</v>
      </c>
      <c r="L96" s="3">
        <f t="shared" si="4"/>
        <v>10.666666666666668</v>
      </c>
      <c r="M96" s="3">
        <v>1</v>
      </c>
      <c r="N96" s="3">
        <f t="shared" si="5"/>
        <v>0.14814814814814814</v>
      </c>
      <c r="O96" s="3">
        <v>12</v>
      </c>
      <c r="P96" s="15">
        <v>0</v>
      </c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</row>
    <row r="97" spans="1:31" x14ac:dyDescent="0.25">
      <c r="A97" s="1" t="s">
        <v>0</v>
      </c>
      <c r="B97" s="1" t="s">
        <v>103</v>
      </c>
      <c r="C97" s="2" t="s">
        <v>119</v>
      </c>
      <c r="D97" s="1" t="s">
        <v>118</v>
      </c>
      <c r="E97" s="1"/>
      <c r="F97" s="3">
        <v>1241</v>
      </c>
      <c r="G97" s="3">
        <v>635</v>
      </c>
      <c r="H97" s="4">
        <v>3468</v>
      </c>
      <c r="I97" s="3">
        <v>1801</v>
      </c>
      <c r="J97" s="3">
        <v>1667</v>
      </c>
      <c r="K97" s="3">
        <v>781</v>
      </c>
      <c r="L97" s="3">
        <f t="shared" si="4"/>
        <v>22.520184544405996</v>
      </c>
      <c r="M97" s="3">
        <v>41</v>
      </c>
      <c r="N97" s="3">
        <f t="shared" si="5"/>
        <v>1.182237600922722</v>
      </c>
      <c r="O97" s="3">
        <v>72</v>
      </c>
      <c r="P97" s="15">
        <v>0</v>
      </c>
      <c r="Q97" s="22" t="s">
        <v>1354</v>
      </c>
      <c r="R97" s="83">
        <v>44606</v>
      </c>
      <c r="S97" s="22">
        <v>72</v>
      </c>
      <c r="T97" s="22"/>
      <c r="U97" s="22" t="s">
        <v>1348</v>
      </c>
      <c r="V97" s="22"/>
      <c r="W97" s="22"/>
      <c r="X97" s="22"/>
      <c r="Y97" s="22"/>
      <c r="Z97" s="22"/>
      <c r="AA97" s="22"/>
      <c r="AB97" s="22"/>
      <c r="AC97" s="22"/>
      <c r="AD97" s="22"/>
      <c r="AE97" s="22"/>
    </row>
    <row r="98" spans="1:31" x14ac:dyDescent="0.25">
      <c r="A98" s="1" t="s">
        <v>0</v>
      </c>
      <c r="B98" s="1" t="s">
        <v>103</v>
      </c>
      <c r="C98" s="2" t="s">
        <v>60</v>
      </c>
      <c r="D98" s="1" t="s">
        <v>203</v>
      </c>
      <c r="E98" s="1"/>
      <c r="F98" s="3">
        <v>2133</v>
      </c>
      <c r="G98" s="3">
        <v>268</v>
      </c>
      <c r="H98" s="4">
        <v>1438</v>
      </c>
      <c r="I98" s="3">
        <v>710</v>
      </c>
      <c r="J98" s="3">
        <v>728</v>
      </c>
      <c r="K98" s="3">
        <v>8</v>
      </c>
      <c r="L98" s="3">
        <f t="shared" si="4"/>
        <v>0.55632823365785811</v>
      </c>
      <c r="M98" s="3">
        <v>1417</v>
      </c>
      <c r="N98" s="3">
        <f t="shared" si="5"/>
        <v>98.539638386648122</v>
      </c>
      <c r="O98" s="3">
        <v>0</v>
      </c>
      <c r="P98" s="15">
        <v>1942</v>
      </c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</row>
    <row r="99" spans="1:31" x14ac:dyDescent="0.25">
      <c r="A99" s="1" t="s">
        <v>0</v>
      </c>
      <c r="B99" s="1" t="s">
        <v>103</v>
      </c>
      <c r="C99" s="2" t="s">
        <v>60</v>
      </c>
      <c r="D99" s="1" t="s">
        <v>224</v>
      </c>
      <c r="E99" s="1"/>
      <c r="F99" s="3">
        <v>565</v>
      </c>
      <c r="G99" s="3">
        <v>139</v>
      </c>
      <c r="H99" s="4">
        <v>744</v>
      </c>
      <c r="I99" s="3">
        <v>383</v>
      </c>
      <c r="J99" s="3">
        <v>361</v>
      </c>
      <c r="K99" s="3">
        <v>0</v>
      </c>
      <c r="L99" s="3">
        <f t="shared" si="4"/>
        <v>0</v>
      </c>
      <c r="M99" s="3">
        <v>341</v>
      </c>
      <c r="N99" s="3">
        <f t="shared" si="5"/>
        <v>45.833333333333329</v>
      </c>
      <c r="O99" s="3">
        <v>350</v>
      </c>
      <c r="P99" s="15">
        <v>15</v>
      </c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</row>
    <row r="100" spans="1:31" x14ac:dyDescent="0.25">
      <c r="A100" s="1" t="s">
        <v>0</v>
      </c>
      <c r="B100" s="1" t="s">
        <v>103</v>
      </c>
      <c r="C100" s="2" t="s">
        <v>60</v>
      </c>
      <c r="D100" s="1" t="s">
        <v>225</v>
      </c>
      <c r="E100" s="1"/>
      <c r="F100" s="3">
        <v>534</v>
      </c>
      <c r="G100" s="3">
        <v>83</v>
      </c>
      <c r="H100" s="4">
        <v>413</v>
      </c>
      <c r="I100" s="3">
        <v>215</v>
      </c>
      <c r="J100" s="3">
        <v>198</v>
      </c>
      <c r="K100" s="3">
        <v>1</v>
      </c>
      <c r="L100" s="3">
        <f t="shared" ref="L100:L114" si="6">(K100/H100)*100</f>
        <v>0.24213075060532688</v>
      </c>
      <c r="M100" s="3">
        <v>410</v>
      </c>
      <c r="N100" s="3">
        <f t="shared" ref="N100:N114" si="7">(M100/H100)*100</f>
        <v>99.27360774818402</v>
      </c>
      <c r="O100" s="3">
        <v>0</v>
      </c>
      <c r="P100" s="15">
        <v>394</v>
      </c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</row>
    <row r="101" spans="1:31" x14ac:dyDescent="0.25">
      <c r="A101" s="1" t="s">
        <v>0</v>
      </c>
      <c r="B101" s="1" t="s">
        <v>103</v>
      </c>
      <c r="C101" s="2" t="s">
        <v>60</v>
      </c>
      <c r="D101" s="1" t="s">
        <v>226</v>
      </c>
      <c r="E101" s="1"/>
      <c r="F101" s="3">
        <v>1190</v>
      </c>
      <c r="G101" s="3">
        <v>327</v>
      </c>
      <c r="H101" s="4">
        <v>1879</v>
      </c>
      <c r="I101" s="3">
        <v>942</v>
      </c>
      <c r="J101" s="3">
        <v>937</v>
      </c>
      <c r="K101" s="3">
        <v>16</v>
      </c>
      <c r="L101" s="3">
        <f t="shared" si="6"/>
        <v>0.85151676423629585</v>
      </c>
      <c r="M101" s="3">
        <v>1829</v>
      </c>
      <c r="N101" s="3">
        <f t="shared" si="7"/>
        <v>97.339010111761567</v>
      </c>
      <c r="O101" s="3">
        <v>41</v>
      </c>
      <c r="P101" s="15">
        <v>560</v>
      </c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</row>
    <row r="102" spans="1:31" x14ac:dyDescent="0.25">
      <c r="A102" s="1" t="s">
        <v>0</v>
      </c>
      <c r="B102" s="1" t="s">
        <v>103</v>
      </c>
      <c r="C102" s="2" t="s">
        <v>185</v>
      </c>
      <c r="D102" s="1" t="s">
        <v>184</v>
      </c>
      <c r="E102" s="1"/>
      <c r="F102" s="3">
        <v>961</v>
      </c>
      <c r="G102" s="3">
        <v>208</v>
      </c>
      <c r="H102" s="4">
        <v>1058</v>
      </c>
      <c r="I102" s="3">
        <v>521</v>
      </c>
      <c r="J102" s="3">
        <v>537</v>
      </c>
      <c r="K102" s="3">
        <v>69</v>
      </c>
      <c r="L102" s="3">
        <f t="shared" si="6"/>
        <v>6.5217391304347823</v>
      </c>
      <c r="M102" s="3">
        <v>115</v>
      </c>
      <c r="N102" s="3">
        <f t="shared" si="7"/>
        <v>10.869565217391305</v>
      </c>
      <c r="O102" s="3">
        <v>183</v>
      </c>
      <c r="P102" s="15">
        <v>0</v>
      </c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</row>
    <row r="103" spans="1:31" x14ac:dyDescent="0.25">
      <c r="A103" s="1" t="s">
        <v>0</v>
      </c>
      <c r="B103" s="1" t="s">
        <v>103</v>
      </c>
      <c r="C103" s="2" t="s">
        <v>185</v>
      </c>
      <c r="D103" s="1" t="s">
        <v>186</v>
      </c>
      <c r="E103" s="1"/>
      <c r="F103" s="3">
        <v>1462</v>
      </c>
      <c r="G103" s="3">
        <v>320</v>
      </c>
      <c r="H103" s="4">
        <v>1545</v>
      </c>
      <c r="I103" s="3">
        <v>789</v>
      </c>
      <c r="J103" s="3">
        <v>756</v>
      </c>
      <c r="K103" s="3">
        <v>173</v>
      </c>
      <c r="L103" s="3">
        <f t="shared" si="6"/>
        <v>11.197411003236246</v>
      </c>
      <c r="M103" s="3">
        <v>558</v>
      </c>
      <c r="N103" s="3">
        <f t="shared" si="7"/>
        <v>36.116504854368934</v>
      </c>
      <c r="O103" s="3">
        <v>91</v>
      </c>
      <c r="P103" s="15">
        <v>0</v>
      </c>
      <c r="Q103" s="22"/>
      <c r="R103" s="83">
        <v>44404</v>
      </c>
      <c r="S103" s="22">
        <v>91</v>
      </c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</row>
    <row r="104" spans="1:31" x14ac:dyDescent="0.25">
      <c r="A104" s="1" t="s">
        <v>0</v>
      </c>
      <c r="B104" s="1" t="s">
        <v>103</v>
      </c>
      <c r="C104" s="2" t="s">
        <v>141</v>
      </c>
      <c r="D104" s="1" t="s">
        <v>140</v>
      </c>
      <c r="E104" s="1"/>
      <c r="F104" s="3">
        <v>654</v>
      </c>
      <c r="G104" s="3">
        <v>521</v>
      </c>
      <c r="H104" s="4">
        <v>2423</v>
      </c>
      <c r="I104" s="3">
        <v>1146</v>
      </c>
      <c r="J104" s="3">
        <v>1277</v>
      </c>
      <c r="K104" s="3">
        <v>780</v>
      </c>
      <c r="L104" s="3">
        <f t="shared" si="6"/>
        <v>32.191498142798189</v>
      </c>
      <c r="M104" s="3">
        <v>236</v>
      </c>
      <c r="N104" s="3">
        <f t="shared" si="7"/>
        <v>9.7399917457697072</v>
      </c>
      <c r="O104" s="3">
        <v>1</v>
      </c>
      <c r="P104" s="15">
        <v>0</v>
      </c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</row>
    <row r="105" spans="1:31" x14ac:dyDescent="0.25">
      <c r="A105" s="1" t="s">
        <v>0</v>
      </c>
      <c r="B105" s="1" t="s">
        <v>103</v>
      </c>
      <c r="C105" s="2" t="s">
        <v>141</v>
      </c>
      <c r="D105" s="1" t="s">
        <v>160</v>
      </c>
      <c r="E105" s="1"/>
      <c r="F105" s="3">
        <v>1195</v>
      </c>
      <c r="G105" s="3">
        <v>437</v>
      </c>
      <c r="H105" s="4">
        <v>2124</v>
      </c>
      <c r="I105" s="3">
        <v>1008</v>
      </c>
      <c r="J105" s="3">
        <v>1116</v>
      </c>
      <c r="K105" s="3">
        <v>541</v>
      </c>
      <c r="L105" s="3">
        <f t="shared" si="6"/>
        <v>25.470809792843692</v>
      </c>
      <c r="M105" s="3">
        <v>176</v>
      </c>
      <c r="N105" s="3">
        <f t="shared" si="7"/>
        <v>8.2862523540489654</v>
      </c>
      <c r="O105" s="3">
        <v>132</v>
      </c>
      <c r="P105" s="15">
        <v>0</v>
      </c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</row>
    <row r="106" spans="1:31" x14ac:dyDescent="0.25">
      <c r="A106" s="1" t="s">
        <v>0</v>
      </c>
      <c r="B106" s="1" t="s">
        <v>103</v>
      </c>
      <c r="C106" s="2" t="s">
        <v>153</v>
      </c>
      <c r="D106" s="1" t="s">
        <v>152</v>
      </c>
      <c r="E106" s="1"/>
      <c r="F106" s="3">
        <v>3789</v>
      </c>
      <c r="G106" s="3">
        <v>1961</v>
      </c>
      <c r="H106" s="4">
        <v>9415</v>
      </c>
      <c r="I106" s="3">
        <v>4566</v>
      </c>
      <c r="J106" s="3">
        <v>4849</v>
      </c>
      <c r="K106" s="3">
        <v>1693</v>
      </c>
      <c r="L106" s="3">
        <f t="shared" si="6"/>
        <v>17.981943706850771</v>
      </c>
      <c r="M106" s="3">
        <v>1893</v>
      </c>
      <c r="N106" s="3">
        <f t="shared" si="7"/>
        <v>20.106213489113117</v>
      </c>
      <c r="O106" s="3">
        <v>167</v>
      </c>
      <c r="P106" s="15">
        <v>476</v>
      </c>
      <c r="Q106" s="22"/>
      <c r="R106" s="83">
        <v>44427</v>
      </c>
      <c r="S106" s="22">
        <v>167</v>
      </c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</row>
    <row r="107" spans="1:31" x14ac:dyDescent="0.25">
      <c r="A107" s="1" t="s">
        <v>0</v>
      </c>
      <c r="B107" s="1" t="s">
        <v>103</v>
      </c>
      <c r="C107" s="2" t="s">
        <v>162</v>
      </c>
      <c r="D107" s="1" t="s">
        <v>161</v>
      </c>
      <c r="E107" s="1"/>
      <c r="F107" s="3">
        <v>424</v>
      </c>
      <c r="G107" s="3">
        <v>351</v>
      </c>
      <c r="H107" s="4">
        <v>1548</v>
      </c>
      <c r="I107" s="3">
        <v>705</v>
      </c>
      <c r="J107" s="3">
        <v>843</v>
      </c>
      <c r="K107" s="3">
        <v>338</v>
      </c>
      <c r="L107" s="3">
        <f t="shared" si="6"/>
        <v>21.834625322997418</v>
      </c>
      <c r="M107" s="3">
        <v>8</v>
      </c>
      <c r="N107" s="3">
        <f t="shared" si="7"/>
        <v>0.516795865633075</v>
      </c>
      <c r="O107" s="3">
        <v>37</v>
      </c>
      <c r="P107" s="15">
        <v>0</v>
      </c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</row>
    <row r="108" spans="1:31" x14ac:dyDescent="0.25">
      <c r="A108" s="1" t="s">
        <v>0</v>
      </c>
      <c r="B108" s="1" t="s">
        <v>103</v>
      </c>
      <c r="C108" s="2" t="s">
        <v>162</v>
      </c>
      <c r="D108" s="1" t="s">
        <v>163</v>
      </c>
      <c r="E108" s="1"/>
      <c r="F108" s="3">
        <v>831</v>
      </c>
      <c r="G108" s="3">
        <v>339</v>
      </c>
      <c r="H108" s="4">
        <v>1536</v>
      </c>
      <c r="I108" s="3">
        <v>737</v>
      </c>
      <c r="J108" s="3">
        <v>799</v>
      </c>
      <c r="K108" s="3">
        <v>301</v>
      </c>
      <c r="L108" s="3">
        <f t="shared" si="6"/>
        <v>19.596354166666664</v>
      </c>
      <c r="M108" s="3">
        <v>19</v>
      </c>
      <c r="N108" s="3">
        <f t="shared" si="7"/>
        <v>1.2369791666666665</v>
      </c>
      <c r="O108" s="3">
        <v>17</v>
      </c>
      <c r="P108" s="15">
        <v>0</v>
      </c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</row>
    <row r="109" spans="1:31" x14ac:dyDescent="0.25">
      <c r="A109" s="1" t="s">
        <v>0</v>
      </c>
      <c r="B109" s="1" t="s">
        <v>103</v>
      </c>
      <c r="C109" s="2" t="s">
        <v>162</v>
      </c>
      <c r="D109" s="1" t="s">
        <v>164</v>
      </c>
      <c r="E109" s="1"/>
      <c r="F109" s="3">
        <v>227</v>
      </c>
      <c r="G109" s="3">
        <v>154</v>
      </c>
      <c r="H109" s="4">
        <v>722</v>
      </c>
      <c r="I109" s="3">
        <v>354</v>
      </c>
      <c r="J109" s="3">
        <v>368</v>
      </c>
      <c r="K109" s="3">
        <v>75</v>
      </c>
      <c r="L109" s="3">
        <f t="shared" si="6"/>
        <v>10.387811634349029</v>
      </c>
      <c r="M109" s="3">
        <v>8</v>
      </c>
      <c r="N109" s="3">
        <f t="shared" si="7"/>
        <v>1.10803324099723</v>
      </c>
      <c r="O109" s="3">
        <v>0</v>
      </c>
      <c r="P109" s="15">
        <v>0</v>
      </c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</row>
    <row r="110" spans="1:31" x14ac:dyDescent="0.25">
      <c r="A110" s="1" t="s">
        <v>0</v>
      </c>
      <c r="B110" s="1" t="s">
        <v>103</v>
      </c>
      <c r="C110" s="2" t="s">
        <v>162</v>
      </c>
      <c r="D110" s="1" t="s">
        <v>165</v>
      </c>
      <c r="E110" s="1"/>
      <c r="F110" s="3">
        <v>664</v>
      </c>
      <c r="G110" s="3">
        <v>141</v>
      </c>
      <c r="H110" s="4">
        <v>636</v>
      </c>
      <c r="I110" s="3">
        <v>309</v>
      </c>
      <c r="J110" s="3">
        <v>327</v>
      </c>
      <c r="K110" s="3">
        <v>145</v>
      </c>
      <c r="L110" s="3">
        <f t="shared" si="6"/>
        <v>22.79874213836478</v>
      </c>
      <c r="M110" s="3">
        <v>10</v>
      </c>
      <c r="N110" s="3">
        <f t="shared" si="7"/>
        <v>1.5723270440251573</v>
      </c>
      <c r="O110" s="3">
        <v>57</v>
      </c>
      <c r="P110" s="15">
        <v>0</v>
      </c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</row>
    <row r="111" spans="1:31" x14ac:dyDescent="0.25">
      <c r="A111" s="1" t="s">
        <v>0</v>
      </c>
      <c r="B111" s="1" t="s">
        <v>103</v>
      </c>
      <c r="C111" s="2" t="s">
        <v>227</v>
      </c>
      <c r="D111" s="1" t="s">
        <v>227</v>
      </c>
      <c r="E111" s="1"/>
      <c r="F111" s="3">
        <v>512</v>
      </c>
      <c r="G111" s="3">
        <v>339</v>
      </c>
      <c r="H111" s="4">
        <v>1709</v>
      </c>
      <c r="I111" s="3">
        <v>825</v>
      </c>
      <c r="J111" s="3">
        <v>884</v>
      </c>
      <c r="K111" s="3">
        <v>2</v>
      </c>
      <c r="L111" s="3">
        <f t="shared" si="6"/>
        <v>0.11702750146284377</v>
      </c>
      <c r="M111" s="3">
        <v>1683</v>
      </c>
      <c r="N111" s="3">
        <f t="shared" si="7"/>
        <v>98.478642480983041</v>
      </c>
      <c r="O111" s="3">
        <v>117</v>
      </c>
      <c r="P111" s="15">
        <v>0</v>
      </c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</row>
    <row r="112" spans="1:31" x14ac:dyDescent="0.25">
      <c r="A112" s="1" t="s">
        <v>0</v>
      </c>
      <c r="B112" s="1" t="s">
        <v>103</v>
      </c>
      <c r="C112" s="2" t="s">
        <v>227</v>
      </c>
      <c r="D112" s="1" t="s">
        <v>228</v>
      </c>
      <c r="E112" s="1"/>
      <c r="F112" s="3">
        <v>356</v>
      </c>
      <c r="G112" s="3">
        <v>170</v>
      </c>
      <c r="H112" s="4">
        <v>841</v>
      </c>
      <c r="I112" s="3">
        <v>421</v>
      </c>
      <c r="J112" s="3">
        <v>420</v>
      </c>
      <c r="K112" s="3">
        <v>2</v>
      </c>
      <c r="L112" s="3">
        <f t="shared" si="6"/>
        <v>0.23781212841854932</v>
      </c>
      <c r="M112" s="3">
        <v>834</v>
      </c>
      <c r="N112" s="3">
        <f t="shared" si="7"/>
        <v>99.167657550535083</v>
      </c>
      <c r="O112" s="3">
        <v>0</v>
      </c>
      <c r="P112" s="15">
        <v>52</v>
      </c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</row>
    <row r="113" spans="1:31" x14ac:dyDescent="0.25">
      <c r="A113" s="1" t="s">
        <v>0</v>
      </c>
      <c r="B113" s="1" t="s">
        <v>103</v>
      </c>
      <c r="C113" s="2" t="s">
        <v>232</v>
      </c>
      <c r="D113" s="1" t="s">
        <v>232</v>
      </c>
      <c r="E113" s="1"/>
      <c r="F113" s="3">
        <v>1582</v>
      </c>
      <c r="G113" s="3">
        <v>459</v>
      </c>
      <c r="H113" s="4">
        <v>2555</v>
      </c>
      <c r="I113" s="3">
        <v>1277</v>
      </c>
      <c r="J113" s="3">
        <v>1278</v>
      </c>
      <c r="K113" s="3">
        <v>4</v>
      </c>
      <c r="L113" s="3">
        <f t="shared" si="6"/>
        <v>0.15655577299412915</v>
      </c>
      <c r="M113" s="3">
        <v>2527</v>
      </c>
      <c r="N113" s="3">
        <f t="shared" si="7"/>
        <v>98.904109589041099</v>
      </c>
      <c r="O113" s="3">
        <v>0</v>
      </c>
      <c r="P113" s="15">
        <v>487</v>
      </c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</row>
    <row r="114" spans="1:31" x14ac:dyDescent="0.25">
      <c r="A114" s="1" t="s">
        <v>0</v>
      </c>
      <c r="B114" s="1" t="s">
        <v>103</v>
      </c>
      <c r="C114" s="2" t="s">
        <v>232</v>
      </c>
      <c r="D114" s="1" t="s">
        <v>234</v>
      </c>
      <c r="E114" s="1"/>
      <c r="F114" s="3">
        <v>2633</v>
      </c>
      <c r="G114" s="3">
        <v>229</v>
      </c>
      <c r="H114" s="4">
        <v>1344</v>
      </c>
      <c r="I114" s="3">
        <v>660</v>
      </c>
      <c r="J114" s="3">
        <v>684</v>
      </c>
      <c r="K114" s="3">
        <v>2</v>
      </c>
      <c r="L114" s="3">
        <f t="shared" si="6"/>
        <v>0.14880952380952381</v>
      </c>
      <c r="M114" s="3">
        <v>1326</v>
      </c>
      <c r="N114" s="3">
        <f t="shared" si="7"/>
        <v>98.660714285714292</v>
      </c>
      <c r="O114" s="3">
        <v>0</v>
      </c>
      <c r="P114" s="15">
        <v>1738</v>
      </c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</row>
  </sheetData>
  <mergeCells count="3">
    <mergeCell ref="AD2:AE2"/>
    <mergeCell ref="M2:N2"/>
    <mergeCell ref="K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8"/>
  <sheetViews>
    <sheetView topLeftCell="B1" workbookViewId="0">
      <pane xSplit="11" ySplit="4" topLeftCell="W98" activePane="bottomRight" state="frozen"/>
      <selection activeCell="B1" sqref="B1"/>
      <selection pane="topRight" activeCell="M1" sqref="M1"/>
      <selection pane="bottomLeft" activeCell="B5" sqref="B5"/>
      <selection pane="bottomRight" activeCell="G98" sqref="G98"/>
    </sheetView>
  </sheetViews>
  <sheetFormatPr defaultRowHeight="15" x14ac:dyDescent="0.25"/>
  <cols>
    <col min="3" max="3" width="23.42578125" customWidth="1"/>
    <col min="4" max="4" width="12.85546875" customWidth="1"/>
    <col min="18" max="18" width="10.42578125" bestFit="1" customWidth="1"/>
    <col min="28" max="28" width="9.7109375" customWidth="1"/>
    <col min="29" max="29" width="38.42578125" customWidth="1"/>
  </cols>
  <sheetData>
    <row r="1" spans="1:31" ht="15.75" x14ac:dyDescent="0.25">
      <c r="A1" s="23"/>
      <c r="B1" s="23"/>
      <c r="C1" s="24"/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11" t="s">
        <v>1327</v>
      </c>
      <c r="R1" s="11" t="s">
        <v>1327</v>
      </c>
      <c r="S1" s="11" t="s">
        <v>1328</v>
      </c>
      <c r="T1" s="12" t="s">
        <v>1329</v>
      </c>
      <c r="U1" s="11" t="s">
        <v>1329</v>
      </c>
      <c r="V1" s="11" t="s">
        <v>1329</v>
      </c>
      <c r="W1" s="11" t="s">
        <v>1329</v>
      </c>
      <c r="X1" s="11" t="s">
        <v>1329</v>
      </c>
      <c r="Y1" s="11" t="s">
        <v>1329</v>
      </c>
      <c r="Z1" s="13" t="s">
        <v>1330</v>
      </c>
      <c r="AA1" s="13" t="s">
        <v>1330</v>
      </c>
      <c r="AB1" s="13" t="s">
        <v>1330</v>
      </c>
      <c r="AC1" s="13" t="s">
        <v>1330</v>
      </c>
      <c r="AD1" s="13" t="s">
        <v>1330</v>
      </c>
      <c r="AE1" s="13" t="s">
        <v>1330</v>
      </c>
    </row>
    <row r="2" spans="1:31" ht="165" x14ac:dyDescent="0.25">
      <c r="A2" s="25" t="s">
        <v>1336</v>
      </c>
      <c r="B2" s="25" t="s">
        <v>1337</v>
      </c>
      <c r="C2" s="25" t="s">
        <v>1338</v>
      </c>
      <c r="D2" s="25" t="s">
        <v>1339</v>
      </c>
      <c r="E2" s="25" t="s">
        <v>1340</v>
      </c>
      <c r="F2" s="25" t="s">
        <v>1341</v>
      </c>
      <c r="G2" s="25" t="s">
        <v>1342</v>
      </c>
      <c r="H2" s="25" t="s">
        <v>1343</v>
      </c>
      <c r="I2" s="25" t="s">
        <v>1344</v>
      </c>
      <c r="J2" s="25" t="s">
        <v>1345</v>
      </c>
      <c r="K2" s="119" t="s">
        <v>1346</v>
      </c>
      <c r="L2" s="120"/>
      <c r="M2" s="119" t="s">
        <v>1347</v>
      </c>
      <c r="N2" s="120"/>
      <c r="O2" s="14" t="s">
        <v>1331</v>
      </c>
      <c r="P2" s="14" t="s">
        <v>1332</v>
      </c>
      <c r="Q2" s="6" t="s">
        <v>1307</v>
      </c>
      <c r="R2" s="6" t="s">
        <v>1308</v>
      </c>
      <c r="S2" s="6" t="s">
        <v>1309</v>
      </c>
      <c r="T2" s="7" t="s">
        <v>1310</v>
      </c>
      <c r="U2" s="6" t="s">
        <v>1311</v>
      </c>
      <c r="V2" s="7" t="s">
        <v>1312</v>
      </c>
      <c r="W2" s="6" t="s">
        <v>1313</v>
      </c>
      <c r="X2" s="6" t="s">
        <v>1314</v>
      </c>
      <c r="Y2" s="7" t="s">
        <v>1315</v>
      </c>
      <c r="Z2" s="7" t="s">
        <v>1316</v>
      </c>
      <c r="AA2" s="7" t="s">
        <v>1317</v>
      </c>
      <c r="AB2" s="7" t="s">
        <v>1318</v>
      </c>
      <c r="AC2" s="7" t="s">
        <v>1319</v>
      </c>
      <c r="AD2" s="121" t="s">
        <v>1320</v>
      </c>
      <c r="AE2" s="121"/>
    </row>
    <row r="3" spans="1:31" ht="31.5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8" t="s">
        <v>1333</v>
      </c>
      <c r="L3" s="8" t="s">
        <v>1334</v>
      </c>
      <c r="M3" s="8" t="s">
        <v>1333</v>
      </c>
      <c r="N3" s="8" t="s">
        <v>1334</v>
      </c>
      <c r="O3" s="14" t="s">
        <v>1335</v>
      </c>
      <c r="P3" s="14" t="s">
        <v>1335</v>
      </c>
      <c r="Q3" s="8" t="s">
        <v>1321</v>
      </c>
      <c r="R3" s="8" t="s">
        <v>1322</v>
      </c>
      <c r="S3" s="8" t="s">
        <v>1323</v>
      </c>
      <c r="T3" s="9" t="s">
        <v>1323</v>
      </c>
      <c r="U3" s="8" t="s">
        <v>1321</v>
      </c>
      <c r="V3" s="8" t="s">
        <v>1321</v>
      </c>
      <c r="W3" s="9" t="s">
        <v>1321</v>
      </c>
      <c r="X3" s="9" t="s">
        <v>1321</v>
      </c>
      <c r="Y3" s="9" t="s">
        <v>1323</v>
      </c>
      <c r="Z3" s="9" t="s">
        <v>1321</v>
      </c>
      <c r="AA3" s="9" t="s">
        <v>1321</v>
      </c>
      <c r="AB3" s="9" t="s">
        <v>1323</v>
      </c>
      <c r="AC3" s="8" t="s">
        <v>1324</v>
      </c>
      <c r="AD3" s="10" t="s">
        <v>1325</v>
      </c>
      <c r="AE3" s="10" t="s">
        <v>1326</v>
      </c>
    </row>
    <row r="4" spans="1:31" ht="15.75" x14ac:dyDescent="0.25">
      <c r="A4" s="1" t="s">
        <v>0</v>
      </c>
      <c r="B4" s="1" t="s">
        <v>254</v>
      </c>
      <c r="C4" s="2" t="s">
        <v>329</v>
      </c>
      <c r="D4" s="1" t="s">
        <v>328</v>
      </c>
      <c r="E4" s="1"/>
      <c r="F4" s="3">
        <v>1822</v>
      </c>
      <c r="G4" s="3">
        <v>698</v>
      </c>
      <c r="H4" s="4">
        <v>3163</v>
      </c>
      <c r="I4" s="3">
        <v>1565</v>
      </c>
      <c r="J4" s="3">
        <v>1598</v>
      </c>
      <c r="K4" s="3">
        <v>1020</v>
      </c>
      <c r="L4" s="3">
        <f t="shared" ref="L4:L35" si="0">(K4/H4)*100</f>
        <v>32.247865950047419</v>
      </c>
      <c r="M4" s="3">
        <v>0</v>
      </c>
      <c r="N4" s="3">
        <f t="shared" ref="N4:N35" si="1">(M4/H4)*100</f>
        <v>0</v>
      </c>
      <c r="O4" s="3">
        <v>86</v>
      </c>
      <c r="P4" s="15">
        <v>0</v>
      </c>
      <c r="Q4" s="22" t="s">
        <v>1348</v>
      </c>
      <c r="R4" s="83">
        <v>43919</v>
      </c>
      <c r="S4" s="89">
        <v>16.11</v>
      </c>
      <c r="U4" s="89" t="s">
        <v>1348</v>
      </c>
      <c r="V4" s="22" t="s">
        <v>1348</v>
      </c>
      <c r="W4" s="22" t="s">
        <v>1354</v>
      </c>
      <c r="X4" s="22"/>
      <c r="Y4" s="22"/>
      <c r="Z4" s="22"/>
      <c r="AA4" s="22"/>
      <c r="AB4" s="22">
        <v>5</v>
      </c>
      <c r="AC4" s="115" t="s">
        <v>1378</v>
      </c>
      <c r="AD4" s="115">
        <v>26.138572</v>
      </c>
      <c r="AE4" s="115">
        <v>73.909633999999997</v>
      </c>
    </row>
    <row r="5" spans="1:31" x14ac:dyDescent="0.25">
      <c r="A5" s="1" t="s">
        <v>0</v>
      </c>
      <c r="B5" s="1" t="s">
        <v>254</v>
      </c>
      <c r="C5" s="2" t="s">
        <v>329</v>
      </c>
      <c r="D5" s="1" t="s">
        <v>336</v>
      </c>
      <c r="E5" s="1"/>
      <c r="F5" s="3">
        <v>171</v>
      </c>
      <c r="G5" s="3">
        <v>65</v>
      </c>
      <c r="H5" s="4">
        <v>345</v>
      </c>
      <c r="I5" s="3">
        <v>177</v>
      </c>
      <c r="J5" s="3">
        <v>168</v>
      </c>
      <c r="K5" s="3">
        <v>99</v>
      </c>
      <c r="L5" s="3">
        <f t="shared" si="0"/>
        <v>28.695652173913043</v>
      </c>
      <c r="M5" s="3">
        <v>0</v>
      </c>
      <c r="N5" s="3">
        <f t="shared" si="1"/>
        <v>0</v>
      </c>
      <c r="O5" s="3">
        <v>1</v>
      </c>
      <c r="P5" s="15">
        <v>0</v>
      </c>
      <c r="Q5" s="22" t="s">
        <v>1348</v>
      </c>
      <c r="R5" s="83">
        <v>43919</v>
      </c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</row>
    <row r="6" spans="1:31" x14ac:dyDescent="0.25">
      <c r="A6" s="1" t="s">
        <v>0</v>
      </c>
      <c r="B6" s="1" t="s">
        <v>254</v>
      </c>
      <c r="C6" s="2" t="s">
        <v>361</v>
      </c>
      <c r="D6" s="1" t="s">
        <v>360</v>
      </c>
      <c r="E6" s="1"/>
      <c r="F6" s="3">
        <v>664</v>
      </c>
      <c r="G6" s="3">
        <v>128</v>
      </c>
      <c r="H6" s="4">
        <v>632</v>
      </c>
      <c r="I6" s="3">
        <v>326</v>
      </c>
      <c r="J6" s="3">
        <v>306</v>
      </c>
      <c r="K6" s="3">
        <v>86</v>
      </c>
      <c r="L6" s="3">
        <f t="shared" si="0"/>
        <v>13.60759493670886</v>
      </c>
      <c r="M6" s="3">
        <v>0</v>
      </c>
      <c r="N6" s="3">
        <f t="shared" si="1"/>
        <v>0</v>
      </c>
      <c r="O6" s="3">
        <v>25</v>
      </c>
      <c r="P6" s="15">
        <v>0</v>
      </c>
      <c r="Q6" s="22" t="s">
        <v>1348</v>
      </c>
      <c r="R6" s="83">
        <v>44203</v>
      </c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</row>
    <row r="7" spans="1:31" x14ac:dyDescent="0.25">
      <c r="A7" s="1" t="s">
        <v>0</v>
      </c>
      <c r="B7" s="1" t="s">
        <v>254</v>
      </c>
      <c r="C7" s="2" t="s">
        <v>361</v>
      </c>
      <c r="D7" s="1" t="s">
        <v>361</v>
      </c>
      <c r="E7" s="1"/>
      <c r="F7" s="3">
        <v>827</v>
      </c>
      <c r="G7" s="3">
        <v>492</v>
      </c>
      <c r="H7" s="4">
        <v>2328</v>
      </c>
      <c r="I7" s="3">
        <v>1176</v>
      </c>
      <c r="J7" s="3">
        <v>1152</v>
      </c>
      <c r="K7" s="3">
        <v>543</v>
      </c>
      <c r="L7" s="3">
        <f t="shared" si="0"/>
        <v>23.324742268041238</v>
      </c>
      <c r="M7" s="3">
        <v>45</v>
      </c>
      <c r="N7" s="3">
        <f t="shared" si="1"/>
        <v>1.9329896907216495</v>
      </c>
      <c r="O7" s="3">
        <v>12</v>
      </c>
      <c r="P7" s="15">
        <v>0</v>
      </c>
      <c r="Q7" s="22" t="s">
        <v>1348</v>
      </c>
      <c r="R7" s="83">
        <v>43793</v>
      </c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</row>
    <row r="8" spans="1:31" x14ac:dyDescent="0.25">
      <c r="A8" s="1" t="s">
        <v>0</v>
      </c>
      <c r="B8" s="1" t="s">
        <v>254</v>
      </c>
      <c r="C8" s="2" t="s">
        <v>361</v>
      </c>
      <c r="D8" s="1" t="s">
        <v>362</v>
      </c>
      <c r="E8" s="1"/>
      <c r="F8" s="3">
        <v>745</v>
      </c>
      <c r="G8" s="3">
        <v>185</v>
      </c>
      <c r="H8" s="4">
        <v>997</v>
      </c>
      <c r="I8" s="3">
        <v>502</v>
      </c>
      <c r="J8" s="3">
        <v>495</v>
      </c>
      <c r="K8" s="3">
        <v>291</v>
      </c>
      <c r="L8" s="3">
        <f t="shared" si="0"/>
        <v>29.187562688064194</v>
      </c>
      <c r="M8" s="3">
        <v>0</v>
      </c>
      <c r="N8" s="3">
        <f t="shared" si="1"/>
        <v>0</v>
      </c>
      <c r="O8" s="3">
        <v>0</v>
      </c>
      <c r="P8" s="15">
        <v>121</v>
      </c>
      <c r="Q8" s="22" t="s">
        <v>1348</v>
      </c>
      <c r="R8" s="83">
        <v>44203</v>
      </c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</row>
    <row r="9" spans="1:31" ht="15.75" x14ac:dyDescent="0.25">
      <c r="A9" s="1" t="s">
        <v>0</v>
      </c>
      <c r="B9" s="1" t="s">
        <v>254</v>
      </c>
      <c r="C9" s="2" t="s">
        <v>275</v>
      </c>
      <c r="D9" s="1" t="s">
        <v>274</v>
      </c>
      <c r="E9" s="1"/>
      <c r="F9" s="3">
        <v>3952</v>
      </c>
      <c r="G9" s="3">
        <v>1695</v>
      </c>
      <c r="H9" s="4">
        <v>7931</v>
      </c>
      <c r="I9" s="3">
        <v>4005</v>
      </c>
      <c r="J9" s="3">
        <v>3926</v>
      </c>
      <c r="K9" s="3">
        <v>1290</v>
      </c>
      <c r="L9" s="3">
        <f t="shared" si="0"/>
        <v>16.265288109948305</v>
      </c>
      <c r="M9" s="3">
        <v>52</v>
      </c>
      <c r="N9" s="3">
        <f t="shared" si="1"/>
        <v>0.65565502458706337</v>
      </c>
      <c r="O9" s="3">
        <v>101</v>
      </c>
      <c r="P9" s="15">
        <v>0</v>
      </c>
      <c r="Q9" s="22" t="s">
        <v>1348</v>
      </c>
      <c r="R9" s="83">
        <v>44390</v>
      </c>
      <c r="S9" s="89">
        <v>18.559999999999999</v>
      </c>
      <c r="T9" s="22"/>
      <c r="U9" s="89" t="s">
        <v>1348</v>
      </c>
      <c r="V9" s="22" t="s">
        <v>1348</v>
      </c>
      <c r="W9" s="22" t="s">
        <v>1354</v>
      </c>
      <c r="X9" s="22"/>
      <c r="Y9" s="22"/>
      <c r="Z9" s="22"/>
      <c r="AA9" s="22"/>
      <c r="AB9" s="22">
        <v>5</v>
      </c>
      <c r="AC9" s="22" t="s">
        <v>1361</v>
      </c>
      <c r="AD9">
        <v>26.351552000000002</v>
      </c>
      <c r="AE9">
        <v>74.014769999999999</v>
      </c>
    </row>
    <row r="10" spans="1:31" ht="15.75" x14ac:dyDescent="0.25">
      <c r="A10" s="1" t="s">
        <v>0</v>
      </c>
      <c r="B10" s="1" t="s">
        <v>254</v>
      </c>
      <c r="C10" s="2" t="s">
        <v>275</v>
      </c>
      <c r="D10" s="1" t="s">
        <v>276</v>
      </c>
      <c r="E10" s="1"/>
      <c r="F10" s="3">
        <v>245</v>
      </c>
      <c r="G10" s="3">
        <v>107</v>
      </c>
      <c r="H10" s="4">
        <v>559</v>
      </c>
      <c r="I10" s="3">
        <v>289</v>
      </c>
      <c r="J10" s="3">
        <v>270</v>
      </c>
      <c r="K10" s="3">
        <v>0</v>
      </c>
      <c r="L10" s="3">
        <f t="shared" si="0"/>
        <v>0</v>
      </c>
      <c r="M10" s="3">
        <v>0</v>
      </c>
      <c r="N10" s="3">
        <f t="shared" si="1"/>
        <v>0</v>
      </c>
      <c r="O10" s="3">
        <v>0</v>
      </c>
      <c r="P10" s="15">
        <v>0</v>
      </c>
      <c r="Q10" s="22" t="s">
        <v>1348</v>
      </c>
      <c r="R10" s="83">
        <v>43688</v>
      </c>
      <c r="S10" s="89">
        <v>40.9</v>
      </c>
      <c r="T10" s="22"/>
      <c r="U10" s="89" t="s">
        <v>1348</v>
      </c>
      <c r="V10" s="22" t="s">
        <v>1348</v>
      </c>
      <c r="W10" s="22" t="s">
        <v>1354</v>
      </c>
      <c r="X10" s="22"/>
      <c r="Y10" s="22"/>
      <c r="Z10" s="22"/>
      <c r="AA10" s="22"/>
      <c r="AB10" s="22"/>
      <c r="AC10" s="22"/>
      <c r="AD10" s="22"/>
      <c r="AE10" s="22"/>
    </row>
    <row r="11" spans="1:31" ht="15.75" x14ac:dyDescent="0.25">
      <c r="A11" s="1" t="s">
        <v>0</v>
      </c>
      <c r="B11" s="1" t="s">
        <v>254</v>
      </c>
      <c r="C11" s="2" t="s">
        <v>275</v>
      </c>
      <c r="D11" s="1" t="s">
        <v>351</v>
      </c>
      <c r="E11" s="1"/>
      <c r="F11" s="3">
        <v>2852</v>
      </c>
      <c r="G11" s="3">
        <v>503</v>
      </c>
      <c r="H11" s="4">
        <v>2498</v>
      </c>
      <c r="I11" s="3">
        <v>1295</v>
      </c>
      <c r="J11" s="3">
        <v>1203</v>
      </c>
      <c r="K11" s="3">
        <v>314</v>
      </c>
      <c r="L11" s="3">
        <f t="shared" si="0"/>
        <v>12.570056044835869</v>
      </c>
      <c r="M11" s="3">
        <v>0</v>
      </c>
      <c r="N11" s="3">
        <f t="shared" si="1"/>
        <v>0</v>
      </c>
      <c r="O11" s="3">
        <v>134</v>
      </c>
      <c r="P11" s="15">
        <v>280</v>
      </c>
      <c r="Q11" s="22" t="s">
        <v>1348</v>
      </c>
      <c r="R11" s="83">
        <v>43919</v>
      </c>
      <c r="S11" s="89">
        <v>32.71</v>
      </c>
      <c r="T11" s="22"/>
      <c r="U11" s="89" t="s">
        <v>1348</v>
      </c>
      <c r="V11" s="22" t="s">
        <v>1348</v>
      </c>
      <c r="W11" s="22" t="s">
        <v>1354</v>
      </c>
      <c r="X11" s="22"/>
      <c r="Y11" s="22"/>
      <c r="Z11" s="22"/>
      <c r="AA11" s="22"/>
      <c r="AB11" s="22">
        <v>2</v>
      </c>
      <c r="AC11" s="22" t="s">
        <v>1361</v>
      </c>
      <c r="AD11" s="115">
        <v>26.351348999999999</v>
      </c>
      <c r="AE11" s="115">
        <v>74.014803000000001</v>
      </c>
    </row>
    <row r="12" spans="1:31" ht="15.75" x14ac:dyDescent="0.25">
      <c r="A12" s="1" t="s">
        <v>0</v>
      </c>
      <c r="B12" s="1" t="s">
        <v>254</v>
      </c>
      <c r="C12" s="2" t="s">
        <v>393</v>
      </c>
      <c r="D12" s="1" t="s">
        <v>392</v>
      </c>
      <c r="E12" s="1"/>
      <c r="F12" s="3">
        <v>3339.36</v>
      </c>
      <c r="G12" s="3">
        <v>688</v>
      </c>
      <c r="H12" s="4">
        <v>3196</v>
      </c>
      <c r="I12" s="3">
        <v>1517</v>
      </c>
      <c r="J12" s="3">
        <v>1679</v>
      </c>
      <c r="K12" s="3">
        <v>894</v>
      </c>
      <c r="L12" s="3">
        <f t="shared" si="0"/>
        <v>27.972465581977474</v>
      </c>
      <c r="M12" s="3">
        <v>0</v>
      </c>
      <c r="N12" s="3">
        <f t="shared" si="1"/>
        <v>0</v>
      </c>
      <c r="O12" s="3">
        <v>555.21</v>
      </c>
      <c r="P12" s="15">
        <v>421.14</v>
      </c>
      <c r="Q12" s="22" t="s">
        <v>1348</v>
      </c>
      <c r="R12" s="83">
        <v>43671</v>
      </c>
      <c r="S12" s="22">
        <v>555.21</v>
      </c>
      <c r="T12" s="22"/>
      <c r="U12" s="89" t="s">
        <v>1348</v>
      </c>
      <c r="V12" s="22" t="s">
        <v>1348</v>
      </c>
      <c r="W12" s="22" t="s">
        <v>1354</v>
      </c>
      <c r="X12" s="22" t="s">
        <v>1354</v>
      </c>
      <c r="Y12" s="22">
        <v>5</v>
      </c>
      <c r="Z12" s="22"/>
      <c r="AA12" s="22"/>
      <c r="AB12" s="22"/>
      <c r="AC12" s="22"/>
      <c r="AD12" s="22"/>
      <c r="AE12" s="22"/>
    </row>
    <row r="13" spans="1:31" x14ac:dyDescent="0.25">
      <c r="A13" s="1" t="s">
        <v>0</v>
      </c>
      <c r="B13" s="1" t="s">
        <v>254</v>
      </c>
      <c r="C13" s="2" t="s">
        <v>393</v>
      </c>
      <c r="D13" s="1" t="s">
        <v>394</v>
      </c>
      <c r="E13" s="1"/>
      <c r="F13" s="3">
        <v>416.32</v>
      </c>
      <c r="G13" s="3">
        <v>77</v>
      </c>
      <c r="H13" s="4">
        <v>316</v>
      </c>
      <c r="I13" s="3">
        <v>152</v>
      </c>
      <c r="J13" s="3">
        <v>164</v>
      </c>
      <c r="K13" s="3">
        <v>5</v>
      </c>
      <c r="L13" s="3">
        <f t="shared" si="0"/>
        <v>1.5822784810126582</v>
      </c>
      <c r="M13" s="3">
        <v>0</v>
      </c>
      <c r="N13" s="3">
        <f t="shared" si="1"/>
        <v>0</v>
      </c>
      <c r="O13" s="3">
        <v>55.14</v>
      </c>
      <c r="P13" s="15">
        <v>0</v>
      </c>
      <c r="Q13" s="22" t="s">
        <v>1348</v>
      </c>
      <c r="R13" s="83">
        <v>43794</v>
      </c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1:31" x14ac:dyDescent="0.25">
      <c r="A14" s="1" t="s">
        <v>0</v>
      </c>
      <c r="B14" s="1" t="s">
        <v>254</v>
      </c>
      <c r="C14" s="2" t="s">
        <v>384</v>
      </c>
      <c r="D14" s="1" t="s">
        <v>383</v>
      </c>
      <c r="E14" s="1"/>
      <c r="F14" s="3">
        <v>1539</v>
      </c>
      <c r="G14" s="3">
        <v>222</v>
      </c>
      <c r="H14" s="4">
        <v>1189</v>
      </c>
      <c r="I14" s="3">
        <v>591</v>
      </c>
      <c r="J14" s="3">
        <v>598</v>
      </c>
      <c r="K14" s="3">
        <v>222</v>
      </c>
      <c r="L14" s="3">
        <f t="shared" si="0"/>
        <v>18.671152228763667</v>
      </c>
      <c r="M14" s="3">
        <v>0</v>
      </c>
      <c r="N14" s="3">
        <f t="shared" si="1"/>
        <v>0</v>
      </c>
      <c r="O14" s="3">
        <v>187</v>
      </c>
      <c r="P14" s="15">
        <v>0</v>
      </c>
      <c r="Q14" s="22" t="s">
        <v>1348</v>
      </c>
      <c r="R14" s="83">
        <v>43919</v>
      </c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1" x14ac:dyDescent="0.25">
      <c r="A15" s="1" t="s">
        <v>0</v>
      </c>
      <c r="B15" s="1" t="s">
        <v>254</v>
      </c>
      <c r="C15" s="2" t="s">
        <v>384</v>
      </c>
      <c r="D15" s="1" t="s">
        <v>385</v>
      </c>
      <c r="E15" s="1"/>
      <c r="F15" s="3">
        <v>812</v>
      </c>
      <c r="G15" s="3">
        <v>233</v>
      </c>
      <c r="H15" s="4">
        <v>1196</v>
      </c>
      <c r="I15" s="3">
        <v>617</v>
      </c>
      <c r="J15" s="3">
        <v>579</v>
      </c>
      <c r="K15" s="3">
        <v>37</v>
      </c>
      <c r="L15" s="3">
        <f t="shared" si="0"/>
        <v>3.0936454849498327</v>
      </c>
      <c r="M15" s="3">
        <v>0</v>
      </c>
      <c r="N15" s="3">
        <f t="shared" si="1"/>
        <v>0</v>
      </c>
      <c r="O15" s="3">
        <v>18</v>
      </c>
      <c r="P15" s="15">
        <v>0</v>
      </c>
      <c r="Q15" s="22" t="s">
        <v>1348</v>
      </c>
      <c r="R15" s="83">
        <v>43919</v>
      </c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 spans="1:31" ht="15.75" x14ac:dyDescent="0.25">
      <c r="A16" s="1" t="s">
        <v>0</v>
      </c>
      <c r="B16" s="1" t="s">
        <v>254</v>
      </c>
      <c r="C16" s="2" t="s">
        <v>384</v>
      </c>
      <c r="D16" s="1" t="s">
        <v>387</v>
      </c>
      <c r="E16" s="1"/>
      <c r="F16" s="3">
        <v>1810</v>
      </c>
      <c r="G16" s="3">
        <v>409</v>
      </c>
      <c r="H16" s="4">
        <v>2143</v>
      </c>
      <c r="I16" s="3">
        <v>1117</v>
      </c>
      <c r="J16" s="3">
        <v>1026</v>
      </c>
      <c r="K16" s="3">
        <v>546</v>
      </c>
      <c r="L16" s="3">
        <f t="shared" si="0"/>
        <v>25.478301446570228</v>
      </c>
      <c r="M16" s="3">
        <v>6</v>
      </c>
      <c r="N16" s="3">
        <f t="shared" si="1"/>
        <v>0.27998133457769481</v>
      </c>
      <c r="O16" s="3">
        <v>133</v>
      </c>
      <c r="P16" s="15">
        <v>0</v>
      </c>
      <c r="Q16" s="22" t="s">
        <v>1348</v>
      </c>
      <c r="R16" s="83">
        <v>43919</v>
      </c>
      <c r="S16" s="89">
        <v>116.13</v>
      </c>
      <c r="T16" s="22"/>
      <c r="U16" s="89" t="s">
        <v>1348</v>
      </c>
      <c r="V16" s="22" t="s">
        <v>1348</v>
      </c>
      <c r="W16" s="22" t="s">
        <v>1354</v>
      </c>
      <c r="X16" s="22"/>
      <c r="Y16" s="22"/>
      <c r="Z16" s="22"/>
      <c r="AA16" s="22"/>
      <c r="AB16" s="22"/>
      <c r="AC16" s="22"/>
      <c r="AD16" s="22"/>
      <c r="AE16" s="22"/>
    </row>
    <row r="17" spans="1:31" x14ac:dyDescent="0.25">
      <c r="A17" s="1" t="s">
        <v>0</v>
      </c>
      <c r="B17" s="1" t="s">
        <v>254</v>
      </c>
      <c r="C17" s="2" t="s">
        <v>301</v>
      </c>
      <c r="D17" s="1" t="s">
        <v>300</v>
      </c>
      <c r="E17" s="1"/>
      <c r="F17" s="2">
        <v>199</v>
      </c>
      <c r="G17" s="5"/>
      <c r="H17" s="4">
        <v>0</v>
      </c>
      <c r="I17" s="5"/>
      <c r="J17" s="5"/>
      <c r="K17" s="5"/>
      <c r="L17" s="3" t="e">
        <f t="shared" si="0"/>
        <v>#DIV/0!</v>
      </c>
      <c r="M17" s="5"/>
      <c r="N17" s="3" t="e">
        <f t="shared" si="1"/>
        <v>#DIV/0!</v>
      </c>
      <c r="O17" s="2">
        <v>39</v>
      </c>
      <c r="P17" s="18">
        <v>0</v>
      </c>
      <c r="Q17" s="22" t="s">
        <v>1348</v>
      </c>
      <c r="R17" s="83">
        <v>43797</v>
      </c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 spans="1:31" ht="15.75" x14ac:dyDescent="0.25">
      <c r="A18" s="1" t="s">
        <v>0</v>
      </c>
      <c r="B18" s="1" t="s">
        <v>254</v>
      </c>
      <c r="C18" s="2" t="s">
        <v>301</v>
      </c>
      <c r="D18" s="1" t="s">
        <v>347</v>
      </c>
      <c r="E18" s="1"/>
      <c r="F18" s="3">
        <v>4339</v>
      </c>
      <c r="G18" s="3">
        <v>1290</v>
      </c>
      <c r="H18" s="4">
        <v>6214</v>
      </c>
      <c r="I18" s="3">
        <v>3125</v>
      </c>
      <c r="J18" s="3">
        <v>3089</v>
      </c>
      <c r="K18" s="3">
        <v>2117</v>
      </c>
      <c r="L18" s="3">
        <f t="shared" si="0"/>
        <v>34.06823302220792</v>
      </c>
      <c r="M18" s="3">
        <v>1</v>
      </c>
      <c r="N18" s="3">
        <f t="shared" si="1"/>
        <v>1.6092693916961699E-2</v>
      </c>
      <c r="O18" s="3">
        <v>559</v>
      </c>
      <c r="P18" s="15">
        <v>0</v>
      </c>
      <c r="Q18" s="22" t="s">
        <v>1348</v>
      </c>
      <c r="R18" s="83">
        <v>44203</v>
      </c>
      <c r="S18" s="89">
        <v>22.7</v>
      </c>
      <c r="T18" s="22"/>
      <c r="U18" s="89" t="s">
        <v>1348</v>
      </c>
      <c r="V18" s="22" t="s">
        <v>1348</v>
      </c>
      <c r="W18" s="22" t="s">
        <v>1354</v>
      </c>
      <c r="X18" s="22" t="s">
        <v>1354</v>
      </c>
      <c r="Y18" s="22">
        <v>2</v>
      </c>
      <c r="Z18" s="22"/>
      <c r="AA18" s="22"/>
      <c r="AB18" s="22"/>
      <c r="AC18" s="22"/>
      <c r="AD18" s="22"/>
      <c r="AE18" s="22"/>
    </row>
    <row r="19" spans="1:31" x14ac:dyDescent="0.25">
      <c r="A19" s="1" t="s">
        <v>0</v>
      </c>
      <c r="B19" s="1" t="s">
        <v>254</v>
      </c>
      <c r="C19" s="2" t="s">
        <v>301</v>
      </c>
      <c r="D19" s="1" t="s">
        <v>350</v>
      </c>
      <c r="E19" s="1"/>
      <c r="F19" s="3">
        <v>760</v>
      </c>
      <c r="G19" s="3">
        <v>200</v>
      </c>
      <c r="H19" s="4">
        <v>1121</v>
      </c>
      <c r="I19" s="3">
        <v>591</v>
      </c>
      <c r="J19" s="3">
        <v>530</v>
      </c>
      <c r="K19" s="3">
        <v>404</v>
      </c>
      <c r="L19" s="3">
        <f t="shared" si="0"/>
        <v>36.039250669045501</v>
      </c>
      <c r="M19" s="3">
        <v>0</v>
      </c>
      <c r="N19" s="3">
        <f t="shared" si="1"/>
        <v>0</v>
      </c>
      <c r="O19" s="3">
        <v>45</v>
      </c>
      <c r="P19" s="15">
        <v>0</v>
      </c>
      <c r="Q19" s="22" t="s">
        <v>1348</v>
      </c>
      <c r="R19" s="83">
        <v>43794</v>
      </c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</row>
    <row r="20" spans="1:31" ht="15.75" x14ac:dyDescent="0.25">
      <c r="A20" s="1" t="s">
        <v>0</v>
      </c>
      <c r="B20" s="1" t="s">
        <v>254</v>
      </c>
      <c r="C20" s="2" t="s">
        <v>278</v>
      </c>
      <c r="D20" s="1" t="s">
        <v>277</v>
      </c>
      <c r="E20" s="1"/>
      <c r="F20" s="3">
        <v>4833</v>
      </c>
      <c r="G20" s="3">
        <v>1671</v>
      </c>
      <c r="H20" s="4">
        <v>7372</v>
      </c>
      <c r="I20" s="3">
        <v>3630</v>
      </c>
      <c r="J20" s="3">
        <v>3742</v>
      </c>
      <c r="K20" s="3">
        <v>1508</v>
      </c>
      <c r="L20" s="3">
        <f t="shared" si="0"/>
        <v>20.455778621812261</v>
      </c>
      <c r="M20" s="3">
        <v>0</v>
      </c>
      <c r="N20" s="3">
        <f t="shared" si="1"/>
        <v>0</v>
      </c>
      <c r="O20" s="3">
        <v>92</v>
      </c>
      <c r="P20" s="15">
        <v>0</v>
      </c>
      <c r="Q20" s="22" t="s">
        <v>1348</v>
      </c>
      <c r="R20" s="83">
        <v>43919</v>
      </c>
      <c r="S20" s="89">
        <v>3.8</v>
      </c>
      <c r="T20" s="22"/>
      <c r="U20" s="89" t="s">
        <v>1348</v>
      </c>
      <c r="V20" s="22" t="s">
        <v>1348</v>
      </c>
      <c r="W20" s="22" t="s">
        <v>1354</v>
      </c>
      <c r="X20" s="22"/>
      <c r="Y20" s="22"/>
      <c r="Z20" s="22"/>
      <c r="AA20" s="22"/>
      <c r="AB20" s="22"/>
      <c r="AC20" s="22"/>
      <c r="AD20" s="22"/>
      <c r="AE20" s="22"/>
    </row>
    <row r="21" spans="1:31" x14ac:dyDescent="0.25">
      <c r="A21" s="1" t="s">
        <v>0</v>
      </c>
      <c r="B21" s="1" t="s">
        <v>254</v>
      </c>
      <c r="C21" s="2" t="s">
        <v>280</v>
      </c>
      <c r="D21" s="1" t="s">
        <v>279</v>
      </c>
      <c r="E21" s="1"/>
      <c r="F21" s="3">
        <v>379</v>
      </c>
      <c r="G21" s="3">
        <v>117</v>
      </c>
      <c r="H21" s="4">
        <v>539</v>
      </c>
      <c r="I21" s="3">
        <v>271</v>
      </c>
      <c r="J21" s="3">
        <v>268</v>
      </c>
      <c r="K21" s="3">
        <v>103</v>
      </c>
      <c r="L21" s="3">
        <f t="shared" si="0"/>
        <v>19.109461966604822</v>
      </c>
      <c r="M21" s="3">
        <v>0</v>
      </c>
      <c r="N21" s="3">
        <f t="shared" si="1"/>
        <v>0</v>
      </c>
      <c r="O21" s="3">
        <v>43</v>
      </c>
      <c r="P21" s="15">
        <v>0</v>
      </c>
      <c r="Q21" s="22" t="s">
        <v>1348</v>
      </c>
      <c r="R21" s="83">
        <v>43919</v>
      </c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1:31" ht="15.75" x14ac:dyDescent="0.25">
      <c r="A22" s="1" t="s">
        <v>0</v>
      </c>
      <c r="B22" s="1" t="s">
        <v>254</v>
      </c>
      <c r="C22" s="2" t="s">
        <v>280</v>
      </c>
      <c r="D22" s="1" t="s">
        <v>295</v>
      </c>
      <c r="E22" s="1"/>
      <c r="F22" s="3">
        <v>1946</v>
      </c>
      <c r="G22" s="3">
        <v>656</v>
      </c>
      <c r="H22" s="4">
        <v>3269</v>
      </c>
      <c r="I22" s="3">
        <v>1656</v>
      </c>
      <c r="J22" s="3">
        <v>1613</v>
      </c>
      <c r="K22" s="3">
        <v>766</v>
      </c>
      <c r="L22" s="3">
        <f t="shared" si="0"/>
        <v>23.432242275925361</v>
      </c>
      <c r="M22" s="3">
        <v>7</v>
      </c>
      <c r="N22" s="3">
        <f t="shared" si="1"/>
        <v>0.21413276231263384</v>
      </c>
      <c r="O22" s="3">
        <v>71</v>
      </c>
      <c r="P22" s="15">
        <v>0</v>
      </c>
      <c r="Q22" s="22" t="s">
        <v>1348</v>
      </c>
      <c r="R22" s="83">
        <v>44203</v>
      </c>
      <c r="S22" s="89">
        <v>20.16</v>
      </c>
      <c r="T22" s="22"/>
      <c r="U22" s="89" t="s">
        <v>1348</v>
      </c>
      <c r="V22" s="22" t="s">
        <v>1348</v>
      </c>
      <c r="W22" s="22" t="s">
        <v>1354</v>
      </c>
      <c r="X22" s="22" t="s">
        <v>1348</v>
      </c>
      <c r="Y22" s="22">
        <v>2</v>
      </c>
      <c r="Z22" s="22"/>
      <c r="AA22" s="22"/>
      <c r="AB22" s="22"/>
      <c r="AC22" s="22"/>
      <c r="AD22" s="22"/>
      <c r="AE22" s="22"/>
    </row>
    <row r="23" spans="1:31" x14ac:dyDescent="0.25">
      <c r="A23" s="1" t="s">
        <v>0</v>
      </c>
      <c r="B23" s="1" t="s">
        <v>254</v>
      </c>
      <c r="C23" s="2" t="s">
        <v>314</v>
      </c>
      <c r="D23" s="1" t="s">
        <v>313</v>
      </c>
      <c r="E23" s="1"/>
      <c r="F23" s="2">
        <v>161</v>
      </c>
      <c r="G23" s="5"/>
      <c r="H23" s="4">
        <v>0</v>
      </c>
      <c r="I23" s="5"/>
      <c r="J23" s="5"/>
      <c r="K23" s="5"/>
      <c r="L23" s="3" t="e">
        <f t="shared" si="0"/>
        <v>#DIV/0!</v>
      </c>
      <c r="M23" s="5"/>
      <c r="N23" s="3" t="e">
        <f t="shared" si="1"/>
        <v>#DIV/0!</v>
      </c>
      <c r="O23" s="2">
        <v>50</v>
      </c>
      <c r="P23" s="18">
        <v>0</v>
      </c>
      <c r="Q23" s="22" t="s">
        <v>1348</v>
      </c>
      <c r="R23" s="83">
        <v>44203</v>
      </c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 spans="1:31" ht="15.75" x14ac:dyDescent="0.25">
      <c r="A24" s="1" t="s">
        <v>0</v>
      </c>
      <c r="B24" s="1" t="s">
        <v>254</v>
      </c>
      <c r="C24" s="2" t="s">
        <v>314</v>
      </c>
      <c r="D24" s="1" t="s">
        <v>315</v>
      </c>
      <c r="E24" s="1"/>
      <c r="F24" s="3">
        <v>293</v>
      </c>
      <c r="G24" s="3">
        <v>150</v>
      </c>
      <c r="H24" s="4">
        <v>746</v>
      </c>
      <c r="I24" s="3">
        <v>365</v>
      </c>
      <c r="J24" s="3">
        <v>381</v>
      </c>
      <c r="K24" s="3">
        <v>68</v>
      </c>
      <c r="L24" s="3">
        <f t="shared" si="0"/>
        <v>9.1152815013404833</v>
      </c>
      <c r="M24" s="3">
        <v>0</v>
      </c>
      <c r="N24" s="3">
        <f t="shared" si="1"/>
        <v>0</v>
      </c>
      <c r="O24" s="3">
        <v>45</v>
      </c>
      <c r="P24" s="15">
        <v>0</v>
      </c>
      <c r="Q24" s="22" t="s">
        <v>1348</v>
      </c>
      <c r="R24" s="83">
        <v>43792</v>
      </c>
      <c r="S24" s="89">
        <v>115.77</v>
      </c>
      <c r="T24" s="22"/>
      <c r="U24" s="89" t="s">
        <v>1348</v>
      </c>
      <c r="V24" s="22" t="s">
        <v>1348</v>
      </c>
      <c r="W24" s="22" t="s">
        <v>1354</v>
      </c>
      <c r="X24" s="22"/>
      <c r="Y24" s="22"/>
      <c r="Z24" s="22"/>
      <c r="AA24" s="22"/>
      <c r="AB24" s="22"/>
      <c r="AC24" s="22"/>
      <c r="AD24" s="22"/>
      <c r="AE24" s="22"/>
    </row>
    <row r="25" spans="1:31" ht="15.75" x14ac:dyDescent="0.25">
      <c r="A25" s="1" t="s">
        <v>0</v>
      </c>
      <c r="B25" s="1" t="s">
        <v>254</v>
      </c>
      <c r="C25" s="2" t="s">
        <v>314</v>
      </c>
      <c r="D25" s="1" t="s">
        <v>316</v>
      </c>
      <c r="E25" s="1"/>
      <c r="F25" s="3">
        <v>1348</v>
      </c>
      <c r="G25" s="3">
        <v>563</v>
      </c>
      <c r="H25" s="4">
        <v>2670</v>
      </c>
      <c r="I25" s="3">
        <v>1354</v>
      </c>
      <c r="J25" s="3">
        <v>1316</v>
      </c>
      <c r="K25" s="3">
        <v>701</v>
      </c>
      <c r="L25" s="3">
        <f t="shared" si="0"/>
        <v>26.254681647940075</v>
      </c>
      <c r="M25" s="3">
        <v>0</v>
      </c>
      <c r="N25" s="3">
        <f t="shared" si="1"/>
        <v>0</v>
      </c>
      <c r="O25" s="3">
        <v>35</v>
      </c>
      <c r="P25" s="15">
        <v>0</v>
      </c>
      <c r="Q25" s="22" t="s">
        <v>1348</v>
      </c>
      <c r="R25" s="83">
        <v>43827</v>
      </c>
      <c r="S25" s="89">
        <v>69.53</v>
      </c>
      <c r="U25" s="89" t="s">
        <v>1348</v>
      </c>
      <c r="V25" s="22" t="s">
        <v>1348</v>
      </c>
      <c r="W25" s="22" t="s">
        <v>1354</v>
      </c>
      <c r="X25" s="22"/>
      <c r="Y25" s="22"/>
      <c r="Z25" s="22"/>
      <c r="AA25" s="22"/>
      <c r="AB25" s="22">
        <v>10</v>
      </c>
      <c r="AC25" s="22" t="s">
        <v>1361</v>
      </c>
      <c r="AD25">
        <v>26.234613</v>
      </c>
      <c r="AE25">
        <v>73.823031999999998</v>
      </c>
    </row>
    <row r="26" spans="1:31" x14ac:dyDescent="0.25">
      <c r="A26" s="1" t="s">
        <v>0</v>
      </c>
      <c r="B26" s="1" t="s">
        <v>254</v>
      </c>
      <c r="C26" s="2" t="s">
        <v>314</v>
      </c>
      <c r="D26" s="1" t="s">
        <v>317</v>
      </c>
      <c r="E26" s="1"/>
      <c r="F26" s="3">
        <v>655</v>
      </c>
      <c r="G26" s="3">
        <v>241</v>
      </c>
      <c r="H26" s="4">
        <v>1113</v>
      </c>
      <c r="I26" s="3">
        <v>534</v>
      </c>
      <c r="J26" s="3">
        <v>579</v>
      </c>
      <c r="K26" s="3">
        <v>473</v>
      </c>
      <c r="L26" s="3">
        <f t="shared" si="0"/>
        <v>42.497753818508535</v>
      </c>
      <c r="M26" s="3">
        <v>8</v>
      </c>
      <c r="N26" s="3">
        <f t="shared" si="1"/>
        <v>0.7187780772686434</v>
      </c>
      <c r="O26" s="3">
        <v>23</v>
      </c>
      <c r="P26" s="15">
        <v>0</v>
      </c>
      <c r="Q26" s="22" t="s">
        <v>1348</v>
      </c>
      <c r="R26" s="83">
        <v>43695</v>
      </c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</row>
    <row r="27" spans="1:31" ht="15.75" x14ac:dyDescent="0.25">
      <c r="A27" s="1" t="s">
        <v>0</v>
      </c>
      <c r="B27" s="1" t="s">
        <v>254</v>
      </c>
      <c r="C27" s="2" t="s">
        <v>359</v>
      </c>
      <c r="D27" s="1" t="s">
        <v>358</v>
      </c>
      <c r="E27" s="1"/>
      <c r="F27" s="3">
        <v>1474</v>
      </c>
      <c r="G27" s="3">
        <v>656</v>
      </c>
      <c r="H27" s="4">
        <v>3101</v>
      </c>
      <c r="I27" s="3">
        <v>1603</v>
      </c>
      <c r="J27" s="3">
        <v>1498</v>
      </c>
      <c r="K27" s="3">
        <v>711</v>
      </c>
      <c r="L27" s="3">
        <f t="shared" si="0"/>
        <v>22.92808771364076</v>
      </c>
      <c r="M27" s="3">
        <v>0</v>
      </c>
      <c r="N27" s="3">
        <f t="shared" si="1"/>
        <v>0</v>
      </c>
      <c r="O27" s="3">
        <v>108</v>
      </c>
      <c r="P27" s="15">
        <v>0</v>
      </c>
      <c r="Q27" s="22" t="s">
        <v>1348</v>
      </c>
      <c r="R27" s="83">
        <v>44088</v>
      </c>
      <c r="S27" s="89">
        <v>29.43</v>
      </c>
      <c r="T27" s="22"/>
      <c r="U27" s="89" t="s">
        <v>1348</v>
      </c>
      <c r="V27" s="22" t="s">
        <v>1348</v>
      </c>
      <c r="W27" s="22" t="s">
        <v>1354</v>
      </c>
      <c r="X27" s="22"/>
      <c r="Y27" s="22"/>
      <c r="Z27" s="22"/>
      <c r="AA27" s="22"/>
      <c r="AB27" s="22"/>
      <c r="AC27" s="22"/>
      <c r="AD27" s="22"/>
      <c r="AE27" s="22"/>
    </row>
    <row r="28" spans="1:31" x14ac:dyDescent="0.25">
      <c r="A28" s="1" t="s">
        <v>0</v>
      </c>
      <c r="B28" s="1" t="s">
        <v>254</v>
      </c>
      <c r="C28" s="2" t="s">
        <v>359</v>
      </c>
      <c r="D28" s="1" t="s">
        <v>60</v>
      </c>
      <c r="E28" s="1"/>
      <c r="F28" s="3">
        <v>512</v>
      </c>
      <c r="G28" s="3">
        <v>197</v>
      </c>
      <c r="H28" s="4">
        <v>893</v>
      </c>
      <c r="I28" s="3">
        <v>472</v>
      </c>
      <c r="J28" s="3">
        <v>421</v>
      </c>
      <c r="K28" s="3">
        <v>0</v>
      </c>
      <c r="L28" s="3">
        <f t="shared" si="0"/>
        <v>0</v>
      </c>
      <c r="M28" s="3">
        <v>0</v>
      </c>
      <c r="N28" s="3">
        <f t="shared" si="1"/>
        <v>0</v>
      </c>
      <c r="O28" s="3">
        <v>22</v>
      </c>
      <c r="P28" s="15">
        <v>0</v>
      </c>
      <c r="Q28" s="22" t="s">
        <v>1348</v>
      </c>
      <c r="R28" s="83">
        <v>43989</v>
      </c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 spans="1:31" x14ac:dyDescent="0.25">
      <c r="A29" s="1" t="s">
        <v>0</v>
      </c>
      <c r="B29" s="1" t="s">
        <v>254</v>
      </c>
      <c r="C29" s="2" t="s">
        <v>359</v>
      </c>
      <c r="D29" s="1" t="s">
        <v>363</v>
      </c>
      <c r="E29" s="1"/>
      <c r="F29" s="3">
        <v>1157</v>
      </c>
      <c r="G29" s="3">
        <v>206</v>
      </c>
      <c r="H29" s="4">
        <v>1023</v>
      </c>
      <c r="I29" s="3">
        <v>548</v>
      </c>
      <c r="J29" s="3">
        <v>475</v>
      </c>
      <c r="K29" s="3">
        <v>383</v>
      </c>
      <c r="L29" s="3">
        <f t="shared" si="0"/>
        <v>37.438905180840663</v>
      </c>
      <c r="M29" s="3">
        <v>1</v>
      </c>
      <c r="N29" s="3">
        <f t="shared" si="1"/>
        <v>9.7751710654936458E-2</v>
      </c>
      <c r="O29" s="3">
        <v>349</v>
      </c>
      <c r="P29" s="15">
        <v>0</v>
      </c>
      <c r="Q29" s="22" t="s">
        <v>1348</v>
      </c>
      <c r="R29" s="83">
        <v>43798</v>
      </c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</row>
    <row r="30" spans="1:31" ht="15.75" x14ac:dyDescent="0.25">
      <c r="A30" s="1" t="s">
        <v>0</v>
      </c>
      <c r="B30" s="1" t="s">
        <v>254</v>
      </c>
      <c r="C30" s="2" t="s">
        <v>359</v>
      </c>
      <c r="D30" s="1" t="s">
        <v>364</v>
      </c>
      <c r="E30" s="1"/>
      <c r="F30" s="3">
        <v>1012</v>
      </c>
      <c r="G30" s="3">
        <v>226</v>
      </c>
      <c r="H30" s="4">
        <v>1184</v>
      </c>
      <c r="I30" s="3">
        <v>546</v>
      </c>
      <c r="J30" s="3">
        <v>638</v>
      </c>
      <c r="K30" s="3">
        <v>193</v>
      </c>
      <c r="L30" s="3">
        <f t="shared" si="0"/>
        <v>16.300675675675674</v>
      </c>
      <c r="M30" s="3">
        <v>5</v>
      </c>
      <c r="N30" s="3">
        <f t="shared" si="1"/>
        <v>0.42229729729729731</v>
      </c>
      <c r="O30" s="3">
        <v>219</v>
      </c>
      <c r="P30" s="15">
        <v>0</v>
      </c>
      <c r="Q30" s="22" t="s">
        <v>1348</v>
      </c>
      <c r="R30" s="83">
        <v>44203</v>
      </c>
      <c r="S30" s="89">
        <v>14.96</v>
      </c>
      <c r="T30" s="22"/>
      <c r="U30" s="89" t="s">
        <v>1348</v>
      </c>
      <c r="V30" s="22" t="s">
        <v>1348</v>
      </c>
      <c r="W30" s="22" t="s">
        <v>1354</v>
      </c>
      <c r="X30" s="22"/>
      <c r="Y30" s="22"/>
      <c r="Z30" s="22"/>
      <c r="AA30" s="22"/>
      <c r="AB30" s="22"/>
      <c r="AC30" s="22"/>
      <c r="AD30" s="22"/>
      <c r="AE30" s="22"/>
    </row>
    <row r="31" spans="1:31" x14ac:dyDescent="0.25">
      <c r="A31" s="1" t="s">
        <v>0</v>
      </c>
      <c r="B31" s="1" t="s">
        <v>254</v>
      </c>
      <c r="C31" s="2" t="s">
        <v>294</v>
      </c>
      <c r="D31" s="1" t="s">
        <v>293</v>
      </c>
      <c r="E31" s="1"/>
      <c r="F31" s="3">
        <v>579.64</v>
      </c>
      <c r="G31" s="3">
        <v>174</v>
      </c>
      <c r="H31" s="4">
        <v>795</v>
      </c>
      <c r="I31" s="3">
        <v>364</v>
      </c>
      <c r="J31" s="3">
        <v>431</v>
      </c>
      <c r="K31" s="3">
        <v>228</v>
      </c>
      <c r="L31" s="3">
        <f t="shared" si="0"/>
        <v>28.679245283018869</v>
      </c>
      <c r="M31" s="3">
        <v>2</v>
      </c>
      <c r="N31" s="3">
        <f t="shared" si="1"/>
        <v>0.25157232704402516</v>
      </c>
      <c r="O31" s="3">
        <v>34.049999999999997</v>
      </c>
      <c r="P31" s="15">
        <v>0</v>
      </c>
      <c r="Q31" s="22" t="s">
        <v>1348</v>
      </c>
      <c r="R31" s="83">
        <v>43665</v>
      </c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 spans="1:31" ht="15.75" x14ac:dyDescent="0.25">
      <c r="A32" s="1" t="s">
        <v>0</v>
      </c>
      <c r="B32" s="1" t="s">
        <v>254</v>
      </c>
      <c r="C32" s="2" t="s">
        <v>294</v>
      </c>
      <c r="D32" s="1" t="s">
        <v>305</v>
      </c>
      <c r="E32" s="1"/>
      <c r="F32" s="3">
        <v>506.51</v>
      </c>
      <c r="G32" s="3">
        <v>92</v>
      </c>
      <c r="H32" s="4">
        <v>362</v>
      </c>
      <c r="I32" s="3">
        <v>166</v>
      </c>
      <c r="J32" s="3">
        <v>196</v>
      </c>
      <c r="K32" s="3">
        <v>25</v>
      </c>
      <c r="L32" s="3">
        <f t="shared" si="0"/>
        <v>6.9060773480662991</v>
      </c>
      <c r="M32" s="3">
        <v>63</v>
      </c>
      <c r="N32" s="3">
        <f t="shared" si="1"/>
        <v>17.403314917127073</v>
      </c>
      <c r="O32" s="3">
        <v>130.11000000000001</v>
      </c>
      <c r="P32" s="15">
        <v>0</v>
      </c>
      <c r="Q32" s="22" t="s">
        <v>1348</v>
      </c>
      <c r="R32" s="83">
        <v>43796</v>
      </c>
      <c r="S32" s="89">
        <v>45.62</v>
      </c>
      <c r="T32" s="22"/>
      <c r="U32" s="89" t="s">
        <v>1348</v>
      </c>
      <c r="V32" s="22" t="s">
        <v>1348</v>
      </c>
      <c r="W32" s="22" t="s">
        <v>1354</v>
      </c>
      <c r="X32" s="22"/>
      <c r="Y32" s="22"/>
      <c r="Z32" s="22"/>
      <c r="AA32" s="22"/>
      <c r="AB32" s="22"/>
      <c r="AC32" s="22"/>
      <c r="AD32" s="22"/>
      <c r="AE32" s="22"/>
    </row>
    <row r="33" spans="1:31" ht="15.75" x14ac:dyDescent="0.25">
      <c r="A33" s="1" t="s">
        <v>0</v>
      </c>
      <c r="B33" s="1" t="s">
        <v>254</v>
      </c>
      <c r="C33" s="2" t="s">
        <v>294</v>
      </c>
      <c r="D33" s="1" t="s">
        <v>306</v>
      </c>
      <c r="E33" s="1"/>
      <c r="F33" s="3">
        <v>733.57</v>
      </c>
      <c r="G33" s="3">
        <v>233</v>
      </c>
      <c r="H33" s="4">
        <v>1183</v>
      </c>
      <c r="I33" s="3">
        <v>587</v>
      </c>
      <c r="J33" s="3">
        <v>596</v>
      </c>
      <c r="K33" s="3">
        <v>389</v>
      </c>
      <c r="L33" s="3">
        <f t="shared" si="0"/>
        <v>32.882502113271343</v>
      </c>
      <c r="M33" s="3">
        <v>0</v>
      </c>
      <c r="N33" s="3">
        <f t="shared" si="1"/>
        <v>0</v>
      </c>
      <c r="O33" s="3">
        <v>166.17</v>
      </c>
      <c r="P33" s="15">
        <v>0</v>
      </c>
      <c r="Q33" s="22" t="s">
        <v>1348</v>
      </c>
      <c r="R33" s="83">
        <v>43793</v>
      </c>
      <c r="S33" s="89">
        <v>127.1</v>
      </c>
      <c r="T33" s="22"/>
      <c r="U33" s="89" t="s">
        <v>1348</v>
      </c>
      <c r="V33" s="22" t="s">
        <v>1348</v>
      </c>
      <c r="W33" s="22" t="s">
        <v>1354</v>
      </c>
      <c r="X33" s="22"/>
      <c r="Y33" s="22"/>
      <c r="Z33" s="22"/>
      <c r="AA33" s="22"/>
      <c r="AB33" s="22"/>
      <c r="AC33" s="22"/>
      <c r="AD33" s="22"/>
      <c r="AE33" s="22"/>
    </row>
    <row r="34" spans="1:31" x14ac:dyDescent="0.25">
      <c r="A34" s="1" t="s">
        <v>0</v>
      </c>
      <c r="B34" s="1" t="s">
        <v>254</v>
      </c>
      <c r="C34" s="2" t="s">
        <v>294</v>
      </c>
      <c r="D34" s="1" t="s">
        <v>307</v>
      </c>
      <c r="E34" s="1"/>
      <c r="F34" s="3">
        <v>516.44000000000005</v>
      </c>
      <c r="G34" s="3">
        <v>106</v>
      </c>
      <c r="H34" s="4">
        <v>493</v>
      </c>
      <c r="I34" s="3">
        <v>221</v>
      </c>
      <c r="J34" s="3">
        <v>272</v>
      </c>
      <c r="K34" s="3">
        <v>34</v>
      </c>
      <c r="L34" s="3">
        <f t="shared" si="0"/>
        <v>6.8965517241379306</v>
      </c>
      <c r="M34" s="3">
        <v>0</v>
      </c>
      <c r="N34" s="3">
        <f t="shared" si="1"/>
        <v>0</v>
      </c>
      <c r="O34" s="3">
        <v>54.08</v>
      </c>
      <c r="P34" s="15">
        <v>0</v>
      </c>
      <c r="Q34" s="22" t="s">
        <v>1348</v>
      </c>
      <c r="R34" s="83">
        <v>43793</v>
      </c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</row>
    <row r="35" spans="1:31" ht="15.75" x14ac:dyDescent="0.25">
      <c r="A35" s="1" t="s">
        <v>0</v>
      </c>
      <c r="B35" s="1" t="s">
        <v>254</v>
      </c>
      <c r="C35" s="2" t="s">
        <v>294</v>
      </c>
      <c r="D35" s="1" t="s">
        <v>308</v>
      </c>
      <c r="E35" s="1"/>
      <c r="F35" s="3">
        <v>973.16</v>
      </c>
      <c r="G35" s="3">
        <v>422</v>
      </c>
      <c r="H35" s="4">
        <v>2035</v>
      </c>
      <c r="I35" s="3">
        <v>1010</v>
      </c>
      <c r="J35" s="3">
        <v>1025</v>
      </c>
      <c r="K35" s="3">
        <v>674</v>
      </c>
      <c r="L35" s="3">
        <f t="shared" si="0"/>
        <v>33.120393120393118</v>
      </c>
      <c r="M35" s="3">
        <v>0</v>
      </c>
      <c r="N35" s="3">
        <f t="shared" si="1"/>
        <v>0</v>
      </c>
      <c r="O35" s="3">
        <v>33</v>
      </c>
      <c r="P35" s="15">
        <v>0</v>
      </c>
      <c r="Q35" s="22" t="s">
        <v>1348</v>
      </c>
      <c r="R35" s="83">
        <v>43706</v>
      </c>
      <c r="S35" s="89">
        <v>17.68</v>
      </c>
      <c r="T35" s="22"/>
      <c r="U35" s="89" t="s">
        <v>1348</v>
      </c>
      <c r="V35" s="22" t="s">
        <v>1348</v>
      </c>
      <c r="W35" s="22" t="s">
        <v>1354</v>
      </c>
      <c r="X35" s="22"/>
      <c r="Y35" s="22"/>
      <c r="Z35" s="22"/>
      <c r="AA35" s="22"/>
      <c r="AB35" s="22"/>
      <c r="AC35" s="22"/>
      <c r="AD35" s="22"/>
      <c r="AE35" s="22"/>
    </row>
    <row r="36" spans="1:31" x14ac:dyDescent="0.25">
      <c r="A36" s="1" t="s">
        <v>0</v>
      </c>
      <c r="B36" s="1" t="s">
        <v>254</v>
      </c>
      <c r="C36" s="2" t="s">
        <v>327</v>
      </c>
      <c r="D36" s="1" t="s">
        <v>326</v>
      </c>
      <c r="E36" s="1"/>
      <c r="F36" s="3">
        <v>1333</v>
      </c>
      <c r="G36" s="3">
        <v>540</v>
      </c>
      <c r="H36" s="4">
        <v>2385</v>
      </c>
      <c r="I36" s="3">
        <v>1123</v>
      </c>
      <c r="J36" s="3">
        <v>1262</v>
      </c>
      <c r="K36" s="3">
        <v>641</v>
      </c>
      <c r="L36" s="3">
        <f t="shared" ref="L36:L69" si="2">(K36/H36)*100</f>
        <v>26.876310272536685</v>
      </c>
      <c r="M36" s="3">
        <v>11</v>
      </c>
      <c r="N36" s="3">
        <f t="shared" ref="N36:N69" si="3">(M36/H36)*100</f>
        <v>0.46121593291404617</v>
      </c>
      <c r="O36" s="3">
        <v>93</v>
      </c>
      <c r="P36" s="15">
        <v>0</v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>
        <v>10</v>
      </c>
      <c r="AC36" s="22" t="s">
        <v>1361</v>
      </c>
      <c r="AD36">
        <v>26.128174000000001</v>
      </c>
      <c r="AE36">
        <v>73.907613999999995</v>
      </c>
    </row>
    <row r="37" spans="1:31" ht="15.75" x14ac:dyDescent="0.25">
      <c r="A37" s="1" t="s">
        <v>0</v>
      </c>
      <c r="B37" s="1" t="s">
        <v>254</v>
      </c>
      <c r="C37" s="2" t="s">
        <v>325</v>
      </c>
      <c r="D37" s="1" t="s">
        <v>324</v>
      </c>
      <c r="E37" s="1"/>
      <c r="F37" s="3">
        <v>125</v>
      </c>
      <c r="G37" s="3">
        <v>16</v>
      </c>
      <c r="H37" s="4">
        <v>76</v>
      </c>
      <c r="I37" s="3">
        <v>37</v>
      </c>
      <c r="J37" s="3">
        <v>39</v>
      </c>
      <c r="K37" s="3">
        <v>76</v>
      </c>
      <c r="L37" s="3">
        <f t="shared" si="2"/>
        <v>100</v>
      </c>
      <c r="M37" s="3">
        <v>0</v>
      </c>
      <c r="N37" s="3">
        <f t="shared" si="3"/>
        <v>0</v>
      </c>
      <c r="O37" s="3">
        <v>0</v>
      </c>
      <c r="P37" s="15">
        <v>0</v>
      </c>
      <c r="Q37" s="22" t="s">
        <v>1348</v>
      </c>
      <c r="R37" s="83">
        <v>43671</v>
      </c>
      <c r="S37" s="89">
        <v>55.28</v>
      </c>
      <c r="T37" s="22"/>
      <c r="U37" s="89" t="s">
        <v>1348</v>
      </c>
      <c r="V37" s="22" t="s">
        <v>1348</v>
      </c>
      <c r="W37" s="22" t="s">
        <v>1354</v>
      </c>
      <c r="X37" s="22"/>
      <c r="Y37" s="22"/>
      <c r="Z37" s="22"/>
      <c r="AA37" s="22"/>
      <c r="AB37" s="22"/>
      <c r="AC37" s="22"/>
      <c r="AD37" s="22"/>
      <c r="AE37" s="22"/>
    </row>
    <row r="38" spans="1:31" x14ac:dyDescent="0.25">
      <c r="A38" s="1" t="s">
        <v>0</v>
      </c>
      <c r="B38" s="1" t="s">
        <v>254</v>
      </c>
      <c r="C38" s="2" t="s">
        <v>325</v>
      </c>
      <c r="D38" s="1" t="s">
        <v>330</v>
      </c>
      <c r="E38" s="1"/>
      <c r="F38" s="3">
        <v>2243</v>
      </c>
      <c r="G38" s="3">
        <v>761</v>
      </c>
      <c r="H38" s="4">
        <v>3503</v>
      </c>
      <c r="I38" s="3">
        <v>1683</v>
      </c>
      <c r="J38" s="3">
        <v>1820</v>
      </c>
      <c r="K38" s="3">
        <v>871</v>
      </c>
      <c r="L38" s="3">
        <f t="shared" si="2"/>
        <v>24.864401941193261</v>
      </c>
      <c r="M38" s="3">
        <v>3</v>
      </c>
      <c r="N38" s="3">
        <f t="shared" si="3"/>
        <v>8.5640879246360269E-2</v>
      </c>
      <c r="O38" s="3">
        <v>127</v>
      </c>
      <c r="P38" s="15">
        <v>0</v>
      </c>
      <c r="Q38" s="22" t="s">
        <v>1348</v>
      </c>
      <c r="R38" s="83">
        <v>43919</v>
      </c>
      <c r="S38" s="22"/>
      <c r="T38" s="22"/>
      <c r="U38" s="22"/>
      <c r="V38" s="22"/>
      <c r="W38" s="22"/>
      <c r="X38" s="22"/>
      <c r="Y38" s="22"/>
      <c r="Z38" s="22"/>
      <c r="AA38" s="22"/>
      <c r="AB38" s="22">
        <v>12</v>
      </c>
      <c r="AC38" s="22" t="s">
        <v>1362</v>
      </c>
      <c r="AD38">
        <v>26.158881999999998</v>
      </c>
      <c r="AE38">
        <v>73.882167999999993</v>
      </c>
    </row>
    <row r="39" spans="1:31" x14ac:dyDescent="0.25">
      <c r="A39" s="1"/>
      <c r="B39" s="1"/>
      <c r="C39" s="2"/>
      <c r="D39" s="1"/>
      <c r="E39" s="1"/>
      <c r="F39" s="3"/>
      <c r="G39" s="3"/>
      <c r="H39" s="4"/>
      <c r="I39" s="3"/>
      <c r="J39" s="3"/>
      <c r="K39" s="3"/>
      <c r="L39" s="3"/>
      <c r="M39" s="3"/>
      <c r="N39" s="3"/>
      <c r="O39" s="3"/>
      <c r="P39" s="15"/>
      <c r="Q39" s="22"/>
      <c r="R39" s="83"/>
      <c r="S39" s="22"/>
      <c r="T39" s="22"/>
      <c r="U39" s="22"/>
      <c r="V39" s="22"/>
      <c r="W39" s="22"/>
      <c r="X39" s="22"/>
      <c r="Y39" s="22"/>
      <c r="Z39" s="22"/>
      <c r="AA39" s="22"/>
      <c r="AB39" s="22">
        <v>2</v>
      </c>
      <c r="AC39" s="22" t="s">
        <v>1361</v>
      </c>
      <c r="AD39" s="115">
        <v>26.156915000000001</v>
      </c>
      <c r="AE39" s="115">
        <v>73.877928999999995</v>
      </c>
    </row>
    <row r="40" spans="1:31" ht="15.75" x14ac:dyDescent="0.25">
      <c r="A40" s="1" t="s">
        <v>0</v>
      </c>
      <c r="B40" s="1" t="s">
        <v>254</v>
      </c>
      <c r="C40" s="2" t="s">
        <v>325</v>
      </c>
      <c r="D40" s="1" t="s">
        <v>331</v>
      </c>
      <c r="E40" s="1"/>
      <c r="F40" s="3">
        <v>197</v>
      </c>
      <c r="G40" s="3">
        <v>66</v>
      </c>
      <c r="H40" s="4">
        <v>313</v>
      </c>
      <c r="I40" s="3">
        <v>153</v>
      </c>
      <c r="J40" s="3">
        <v>160</v>
      </c>
      <c r="K40" s="3">
        <v>155</v>
      </c>
      <c r="L40" s="3">
        <f t="shared" si="2"/>
        <v>49.52076677316294</v>
      </c>
      <c r="M40" s="3">
        <v>2</v>
      </c>
      <c r="N40" s="3">
        <f t="shared" si="3"/>
        <v>0.63897763578274758</v>
      </c>
      <c r="O40" s="3">
        <v>8</v>
      </c>
      <c r="P40" s="15">
        <v>0</v>
      </c>
      <c r="Q40" s="22" t="s">
        <v>1348</v>
      </c>
      <c r="R40" s="83">
        <v>43919</v>
      </c>
      <c r="S40" s="89">
        <v>23.08</v>
      </c>
      <c r="T40" s="22"/>
      <c r="U40" s="89" t="s">
        <v>1348</v>
      </c>
      <c r="V40" s="22" t="s">
        <v>1348</v>
      </c>
      <c r="W40" s="22" t="s">
        <v>1354</v>
      </c>
      <c r="X40" s="22"/>
      <c r="Y40" s="22"/>
      <c r="Z40" s="22"/>
      <c r="AA40" s="22"/>
      <c r="AB40" s="22"/>
      <c r="AC40" s="22"/>
    </row>
    <row r="41" spans="1:31" x14ac:dyDescent="0.25">
      <c r="A41" s="1" t="s">
        <v>0</v>
      </c>
      <c r="B41" s="1" t="s">
        <v>254</v>
      </c>
      <c r="C41" s="2" t="s">
        <v>256</v>
      </c>
      <c r="D41" s="1" t="s">
        <v>255</v>
      </c>
      <c r="E41" s="1"/>
      <c r="F41" s="3">
        <v>2669.56</v>
      </c>
      <c r="G41" s="3">
        <v>686</v>
      </c>
      <c r="H41" s="4">
        <v>3574</v>
      </c>
      <c r="I41" s="3">
        <v>1815</v>
      </c>
      <c r="J41" s="3">
        <v>1759</v>
      </c>
      <c r="K41" s="3">
        <v>1020</v>
      </c>
      <c r="L41" s="3">
        <f t="shared" si="2"/>
        <v>28.539451594851705</v>
      </c>
      <c r="M41" s="3">
        <v>0</v>
      </c>
      <c r="N41" s="3">
        <f t="shared" si="3"/>
        <v>0</v>
      </c>
      <c r="O41" s="3">
        <v>164</v>
      </c>
      <c r="P41" s="15">
        <v>0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 spans="1:31" ht="15.75" x14ac:dyDescent="0.25">
      <c r="A42" s="1" t="s">
        <v>0</v>
      </c>
      <c r="B42" s="1" t="s">
        <v>254</v>
      </c>
      <c r="C42" s="2" t="s">
        <v>256</v>
      </c>
      <c r="D42" s="1" t="s">
        <v>259</v>
      </c>
      <c r="E42" s="1"/>
      <c r="F42" s="3">
        <v>572</v>
      </c>
      <c r="G42" s="3">
        <v>92</v>
      </c>
      <c r="H42" s="4">
        <v>392</v>
      </c>
      <c r="I42" s="3">
        <v>198</v>
      </c>
      <c r="J42" s="3">
        <v>194</v>
      </c>
      <c r="K42" s="3">
        <v>115</v>
      </c>
      <c r="L42" s="3">
        <f t="shared" si="2"/>
        <v>29.336734693877553</v>
      </c>
      <c r="M42" s="3">
        <v>0</v>
      </c>
      <c r="N42" s="3">
        <f t="shared" si="3"/>
        <v>0</v>
      </c>
      <c r="O42" s="3">
        <v>0</v>
      </c>
      <c r="P42" s="15">
        <v>0</v>
      </c>
      <c r="Q42" s="22" t="s">
        <v>1348</v>
      </c>
      <c r="R42" s="83">
        <v>43789</v>
      </c>
      <c r="S42" s="89">
        <v>126.34</v>
      </c>
      <c r="T42" s="22"/>
      <c r="U42" s="89" t="s">
        <v>1348</v>
      </c>
      <c r="V42" s="22" t="s">
        <v>1348</v>
      </c>
      <c r="W42" s="22" t="s">
        <v>1354</v>
      </c>
      <c r="X42" s="22"/>
      <c r="Y42" s="22"/>
      <c r="Z42" s="22"/>
      <c r="AA42" s="22"/>
      <c r="AB42" s="22"/>
      <c r="AC42" s="22"/>
      <c r="AD42" s="22"/>
      <c r="AE42" s="22"/>
    </row>
    <row r="43" spans="1:31" x14ac:dyDescent="0.25">
      <c r="A43" s="1" t="s">
        <v>0</v>
      </c>
      <c r="B43" s="1" t="s">
        <v>254</v>
      </c>
      <c r="C43" s="2" t="s">
        <v>261</v>
      </c>
      <c r="D43" s="1" t="s">
        <v>260</v>
      </c>
      <c r="E43" s="1"/>
      <c r="F43" s="3">
        <v>2677</v>
      </c>
      <c r="G43" s="3">
        <v>812</v>
      </c>
      <c r="H43" s="4">
        <v>3720</v>
      </c>
      <c r="I43" s="3">
        <v>1911</v>
      </c>
      <c r="J43" s="3">
        <v>1809</v>
      </c>
      <c r="K43" s="3">
        <v>931</v>
      </c>
      <c r="L43" s="3">
        <f t="shared" si="2"/>
        <v>25.026881720430104</v>
      </c>
      <c r="M43" s="3">
        <v>6</v>
      </c>
      <c r="N43" s="3">
        <f t="shared" si="3"/>
        <v>0.16129032258064516</v>
      </c>
      <c r="O43" s="3">
        <v>183</v>
      </c>
      <c r="P43" s="15">
        <v>0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:31" x14ac:dyDescent="0.25">
      <c r="A44" s="1" t="s">
        <v>0</v>
      </c>
      <c r="B44" s="1" t="s">
        <v>254</v>
      </c>
      <c r="C44" s="2" t="s">
        <v>310</v>
      </c>
      <c r="D44" s="1" t="s">
        <v>309</v>
      </c>
      <c r="E44" s="1"/>
      <c r="F44" s="3">
        <v>438</v>
      </c>
      <c r="G44" s="3">
        <v>26</v>
      </c>
      <c r="H44" s="4">
        <v>133</v>
      </c>
      <c r="I44" s="3">
        <v>70</v>
      </c>
      <c r="J44" s="3">
        <v>63</v>
      </c>
      <c r="K44" s="3">
        <v>0</v>
      </c>
      <c r="L44" s="3">
        <f t="shared" si="2"/>
        <v>0</v>
      </c>
      <c r="M44" s="3">
        <v>0</v>
      </c>
      <c r="N44" s="3">
        <f t="shared" si="3"/>
        <v>0</v>
      </c>
      <c r="O44" s="3">
        <v>239</v>
      </c>
      <c r="P44" s="15">
        <v>0</v>
      </c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:31" x14ac:dyDescent="0.25">
      <c r="A45" s="1" t="s">
        <v>0</v>
      </c>
      <c r="B45" s="1" t="s">
        <v>254</v>
      </c>
      <c r="C45" s="2" t="s">
        <v>310</v>
      </c>
      <c r="D45" s="1" t="s">
        <v>311</v>
      </c>
      <c r="E45" s="1"/>
      <c r="F45" s="3">
        <v>1928</v>
      </c>
      <c r="G45" s="3">
        <v>658</v>
      </c>
      <c r="H45" s="4">
        <v>3061</v>
      </c>
      <c r="I45" s="3">
        <v>1541</v>
      </c>
      <c r="J45" s="3">
        <v>1520</v>
      </c>
      <c r="K45" s="3">
        <v>794</v>
      </c>
      <c r="L45" s="3">
        <f t="shared" si="2"/>
        <v>25.939235543939887</v>
      </c>
      <c r="M45" s="3">
        <v>0</v>
      </c>
      <c r="N45" s="3">
        <f t="shared" si="3"/>
        <v>0</v>
      </c>
      <c r="O45" s="3">
        <v>163</v>
      </c>
      <c r="P45" s="15">
        <v>0</v>
      </c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>
        <v>5</v>
      </c>
      <c r="AC45" s="22" t="s">
        <v>1361</v>
      </c>
      <c r="AD45">
        <v>26.203374</v>
      </c>
      <c r="AE45">
        <v>73.874674999999996</v>
      </c>
    </row>
    <row r="46" spans="1:31" x14ac:dyDescent="0.25">
      <c r="A46" s="1" t="s">
        <v>0</v>
      </c>
      <c r="B46" s="1" t="s">
        <v>254</v>
      </c>
      <c r="C46" s="2" t="s">
        <v>310</v>
      </c>
      <c r="D46" s="1" t="s">
        <v>312</v>
      </c>
      <c r="E46" s="1"/>
      <c r="F46" s="3">
        <v>1601</v>
      </c>
      <c r="G46" s="3">
        <v>328</v>
      </c>
      <c r="H46" s="4">
        <v>1528</v>
      </c>
      <c r="I46" s="3">
        <v>780</v>
      </c>
      <c r="J46" s="3">
        <v>748</v>
      </c>
      <c r="K46" s="3">
        <v>371</v>
      </c>
      <c r="L46" s="3">
        <f t="shared" si="2"/>
        <v>24.280104712041886</v>
      </c>
      <c r="M46" s="3">
        <v>69</v>
      </c>
      <c r="N46" s="3">
        <f t="shared" si="3"/>
        <v>4.5157068062827221</v>
      </c>
      <c r="O46" s="3">
        <v>201</v>
      </c>
      <c r="P46" s="15">
        <v>0</v>
      </c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 spans="1:31" x14ac:dyDescent="0.25">
      <c r="A47" s="1" t="s">
        <v>0</v>
      </c>
      <c r="B47" s="1" t="s">
        <v>254</v>
      </c>
      <c r="C47" s="2" t="s">
        <v>310</v>
      </c>
      <c r="D47" s="1" t="s">
        <v>318</v>
      </c>
      <c r="E47" s="1"/>
      <c r="F47" s="3">
        <v>193</v>
      </c>
      <c r="G47" s="3">
        <v>7</v>
      </c>
      <c r="H47" s="4">
        <v>19</v>
      </c>
      <c r="I47" s="3">
        <v>10</v>
      </c>
      <c r="J47" s="3">
        <v>9</v>
      </c>
      <c r="K47" s="3">
        <v>0</v>
      </c>
      <c r="L47" s="3">
        <f t="shared" si="2"/>
        <v>0</v>
      </c>
      <c r="M47" s="3">
        <v>0</v>
      </c>
      <c r="N47" s="3">
        <f t="shared" si="3"/>
        <v>0</v>
      </c>
      <c r="O47" s="3">
        <v>0</v>
      </c>
      <c r="P47" s="15">
        <v>0</v>
      </c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 spans="1:31" x14ac:dyDescent="0.25">
      <c r="A48" s="1" t="s">
        <v>0</v>
      </c>
      <c r="B48" s="1" t="s">
        <v>254</v>
      </c>
      <c r="C48" s="2" t="s">
        <v>310</v>
      </c>
      <c r="D48" s="1" t="s">
        <v>332</v>
      </c>
      <c r="E48" s="1"/>
      <c r="F48" s="3">
        <v>451</v>
      </c>
      <c r="G48" s="3">
        <v>158</v>
      </c>
      <c r="H48" s="4">
        <v>734</v>
      </c>
      <c r="I48" s="3">
        <v>354</v>
      </c>
      <c r="J48" s="3">
        <v>380</v>
      </c>
      <c r="K48" s="3">
        <v>410</v>
      </c>
      <c r="L48" s="3">
        <f t="shared" si="2"/>
        <v>55.858310626703002</v>
      </c>
      <c r="M48" s="3">
        <v>0</v>
      </c>
      <c r="N48" s="3">
        <f t="shared" si="3"/>
        <v>0</v>
      </c>
      <c r="O48" s="3">
        <v>51</v>
      </c>
      <c r="P48" s="15">
        <v>0</v>
      </c>
      <c r="Q48" s="22" t="s">
        <v>1348</v>
      </c>
      <c r="R48" s="83">
        <v>43818</v>
      </c>
      <c r="S48" s="22"/>
      <c r="T48" s="22"/>
      <c r="U48" s="22"/>
      <c r="V48" s="22"/>
      <c r="W48" s="22"/>
      <c r="X48" s="22"/>
      <c r="Y48" s="22"/>
      <c r="Z48" s="22"/>
      <c r="AA48" s="22"/>
      <c r="AB48" s="22">
        <v>5</v>
      </c>
      <c r="AC48" s="22" t="s">
        <v>1361</v>
      </c>
      <c r="AD48" s="115">
        <v>26.182749000000001</v>
      </c>
      <c r="AE48" s="115">
        <v>73.889786999999998</v>
      </c>
    </row>
    <row r="49" spans="1:31" x14ac:dyDescent="0.25">
      <c r="A49" s="1"/>
      <c r="B49" s="1"/>
      <c r="C49" s="2"/>
      <c r="D49" s="1"/>
      <c r="E49" s="1"/>
      <c r="F49" s="3"/>
      <c r="G49" s="3"/>
      <c r="H49" s="4"/>
      <c r="I49" s="3"/>
      <c r="J49" s="3"/>
      <c r="K49" s="3"/>
      <c r="L49" s="3"/>
      <c r="M49" s="3"/>
      <c r="N49" s="3"/>
      <c r="O49" s="3"/>
      <c r="P49" s="15"/>
      <c r="Q49" s="22"/>
      <c r="R49" s="83"/>
      <c r="S49" s="22"/>
      <c r="T49" s="22"/>
      <c r="U49" s="22"/>
      <c r="V49" s="22"/>
      <c r="W49" s="22"/>
      <c r="X49" s="22"/>
      <c r="Y49" s="22"/>
      <c r="Z49" s="22"/>
      <c r="AA49" s="22"/>
      <c r="AB49" s="22">
        <v>12</v>
      </c>
      <c r="AC49" s="22" t="s">
        <v>1380</v>
      </c>
      <c r="AD49" s="115">
        <v>26.184311999999998</v>
      </c>
      <c r="AE49" s="115">
        <v>73.892638000000005</v>
      </c>
    </row>
    <row r="50" spans="1:31" x14ac:dyDescent="0.25">
      <c r="A50" s="1" t="s">
        <v>0</v>
      </c>
      <c r="B50" s="1" t="s">
        <v>254</v>
      </c>
      <c r="C50" s="2" t="s">
        <v>310</v>
      </c>
      <c r="D50" s="1" t="s">
        <v>333</v>
      </c>
      <c r="E50" s="1"/>
      <c r="F50" s="3">
        <v>249</v>
      </c>
      <c r="G50" s="3">
        <v>132</v>
      </c>
      <c r="H50" s="4">
        <v>600</v>
      </c>
      <c r="I50" s="3">
        <v>288</v>
      </c>
      <c r="J50" s="3">
        <v>312</v>
      </c>
      <c r="K50" s="3">
        <v>181</v>
      </c>
      <c r="L50" s="3">
        <f t="shared" si="2"/>
        <v>30.166666666666668</v>
      </c>
      <c r="M50" s="3">
        <v>0</v>
      </c>
      <c r="N50" s="3">
        <f t="shared" si="3"/>
        <v>0</v>
      </c>
      <c r="O50" s="3">
        <v>17</v>
      </c>
      <c r="P50" s="15">
        <v>0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 spans="1:31" x14ac:dyDescent="0.25">
      <c r="A51" s="1" t="s">
        <v>0</v>
      </c>
      <c r="B51" s="1" t="s">
        <v>254</v>
      </c>
      <c r="C51" s="2" t="s">
        <v>297</v>
      </c>
      <c r="D51" s="1" t="s">
        <v>296</v>
      </c>
      <c r="E51" s="1"/>
      <c r="F51" s="3">
        <v>2024</v>
      </c>
      <c r="G51" s="3">
        <v>445</v>
      </c>
      <c r="H51" s="4">
        <v>2155</v>
      </c>
      <c r="I51" s="3">
        <v>1107</v>
      </c>
      <c r="J51" s="3">
        <v>1048</v>
      </c>
      <c r="K51" s="3">
        <v>379</v>
      </c>
      <c r="L51" s="3">
        <f t="shared" si="2"/>
        <v>17.587006960556845</v>
      </c>
      <c r="M51" s="3">
        <v>1</v>
      </c>
      <c r="N51" s="3">
        <f t="shared" si="3"/>
        <v>4.6403712296983757E-2</v>
      </c>
      <c r="O51" s="3">
        <v>148</v>
      </c>
      <c r="P51" s="15">
        <v>0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 spans="1:31" x14ac:dyDescent="0.25">
      <c r="A52" s="1" t="s">
        <v>0</v>
      </c>
      <c r="B52" s="1" t="s">
        <v>254</v>
      </c>
      <c r="C52" s="2" t="s">
        <v>297</v>
      </c>
      <c r="D52" s="1" t="s">
        <v>302</v>
      </c>
      <c r="E52" s="1"/>
      <c r="F52" s="3">
        <v>527</v>
      </c>
      <c r="G52" s="3">
        <v>244</v>
      </c>
      <c r="H52" s="4">
        <v>1215</v>
      </c>
      <c r="I52" s="3">
        <v>619</v>
      </c>
      <c r="J52" s="3">
        <v>596</v>
      </c>
      <c r="K52" s="3">
        <v>493</v>
      </c>
      <c r="L52" s="3">
        <f t="shared" si="2"/>
        <v>40.5761316872428</v>
      </c>
      <c r="M52" s="3">
        <v>1</v>
      </c>
      <c r="N52" s="3">
        <f t="shared" si="3"/>
        <v>8.2304526748971193E-2</v>
      </c>
      <c r="O52" s="3">
        <v>6</v>
      </c>
      <c r="P52" s="15">
        <v>0</v>
      </c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  <row r="53" spans="1:31" x14ac:dyDescent="0.25">
      <c r="A53" s="1" t="s">
        <v>0</v>
      </c>
      <c r="B53" s="1" t="s">
        <v>254</v>
      </c>
      <c r="C53" s="2" t="s">
        <v>297</v>
      </c>
      <c r="D53" s="1" t="s">
        <v>346</v>
      </c>
      <c r="E53" s="1"/>
      <c r="F53" s="3">
        <v>465</v>
      </c>
      <c r="G53" s="3">
        <v>279</v>
      </c>
      <c r="H53" s="4">
        <v>1366</v>
      </c>
      <c r="I53" s="3">
        <v>732</v>
      </c>
      <c r="J53" s="3">
        <v>634</v>
      </c>
      <c r="K53" s="3">
        <v>588</v>
      </c>
      <c r="L53" s="3">
        <f t="shared" si="2"/>
        <v>43.045387994143489</v>
      </c>
      <c r="M53" s="3">
        <v>0</v>
      </c>
      <c r="N53" s="3">
        <f t="shared" si="3"/>
        <v>0</v>
      </c>
      <c r="O53" s="3">
        <v>104</v>
      </c>
      <c r="P53" s="15">
        <v>0</v>
      </c>
      <c r="Q53" s="22" t="s">
        <v>1348</v>
      </c>
      <c r="R53" s="83">
        <v>43797</v>
      </c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 spans="1:31" x14ac:dyDescent="0.25">
      <c r="A54" s="1" t="s">
        <v>0</v>
      </c>
      <c r="B54" s="1" t="s">
        <v>254</v>
      </c>
      <c r="C54" s="2" t="s">
        <v>282</v>
      </c>
      <c r="D54" s="1" t="s">
        <v>281</v>
      </c>
      <c r="E54" s="1"/>
      <c r="F54" s="3">
        <v>892</v>
      </c>
      <c r="G54" s="3">
        <v>298</v>
      </c>
      <c r="H54" s="4">
        <v>1356</v>
      </c>
      <c r="I54" s="3">
        <v>633</v>
      </c>
      <c r="J54" s="3">
        <v>723</v>
      </c>
      <c r="K54" s="3">
        <v>272</v>
      </c>
      <c r="L54" s="3">
        <f t="shared" si="2"/>
        <v>20.058997050147493</v>
      </c>
      <c r="M54" s="3">
        <v>1</v>
      </c>
      <c r="N54" s="3">
        <f t="shared" si="3"/>
        <v>7.3746312684365781E-2</v>
      </c>
      <c r="O54" s="3">
        <v>61</v>
      </c>
      <c r="P54" s="15">
        <v>0</v>
      </c>
      <c r="Q54" s="22" t="s">
        <v>1348</v>
      </c>
      <c r="R54" s="83">
        <v>43795</v>
      </c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 spans="1:31" x14ac:dyDescent="0.25">
      <c r="A55" s="1" t="s">
        <v>0</v>
      </c>
      <c r="B55" s="1" t="s">
        <v>254</v>
      </c>
      <c r="C55" s="2" t="s">
        <v>282</v>
      </c>
      <c r="D55" s="1" t="s">
        <v>283</v>
      </c>
      <c r="E55" s="1"/>
      <c r="F55" s="3">
        <v>524</v>
      </c>
      <c r="G55" s="3">
        <v>292</v>
      </c>
      <c r="H55" s="4">
        <v>1444</v>
      </c>
      <c r="I55" s="3">
        <v>751</v>
      </c>
      <c r="J55" s="3">
        <v>693</v>
      </c>
      <c r="K55" s="3">
        <v>497</v>
      </c>
      <c r="L55" s="3">
        <f t="shared" si="2"/>
        <v>34.418282548476455</v>
      </c>
      <c r="M55" s="3">
        <v>1</v>
      </c>
      <c r="N55" s="3">
        <f t="shared" si="3"/>
        <v>6.9252077562326875E-2</v>
      </c>
      <c r="O55" s="3">
        <v>40</v>
      </c>
      <c r="P55" s="15">
        <v>0</v>
      </c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 spans="1:31" x14ac:dyDescent="0.25">
      <c r="A56" s="1" t="s">
        <v>0</v>
      </c>
      <c r="B56" s="1" t="s">
        <v>254</v>
      </c>
      <c r="C56" s="2" t="s">
        <v>268</v>
      </c>
      <c r="D56" s="1" t="s">
        <v>267</v>
      </c>
      <c r="E56" s="1"/>
      <c r="F56" s="3">
        <v>455</v>
      </c>
      <c r="G56" s="3">
        <v>238</v>
      </c>
      <c r="H56" s="4">
        <v>1231</v>
      </c>
      <c r="I56" s="3">
        <v>652</v>
      </c>
      <c r="J56" s="3">
        <v>579</v>
      </c>
      <c r="K56" s="3">
        <v>293</v>
      </c>
      <c r="L56" s="3">
        <f t="shared" si="2"/>
        <v>23.801787164906578</v>
      </c>
      <c r="M56" s="3">
        <v>0</v>
      </c>
      <c r="N56" s="3">
        <f t="shared" si="3"/>
        <v>0</v>
      </c>
      <c r="O56" s="3">
        <v>0</v>
      </c>
      <c r="P56" s="15">
        <v>0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 spans="1:31" x14ac:dyDescent="0.25">
      <c r="A57" s="1" t="s">
        <v>0</v>
      </c>
      <c r="B57" s="1" t="s">
        <v>254</v>
      </c>
      <c r="C57" s="2" t="s">
        <v>268</v>
      </c>
      <c r="D57" s="1" t="s">
        <v>271</v>
      </c>
      <c r="E57" s="1"/>
      <c r="F57" s="3">
        <v>480</v>
      </c>
      <c r="G57" s="3">
        <v>156</v>
      </c>
      <c r="H57" s="4">
        <v>728</v>
      </c>
      <c r="I57" s="3">
        <v>374</v>
      </c>
      <c r="J57" s="3">
        <v>354</v>
      </c>
      <c r="K57" s="3">
        <v>212</v>
      </c>
      <c r="L57" s="3">
        <f t="shared" si="2"/>
        <v>29.120879120879124</v>
      </c>
      <c r="M57" s="3">
        <v>17</v>
      </c>
      <c r="N57" s="3">
        <f t="shared" si="3"/>
        <v>2.3351648351648353</v>
      </c>
      <c r="O57" s="3">
        <v>204</v>
      </c>
      <c r="P57" s="15">
        <v>0</v>
      </c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</row>
    <row r="58" spans="1:31" ht="15.75" x14ac:dyDescent="0.25">
      <c r="A58" s="1" t="s">
        <v>0</v>
      </c>
      <c r="B58" s="1" t="s">
        <v>254</v>
      </c>
      <c r="C58" s="2" t="s">
        <v>268</v>
      </c>
      <c r="D58" s="1" t="s">
        <v>272</v>
      </c>
      <c r="E58" s="1"/>
      <c r="F58" s="3">
        <v>704</v>
      </c>
      <c r="G58" s="3">
        <v>424</v>
      </c>
      <c r="H58" s="4">
        <v>1848</v>
      </c>
      <c r="I58" s="3">
        <v>968</v>
      </c>
      <c r="J58" s="3">
        <v>880</v>
      </c>
      <c r="K58" s="3">
        <v>460</v>
      </c>
      <c r="L58" s="3">
        <f t="shared" si="2"/>
        <v>24.891774891774894</v>
      </c>
      <c r="M58" s="3">
        <v>7</v>
      </c>
      <c r="N58" s="3">
        <f t="shared" si="3"/>
        <v>0.37878787878787878</v>
      </c>
      <c r="O58" s="3">
        <v>63</v>
      </c>
      <c r="P58" s="15">
        <v>0</v>
      </c>
      <c r="Q58" s="22" t="s">
        <v>1348</v>
      </c>
      <c r="R58" s="83">
        <v>43798</v>
      </c>
      <c r="S58" s="89">
        <v>175.43</v>
      </c>
      <c r="T58" s="22"/>
      <c r="U58" s="89" t="s">
        <v>1348</v>
      </c>
      <c r="V58" s="22" t="s">
        <v>1348</v>
      </c>
      <c r="W58" s="22" t="s">
        <v>1354</v>
      </c>
      <c r="X58" s="22" t="s">
        <v>1348</v>
      </c>
      <c r="Y58" s="22">
        <v>5</v>
      </c>
      <c r="Z58" s="22"/>
      <c r="AA58" s="22"/>
      <c r="AB58" s="22"/>
      <c r="AC58" s="22"/>
      <c r="AD58" s="22"/>
      <c r="AE58" s="22"/>
    </row>
    <row r="59" spans="1:31" ht="15.75" x14ac:dyDescent="0.25">
      <c r="A59" s="1" t="s">
        <v>0</v>
      </c>
      <c r="B59" s="1" t="s">
        <v>254</v>
      </c>
      <c r="C59" s="2" t="s">
        <v>356</v>
      </c>
      <c r="D59" s="1" t="s">
        <v>355</v>
      </c>
      <c r="E59" s="1"/>
      <c r="F59" s="3">
        <v>82</v>
      </c>
      <c r="G59" s="3">
        <v>68</v>
      </c>
      <c r="H59" s="4">
        <v>417</v>
      </c>
      <c r="I59" s="3">
        <v>212</v>
      </c>
      <c r="J59" s="3">
        <v>205</v>
      </c>
      <c r="K59" s="3">
        <v>258</v>
      </c>
      <c r="L59" s="3">
        <f t="shared" si="2"/>
        <v>61.870503597122308</v>
      </c>
      <c r="M59" s="3">
        <v>0</v>
      </c>
      <c r="N59" s="3">
        <f t="shared" si="3"/>
        <v>0</v>
      </c>
      <c r="O59" s="3">
        <v>0</v>
      </c>
      <c r="P59" s="15">
        <v>0</v>
      </c>
      <c r="Q59" s="22" t="s">
        <v>1348</v>
      </c>
      <c r="R59" s="83">
        <v>43670</v>
      </c>
      <c r="S59" s="89">
        <v>69.56</v>
      </c>
      <c r="T59" s="22"/>
      <c r="U59" s="89" t="s">
        <v>1348</v>
      </c>
      <c r="V59" s="22" t="s">
        <v>1348</v>
      </c>
      <c r="W59" s="22" t="s">
        <v>1354</v>
      </c>
      <c r="X59" s="22" t="s">
        <v>1348</v>
      </c>
      <c r="Y59" s="22">
        <v>2</v>
      </c>
      <c r="Z59" s="22"/>
      <c r="AA59" s="22"/>
      <c r="AB59" s="22"/>
      <c r="AC59" s="22"/>
      <c r="AD59" s="22"/>
      <c r="AE59" s="22"/>
    </row>
    <row r="60" spans="1:31" x14ac:dyDescent="0.25">
      <c r="A60" s="1" t="s">
        <v>0</v>
      </c>
      <c r="B60" s="1" t="s">
        <v>254</v>
      </c>
      <c r="C60" s="2" t="s">
        <v>356</v>
      </c>
      <c r="D60" s="1" t="s">
        <v>357</v>
      </c>
      <c r="E60" s="1"/>
      <c r="F60" s="3">
        <v>2235</v>
      </c>
      <c r="G60" s="3">
        <v>453</v>
      </c>
      <c r="H60" s="4">
        <v>2303</v>
      </c>
      <c r="I60" s="3">
        <v>1152</v>
      </c>
      <c r="J60" s="3">
        <v>1151</v>
      </c>
      <c r="K60" s="3">
        <v>333</v>
      </c>
      <c r="L60" s="3">
        <f t="shared" si="2"/>
        <v>14.459400781589233</v>
      </c>
      <c r="M60" s="3">
        <v>0</v>
      </c>
      <c r="N60" s="3">
        <f t="shared" si="3"/>
        <v>0</v>
      </c>
      <c r="O60" s="3">
        <v>137</v>
      </c>
      <c r="P60" s="15">
        <v>0</v>
      </c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 spans="1:31" ht="15.75" x14ac:dyDescent="0.25">
      <c r="A61" s="1" t="s">
        <v>0</v>
      </c>
      <c r="B61" s="1" t="s">
        <v>254</v>
      </c>
      <c r="C61" s="2" t="s">
        <v>356</v>
      </c>
      <c r="D61" s="1" t="s">
        <v>365</v>
      </c>
      <c r="E61" s="1"/>
      <c r="F61" s="3">
        <v>2344</v>
      </c>
      <c r="G61" s="3">
        <v>579</v>
      </c>
      <c r="H61" s="4">
        <v>2596</v>
      </c>
      <c r="I61" s="3">
        <v>1247</v>
      </c>
      <c r="J61" s="3">
        <v>1349</v>
      </c>
      <c r="K61" s="3">
        <v>547</v>
      </c>
      <c r="L61" s="3">
        <f t="shared" si="2"/>
        <v>21.070878274268104</v>
      </c>
      <c r="M61" s="3">
        <v>2</v>
      </c>
      <c r="N61" s="3">
        <f t="shared" si="3"/>
        <v>7.7041602465331288E-2</v>
      </c>
      <c r="O61" s="3">
        <v>124</v>
      </c>
      <c r="P61" s="15">
        <v>0</v>
      </c>
      <c r="Q61" s="22" t="s">
        <v>1348</v>
      </c>
      <c r="R61" s="83">
        <v>43792</v>
      </c>
      <c r="S61" s="89">
        <v>36.6</v>
      </c>
      <c r="T61" s="22"/>
      <c r="U61" s="89" t="s">
        <v>1348</v>
      </c>
      <c r="V61" s="22" t="s">
        <v>1348</v>
      </c>
      <c r="W61" s="22" t="s">
        <v>1354</v>
      </c>
      <c r="X61" s="22"/>
      <c r="Y61" s="22"/>
      <c r="Z61" s="22"/>
      <c r="AA61" s="22"/>
      <c r="AB61" s="22"/>
      <c r="AC61" s="22"/>
      <c r="AD61" s="22"/>
      <c r="AE61" s="22"/>
    </row>
    <row r="62" spans="1:31" x14ac:dyDescent="0.25">
      <c r="A62" s="1" t="s">
        <v>0</v>
      </c>
      <c r="B62" s="1" t="s">
        <v>254</v>
      </c>
      <c r="C62" s="2" t="s">
        <v>258</v>
      </c>
      <c r="D62" s="1" t="s">
        <v>257</v>
      </c>
      <c r="E62" s="1"/>
      <c r="F62" s="3">
        <v>1536</v>
      </c>
      <c r="G62" s="3">
        <v>361</v>
      </c>
      <c r="H62" s="4">
        <v>1892</v>
      </c>
      <c r="I62" s="3">
        <v>990</v>
      </c>
      <c r="J62" s="3">
        <v>902</v>
      </c>
      <c r="K62" s="3">
        <v>599</v>
      </c>
      <c r="L62" s="3">
        <f t="shared" si="2"/>
        <v>31.659619450317123</v>
      </c>
      <c r="M62" s="3">
        <v>167</v>
      </c>
      <c r="N62" s="3">
        <f t="shared" si="3"/>
        <v>8.8266384778012679</v>
      </c>
      <c r="O62" s="3">
        <v>59</v>
      </c>
      <c r="P62" s="15">
        <v>0</v>
      </c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 spans="1:31" x14ac:dyDescent="0.25">
      <c r="A63" s="1" t="s">
        <v>0</v>
      </c>
      <c r="B63" s="1" t="s">
        <v>254</v>
      </c>
      <c r="C63" s="2" t="s">
        <v>258</v>
      </c>
      <c r="D63" s="1" t="s">
        <v>258</v>
      </c>
      <c r="E63" s="1"/>
      <c r="F63" s="3">
        <v>2285</v>
      </c>
      <c r="G63" s="3">
        <v>610</v>
      </c>
      <c r="H63" s="4">
        <v>3029</v>
      </c>
      <c r="I63" s="3">
        <v>1606</v>
      </c>
      <c r="J63" s="3">
        <v>1423</v>
      </c>
      <c r="K63" s="3">
        <v>659</v>
      </c>
      <c r="L63" s="3">
        <f t="shared" si="2"/>
        <v>21.756355232750082</v>
      </c>
      <c r="M63" s="3">
        <v>0</v>
      </c>
      <c r="N63" s="3">
        <f t="shared" si="3"/>
        <v>0</v>
      </c>
      <c r="O63" s="3">
        <v>162</v>
      </c>
      <c r="P63" s="15">
        <v>0</v>
      </c>
      <c r="Q63" s="22" t="s">
        <v>1348</v>
      </c>
      <c r="R63" s="83">
        <v>43983</v>
      </c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spans="1:31" x14ac:dyDescent="0.25">
      <c r="A64" s="1" t="s">
        <v>0</v>
      </c>
      <c r="B64" s="1" t="s">
        <v>254</v>
      </c>
      <c r="C64" s="2" t="s">
        <v>367</v>
      </c>
      <c r="D64" s="1" t="s">
        <v>366</v>
      </c>
      <c r="E64" s="1"/>
      <c r="F64" s="3">
        <v>1132</v>
      </c>
      <c r="G64" s="3">
        <v>319</v>
      </c>
      <c r="H64" s="4">
        <v>1662</v>
      </c>
      <c r="I64" s="3">
        <v>833</v>
      </c>
      <c r="J64" s="3">
        <v>829</v>
      </c>
      <c r="K64" s="3">
        <v>25</v>
      </c>
      <c r="L64" s="3">
        <f t="shared" si="2"/>
        <v>1.5042117930204573</v>
      </c>
      <c r="M64" s="3">
        <v>5</v>
      </c>
      <c r="N64" s="3">
        <f t="shared" si="3"/>
        <v>0.30084235860409148</v>
      </c>
      <c r="O64" s="3">
        <v>41</v>
      </c>
      <c r="P64" s="15">
        <v>0</v>
      </c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 spans="1:31" x14ac:dyDescent="0.25">
      <c r="A65" s="1" t="s">
        <v>0</v>
      </c>
      <c r="B65" s="1" t="s">
        <v>254</v>
      </c>
      <c r="C65" s="2" t="s">
        <v>367</v>
      </c>
      <c r="D65" s="1" t="s">
        <v>368</v>
      </c>
      <c r="E65" s="1"/>
      <c r="F65" s="3">
        <v>2182</v>
      </c>
      <c r="G65" s="3">
        <v>806</v>
      </c>
      <c r="H65" s="4">
        <v>4132</v>
      </c>
      <c r="I65" s="3">
        <v>2113</v>
      </c>
      <c r="J65" s="3">
        <v>2019</v>
      </c>
      <c r="K65" s="3">
        <v>953</v>
      </c>
      <c r="L65" s="3">
        <f t="shared" si="2"/>
        <v>23.063891577928363</v>
      </c>
      <c r="M65" s="3">
        <v>0</v>
      </c>
      <c r="N65" s="3">
        <f t="shared" si="3"/>
        <v>0</v>
      </c>
      <c r="O65" s="3">
        <v>280</v>
      </c>
      <c r="P65" s="15">
        <v>33</v>
      </c>
      <c r="Q65" s="22" t="s">
        <v>1348</v>
      </c>
      <c r="R65" s="83">
        <v>43793</v>
      </c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 spans="1:31" x14ac:dyDescent="0.25">
      <c r="A66" s="1" t="s">
        <v>0</v>
      </c>
      <c r="B66" s="1" t="s">
        <v>254</v>
      </c>
      <c r="C66" s="2" t="s">
        <v>367</v>
      </c>
      <c r="D66" s="1" t="s">
        <v>369</v>
      </c>
      <c r="E66" s="1"/>
      <c r="F66" s="3">
        <v>192</v>
      </c>
      <c r="G66" s="3">
        <v>75</v>
      </c>
      <c r="H66" s="4">
        <v>423</v>
      </c>
      <c r="I66" s="3">
        <v>221</v>
      </c>
      <c r="J66" s="3">
        <v>202</v>
      </c>
      <c r="K66" s="3">
        <v>7</v>
      </c>
      <c r="L66" s="3">
        <f t="shared" si="2"/>
        <v>1.6548463356973995</v>
      </c>
      <c r="M66" s="3">
        <v>0</v>
      </c>
      <c r="N66" s="3">
        <f t="shared" si="3"/>
        <v>0</v>
      </c>
      <c r="O66" s="3">
        <v>0</v>
      </c>
      <c r="P66" s="15">
        <v>0</v>
      </c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spans="1:31" ht="15.75" x14ac:dyDescent="0.25">
      <c r="A67" s="1" t="s">
        <v>0</v>
      </c>
      <c r="B67" s="1" t="s">
        <v>254</v>
      </c>
      <c r="C67" s="2" t="s">
        <v>367</v>
      </c>
      <c r="D67" s="1" t="s">
        <v>370</v>
      </c>
      <c r="E67" s="1"/>
      <c r="F67" s="3">
        <v>459</v>
      </c>
      <c r="G67" s="3">
        <v>2</v>
      </c>
      <c r="H67" s="4">
        <v>16</v>
      </c>
      <c r="I67" s="3">
        <v>6</v>
      </c>
      <c r="J67" s="3">
        <v>10</v>
      </c>
      <c r="K67" s="3">
        <v>0</v>
      </c>
      <c r="L67" s="3">
        <f t="shared" si="2"/>
        <v>0</v>
      </c>
      <c r="M67" s="3">
        <v>0</v>
      </c>
      <c r="N67" s="3">
        <f t="shared" si="3"/>
        <v>0</v>
      </c>
      <c r="O67" s="3">
        <v>0</v>
      </c>
      <c r="P67" s="15">
        <v>0</v>
      </c>
      <c r="Q67" s="22" t="s">
        <v>1348</v>
      </c>
      <c r="R67" s="83">
        <v>44203</v>
      </c>
      <c r="S67" s="89">
        <v>16.27</v>
      </c>
      <c r="T67" s="22"/>
      <c r="U67" s="89" t="s">
        <v>1348</v>
      </c>
      <c r="V67" s="22" t="s">
        <v>1348</v>
      </c>
      <c r="W67" s="22" t="s">
        <v>1354</v>
      </c>
      <c r="X67" s="22"/>
      <c r="Y67" s="22"/>
      <c r="Z67" s="22"/>
      <c r="AA67" s="22"/>
      <c r="AB67" s="22"/>
      <c r="AC67" s="22"/>
      <c r="AD67" s="22"/>
      <c r="AE67" s="22"/>
    </row>
    <row r="68" spans="1:31" x14ac:dyDescent="0.25">
      <c r="A68" s="1" t="s">
        <v>0</v>
      </c>
      <c r="B68" s="1" t="s">
        <v>254</v>
      </c>
      <c r="C68" s="2" t="s">
        <v>367</v>
      </c>
      <c r="D68" s="1" t="s">
        <v>371</v>
      </c>
      <c r="E68" s="1"/>
      <c r="F68" s="3">
        <v>2688</v>
      </c>
      <c r="G68" s="3">
        <v>392</v>
      </c>
      <c r="H68" s="4">
        <v>2019</v>
      </c>
      <c r="I68" s="3">
        <v>1022</v>
      </c>
      <c r="J68" s="3">
        <v>997</v>
      </c>
      <c r="K68" s="3">
        <v>426</v>
      </c>
      <c r="L68" s="3">
        <f t="shared" si="2"/>
        <v>21.099554234769688</v>
      </c>
      <c r="M68" s="3">
        <v>4</v>
      </c>
      <c r="N68" s="3">
        <f t="shared" si="3"/>
        <v>0.19811788013868251</v>
      </c>
      <c r="O68" s="3">
        <v>238</v>
      </c>
      <c r="P68" s="15">
        <v>90</v>
      </c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</row>
    <row r="69" spans="1:31" x14ac:dyDescent="0.25">
      <c r="A69" s="1" t="s">
        <v>0</v>
      </c>
      <c r="B69" s="1" t="s">
        <v>254</v>
      </c>
      <c r="C69" s="2" t="s">
        <v>270</v>
      </c>
      <c r="D69" s="1" t="s">
        <v>269</v>
      </c>
      <c r="E69" s="1"/>
      <c r="F69" s="2">
        <v>48</v>
      </c>
      <c r="G69" s="5"/>
      <c r="H69" s="4">
        <v>0</v>
      </c>
      <c r="I69" s="5"/>
      <c r="J69" s="5"/>
      <c r="K69" s="5"/>
      <c r="L69" s="3" t="e">
        <f t="shared" si="2"/>
        <v>#DIV/0!</v>
      </c>
      <c r="M69" s="5"/>
      <c r="N69" s="3" t="e">
        <f t="shared" si="3"/>
        <v>#DIV/0!</v>
      </c>
      <c r="O69" s="2">
        <v>0</v>
      </c>
      <c r="P69" s="18">
        <v>0</v>
      </c>
      <c r="Q69" s="22" t="s">
        <v>1348</v>
      </c>
      <c r="R69" s="83">
        <v>43670</v>
      </c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</row>
    <row r="70" spans="1:31" x14ac:dyDescent="0.25">
      <c r="A70" s="1" t="s">
        <v>0</v>
      </c>
      <c r="B70" s="1" t="s">
        <v>254</v>
      </c>
      <c r="C70" s="2" t="s">
        <v>270</v>
      </c>
      <c r="D70" s="1" t="s">
        <v>353</v>
      </c>
      <c r="E70" s="1"/>
      <c r="F70" s="3">
        <v>4380</v>
      </c>
      <c r="G70" s="3">
        <v>1607</v>
      </c>
      <c r="H70" s="4">
        <v>8385</v>
      </c>
      <c r="I70" s="3">
        <v>4330</v>
      </c>
      <c r="J70" s="3">
        <v>4055</v>
      </c>
      <c r="K70" s="3">
        <v>1285</v>
      </c>
      <c r="L70" s="3">
        <f t="shared" ref="L70:L101" si="4">(K70/H70)*100</f>
        <v>15.324985092426951</v>
      </c>
      <c r="M70" s="3">
        <v>49</v>
      </c>
      <c r="N70" s="3">
        <f t="shared" ref="N70:N101" si="5">(M70/H70)*100</f>
        <v>0.58437686344663087</v>
      </c>
      <c r="O70" s="3">
        <v>435</v>
      </c>
      <c r="P70" s="15">
        <v>353</v>
      </c>
      <c r="Q70" s="22" t="s">
        <v>1348</v>
      </c>
      <c r="R70" s="83">
        <v>43745</v>
      </c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 spans="1:31" ht="15.75" x14ac:dyDescent="0.25">
      <c r="A71" s="1" t="s">
        <v>0</v>
      </c>
      <c r="B71" s="1" t="s">
        <v>254</v>
      </c>
      <c r="C71" s="2" t="s">
        <v>270</v>
      </c>
      <c r="D71" s="1" t="s">
        <v>354</v>
      </c>
      <c r="E71" s="1"/>
      <c r="F71" s="2">
        <v>483</v>
      </c>
      <c r="G71" s="5"/>
      <c r="H71" s="4">
        <v>0</v>
      </c>
      <c r="I71" s="5"/>
      <c r="J71" s="5"/>
      <c r="K71" s="5"/>
      <c r="L71" s="3" t="e">
        <f t="shared" si="4"/>
        <v>#DIV/0!</v>
      </c>
      <c r="M71" s="5"/>
      <c r="N71" s="3" t="e">
        <f t="shared" si="5"/>
        <v>#DIV/0!</v>
      </c>
      <c r="O71" s="2">
        <v>25</v>
      </c>
      <c r="P71" s="18">
        <v>0</v>
      </c>
      <c r="Q71" s="22" t="s">
        <v>1348</v>
      </c>
      <c r="R71" s="83">
        <v>43715</v>
      </c>
      <c r="S71" s="89">
        <v>24.9</v>
      </c>
      <c r="T71" s="22"/>
      <c r="U71" s="89" t="s">
        <v>1348</v>
      </c>
      <c r="V71" s="22" t="s">
        <v>1348</v>
      </c>
      <c r="W71" s="22" t="s">
        <v>1354</v>
      </c>
      <c r="X71" s="22"/>
      <c r="Y71" s="22"/>
      <c r="Z71" s="22"/>
      <c r="AA71" s="22"/>
      <c r="AB71" s="22"/>
      <c r="AC71" s="22"/>
      <c r="AD71" s="22"/>
      <c r="AE71" s="22"/>
    </row>
    <row r="72" spans="1:31" x14ac:dyDescent="0.25">
      <c r="A72" s="1" t="s">
        <v>0</v>
      </c>
      <c r="B72" s="1" t="s">
        <v>254</v>
      </c>
      <c r="C72" s="2" t="s">
        <v>288</v>
      </c>
      <c r="D72" s="1" t="s">
        <v>287</v>
      </c>
      <c r="E72" s="1"/>
      <c r="F72" s="3">
        <v>2484.85</v>
      </c>
      <c r="G72" s="3">
        <v>792</v>
      </c>
      <c r="H72" s="4">
        <v>3627</v>
      </c>
      <c r="I72" s="3">
        <v>1810</v>
      </c>
      <c r="J72" s="3">
        <v>1817</v>
      </c>
      <c r="K72" s="3">
        <v>753</v>
      </c>
      <c r="L72" s="3">
        <f t="shared" si="4"/>
        <v>20.760959470636887</v>
      </c>
      <c r="M72" s="3">
        <v>22</v>
      </c>
      <c r="N72" s="3">
        <f t="shared" si="5"/>
        <v>0.60656189688447748</v>
      </c>
      <c r="O72" s="3">
        <v>109.85</v>
      </c>
      <c r="P72" s="15">
        <v>0</v>
      </c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 spans="1:31" x14ac:dyDescent="0.25">
      <c r="A73" s="1" t="s">
        <v>0</v>
      </c>
      <c r="B73" s="1" t="s">
        <v>254</v>
      </c>
      <c r="C73" s="2" t="s">
        <v>397</v>
      </c>
      <c r="D73" s="1" t="s">
        <v>396</v>
      </c>
      <c r="E73" s="1"/>
      <c r="F73" s="3">
        <v>510</v>
      </c>
      <c r="G73" s="3">
        <v>207</v>
      </c>
      <c r="H73" s="4">
        <v>868</v>
      </c>
      <c r="I73" s="3">
        <v>414</v>
      </c>
      <c r="J73" s="3">
        <v>454</v>
      </c>
      <c r="K73" s="3">
        <v>142</v>
      </c>
      <c r="L73" s="3">
        <f t="shared" si="4"/>
        <v>16.359447004608295</v>
      </c>
      <c r="M73" s="3">
        <v>72</v>
      </c>
      <c r="N73" s="3">
        <f t="shared" si="5"/>
        <v>8.2949308755760374</v>
      </c>
      <c r="O73" s="3">
        <v>41.9</v>
      </c>
      <c r="P73" s="15">
        <v>0</v>
      </c>
      <c r="Q73" s="22" t="s">
        <v>1348</v>
      </c>
      <c r="R73" s="83">
        <v>43788</v>
      </c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 spans="1:31" x14ac:dyDescent="0.25">
      <c r="A74" s="1" t="s">
        <v>0</v>
      </c>
      <c r="B74" s="1" t="s">
        <v>254</v>
      </c>
      <c r="C74" s="2" t="s">
        <v>397</v>
      </c>
      <c r="D74" s="1" t="s">
        <v>398</v>
      </c>
      <c r="E74" s="1"/>
      <c r="F74" s="3">
        <v>249.5</v>
      </c>
      <c r="G74" s="3">
        <v>120</v>
      </c>
      <c r="H74" s="4">
        <v>559</v>
      </c>
      <c r="I74" s="3">
        <v>270</v>
      </c>
      <c r="J74" s="3">
        <v>289</v>
      </c>
      <c r="K74" s="3">
        <v>155</v>
      </c>
      <c r="L74" s="3">
        <f t="shared" si="4"/>
        <v>27.728085867620749</v>
      </c>
      <c r="M74" s="3">
        <v>0</v>
      </c>
      <c r="N74" s="3">
        <f t="shared" si="5"/>
        <v>0</v>
      </c>
      <c r="O74" s="3">
        <v>32.1</v>
      </c>
      <c r="P74" s="15">
        <v>0</v>
      </c>
      <c r="Q74" s="22" t="s">
        <v>1348</v>
      </c>
      <c r="R74" s="83">
        <v>43795</v>
      </c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</row>
    <row r="75" spans="1:31" ht="15.75" x14ac:dyDescent="0.25">
      <c r="A75" s="1" t="s">
        <v>0</v>
      </c>
      <c r="B75" s="1" t="s">
        <v>254</v>
      </c>
      <c r="C75" s="2" t="s">
        <v>397</v>
      </c>
      <c r="D75" s="1" t="s">
        <v>399</v>
      </c>
      <c r="E75" s="1"/>
      <c r="F75" s="3">
        <v>1858.6</v>
      </c>
      <c r="G75" s="3">
        <v>402</v>
      </c>
      <c r="H75" s="4">
        <v>1898</v>
      </c>
      <c r="I75" s="3">
        <v>945</v>
      </c>
      <c r="J75" s="3">
        <v>953</v>
      </c>
      <c r="K75" s="3">
        <v>493</v>
      </c>
      <c r="L75" s="3">
        <f t="shared" si="4"/>
        <v>25.974710221285562</v>
      </c>
      <c r="M75" s="3">
        <v>0</v>
      </c>
      <c r="N75" s="3">
        <f t="shared" si="5"/>
        <v>0</v>
      </c>
      <c r="O75" s="3">
        <v>112.4</v>
      </c>
      <c r="P75" s="15">
        <v>0</v>
      </c>
      <c r="Q75" s="22" t="s">
        <v>1348</v>
      </c>
      <c r="R75" s="83">
        <v>43798</v>
      </c>
      <c r="S75" s="89">
        <v>40.950000000000003</v>
      </c>
      <c r="T75" s="22"/>
      <c r="U75" s="89" t="s">
        <v>1348</v>
      </c>
      <c r="V75" s="22" t="s">
        <v>1348</v>
      </c>
      <c r="W75" s="22" t="s">
        <v>1354</v>
      </c>
      <c r="X75" s="22"/>
      <c r="Y75" s="22"/>
      <c r="Z75" s="22"/>
      <c r="AA75" s="22"/>
      <c r="AB75" s="22"/>
      <c r="AC75" s="22"/>
      <c r="AD75" s="22"/>
      <c r="AE75" s="22"/>
    </row>
    <row r="76" spans="1:31" x14ac:dyDescent="0.25">
      <c r="A76" s="1" t="s">
        <v>0</v>
      </c>
      <c r="B76" s="1" t="s">
        <v>254</v>
      </c>
      <c r="C76" s="2" t="s">
        <v>397</v>
      </c>
      <c r="D76" s="1" t="s">
        <v>400</v>
      </c>
      <c r="E76" s="1"/>
      <c r="F76" s="3">
        <v>641.9</v>
      </c>
      <c r="G76" s="3">
        <v>154</v>
      </c>
      <c r="H76" s="4">
        <v>665</v>
      </c>
      <c r="I76" s="3">
        <v>305</v>
      </c>
      <c r="J76" s="3">
        <v>360</v>
      </c>
      <c r="K76" s="3">
        <v>93</v>
      </c>
      <c r="L76" s="3">
        <f t="shared" si="4"/>
        <v>13.984962406015036</v>
      </c>
      <c r="M76" s="3">
        <v>0</v>
      </c>
      <c r="N76" s="3">
        <f t="shared" si="5"/>
        <v>0</v>
      </c>
      <c r="O76" s="3">
        <v>29</v>
      </c>
      <c r="P76" s="15">
        <v>0</v>
      </c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</row>
    <row r="77" spans="1:31" x14ac:dyDescent="0.25">
      <c r="A77" s="1" t="s">
        <v>0</v>
      </c>
      <c r="B77" s="1" t="s">
        <v>254</v>
      </c>
      <c r="C77" s="2" t="s">
        <v>338</v>
      </c>
      <c r="D77" s="1" t="s">
        <v>337</v>
      </c>
      <c r="E77" s="1"/>
      <c r="F77" s="3">
        <v>4825</v>
      </c>
      <c r="G77" s="3">
        <v>3226</v>
      </c>
      <c r="H77" s="4">
        <v>15071</v>
      </c>
      <c r="I77" s="3">
        <v>7341</v>
      </c>
      <c r="J77" s="3">
        <v>7730</v>
      </c>
      <c r="K77" s="3">
        <v>2639</v>
      </c>
      <c r="L77" s="3">
        <f t="shared" si="4"/>
        <v>17.51045053413841</v>
      </c>
      <c r="M77" s="3">
        <v>10</v>
      </c>
      <c r="N77" s="3">
        <f t="shared" si="5"/>
        <v>6.6352597704200128E-2</v>
      </c>
      <c r="O77" s="3">
        <v>372</v>
      </c>
      <c r="P77" s="15">
        <v>0</v>
      </c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>
        <v>10</v>
      </c>
      <c r="AC77" s="22" t="s">
        <v>1361</v>
      </c>
      <c r="AD77">
        <v>26.130443</v>
      </c>
      <c r="AE77">
        <v>74.046546000000006</v>
      </c>
    </row>
    <row r="78" spans="1:31" ht="15.75" x14ac:dyDescent="0.25">
      <c r="A78" s="1" t="s">
        <v>0</v>
      </c>
      <c r="B78" s="1" t="s">
        <v>254</v>
      </c>
      <c r="C78" s="2" t="s">
        <v>338</v>
      </c>
      <c r="D78" s="1" t="s">
        <v>340</v>
      </c>
      <c r="E78" s="1"/>
      <c r="F78" s="3">
        <v>507</v>
      </c>
      <c r="G78" s="3">
        <v>330</v>
      </c>
      <c r="H78" s="4">
        <v>1444</v>
      </c>
      <c r="I78" s="3">
        <v>712</v>
      </c>
      <c r="J78" s="3">
        <v>732</v>
      </c>
      <c r="K78" s="3">
        <v>307</v>
      </c>
      <c r="L78" s="3">
        <f t="shared" si="4"/>
        <v>21.260387811634349</v>
      </c>
      <c r="M78" s="3">
        <v>0</v>
      </c>
      <c r="N78" s="3">
        <f t="shared" si="5"/>
        <v>0</v>
      </c>
      <c r="O78" s="3">
        <v>16</v>
      </c>
      <c r="P78" s="15">
        <v>0</v>
      </c>
      <c r="Q78" s="22" t="s">
        <v>1348</v>
      </c>
      <c r="R78" s="83">
        <v>43790</v>
      </c>
      <c r="S78" s="89">
        <v>19.14</v>
      </c>
      <c r="T78" s="22"/>
      <c r="U78" s="89" t="s">
        <v>1348</v>
      </c>
      <c r="V78" s="22" t="s">
        <v>1348</v>
      </c>
      <c r="W78" s="22" t="s">
        <v>1354</v>
      </c>
      <c r="X78" s="22"/>
      <c r="Y78" s="22"/>
      <c r="Z78" s="22"/>
      <c r="AA78" s="22"/>
      <c r="AB78" s="22"/>
      <c r="AC78" s="22"/>
      <c r="AD78" s="22"/>
      <c r="AE78" s="22"/>
    </row>
    <row r="79" spans="1:31" x14ac:dyDescent="0.25">
      <c r="A79" s="1" t="s">
        <v>0</v>
      </c>
      <c r="B79" s="1" t="s">
        <v>254</v>
      </c>
      <c r="C79" s="2" t="s">
        <v>285</v>
      </c>
      <c r="D79" s="1" t="s">
        <v>284</v>
      </c>
      <c r="E79" s="1"/>
      <c r="F79" s="3">
        <v>2735</v>
      </c>
      <c r="G79" s="3">
        <v>1117</v>
      </c>
      <c r="H79" s="4">
        <v>5436</v>
      </c>
      <c r="I79" s="3">
        <v>2769</v>
      </c>
      <c r="J79" s="3">
        <v>2667</v>
      </c>
      <c r="K79" s="3">
        <v>1774</v>
      </c>
      <c r="L79" s="3">
        <f t="shared" si="4"/>
        <v>32.634289919058126</v>
      </c>
      <c r="M79" s="3">
        <v>0</v>
      </c>
      <c r="N79" s="3">
        <f t="shared" si="5"/>
        <v>0</v>
      </c>
      <c r="O79" s="3">
        <v>171</v>
      </c>
      <c r="P79" s="15">
        <v>0</v>
      </c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>
        <v>8</v>
      </c>
      <c r="AC79" s="22" t="s">
        <v>1379</v>
      </c>
      <c r="AD79" s="115">
        <v>26.310085999999998</v>
      </c>
      <c r="AE79" s="115">
        <v>74.849327000000002</v>
      </c>
    </row>
    <row r="80" spans="1:31" x14ac:dyDescent="0.25">
      <c r="A80" s="1" t="s">
        <v>0</v>
      </c>
      <c r="B80" s="1" t="s">
        <v>254</v>
      </c>
      <c r="C80" s="2" t="s">
        <v>285</v>
      </c>
      <c r="D80" s="1" t="s">
        <v>286</v>
      </c>
      <c r="E80" s="1"/>
      <c r="F80" s="3">
        <v>386</v>
      </c>
      <c r="G80" s="3">
        <v>87</v>
      </c>
      <c r="H80" s="4">
        <v>383</v>
      </c>
      <c r="I80" s="3">
        <v>202</v>
      </c>
      <c r="J80" s="3">
        <v>181</v>
      </c>
      <c r="K80" s="3">
        <v>101</v>
      </c>
      <c r="L80" s="3">
        <f t="shared" si="4"/>
        <v>26.370757180156655</v>
      </c>
      <c r="M80" s="3">
        <v>0</v>
      </c>
      <c r="N80" s="3">
        <f t="shared" si="5"/>
        <v>0</v>
      </c>
      <c r="O80" s="3">
        <v>7</v>
      </c>
      <c r="P80" s="15">
        <v>0</v>
      </c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</row>
    <row r="81" spans="1:31" x14ac:dyDescent="0.25">
      <c r="A81" s="1" t="s">
        <v>0</v>
      </c>
      <c r="B81" s="1" t="s">
        <v>254</v>
      </c>
      <c r="C81" s="2" t="s">
        <v>377</v>
      </c>
      <c r="D81" s="1" t="s">
        <v>376</v>
      </c>
      <c r="E81" s="1"/>
      <c r="F81" s="3">
        <v>673</v>
      </c>
      <c r="G81" s="3">
        <v>297</v>
      </c>
      <c r="H81" s="4">
        <v>1567</v>
      </c>
      <c r="I81" s="3">
        <v>809</v>
      </c>
      <c r="J81" s="3">
        <v>758</v>
      </c>
      <c r="K81" s="3">
        <v>329</v>
      </c>
      <c r="L81" s="3">
        <f t="shared" si="4"/>
        <v>20.995532865347798</v>
      </c>
      <c r="M81" s="3">
        <v>97</v>
      </c>
      <c r="N81" s="3">
        <f t="shared" si="5"/>
        <v>6.1901723037651557</v>
      </c>
      <c r="O81" s="3">
        <v>2</v>
      </c>
      <c r="P81" s="15">
        <v>0</v>
      </c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</row>
    <row r="82" spans="1:31" x14ac:dyDescent="0.25">
      <c r="A82" s="1" t="s">
        <v>0</v>
      </c>
      <c r="B82" s="1" t="s">
        <v>254</v>
      </c>
      <c r="C82" s="2" t="s">
        <v>377</v>
      </c>
      <c r="D82" s="1" t="s">
        <v>377</v>
      </c>
      <c r="E82" s="1"/>
      <c r="F82" s="3">
        <v>873</v>
      </c>
      <c r="G82" s="3">
        <v>283</v>
      </c>
      <c r="H82" s="4">
        <v>1400</v>
      </c>
      <c r="I82" s="3">
        <v>730</v>
      </c>
      <c r="J82" s="3">
        <v>670</v>
      </c>
      <c r="K82" s="3">
        <v>107</v>
      </c>
      <c r="L82" s="3">
        <f t="shared" si="4"/>
        <v>7.6428571428571432</v>
      </c>
      <c r="M82" s="3">
        <v>0</v>
      </c>
      <c r="N82" s="3">
        <f t="shared" si="5"/>
        <v>0</v>
      </c>
      <c r="O82" s="3">
        <v>0</v>
      </c>
      <c r="P82" s="15">
        <v>104</v>
      </c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</row>
    <row r="83" spans="1:31" x14ac:dyDescent="0.25">
      <c r="A83" s="1" t="s">
        <v>0</v>
      </c>
      <c r="B83" s="1" t="s">
        <v>254</v>
      </c>
      <c r="C83" s="2" t="s">
        <v>377</v>
      </c>
      <c r="D83" s="1" t="s">
        <v>386</v>
      </c>
      <c r="E83" s="1"/>
      <c r="F83" s="3">
        <v>708</v>
      </c>
      <c r="G83" s="3">
        <v>149</v>
      </c>
      <c r="H83" s="4">
        <v>780</v>
      </c>
      <c r="I83" s="3">
        <v>398</v>
      </c>
      <c r="J83" s="3">
        <v>382</v>
      </c>
      <c r="K83" s="3">
        <v>0</v>
      </c>
      <c r="L83" s="3">
        <f t="shared" si="4"/>
        <v>0</v>
      </c>
      <c r="M83" s="3">
        <v>0</v>
      </c>
      <c r="N83" s="3">
        <f t="shared" si="5"/>
        <v>0</v>
      </c>
      <c r="O83" s="3">
        <v>0</v>
      </c>
      <c r="P83" s="15">
        <v>0</v>
      </c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</row>
    <row r="84" spans="1:31" x14ac:dyDescent="0.25">
      <c r="A84" s="1" t="s">
        <v>0</v>
      </c>
      <c r="B84" s="1" t="s">
        <v>254</v>
      </c>
      <c r="C84" s="2" t="s">
        <v>320</v>
      </c>
      <c r="D84" s="1" t="s">
        <v>319</v>
      </c>
      <c r="E84" s="1"/>
      <c r="F84" s="3">
        <v>232</v>
      </c>
      <c r="G84" s="3">
        <v>31</v>
      </c>
      <c r="H84" s="4">
        <v>117</v>
      </c>
      <c r="I84" s="3">
        <v>60</v>
      </c>
      <c r="J84" s="3">
        <v>57</v>
      </c>
      <c r="K84" s="3">
        <v>0</v>
      </c>
      <c r="L84" s="3">
        <f t="shared" si="4"/>
        <v>0</v>
      </c>
      <c r="M84" s="3">
        <v>0</v>
      </c>
      <c r="N84" s="3">
        <f t="shared" si="5"/>
        <v>0</v>
      </c>
      <c r="O84" s="3">
        <v>5</v>
      </c>
      <c r="P84" s="15">
        <v>0</v>
      </c>
      <c r="Q84" s="22" t="s">
        <v>1348</v>
      </c>
      <c r="R84" s="83">
        <v>43787</v>
      </c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</row>
    <row r="85" spans="1:31" x14ac:dyDescent="0.25">
      <c r="A85" s="1" t="s">
        <v>0</v>
      </c>
      <c r="B85" s="1" t="s">
        <v>254</v>
      </c>
      <c r="C85" s="2" t="s">
        <v>320</v>
      </c>
      <c r="D85" s="1" t="s">
        <v>321</v>
      </c>
      <c r="E85" s="1"/>
      <c r="F85" s="3">
        <v>1314</v>
      </c>
      <c r="G85" s="3">
        <v>292</v>
      </c>
      <c r="H85" s="4">
        <v>1179</v>
      </c>
      <c r="I85" s="3">
        <v>570</v>
      </c>
      <c r="J85" s="3">
        <v>609</v>
      </c>
      <c r="K85" s="3">
        <v>363</v>
      </c>
      <c r="L85" s="3">
        <f t="shared" si="4"/>
        <v>30.788804071246815</v>
      </c>
      <c r="M85" s="3">
        <v>0</v>
      </c>
      <c r="N85" s="3">
        <f t="shared" si="5"/>
        <v>0</v>
      </c>
      <c r="O85" s="3">
        <v>147</v>
      </c>
      <c r="P85" s="15">
        <v>0</v>
      </c>
      <c r="Q85" s="22" t="s">
        <v>1348</v>
      </c>
      <c r="R85" s="83">
        <v>43668</v>
      </c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</row>
    <row r="86" spans="1:31" ht="15.75" x14ac:dyDescent="0.25">
      <c r="A86" s="1" t="s">
        <v>0</v>
      </c>
      <c r="B86" s="1" t="s">
        <v>254</v>
      </c>
      <c r="C86" s="2" t="s">
        <v>320</v>
      </c>
      <c r="D86" s="1" t="s">
        <v>322</v>
      </c>
      <c r="E86" s="1"/>
      <c r="F86" s="3">
        <v>735</v>
      </c>
      <c r="G86" s="3">
        <v>335</v>
      </c>
      <c r="H86" s="4">
        <v>1621</v>
      </c>
      <c r="I86" s="3">
        <v>805</v>
      </c>
      <c r="J86" s="3">
        <v>816</v>
      </c>
      <c r="K86" s="3">
        <v>478</v>
      </c>
      <c r="L86" s="3">
        <f t="shared" si="4"/>
        <v>29.487970388648982</v>
      </c>
      <c r="M86" s="3">
        <v>0</v>
      </c>
      <c r="N86" s="3">
        <f t="shared" si="5"/>
        <v>0</v>
      </c>
      <c r="O86" s="3">
        <v>65</v>
      </c>
      <c r="P86" s="15">
        <v>0</v>
      </c>
      <c r="Q86" s="22"/>
      <c r="R86" s="22"/>
      <c r="S86" s="89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</row>
    <row r="87" spans="1:31" x14ac:dyDescent="0.25">
      <c r="A87" s="1" t="s">
        <v>0</v>
      </c>
      <c r="B87" s="1" t="s">
        <v>254</v>
      </c>
      <c r="C87" s="2" t="s">
        <v>320</v>
      </c>
      <c r="D87" s="1" t="s">
        <v>323</v>
      </c>
      <c r="E87" s="1"/>
      <c r="F87" s="3">
        <v>2961</v>
      </c>
      <c r="G87" s="3">
        <v>762</v>
      </c>
      <c r="H87" s="4">
        <v>3401</v>
      </c>
      <c r="I87" s="3">
        <v>1620</v>
      </c>
      <c r="J87" s="3">
        <v>1781</v>
      </c>
      <c r="K87" s="3">
        <v>752</v>
      </c>
      <c r="L87" s="3">
        <f t="shared" si="4"/>
        <v>22.111143781240809</v>
      </c>
      <c r="M87" s="3">
        <v>0</v>
      </c>
      <c r="N87" s="3">
        <f t="shared" si="5"/>
        <v>0</v>
      </c>
      <c r="O87" s="3">
        <v>177</v>
      </c>
      <c r="P87" s="15">
        <v>0</v>
      </c>
      <c r="Q87" s="22" t="s">
        <v>1348</v>
      </c>
      <c r="R87" s="83">
        <v>43630</v>
      </c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</row>
    <row r="88" spans="1:31" x14ac:dyDescent="0.25">
      <c r="A88" s="1" t="s">
        <v>0</v>
      </c>
      <c r="B88" s="1" t="s">
        <v>254</v>
      </c>
      <c r="C88" s="2" t="s">
        <v>299</v>
      </c>
      <c r="D88" s="1" t="s">
        <v>298</v>
      </c>
      <c r="E88" s="1"/>
      <c r="F88" s="2">
        <v>87</v>
      </c>
      <c r="G88" s="5"/>
      <c r="H88" s="4">
        <v>0</v>
      </c>
      <c r="I88" s="5"/>
      <c r="J88" s="5"/>
      <c r="K88" s="5"/>
      <c r="L88" s="3" t="e">
        <f t="shared" si="4"/>
        <v>#DIV/0!</v>
      </c>
      <c r="M88" s="5"/>
      <c r="N88" s="3" t="e">
        <f t="shared" si="5"/>
        <v>#DIV/0!</v>
      </c>
      <c r="O88" s="2">
        <v>0</v>
      </c>
      <c r="P88" s="18">
        <v>0</v>
      </c>
      <c r="Q88" s="22" t="s">
        <v>1348</v>
      </c>
      <c r="R88" s="83">
        <v>43661</v>
      </c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</row>
    <row r="89" spans="1:31" ht="15.75" x14ac:dyDescent="0.25">
      <c r="A89" s="1" t="s">
        <v>0</v>
      </c>
      <c r="B89" s="1" t="s">
        <v>254</v>
      </c>
      <c r="C89" s="2" t="s">
        <v>299</v>
      </c>
      <c r="D89" s="1" t="s">
        <v>303</v>
      </c>
      <c r="E89" s="1"/>
      <c r="F89" s="3">
        <v>1205</v>
      </c>
      <c r="G89" s="3">
        <v>395</v>
      </c>
      <c r="H89" s="4">
        <v>1727</v>
      </c>
      <c r="I89" s="3">
        <v>861</v>
      </c>
      <c r="J89" s="3">
        <v>866</v>
      </c>
      <c r="K89" s="3">
        <v>614</v>
      </c>
      <c r="L89" s="3">
        <f t="shared" si="4"/>
        <v>35.552982049797336</v>
      </c>
      <c r="M89" s="3">
        <v>0</v>
      </c>
      <c r="N89" s="3">
        <f t="shared" si="5"/>
        <v>0</v>
      </c>
      <c r="O89" s="3">
        <v>85</v>
      </c>
      <c r="P89" s="15">
        <v>0</v>
      </c>
      <c r="Q89" s="22" t="s">
        <v>1348</v>
      </c>
      <c r="R89" s="83">
        <v>43776</v>
      </c>
      <c r="S89" s="89">
        <v>160</v>
      </c>
      <c r="T89" s="22"/>
      <c r="U89" s="89" t="s">
        <v>1348</v>
      </c>
      <c r="V89" s="22" t="s">
        <v>1348</v>
      </c>
      <c r="W89" s="22" t="s">
        <v>1354</v>
      </c>
      <c r="X89" s="22"/>
      <c r="Y89" s="22"/>
      <c r="Z89" s="22"/>
      <c r="AA89" s="22"/>
      <c r="AB89" s="22"/>
      <c r="AC89" s="22"/>
      <c r="AD89" s="22"/>
      <c r="AE89" s="22"/>
    </row>
    <row r="90" spans="1:31" x14ac:dyDescent="0.25">
      <c r="A90" s="1" t="s">
        <v>0</v>
      </c>
      <c r="B90" s="1" t="s">
        <v>254</v>
      </c>
      <c r="C90" s="2" t="s">
        <v>299</v>
      </c>
      <c r="D90" s="1" t="s">
        <v>304</v>
      </c>
      <c r="E90" s="1"/>
      <c r="F90" s="3">
        <v>1237</v>
      </c>
      <c r="G90" s="3">
        <v>234</v>
      </c>
      <c r="H90" s="4">
        <v>1025</v>
      </c>
      <c r="I90" s="3">
        <v>467</v>
      </c>
      <c r="J90" s="3">
        <v>558</v>
      </c>
      <c r="K90" s="3">
        <v>93</v>
      </c>
      <c r="L90" s="3">
        <f t="shared" si="4"/>
        <v>9.0731707317073162</v>
      </c>
      <c r="M90" s="3">
        <v>0</v>
      </c>
      <c r="N90" s="3">
        <f t="shared" si="5"/>
        <v>0</v>
      </c>
      <c r="O90" s="3">
        <v>322</v>
      </c>
      <c r="P90" s="15">
        <v>0</v>
      </c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</row>
    <row r="91" spans="1:31" x14ac:dyDescent="0.25">
      <c r="A91" s="1" t="s">
        <v>0</v>
      </c>
      <c r="B91" s="1" t="s">
        <v>254</v>
      </c>
      <c r="C91" s="2" t="s">
        <v>262</v>
      </c>
      <c r="D91" s="1" t="s">
        <v>262</v>
      </c>
      <c r="E91" s="1"/>
      <c r="F91" s="3">
        <v>704</v>
      </c>
      <c r="G91" s="3">
        <v>147</v>
      </c>
      <c r="H91" s="4">
        <v>776</v>
      </c>
      <c r="I91" s="3">
        <v>395</v>
      </c>
      <c r="J91" s="3">
        <v>381</v>
      </c>
      <c r="K91" s="3">
        <v>224</v>
      </c>
      <c r="L91" s="3">
        <f t="shared" si="4"/>
        <v>28.865979381443296</v>
      </c>
      <c r="M91" s="3">
        <v>0</v>
      </c>
      <c r="N91" s="3">
        <f t="shared" si="5"/>
        <v>0</v>
      </c>
      <c r="O91" s="3">
        <v>28</v>
      </c>
      <c r="P91" s="15">
        <v>0</v>
      </c>
      <c r="Q91" s="22" t="s">
        <v>1348</v>
      </c>
      <c r="R91" s="83">
        <v>43796</v>
      </c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</row>
    <row r="92" spans="1:31" x14ac:dyDescent="0.25">
      <c r="A92" s="1" t="s">
        <v>0</v>
      </c>
      <c r="B92" s="1" t="s">
        <v>254</v>
      </c>
      <c r="C92" s="2" t="s">
        <v>262</v>
      </c>
      <c r="D92" s="1" t="s">
        <v>263</v>
      </c>
      <c r="E92" s="1"/>
      <c r="F92" s="3">
        <v>338</v>
      </c>
      <c r="G92" s="3">
        <v>91</v>
      </c>
      <c r="H92" s="4">
        <v>406</v>
      </c>
      <c r="I92" s="3">
        <v>189</v>
      </c>
      <c r="J92" s="3">
        <v>217</v>
      </c>
      <c r="K92" s="3">
        <v>64</v>
      </c>
      <c r="L92" s="3">
        <f t="shared" si="4"/>
        <v>15.763546798029557</v>
      </c>
      <c r="M92" s="3">
        <v>0</v>
      </c>
      <c r="N92" s="3">
        <f t="shared" si="5"/>
        <v>0</v>
      </c>
      <c r="O92" s="3">
        <v>37</v>
      </c>
      <c r="P92" s="15">
        <v>0</v>
      </c>
      <c r="Q92" s="22" t="s">
        <v>1348</v>
      </c>
      <c r="R92" s="83">
        <v>43684</v>
      </c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</row>
    <row r="93" spans="1:31" x14ac:dyDescent="0.25">
      <c r="A93" s="1" t="s">
        <v>0</v>
      </c>
      <c r="B93" s="1" t="s">
        <v>254</v>
      </c>
      <c r="C93" s="2" t="s">
        <v>262</v>
      </c>
      <c r="D93" s="1" t="s">
        <v>264</v>
      </c>
      <c r="E93" s="1"/>
      <c r="F93" s="3">
        <v>472</v>
      </c>
      <c r="G93" s="3">
        <v>96</v>
      </c>
      <c r="H93" s="4">
        <v>417</v>
      </c>
      <c r="I93" s="3">
        <v>197</v>
      </c>
      <c r="J93" s="3">
        <v>220</v>
      </c>
      <c r="K93" s="3">
        <v>0</v>
      </c>
      <c r="L93" s="3">
        <f t="shared" si="4"/>
        <v>0</v>
      </c>
      <c r="M93" s="3">
        <v>0</v>
      </c>
      <c r="N93" s="3">
        <f t="shared" si="5"/>
        <v>0</v>
      </c>
      <c r="O93" s="3">
        <v>63</v>
      </c>
      <c r="P93" s="15">
        <v>0</v>
      </c>
      <c r="Q93" s="22" t="s">
        <v>1348</v>
      </c>
      <c r="R93" s="83">
        <v>43690</v>
      </c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</row>
    <row r="94" spans="1:31" x14ac:dyDescent="0.25">
      <c r="A94" s="1" t="s">
        <v>0</v>
      </c>
      <c r="B94" s="1" t="s">
        <v>254</v>
      </c>
      <c r="C94" s="2" t="s">
        <v>262</v>
      </c>
      <c r="D94" s="1" t="s">
        <v>265</v>
      </c>
      <c r="E94" s="1"/>
      <c r="F94" s="3">
        <v>408</v>
      </c>
      <c r="G94" s="3">
        <v>40</v>
      </c>
      <c r="H94" s="4">
        <v>166</v>
      </c>
      <c r="I94" s="3">
        <v>82</v>
      </c>
      <c r="J94" s="3">
        <v>84</v>
      </c>
      <c r="K94" s="3">
        <v>0</v>
      </c>
      <c r="L94" s="3">
        <f t="shared" si="4"/>
        <v>0</v>
      </c>
      <c r="M94" s="3">
        <v>0</v>
      </c>
      <c r="N94" s="3">
        <f t="shared" si="5"/>
        <v>0</v>
      </c>
      <c r="O94" s="3">
        <v>19</v>
      </c>
      <c r="P94" s="15">
        <v>0</v>
      </c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</row>
    <row r="95" spans="1:31" x14ac:dyDescent="0.25">
      <c r="A95" s="1" t="s">
        <v>0</v>
      </c>
      <c r="B95" s="1" t="s">
        <v>254</v>
      </c>
      <c r="C95" s="2" t="s">
        <v>262</v>
      </c>
      <c r="D95" s="1" t="s">
        <v>266</v>
      </c>
      <c r="E95" s="1"/>
      <c r="F95" s="3">
        <v>518</v>
      </c>
      <c r="G95" s="3">
        <v>108</v>
      </c>
      <c r="H95" s="4">
        <v>562</v>
      </c>
      <c r="I95" s="3">
        <v>296</v>
      </c>
      <c r="J95" s="3">
        <v>266</v>
      </c>
      <c r="K95" s="3">
        <v>61</v>
      </c>
      <c r="L95" s="3">
        <f t="shared" si="4"/>
        <v>10.85409252669039</v>
      </c>
      <c r="M95" s="3">
        <v>0</v>
      </c>
      <c r="N95" s="3">
        <f t="shared" si="5"/>
        <v>0</v>
      </c>
      <c r="O95" s="3">
        <v>71</v>
      </c>
      <c r="P95" s="15">
        <v>0</v>
      </c>
      <c r="Q95" s="22" t="s">
        <v>1348</v>
      </c>
      <c r="R95" s="83">
        <v>43829</v>
      </c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</row>
    <row r="96" spans="1:31" x14ac:dyDescent="0.25">
      <c r="A96" s="1" t="s">
        <v>0</v>
      </c>
      <c r="B96" s="1" t="s">
        <v>254</v>
      </c>
      <c r="C96" s="2" t="s">
        <v>262</v>
      </c>
      <c r="D96" s="1" t="s">
        <v>273</v>
      </c>
      <c r="E96" s="1"/>
      <c r="F96" s="3">
        <v>511</v>
      </c>
      <c r="G96" s="3">
        <v>393</v>
      </c>
      <c r="H96" s="4">
        <v>1879</v>
      </c>
      <c r="I96" s="3">
        <v>986</v>
      </c>
      <c r="J96" s="3">
        <v>893</v>
      </c>
      <c r="K96" s="3">
        <v>0</v>
      </c>
      <c r="L96" s="3">
        <f t="shared" si="4"/>
        <v>0</v>
      </c>
      <c r="M96" s="3">
        <v>1</v>
      </c>
      <c r="N96" s="3">
        <f t="shared" si="5"/>
        <v>5.3219797764768491E-2</v>
      </c>
      <c r="O96" s="3">
        <v>29</v>
      </c>
      <c r="P96" s="15">
        <v>0</v>
      </c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</row>
    <row r="97" spans="1:31" x14ac:dyDescent="0.25">
      <c r="A97" s="1" t="s">
        <v>0</v>
      </c>
      <c r="B97" s="1" t="s">
        <v>254</v>
      </c>
      <c r="C97" s="2" t="s">
        <v>344</v>
      </c>
      <c r="D97" s="1" t="s">
        <v>343</v>
      </c>
      <c r="E97" s="1"/>
      <c r="F97" s="3">
        <v>684</v>
      </c>
      <c r="G97" s="3">
        <v>365</v>
      </c>
      <c r="H97" s="4">
        <v>1600</v>
      </c>
      <c r="I97" s="3">
        <v>775</v>
      </c>
      <c r="J97" s="3">
        <v>825</v>
      </c>
      <c r="K97" s="3">
        <v>266</v>
      </c>
      <c r="L97" s="3">
        <f t="shared" si="4"/>
        <v>16.625</v>
      </c>
      <c r="M97" s="3">
        <v>0</v>
      </c>
      <c r="N97" s="3">
        <f t="shared" si="5"/>
        <v>0</v>
      </c>
      <c r="O97" s="3">
        <v>27</v>
      </c>
      <c r="P97" s="15">
        <v>0</v>
      </c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</row>
    <row r="98" spans="1:31" x14ac:dyDescent="0.25">
      <c r="A98" s="1" t="s">
        <v>0</v>
      </c>
      <c r="B98" s="1" t="s">
        <v>254</v>
      </c>
      <c r="C98" s="2" t="s">
        <v>344</v>
      </c>
      <c r="D98" s="1" t="s">
        <v>345</v>
      </c>
      <c r="E98" s="1"/>
      <c r="F98" s="3">
        <v>1356</v>
      </c>
      <c r="G98" s="3">
        <v>383</v>
      </c>
      <c r="H98" s="4">
        <v>1812</v>
      </c>
      <c r="I98" s="3">
        <v>923</v>
      </c>
      <c r="J98" s="3">
        <v>889</v>
      </c>
      <c r="K98" s="3">
        <v>465</v>
      </c>
      <c r="L98" s="3">
        <f t="shared" si="4"/>
        <v>25.662251655629138</v>
      </c>
      <c r="M98" s="3">
        <v>24</v>
      </c>
      <c r="N98" s="3">
        <f t="shared" si="5"/>
        <v>1.3245033112582782</v>
      </c>
      <c r="O98" s="3">
        <v>123</v>
      </c>
      <c r="P98" s="15">
        <v>0</v>
      </c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</row>
    <row r="99" spans="1:31" x14ac:dyDescent="0.25">
      <c r="A99" s="1" t="s">
        <v>0</v>
      </c>
      <c r="B99" s="1" t="s">
        <v>254</v>
      </c>
      <c r="C99" s="2" t="s">
        <v>344</v>
      </c>
      <c r="D99" s="1" t="s">
        <v>395</v>
      </c>
      <c r="E99" s="1"/>
      <c r="F99" s="3">
        <v>437</v>
      </c>
      <c r="G99" s="3">
        <v>190</v>
      </c>
      <c r="H99" s="4">
        <v>861</v>
      </c>
      <c r="I99" s="3">
        <v>392</v>
      </c>
      <c r="J99" s="3">
        <v>469</v>
      </c>
      <c r="K99" s="3">
        <v>311</v>
      </c>
      <c r="L99" s="3">
        <f t="shared" si="4"/>
        <v>36.120789779326365</v>
      </c>
      <c r="M99" s="3">
        <v>0</v>
      </c>
      <c r="N99" s="3">
        <f t="shared" si="5"/>
        <v>0</v>
      </c>
      <c r="O99" s="3">
        <v>155</v>
      </c>
      <c r="P99" s="15">
        <v>0</v>
      </c>
      <c r="Q99" s="22" t="s">
        <v>1348</v>
      </c>
      <c r="R99" s="83">
        <v>43776</v>
      </c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</row>
    <row r="100" spans="1:31" x14ac:dyDescent="0.25">
      <c r="A100" s="1" t="s">
        <v>0</v>
      </c>
      <c r="B100" s="1" t="s">
        <v>254</v>
      </c>
      <c r="C100" s="2" t="s">
        <v>349</v>
      </c>
      <c r="D100" s="1" t="s">
        <v>348</v>
      </c>
      <c r="E100" s="1"/>
      <c r="F100" s="3">
        <v>2898</v>
      </c>
      <c r="G100" s="3">
        <v>1050</v>
      </c>
      <c r="H100" s="4">
        <v>5380</v>
      </c>
      <c r="I100" s="3">
        <v>2793</v>
      </c>
      <c r="J100" s="3">
        <v>2587</v>
      </c>
      <c r="K100" s="3">
        <v>856</v>
      </c>
      <c r="L100" s="3">
        <f t="shared" si="4"/>
        <v>15.91078066914498</v>
      </c>
      <c r="M100" s="3">
        <v>16</v>
      </c>
      <c r="N100" s="3">
        <f t="shared" si="5"/>
        <v>0.29739776951672864</v>
      </c>
      <c r="O100" s="3">
        <v>137</v>
      </c>
      <c r="P100" s="15">
        <v>0</v>
      </c>
      <c r="Q100" s="22" t="s">
        <v>1348</v>
      </c>
      <c r="R100" s="83">
        <v>44085</v>
      </c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</row>
    <row r="101" spans="1:31" x14ac:dyDescent="0.25">
      <c r="A101" s="1" t="s">
        <v>0</v>
      </c>
      <c r="B101" s="1" t="s">
        <v>254</v>
      </c>
      <c r="C101" s="2" t="s">
        <v>349</v>
      </c>
      <c r="D101" s="1" t="s">
        <v>352</v>
      </c>
      <c r="E101" s="1"/>
      <c r="F101" s="3">
        <v>680</v>
      </c>
      <c r="G101" s="3">
        <v>165</v>
      </c>
      <c r="H101" s="4">
        <v>794</v>
      </c>
      <c r="I101" s="3">
        <v>395</v>
      </c>
      <c r="J101" s="3">
        <v>399</v>
      </c>
      <c r="K101" s="3">
        <v>297</v>
      </c>
      <c r="L101" s="3">
        <f t="shared" si="4"/>
        <v>37.405541561712845</v>
      </c>
      <c r="M101" s="3">
        <v>0</v>
      </c>
      <c r="N101" s="3">
        <f t="shared" si="5"/>
        <v>0</v>
      </c>
      <c r="O101" s="3">
        <v>0</v>
      </c>
      <c r="P101" s="15">
        <v>646</v>
      </c>
      <c r="Q101" s="22" t="s">
        <v>1348</v>
      </c>
      <c r="R101" s="83">
        <v>44085</v>
      </c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</row>
    <row r="102" spans="1:31" x14ac:dyDescent="0.25">
      <c r="A102" s="1" t="s">
        <v>0</v>
      </c>
      <c r="B102" s="1" t="s">
        <v>254</v>
      </c>
      <c r="C102" s="2" t="s">
        <v>290</v>
      </c>
      <c r="D102" s="1" t="s">
        <v>289</v>
      </c>
      <c r="E102" s="1"/>
      <c r="F102" s="3">
        <v>678</v>
      </c>
      <c r="G102" s="3">
        <v>228</v>
      </c>
      <c r="H102" s="4">
        <v>975</v>
      </c>
      <c r="I102" s="3">
        <v>441</v>
      </c>
      <c r="J102" s="3">
        <v>534</v>
      </c>
      <c r="K102" s="3">
        <v>228</v>
      </c>
      <c r="L102" s="3">
        <f t="shared" ref="L102:L118" si="6">(K102/H102)*100</f>
        <v>23.384615384615383</v>
      </c>
      <c r="M102" s="3">
        <v>2</v>
      </c>
      <c r="N102" s="3">
        <f t="shared" ref="N102:N118" si="7">(M102/H102)*100</f>
        <v>0.20512820512820512</v>
      </c>
      <c r="O102" s="3">
        <v>73</v>
      </c>
      <c r="P102" s="15">
        <v>0</v>
      </c>
      <c r="Q102" s="22" t="s">
        <v>1348</v>
      </c>
      <c r="R102" s="83">
        <v>44084</v>
      </c>
      <c r="S102" s="22"/>
      <c r="T102" s="22"/>
      <c r="U102" s="22"/>
      <c r="V102" s="22"/>
      <c r="W102" s="22"/>
      <c r="X102" s="22"/>
      <c r="Y102" s="22"/>
      <c r="Z102" s="22"/>
      <c r="AA102" s="22"/>
      <c r="AB102" s="22">
        <v>5</v>
      </c>
      <c r="AC102" s="22" t="s">
        <v>1361</v>
      </c>
      <c r="AD102">
        <v>26.254452000000001</v>
      </c>
      <c r="AE102">
        <v>73.882570000000001</v>
      </c>
    </row>
    <row r="103" spans="1:31" x14ac:dyDescent="0.25">
      <c r="A103" s="1" t="s">
        <v>0</v>
      </c>
      <c r="B103" s="1" t="s">
        <v>254</v>
      </c>
      <c r="C103" s="2" t="s">
        <v>290</v>
      </c>
      <c r="D103" s="1" t="s">
        <v>291</v>
      </c>
      <c r="E103" s="1"/>
      <c r="F103" s="3">
        <v>527</v>
      </c>
      <c r="G103" s="3">
        <v>216</v>
      </c>
      <c r="H103" s="4">
        <v>997</v>
      </c>
      <c r="I103" s="3">
        <v>477</v>
      </c>
      <c r="J103" s="3">
        <v>520</v>
      </c>
      <c r="K103" s="3">
        <v>202</v>
      </c>
      <c r="L103" s="3">
        <f t="shared" si="6"/>
        <v>20.260782347041122</v>
      </c>
      <c r="M103" s="3">
        <v>0</v>
      </c>
      <c r="N103" s="3">
        <f t="shared" si="7"/>
        <v>0</v>
      </c>
      <c r="O103" s="3">
        <v>97</v>
      </c>
      <c r="P103" s="15">
        <v>0</v>
      </c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>
        <v>5</v>
      </c>
      <c r="AC103" s="22" t="s">
        <v>1361</v>
      </c>
      <c r="AD103">
        <v>26.244522</v>
      </c>
      <c r="AE103">
        <v>73.894990000000007</v>
      </c>
    </row>
    <row r="104" spans="1:31" x14ac:dyDescent="0.25">
      <c r="A104" s="1" t="s">
        <v>0</v>
      </c>
      <c r="B104" s="1" t="s">
        <v>254</v>
      </c>
      <c r="C104" s="2" t="s">
        <v>290</v>
      </c>
      <c r="D104" s="1" t="s">
        <v>292</v>
      </c>
      <c r="E104" s="1"/>
      <c r="F104" s="3">
        <v>670</v>
      </c>
      <c r="G104" s="3">
        <v>235</v>
      </c>
      <c r="H104" s="4">
        <v>1007</v>
      </c>
      <c r="I104" s="3">
        <v>469</v>
      </c>
      <c r="J104" s="3">
        <v>538</v>
      </c>
      <c r="K104" s="3">
        <v>262</v>
      </c>
      <c r="L104" s="3">
        <f t="shared" si="6"/>
        <v>26.01787487586892</v>
      </c>
      <c r="M104" s="3">
        <v>0</v>
      </c>
      <c r="N104" s="3">
        <f t="shared" si="7"/>
        <v>0</v>
      </c>
      <c r="O104" s="3">
        <v>57</v>
      </c>
      <c r="P104" s="15">
        <v>0</v>
      </c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</row>
    <row r="105" spans="1:31" x14ac:dyDescent="0.25">
      <c r="A105" s="1" t="s">
        <v>0</v>
      </c>
      <c r="B105" s="1" t="s">
        <v>254</v>
      </c>
      <c r="C105" s="2" t="s">
        <v>381</v>
      </c>
      <c r="D105" s="1" t="s">
        <v>380</v>
      </c>
      <c r="E105" s="1"/>
      <c r="F105" s="3">
        <v>3301</v>
      </c>
      <c r="G105" s="3">
        <v>1881</v>
      </c>
      <c r="H105" s="4">
        <v>9511</v>
      </c>
      <c r="I105" s="3">
        <v>4973</v>
      </c>
      <c r="J105" s="3">
        <v>4538</v>
      </c>
      <c r="K105" s="3">
        <v>1765</v>
      </c>
      <c r="L105" s="3">
        <f t="shared" si="6"/>
        <v>18.557459783408685</v>
      </c>
      <c r="M105" s="3">
        <v>3</v>
      </c>
      <c r="N105" s="3">
        <f t="shared" si="7"/>
        <v>3.1542424561034593E-2</v>
      </c>
      <c r="O105" s="3">
        <v>0</v>
      </c>
      <c r="P105" s="15">
        <v>0</v>
      </c>
      <c r="Q105" s="22" t="s">
        <v>1348</v>
      </c>
      <c r="R105" s="83">
        <v>43799</v>
      </c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</row>
    <row r="106" spans="1:31" x14ac:dyDescent="0.25">
      <c r="A106" s="1" t="s">
        <v>0</v>
      </c>
      <c r="B106" s="1" t="s">
        <v>254</v>
      </c>
      <c r="C106" s="2" t="s">
        <v>381</v>
      </c>
      <c r="D106" s="1" t="s">
        <v>382</v>
      </c>
      <c r="E106" s="1"/>
      <c r="F106" s="3">
        <v>675</v>
      </c>
      <c r="G106" s="3">
        <v>177</v>
      </c>
      <c r="H106" s="4">
        <v>870</v>
      </c>
      <c r="I106" s="3">
        <v>441</v>
      </c>
      <c r="J106" s="3">
        <v>429</v>
      </c>
      <c r="K106" s="3">
        <v>480</v>
      </c>
      <c r="L106" s="3">
        <f t="shared" si="6"/>
        <v>55.172413793103445</v>
      </c>
      <c r="M106" s="3">
        <v>1</v>
      </c>
      <c r="N106" s="3">
        <f t="shared" si="7"/>
        <v>0.11494252873563218</v>
      </c>
      <c r="O106" s="3">
        <v>33</v>
      </c>
      <c r="P106" s="15">
        <v>0</v>
      </c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</row>
    <row r="107" spans="1:31" ht="15.75" x14ac:dyDescent="0.25">
      <c r="A107" s="1" t="s">
        <v>0</v>
      </c>
      <c r="B107" s="1" t="s">
        <v>254</v>
      </c>
      <c r="C107" s="2" t="s">
        <v>335</v>
      </c>
      <c r="D107" s="1" t="s">
        <v>334</v>
      </c>
      <c r="E107" s="1"/>
      <c r="F107" s="3">
        <v>832</v>
      </c>
      <c r="G107" s="3">
        <v>353</v>
      </c>
      <c r="H107" s="4">
        <v>1607</v>
      </c>
      <c r="I107" s="3">
        <v>766</v>
      </c>
      <c r="J107" s="3">
        <v>841</v>
      </c>
      <c r="K107" s="3">
        <v>198</v>
      </c>
      <c r="L107" s="3">
        <f t="shared" si="6"/>
        <v>12.321095208462975</v>
      </c>
      <c r="M107" s="3">
        <v>4</v>
      </c>
      <c r="N107" s="3">
        <f t="shared" si="7"/>
        <v>0.24891101431238333</v>
      </c>
      <c r="O107" s="3">
        <v>1</v>
      </c>
      <c r="P107" s="15">
        <v>0</v>
      </c>
      <c r="Q107" s="22" t="s">
        <v>1348</v>
      </c>
      <c r="R107" s="83">
        <v>43670</v>
      </c>
      <c r="S107" s="89">
        <v>48.22</v>
      </c>
      <c r="T107" s="22"/>
      <c r="U107" s="89" t="s">
        <v>1348</v>
      </c>
      <c r="V107" s="22" t="s">
        <v>1348</v>
      </c>
      <c r="W107" s="22" t="s">
        <v>1354</v>
      </c>
      <c r="X107" s="22"/>
      <c r="Y107" s="22"/>
      <c r="Z107" s="22"/>
      <c r="AA107" s="22"/>
      <c r="AB107" s="22"/>
      <c r="AC107" s="22"/>
      <c r="AD107" s="22"/>
      <c r="AE107" s="22"/>
    </row>
    <row r="108" spans="1:31" x14ac:dyDescent="0.25">
      <c r="A108" s="1" t="s">
        <v>0</v>
      </c>
      <c r="B108" s="1" t="s">
        <v>254</v>
      </c>
      <c r="C108" s="2" t="s">
        <v>335</v>
      </c>
      <c r="D108" s="1" t="s">
        <v>339</v>
      </c>
      <c r="E108" s="1"/>
      <c r="F108" s="3">
        <v>320</v>
      </c>
      <c r="G108" s="3">
        <v>153</v>
      </c>
      <c r="H108" s="4">
        <v>630</v>
      </c>
      <c r="I108" s="3">
        <v>292</v>
      </c>
      <c r="J108" s="3">
        <v>338</v>
      </c>
      <c r="K108" s="3">
        <v>124</v>
      </c>
      <c r="L108" s="3">
        <f t="shared" si="6"/>
        <v>19.682539682539684</v>
      </c>
      <c r="M108" s="3">
        <v>0</v>
      </c>
      <c r="N108" s="3">
        <f t="shared" si="7"/>
        <v>0</v>
      </c>
      <c r="O108" s="3">
        <v>0</v>
      </c>
      <c r="P108" s="15">
        <v>0</v>
      </c>
      <c r="Q108" s="22" t="s">
        <v>1348</v>
      </c>
      <c r="R108" s="83">
        <v>43663</v>
      </c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</row>
    <row r="109" spans="1:31" x14ac:dyDescent="0.25">
      <c r="A109" s="1" t="s">
        <v>0</v>
      </c>
      <c r="B109" s="1" t="s">
        <v>254</v>
      </c>
      <c r="C109" s="2" t="s">
        <v>335</v>
      </c>
      <c r="D109" s="1" t="s">
        <v>341</v>
      </c>
      <c r="E109" s="1"/>
      <c r="F109" s="3">
        <v>852.05</v>
      </c>
      <c r="G109" s="3">
        <v>435</v>
      </c>
      <c r="H109" s="4">
        <v>1836</v>
      </c>
      <c r="I109" s="3">
        <v>842</v>
      </c>
      <c r="J109" s="3">
        <v>994</v>
      </c>
      <c r="K109" s="3">
        <v>499</v>
      </c>
      <c r="L109" s="3">
        <f t="shared" si="6"/>
        <v>27.178649237472769</v>
      </c>
      <c r="M109" s="3">
        <v>5</v>
      </c>
      <c r="N109" s="3">
        <f t="shared" si="7"/>
        <v>0.27233115468409586</v>
      </c>
      <c r="O109" s="3">
        <v>22.01</v>
      </c>
      <c r="P109" s="15">
        <v>0</v>
      </c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>
        <v>3</v>
      </c>
      <c r="AC109" s="22" t="s">
        <v>1361</v>
      </c>
      <c r="AD109">
        <v>26.163753</v>
      </c>
      <c r="AE109">
        <v>73.969712999999999</v>
      </c>
    </row>
    <row r="110" spans="1:31" x14ac:dyDescent="0.25">
      <c r="A110" s="1" t="s">
        <v>0</v>
      </c>
      <c r="B110" s="1" t="s">
        <v>254</v>
      </c>
      <c r="C110" s="2" t="s">
        <v>335</v>
      </c>
      <c r="D110" s="1" t="s">
        <v>342</v>
      </c>
      <c r="E110" s="1"/>
      <c r="F110" s="3">
        <v>353.01</v>
      </c>
      <c r="G110" s="3">
        <v>201</v>
      </c>
      <c r="H110" s="4">
        <v>774</v>
      </c>
      <c r="I110" s="3">
        <v>363</v>
      </c>
      <c r="J110" s="3">
        <v>411</v>
      </c>
      <c r="K110" s="3">
        <v>279</v>
      </c>
      <c r="L110" s="3">
        <f t="shared" si="6"/>
        <v>36.046511627906973</v>
      </c>
      <c r="M110" s="3">
        <v>6</v>
      </c>
      <c r="N110" s="3">
        <f t="shared" si="7"/>
        <v>0.77519379844961245</v>
      </c>
      <c r="O110" s="3">
        <v>13.01</v>
      </c>
      <c r="P110" s="15">
        <v>0</v>
      </c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</row>
    <row r="111" spans="1:31" x14ac:dyDescent="0.25">
      <c r="A111" s="1" t="s">
        <v>0</v>
      </c>
      <c r="B111" s="1" t="s">
        <v>254</v>
      </c>
      <c r="C111" s="2" t="s">
        <v>373</v>
      </c>
      <c r="D111" s="1" t="s">
        <v>372</v>
      </c>
      <c r="E111" s="1"/>
      <c r="F111" s="3">
        <v>1799</v>
      </c>
      <c r="G111" s="3">
        <v>335</v>
      </c>
      <c r="H111" s="4">
        <v>1700</v>
      </c>
      <c r="I111" s="3">
        <v>904</v>
      </c>
      <c r="J111" s="3">
        <v>796</v>
      </c>
      <c r="K111" s="3">
        <v>203</v>
      </c>
      <c r="L111" s="3">
        <f t="shared" si="6"/>
        <v>11.941176470588236</v>
      </c>
      <c r="M111" s="3">
        <v>9</v>
      </c>
      <c r="N111" s="3">
        <f t="shared" si="7"/>
        <v>0.52941176470588236</v>
      </c>
      <c r="O111" s="3">
        <v>64</v>
      </c>
      <c r="P111" s="15">
        <v>0</v>
      </c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</row>
    <row r="112" spans="1:31" ht="15.75" x14ac:dyDescent="0.25">
      <c r="A112" s="1" t="s">
        <v>0</v>
      </c>
      <c r="B112" s="1" t="s">
        <v>254</v>
      </c>
      <c r="C112" s="2" t="s">
        <v>373</v>
      </c>
      <c r="D112" s="1" t="s">
        <v>374</v>
      </c>
      <c r="E112" s="1"/>
      <c r="F112" s="3">
        <v>5204</v>
      </c>
      <c r="G112" s="3">
        <v>605</v>
      </c>
      <c r="H112" s="4">
        <v>3155</v>
      </c>
      <c r="I112" s="3">
        <v>1660</v>
      </c>
      <c r="J112" s="3">
        <v>1495</v>
      </c>
      <c r="K112" s="3">
        <v>684</v>
      </c>
      <c r="L112" s="3">
        <f t="shared" si="6"/>
        <v>21.679873217115688</v>
      </c>
      <c r="M112" s="3">
        <v>9</v>
      </c>
      <c r="N112" s="3">
        <f t="shared" si="7"/>
        <v>0.28526148969889065</v>
      </c>
      <c r="O112" s="3">
        <v>229</v>
      </c>
      <c r="P112" s="15">
        <v>0</v>
      </c>
      <c r="Q112" s="22" t="s">
        <v>1348</v>
      </c>
      <c r="R112" s="83">
        <v>43693</v>
      </c>
      <c r="S112" s="89">
        <v>87.63</v>
      </c>
      <c r="T112" s="22"/>
      <c r="U112" s="89" t="s">
        <v>1348</v>
      </c>
      <c r="V112" s="22" t="s">
        <v>1348</v>
      </c>
      <c r="W112" s="22" t="s">
        <v>1354</v>
      </c>
      <c r="X112" s="22"/>
      <c r="Y112" s="22"/>
      <c r="Z112" s="22"/>
      <c r="AA112" s="22"/>
      <c r="AB112" s="22"/>
      <c r="AC112" s="22"/>
      <c r="AD112" s="22"/>
      <c r="AE112" s="22"/>
    </row>
    <row r="113" spans="1:31" x14ac:dyDescent="0.25">
      <c r="A113" s="1" t="s">
        <v>0</v>
      </c>
      <c r="B113" s="1" t="s">
        <v>254</v>
      </c>
      <c r="C113" s="2" t="s">
        <v>373</v>
      </c>
      <c r="D113" s="1" t="s">
        <v>375</v>
      </c>
      <c r="E113" s="1"/>
      <c r="F113" s="3">
        <v>410</v>
      </c>
      <c r="G113" s="3">
        <v>294</v>
      </c>
      <c r="H113" s="4">
        <v>1482</v>
      </c>
      <c r="I113" s="3">
        <v>791</v>
      </c>
      <c r="J113" s="3">
        <v>691</v>
      </c>
      <c r="K113" s="3">
        <v>196</v>
      </c>
      <c r="L113" s="3">
        <f t="shared" si="6"/>
        <v>13.225371120107962</v>
      </c>
      <c r="M113" s="3">
        <v>24</v>
      </c>
      <c r="N113" s="3">
        <f t="shared" si="7"/>
        <v>1.6194331983805668</v>
      </c>
      <c r="O113" s="3">
        <v>26</v>
      </c>
      <c r="P113" s="15">
        <v>0</v>
      </c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</row>
    <row r="114" spans="1:31" ht="15.75" x14ac:dyDescent="0.25">
      <c r="A114" s="1" t="s">
        <v>0</v>
      </c>
      <c r="B114" s="1" t="s">
        <v>254</v>
      </c>
      <c r="C114" s="2" t="s">
        <v>373</v>
      </c>
      <c r="D114" s="1" t="s">
        <v>378</v>
      </c>
      <c r="E114" s="1"/>
      <c r="F114" s="3">
        <v>161</v>
      </c>
      <c r="G114" s="3">
        <v>65</v>
      </c>
      <c r="H114" s="4">
        <v>341</v>
      </c>
      <c r="I114" s="3">
        <v>156</v>
      </c>
      <c r="J114" s="3">
        <v>185</v>
      </c>
      <c r="K114" s="3">
        <v>17</v>
      </c>
      <c r="L114" s="3">
        <f t="shared" si="6"/>
        <v>4.9853372434017595</v>
      </c>
      <c r="M114" s="3">
        <v>0</v>
      </c>
      <c r="N114" s="3">
        <f t="shared" si="7"/>
        <v>0</v>
      </c>
      <c r="O114" s="3">
        <v>0</v>
      </c>
      <c r="P114" s="15">
        <v>0</v>
      </c>
      <c r="Q114" s="22" t="s">
        <v>1348</v>
      </c>
      <c r="R114" s="83">
        <v>43823</v>
      </c>
      <c r="S114" s="89">
        <v>56</v>
      </c>
      <c r="T114" s="22"/>
      <c r="U114" s="89" t="s">
        <v>1348</v>
      </c>
      <c r="V114" s="22" t="s">
        <v>1348</v>
      </c>
      <c r="W114" s="22" t="s">
        <v>1354</v>
      </c>
      <c r="X114" s="22"/>
      <c r="Y114" s="22"/>
      <c r="Z114" s="22"/>
      <c r="AA114" s="22"/>
      <c r="AB114" s="22"/>
      <c r="AC114" s="22"/>
      <c r="AD114" s="22"/>
      <c r="AE114" s="22"/>
    </row>
    <row r="115" spans="1:31" x14ac:dyDescent="0.25">
      <c r="A115" s="1" t="s">
        <v>0</v>
      </c>
      <c r="B115" s="1" t="s">
        <v>254</v>
      </c>
      <c r="C115" s="2" t="s">
        <v>373</v>
      </c>
      <c r="D115" s="1" t="s">
        <v>379</v>
      </c>
      <c r="E115" s="1"/>
      <c r="F115" s="3">
        <v>54</v>
      </c>
      <c r="G115" s="3">
        <v>5</v>
      </c>
      <c r="H115" s="4">
        <v>23</v>
      </c>
      <c r="I115" s="3">
        <v>14</v>
      </c>
      <c r="J115" s="3">
        <v>9</v>
      </c>
      <c r="K115" s="3">
        <v>0</v>
      </c>
      <c r="L115" s="3">
        <f t="shared" si="6"/>
        <v>0</v>
      </c>
      <c r="M115" s="3">
        <v>0</v>
      </c>
      <c r="N115" s="3">
        <f t="shared" si="7"/>
        <v>0</v>
      </c>
      <c r="O115" s="3">
        <v>0</v>
      </c>
      <c r="P115" s="15">
        <v>0</v>
      </c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</row>
    <row r="116" spans="1:31" x14ac:dyDescent="0.25">
      <c r="A116" s="1" t="s">
        <v>0</v>
      </c>
      <c r="B116" s="1" t="s">
        <v>254</v>
      </c>
      <c r="C116" s="2" t="s">
        <v>389</v>
      </c>
      <c r="D116" s="1" t="s">
        <v>388</v>
      </c>
      <c r="E116" s="1"/>
      <c r="F116" s="3">
        <v>1414</v>
      </c>
      <c r="G116" s="3">
        <v>368</v>
      </c>
      <c r="H116" s="4">
        <v>1685</v>
      </c>
      <c r="I116" s="3">
        <v>834</v>
      </c>
      <c r="J116" s="3">
        <v>851</v>
      </c>
      <c r="K116" s="3">
        <v>368</v>
      </c>
      <c r="L116" s="3">
        <f t="shared" si="6"/>
        <v>21.839762611275965</v>
      </c>
      <c r="M116" s="3">
        <v>0</v>
      </c>
      <c r="N116" s="3">
        <f t="shared" si="7"/>
        <v>0</v>
      </c>
      <c r="O116" s="3">
        <v>328</v>
      </c>
      <c r="P116" s="15">
        <v>0</v>
      </c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</row>
    <row r="117" spans="1:31" ht="15.75" x14ac:dyDescent="0.25">
      <c r="A117" s="1" t="s">
        <v>0</v>
      </c>
      <c r="B117" s="1" t="s">
        <v>254</v>
      </c>
      <c r="C117" s="2" t="s">
        <v>389</v>
      </c>
      <c r="D117" s="1" t="s">
        <v>390</v>
      </c>
      <c r="E117" s="1"/>
      <c r="F117" s="3">
        <v>528</v>
      </c>
      <c r="G117" s="3">
        <v>104</v>
      </c>
      <c r="H117" s="4">
        <v>461</v>
      </c>
      <c r="I117" s="3">
        <v>218</v>
      </c>
      <c r="J117" s="3">
        <v>243</v>
      </c>
      <c r="K117" s="3">
        <v>202</v>
      </c>
      <c r="L117" s="3">
        <f t="shared" si="6"/>
        <v>43.817787418655094</v>
      </c>
      <c r="M117" s="3">
        <v>2</v>
      </c>
      <c r="N117" s="3">
        <f t="shared" si="7"/>
        <v>0.43383947939262474</v>
      </c>
      <c r="O117" s="3">
        <v>33</v>
      </c>
      <c r="P117" s="15">
        <v>0</v>
      </c>
      <c r="Q117" s="22" t="s">
        <v>1348</v>
      </c>
      <c r="R117" s="83">
        <v>43906</v>
      </c>
      <c r="S117" s="22">
        <v>33</v>
      </c>
      <c r="T117" s="22"/>
      <c r="U117" s="89" t="s">
        <v>1348</v>
      </c>
      <c r="V117" s="22" t="s">
        <v>1348</v>
      </c>
      <c r="W117" s="22" t="s">
        <v>1354</v>
      </c>
      <c r="X117" s="22"/>
      <c r="Y117" s="22"/>
      <c r="Z117" s="22"/>
      <c r="AA117" s="22"/>
      <c r="AB117" s="22"/>
      <c r="AC117" s="22"/>
      <c r="AD117" s="22"/>
      <c r="AE117" s="22"/>
    </row>
    <row r="118" spans="1:31" x14ac:dyDescent="0.25">
      <c r="A118" s="1" t="s">
        <v>0</v>
      </c>
      <c r="B118" s="1" t="s">
        <v>254</v>
      </c>
      <c r="C118" s="2" t="s">
        <v>389</v>
      </c>
      <c r="D118" s="1" t="s">
        <v>391</v>
      </c>
      <c r="E118" s="1"/>
      <c r="F118" s="3">
        <v>655</v>
      </c>
      <c r="G118" s="3">
        <v>164</v>
      </c>
      <c r="H118" s="4">
        <v>819</v>
      </c>
      <c r="I118" s="3">
        <v>407</v>
      </c>
      <c r="J118" s="3">
        <v>412</v>
      </c>
      <c r="K118" s="3">
        <v>331</v>
      </c>
      <c r="L118" s="3">
        <f t="shared" si="6"/>
        <v>40.415140415140414</v>
      </c>
      <c r="M118" s="3">
        <v>2</v>
      </c>
      <c r="N118" s="3">
        <f t="shared" si="7"/>
        <v>0.24420024420024419</v>
      </c>
      <c r="O118" s="3">
        <v>32</v>
      </c>
      <c r="P118" s="15">
        <v>0</v>
      </c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</row>
  </sheetData>
  <mergeCells count="3">
    <mergeCell ref="AD2:AE2"/>
    <mergeCell ref="M2:N2"/>
    <mergeCell ref="K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9"/>
  <sheetViews>
    <sheetView workbookViewId="0">
      <pane xSplit="10" ySplit="4" topLeftCell="O87" activePane="bottomRight" state="frozen"/>
      <selection pane="topRight" activeCell="K1" sqref="K1"/>
      <selection pane="bottomLeft" activeCell="A5" sqref="A5"/>
      <selection pane="bottomRight" activeCell="F87" sqref="F87"/>
    </sheetView>
  </sheetViews>
  <sheetFormatPr defaultRowHeight="15" x14ac:dyDescent="0.25"/>
  <cols>
    <col min="2" max="2" width="16.42578125" customWidth="1"/>
    <col min="3" max="3" width="23" customWidth="1"/>
    <col min="4" max="4" width="16.42578125" customWidth="1"/>
    <col min="18" max="18" width="12.85546875" style="99" customWidth="1"/>
  </cols>
  <sheetData>
    <row r="1" spans="1:31" ht="15.75" x14ac:dyDescent="0.25">
      <c r="A1" s="23"/>
      <c r="B1" s="23"/>
      <c r="C1" s="24"/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11" t="s">
        <v>1327</v>
      </c>
      <c r="R1" s="94" t="s">
        <v>1327</v>
      </c>
      <c r="S1" s="11" t="s">
        <v>1328</v>
      </c>
      <c r="T1" s="12" t="s">
        <v>1329</v>
      </c>
      <c r="U1" s="11" t="s">
        <v>1329</v>
      </c>
      <c r="V1" s="11" t="s">
        <v>1329</v>
      </c>
      <c r="W1" s="11" t="s">
        <v>1329</v>
      </c>
      <c r="X1" s="11" t="s">
        <v>1329</v>
      </c>
      <c r="Y1" s="11" t="s">
        <v>1329</v>
      </c>
      <c r="Z1" s="13" t="s">
        <v>1330</v>
      </c>
      <c r="AA1" s="13" t="s">
        <v>1330</v>
      </c>
      <c r="AB1" s="13" t="s">
        <v>1330</v>
      </c>
      <c r="AC1" s="13" t="s">
        <v>1330</v>
      </c>
      <c r="AD1" s="13" t="s">
        <v>1330</v>
      </c>
      <c r="AE1" s="13" t="s">
        <v>1330</v>
      </c>
    </row>
    <row r="2" spans="1:31" s="27" customFormat="1" ht="165" x14ac:dyDescent="0.25">
      <c r="A2" s="26" t="s">
        <v>1336</v>
      </c>
      <c r="B2" s="26" t="s">
        <v>1337</v>
      </c>
      <c r="C2" s="26" t="s">
        <v>1338</v>
      </c>
      <c r="D2" s="26" t="s">
        <v>1339</v>
      </c>
      <c r="E2" s="26" t="s">
        <v>1340</v>
      </c>
      <c r="F2" s="26" t="s">
        <v>1341</v>
      </c>
      <c r="G2" s="26" t="s">
        <v>1342</v>
      </c>
      <c r="H2" s="26" t="s">
        <v>1343</v>
      </c>
      <c r="I2" s="26" t="s">
        <v>1344</v>
      </c>
      <c r="J2" s="26" t="s">
        <v>1345</v>
      </c>
      <c r="K2" s="122" t="s">
        <v>1346</v>
      </c>
      <c r="L2" s="123"/>
      <c r="M2" s="122" t="s">
        <v>1347</v>
      </c>
      <c r="N2" s="123"/>
      <c r="O2" s="14" t="s">
        <v>1331</v>
      </c>
      <c r="P2" s="14" t="s">
        <v>1332</v>
      </c>
      <c r="Q2" s="6" t="s">
        <v>1307</v>
      </c>
      <c r="R2" s="95" t="s">
        <v>1308</v>
      </c>
      <c r="S2" s="6" t="s">
        <v>1309</v>
      </c>
      <c r="T2" s="7" t="s">
        <v>1310</v>
      </c>
      <c r="U2" s="6" t="s">
        <v>1311</v>
      </c>
      <c r="V2" s="7" t="s">
        <v>1312</v>
      </c>
      <c r="W2" s="6" t="s">
        <v>1313</v>
      </c>
      <c r="X2" s="6" t="s">
        <v>1314</v>
      </c>
      <c r="Y2" s="7" t="s">
        <v>1315</v>
      </c>
      <c r="Z2" s="7" t="s">
        <v>1316</v>
      </c>
      <c r="AA2" s="7" t="s">
        <v>1317</v>
      </c>
      <c r="AB2" s="7" t="s">
        <v>1318</v>
      </c>
      <c r="AC2" s="7" t="s">
        <v>1319</v>
      </c>
      <c r="AD2" s="121" t="s">
        <v>1320</v>
      </c>
      <c r="AE2" s="121"/>
    </row>
    <row r="3" spans="1:31" ht="31.5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8" t="s">
        <v>1333</v>
      </c>
      <c r="L3" s="8" t="s">
        <v>1334</v>
      </c>
      <c r="M3" s="8" t="s">
        <v>1333</v>
      </c>
      <c r="N3" s="8" t="s">
        <v>1334</v>
      </c>
      <c r="O3" s="14" t="s">
        <v>1335</v>
      </c>
      <c r="P3" s="14" t="s">
        <v>1335</v>
      </c>
      <c r="Q3" s="8" t="s">
        <v>1321</v>
      </c>
      <c r="R3" s="95" t="s">
        <v>1322</v>
      </c>
      <c r="S3" s="8" t="s">
        <v>1323</v>
      </c>
      <c r="T3" s="9" t="s">
        <v>1323</v>
      </c>
      <c r="U3" s="8" t="s">
        <v>1321</v>
      </c>
      <c r="V3" s="8" t="s">
        <v>1321</v>
      </c>
      <c r="W3" s="9" t="s">
        <v>1321</v>
      </c>
      <c r="X3" s="9" t="s">
        <v>1321</v>
      </c>
      <c r="Y3" s="9" t="s">
        <v>1323</v>
      </c>
      <c r="Z3" s="9" t="s">
        <v>1321</v>
      </c>
      <c r="AA3" s="9" t="s">
        <v>1321</v>
      </c>
      <c r="AB3" s="9" t="s">
        <v>1323</v>
      </c>
      <c r="AC3" s="8" t="s">
        <v>1324</v>
      </c>
      <c r="AD3" s="10" t="s">
        <v>1325</v>
      </c>
      <c r="AE3" s="10" t="s">
        <v>1326</v>
      </c>
    </row>
    <row r="4" spans="1:31" ht="15.75" x14ac:dyDescent="0.25">
      <c r="A4" s="1" t="s">
        <v>0</v>
      </c>
      <c r="B4" s="1" t="s">
        <v>401</v>
      </c>
      <c r="C4" s="2" t="s">
        <v>502</v>
      </c>
      <c r="D4" s="1" t="s">
        <v>501</v>
      </c>
      <c r="E4" s="1"/>
      <c r="F4" s="3">
        <v>454.94</v>
      </c>
      <c r="G4" s="3">
        <v>118</v>
      </c>
      <c r="H4" s="4">
        <v>541</v>
      </c>
      <c r="I4" s="3">
        <v>272</v>
      </c>
      <c r="J4" s="3">
        <v>269</v>
      </c>
      <c r="K4" s="3">
        <v>206</v>
      </c>
      <c r="L4" s="3">
        <f t="shared" ref="L4:L35" si="0">(K4/H4)*100</f>
        <v>38.077634011090574</v>
      </c>
      <c r="M4" s="3">
        <v>0</v>
      </c>
      <c r="N4" s="3">
        <f t="shared" ref="N4:N35" si="1">(M4/H4)*100</f>
        <v>0</v>
      </c>
      <c r="O4" s="3">
        <v>44.07</v>
      </c>
      <c r="P4" s="15">
        <v>0</v>
      </c>
      <c r="Q4" s="22" t="s">
        <v>1348</v>
      </c>
      <c r="R4" s="96">
        <v>43822</v>
      </c>
      <c r="S4" s="89">
        <v>16.11</v>
      </c>
      <c r="T4" s="22"/>
      <c r="U4" s="22" t="s">
        <v>1348</v>
      </c>
      <c r="V4" s="22" t="s">
        <v>1348</v>
      </c>
      <c r="W4" s="22" t="s">
        <v>1348</v>
      </c>
      <c r="X4" s="22"/>
      <c r="Y4" s="22"/>
      <c r="Z4" s="22"/>
      <c r="AA4" s="22"/>
      <c r="AB4" s="22"/>
      <c r="AC4" s="22"/>
      <c r="AD4" s="22"/>
      <c r="AE4" s="22"/>
    </row>
    <row r="5" spans="1:31" ht="15.75" x14ac:dyDescent="0.25">
      <c r="A5" s="1" t="s">
        <v>0</v>
      </c>
      <c r="B5" s="1" t="s">
        <v>401</v>
      </c>
      <c r="C5" s="2" t="s">
        <v>502</v>
      </c>
      <c r="D5" s="1" t="s">
        <v>503</v>
      </c>
      <c r="E5" s="1"/>
      <c r="F5" s="3">
        <v>1978.52</v>
      </c>
      <c r="G5" s="3">
        <v>911</v>
      </c>
      <c r="H5" s="4">
        <v>4108</v>
      </c>
      <c r="I5" s="3">
        <v>2077</v>
      </c>
      <c r="J5" s="3">
        <v>2031</v>
      </c>
      <c r="K5" s="3">
        <v>906</v>
      </c>
      <c r="L5" s="3">
        <f t="shared" si="0"/>
        <v>22.054527750730283</v>
      </c>
      <c r="M5" s="3">
        <v>87</v>
      </c>
      <c r="N5" s="3">
        <f t="shared" si="1"/>
        <v>2.1178188899707888</v>
      </c>
      <c r="O5" s="3">
        <v>2.37</v>
      </c>
      <c r="P5" s="15">
        <v>0</v>
      </c>
      <c r="Q5" s="22" t="s">
        <v>1348</v>
      </c>
      <c r="R5" s="96">
        <v>43757</v>
      </c>
      <c r="S5" s="89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</row>
    <row r="6" spans="1:31" ht="15.75" x14ac:dyDescent="0.25">
      <c r="A6" s="1" t="s">
        <v>0</v>
      </c>
      <c r="B6" s="1" t="s">
        <v>401</v>
      </c>
      <c r="C6" s="2" t="s">
        <v>502</v>
      </c>
      <c r="D6" s="1" t="s">
        <v>504</v>
      </c>
      <c r="E6" s="1"/>
      <c r="F6" s="3">
        <v>354.06</v>
      </c>
      <c r="G6" s="3">
        <v>80</v>
      </c>
      <c r="H6" s="4">
        <v>352</v>
      </c>
      <c r="I6" s="3">
        <v>176</v>
      </c>
      <c r="J6" s="3">
        <v>176</v>
      </c>
      <c r="K6" s="3">
        <v>151</v>
      </c>
      <c r="L6" s="3">
        <f t="shared" si="0"/>
        <v>42.897727272727273</v>
      </c>
      <c r="M6" s="3">
        <v>2</v>
      </c>
      <c r="N6" s="3">
        <f t="shared" si="1"/>
        <v>0.56818181818181823</v>
      </c>
      <c r="O6" s="3">
        <v>2.54</v>
      </c>
      <c r="P6" s="15">
        <v>0</v>
      </c>
      <c r="Q6" s="22" t="s">
        <v>1348</v>
      </c>
      <c r="R6" s="96">
        <v>43823</v>
      </c>
      <c r="S6" s="89">
        <v>32.71</v>
      </c>
      <c r="T6" s="22"/>
      <c r="U6" s="22" t="s">
        <v>1348</v>
      </c>
      <c r="V6" s="22" t="s">
        <v>1348</v>
      </c>
      <c r="W6" s="22" t="s">
        <v>1348</v>
      </c>
      <c r="X6" s="22"/>
      <c r="Y6" s="22"/>
      <c r="Z6" s="22"/>
      <c r="AA6" s="22"/>
      <c r="AB6" s="22"/>
      <c r="AC6" s="22"/>
      <c r="AD6" s="22"/>
      <c r="AE6" s="22"/>
    </row>
    <row r="7" spans="1:31" x14ac:dyDescent="0.25">
      <c r="A7" s="1" t="s">
        <v>0</v>
      </c>
      <c r="B7" s="1" t="s">
        <v>401</v>
      </c>
      <c r="C7" s="2" t="s">
        <v>502</v>
      </c>
      <c r="D7" s="1" t="s">
        <v>505</v>
      </c>
      <c r="E7" s="1"/>
      <c r="F7" s="3">
        <v>469.39</v>
      </c>
      <c r="G7" s="3">
        <v>59</v>
      </c>
      <c r="H7" s="4">
        <v>219</v>
      </c>
      <c r="I7" s="3">
        <v>94</v>
      </c>
      <c r="J7" s="3">
        <v>125</v>
      </c>
      <c r="K7" s="3">
        <v>1</v>
      </c>
      <c r="L7" s="3">
        <f t="shared" si="0"/>
        <v>0.45662100456621002</v>
      </c>
      <c r="M7" s="3">
        <v>0</v>
      </c>
      <c r="N7" s="3">
        <f t="shared" si="1"/>
        <v>0</v>
      </c>
      <c r="O7" s="3">
        <v>0</v>
      </c>
      <c r="P7" s="15">
        <v>0</v>
      </c>
      <c r="Q7" s="22"/>
      <c r="R7" s="97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</row>
    <row r="8" spans="1:31" ht="15.75" x14ac:dyDescent="0.25">
      <c r="A8" s="1" t="s">
        <v>0</v>
      </c>
      <c r="B8" s="1" t="s">
        <v>401</v>
      </c>
      <c r="C8" s="2" t="s">
        <v>502</v>
      </c>
      <c r="D8" s="1" t="s">
        <v>506</v>
      </c>
      <c r="E8" s="1"/>
      <c r="F8" s="3">
        <v>544</v>
      </c>
      <c r="G8" s="3">
        <v>122</v>
      </c>
      <c r="H8" s="4">
        <v>538</v>
      </c>
      <c r="I8" s="3">
        <v>264</v>
      </c>
      <c r="J8" s="3">
        <v>274</v>
      </c>
      <c r="K8" s="3">
        <v>507</v>
      </c>
      <c r="L8" s="3">
        <f t="shared" si="0"/>
        <v>94.237918215613377</v>
      </c>
      <c r="M8" s="3">
        <v>0</v>
      </c>
      <c r="N8" s="3">
        <f t="shared" si="1"/>
        <v>0</v>
      </c>
      <c r="O8" s="3">
        <v>65</v>
      </c>
      <c r="P8" s="15">
        <v>0</v>
      </c>
      <c r="Q8" s="22" t="s">
        <v>1348</v>
      </c>
      <c r="R8" s="96">
        <v>43864</v>
      </c>
      <c r="S8" s="89">
        <v>39.630000000000003</v>
      </c>
      <c r="T8" s="22"/>
      <c r="U8" s="22" t="s">
        <v>1348</v>
      </c>
      <c r="V8" s="22" t="s">
        <v>1348</v>
      </c>
      <c r="W8" s="22" t="s">
        <v>1348</v>
      </c>
      <c r="X8" s="22"/>
      <c r="Y8" s="22"/>
      <c r="Z8" s="22"/>
      <c r="AA8" s="22"/>
      <c r="AB8" s="22"/>
      <c r="AC8" s="22"/>
      <c r="AD8" s="22"/>
      <c r="AE8" s="22"/>
    </row>
    <row r="9" spans="1:31" ht="15.75" x14ac:dyDescent="0.25">
      <c r="A9" s="1" t="s">
        <v>0</v>
      </c>
      <c r="B9" s="1" t="s">
        <v>401</v>
      </c>
      <c r="C9" s="2" t="s">
        <v>502</v>
      </c>
      <c r="D9" s="1" t="s">
        <v>507</v>
      </c>
      <c r="E9" s="1"/>
      <c r="F9" s="3">
        <v>558.82000000000005</v>
      </c>
      <c r="G9" s="3">
        <v>101</v>
      </c>
      <c r="H9" s="4">
        <v>405</v>
      </c>
      <c r="I9" s="3">
        <v>197</v>
      </c>
      <c r="J9" s="3">
        <v>208</v>
      </c>
      <c r="K9" s="3">
        <v>75</v>
      </c>
      <c r="L9" s="3">
        <f t="shared" si="0"/>
        <v>18.518518518518519</v>
      </c>
      <c r="M9" s="3">
        <v>1</v>
      </c>
      <c r="N9" s="3">
        <f t="shared" si="1"/>
        <v>0.24691358024691357</v>
      </c>
      <c r="O9" s="3">
        <v>130.79</v>
      </c>
      <c r="P9" s="15">
        <v>0</v>
      </c>
      <c r="Q9" s="22" t="s">
        <v>1348</v>
      </c>
      <c r="R9" s="96">
        <v>43757</v>
      </c>
      <c r="S9" s="89">
        <v>116.13</v>
      </c>
      <c r="T9" s="22"/>
      <c r="U9" s="22" t="s">
        <v>1348</v>
      </c>
      <c r="V9" s="22" t="s">
        <v>1348</v>
      </c>
      <c r="W9" s="22" t="s">
        <v>1348</v>
      </c>
      <c r="X9" s="22"/>
      <c r="Y9" s="22"/>
      <c r="Z9" s="22"/>
      <c r="AA9" s="22"/>
      <c r="AB9" s="22"/>
      <c r="AC9" s="22"/>
      <c r="AD9" s="22"/>
      <c r="AE9" s="22"/>
    </row>
    <row r="10" spans="1:31" ht="15.75" x14ac:dyDescent="0.25">
      <c r="A10" s="1" t="s">
        <v>0</v>
      </c>
      <c r="B10" s="1" t="s">
        <v>401</v>
      </c>
      <c r="C10" s="2" t="s">
        <v>575</v>
      </c>
      <c r="D10" s="1" t="s">
        <v>574</v>
      </c>
      <c r="E10" s="1"/>
      <c r="F10" s="3">
        <v>384</v>
      </c>
      <c r="G10" s="3">
        <v>170</v>
      </c>
      <c r="H10" s="4">
        <v>813</v>
      </c>
      <c r="I10" s="3">
        <v>430</v>
      </c>
      <c r="J10" s="3">
        <v>383</v>
      </c>
      <c r="K10" s="3">
        <v>73</v>
      </c>
      <c r="L10" s="3">
        <f t="shared" si="0"/>
        <v>8.979089790897909</v>
      </c>
      <c r="M10" s="3">
        <v>67</v>
      </c>
      <c r="N10" s="3">
        <f t="shared" si="1"/>
        <v>8.2410824108241076</v>
      </c>
      <c r="O10" s="3">
        <v>67</v>
      </c>
      <c r="P10" s="15">
        <v>0</v>
      </c>
      <c r="Q10" s="22" t="s">
        <v>1348</v>
      </c>
      <c r="R10" s="96">
        <v>43477</v>
      </c>
      <c r="S10" s="89">
        <v>22.7</v>
      </c>
      <c r="T10" s="22"/>
      <c r="U10" s="22" t="s">
        <v>1348</v>
      </c>
      <c r="V10" s="22" t="s">
        <v>1348</v>
      </c>
      <c r="W10" s="22" t="s">
        <v>1348</v>
      </c>
      <c r="X10" s="22"/>
      <c r="Y10" s="22"/>
      <c r="Z10" s="22"/>
      <c r="AA10" s="22"/>
      <c r="AB10" s="22"/>
      <c r="AC10" s="22"/>
      <c r="AD10" s="22"/>
      <c r="AE10" s="22"/>
    </row>
    <row r="11" spans="1:31" x14ac:dyDescent="0.25">
      <c r="A11" s="1" t="s">
        <v>0</v>
      </c>
      <c r="B11" s="1" t="s">
        <v>401</v>
      </c>
      <c r="C11" s="2" t="s">
        <v>575</v>
      </c>
      <c r="D11" s="1" t="s">
        <v>576</v>
      </c>
      <c r="E11" s="1"/>
      <c r="F11" s="3">
        <v>259</v>
      </c>
      <c r="G11" s="3">
        <v>140</v>
      </c>
      <c r="H11" s="4">
        <v>756</v>
      </c>
      <c r="I11" s="3">
        <v>381</v>
      </c>
      <c r="J11" s="3">
        <v>375</v>
      </c>
      <c r="K11" s="3">
        <v>0</v>
      </c>
      <c r="L11" s="3">
        <f t="shared" si="0"/>
        <v>0</v>
      </c>
      <c r="M11" s="3">
        <v>0</v>
      </c>
      <c r="N11" s="3">
        <f t="shared" si="1"/>
        <v>0</v>
      </c>
      <c r="O11" s="3">
        <v>0</v>
      </c>
      <c r="P11" s="15">
        <v>6</v>
      </c>
      <c r="Q11" s="22"/>
      <c r="R11" s="97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x14ac:dyDescent="0.25">
      <c r="A12" s="1" t="s">
        <v>0</v>
      </c>
      <c r="B12" s="1" t="s">
        <v>401</v>
      </c>
      <c r="C12" s="2" t="s">
        <v>575</v>
      </c>
      <c r="D12" s="1" t="s">
        <v>577</v>
      </c>
      <c r="E12" s="1"/>
      <c r="F12" s="3">
        <v>225</v>
      </c>
      <c r="G12" s="3">
        <v>95</v>
      </c>
      <c r="H12" s="4">
        <v>442</v>
      </c>
      <c r="I12" s="3">
        <v>225</v>
      </c>
      <c r="J12" s="3">
        <v>217</v>
      </c>
      <c r="K12" s="3">
        <v>0</v>
      </c>
      <c r="L12" s="3">
        <f t="shared" si="0"/>
        <v>0</v>
      </c>
      <c r="M12" s="3">
        <v>0</v>
      </c>
      <c r="N12" s="3">
        <f t="shared" si="1"/>
        <v>0</v>
      </c>
      <c r="O12" s="3">
        <v>49</v>
      </c>
      <c r="P12" s="15">
        <v>7</v>
      </c>
      <c r="Q12" s="22"/>
      <c r="R12" s="97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 spans="1:31" x14ac:dyDescent="0.25">
      <c r="A13" s="1" t="s">
        <v>0</v>
      </c>
      <c r="B13" s="1" t="s">
        <v>401</v>
      </c>
      <c r="C13" s="2" t="s">
        <v>575</v>
      </c>
      <c r="D13" s="1" t="s">
        <v>578</v>
      </c>
      <c r="E13" s="1"/>
      <c r="F13" s="3">
        <v>245</v>
      </c>
      <c r="G13" s="3">
        <v>132</v>
      </c>
      <c r="H13" s="4">
        <v>619</v>
      </c>
      <c r="I13" s="3">
        <v>318</v>
      </c>
      <c r="J13" s="3">
        <v>301</v>
      </c>
      <c r="K13" s="3">
        <v>18</v>
      </c>
      <c r="L13" s="3">
        <f t="shared" si="0"/>
        <v>2.9079159935379644</v>
      </c>
      <c r="M13" s="3">
        <v>0</v>
      </c>
      <c r="N13" s="3">
        <f t="shared" si="1"/>
        <v>0</v>
      </c>
      <c r="O13" s="3">
        <v>0</v>
      </c>
      <c r="P13" s="15">
        <v>0</v>
      </c>
      <c r="Q13" s="22" t="s">
        <v>1348</v>
      </c>
      <c r="R13" s="96">
        <v>43508</v>
      </c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1:31" ht="15.75" x14ac:dyDescent="0.25">
      <c r="A14" s="1" t="s">
        <v>0</v>
      </c>
      <c r="B14" s="1" t="s">
        <v>401</v>
      </c>
      <c r="C14" s="2" t="s">
        <v>575</v>
      </c>
      <c r="D14" s="1" t="s">
        <v>585</v>
      </c>
      <c r="E14" s="1"/>
      <c r="F14" s="3">
        <v>297</v>
      </c>
      <c r="G14" s="3">
        <v>9</v>
      </c>
      <c r="H14" s="4">
        <v>58</v>
      </c>
      <c r="I14" s="3">
        <v>32</v>
      </c>
      <c r="J14" s="3">
        <v>26</v>
      </c>
      <c r="K14" s="3">
        <v>0</v>
      </c>
      <c r="L14" s="3">
        <f t="shared" si="0"/>
        <v>0</v>
      </c>
      <c r="M14" s="3">
        <v>9</v>
      </c>
      <c r="N14" s="3">
        <f t="shared" si="1"/>
        <v>15.517241379310345</v>
      </c>
      <c r="O14" s="3">
        <v>3</v>
      </c>
      <c r="P14" s="15">
        <v>255</v>
      </c>
      <c r="Q14" s="22" t="s">
        <v>1348</v>
      </c>
      <c r="R14" s="96">
        <v>43597</v>
      </c>
      <c r="S14" s="89">
        <v>29.43</v>
      </c>
      <c r="T14" s="22"/>
      <c r="U14" s="22" t="s">
        <v>1348</v>
      </c>
      <c r="V14" s="22" t="s">
        <v>1348</v>
      </c>
      <c r="W14" s="22" t="s">
        <v>1348</v>
      </c>
      <c r="X14" s="22"/>
      <c r="Y14" s="22"/>
      <c r="Z14" s="22"/>
      <c r="AA14" s="22"/>
      <c r="AB14" s="22"/>
      <c r="AC14" s="22"/>
      <c r="AD14" s="22"/>
      <c r="AE14" s="22"/>
    </row>
    <row r="15" spans="1:31" x14ac:dyDescent="0.25">
      <c r="A15" s="1" t="s">
        <v>0</v>
      </c>
      <c r="B15" s="1" t="s">
        <v>401</v>
      </c>
      <c r="C15" s="2" t="s">
        <v>575</v>
      </c>
      <c r="D15" s="1" t="s">
        <v>595</v>
      </c>
      <c r="E15" s="1"/>
      <c r="F15" s="3">
        <v>98</v>
      </c>
      <c r="G15" s="3">
        <v>117</v>
      </c>
      <c r="H15" s="4">
        <v>570</v>
      </c>
      <c r="I15" s="3">
        <v>268</v>
      </c>
      <c r="J15" s="3">
        <v>302</v>
      </c>
      <c r="K15" s="3">
        <v>0</v>
      </c>
      <c r="L15" s="3">
        <f t="shared" si="0"/>
        <v>0</v>
      </c>
      <c r="M15" s="3">
        <v>0</v>
      </c>
      <c r="N15" s="3">
        <f t="shared" si="1"/>
        <v>0</v>
      </c>
      <c r="O15" s="3">
        <v>25</v>
      </c>
      <c r="P15" s="15">
        <v>22</v>
      </c>
      <c r="Q15" s="22" t="s">
        <v>1348</v>
      </c>
      <c r="R15" s="96">
        <v>43824</v>
      </c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 spans="1:31" x14ac:dyDescent="0.25">
      <c r="A16" s="1" t="s">
        <v>0</v>
      </c>
      <c r="B16" s="1" t="s">
        <v>401</v>
      </c>
      <c r="C16" s="2" t="s">
        <v>575</v>
      </c>
      <c r="D16" s="1" t="s">
        <v>596</v>
      </c>
      <c r="E16" s="1"/>
      <c r="F16" s="3">
        <v>570</v>
      </c>
      <c r="G16" s="3">
        <v>59</v>
      </c>
      <c r="H16" s="4">
        <v>287</v>
      </c>
      <c r="I16" s="3">
        <v>158</v>
      </c>
      <c r="J16" s="3">
        <v>129</v>
      </c>
      <c r="K16" s="3">
        <v>0</v>
      </c>
      <c r="L16" s="3">
        <f t="shared" si="0"/>
        <v>0</v>
      </c>
      <c r="M16" s="3">
        <v>26</v>
      </c>
      <c r="N16" s="3">
        <f t="shared" si="1"/>
        <v>9.0592334494773521</v>
      </c>
      <c r="O16" s="3">
        <v>5</v>
      </c>
      <c r="P16" s="15">
        <v>437</v>
      </c>
      <c r="Q16" s="22" t="s">
        <v>1348</v>
      </c>
      <c r="R16" s="96">
        <v>43567</v>
      </c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1:31" x14ac:dyDescent="0.25">
      <c r="A17" s="1" t="s">
        <v>0</v>
      </c>
      <c r="B17" s="1" t="s">
        <v>401</v>
      </c>
      <c r="C17" s="2" t="s">
        <v>575</v>
      </c>
      <c r="D17" s="1" t="s">
        <v>597</v>
      </c>
      <c r="E17" s="1"/>
      <c r="F17" s="3">
        <v>52</v>
      </c>
      <c r="G17" s="3">
        <v>84</v>
      </c>
      <c r="H17" s="4">
        <v>407</v>
      </c>
      <c r="I17" s="3">
        <v>213</v>
      </c>
      <c r="J17" s="3">
        <v>194</v>
      </c>
      <c r="K17" s="3">
        <v>0</v>
      </c>
      <c r="L17" s="3">
        <f t="shared" si="0"/>
        <v>0</v>
      </c>
      <c r="M17" s="3">
        <v>0</v>
      </c>
      <c r="N17" s="3">
        <f t="shared" si="1"/>
        <v>0</v>
      </c>
      <c r="O17" s="3">
        <v>3</v>
      </c>
      <c r="P17" s="15">
        <v>0</v>
      </c>
      <c r="Q17" s="22"/>
      <c r="R17" s="97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 spans="1:31" x14ac:dyDescent="0.25">
      <c r="A18" s="1" t="s">
        <v>0</v>
      </c>
      <c r="B18" s="1" t="s">
        <v>401</v>
      </c>
      <c r="C18" s="2" t="s">
        <v>575</v>
      </c>
      <c r="D18" s="1" t="s">
        <v>598</v>
      </c>
      <c r="E18" s="1"/>
      <c r="F18" s="3">
        <v>560</v>
      </c>
      <c r="G18" s="3">
        <v>31</v>
      </c>
      <c r="H18" s="4">
        <v>150</v>
      </c>
      <c r="I18" s="3">
        <v>78</v>
      </c>
      <c r="J18" s="3">
        <v>72</v>
      </c>
      <c r="K18" s="3">
        <v>0</v>
      </c>
      <c r="L18" s="3">
        <f t="shared" si="0"/>
        <v>0</v>
      </c>
      <c r="M18" s="3">
        <v>0</v>
      </c>
      <c r="N18" s="3">
        <f t="shared" si="1"/>
        <v>0</v>
      </c>
      <c r="O18" s="3">
        <v>2</v>
      </c>
      <c r="P18" s="15">
        <v>492</v>
      </c>
      <c r="Q18" s="22" t="s">
        <v>1348</v>
      </c>
      <c r="R18" s="96">
        <v>43536</v>
      </c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1:31" ht="15.75" x14ac:dyDescent="0.25">
      <c r="A19" s="1" t="s">
        <v>0</v>
      </c>
      <c r="B19" s="1" t="s">
        <v>401</v>
      </c>
      <c r="C19" s="2" t="s">
        <v>575</v>
      </c>
      <c r="D19" s="1" t="s">
        <v>599</v>
      </c>
      <c r="E19" s="1"/>
      <c r="F19" s="3">
        <v>1529</v>
      </c>
      <c r="G19" s="3">
        <v>272</v>
      </c>
      <c r="H19" s="4">
        <v>1351</v>
      </c>
      <c r="I19" s="3">
        <v>688</v>
      </c>
      <c r="J19" s="3">
        <v>663</v>
      </c>
      <c r="K19" s="3">
        <v>284</v>
      </c>
      <c r="L19" s="3">
        <f t="shared" si="0"/>
        <v>21.021465581051075</v>
      </c>
      <c r="M19" s="3">
        <v>385</v>
      </c>
      <c r="N19" s="3">
        <f t="shared" si="1"/>
        <v>28.497409326424872</v>
      </c>
      <c r="O19" s="3">
        <v>87</v>
      </c>
      <c r="P19" s="15">
        <v>994</v>
      </c>
      <c r="Q19" s="22" t="s">
        <v>1348</v>
      </c>
      <c r="R19" s="96">
        <v>43813</v>
      </c>
      <c r="S19" s="89">
        <v>127.1</v>
      </c>
      <c r="T19" s="22"/>
      <c r="U19" s="22" t="s">
        <v>1348</v>
      </c>
      <c r="V19" s="22" t="s">
        <v>1348</v>
      </c>
      <c r="W19" s="22" t="s">
        <v>1348</v>
      </c>
      <c r="X19" s="22"/>
      <c r="Y19" s="22"/>
      <c r="Z19" s="22"/>
      <c r="AA19" s="22"/>
      <c r="AB19" s="22"/>
      <c r="AC19" s="22"/>
      <c r="AD19" s="22"/>
      <c r="AE19" s="22"/>
    </row>
    <row r="20" spans="1:31" ht="15.75" x14ac:dyDescent="0.25">
      <c r="A20" s="1" t="s">
        <v>0</v>
      </c>
      <c r="B20" s="1" t="s">
        <v>401</v>
      </c>
      <c r="C20" s="2" t="s">
        <v>519</v>
      </c>
      <c r="D20" s="1" t="s">
        <v>518</v>
      </c>
      <c r="E20" s="1"/>
      <c r="F20" s="3">
        <v>4403</v>
      </c>
      <c r="G20" s="3">
        <v>1015</v>
      </c>
      <c r="H20" s="4">
        <v>4598</v>
      </c>
      <c r="I20" s="3">
        <v>2342</v>
      </c>
      <c r="J20" s="3">
        <v>2256</v>
      </c>
      <c r="K20" s="3">
        <v>983</v>
      </c>
      <c r="L20" s="3">
        <f t="shared" si="0"/>
        <v>21.378860374075686</v>
      </c>
      <c r="M20" s="3">
        <v>37</v>
      </c>
      <c r="N20" s="3">
        <f t="shared" si="1"/>
        <v>0.80469769464984775</v>
      </c>
      <c r="O20" s="3">
        <v>137</v>
      </c>
      <c r="P20" s="15">
        <v>0</v>
      </c>
      <c r="Q20" s="22" t="s">
        <v>1348</v>
      </c>
      <c r="R20" s="96">
        <v>43825</v>
      </c>
      <c r="S20" s="89">
        <v>23.08</v>
      </c>
      <c r="T20" s="22"/>
      <c r="U20" s="22" t="s">
        <v>1348</v>
      </c>
      <c r="V20" s="22" t="s">
        <v>1348</v>
      </c>
      <c r="W20" s="22" t="s">
        <v>1348</v>
      </c>
      <c r="X20" s="22"/>
      <c r="Y20" s="22"/>
      <c r="Z20" s="22"/>
      <c r="AA20" s="22"/>
      <c r="AB20" s="22"/>
      <c r="AC20" s="22"/>
      <c r="AD20" s="22"/>
      <c r="AE20" s="22"/>
    </row>
    <row r="21" spans="1:31" ht="15.75" x14ac:dyDescent="0.25">
      <c r="A21" s="1" t="s">
        <v>0</v>
      </c>
      <c r="B21" s="1" t="s">
        <v>401</v>
      </c>
      <c r="C21" s="2" t="s">
        <v>409</v>
      </c>
      <c r="D21" s="1" t="s">
        <v>408</v>
      </c>
      <c r="E21" s="1"/>
      <c r="F21" s="3">
        <v>970.74</v>
      </c>
      <c r="G21" s="3">
        <v>63</v>
      </c>
      <c r="H21" s="4">
        <v>315</v>
      </c>
      <c r="I21" s="3">
        <v>154</v>
      </c>
      <c r="J21" s="3">
        <v>161</v>
      </c>
      <c r="K21" s="3">
        <v>57</v>
      </c>
      <c r="L21" s="3">
        <f t="shared" si="0"/>
        <v>18.095238095238095</v>
      </c>
      <c r="M21" s="3">
        <v>0</v>
      </c>
      <c r="N21" s="3">
        <f t="shared" si="1"/>
        <v>0</v>
      </c>
      <c r="O21" s="3">
        <v>101.15</v>
      </c>
      <c r="P21" s="15">
        <v>0</v>
      </c>
      <c r="Q21" s="22" t="s">
        <v>1348</v>
      </c>
      <c r="R21" s="96">
        <v>43675</v>
      </c>
      <c r="S21" s="89">
        <v>55.28</v>
      </c>
      <c r="T21" s="22"/>
      <c r="U21" s="22" t="s">
        <v>1348</v>
      </c>
      <c r="V21" s="22" t="s">
        <v>1348</v>
      </c>
      <c r="W21" s="22" t="s">
        <v>1348</v>
      </c>
      <c r="X21" s="22"/>
      <c r="Y21" s="22"/>
      <c r="Z21" s="22"/>
      <c r="AA21" s="22"/>
      <c r="AB21" s="22"/>
      <c r="AC21" s="22"/>
      <c r="AD21" s="22"/>
      <c r="AE21" s="22"/>
    </row>
    <row r="22" spans="1:31" ht="15.75" x14ac:dyDescent="0.25">
      <c r="A22" s="1" t="s">
        <v>0</v>
      </c>
      <c r="B22" s="1" t="s">
        <v>401</v>
      </c>
      <c r="C22" s="2" t="s">
        <v>409</v>
      </c>
      <c r="D22" s="1" t="s">
        <v>422</v>
      </c>
      <c r="E22" s="1"/>
      <c r="F22" s="3">
        <v>896.48</v>
      </c>
      <c r="G22" s="3">
        <v>165</v>
      </c>
      <c r="H22" s="4">
        <v>660</v>
      </c>
      <c r="I22" s="3">
        <v>330</v>
      </c>
      <c r="J22" s="3">
        <v>330</v>
      </c>
      <c r="K22" s="3">
        <v>145</v>
      </c>
      <c r="L22" s="3">
        <f t="shared" si="0"/>
        <v>21.969696969696969</v>
      </c>
      <c r="M22" s="3">
        <v>0</v>
      </c>
      <c r="N22" s="3">
        <f t="shared" si="1"/>
        <v>0</v>
      </c>
      <c r="O22" s="3">
        <v>89.69</v>
      </c>
      <c r="P22" s="15">
        <v>0</v>
      </c>
      <c r="Q22" s="22" t="s">
        <v>1348</v>
      </c>
      <c r="R22" s="96">
        <v>43674</v>
      </c>
      <c r="S22" s="89">
        <v>18.440000000000001</v>
      </c>
      <c r="T22" s="22"/>
      <c r="U22" s="22" t="s">
        <v>1348</v>
      </c>
      <c r="V22" s="22" t="s">
        <v>1348</v>
      </c>
      <c r="W22" s="22" t="s">
        <v>1348</v>
      </c>
      <c r="X22" s="22"/>
      <c r="Y22" s="22"/>
      <c r="Z22" s="22"/>
      <c r="AA22" s="22"/>
      <c r="AB22" s="22"/>
      <c r="AC22" s="22"/>
      <c r="AD22" s="22"/>
      <c r="AE22" s="22"/>
    </row>
    <row r="23" spans="1:31" ht="15.75" x14ac:dyDescent="0.25">
      <c r="A23" s="1" t="s">
        <v>0</v>
      </c>
      <c r="B23" s="1" t="s">
        <v>401</v>
      </c>
      <c r="C23" s="2" t="s">
        <v>409</v>
      </c>
      <c r="D23" s="1" t="s">
        <v>427</v>
      </c>
      <c r="E23" s="1"/>
      <c r="F23" s="3">
        <v>1713.23</v>
      </c>
      <c r="G23" s="3">
        <v>395</v>
      </c>
      <c r="H23" s="4">
        <v>1598</v>
      </c>
      <c r="I23" s="3">
        <v>744</v>
      </c>
      <c r="J23" s="3">
        <v>854</v>
      </c>
      <c r="K23" s="3">
        <v>612</v>
      </c>
      <c r="L23" s="3">
        <f t="shared" si="0"/>
        <v>38.297872340425535</v>
      </c>
      <c r="M23" s="3">
        <v>1</v>
      </c>
      <c r="N23" s="3">
        <f t="shared" si="1"/>
        <v>6.2578222778473094E-2</v>
      </c>
      <c r="O23" s="3">
        <v>153.22999999999999</v>
      </c>
      <c r="P23" s="15">
        <v>0</v>
      </c>
      <c r="Q23" s="22" t="s">
        <v>1348</v>
      </c>
      <c r="R23" s="96">
        <v>43672</v>
      </c>
      <c r="S23" s="89">
        <v>126.34</v>
      </c>
      <c r="T23" s="22"/>
      <c r="U23" s="22" t="s">
        <v>1348</v>
      </c>
      <c r="V23" s="22" t="s">
        <v>1348</v>
      </c>
      <c r="W23" s="22" t="s">
        <v>1348</v>
      </c>
      <c r="X23" s="22"/>
      <c r="Y23" s="22"/>
      <c r="Z23" s="22"/>
      <c r="AA23" s="22"/>
      <c r="AB23" s="22"/>
      <c r="AC23" s="22"/>
      <c r="AD23" s="22"/>
      <c r="AE23" s="22"/>
    </row>
    <row r="24" spans="1:31" ht="15.75" x14ac:dyDescent="0.25">
      <c r="A24" s="1" t="s">
        <v>0</v>
      </c>
      <c r="B24" s="1" t="s">
        <v>401</v>
      </c>
      <c r="C24" s="2" t="s">
        <v>566</v>
      </c>
      <c r="D24" s="1" t="s">
        <v>565</v>
      </c>
      <c r="E24" s="1"/>
      <c r="F24" s="3">
        <v>184.23</v>
      </c>
      <c r="G24" s="3">
        <v>113</v>
      </c>
      <c r="H24" s="4">
        <v>473</v>
      </c>
      <c r="I24" s="3">
        <v>218</v>
      </c>
      <c r="J24" s="3">
        <v>255</v>
      </c>
      <c r="K24" s="3">
        <v>62</v>
      </c>
      <c r="L24" s="3">
        <f t="shared" si="0"/>
        <v>13.107822410147993</v>
      </c>
      <c r="M24" s="3">
        <v>0</v>
      </c>
      <c r="N24" s="3">
        <f t="shared" si="1"/>
        <v>0</v>
      </c>
      <c r="O24" s="3">
        <v>17.809999999999999</v>
      </c>
      <c r="P24" s="15">
        <v>0</v>
      </c>
      <c r="Q24" s="22" t="s">
        <v>1348</v>
      </c>
      <c r="R24" s="96">
        <v>43750</v>
      </c>
      <c r="S24" s="89">
        <v>13.94</v>
      </c>
      <c r="T24" s="22"/>
      <c r="U24" s="22" t="s">
        <v>1348</v>
      </c>
      <c r="V24" s="22" t="s">
        <v>1348</v>
      </c>
      <c r="W24" s="22" t="s">
        <v>1348</v>
      </c>
      <c r="X24" s="22"/>
      <c r="Y24" s="22"/>
      <c r="Z24" s="22"/>
      <c r="AA24" s="22"/>
      <c r="AB24" s="22"/>
      <c r="AC24" s="22"/>
      <c r="AD24" s="22"/>
      <c r="AE24" s="22"/>
    </row>
    <row r="25" spans="1:31" ht="15.75" x14ac:dyDescent="0.25">
      <c r="A25" s="1" t="s">
        <v>0</v>
      </c>
      <c r="B25" s="1" t="s">
        <v>401</v>
      </c>
      <c r="C25" s="2" t="s">
        <v>566</v>
      </c>
      <c r="D25" s="1" t="s">
        <v>567</v>
      </c>
      <c r="E25" s="1"/>
      <c r="F25" s="3">
        <v>622.78</v>
      </c>
      <c r="G25" s="3">
        <v>253</v>
      </c>
      <c r="H25" s="4">
        <v>929</v>
      </c>
      <c r="I25" s="3">
        <v>433</v>
      </c>
      <c r="J25" s="3">
        <v>496</v>
      </c>
      <c r="K25" s="3">
        <v>171</v>
      </c>
      <c r="L25" s="3">
        <f t="shared" si="0"/>
        <v>18.406889128094726</v>
      </c>
      <c r="M25" s="3">
        <v>43</v>
      </c>
      <c r="N25" s="3">
        <f t="shared" si="1"/>
        <v>4.6286329386437028</v>
      </c>
      <c r="O25" s="3">
        <v>11.33</v>
      </c>
      <c r="P25" s="15">
        <v>0</v>
      </c>
      <c r="Q25" s="22" t="s">
        <v>1348</v>
      </c>
      <c r="R25" s="96">
        <v>43720</v>
      </c>
      <c r="S25" s="89">
        <v>33.47</v>
      </c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</row>
    <row r="26" spans="1:31" ht="15.75" x14ac:dyDescent="0.25">
      <c r="A26" s="1" t="s">
        <v>0</v>
      </c>
      <c r="B26" s="1" t="s">
        <v>401</v>
      </c>
      <c r="C26" s="2" t="s">
        <v>566</v>
      </c>
      <c r="D26" s="1" t="s">
        <v>568</v>
      </c>
      <c r="E26" s="1"/>
      <c r="F26" s="3">
        <v>339</v>
      </c>
      <c r="G26" s="3">
        <v>177</v>
      </c>
      <c r="H26" s="4">
        <v>693</v>
      </c>
      <c r="I26" s="3">
        <v>300</v>
      </c>
      <c r="J26" s="3">
        <v>393</v>
      </c>
      <c r="K26" s="3">
        <v>92</v>
      </c>
      <c r="L26" s="3">
        <f t="shared" si="0"/>
        <v>13.275613275613276</v>
      </c>
      <c r="M26" s="3">
        <v>0</v>
      </c>
      <c r="N26" s="3">
        <f t="shared" si="1"/>
        <v>0</v>
      </c>
      <c r="O26" s="3">
        <v>0</v>
      </c>
      <c r="P26" s="15">
        <v>0</v>
      </c>
      <c r="Q26" s="22" t="s">
        <v>1348</v>
      </c>
      <c r="R26" s="96">
        <v>43658</v>
      </c>
      <c r="S26" s="89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</row>
    <row r="27" spans="1:31" ht="15.75" x14ac:dyDescent="0.25">
      <c r="A27" s="1" t="s">
        <v>0</v>
      </c>
      <c r="B27" s="1" t="s">
        <v>401</v>
      </c>
      <c r="C27" s="2" t="s">
        <v>566</v>
      </c>
      <c r="D27" s="1" t="s">
        <v>572</v>
      </c>
      <c r="E27" s="1"/>
      <c r="F27" s="3">
        <v>221</v>
      </c>
      <c r="G27" s="3">
        <v>17</v>
      </c>
      <c r="H27" s="4">
        <v>94</v>
      </c>
      <c r="I27" s="3">
        <v>42</v>
      </c>
      <c r="J27" s="3">
        <v>52</v>
      </c>
      <c r="K27" s="3">
        <v>4</v>
      </c>
      <c r="L27" s="3">
        <f t="shared" si="0"/>
        <v>4.2553191489361701</v>
      </c>
      <c r="M27" s="3">
        <v>0</v>
      </c>
      <c r="N27" s="3">
        <f t="shared" si="1"/>
        <v>0</v>
      </c>
      <c r="O27" s="3">
        <v>14</v>
      </c>
      <c r="P27" s="15">
        <v>0</v>
      </c>
      <c r="Q27" s="22"/>
      <c r="R27" s="98"/>
      <c r="S27" s="89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 spans="1:31" ht="15.75" x14ac:dyDescent="0.25">
      <c r="A28" s="1" t="s">
        <v>0</v>
      </c>
      <c r="B28" s="1" t="s">
        <v>401</v>
      </c>
      <c r="C28" s="2" t="s">
        <v>566</v>
      </c>
      <c r="D28" s="1" t="s">
        <v>573</v>
      </c>
      <c r="E28" s="1"/>
      <c r="F28" s="3">
        <v>668</v>
      </c>
      <c r="G28" s="3">
        <v>259</v>
      </c>
      <c r="H28" s="4">
        <v>1087</v>
      </c>
      <c r="I28" s="3">
        <v>535</v>
      </c>
      <c r="J28" s="3">
        <v>552</v>
      </c>
      <c r="K28" s="3">
        <v>62</v>
      </c>
      <c r="L28" s="3">
        <f t="shared" si="0"/>
        <v>5.703771849126035</v>
      </c>
      <c r="M28" s="3">
        <v>294</v>
      </c>
      <c r="N28" s="3">
        <f t="shared" si="1"/>
        <v>27.04691812327507</v>
      </c>
      <c r="O28" s="3">
        <v>22</v>
      </c>
      <c r="P28" s="15">
        <v>0</v>
      </c>
      <c r="Q28" s="22" t="s">
        <v>1348</v>
      </c>
      <c r="R28" s="96">
        <v>43811</v>
      </c>
      <c r="S28" s="89">
        <v>45.94</v>
      </c>
      <c r="T28" s="22"/>
      <c r="U28" s="22" t="s">
        <v>1348</v>
      </c>
      <c r="V28" s="22" t="s">
        <v>1348</v>
      </c>
      <c r="W28" s="22" t="s">
        <v>1348</v>
      </c>
      <c r="X28" s="22"/>
      <c r="Y28" s="22"/>
      <c r="Z28" s="22"/>
      <c r="AA28" s="22"/>
      <c r="AB28" s="22"/>
      <c r="AC28" s="22"/>
      <c r="AD28" s="22"/>
      <c r="AE28" s="22"/>
    </row>
    <row r="29" spans="1:31" ht="15.75" x14ac:dyDescent="0.25">
      <c r="A29" s="1" t="s">
        <v>0</v>
      </c>
      <c r="B29" s="1" t="s">
        <v>401</v>
      </c>
      <c r="C29" s="2" t="s">
        <v>566</v>
      </c>
      <c r="D29" s="1" t="s">
        <v>584</v>
      </c>
      <c r="E29" s="1"/>
      <c r="F29" s="3">
        <v>540.82000000000005</v>
      </c>
      <c r="G29" s="3">
        <v>139</v>
      </c>
      <c r="H29" s="4">
        <v>604</v>
      </c>
      <c r="I29" s="3">
        <v>287</v>
      </c>
      <c r="J29" s="3">
        <v>317</v>
      </c>
      <c r="K29" s="3">
        <v>16</v>
      </c>
      <c r="L29" s="3">
        <f t="shared" si="0"/>
        <v>2.6490066225165565</v>
      </c>
      <c r="M29" s="3">
        <v>0</v>
      </c>
      <c r="N29" s="3">
        <f t="shared" si="1"/>
        <v>0</v>
      </c>
      <c r="O29" s="3">
        <v>11.96</v>
      </c>
      <c r="P29" s="15">
        <v>0</v>
      </c>
      <c r="Q29" s="22" t="s">
        <v>1348</v>
      </c>
      <c r="R29" s="96">
        <v>43689</v>
      </c>
      <c r="S29" s="89">
        <v>84.53</v>
      </c>
      <c r="T29" s="22"/>
      <c r="U29" s="22" t="s">
        <v>1348</v>
      </c>
      <c r="V29" s="22" t="s">
        <v>1348</v>
      </c>
      <c r="W29" s="22" t="s">
        <v>1348</v>
      </c>
      <c r="X29" s="22"/>
      <c r="Y29" s="22"/>
      <c r="Z29" s="22"/>
      <c r="AA29" s="22"/>
      <c r="AB29" s="22"/>
      <c r="AC29" s="22"/>
      <c r="AD29" s="22"/>
      <c r="AE29" s="22"/>
    </row>
    <row r="30" spans="1:31" x14ac:dyDescent="0.25">
      <c r="A30" s="1" t="s">
        <v>0</v>
      </c>
      <c r="B30" s="1" t="s">
        <v>401</v>
      </c>
      <c r="C30" s="2" t="s">
        <v>580</v>
      </c>
      <c r="D30" s="1" t="s">
        <v>579</v>
      </c>
      <c r="E30" s="1"/>
      <c r="F30" s="3">
        <v>152</v>
      </c>
      <c r="G30" s="3">
        <v>65</v>
      </c>
      <c r="H30" s="4">
        <v>313</v>
      </c>
      <c r="I30" s="3">
        <v>170</v>
      </c>
      <c r="J30" s="3">
        <v>143</v>
      </c>
      <c r="K30" s="3">
        <v>0</v>
      </c>
      <c r="L30" s="3">
        <f t="shared" si="0"/>
        <v>0</v>
      </c>
      <c r="M30" s="3">
        <v>0</v>
      </c>
      <c r="N30" s="3">
        <f t="shared" si="1"/>
        <v>0</v>
      </c>
      <c r="O30" s="3">
        <v>0</v>
      </c>
      <c r="P30" s="15">
        <v>0</v>
      </c>
      <c r="Q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</row>
    <row r="31" spans="1:31" x14ac:dyDescent="0.25">
      <c r="A31" s="1" t="s">
        <v>0</v>
      </c>
      <c r="B31" s="1" t="s">
        <v>401</v>
      </c>
      <c r="C31" s="2" t="s">
        <v>580</v>
      </c>
      <c r="D31" s="1" t="s">
        <v>581</v>
      </c>
      <c r="E31" s="1"/>
      <c r="F31" s="3">
        <v>84</v>
      </c>
      <c r="G31" s="3">
        <v>58</v>
      </c>
      <c r="H31" s="4">
        <v>235</v>
      </c>
      <c r="I31" s="3">
        <v>104</v>
      </c>
      <c r="J31" s="3">
        <v>131</v>
      </c>
      <c r="K31" s="3">
        <v>0</v>
      </c>
      <c r="L31" s="3">
        <f t="shared" si="0"/>
        <v>0</v>
      </c>
      <c r="M31" s="3">
        <v>0</v>
      </c>
      <c r="N31" s="3">
        <f t="shared" si="1"/>
        <v>0</v>
      </c>
      <c r="O31" s="3">
        <v>0</v>
      </c>
      <c r="P31" s="15">
        <v>0</v>
      </c>
      <c r="Q31" s="22"/>
      <c r="R31" s="97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 spans="1:31" x14ac:dyDescent="0.25">
      <c r="A32" s="1" t="s">
        <v>0</v>
      </c>
      <c r="B32" s="1" t="s">
        <v>401</v>
      </c>
      <c r="C32" s="2" t="s">
        <v>580</v>
      </c>
      <c r="D32" s="1" t="s">
        <v>60</v>
      </c>
      <c r="E32" s="1"/>
      <c r="F32" s="3">
        <v>569</v>
      </c>
      <c r="G32" s="3">
        <v>92</v>
      </c>
      <c r="H32" s="4">
        <v>397</v>
      </c>
      <c r="I32" s="3">
        <v>181</v>
      </c>
      <c r="J32" s="3">
        <v>216</v>
      </c>
      <c r="K32" s="3">
        <v>19</v>
      </c>
      <c r="L32" s="3">
        <f t="shared" si="0"/>
        <v>4.7858942065491181</v>
      </c>
      <c r="M32" s="3">
        <v>138</v>
      </c>
      <c r="N32" s="3">
        <f t="shared" si="1"/>
        <v>34.760705289672543</v>
      </c>
      <c r="O32" s="3">
        <v>0</v>
      </c>
      <c r="P32" s="15">
        <v>0</v>
      </c>
      <c r="Q32" s="22"/>
      <c r="R32" s="97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</row>
    <row r="33" spans="1:31" ht="15.75" x14ac:dyDescent="0.25">
      <c r="A33" s="1" t="s">
        <v>0</v>
      </c>
      <c r="B33" s="1" t="s">
        <v>401</v>
      </c>
      <c r="C33" s="2" t="s">
        <v>580</v>
      </c>
      <c r="D33" s="1" t="s">
        <v>586</v>
      </c>
      <c r="E33" s="1"/>
      <c r="F33" s="3">
        <v>243</v>
      </c>
      <c r="G33" s="3">
        <v>152</v>
      </c>
      <c r="H33" s="4">
        <v>671</v>
      </c>
      <c r="I33" s="3">
        <v>335</v>
      </c>
      <c r="J33" s="3">
        <v>336</v>
      </c>
      <c r="K33" s="3">
        <v>15</v>
      </c>
      <c r="L33" s="3">
        <f t="shared" si="0"/>
        <v>2.2354694485842028</v>
      </c>
      <c r="M33" s="3">
        <v>0</v>
      </c>
      <c r="N33" s="3">
        <f t="shared" si="1"/>
        <v>0</v>
      </c>
      <c r="O33" s="3">
        <v>43</v>
      </c>
      <c r="P33" s="15">
        <v>0</v>
      </c>
      <c r="Q33" s="22" t="s">
        <v>1348</v>
      </c>
      <c r="R33" s="96">
        <v>43814</v>
      </c>
      <c r="S33" s="100">
        <v>18.989999999999998</v>
      </c>
      <c r="T33" s="22"/>
      <c r="U33" s="22" t="s">
        <v>1348</v>
      </c>
      <c r="V33" s="22" t="s">
        <v>1348</v>
      </c>
      <c r="W33" s="22" t="s">
        <v>1348</v>
      </c>
      <c r="X33" s="22"/>
      <c r="Y33" s="22"/>
      <c r="Z33" s="22"/>
      <c r="AA33" s="22"/>
      <c r="AB33" s="22"/>
      <c r="AC33" s="22"/>
      <c r="AD33" s="22"/>
      <c r="AE33" s="22"/>
    </row>
    <row r="34" spans="1:31" ht="15.75" x14ac:dyDescent="0.25">
      <c r="A34" s="1" t="s">
        <v>0</v>
      </c>
      <c r="B34" s="1" t="s">
        <v>401</v>
      </c>
      <c r="C34" s="2" t="s">
        <v>580</v>
      </c>
      <c r="D34" s="1" t="s">
        <v>591</v>
      </c>
      <c r="E34" s="1"/>
      <c r="F34" s="3">
        <v>479</v>
      </c>
      <c r="G34" s="3">
        <v>189</v>
      </c>
      <c r="H34" s="4">
        <v>921</v>
      </c>
      <c r="I34" s="3">
        <v>468</v>
      </c>
      <c r="J34" s="3">
        <v>453</v>
      </c>
      <c r="K34" s="3">
        <v>8</v>
      </c>
      <c r="L34" s="3">
        <f t="shared" si="0"/>
        <v>0.86862106406080353</v>
      </c>
      <c r="M34" s="3">
        <v>21</v>
      </c>
      <c r="N34" s="3">
        <f t="shared" si="1"/>
        <v>2.2801302931596092</v>
      </c>
      <c r="O34" s="3">
        <v>27</v>
      </c>
      <c r="P34" s="15">
        <v>0</v>
      </c>
      <c r="Q34" s="22" t="s">
        <v>1348</v>
      </c>
      <c r="R34" s="96">
        <v>43815</v>
      </c>
      <c r="S34" s="100">
        <v>18.54</v>
      </c>
      <c r="T34" s="22"/>
      <c r="U34" s="22" t="s">
        <v>1348</v>
      </c>
      <c r="V34" s="22" t="s">
        <v>1348</v>
      </c>
      <c r="W34" s="22" t="s">
        <v>1348</v>
      </c>
      <c r="X34" s="22"/>
      <c r="Y34" s="22"/>
      <c r="Z34" s="22"/>
      <c r="AA34" s="22"/>
      <c r="AB34" s="22"/>
      <c r="AC34" s="22"/>
      <c r="AD34" s="22"/>
      <c r="AE34" s="22"/>
    </row>
    <row r="35" spans="1:31" ht="15.75" x14ac:dyDescent="0.25">
      <c r="A35" s="1" t="s">
        <v>0</v>
      </c>
      <c r="B35" s="1" t="s">
        <v>401</v>
      </c>
      <c r="C35" s="2" t="s">
        <v>580</v>
      </c>
      <c r="D35" s="1" t="s">
        <v>592</v>
      </c>
      <c r="E35" s="1"/>
      <c r="F35" s="3">
        <v>1993</v>
      </c>
      <c r="G35" s="3">
        <v>249</v>
      </c>
      <c r="H35" s="4">
        <v>1214</v>
      </c>
      <c r="I35" s="3">
        <v>638</v>
      </c>
      <c r="J35" s="3">
        <v>576</v>
      </c>
      <c r="K35" s="3">
        <v>163</v>
      </c>
      <c r="L35" s="3">
        <f t="shared" si="0"/>
        <v>13.42668863261944</v>
      </c>
      <c r="M35" s="3">
        <v>159</v>
      </c>
      <c r="N35" s="3">
        <f t="shared" si="1"/>
        <v>13.097199341021417</v>
      </c>
      <c r="O35" s="3">
        <v>68</v>
      </c>
      <c r="P35" s="15">
        <v>1470</v>
      </c>
      <c r="Q35" s="22" t="s">
        <v>1348</v>
      </c>
      <c r="R35" s="96">
        <v>43812</v>
      </c>
      <c r="S35" s="100">
        <v>36.6</v>
      </c>
      <c r="T35" s="22"/>
      <c r="U35" s="22" t="s">
        <v>1348</v>
      </c>
      <c r="V35" s="22" t="s">
        <v>1348</v>
      </c>
      <c r="W35" s="22" t="s">
        <v>1348</v>
      </c>
      <c r="X35" s="22"/>
      <c r="Y35" s="22"/>
      <c r="Z35" s="22"/>
      <c r="AA35" s="22"/>
      <c r="AB35" s="22"/>
      <c r="AC35" s="22"/>
      <c r="AD35" s="22"/>
      <c r="AE35" s="22"/>
    </row>
    <row r="36" spans="1:31" x14ac:dyDescent="0.25">
      <c r="A36" s="1" t="s">
        <v>0</v>
      </c>
      <c r="B36" s="1" t="s">
        <v>401</v>
      </c>
      <c r="C36" s="2" t="s">
        <v>580</v>
      </c>
      <c r="D36" s="1" t="s">
        <v>593</v>
      </c>
      <c r="E36" s="1"/>
      <c r="F36" s="3">
        <v>880</v>
      </c>
      <c r="G36" s="3">
        <v>161</v>
      </c>
      <c r="H36" s="4">
        <v>945</v>
      </c>
      <c r="I36" s="3">
        <v>501</v>
      </c>
      <c r="J36" s="3">
        <v>444</v>
      </c>
      <c r="K36" s="3">
        <v>25</v>
      </c>
      <c r="L36" s="3">
        <f t="shared" ref="L36:L67" si="2">(K36/H36)*100</f>
        <v>2.6455026455026456</v>
      </c>
      <c r="M36" s="3">
        <v>18</v>
      </c>
      <c r="N36" s="3">
        <f t="shared" ref="N36:N67" si="3">(M36/H36)*100</f>
        <v>1.9047619047619049</v>
      </c>
      <c r="O36" s="3">
        <v>54</v>
      </c>
      <c r="P36" s="15">
        <v>667</v>
      </c>
      <c r="Q36" s="22"/>
      <c r="R36" s="97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 spans="1:31" ht="15.75" x14ac:dyDescent="0.25">
      <c r="A37" s="1" t="s">
        <v>0</v>
      </c>
      <c r="B37" s="1" t="s">
        <v>401</v>
      </c>
      <c r="C37" s="2" t="s">
        <v>580</v>
      </c>
      <c r="D37" s="1" t="s">
        <v>594</v>
      </c>
      <c r="E37" s="1"/>
      <c r="F37" s="3">
        <v>478</v>
      </c>
      <c r="G37" s="3">
        <v>80</v>
      </c>
      <c r="H37" s="4">
        <v>413</v>
      </c>
      <c r="I37" s="3">
        <v>215</v>
      </c>
      <c r="J37" s="3">
        <v>198</v>
      </c>
      <c r="K37" s="3">
        <v>0</v>
      </c>
      <c r="L37" s="3">
        <f t="shared" si="2"/>
        <v>0</v>
      </c>
      <c r="M37" s="3">
        <v>0</v>
      </c>
      <c r="N37" s="3">
        <f t="shared" si="3"/>
        <v>0</v>
      </c>
      <c r="O37" s="3">
        <v>9</v>
      </c>
      <c r="P37" s="15">
        <v>302</v>
      </c>
      <c r="Q37" s="22" t="s">
        <v>1348</v>
      </c>
      <c r="R37" s="103">
        <v>43816</v>
      </c>
      <c r="S37" s="100">
        <v>176</v>
      </c>
      <c r="T37" s="22"/>
      <c r="U37" s="22" t="s">
        <v>1348</v>
      </c>
      <c r="V37" s="22" t="s">
        <v>1348</v>
      </c>
      <c r="W37" s="22" t="s">
        <v>1348</v>
      </c>
      <c r="X37" s="22"/>
      <c r="Y37" s="22"/>
      <c r="Z37" s="22"/>
      <c r="AA37" s="22"/>
      <c r="AB37" s="22"/>
      <c r="AC37" s="22"/>
      <c r="AD37" s="22"/>
      <c r="AE37" s="22"/>
    </row>
    <row r="38" spans="1:31" ht="15.75" x14ac:dyDescent="0.25">
      <c r="A38" s="1" t="s">
        <v>0</v>
      </c>
      <c r="B38" s="1" t="s">
        <v>401</v>
      </c>
      <c r="C38" s="2" t="s">
        <v>514</v>
      </c>
      <c r="D38" s="1" t="s">
        <v>513</v>
      </c>
      <c r="E38" s="1"/>
      <c r="F38" s="3">
        <v>3141.86</v>
      </c>
      <c r="G38" s="3">
        <v>474</v>
      </c>
      <c r="H38" s="4">
        <v>1962</v>
      </c>
      <c r="I38" s="3">
        <v>962</v>
      </c>
      <c r="J38" s="3">
        <v>1000</v>
      </c>
      <c r="K38" s="3">
        <v>391</v>
      </c>
      <c r="L38" s="3">
        <f t="shared" si="2"/>
        <v>19.928644240570843</v>
      </c>
      <c r="M38" s="3">
        <v>126</v>
      </c>
      <c r="N38" s="3">
        <f t="shared" si="3"/>
        <v>6.4220183486238538</v>
      </c>
      <c r="O38" s="3">
        <v>216.64</v>
      </c>
      <c r="P38" s="15">
        <v>0</v>
      </c>
      <c r="Q38" s="22" t="s">
        <v>1348</v>
      </c>
      <c r="R38" s="103">
        <v>43825</v>
      </c>
      <c r="S38" s="100">
        <v>24.31</v>
      </c>
      <c r="T38" s="22"/>
      <c r="U38" s="22" t="s">
        <v>1348</v>
      </c>
      <c r="V38" s="22" t="s">
        <v>1348</v>
      </c>
      <c r="W38" s="22" t="s">
        <v>1348</v>
      </c>
      <c r="X38" s="22"/>
      <c r="Y38" s="22"/>
      <c r="Z38" s="22"/>
      <c r="AA38" s="22"/>
      <c r="AB38" s="22"/>
      <c r="AC38" s="22"/>
      <c r="AD38" s="22"/>
      <c r="AE38" s="22"/>
    </row>
    <row r="39" spans="1:31" ht="15.75" x14ac:dyDescent="0.25">
      <c r="A39" s="1" t="s">
        <v>0</v>
      </c>
      <c r="B39" s="1" t="s">
        <v>401</v>
      </c>
      <c r="C39" s="2" t="s">
        <v>429</v>
      </c>
      <c r="D39" s="1" t="s">
        <v>428</v>
      </c>
      <c r="E39" s="1"/>
      <c r="F39" s="3">
        <v>606</v>
      </c>
      <c r="G39" s="3">
        <v>188</v>
      </c>
      <c r="H39" s="4">
        <v>686</v>
      </c>
      <c r="I39" s="3">
        <v>313</v>
      </c>
      <c r="J39" s="3">
        <v>373</v>
      </c>
      <c r="K39" s="3">
        <v>144</v>
      </c>
      <c r="L39" s="3">
        <f t="shared" si="2"/>
        <v>20.99125364431487</v>
      </c>
      <c r="M39" s="3">
        <v>69</v>
      </c>
      <c r="N39" s="3">
        <f t="shared" si="3"/>
        <v>10.058309037900875</v>
      </c>
      <c r="O39" s="3">
        <v>79</v>
      </c>
      <c r="P39" s="15">
        <v>0</v>
      </c>
      <c r="Q39" s="22" t="s">
        <v>1348</v>
      </c>
      <c r="R39" s="103">
        <v>43788</v>
      </c>
      <c r="S39" s="100">
        <v>16.27</v>
      </c>
      <c r="T39" s="22"/>
      <c r="U39" s="22" t="s">
        <v>1348</v>
      </c>
      <c r="V39" s="22" t="s">
        <v>1348</v>
      </c>
      <c r="W39" s="22" t="s">
        <v>1348</v>
      </c>
      <c r="X39" s="22"/>
      <c r="Y39" s="22"/>
      <c r="Z39" s="22"/>
      <c r="AA39" s="22"/>
      <c r="AB39" s="22"/>
      <c r="AC39" s="22"/>
      <c r="AD39" s="22"/>
      <c r="AE39" s="22"/>
    </row>
    <row r="40" spans="1:31" ht="15.75" x14ac:dyDescent="0.25">
      <c r="A40" s="1" t="s">
        <v>0</v>
      </c>
      <c r="B40" s="1" t="s">
        <v>401</v>
      </c>
      <c r="C40" s="2" t="s">
        <v>429</v>
      </c>
      <c r="D40" s="1" t="s">
        <v>432</v>
      </c>
      <c r="E40" s="1"/>
      <c r="F40" s="3">
        <v>2440</v>
      </c>
      <c r="G40" s="3">
        <v>513</v>
      </c>
      <c r="H40" s="4">
        <v>2296</v>
      </c>
      <c r="I40" s="3">
        <v>1126</v>
      </c>
      <c r="J40" s="3">
        <v>1170</v>
      </c>
      <c r="K40" s="3">
        <v>770</v>
      </c>
      <c r="L40" s="3">
        <f t="shared" si="2"/>
        <v>33.536585365853661</v>
      </c>
      <c r="M40" s="3">
        <v>118</v>
      </c>
      <c r="N40" s="3">
        <f t="shared" si="3"/>
        <v>5.1393728222996513</v>
      </c>
      <c r="O40" s="3">
        <v>119</v>
      </c>
      <c r="P40" s="15">
        <v>0</v>
      </c>
      <c r="Q40" s="22" t="s">
        <v>1348</v>
      </c>
      <c r="R40" s="103">
        <v>43799</v>
      </c>
      <c r="S40" s="100">
        <v>23.32</v>
      </c>
      <c r="T40" s="22"/>
      <c r="U40" s="22" t="s">
        <v>1348</v>
      </c>
      <c r="V40" s="22" t="s">
        <v>1348</v>
      </c>
      <c r="W40" s="22" t="s">
        <v>1348</v>
      </c>
      <c r="X40" s="22"/>
      <c r="Y40" s="22"/>
      <c r="Z40" s="22"/>
      <c r="AA40" s="22"/>
      <c r="AB40" s="22"/>
      <c r="AC40" s="22"/>
      <c r="AD40" s="22"/>
      <c r="AE40" s="22"/>
    </row>
    <row r="41" spans="1:31" ht="15.75" x14ac:dyDescent="0.25">
      <c r="A41" s="1" t="s">
        <v>0</v>
      </c>
      <c r="B41" s="1" t="s">
        <v>401</v>
      </c>
      <c r="C41" s="2" t="s">
        <v>475</v>
      </c>
      <c r="D41" s="1" t="s">
        <v>474</v>
      </c>
      <c r="E41" s="1"/>
      <c r="F41" s="3">
        <v>849.01</v>
      </c>
      <c r="G41" s="3">
        <v>87</v>
      </c>
      <c r="H41" s="4">
        <v>450</v>
      </c>
      <c r="I41" s="3">
        <v>237</v>
      </c>
      <c r="J41" s="3">
        <v>213</v>
      </c>
      <c r="K41" s="3">
        <v>0</v>
      </c>
      <c r="L41" s="3">
        <f t="shared" si="2"/>
        <v>0</v>
      </c>
      <c r="M41" s="3">
        <v>0</v>
      </c>
      <c r="N41" s="3">
        <f t="shared" si="3"/>
        <v>0</v>
      </c>
      <c r="O41" s="3">
        <v>37.99</v>
      </c>
      <c r="P41" s="15">
        <v>571.79999999999995</v>
      </c>
      <c r="Q41" s="22" t="s">
        <v>1348</v>
      </c>
      <c r="R41" s="103">
        <v>43789</v>
      </c>
      <c r="S41" s="100">
        <v>22.06</v>
      </c>
      <c r="T41" s="22"/>
      <c r="U41" s="22" t="s">
        <v>1348</v>
      </c>
      <c r="V41" s="22" t="s">
        <v>1348</v>
      </c>
      <c r="W41" s="22" t="s">
        <v>1348</v>
      </c>
      <c r="X41" s="22"/>
      <c r="Y41" s="22"/>
      <c r="Z41" s="22"/>
      <c r="AA41" s="22"/>
      <c r="AB41" s="22"/>
      <c r="AC41" s="22"/>
      <c r="AD41" s="22"/>
      <c r="AE41" s="22"/>
    </row>
    <row r="42" spans="1:31" x14ac:dyDescent="0.25">
      <c r="A42" s="1" t="s">
        <v>0</v>
      </c>
      <c r="B42" s="1" t="s">
        <v>401</v>
      </c>
      <c r="C42" s="2" t="s">
        <v>475</v>
      </c>
      <c r="D42" s="1" t="s">
        <v>476</v>
      </c>
      <c r="E42" s="1"/>
      <c r="F42" s="3">
        <v>226.58</v>
      </c>
      <c r="G42" s="3">
        <v>143</v>
      </c>
      <c r="H42" s="4">
        <v>683</v>
      </c>
      <c r="I42" s="3">
        <v>328</v>
      </c>
      <c r="J42" s="3">
        <v>355</v>
      </c>
      <c r="K42" s="3">
        <v>95</v>
      </c>
      <c r="L42" s="3">
        <f t="shared" si="2"/>
        <v>13.909224011713031</v>
      </c>
      <c r="M42" s="3">
        <v>0</v>
      </c>
      <c r="N42" s="3">
        <f t="shared" si="3"/>
        <v>0</v>
      </c>
      <c r="O42" s="3">
        <v>30.01</v>
      </c>
      <c r="P42" s="15">
        <v>13.8</v>
      </c>
      <c r="Q42" s="22" t="s">
        <v>1348</v>
      </c>
      <c r="R42" s="103">
        <v>43791</v>
      </c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 spans="1:31" x14ac:dyDescent="0.25">
      <c r="A43" s="1" t="s">
        <v>0</v>
      </c>
      <c r="B43" s="1" t="s">
        <v>401</v>
      </c>
      <c r="C43" s="2" t="s">
        <v>475</v>
      </c>
      <c r="D43" s="1" t="s">
        <v>477</v>
      </c>
      <c r="E43" s="1"/>
      <c r="F43" s="3">
        <v>544.08000000000004</v>
      </c>
      <c r="G43" s="3">
        <v>259</v>
      </c>
      <c r="H43" s="4">
        <v>1310</v>
      </c>
      <c r="I43" s="3">
        <v>676</v>
      </c>
      <c r="J43" s="3">
        <v>634</v>
      </c>
      <c r="K43" s="3">
        <v>86</v>
      </c>
      <c r="L43" s="3">
        <f t="shared" si="2"/>
        <v>6.5648854961832068</v>
      </c>
      <c r="M43" s="3">
        <v>17</v>
      </c>
      <c r="N43" s="3">
        <f t="shared" si="3"/>
        <v>1.2977099236641221</v>
      </c>
      <c r="O43" s="3">
        <v>60</v>
      </c>
      <c r="P43" s="15">
        <v>117</v>
      </c>
      <c r="Q43" s="22" t="s">
        <v>1348</v>
      </c>
      <c r="R43" s="103">
        <v>43788</v>
      </c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:31" x14ac:dyDescent="0.25">
      <c r="A44" s="1" t="s">
        <v>0</v>
      </c>
      <c r="B44" s="1" t="s">
        <v>401</v>
      </c>
      <c r="C44" s="2" t="s">
        <v>475</v>
      </c>
      <c r="D44" s="1" t="s">
        <v>478</v>
      </c>
      <c r="E44" s="1"/>
      <c r="F44" s="3">
        <v>503</v>
      </c>
      <c r="G44" s="3">
        <v>61</v>
      </c>
      <c r="H44" s="4">
        <v>283</v>
      </c>
      <c r="I44" s="3">
        <v>149</v>
      </c>
      <c r="J44" s="3">
        <v>134</v>
      </c>
      <c r="K44" s="3">
        <v>0</v>
      </c>
      <c r="L44" s="3">
        <f t="shared" si="2"/>
        <v>0</v>
      </c>
      <c r="M44" s="3">
        <v>0</v>
      </c>
      <c r="N44" s="3">
        <f t="shared" si="3"/>
        <v>0</v>
      </c>
      <c r="O44" s="3">
        <v>2</v>
      </c>
      <c r="P44" s="15">
        <v>465</v>
      </c>
      <c r="Q44" s="22" t="s">
        <v>1348</v>
      </c>
      <c r="R44" s="103">
        <v>43790</v>
      </c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:31" x14ac:dyDescent="0.25">
      <c r="A45" s="1" t="s">
        <v>0</v>
      </c>
      <c r="B45" s="1" t="s">
        <v>401</v>
      </c>
      <c r="C45" s="2" t="s">
        <v>475</v>
      </c>
      <c r="D45" s="1" t="s">
        <v>479</v>
      </c>
      <c r="E45" s="1"/>
      <c r="F45" s="3">
        <v>143.54</v>
      </c>
      <c r="G45" s="3">
        <v>88</v>
      </c>
      <c r="H45" s="4">
        <v>424</v>
      </c>
      <c r="I45" s="3">
        <v>212</v>
      </c>
      <c r="J45" s="3">
        <v>212</v>
      </c>
      <c r="K45" s="3">
        <v>27</v>
      </c>
      <c r="L45" s="3">
        <f t="shared" si="2"/>
        <v>6.367924528301887</v>
      </c>
      <c r="M45" s="3">
        <v>0</v>
      </c>
      <c r="N45" s="3">
        <f t="shared" si="3"/>
        <v>0</v>
      </c>
      <c r="O45" s="3">
        <v>0</v>
      </c>
      <c r="P45" s="15">
        <v>61</v>
      </c>
      <c r="Q45" s="22" t="s">
        <v>1348</v>
      </c>
      <c r="R45" s="103">
        <v>43787</v>
      </c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 spans="1:31" x14ac:dyDescent="0.25">
      <c r="A46" s="1" t="s">
        <v>0</v>
      </c>
      <c r="B46" s="1" t="s">
        <v>401</v>
      </c>
      <c r="C46" s="2" t="s">
        <v>475</v>
      </c>
      <c r="D46" s="1" t="s">
        <v>480</v>
      </c>
      <c r="E46" s="1"/>
      <c r="F46" s="3">
        <v>1703.47</v>
      </c>
      <c r="G46" s="3">
        <v>394</v>
      </c>
      <c r="H46" s="4">
        <v>1986</v>
      </c>
      <c r="I46" s="3">
        <v>966</v>
      </c>
      <c r="J46" s="3">
        <v>1020</v>
      </c>
      <c r="K46" s="3">
        <v>361</v>
      </c>
      <c r="L46" s="3">
        <f t="shared" si="2"/>
        <v>18.177240684793556</v>
      </c>
      <c r="M46" s="3">
        <v>25</v>
      </c>
      <c r="N46" s="3">
        <f t="shared" si="3"/>
        <v>1.2588116817724069</v>
      </c>
      <c r="O46" s="3">
        <v>0</v>
      </c>
      <c r="P46" s="15">
        <v>1200</v>
      </c>
      <c r="Q46" s="22" t="s">
        <v>1348</v>
      </c>
      <c r="R46" s="103">
        <v>43785</v>
      </c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 spans="1:31" x14ac:dyDescent="0.25">
      <c r="A47" s="1" t="s">
        <v>0</v>
      </c>
      <c r="B47" s="1" t="s">
        <v>401</v>
      </c>
      <c r="C47" s="2" t="s">
        <v>475</v>
      </c>
      <c r="D47" s="1" t="s">
        <v>481</v>
      </c>
      <c r="E47" s="1"/>
      <c r="F47" s="3">
        <v>300</v>
      </c>
      <c r="G47" s="3">
        <v>106</v>
      </c>
      <c r="H47" s="4">
        <v>524</v>
      </c>
      <c r="I47" s="3">
        <v>275</v>
      </c>
      <c r="J47" s="3">
        <v>249</v>
      </c>
      <c r="K47" s="3">
        <v>0</v>
      </c>
      <c r="L47" s="3">
        <f t="shared" si="2"/>
        <v>0</v>
      </c>
      <c r="M47" s="3">
        <v>0</v>
      </c>
      <c r="N47" s="3">
        <f t="shared" si="3"/>
        <v>0</v>
      </c>
      <c r="O47" s="3">
        <v>20</v>
      </c>
      <c r="P47" s="15">
        <v>61</v>
      </c>
      <c r="Q47" s="22"/>
      <c r="R47" s="97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 spans="1:31" x14ac:dyDescent="0.25">
      <c r="A48" s="1" t="s">
        <v>0</v>
      </c>
      <c r="B48" s="1" t="s">
        <v>401</v>
      </c>
      <c r="C48" s="2" t="s">
        <v>475</v>
      </c>
      <c r="D48" s="1" t="s">
        <v>482</v>
      </c>
      <c r="E48" s="1"/>
      <c r="F48" s="3">
        <v>217.87</v>
      </c>
      <c r="G48" s="3">
        <v>130</v>
      </c>
      <c r="H48" s="4">
        <v>637</v>
      </c>
      <c r="I48" s="3">
        <v>320</v>
      </c>
      <c r="J48" s="3">
        <v>317</v>
      </c>
      <c r="K48" s="3">
        <v>29</v>
      </c>
      <c r="L48" s="3">
        <f t="shared" si="2"/>
        <v>4.5525902668759812</v>
      </c>
      <c r="M48" s="3">
        <v>0</v>
      </c>
      <c r="N48" s="3">
        <f t="shared" si="3"/>
        <v>0</v>
      </c>
      <c r="O48" s="3">
        <v>104</v>
      </c>
      <c r="P48" s="15">
        <v>0</v>
      </c>
      <c r="Q48" s="22"/>
      <c r="R48" s="97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</row>
    <row r="49" spans="1:31" ht="15.75" x14ac:dyDescent="0.25">
      <c r="A49" s="1" t="s">
        <v>0</v>
      </c>
      <c r="B49" s="1" t="s">
        <v>401</v>
      </c>
      <c r="C49" s="2" t="s">
        <v>475</v>
      </c>
      <c r="D49" s="1" t="s">
        <v>483</v>
      </c>
      <c r="E49" s="1"/>
      <c r="F49" s="3">
        <v>712.51</v>
      </c>
      <c r="G49" s="3">
        <v>120</v>
      </c>
      <c r="H49" s="4">
        <v>581</v>
      </c>
      <c r="I49" s="3">
        <v>299</v>
      </c>
      <c r="J49" s="3">
        <v>282</v>
      </c>
      <c r="K49" s="3">
        <v>10</v>
      </c>
      <c r="L49" s="3">
        <f t="shared" si="2"/>
        <v>1.7211703958691909</v>
      </c>
      <c r="M49" s="3">
        <v>50</v>
      </c>
      <c r="N49" s="3">
        <f t="shared" si="3"/>
        <v>8.6058519793459549</v>
      </c>
      <c r="O49" s="3">
        <v>57.51</v>
      </c>
      <c r="P49" s="15">
        <v>503</v>
      </c>
      <c r="Q49" s="22" t="s">
        <v>1348</v>
      </c>
      <c r="R49" s="103">
        <v>43819</v>
      </c>
      <c r="S49" s="100">
        <v>54.87</v>
      </c>
      <c r="T49" s="22"/>
      <c r="U49" s="22" t="s">
        <v>1348</v>
      </c>
      <c r="V49" s="22" t="s">
        <v>1348</v>
      </c>
      <c r="W49" s="22" t="s">
        <v>1348</v>
      </c>
      <c r="X49" s="22"/>
      <c r="Y49" s="22"/>
      <c r="Z49" s="22"/>
      <c r="AA49" s="22"/>
      <c r="AB49" s="22"/>
      <c r="AC49" s="22"/>
      <c r="AD49" s="22"/>
      <c r="AE49" s="22"/>
    </row>
    <row r="50" spans="1:31" ht="15.75" x14ac:dyDescent="0.25">
      <c r="A50" s="1" t="s">
        <v>0</v>
      </c>
      <c r="B50" s="1" t="s">
        <v>401</v>
      </c>
      <c r="C50" s="2" t="s">
        <v>475</v>
      </c>
      <c r="D50" s="1" t="s">
        <v>550</v>
      </c>
      <c r="E50" s="1"/>
      <c r="F50" s="3">
        <v>895.38</v>
      </c>
      <c r="G50" s="3">
        <v>84</v>
      </c>
      <c r="H50" s="4">
        <v>455</v>
      </c>
      <c r="I50" s="3">
        <v>238</v>
      </c>
      <c r="J50" s="3">
        <v>217</v>
      </c>
      <c r="K50" s="3">
        <v>0</v>
      </c>
      <c r="L50" s="3">
        <f t="shared" si="2"/>
        <v>0</v>
      </c>
      <c r="M50" s="3">
        <v>58</v>
      </c>
      <c r="N50" s="3">
        <f t="shared" si="3"/>
        <v>12.747252747252746</v>
      </c>
      <c r="O50" s="3">
        <v>0</v>
      </c>
      <c r="P50" s="15">
        <v>833.9</v>
      </c>
      <c r="Q50" s="22" t="s">
        <v>1348</v>
      </c>
      <c r="R50" s="103">
        <v>43786</v>
      </c>
      <c r="S50" s="100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 spans="1:31" ht="15.75" x14ac:dyDescent="0.25">
      <c r="A51" s="1" t="s">
        <v>0</v>
      </c>
      <c r="B51" s="1" t="s">
        <v>401</v>
      </c>
      <c r="C51" s="2" t="s">
        <v>455</v>
      </c>
      <c r="D51" s="1" t="s">
        <v>454</v>
      </c>
      <c r="E51" s="1"/>
      <c r="F51" s="3">
        <v>350</v>
      </c>
      <c r="G51" s="3">
        <v>188</v>
      </c>
      <c r="H51" s="4">
        <v>781</v>
      </c>
      <c r="I51" s="3">
        <v>358</v>
      </c>
      <c r="J51" s="3">
        <v>423</v>
      </c>
      <c r="K51" s="3">
        <v>240</v>
      </c>
      <c r="L51" s="3">
        <f t="shared" si="2"/>
        <v>30.729833546734952</v>
      </c>
      <c r="M51" s="3">
        <v>0</v>
      </c>
      <c r="N51" s="3">
        <f t="shared" si="3"/>
        <v>0</v>
      </c>
      <c r="O51" s="3">
        <v>8</v>
      </c>
      <c r="P51" s="15">
        <v>0</v>
      </c>
      <c r="Q51" s="22" t="s">
        <v>1348</v>
      </c>
      <c r="R51" s="103">
        <v>43658</v>
      </c>
      <c r="S51" s="100">
        <v>13.49</v>
      </c>
      <c r="T51" s="22"/>
      <c r="U51" s="22" t="s">
        <v>1348</v>
      </c>
      <c r="V51" s="22" t="s">
        <v>1348</v>
      </c>
      <c r="W51" s="22" t="s">
        <v>1348</v>
      </c>
      <c r="X51" s="22"/>
      <c r="Y51" s="22"/>
      <c r="Z51" s="22"/>
      <c r="AA51" s="22"/>
      <c r="AB51" s="22"/>
      <c r="AC51" s="22"/>
      <c r="AD51" s="22"/>
      <c r="AE51" s="22"/>
    </row>
    <row r="52" spans="1:31" ht="15.75" x14ac:dyDescent="0.25">
      <c r="A52" s="1" t="s">
        <v>0</v>
      </c>
      <c r="B52" s="1" t="s">
        <v>401</v>
      </c>
      <c r="C52" s="2" t="s">
        <v>455</v>
      </c>
      <c r="D52" s="1" t="s">
        <v>456</v>
      </c>
      <c r="E52" s="1"/>
      <c r="F52" s="3">
        <v>497</v>
      </c>
      <c r="G52" s="3">
        <v>192</v>
      </c>
      <c r="H52" s="4">
        <v>892</v>
      </c>
      <c r="I52" s="3">
        <v>413</v>
      </c>
      <c r="J52" s="3">
        <v>479</v>
      </c>
      <c r="K52" s="3">
        <v>336</v>
      </c>
      <c r="L52" s="3">
        <f t="shared" si="2"/>
        <v>37.668161434977577</v>
      </c>
      <c r="M52" s="3">
        <v>2</v>
      </c>
      <c r="N52" s="3">
        <f t="shared" si="3"/>
        <v>0.22421524663677131</v>
      </c>
      <c r="O52" s="3">
        <v>90</v>
      </c>
      <c r="P52" s="15">
        <v>0</v>
      </c>
      <c r="Q52" s="22" t="s">
        <v>1348</v>
      </c>
      <c r="R52" s="103">
        <v>43567</v>
      </c>
      <c r="S52" s="100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  <row r="53" spans="1:31" ht="15.75" x14ac:dyDescent="0.25">
      <c r="A53" s="1" t="s">
        <v>0</v>
      </c>
      <c r="B53" s="1" t="s">
        <v>401</v>
      </c>
      <c r="C53" s="2" t="s">
        <v>455</v>
      </c>
      <c r="D53" s="1" t="s">
        <v>457</v>
      </c>
      <c r="E53" s="1"/>
      <c r="F53" s="3">
        <v>481</v>
      </c>
      <c r="G53" s="3">
        <v>111</v>
      </c>
      <c r="H53" s="4">
        <v>490</v>
      </c>
      <c r="I53" s="3">
        <v>236</v>
      </c>
      <c r="J53" s="3">
        <v>254</v>
      </c>
      <c r="K53" s="3">
        <v>71</v>
      </c>
      <c r="L53" s="3">
        <f t="shared" si="2"/>
        <v>14.489795918367346</v>
      </c>
      <c r="M53" s="3">
        <v>0</v>
      </c>
      <c r="N53" s="3">
        <f t="shared" si="3"/>
        <v>0</v>
      </c>
      <c r="O53" s="3">
        <v>0</v>
      </c>
      <c r="P53" s="15">
        <v>0</v>
      </c>
      <c r="Q53" s="22"/>
      <c r="R53" s="103"/>
      <c r="S53" s="100">
        <v>19.41</v>
      </c>
      <c r="T53" s="22"/>
      <c r="U53" s="22" t="s">
        <v>1348</v>
      </c>
      <c r="V53" s="22" t="s">
        <v>1348</v>
      </c>
      <c r="W53" s="22" t="s">
        <v>1348</v>
      </c>
      <c r="X53" s="22"/>
      <c r="Y53" s="22"/>
      <c r="Z53" s="22"/>
      <c r="AA53" s="22"/>
      <c r="AB53" s="22"/>
      <c r="AC53" s="22"/>
      <c r="AD53" s="22"/>
      <c r="AE53" s="22"/>
    </row>
    <row r="54" spans="1:31" ht="15.75" x14ac:dyDescent="0.25">
      <c r="A54" s="1" t="s">
        <v>0</v>
      </c>
      <c r="B54" s="1" t="s">
        <v>401</v>
      </c>
      <c r="C54" s="2" t="s">
        <v>455</v>
      </c>
      <c r="D54" s="1" t="s">
        <v>458</v>
      </c>
      <c r="E54" s="1"/>
      <c r="F54" s="3">
        <v>733</v>
      </c>
      <c r="G54" s="3">
        <v>246</v>
      </c>
      <c r="H54" s="4">
        <v>1134</v>
      </c>
      <c r="I54" s="3">
        <v>576</v>
      </c>
      <c r="J54" s="3">
        <v>558</v>
      </c>
      <c r="K54" s="3">
        <v>269</v>
      </c>
      <c r="L54" s="3">
        <f t="shared" si="2"/>
        <v>23.721340388007054</v>
      </c>
      <c r="M54" s="3">
        <v>0</v>
      </c>
      <c r="N54" s="3">
        <f t="shared" si="3"/>
        <v>0</v>
      </c>
      <c r="O54" s="3">
        <v>30</v>
      </c>
      <c r="P54" s="15">
        <v>0</v>
      </c>
      <c r="Q54" s="22" t="s">
        <v>1348</v>
      </c>
      <c r="R54" s="103">
        <v>43821</v>
      </c>
      <c r="S54" s="100">
        <v>0</v>
      </c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 spans="1:31" ht="15.75" x14ac:dyDescent="0.25">
      <c r="A55" s="1" t="s">
        <v>0</v>
      </c>
      <c r="B55" s="1" t="s">
        <v>401</v>
      </c>
      <c r="C55" s="2" t="s">
        <v>559</v>
      </c>
      <c r="D55" s="1" t="s">
        <v>558</v>
      </c>
      <c r="E55" s="1"/>
      <c r="F55" s="3">
        <v>871.05</v>
      </c>
      <c r="G55" s="3">
        <v>274</v>
      </c>
      <c r="H55" s="4">
        <v>1255</v>
      </c>
      <c r="I55" s="3">
        <v>630</v>
      </c>
      <c r="J55" s="3">
        <v>625</v>
      </c>
      <c r="K55" s="3">
        <v>263</v>
      </c>
      <c r="L55" s="3">
        <f t="shared" si="2"/>
        <v>20.95617529880478</v>
      </c>
      <c r="M55" s="3">
        <v>45</v>
      </c>
      <c r="N55" s="3">
        <f t="shared" si="3"/>
        <v>3.5856573705179287</v>
      </c>
      <c r="O55" s="3">
        <v>50</v>
      </c>
      <c r="P55" s="15">
        <v>0</v>
      </c>
      <c r="Q55" s="22" t="s">
        <v>1348</v>
      </c>
      <c r="R55" s="103">
        <v>43904</v>
      </c>
      <c r="S55" s="100">
        <v>29.5</v>
      </c>
      <c r="T55" s="22"/>
      <c r="U55" s="22" t="s">
        <v>1348</v>
      </c>
      <c r="V55" s="22" t="s">
        <v>1348</v>
      </c>
      <c r="W55" s="22" t="s">
        <v>1348</v>
      </c>
      <c r="X55" s="22"/>
      <c r="Y55" s="22"/>
      <c r="Z55" s="22"/>
      <c r="AA55" s="22"/>
      <c r="AB55" s="22"/>
      <c r="AC55" s="22"/>
      <c r="AD55" s="22"/>
      <c r="AE55" s="22"/>
    </row>
    <row r="56" spans="1:31" ht="15.75" x14ac:dyDescent="0.25">
      <c r="A56" s="1" t="s">
        <v>0</v>
      </c>
      <c r="B56" s="1" t="s">
        <v>401</v>
      </c>
      <c r="C56" s="2" t="s">
        <v>559</v>
      </c>
      <c r="D56" s="1" t="s">
        <v>560</v>
      </c>
      <c r="E56" s="1"/>
      <c r="F56" s="3">
        <v>336</v>
      </c>
      <c r="G56" s="3">
        <v>117</v>
      </c>
      <c r="H56" s="4">
        <v>566</v>
      </c>
      <c r="I56" s="3">
        <v>270</v>
      </c>
      <c r="J56" s="3">
        <v>296</v>
      </c>
      <c r="K56" s="3">
        <v>0</v>
      </c>
      <c r="L56" s="3">
        <f t="shared" si="2"/>
        <v>0</v>
      </c>
      <c r="M56" s="3">
        <v>0</v>
      </c>
      <c r="N56" s="3">
        <f t="shared" si="3"/>
        <v>0</v>
      </c>
      <c r="O56" s="3">
        <v>24</v>
      </c>
      <c r="P56" s="15">
        <v>0</v>
      </c>
      <c r="Q56" s="22" t="s">
        <v>1348</v>
      </c>
      <c r="R56" s="103">
        <v>43794</v>
      </c>
      <c r="S56" s="100">
        <v>116.58</v>
      </c>
      <c r="T56" s="22"/>
      <c r="U56" s="22" t="s">
        <v>1348</v>
      </c>
      <c r="V56" s="22" t="s">
        <v>1348</v>
      </c>
      <c r="W56" s="22" t="s">
        <v>1348</v>
      </c>
      <c r="X56" s="22"/>
      <c r="Y56" s="22"/>
      <c r="Z56" s="22"/>
      <c r="AA56" s="22"/>
      <c r="AB56" s="22"/>
      <c r="AC56" s="22"/>
      <c r="AD56" s="22"/>
      <c r="AE56" s="22"/>
    </row>
    <row r="57" spans="1:31" ht="15.75" x14ac:dyDescent="0.25">
      <c r="A57" s="1" t="s">
        <v>0</v>
      </c>
      <c r="B57" s="1" t="s">
        <v>401</v>
      </c>
      <c r="C57" s="2" t="s">
        <v>559</v>
      </c>
      <c r="D57" s="1" t="s">
        <v>561</v>
      </c>
      <c r="E57" s="1"/>
      <c r="F57" s="3">
        <v>45</v>
      </c>
      <c r="G57" s="3">
        <v>40</v>
      </c>
      <c r="H57" s="4">
        <v>191</v>
      </c>
      <c r="I57" s="3">
        <v>91</v>
      </c>
      <c r="J57" s="3">
        <v>100</v>
      </c>
      <c r="K57" s="3">
        <v>0</v>
      </c>
      <c r="L57" s="3">
        <f t="shared" si="2"/>
        <v>0</v>
      </c>
      <c r="M57" s="3">
        <v>0</v>
      </c>
      <c r="N57" s="3">
        <f t="shared" si="3"/>
        <v>0</v>
      </c>
      <c r="O57" s="3">
        <v>5</v>
      </c>
      <c r="P57" s="15">
        <v>0</v>
      </c>
      <c r="Q57" s="22" t="s">
        <v>1348</v>
      </c>
      <c r="R57" s="103">
        <v>43820</v>
      </c>
      <c r="S57" s="100">
        <v>48.22</v>
      </c>
      <c r="T57" s="22"/>
      <c r="U57" s="22" t="s">
        <v>1348</v>
      </c>
      <c r="V57" s="22" t="s">
        <v>1348</v>
      </c>
      <c r="W57" s="22" t="s">
        <v>1348</v>
      </c>
      <c r="X57" s="22"/>
      <c r="Y57" s="22"/>
      <c r="Z57" s="22"/>
      <c r="AA57" s="22"/>
      <c r="AB57" s="22"/>
      <c r="AC57" s="22"/>
      <c r="AD57" s="22"/>
      <c r="AE57" s="22"/>
    </row>
    <row r="58" spans="1:31" ht="15.75" x14ac:dyDescent="0.25">
      <c r="A58" s="1" t="s">
        <v>0</v>
      </c>
      <c r="B58" s="1" t="s">
        <v>401</v>
      </c>
      <c r="C58" s="2" t="s">
        <v>559</v>
      </c>
      <c r="D58" s="1" t="s">
        <v>562</v>
      </c>
      <c r="E58" s="1"/>
      <c r="F58" s="3">
        <v>215</v>
      </c>
      <c r="G58" s="3">
        <v>80</v>
      </c>
      <c r="H58" s="4">
        <v>345</v>
      </c>
      <c r="I58" s="3">
        <v>168</v>
      </c>
      <c r="J58" s="3">
        <v>177</v>
      </c>
      <c r="K58" s="3">
        <v>24</v>
      </c>
      <c r="L58" s="3">
        <f t="shared" si="2"/>
        <v>6.9565217391304346</v>
      </c>
      <c r="M58" s="3">
        <v>0</v>
      </c>
      <c r="N58" s="3">
        <f t="shared" si="3"/>
        <v>0</v>
      </c>
      <c r="O58" s="3">
        <v>46</v>
      </c>
      <c r="P58" s="15">
        <v>0</v>
      </c>
      <c r="Q58" s="22" t="s">
        <v>1348</v>
      </c>
      <c r="R58" s="103">
        <v>44168</v>
      </c>
      <c r="S58" s="100">
        <v>56</v>
      </c>
      <c r="T58" s="22"/>
      <c r="U58" s="22" t="s">
        <v>1348</v>
      </c>
      <c r="V58" s="22" t="s">
        <v>1348</v>
      </c>
      <c r="W58" s="22" t="s">
        <v>1348</v>
      </c>
      <c r="X58" s="22"/>
      <c r="Y58" s="22"/>
      <c r="Z58" s="22"/>
      <c r="AA58" s="22"/>
      <c r="AB58" s="22"/>
      <c r="AC58" s="22"/>
      <c r="AD58" s="22"/>
      <c r="AE58" s="22"/>
    </row>
    <row r="59" spans="1:31" ht="15.75" x14ac:dyDescent="0.25">
      <c r="A59" s="1" t="s">
        <v>0</v>
      </c>
      <c r="B59" s="1" t="s">
        <v>401</v>
      </c>
      <c r="C59" s="2" t="s">
        <v>559</v>
      </c>
      <c r="D59" s="1" t="s">
        <v>587</v>
      </c>
      <c r="E59" s="1"/>
      <c r="F59" s="3">
        <v>384</v>
      </c>
      <c r="G59" s="3">
        <v>208</v>
      </c>
      <c r="H59" s="4">
        <v>941</v>
      </c>
      <c r="I59" s="3">
        <v>498</v>
      </c>
      <c r="J59" s="3">
        <v>443</v>
      </c>
      <c r="K59" s="3">
        <v>67</v>
      </c>
      <c r="L59" s="3">
        <f t="shared" si="2"/>
        <v>7.1200850159404885</v>
      </c>
      <c r="M59" s="3">
        <v>3</v>
      </c>
      <c r="N59" s="3">
        <f t="shared" si="3"/>
        <v>0.3188097768331562</v>
      </c>
      <c r="O59" s="3">
        <v>35</v>
      </c>
      <c r="P59" s="15">
        <v>30</v>
      </c>
      <c r="Q59" s="22" t="s">
        <v>1348</v>
      </c>
      <c r="R59" s="103">
        <v>43817</v>
      </c>
      <c r="S59" s="100">
        <v>87.63</v>
      </c>
      <c r="T59" s="22"/>
      <c r="U59" s="22" t="s">
        <v>1348</v>
      </c>
      <c r="V59" s="22" t="s">
        <v>1348</v>
      </c>
      <c r="W59" s="22" t="s">
        <v>1348</v>
      </c>
      <c r="X59" s="22"/>
      <c r="Y59" s="22"/>
      <c r="Z59" s="22"/>
      <c r="AA59" s="22"/>
      <c r="AB59" s="22"/>
      <c r="AC59" s="22"/>
      <c r="AD59" s="22"/>
      <c r="AE59" s="22"/>
    </row>
    <row r="60" spans="1:31" x14ac:dyDescent="0.25">
      <c r="A60" s="1" t="s">
        <v>0</v>
      </c>
      <c r="B60" s="1" t="s">
        <v>401</v>
      </c>
      <c r="C60" s="2" t="s">
        <v>559</v>
      </c>
      <c r="D60" s="1" t="s">
        <v>588</v>
      </c>
      <c r="E60" s="1"/>
      <c r="F60" s="3">
        <v>937</v>
      </c>
      <c r="G60" s="3">
        <v>166</v>
      </c>
      <c r="H60" s="4">
        <v>801</v>
      </c>
      <c r="I60" s="3">
        <v>401</v>
      </c>
      <c r="J60" s="3">
        <v>400</v>
      </c>
      <c r="K60" s="3">
        <v>71</v>
      </c>
      <c r="L60" s="3">
        <f t="shared" si="2"/>
        <v>8.8639200998751555</v>
      </c>
      <c r="M60" s="3">
        <v>0</v>
      </c>
      <c r="N60" s="3">
        <f t="shared" si="3"/>
        <v>0</v>
      </c>
      <c r="O60" s="3">
        <v>56</v>
      </c>
      <c r="P60" s="15">
        <v>568</v>
      </c>
      <c r="Q60" s="22" t="s">
        <v>1348</v>
      </c>
      <c r="R60" s="103">
        <v>43819</v>
      </c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 spans="1:31" x14ac:dyDescent="0.25">
      <c r="A61" s="1" t="s">
        <v>0</v>
      </c>
      <c r="B61" s="1" t="s">
        <v>401</v>
      </c>
      <c r="C61" s="2" t="s">
        <v>559</v>
      </c>
      <c r="D61" s="1" t="s">
        <v>589</v>
      </c>
      <c r="E61" s="1"/>
      <c r="F61" s="3">
        <v>103</v>
      </c>
      <c r="G61" s="3">
        <v>106</v>
      </c>
      <c r="H61" s="4">
        <v>482</v>
      </c>
      <c r="I61" s="3">
        <v>240</v>
      </c>
      <c r="J61" s="3">
        <v>242</v>
      </c>
      <c r="K61" s="3">
        <v>6</v>
      </c>
      <c r="L61" s="3">
        <f t="shared" si="2"/>
        <v>1.2448132780082988</v>
      </c>
      <c r="M61" s="3">
        <v>0</v>
      </c>
      <c r="N61" s="3">
        <f t="shared" si="3"/>
        <v>0</v>
      </c>
      <c r="O61" s="3">
        <v>0</v>
      </c>
      <c r="P61" s="15">
        <v>0</v>
      </c>
      <c r="Q61" s="22"/>
      <c r="R61" s="97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</row>
    <row r="62" spans="1:31" x14ac:dyDescent="0.25">
      <c r="A62" s="1" t="s">
        <v>0</v>
      </c>
      <c r="B62" s="1" t="s">
        <v>401</v>
      </c>
      <c r="C62" s="2" t="s">
        <v>559</v>
      </c>
      <c r="D62" s="1" t="s">
        <v>590</v>
      </c>
      <c r="E62" s="1"/>
      <c r="F62" s="3">
        <v>135</v>
      </c>
      <c r="G62" s="3">
        <v>91</v>
      </c>
      <c r="H62" s="4">
        <v>313</v>
      </c>
      <c r="I62" s="3">
        <v>161</v>
      </c>
      <c r="J62" s="3">
        <v>152</v>
      </c>
      <c r="K62" s="3">
        <v>13</v>
      </c>
      <c r="L62" s="3">
        <f t="shared" si="2"/>
        <v>4.1533546325878596</v>
      </c>
      <c r="M62" s="3">
        <v>0</v>
      </c>
      <c r="N62" s="3">
        <f t="shared" si="3"/>
        <v>0</v>
      </c>
      <c r="O62" s="3">
        <v>0</v>
      </c>
      <c r="P62" s="15">
        <v>96</v>
      </c>
      <c r="Q62" s="22"/>
      <c r="R62" s="97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 spans="1:31" x14ac:dyDescent="0.25">
      <c r="A63" s="1" t="s">
        <v>0</v>
      </c>
      <c r="B63" s="1" t="s">
        <v>401</v>
      </c>
      <c r="C63" s="2" t="s">
        <v>411</v>
      </c>
      <c r="D63" s="1" t="s">
        <v>410</v>
      </c>
      <c r="E63" s="1"/>
      <c r="F63" s="3">
        <v>1089</v>
      </c>
      <c r="G63" s="3">
        <v>207</v>
      </c>
      <c r="H63" s="4">
        <v>1024</v>
      </c>
      <c r="I63" s="3">
        <v>498</v>
      </c>
      <c r="J63" s="3">
        <v>526</v>
      </c>
      <c r="K63" s="3">
        <v>170</v>
      </c>
      <c r="L63" s="3">
        <f t="shared" si="2"/>
        <v>16.6015625</v>
      </c>
      <c r="M63" s="3">
        <v>4</v>
      </c>
      <c r="N63" s="3">
        <f t="shared" si="3"/>
        <v>0.390625</v>
      </c>
      <c r="O63" s="3">
        <v>142</v>
      </c>
      <c r="P63" s="15">
        <v>0</v>
      </c>
      <c r="Q63" s="22"/>
      <c r="R63" s="97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spans="1:31" x14ac:dyDescent="0.25">
      <c r="A64" s="1" t="s">
        <v>0</v>
      </c>
      <c r="B64" s="1" t="s">
        <v>401</v>
      </c>
      <c r="C64" s="2" t="s">
        <v>411</v>
      </c>
      <c r="D64" s="1" t="s">
        <v>421</v>
      </c>
      <c r="E64" s="1"/>
      <c r="F64" s="3">
        <v>1200</v>
      </c>
      <c r="G64" s="3">
        <v>177</v>
      </c>
      <c r="H64" s="4">
        <v>732</v>
      </c>
      <c r="I64" s="3">
        <v>361</v>
      </c>
      <c r="J64" s="3">
        <v>371</v>
      </c>
      <c r="K64" s="3">
        <v>256</v>
      </c>
      <c r="L64" s="3">
        <f t="shared" si="2"/>
        <v>34.972677595628419</v>
      </c>
      <c r="M64" s="3">
        <v>2</v>
      </c>
      <c r="N64" s="3">
        <f t="shared" si="3"/>
        <v>0.27322404371584702</v>
      </c>
      <c r="O64" s="3">
        <v>86</v>
      </c>
      <c r="P64" s="15">
        <v>0</v>
      </c>
      <c r="Q64" s="22"/>
      <c r="R64" s="97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 spans="1:31" x14ac:dyDescent="0.25">
      <c r="A65" s="1" t="s">
        <v>0</v>
      </c>
      <c r="B65" s="1" t="s">
        <v>401</v>
      </c>
      <c r="C65" s="2" t="s">
        <v>411</v>
      </c>
      <c r="D65" s="1" t="s">
        <v>430</v>
      </c>
      <c r="E65" s="1"/>
      <c r="F65" s="3">
        <v>577</v>
      </c>
      <c r="G65" s="3">
        <v>134</v>
      </c>
      <c r="H65" s="4">
        <v>611</v>
      </c>
      <c r="I65" s="3">
        <v>300</v>
      </c>
      <c r="J65" s="3">
        <v>311</v>
      </c>
      <c r="K65" s="3">
        <v>274</v>
      </c>
      <c r="L65" s="3">
        <f t="shared" si="2"/>
        <v>44.844517184942717</v>
      </c>
      <c r="M65" s="3">
        <v>1</v>
      </c>
      <c r="N65" s="3">
        <f t="shared" si="3"/>
        <v>0.16366612111292964</v>
      </c>
      <c r="O65" s="3">
        <v>80</v>
      </c>
      <c r="P65" s="15">
        <v>0</v>
      </c>
      <c r="Q65" s="22"/>
      <c r="R65" s="97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 spans="1:31" x14ac:dyDescent="0.25">
      <c r="A66" s="1" t="s">
        <v>0</v>
      </c>
      <c r="B66" s="1" t="s">
        <v>401</v>
      </c>
      <c r="C66" s="2" t="s">
        <v>411</v>
      </c>
      <c r="D66" s="1" t="s">
        <v>431</v>
      </c>
      <c r="E66" s="1"/>
      <c r="F66" s="3">
        <v>486</v>
      </c>
      <c r="G66" s="3">
        <v>139</v>
      </c>
      <c r="H66" s="4">
        <v>625</v>
      </c>
      <c r="I66" s="3">
        <v>321</v>
      </c>
      <c r="J66" s="3">
        <v>304</v>
      </c>
      <c r="K66" s="3">
        <v>93</v>
      </c>
      <c r="L66" s="3">
        <f t="shared" si="2"/>
        <v>14.879999999999999</v>
      </c>
      <c r="M66" s="3">
        <v>1</v>
      </c>
      <c r="N66" s="3">
        <f t="shared" si="3"/>
        <v>0.16</v>
      </c>
      <c r="O66" s="3">
        <v>0</v>
      </c>
      <c r="P66" s="15">
        <v>0</v>
      </c>
      <c r="Q66" s="22"/>
      <c r="R66" s="97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spans="1:31" x14ac:dyDescent="0.25">
      <c r="A67" s="1" t="s">
        <v>0</v>
      </c>
      <c r="B67" s="1" t="s">
        <v>401</v>
      </c>
      <c r="C67" s="2" t="s">
        <v>437</v>
      </c>
      <c r="D67" s="1" t="s">
        <v>436</v>
      </c>
      <c r="E67" s="1"/>
      <c r="F67" s="3">
        <v>2577</v>
      </c>
      <c r="G67" s="3">
        <v>582</v>
      </c>
      <c r="H67" s="4">
        <v>2529</v>
      </c>
      <c r="I67" s="3">
        <v>1257</v>
      </c>
      <c r="J67" s="3">
        <v>1272</v>
      </c>
      <c r="K67" s="3">
        <v>763</v>
      </c>
      <c r="L67" s="3">
        <f t="shared" si="2"/>
        <v>30.170027678924477</v>
      </c>
      <c r="M67" s="3">
        <v>4</v>
      </c>
      <c r="N67" s="3">
        <f t="shared" si="3"/>
        <v>0.15816528272044286</v>
      </c>
      <c r="O67" s="3">
        <v>81</v>
      </c>
      <c r="P67" s="15">
        <v>0</v>
      </c>
      <c r="Q67" s="22" t="s">
        <v>1348</v>
      </c>
      <c r="R67" s="103">
        <v>43818</v>
      </c>
      <c r="S67" s="88">
        <v>4.7</v>
      </c>
      <c r="T67" s="22"/>
      <c r="U67" s="22" t="s">
        <v>1348</v>
      </c>
      <c r="V67" s="22" t="s">
        <v>1348</v>
      </c>
      <c r="W67" s="22" t="s">
        <v>1348</v>
      </c>
      <c r="X67" s="22"/>
      <c r="Y67" s="22"/>
      <c r="Z67" s="22"/>
      <c r="AA67" s="22"/>
      <c r="AB67" s="22"/>
      <c r="AC67" s="22"/>
      <c r="AD67" s="22"/>
      <c r="AE67" s="22"/>
    </row>
    <row r="68" spans="1:31" x14ac:dyDescent="0.25">
      <c r="A68" s="1" t="s">
        <v>0</v>
      </c>
      <c r="B68" s="1" t="s">
        <v>401</v>
      </c>
      <c r="C68" s="2" t="s">
        <v>437</v>
      </c>
      <c r="D68" s="1" t="s">
        <v>438</v>
      </c>
      <c r="E68" s="1"/>
      <c r="F68" s="3">
        <v>231</v>
      </c>
      <c r="G68" s="3">
        <v>89</v>
      </c>
      <c r="H68" s="4">
        <v>457</v>
      </c>
      <c r="I68" s="3">
        <v>232</v>
      </c>
      <c r="J68" s="3">
        <v>225</v>
      </c>
      <c r="K68" s="3">
        <v>176</v>
      </c>
      <c r="L68" s="3">
        <f t="shared" ref="L68:L99" si="4">(K68/H68)*100</f>
        <v>38.51203501094092</v>
      </c>
      <c r="M68" s="3">
        <v>2</v>
      </c>
      <c r="N68" s="3">
        <f t="shared" ref="N68:N99" si="5">(M68/H68)*100</f>
        <v>0.43763676148796499</v>
      </c>
      <c r="O68" s="3">
        <v>49</v>
      </c>
      <c r="P68" s="15">
        <v>0</v>
      </c>
      <c r="Q68" s="22" t="s">
        <v>1348</v>
      </c>
      <c r="R68" s="103">
        <v>43814</v>
      </c>
      <c r="S68" s="88">
        <v>212</v>
      </c>
      <c r="T68" s="22"/>
      <c r="U68" s="22" t="s">
        <v>1348</v>
      </c>
      <c r="V68" s="22" t="s">
        <v>1348</v>
      </c>
      <c r="W68" s="22" t="s">
        <v>1348</v>
      </c>
      <c r="X68" s="22"/>
      <c r="Y68" s="22"/>
      <c r="Z68" s="22"/>
      <c r="AA68" s="22"/>
      <c r="AB68" s="22"/>
      <c r="AC68" s="22"/>
      <c r="AD68" s="22"/>
      <c r="AE68" s="22"/>
    </row>
    <row r="69" spans="1:31" x14ac:dyDescent="0.25">
      <c r="A69" s="1" t="s">
        <v>0</v>
      </c>
      <c r="B69" s="1" t="s">
        <v>401</v>
      </c>
      <c r="C69" s="2" t="s">
        <v>437</v>
      </c>
      <c r="D69" s="1" t="s">
        <v>439</v>
      </c>
      <c r="E69" s="1"/>
      <c r="F69" s="3">
        <v>289</v>
      </c>
      <c r="G69" s="3">
        <v>65</v>
      </c>
      <c r="H69" s="4">
        <v>264</v>
      </c>
      <c r="I69" s="3">
        <v>113</v>
      </c>
      <c r="J69" s="3">
        <v>151</v>
      </c>
      <c r="K69" s="3">
        <v>12</v>
      </c>
      <c r="L69" s="3">
        <f t="shared" si="4"/>
        <v>4.5454545454545459</v>
      </c>
      <c r="M69" s="3">
        <v>0</v>
      </c>
      <c r="N69" s="3">
        <f t="shared" si="5"/>
        <v>0</v>
      </c>
      <c r="O69" s="3">
        <v>30</v>
      </c>
      <c r="P69" s="15">
        <v>0</v>
      </c>
      <c r="Q69" s="22" t="s">
        <v>1348</v>
      </c>
      <c r="R69" s="103">
        <v>43817</v>
      </c>
      <c r="S69" s="88">
        <v>189</v>
      </c>
      <c r="T69" s="22"/>
      <c r="U69" s="22" t="s">
        <v>1348</v>
      </c>
      <c r="V69" s="22" t="s">
        <v>1348</v>
      </c>
      <c r="W69" s="22" t="s">
        <v>1348</v>
      </c>
      <c r="X69" s="22"/>
      <c r="Y69" s="22"/>
      <c r="Z69" s="22"/>
      <c r="AA69" s="22"/>
      <c r="AB69" s="22"/>
      <c r="AC69" s="22"/>
      <c r="AD69" s="22"/>
      <c r="AE69" s="22"/>
    </row>
    <row r="70" spans="1:31" x14ac:dyDescent="0.25">
      <c r="A70" s="1" t="s">
        <v>0</v>
      </c>
      <c r="B70" s="1" t="s">
        <v>401</v>
      </c>
      <c r="C70" s="2" t="s">
        <v>437</v>
      </c>
      <c r="D70" s="1" t="s">
        <v>493</v>
      </c>
      <c r="E70" s="1"/>
      <c r="F70" s="3">
        <v>857</v>
      </c>
      <c r="G70" s="3">
        <v>231</v>
      </c>
      <c r="H70" s="4">
        <v>1005</v>
      </c>
      <c r="I70" s="3">
        <v>476</v>
      </c>
      <c r="J70" s="3">
        <v>529</v>
      </c>
      <c r="K70" s="3">
        <v>475</v>
      </c>
      <c r="L70" s="3">
        <f t="shared" si="4"/>
        <v>47.263681592039802</v>
      </c>
      <c r="M70" s="3">
        <v>0</v>
      </c>
      <c r="N70" s="3">
        <f t="shared" si="5"/>
        <v>0</v>
      </c>
      <c r="O70" s="3">
        <v>84</v>
      </c>
      <c r="P70" s="15">
        <v>0</v>
      </c>
      <c r="Q70" s="22" t="s">
        <v>1348</v>
      </c>
      <c r="R70" s="103">
        <v>43816</v>
      </c>
      <c r="S70" s="88">
        <v>135</v>
      </c>
      <c r="T70" s="22"/>
      <c r="U70" s="22" t="s">
        <v>1348</v>
      </c>
      <c r="V70" s="22" t="s">
        <v>1348</v>
      </c>
      <c r="W70" s="22" t="s">
        <v>1348</v>
      </c>
      <c r="X70" s="22"/>
      <c r="Y70" s="22"/>
      <c r="Z70" s="22"/>
      <c r="AA70" s="22"/>
      <c r="AB70" s="22"/>
      <c r="AC70" s="22"/>
      <c r="AD70" s="22"/>
      <c r="AE70" s="22"/>
    </row>
    <row r="71" spans="1:31" x14ac:dyDescent="0.25">
      <c r="A71" s="1" t="s">
        <v>0</v>
      </c>
      <c r="B71" s="1" t="s">
        <v>401</v>
      </c>
      <c r="C71" s="2" t="s">
        <v>524</v>
      </c>
      <c r="D71" s="1" t="s">
        <v>523</v>
      </c>
      <c r="E71" s="1"/>
      <c r="F71" s="3">
        <v>1804</v>
      </c>
      <c r="G71" s="3">
        <v>712</v>
      </c>
      <c r="H71" s="4">
        <v>2873</v>
      </c>
      <c r="I71" s="3">
        <v>1373</v>
      </c>
      <c r="J71" s="3">
        <v>1500</v>
      </c>
      <c r="K71" s="3">
        <v>350</v>
      </c>
      <c r="L71" s="3">
        <f t="shared" si="4"/>
        <v>12.182387747998607</v>
      </c>
      <c r="M71" s="3">
        <v>539</v>
      </c>
      <c r="N71" s="3">
        <f t="shared" si="5"/>
        <v>18.760877131917855</v>
      </c>
      <c r="O71" s="3">
        <v>67</v>
      </c>
      <c r="P71" s="15">
        <v>0</v>
      </c>
      <c r="Q71" s="22" t="s">
        <v>1348</v>
      </c>
      <c r="R71" s="103">
        <v>43821</v>
      </c>
      <c r="S71" s="101">
        <v>220</v>
      </c>
      <c r="T71" s="22"/>
      <c r="U71" s="22" t="s">
        <v>1348</v>
      </c>
      <c r="V71" s="22" t="s">
        <v>1348</v>
      </c>
      <c r="W71" s="22" t="s">
        <v>1348</v>
      </c>
      <c r="X71" s="22"/>
      <c r="Y71" s="22"/>
      <c r="Z71" s="22"/>
      <c r="AA71" s="22"/>
      <c r="AB71" s="22"/>
      <c r="AC71" s="22"/>
      <c r="AD71" s="22"/>
      <c r="AE71" s="22"/>
    </row>
    <row r="72" spans="1:31" x14ac:dyDescent="0.25">
      <c r="A72" s="1" t="s">
        <v>0</v>
      </c>
      <c r="B72" s="1" t="s">
        <v>401</v>
      </c>
      <c r="C72" s="2" t="s">
        <v>511</v>
      </c>
      <c r="D72" s="1" t="s">
        <v>510</v>
      </c>
      <c r="E72" s="1"/>
      <c r="F72" s="3">
        <v>2373.16</v>
      </c>
      <c r="G72" s="3">
        <v>623</v>
      </c>
      <c r="H72" s="4">
        <v>2543</v>
      </c>
      <c r="I72" s="3">
        <v>1215</v>
      </c>
      <c r="J72" s="3">
        <v>1328</v>
      </c>
      <c r="K72" s="3">
        <v>804</v>
      </c>
      <c r="L72" s="3">
        <f t="shared" si="4"/>
        <v>31.616201337003542</v>
      </c>
      <c r="M72" s="3">
        <v>68</v>
      </c>
      <c r="N72" s="3">
        <f t="shared" si="5"/>
        <v>2.6740070782540308</v>
      </c>
      <c r="O72" s="3">
        <v>271.42</v>
      </c>
      <c r="P72" s="15">
        <v>0</v>
      </c>
      <c r="Q72" s="22" t="s">
        <v>1348</v>
      </c>
      <c r="R72" s="103">
        <v>43668</v>
      </c>
      <c r="S72" s="88">
        <v>26.5</v>
      </c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 spans="1:31" x14ac:dyDescent="0.25">
      <c r="A73" s="1" t="s">
        <v>0</v>
      </c>
      <c r="B73" s="1" t="s">
        <v>401</v>
      </c>
      <c r="C73" s="2" t="s">
        <v>570</v>
      </c>
      <c r="D73" s="1" t="s">
        <v>569</v>
      </c>
      <c r="E73" s="1"/>
      <c r="F73" s="3">
        <v>625.09</v>
      </c>
      <c r="G73" s="3">
        <v>180</v>
      </c>
      <c r="H73" s="4">
        <v>720</v>
      </c>
      <c r="I73" s="3">
        <v>352</v>
      </c>
      <c r="J73" s="3">
        <v>368</v>
      </c>
      <c r="K73" s="3">
        <v>108</v>
      </c>
      <c r="L73" s="3">
        <f t="shared" si="4"/>
        <v>15</v>
      </c>
      <c r="M73" s="3">
        <v>129</v>
      </c>
      <c r="N73" s="3">
        <f t="shared" si="5"/>
        <v>17.916666666666668</v>
      </c>
      <c r="O73" s="3">
        <v>49.06</v>
      </c>
      <c r="P73" s="15">
        <v>0</v>
      </c>
      <c r="Q73" s="22" t="s">
        <v>1348</v>
      </c>
      <c r="R73" s="103">
        <v>43821</v>
      </c>
      <c r="S73" s="88">
        <v>20.16</v>
      </c>
      <c r="T73" s="22"/>
      <c r="U73" s="22" t="s">
        <v>1348</v>
      </c>
      <c r="V73" s="22" t="s">
        <v>1348</v>
      </c>
      <c r="W73" s="22" t="s">
        <v>1348</v>
      </c>
      <c r="X73" s="22"/>
      <c r="Y73" s="22"/>
      <c r="Z73" s="22"/>
      <c r="AA73" s="22"/>
      <c r="AB73" s="22"/>
      <c r="AC73" s="22"/>
      <c r="AD73" s="22"/>
      <c r="AE73" s="22"/>
    </row>
    <row r="74" spans="1:31" x14ac:dyDescent="0.25">
      <c r="A74" s="1" t="s">
        <v>0</v>
      </c>
      <c r="B74" s="1" t="s">
        <v>401</v>
      </c>
      <c r="C74" s="2" t="s">
        <v>570</v>
      </c>
      <c r="D74" s="1" t="s">
        <v>571</v>
      </c>
      <c r="E74" s="1"/>
      <c r="F74" s="3">
        <v>3680.65</v>
      </c>
      <c r="G74" s="3">
        <v>1063</v>
      </c>
      <c r="H74" s="4">
        <v>5089</v>
      </c>
      <c r="I74" s="3">
        <v>2523</v>
      </c>
      <c r="J74" s="3">
        <v>2566</v>
      </c>
      <c r="K74" s="3">
        <v>1170</v>
      </c>
      <c r="L74" s="3">
        <f t="shared" si="4"/>
        <v>22.990764393790528</v>
      </c>
      <c r="M74" s="3">
        <v>308</v>
      </c>
      <c r="N74" s="3">
        <f t="shared" si="5"/>
        <v>6.0522696011004129</v>
      </c>
      <c r="O74" s="3">
        <v>589.07000000000005</v>
      </c>
      <c r="P74" s="15">
        <v>0</v>
      </c>
      <c r="Q74" s="22" t="s">
        <v>1348</v>
      </c>
      <c r="R74" s="103">
        <v>43889</v>
      </c>
      <c r="S74" s="88">
        <v>43</v>
      </c>
      <c r="T74" s="22"/>
      <c r="U74" s="22" t="s">
        <v>1348</v>
      </c>
      <c r="V74" s="22" t="s">
        <v>1348</v>
      </c>
      <c r="W74" s="22" t="s">
        <v>1348</v>
      </c>
      <c r="X74" s="22"/>
      <c r="Y74" s="22"/>
      <c r="Z74" s="22"/>
      <c r="AA74" s="22"/>
      <c r="AB74" s="22"/>
      <c r="AC74" s="22"/>
      <c r="AD74" s="22"/>
      <c r="AE74" s="22"/>
    </row>
    <row r="75" spans="1:31" x14ac:dyDescent="0.25">
      <c r="A75" s="1" t="s">
        <v>0</v>
      </c>
      <c r="B75" s="1" t="s">
        <v>401</v>
      </c>
      <c r="C75" s="2" t="s">
        <v>451</v>
      </c>
      <c r="D75" s="1" t="s">
        <v>450</v>
      </c>
      <c r="E75" s="1"/>
      <c r="F75" s="3">
        <v>614.29999999999995</v>
      </c>
      <c r="G75" s="3">
        <v>793</v>
      </c>
      <c r="H75" s="4">
        <v>3823</v>
      </c>
      <c r="I75" s="3">
        <v>1904</v>
      </c>
      <c r="J75" s="3">
        <v>1919</v>
      </c>
      <c r="K75" s="3">
        <v>1340</v>
      </c>
      <c r="L75" s="3">
        <f t="shared" si="4"/>
        <v>35.051007062516348</v>
      </c>
      <c r="M75" s="3">
        <v>2</v>
      </c>
      <c r="N75" s="3">
        <f t="shared" si="5"/>
        <v>5.2314935914203498E-2</v>
      </c>
      <c r="O75" s="3">
        <v>2</v>
      </c>
      <c r="P75" s="15">
        <v>0</v>
      </c>
      <c r="Q75" s="22"/>
      <c r="R75" s="97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 spans="1:31" x14ac:dyDescent="0.25">
      <c r="A76" s="1" t="s">
        <v>0</v>
      </c>
      <c r="B76" s="1" t="s">
        <v>401</v>
      </c>
      <c r="C76" s="2" t="s">
        <v>414</v>
      </c>
      <c r="D76" s="1" t="s">
        <v>413</v>
      </c>
      <c r="E76" s="1"/>
      <c r="F76" s="3">
        <v>448.58</v>
      </c>
      <c r="G76" s="3">
        <v>119</v>
      </c>
      <c r="H76" s="4">
        <v>629</v>
      </c>
      <c r="I76" s="3">
        <v>336</v>
      </c>
      <c r="J76" s="3">
        <v>293</v>
      </c>
      <c r="K76" s="3">
        <v>629</v>
      </c>
      <c r="L76" s="3">
        <f t="shared" si="4"/>
        <v>100</v>
      </c>
      <c r="M76" s="3">
        <v>0</v>
      </c>
      <c r="N76" s="3">
        <f t="shared" si="5"/>
        <v>0</v>
      </c>
      <c r="O76" s="3">
        <v>16.8</v>
      </c>
      <c r="P76" s="15">
        <v>102.99</v>
      </c>
      <c r="Q76" s="22" t="s">
        <v>1348</v>
      </c>
      <c r="R76" s="103">
        <v>43767</v>
      </c>
      <c r="S76" s="88">
        <v>266</v>
      </c>
      <c r="T76" s="22"/>
      <c r="U76" s="22" t="s">
        <v>1348</v>
      </c>
      <c r="V76" s="22" t="s">
        <v>1348</v>
      </c>
      <c r="W76" s="22" t="s">
        <v>1348</v>
      </c>
      <c r="X76" s="22"/>
      <c r="Y76" s="22"/>
      <c r="Z76" s="22"/>
      <c r="AA76" s="22"/>
      <c r="AB76" s="22"/>
      <c r="AC76" s="22"/>
      <c r="AD76" s="22"/>
      <c r="AE76" s="22"/>
    </row>
    <row r="77" spans="1:31" x14ac:dyDescent="0.25">
      <c r="A77" s="1" t="s">
        <v>0</v>
      </c>
      <c r="B77" s="1" t="s">
        <v>401</v>
      </c>
      <c r="C77" s="2" t="s">
        <v>414</v>
      </c>
      <c r="D77" s="1" t="s">
        <v>415</v>
      </c>
      <c r="E77" s="1"/>
      <c r="F77" s="3">
        <v>4403.38</v>
      </c>
      <c r="G77" s="3">
        <v>730</v>
      </c>
      <c r="H77" s="4">
        <v>2958</v>
      </c>
      <c r="I77" s="3">
        <v>1416</v>
      </c>
      <c r="J77" s="3">
        <v>1542</v>
      </c>
      <c r="K77" s="3">
        <v>751</v>
      </c>
      <c r="L77" s="3">
        <f t="shared" si="4"/>
        <v>25.388776200135226</v>
      </c>
      <c r="M77" s="3">
        <v>16</v>
      </c>
      <c r="N77" s="3">
        <f t="shared" si="5"/>
        <v>0.54090601757944556</v>
      </c>
      <c r="O77" s="3">
        <v>33.75</v>
      </c>
      <c r="P77" s="15">
        <v>0</v>
      </c>
      <c r="Q77" s="22" t="s">
        <v>1348</v>
      </c>
      <c r="R77" s="103">
        <v>43768</v>
      </c>
      <c r="S77" s="88">
        <v>42</v>
      </c>
      <c r="T77" s="22"/>
      <c r="U77" s="22" t="s">
        <v>1348</v>
      </c>
      <c r="V77" s="22" t="s">
        <v>1348</v>
      </c>
      <c r="W77" s="22" t="s">
        <v>1348</v>
      </c>
      <c r="X77" s="22"/>
      <c r="Y77" s="22"/>
      <c r="Z77" s="22"/>
      <c r="AA77" s="22"/>
      <c r="AB77" s="22"/>
      <c r="AC77" s="22"/>
      <c r="AD77" s="22"/>
      <c r="AE77" s="22"/>
    </row>
    <row r="78" spans="1:31" x14ac:dyDescent="0.25">
      <c r="A78" s="1" t="s">
        <v>0</v>
      </c>
      <c r="B78" s="1" t="s">
        <v>401</v>
      </c>
      <c r="C78" s="2" t="s">
        <v>497</v>
      </c>
      <c r="D78" s="1" t="s">
        <v>496</v>
      </c>
      <c r="E78" s="1"/>
      <c r="F78" s="3">
        <v>920</v>
      </c>
      <c r="G78" s="3">
        <v>406</v>
      </c>
      <c r="H78" s="4">
        <v>1570</v>
      </c>
      <c r="I78" s="3">
        <v>733</v>
      </c>
      <c r="J78" s="3">
        <v>837</v>
      </c>
      <c r="K78" s="3">
        <v>318</v>
      </c>
      <c r="L78" s="3">
        <f t="shared" si="4"/>
        <v>20.254777070063696</v>
      </c>
      <c r="M78" s="3">
        <v>248</v>
      </c>
      <c r="N78" s="3">
        <f t="shared" si="5"/>
        <v>15.796178343949045</v>
      </c>
      <c r="O78" s="3">
        <v>97</v>
      </c>
      <c r="P78" s="15">
        <v>0</v>
      </c>
      <c r="Q78" s="22"/>
      <c r="R78" s="97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 spans="1:31" x14ac:dyDescent="0.25">
      <c r="A79" s="1" t="s">
        <v>0</v>
      </c>
      <c r="B79" s="1" t="s">
        <v>401</v>
      </c>
      <c r="C79" s="2" t="s">
        <v>497</v>
      </c>
      <c r="D79" s="1" t="s">
        <v>498</v>
      </c>
      <c r="E79" s="1"/>
      <c r="F79" s="3">
        <v>1493</v>
      </c>
      <c r="G79" s="3">
        <v>385</v>
      </c>
      <c r="H79" s="4">
        <v>1592</v>
      </c>
      <c r="I79" s="3">
        <v>753</v>
      </c>
      <c r="J79" s="3">
        <v>839</v>
      </c>
      <c r="K79" s="3">
        <v>329</v>
      </c>
      <c r="L79" s="3">
        <f t="shared" si="4"/>
        <v>20.665829145728644</v>
      </c>
      <c r="M79" s="3">
        <v>255</v>
      </c>
      <c r="N79" s="3">
        <f t="shared" si="5"/>
        <v>16.017587939698494</v>
      </c>
      <c r="O79" s="3">
        <v>277</v>
      </c>
      <c r="P79" s="15">
        <v>0</v>
      </c>
      <c r="Q79" s="22"/>
      <c r="R79" s="97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</row>
    <row r="80" spans="1:31" x14ac:dyDescent="0.25">
      <c r="A80" s="1" t="s">
        <v>0</v>
      </c>
      <c r="B80" s="1" t="s">
        <v>401</v>
      </c>
      <c r="C80" s="2" t="s">
        <v>531</v>
      </c>
      <c r="D80" s="1" t="s">
        <v>530</v>
      </c>
      <c r="E80" s="1"/>
      <c r="F80" s="3">
        <v>1334</v>
      </c>
      <c r="G80" s="3">
        <v>423</v>
      </c>
      <c r="H80" s="4">
        <v>1777</v>
      </c>
      <c r="I80" s="3">
        <v>866</v>
      </c>
      <c r="J80" s="3">
        <v>911</v>
      </c>
      <c r="K80" s="3">
        <v>326</v>
      </c>
      <c r="L80" s="3">
        <f t="shared" si="4"/>
        <v>18.345526167698367</v>
      </c>
      <c r="M80" s="3">
        <v>1</v>
      </c>
      <c r="N80" s="3">
        <f t="shared" si="5"/>
        <v>5.6274620146314014E-2</v>
      </c>
      <c r="O80" s="3">
        <v>75</v>
      </c>
      <c r="P80" s="15">
        <v>0</v>
      </c>
      <c r="Q80" s="22" t="s">
        <v>1348</v>
      </c>
      <c r="R80" s="103">
        <v>43792</v>
      </c>
      <c r="S80" s="88">
        <v>63.31</v>
      </c>
      <c r="T80" s="22"/>
      <c r="U80" s="22" t="s">
        <v>1348</v>
      </c>
      <c r="V80" s="22" t="s">
        <v>1348</v>
      </c>
      <c r="W80" s="22" t="s">
        <v>1348</v>
      </c>
      <c r="X80" s="22"/>
      <c r="Y80" s="22"/>
      <c r="Z80" s="22"/>
      <c r="AA80" s="22"/>
      <c r="AB80" s="22"/>
      <c r="AC80" s="22"/>
      <c r="AD80" s="22"/>
      <c r="AE80" s="22"/>
    </row>
    <row r="81" spans="1:31" x14ac:dyDescent="0.25">
      <c r="A81" s="1" t="s">
        <v>0</v>
      </c>
      <c r="B81" s="1" t="s">
        <v>401</v>
      </c>
      <c r="C81" s="2" t="s">
        <v>531</v>
      </c>
      <c r="D81" s="1" t="s">
        <v>532</v>
      </c>
      <c r="E81" s="1"/>
      <c r="F81" s="3">
        <v>384</v>
      </c>
      <c r="G81" s="3">
        <v>101</v>
      </c>
      <c r="H81" s="4">
        <v>398</v>
      </c>
      <c r="I81" s="3">
        <v>186</v>
      </c>
      <c r="J81" s="3">
        <v>212</v>
      </c>
      <c r="K81" s="3">
        <v>106</v>
      </c>
      <c r="L81" s="3">
        <f t="shared" si="4"/>
        <v>26.633165829145728</v>
      </c>
      <c r="M81" s="3">
        <v>0</v>
      </c>
      <c r="N81" s="3">
        <f t="shared" si="5"/>
        <v>0</v>
      </c>
      <c r="O81" s="3">
        <v>54</v>
      </c>
      <c r="P81" s="15">
        <v>0</v>
      </c>
      <c r="Q81" s="22" t="s">
        <v>1348</v>
      </c>
      <c r="R81" s="103">
        <v>43822</v>
      </c>
      <c r="S81" s="88">
        <v>100</v>
      </c>
      <c r="T81" s="22"/>
      <c r="U81" s="22" t="s">
        <v>1348</v>
      </c>
      <c r="V81" s="22" t="s">
        <v>1348</v>
      </c>
      <c r="W81" s="22" t="s">
        <v>1348</v>
      </c>
      <c r="X81" s="22"/>
      <c r="Y81" s="22"/>
      <c r="Z81" s="22"/>
      <c r="AA81" s="22"/>
      <c r="AB81" s="22"/>
      <c r="AC81" s="22"/>
      <c r="AD81" s="22"/>
      <c r="AE81" s="22"/>
    </row>
    <row r="82" spans="1:31" x14ac:dyDescent="0.25">
      <c r="A82" s="1" t="s">
        <v>0</v>
      </c>
      <c r="B82" s="1" t="s">
        <v>401</v>
      </c>
      <c r="C82" s="2" t="s">
        <v>531</v>
      </c>
      <c r="D82" s="1" t="s">
        <v>563</v>
      </c>
      <c r="E82" s="1"/>
      <c r="F82" s="3">
        <v>647</v>
      </c>
      <c r="G82" s="3">
        <v>62</v>
      </c>
      <c r="H82" s="4">
        <v>259</v>
      </c>
      <c r="I82" s="3">
        <v>133</v>
      </c>
      <c r="J82" s="3">
        <v>126</v>
      </c>
      <c r="K82" s="3">
        <v>55</v>
      </c>
      <c r="L82" s="3">
        <f t="shared" si="4"/>
        <v>21.235521235521233</v>
      </c>
      <c r="M82" s="3">
        <v>0</v>
      </c>
      <c r="N82" s="3">
        <f t="shared" si="5"/>
        <v>0</v>
      </c>
      <c r="O82" s="3">
        <v>108</v>
      </c>
      <c r="P82" s="15">
        <v>0</v>
      </c>
      <c r="Q82" s="22" t="s">
        <v>1348</v>
      </c>
      <c r="R82" s="103">
        <v>43794</v>
      </c>
      <c r="S82" s="88">
        <v>27.02</v>
      </c>
      <c r="T82" s="22"/>
      <c r="U82" s="22" t="s">
        <v>1348</v>
      </c>
      <c r="V82" s="22" t="s">
        <v>1348</v>
      </c>
      <c r="W82" s="22" t="s">
        <v>1348</v>
      </c>
      <c r="X82" s="22"/>
      <c r="Y82" s="22"/>
      <c r="Z82" s="22"/>
      <c r="AA82" s="22"/>
      <c r="AB82" s="22"/>
      <c r="AC82" s="22"/>
      <c r="AD82" s="22"/>
      <c r="AE82" s="22"/>
    </row>
    <row r="83" spans="1:31" x14ac:dyDescent="0.25">
      <c r="A83" s="1" t="s">
        <v>0</v>
      </c>
      <c r="B83" s="1" t="s">
        <v>401</v>
      </c>
      <c r="C83" s="2" t="s">
        <v>531</v>
      </c>
      <c r="D83" s="1" t="s">
        <v>564</v>
      </c>
      <c r="E83" s="1"/>
      <c r="F83" s="3">
        <v>779</v>
      </c>
      <c r="G83" s="3">
        <v>165</v>
      </c>
      <c r="H83" s="4">
        <v>689</v>
      </c>
      <c r="I83" s="3">
        <v>334</v>
      </c>
      <c r="J83" s="3">
        <v>355</v>
      </c>
      <c r="K83" s="3">
        <v>54</v>
      </c>
      <c r="L83" s="3">
        <f t="shared" si="4"/>
        <v>7.8374455732946293</v>
      </c>
      <c r="M83" s="3">
        <v>7</v>
      </c>
      <c r="N83" s="3">
        <f t="shared" si="5"/>
        <v>1.0159651669085632</v>
      </c>
      <c r="O83" s="3">
        <v>0</v>
      </c>
      <c r="P83" s="15">
        <v>0</v>
      </c>
      <c r="Q83" s="22" t="s">
        <v>1348</v>
      </c>
      <c r="R83" s="103">
        <v>43793</v>
      </c>
      <c r="S83" s="88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</row>
    <row r="84" spans="1:31" x14ac:dyDescent="0.25">
      <c r="A84" s="1" t="s">
        <v>0</v>
      </c>
      <c r="B84" s="1" t="s">
        <v>401</v>
      </c>
      <c r="C84" s="2" t="s">
        <v>500</v>
      </c>
      <c r="D84" s="1" t="s">
        <v>499</v>
      </c>
      <c r="E84" s="1"/>
      <c r="F84" s="3">
        <v>732</v>
      </c>
      <c r="G84" s="3">
        <v>247</v>
      </c>
      <c r="H84" s="4">
        <v>965</v>
      </c>
      <c r="I84" s="3">
        <v>446</v>
      </c>
      <c r="J84" s="3">
        <v>519</v>
      </c>
      <c r="K84" s="3">
        <v>289</v>
      </c>
      <c r="L84" s="3">
        <f t="shared" si="4"/>
        <v>29.948186528497413</v>
      </c>
      <c r="M84" s="3">
        <v>0</v>
      </c>
      <c r="N84" s="3">
        <f t="shared" si="5"/>
        <v>0</v>
      </c>
      <c r="O84" s="3">
        <v>64</v>
      </c>
      <c r="P84" s="15">
        <v>0</v>
      </c>
      <c r="Q84" s="22" t="s">
        <v>1348</v>
      </c>
      <c r="R84" s="103">
        <v>43794</v>
      </c>
      <c r="S84" s="88">
        <v>19.63</v>
      </c>
      <c r="T84" s="22"/>
      <c r="U84" s="22" t="s">
        <v>1348</v>
      </c>
      <c r="V84" s="22" t="s">
        <v>1348</v>
      </c>
      <c r="W84" s="22" t="s">
        <v>1348</v>
      </c>
      <c r="X84" s="22"/>
      <c r="Y84" s="22"/>
      <c r="Z84" s="22"/>
      <c r="AA84" s="22"/>
      <c r="AB84" s="22"/>
      <c r="AC84" s="22"/>
      <c r="AD84" s="22"/>
      <c r="AE84" s="22"/>
    </row>
    <row r="85" spans="1:31" x14ac:dyDescent="0.25">
      <c r="A85" s="1" t="s">
        <v>0</v>
      </c>
      <c r="B85" s="1" t="s">
        <v>401</v>
      </c>
      <c r="C85" s="2" t="s">
        <v>500</v>
      </c>
      <c r="D85" s="1" t="s">
        <v>533</v>
      </c>
      <c r="E85" s="1"/>
      <c r="F85" s="3">
        <v>745</v>
      </c>
      <c r="G85" s="3">
        <v>261</v>
      </c>
      <c r="H85" s="4">
        <v>1169</v>
      </c>
      <c r="I85" s="3">
        <v>572</v>
      </c>
      <c r="J85" s="3">
        <v>597</v>
      </c>
      <c r="K85" s="3">
        <v>85</v>
      </c>
      <c r="L85" s="3">
        <f t="shared" si="4"/>
        <v>7.2711719418306249</v>
      </c>
      <c r="M85" s="3">
        <v>7</v>
      </c>
      <c r="N85" s="3">
        <f t="shared" si="5"/>
        <v>0.5988023952095809</v>
      </c>
      <c r="O85" s="3">
        <v>55</v>
      </c>
      <c r="P85" s="15">
        <v>0</v>
      </c>
      <c r="Q85" s="22" t="s">
        <v>1348</v>
      </c>
      <c r="R85" s="103">
        <v>43795</v>
      </c>
      <c r="S85" s="88">
        <v>30.81</v>
      </c>
      <c r="T85" s="22"/>
      <c r="U85" s="22" t="s">
        <v>1348</v>
      </c>
      <c r="V85" s="22" t="s">
        <v>1348</v>
      </c>
      <c r="W85" s="22" t="s">
        <v>1348</v>
      </c>
      <c r="X85" s="22"/>
      <c r="Y85" s="22"/>
      <c r="Z85" s="22"/>
      <c r="AA85" s="22"/>
      <c r="AB85" s="22"/>
      <c r="AC85" s="22"/>
      <c r="AD85" s="22"/>
      <c r="AE85" s="22"/>
    </row>
    <row r="86" spans="1:31" x14ac:dyDescent="0.25">
      <c r="A86" s="1" t="s">
        <v>0</v>
      </c>
      <c r="B86" s="1" t="s">
        <v>401</v>
      </c>
      <c r="C86" s="2" t="s">
        <v>500</v>
      </c>
      <c r="D86" s="1" t="s">
        <v>534</v>
      </c>
      <c r="E86" s="1"/>
      <c r="F86" s="3">
        <v>732</v>
      </c>
      <c r="G86" s="3">
        <v>92</v>
      </c>
      <c r="H86" s="4">
        <v>393</v>
      </c>
      <c r="I86" s="3">
        <v>189</v>
      </c>
      <c r="J86" s="3">
        <v>204</v>
      </c>
      <c r="K86" s="3">
        <v>36</v>
      </c>
      <c r="L86" s="3">
        <f t="shared" si="4"/>
        <v>9.1603053435114496</v>
      </c>
      <c r="M86" s="3">
        <v>0</v>
      </c>
      <c r="N86" s="3">
        <f t="shared" si="5"/>
        <v>0</v>
      </c>
      <c r="O86" s="3">
        <v>64</v>
      </c>
      <c r="P86" s="15">
        <v>0</v>
      </c>
      <c r="Q86" s="22" t="s">
        <v>1348</v>
      </c>
      <c r="R86" s="103">
        <v>43792</v>
      </c>
      <c r="S86" s="88">
        <v>0</v>
      </c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</row>
    <row r="87" spans="1:31" x14ac:dyDescent="0.25">
      <c r="A87" s="1" t="s">
        <v>0</v>
      </c>
      <c r="B87" s="1" t="s">
        <v>401</v>
      </c>
      <c r="C87" s="2" t="s">
        <v>540</v>
      </c>
      <c r="D87" s="1" t="s">
        <v>539</v>
      </c>
      <c r="E87" s="1"/>
      <c r="F87" s="3">
        <v>354</v>
      </c>
      <c r="G87" s="3">
        <v>84</v>
      </c>
      <c r="H87" s="4">
        <v>371</v>
      </c>
      <c r="I87" s="3">
        <v>175</v>
      </c>
      <c r="J87" s="3">
        <v>196</v>
      </c>
      <c r="K87" s="3">
        <v>23</v>
      </c>
      <c r="L87" s="3">
        <f t="shared" si="4"/>
        <v>6.1994609164420487</v>
      </c>
      <c r="M87" s="3">
        <v>0</v>
      </c>
      <c r="N87" s="3">
        <f t="shared" si="5"/>
        <v>0</v>
      </c>
      <c r="O87" s="3">
        <v>28</v>
      </c>
      <c r="P87" s="15">
        <v>0</v>
      </c>
      <c r="Q87" s="22" t="s">
        <v>1348</v>
      </c>
      <c r="R87" s="103">
        <v>43814</v>
      </c>
      <c r="S87" s="88">
        <v>9.41</v>
      </c>
      <c r="T87" s="22"/>
      <c r="U87" s="22" t="s">
        <v>1348</v>
      </c>
      <c r="V87" s="22" t="s">
        <v>1348</v>
      </c>
      <c r="W87" s="22" t="s">
        <v>1348</v>
      </c>
      <c r="X87" s="22"/>
      <c r="Y87" s="22"/>
      <c r="Z87" s="22"/>
      <c r="AA87" s="22"/>
      <c r="AB87" s="22"/>
      <c r="AC87" s="22"/>
      <c r="AD87" s="22"/>
      <c r="AE87" s="22"/>
    </row>
    <row r="88" spans="1:31" x14ac:dyDescent="0.25">
      <c r="A88" s="1" t="s">
        <v>0</v>
      </c>
      <c r="B88" s="1" t="s">
        <v>401</v>
      </c>
      <c r="C88" s="2" t="s">
        <v>540</v>
      </c>
      <c r="D88" s="1" t="s">
        <v>542</v>
      </c>
      <c r="E88" s="1"/>
      <c r="F88" s="3">
        <v>423</v>
      </c>
      <c r="G88" s="3">
        <v>240</v>
      </c>
      <c r="H88" s="4">
        <v>1018</v>
      </c>
      <c r="I88" s="3">
        <v>460</v>
      </c>
      <c r="J88" s="3">
        <v>558</v>
      </c>
      <c r="K88" s="3">
        <v>190</v>
      </c>
      <c r="L88" s="3">
        <f t="shared" si="4"/>
        <v>18.664047151277014</v>
      </c>
      <c r="M88" s="3">
        <v>108</v>
      </c>
      <c r="N88" s="3">
        <f t="shared" si="5"/>
        <v>10.609037328094303</v>
      </c>
      <c r="O88" s="3">
        <v>65</v>
      </c>
      <c r="P88" s="15">
        <v>0</v>
      </c>
      <c r="Q88" s="22" t="s">
        <v>1348</v>
      </c>
      <c r="R88" s="103">
        <v>43822</v>
      </c>
      <c r="S88" s="88">
        <v>16.510000000000002</v>
      </c>
      <c r="T88" s="22"/>
      <c r="U88" s="22" t="s">
        <v>1348</v>
      </c>
      <c r="V88" s="22" t="s">
        <v>1348</v>
      </c>
      <c r="W88" s="22" t="s">
        <v>1348</v>
      </c>
      <c r="X88" s="22"/>
      <c r="Y88" s="22"/>
      <c r="Z88" s="22"/>
      <c r="AA88" s="22"/>
      <c r="AB88" s="22"/>
      <c r="AC88" s="22"/>
      <c r="AD88" s="22"/>
      <c r="AE88" s="22"/>
    </row>
    <row r="89" spans="1:31" x14ac:dyDescent="0.25">
      <c r="A89" s="1" t="s">
        <v>0</v>
      </c>
      <c r="B89" s="1" t="s">
        <v>401</v>
      </c>
      <c r="C89" s="2" t="s">
        <v>540</v>
      </c>
      <c r="D89" s="1" t="s">
        <v>548</v>
      </c>
      <c r="E89" s="1"/>
      <c r="F89" s="3">
        <v>835</v>
      </c>
      <c r="G89" s="3">
        <v>274</v>
      </c>
      <c r="H89" s="4">
        <v>1119</v>
      </c>
      <c r="I89" s="3">
        <v>520</v>
      </c>
      <c r="J89" s="3">
        <v>599</v>
      </c>
      <c r="K89" s="3">
        <v>206</v>
      </c>
      <c r="L89" s="3">
        <f t="shared" si="4"/>
        <v>18.409294012511172</v>
      </c>
      <c r="M89" s="3">
        <v>26</v>
      </c>
      <c r="N89" s="3">
        <f t="shared" si="5"/>
        <v>2.3235031277926721</v>
      </c>
      <c r="O89" s="3">
        <v>30</v>
      </c>
      <c r="P89" s="15">
        <v>0</v>
      </c>
      <c r="Q89" s="22" t="s">
        <v>1348</v>
      </c>
      <c r="R89" s="103">
        <v>44138</v>
      </c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</row>
    <row r="90" spans="1:31" x14ac:dyDescent="0.25">
      <c r="A90" s="1" t="s">
        <v>0</v>
      </c>
      <c r="B90" s="1" t="s">
        <v>401</v>
      </c>
      <c r="C90" s="2" t="s">
        <v>540</v>
      </c>
      <c r="D90" s="1" t="s">
        <v>549</v>
      </c>
      <c r="E90" s="1"/>
      <c r="F90" s="3">
        <v>324</v>
      </c>
      <c r="G90" s="3">
        <v>139</v>
      </c>
      <c r="H90" s="4">
        <v>745</v>
      </c>
      <c r="I90" s="3">
        <v>383</v>
      </c>
      <c r="J90" s="3">
        <v>362</v>
      </c>
      <c r="K90" s="3">
        <v>1</v>
      </c>
      <c r="L90" s="3">
        <f t="shared" si="4"/>
        <v>0.13422818791946309</v>
      </c>
      <c r="M90" s="3">
        <v>7</v>
      </c>
      <c r="N90" s="3">
        <f t="shared" si="5"/>
        <v>0.93959731543624159</v>
      </c>
      <c r="O90" s="3">
        <v>48</v>
      </c>
      <c r="P90" s="15">
        <v>0</v>
      </c>
      <c r="Q90" s="22" t="s">
        <v>1348</v>
      </c>
      <c r="R90" s="103">
        <v>43905</v>
      </c>
      <c r="S90" s="88">
        <v>40.520000000000003</v>
      </c>
      <c r="T90" s="22"/>
      <c r="U90" s="22" t="s">
        <v>1348</v>
      </c>
      <c r="V90" s="22" t="s">
        <v>1348</v>
      </c>
      <c r="W90" s="22" t="s">
        <v>1348</v>
      </c>
      <c r="X90" s="22"/>
      <c r="Y90" s="22"/>
      <c r="Z90" s="22"/>
      <c r="AA90" s="22"/>
      <c r="AB90" s="22"/>
      <c r="AC90" s="22"/>
      <c r="AD90" s="22"/>
      <c r="AE90" s="22"/>
    </row>
    <row r="91" spans="1:31" x14ac:dyDescent="0.25">
      <c r="A91" s="1" t="s">
        <v>0</v>
      </c>
      <c r="B91" s="1" t="s">
        <v>401</v>
      </c>
      <c r="C91" s="2" t="s">
        <v>540</v>
      </c>
      <c r="D91" s="1" t="s">
        <v>557</v>
      </c>
      <c r="E91" s="1"/>
      <c r="F91" s="3">
        <v>147</v>
      </c>
      <c r="G91" s="3">
        <v>31</v>
      </c>
      <c r="H91" s="4">
        <v>131</v>
      </c>
      <c r="I91" s="3">
        <v>68</v>
      </c>
      <c r="J91" s="3">
        <v>63</v>
      </c>
      <c r="K91" s="3">
        <v>6</v>
      </c>
      <c r="L91" s="3">
        <f t="shared" si="4"/>
        <v>4.5801526717557248</v>
      </c>
      <c r="M91" s="3">
        <v>10</v>
      </c>
      <c r="N91" s="3">
        <f t="shared" si="5"/>
        <v>7.6335877862595423</v>
      </c>
      <c r="O91" s="3">
        <v>19</v>
      </c>
      <c r="P91" s="15">
        <v>0</v>
      </c>
      <c r="Q91" s="22" t="s">
        <v>1348</v>
      </c>
      <c r="R91" s="103">
        <v>43903</v>
      </c>
      <c r="S91" s="88">
        <v>9.2799999999999994</v>
      </c>
      <c r="T91" s="22"/>
      <c r="U91" s="22" t="s">
        <v>1348</v>
      </c>
      <c r="V91" s="22" t="s">
        <v>1348</v>
      </c>
      <c r="W91" s="22" t="s">
        <v>1348</v>
      </c>
      <c r="X91" s="22"/>
      <c r="Y91" s="22"/>
      <c r="Z91" s="22"/>
      <c r="AA91" s="22"/>
      <c r="AB91" s="22"/>
      <c r="AC91" s="22"/>
      <c r="AD91" s="22"/>
      <c r="AE91" s="22"/>
    </row>
    <row r="92" spans="1:31" x14ac:dyDescent="0.25">
      <c r="A92" s="1" t="s">
        <v>0</v>
      </c>
      <c r="B92" s="1" t="s">
        <v>401</v>
      </c>
      <c r="C92" s="2" t="s">
        <v>417</v>
      </c>
      <c r="D92" s="1" t="s">
        <v>416</v>
      </c>
      <c r="E92" s="1"/>
      <c r="F92" s="3">
        <v>799</v>
      </c>
      <c r="G92" s="3">
        <v>123</v>
      </c>
      <c r="H92" s="4">
        <v>541</v>
      </c>
      <c r="I92" s="3">
        <v>243</v>
      </c>
      <c r="J92" s="3">
        <v>298</v>
      </c>
      <c r="K92" s="3">
        <v>58</v>
      </c>
      <c r="L92" s="3">
        <f t="shared" si="4"/>
        <v>10.720887245841034</v>
      </c>
      <c r="M92" s="3">
        <v>0</v>
      </c>
      <c r="N92" s="3">
        <f t="shared" si="5"/>
        <v>0</v>
      </c>
      <c r="O92" s="3">
        <v>35</v>
      </c>
      <c r="P92" s="15">
        <v>0</v>
      </c>
      <c r="Q92" s="22"/>
      <c r="R92" s="104"/>
      <c r="S92" s="87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</row>
    <row r="93" spans="1:31" x14ac:dyDescent="0.25">
      <c r="A93" s="1" t="s">
        <v>0</v>
      </c>
      <c r="B93" s="1" t="s">
        <v>401</v>
      </c>
      <c r="C93" s="2" t="s">
        <v>417</v>
      </c>
      <c r="D93" s="1" t="s">
        <v>433</v>
      </c>
      <c r="E93" s="1"/>
      <c r="F93" s="3">
        <v>398</v>
      </c>
      <c r="G93" s="3">
        <v>209</v>
      </c>
      <c r="H93" s="4">
        <v>817</v>
      </c>
      <c r="I93" s="3">
        <v>417</v>
      </c>
      <c r="J93" s="3">
        <v>400</v>
      </c>
      <c r="K93" s="3">
        <v>291</v>
      </c>
      <c r="L93" s="3">
        <f t="shared" si="4"/>
        <v>35.618115055079556</v>
      </c>
      <c r="M93" s="3">
        <v>11</v>
      </c>
      <c r="N93" s="3">
        <f t="shared" si="5"/>
        <v>1.346389228886169</v>
      </c>
      <c r="O93" s="3">
        <v>98</v>
      </c>
      <c r="P93" s="15">
        <v>0</v>
      </c>
      <c r="Q93" s="22" t="s">
        <v>1348</v>
      </c>
      <c r="R93" s="103">
        <v>43771</v>
      </c>
      <c r="S93" s="87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</row>
    <row r="94" spans="1:31" x14ac:dyDescent="0.25">
      <c r="A94" s="1" t="s">
        <v>0</v>
      </c>
      <c r="B94" s="1" t="s">
        <v>401</v>
      </c>
      <c r="C94" s="2" t="s">
        <v>417</v>
      </c>
      <c r="D94" s="1" t="s">
        <v>434</v>
      </c>
      <c r="E94" s="1"/>
      <c r="F94" s="3">
        <v>442</v>
      </c>
      <c r="G94" s="3">
        <v>92</v>
      </c>
      <c r="H94" s="4">
        <v>493</v>
      </c>
      <c r="I94" s="3">
        <v>238</v>
      </c>
      <c r="J94" s="3">
        <v>255</v>
      </c>
      <c r="K94" s="3">
        <v>175</v>
      </c>
      <c r="L94" s="3">
        <f t="shared" si="4"/>
        <v>35.496957403651116</v>
      </c>
      <c r="M94" s="3">
        <v>0</v>
      </c>
      <c r="N94" s="3">
        <f t="shared" si="5"/>
        <v>0</v>
      </c>
      <c r="O94" s="3">
        <v>54</v>
      </c>
      <c r="P94" s="15">
        <v>0</v>
      </c>
      <c r="Q94" s="22" t="s">
        <v>1348</v>
      </c>
      <c r="R94" s="103">
        <v>43770</v>
      </c>
      <c r="S94" s="87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</row>
    <row r="95" spans="1:31" x14ac:dyDescent="0.25">
      <c r="A95" s="1" t="s">
        <v>0</v>
      </c>
      <c r="B95" s="1" t="s">
        <v>401</v>
      </c>
      <c r="C95" s="2" t="s">
        <v>417</v>
      </c>
      <c r="D95" s="1" t="s">
        <v>435</v>
      </c>
      <c r="E95" s="1"/>
      <c r="F95" s="3">
        <v>562</v>
      </c>
      <c r="G95" s="3">
        <v>83</v>
      </c>
      <c r="H95" s="4">
        <v>397</v>
      </c>
      <c r="I95" s="3">
        <v>197</v>
      </c>
      <c r="J95" s="3">
        <v>200</v>
      </c>
      <c r="K95" s="3">
        <v>13</v>
      </c>
      <c r="L95" s="3">
        <f t="shared" si="4"/>
        <v>3.2745591939546599</v>
      </c>
      <c r="M95" s="3">
        <v>0</v>
      </c>
      <c r="N95" s="3">
        <f t="shared" si="5"/>
        <v>0</v>
      </c>
      <c r="O95" s="3">
        <v>92</v>
      </c>
      <c r="P95" s="15">
        <v>0</v>
      </c>
      <c r="Q95" s="22" t="s">
        <v>1348</v>
      </c>
      <c r="R95" s="103">
        <v>43816</v>
      </c>
      <c r="S95" s="87">
        <v>2.85</v>
      </c>
      <c r="T95" s="22"/>
      <c r="U95" s="22" t="s">
        <v>1348</v>
      </c>
      <c r="V95" s="22" t="s">
        <v>1348</v>
      </c>
      <c r="W95" s="22" t="s">
        <v>1348</v>
      </c>
      <c r="X95" s="22"/>
      <c r="Y95" s="22"/>
      <c r="Z95" s="22"/>
      <c r="AA95" s="22"/>
      <c r="AB95" s="22"/>
      <c r="AC95" s="22"/>
      <c r="AD95" s="22"/>
      <c r="AE95" s="22"/>
    </row>
    <row r="96" spans="1:31" x14ac:dyDescent="0.25">
      <c r="A96" s="1" t="s">
        <v>0</v>
      </c>
      <c r="B96" s="1" t="s">
        <v>401</v>
      </c>
      <c r="C96" s="2" t="s">
        <v>417</v>
      </c>
      <c r="D96" s="1" t="s">
        <v>307</v>
      </c>
      <c r="E96" s="1"/>
      <c r="F96" s="3">
        <v>700</v>
      </c>
      <c r="G96" s="3">
        <v>94</v>
      </c>
      <c r="H96" s="4">
        <v>388</v>
      </c>
      <c r="I96" s="3">
        <v>188</v>
      </c>
      <c r="J96" s="3">
        <v>200</v>
      </c>
      <c r="K96" s="3">
        <v>168</v>
      </c>
      <c r="L96" s="3">
        <f t="shared" si="4"/>
        <v>43.298969072164951</v>
      </c>
      <c r="M96" s="3">
        <v>0</v>
      </c>
      <c r="N96" s="3">
        <f t="shared" si="5"/>
        <v>0</v>
      </c>
      <c r="O96" s="3">
        <v>44</v>
      </c>
      <c r="P96" s="15">
        <v>0</v>
      </c>
      <c r="Q96" s="22"/>
      <c r="R96" s="104"/>
      <c r="S96" s="87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</row>
    <row r="97" spans="1:31" x14ac:dyDescent="0.25">
      <c r="A97" s="1" t="s">
        <v>0</v>
      </c>
      <c r="B97" s="1" t="s">
        <v>401</v>
      </c>
      <c r="C97" s="2" t="s">
        <v>424</v>
      </c>
      <c r="D97" s="1" t="s">
        <v>423</v>
      </c>
      <c r="E97" s="1"/>
      <c r="F97" s="3">
        <v>834</v>
      </c>
      <c r="G97" s="3">
        <v>110</v>
      </c>
      <c r="H97" s="4">
        <v>432</v>
      </c>
      <c r="I97" s="3">
        <v>201</v>
      </c>
      <c r="J97" s="3">
        <v>231</v>
      </c>
      <c r="K97" s="3">
        <v>130</v>
      </c>
      <c r="L97" s="3">
        <f t="shared" si="4"/>
        <v>30.092592592592592</v>
      </c>
      <c r="M97" s="3">
        <v>0</v>
      </c>
      <c r="N97" s="3">
        <f t="shared" si="5"/>
        <v>0</v>
      </c>
      <c r="O97" s="3">
        <v>107</v>
      </c>
      <c r="P97" s="15">
        <v>0</v>
      </c>
      <c r="Q97" s="22" t="s">
        <v>1348</v>
      </c>
      <c r="R97" s="103">
        <v>43863</v>
      </c>
      <c r="S97" s="87">
        <v>2.5499999999999998</v>
      </c>
      <c r="T97" s="22"/>
      <c r="U97" s="22" t="s">
        <v>1348</v>
      </c>
      <c r="V97" s="22" t="s">
        <v>1348</v>
      </c>
      <c r="W97" s="22" t="s">
        <v>1348</v>
      </c>
      <c r="X97" s="22"/>
      <c r="Y97" s="22"/>
      <c r="Z97" s="22"/>
      <c r="AA97" s="22"/>
      <c r="AB97" s="22"/>
      <c r="AC97" s="22"/>
      <c r="AD97" s="22"/>
      <c r="AE97" s="22"/>
    </row>
    <row r="98" spans="1:31" x14ac:dyDescent="0.25">
      <c r="A98" s="1" t="s">
        <v>0</v>
      </c>
      <c r="B98" s="1" t="s">
        <v>401</v>
      </c>
      <c r="C98" s="2" t="s">
        <v>424</v>
      </c>
      <c r="D98" s="1" t="s">
        <v>425</v>
      </c>
      <c r="E98" s="1"/>
      <c r="F98" s="3">
        <v>881.19</v>
      </c>
      <c r="G98" s="3">
        <v>155</v>
      </c>
      <c r="H98" s="4">
        <v>619</v>
      </c>
      <c r="I98" s="3">
        <v>287</v>
      </c>
      <c r="J98" s="3">
        <v>332</v>
      </c>
      <c r="K98" s="3">
        <v>82</v>
      </c>
      <c r="L98" s="3">
        <f t="shared" si="4"/>
        <v>13.247172859450727</v>
      </c>
      <c r="M98" s="3">
        <v>0</v>
      </c>
      <c r="N98" s="3">
        <f t="shared" si="5"/>
        <v>0</v>
      </c>
      <c r="O98" s="3">
        <v>92.69</v>
      </c>
      <c r="P98" s="15">
        <v>0</v>
      </c>
      <c r="Q98" s="22" t="s">
        <v>1348</v>
      </c>
      <c r="R98" s="103">
        <v>43670</v>
      </c>
      <c r="S98" s="87">
        <v>38.729999999999997</v>
      </c>
      <c r="T98" s="22"/>
      <c r="U98" s="22" t="s">
        <v>1348</v>
      </c>
      <c r="V98" s="22" t="s">
        <v>1348</v>
      </c>
      <c r="W98" s="22" t="s">
        <v>1348</v>
      </c>
      <c r="X98" s="22"/>
      <c r="Y98" s="22"/>
      <c r="Z98" s="22"/>
      <c r="AA98" s="22"/>
      <c r="AB98" s="22"/>
      <c r="AC98" s="22"/>
      <c r="AD98" s="22"/>
      <c r="AE98" s="22"/>
    </row>
    <row r="99" spans="1:31" x14ac:dyDescent="0.25">
      <c r="A99" s="1" t="s">
        <v>0</v>
      </c>
      <c r="B99" s="1" t="s">
        <v>401</v>
      </c>
      <c r="C99" s="2" t="s">
        <v>424</v>
      </c>
      <c r="D99" s="1" t="s">
        <v>426</v>
      </c>
      <c r="E99" s="1"/>
      <c r="F99" s="3">
        <v>723.72</v>
      </c>
      <c r="G99" s="3">
        <v>81</v>
      </c>
      <c r="H99" s="4">
        <v>359</v>
      </c>
      <c r="I99" s="3">
        <v>169</v>
      </c>
      <c r="J99" s="3">
        <v>190</v>
      </c>
      <c r="K99" s="3">
        <v>79</v>
      </c>
      <c r="L99" s="3">
        <f t="shared" si="4"/>
        <v>22.00557103064067</v>
      </c>
      <c r="M99" s="3">
        <v>5</v>
      </c>
      <c r="N99" s="3">
        <f t="shared" si="5"/>
        <v>1.392757660167131</v>
      </c>
      <c r="O99" s="3">
        <v>54</v>
      </c>
      <c r="P99" s="15">
        <v>0</v>
      </c>
      <c r="Q99" s="22" t="s">
        <v>1348</v>
      </c>
      <c r="R99" s="103">
        <v>43672</v>
      </c>
      <c r="S99" s="88">
        <v>44.62</v>
      </c>
      <c r="T99" s="22"/>
      <c r="U99" s="22" t="s">
        <v>1348</v>
      </c>
      <c r="V99" s="22" t="s">
        <v>1348</v>
      </c>
      <c r="W99" s="22" t="s">
        <v>1348</v>
      </c>
      <c r="X99" s="22"/>
      <c r="Y99" s="22"/>
      <c r="Z99" s="22"/>
      <c r="AA99" s="22"/>
      <c r="AB99" s="22"/>
      <c r="AC99" s="22"/>
      <c r="AD99" s="22"/>
      <c r="AE99" s="22"/>
    </row>
    <row r="100" spans="1:31" x14ac:dyDescent="0.25">
      <c r="A100" s="1" t="s">
        <v>0</v>
      </c>
      <c r="B100" s="1" t="s">
        <v>401</v>
      </c>
      <c r="C100" s="2" t="s">
        <v>424</v>
      </c>
      <c r="D100" s="1" t="s">
        <v>512</v>
      </c>
      <c r="E100" s="1"/>
      <c r="F100" s="3">
        <v>904.41</v>
      </c>
      <c r="G100" s="3">
        <v>166</v>
      </c>
      <c r="H100" s="4">
        <v>659</v>
      </c>
      <c r="I100" s="3">
        <v>307</v>
      </c>
      <c r="J100" s="3">
        <v>352</v>
      </c>
      <c r="K100" s="3">
        <v>376</v>
      </c>
      <c r="L100" s="3">
        <f t="shared" ref="L100:L131" si="6">(K100/H100)*100</f>
        <v>57.056145675265554</v>
      </c>
      <c r="M100" s="3">
        <v>0</v>
      </c>
      <c r="N100" s="3">
        <f t="shared" ref="N100:N131" si="7">(M100/H100)*100</f>
        <v>0</v>
      </c>
      <c r="O100" s="3">
        <v>88.38</v>
      </c>
      <c r="P100" s="15">
        <v>0</v>
      </c>
      <c r="Q100" s="22" t="s">
        <v>1348</v>
      </c>
      <c r="R100" s="103">
        <v>43670</v>
      </c>
      <c r="S100" s="88">
        <v>90.47</v>
      </c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</row>
    <row r="101" spans="1:31" x14ac:dyDescent="0.25">
      <c r="A101" s="1" t="s">
        <v>0</v>
      </c>
      <c r="B101" s="1" t="s">
        <v>401</v>
      </c>
      <c r="C101" s="2" t="s">
        <v>528</v>
      </c>
      <c r="D101" s="1" t="s">
        <v>527</v>
      </c>
      <c r="E101" s="1"/>
      <c r="F101" s="3">
        <v>485.01</v>
      </c>
      <c r="G101" s="3">
        <v>228</v>
      </c>
      <c r="H101" s="4">
        <v>917</v>
      </c>
      <c r="I101" s="3">
        <v>427</v>
      </c>
      <c r="J101" s="3">
        <v>490</v>
      </c>
      <c r="K101" s="3">
        <v>269</v>
      </c>
      <c r="L101" s="3">
        <f t="shared" si="6"/>
        <v>29.334787350054526</v>
      </c>
      <c r="M101" s="3">
        <v>0</v>
      </c>
      <c r="N101" s="3">
        <f t="shared" si="7"/>
        <v>0</v>
      </c>
      <c r="O101" s="3">
        <v>8.08</v>
      </c>
      <c r="P101" s="15">
        <v>0</v>
      </c>
      <c r="Q101" s="22" t="s">
        <v>1348</v>
      </c>
      <c r="R101" s="103">
        <v>43782</v>
      </c>
      <c r="S101" s="87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</row>
    <row r="102" spans="1:31" x14ac:dyDescent="0.25">
      <c r="A102" s="1" t="s">
        <v>0</v>
      </c>
      <c r="B102" s="1" t="s">
        <v>401</v>
      </c>
      <c r="C102" s="2" t="s">
        <v>528</v>
      </c>
      <c r="D102" s="1" t="s">
        <v>529</v>
      </c>
      <c r="E102" s="1"/>
      <c r="F102" s="3">
        <v>1344</v>
      </c>
      <c r="G102" s="3">
        <v>456</v>
      </c>
      <c r="H102" s="4">
        <v>1758</v>
      </c>
      <c r="I102" s="3">
        <v>814</v>
      </c>
      <c r="J102" s="3">
        <v>944</v>
      </c>
      <c r="K102" s="3">
        <v>220</v>
      </c>
      <c r="L102" s="3">
        <f t="shared" si="6"/>
        <v>12.514220705346984</v>
      </c>
      <c r="M102" s="3">
        <v>146</v>
      </c>
      <c r="N102" s="3">
        <f t="shared" si="7"/>
        <v>8.3048919226393618</v>
      </c>
      <c r="O102" s="3">
        <v>148</v>
      </c>
      <c r="P102" s="15">
        <v>0</v>
      </c>
      <c r="Q102" s="22" t="s">
        <v>1348</v>
      </c>
      <c r="R102" s="103">
        <v>43783</v>
      </c>
      <c r="S102" s="87">
        <v>32.85</v>
      </c>
      <c r="T102" s="22"/>
      <c r="U102" s="22" t="s">
        <v>1348</v>
      </c>
      <c r="V102" s="22" t="s">
        <v>1348</v>
      </c>
      <c r="W102" s="22" t="s">
        <v>1348</v>
      </c>
      <c r="X102" s="22"/>
      <c r="Y102" s="22"/>
      <c r="Z102" s="22"/>
      <c r="AA102" s="22"/>
      <c r="AB102" s="22"/>
      <c r="AC102" s="22"/>
      <c r="AD102" s="22"/>
      <c r="AE102" s="22"/>
    </row>
    <row r="103" spans="1:31" x14ac:dyDescent="0.25">
      <c r="A103" s="1" t="s">
        <v>0</v>
      </c>
      <c r="B103" s="1" t="s">
        <v>401</v>
      </c>
      <c r="C103" s="2" t="s">
        <v>403</v>
      </c>
      <c r="D103" s="1" t="s">
        <v>402</v>
      </c>
      <c r="E103" s="1"/>
      <c r="F103" s="3">
        <v>681</v>
      </c>
      <c r="G103" s="3">
        <v>49</v>
      </c>
      <c r="H103" s="4">
        <v>241</v>
      </c>
      <c r="I103" s="3">
        <v>119</v>
      </c>
      <c r="J103" s="3">
        <v>122</v>
      </c>
      <c r="K103" s="3">
        <v>4</v>
      </c>
      <c r="L103" s="3">
        <f t="shared" si="6"/>
        <v>1.6597510373443984</v>
      </c>
      <c r="M103" s="3">
        <v>0</v>
      </c>
      <c r="N103" s="3">
        <f t="shared" si="7"/>
        <v>0</v>
      </c>
      <c r="O103" s="3">
        <v>73</v>
      </c>
      <c r="P103" s="15">
        <v>0</v>
      </c>
      <c r="Q103" s="22" t="s">
        <v>1348</v>
      </c>
      <c r="R103" s="103">
        <v>43508</v>
      </c>
      <c r="S103" s="88">
        <v>21.86</v>
      </c>
      <c r="T103" s="22"/>
      <c r="U103" s="22" t="s">
        <v>1348</v>
      </c>
      <c r="V103" s="22" t="s">
        <v>1348</v>
      </c>
      <c r="W103" s="22" t="s">
        <v>1348</v>
      </c>
      <c r="X103" s="22"/>
      <c r="Y103" s="22"/>
      <c r="Z103" s="22"/>
      <c r="AA103" s="22"/>
      <c r="AB103" s="22"/>
      <c r="AC103" s="22"/>
      <c r="AD103" s="22"/>
      <c r="AE103" s="22"/>
    </row>
    <row r="104" spans="1:31" x14ac:dyDescent="0.25">
      <c r="A104" s="1" t="s">
        <v>0</v>
      </c>
      <c r="B104" s="1" t="s">
        <v>401</v>
      </c>
      <c r="C104" s="2" t="s">
        <v>403</v>
      </c>
      <c r="D104" s="1" t="s">
        <v>404</v>
      </c>
      <c r="E104" s="1"/>
      <c r="F104" s="3">
        <v>2205.7199999999998</v>
      </c>
      <c r="G104" s="3">
        <v>644</v>
      </c>
      <c r="H104" s="4">
        <v>2989</v>
      </c>
      <c r="I104" s="3">
        <v>1548</v>
      </c>
      <c r="J104" s="3">
        <v>1441</v>
      </c>
      <c r="K104" s="3">
        <v>1329</v>
      </c>
      <c r="L104" s="3">
        <f t="shared" si="6"/>
        <v>44.463031114084977</v>
      </c>
      <c r="M104" s="3">
        <v>5</v>
      </c>
      <c r="N104" s="3">
        <f t="shared" si="7"/>
        <v>0.16728002676480427</v>
      </c>
      <c r="O104" s="3">
        <v>244</v>
      </c>
      <c r="P104" s="15">
        <v>71</v>
      </c>
      <c r="Q104" s="22" t="s">
        <v>1348</v>
      </c>
      <c r="R104" s="103">
        <v>43477</v>
      </c>
      <c r="S104" s="88">
        <v>15.41</v>
      </c>
      <c r="T104" s="22"/>
      <c r="U104" s="22" t="s">
        <v>1348</v>
      </c>
      <c r="V104" s="22" t="s">
        <v>1348</v>
      </c>
      <c r="W104" s="22" t="s">
        <v>1348</v>
      </c>
      <c r="X104" s="22"/>
      <c r="Y104" s="22"/>
      <c r="Z104" s="22"/>
      <c r="AA104" s="22"/>
      <c r="AB104" s="22"/>
      <c r="AC104" s="22"/>
      <c r="AD104" s="22"/>
      <c r="AE104" s="22"/>
    </row>
    <row r="105" spans="1:31" x14ac:dyDescent="0.25">
      <c r="A105" s="1" t="s">
        <v>0</v>
      </c>
      <c r="B105" s="1" t="s">
        <v>401</v>
      </c>
      <c r="C105" s="2" t="s">
        <v>403</v>
      </c>
      <c r="D105" s="1" t="s">
        <v>405</v>
      </c>
      <c r="E105" s="1"/>
      <c r="F105" s="3">
        <v>1992.33</v>
      </c>
      <c r="G105" s="3">
        <v>181</v>
      </c>
      <c r="H105" s="4">
        <v>1069</v>
      </c>
      <c r="I105" s="3">
        <v>612</v>
      </c>
      <c r="J105" s="3">
        <v>457</v>
      </c>
      <c r="K105" s="3">
        <v>117</v>
      </c>
      <c r="L105" s="3">
        <f t="shared" si="6"/>
        <v>10.944808231992516</v>
      </c>
      <c r="M105" s="3">
        <v>7</v>
      </c>
      <c r="N105" s="3">
        <f t="shared" si="7"/>
        <v>0.65481758652946687</v>
      </c>
      <c r="O105" s="3">
        <v>161</v>
      </c>
      <c r="P105" s="15">
        <v>0</v>
      </c>
      <c r="Q105" s="22" t="s">
        <v>1348</v>
      </c>
      <c r="R105" s="103">
        <v>43820</v>
      </c>
      <c r="S105" s="88">
        <v>5.99</v>
      </c>
      <c r="T105" s="22"/>
      <c r="U105" s="22" t="s">
        <v>1348</v>
      </c>
      <c r="V105" s="22" t="s">
        <v>1348</v>
      </c>
      <c r="W105" s="22" t="s">
        <v>1348</v>
      </c>
      <c r="X105" s="22"/>
      <c r="Y105" s="22"/>
      <c r="Z105" s="22"/>
      <c r="AA105" s="22"/>
      <c r="AB105" s="22"/>
      <c r="AC105" s="22"/>
      <c r="AD105" s="22"/>
      <c r="AE105" s="22"/>
    </row>
    <row r="106" spans="1:31" x14ac:dyDescent="0.25">
      <c r="A106" s="1" t="s">
        <v>0</v>
      </c>
      <c r="B106" s="1" t="s">
        <v>401</v>
      </c>
      <c r="C106" s="2" t="s">
        <v>403</v>
      </c>
      <c r="D106" s="1" t="s">
        <v>407</v>
      </c>
      <c r="E106" s="1"/>
      <c r="F106" s="3">
        <v>2664</v>
      </c>
      <c r="G106" s="3">
        <v>543</v>
      </c>
      <c r="H106" s="4">
        <v>2731</v>
      </c>
      <c r="I106" s="3">
        <v>1408</v>
      </c>
      <c r="J106" s="3">
        <v>1323</v>
      </c>
      <c r="K106" s="3">
        <v>912</v>
      </c>
      <c r="L106" s="3">
        <f t="shared" si="6"/>
        <v>33.39436103991212</v>
      </c>
      <c r="M106" s="3">
        <v>1</v>
      </c>
      <c r="N106" s="3">
        <f t="shared" si="7"/>
        <v>3.6616623947272067E-2</v>
      </c>
      <c r="O106" s="3">
        <v>164</v>
      </c>
      <c r="P106" s="15">
        <v>0</v>
      </c>
      <c r="Q106" s="22"/>
      <c r="R106" s="104"/>
      <c r="S106" s="88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</row>
    <row r="107" spans="1:31" x14ac:dyDescent="0.25">
      <c r="A107" s="1" t="s">
        <v>0</v>
      </c>
      <c r="B107" s="1" t="s">
        <v>401</v>
      </c>
      <c r="C107" s="2" t="s">
        <v>522</v>
      </c>
      <c r="D107" s="1" t="s">
        <v>521</v>
      </c>
      <c r="E107" s="1"/>
      <c r="F107" s="3">
        <v>665.18</v>
      </c>
      <c r="G107" s="3">
        <v>170</v>
      </c>
      <c r="H107" s="4">
        <v>664</v>
      </c>
      <c r="I107" s="3">
        <v>319</v>
      </c>
      <c r="J107" s="3">
        <v>345</v>
      </c>
      <c r="K107" s="3">
        <v>199</v>
      </c>
      <c r="L107" s="3">
        <f t="shared" si="6"/>
        <v>29.96987951807229</v>
      </c>
      <c r="M107" s="3">
        <v>0</v>
      </c>
      <c r="N107" s="3">
        <f t="shared" si="7"/>
        <v>0</v>
      </c>
      <c r="O107" s="3">
        <v>44</v>
      </c>
      <c r="P107" s="15">
        <v>0</v>
      </c>
      <c r="Q107" s="22" t="s">
        <v>1348</v>
      </c>
      <c r="R107" s="103">
        <v>43789</v>
      </c>
      <c r="S107" s="88">
        <v>167</v>
      </c>
      <c r="T107" s="22"/>
      <c r="U107" s="22" t="s">
        <v>1348</v>
      </c>
      <c r="V107" s="22" t="s">
        <v>1348</v>
      </c>
      <c r="W107" s="22" t="s">
        <v>1348</v>
      </c>
      <c r="X107" s="22"/>
      <c r="Y107" s="22"/>
      <c r="Z107" s="22"/>
      <c r="AA107" s="22"/>
      <c r="AB107" s="22"/>
      <c r="AC107" s="22"/>
      <c r="AD107" s="22"/>
      <c r="AE107" s="22"/>
    </row>
    <row r="108" spans="1:31" x14ac:dyDescent="0.25">
      <c r="A108" s="1" t="s">
        <v>0</v>
      </c>
      <c r="B108" s="1" t="s">
        <v>401</v>
      </c>
      <c r="C108" s="2" t="s">
        <v>522</v>
      </c>
      <c r="D108" s="1" t="s">
        <v>525</v>
      </c>
      <c r="E108" s="1"/>
      <c r="F108" s="3">
        <v>409.77</v>
      </c>
      <c r="G108" s="3">
        <v>84</v>
      </c>
      <c r="H108" s="4">
        <v>347</v>
      </c>
      <c r="I108" s="3">
        <v>174</v>
      </c>
      <c r="J108" s="3">
        <v>173</v>
      </c>
      <c r="K108" s="3">
        <v>74</v>
      </c>
      <c r="L108" s="3">
        <f t="shared" si="6"/>
        <v>21.32564841498559</v>
      </c>
      <c r="M108" s="3">
        <v>10</v>
      </c>
      <c r="N108" s="3">
        <f t="shared" si="7"/>
        <v>2.8818443804034581</v>
      </c>
      <c r="O108" s="3">
        <v>63</v>
      </c>
      <c r="P108" s="15">
        <v>0</v>
      </c>
      <c r="Q108" s="22" t="s">
        <v>1348</v>
      </c>
      <c r="R108" s="103">
        <v>43794</v>
      </c>
      <c r="S108" s="88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</row>
    <row r="109" spans="1:31" x14ac:dyDescent="0.25">
      <c r="A109" s="1" t="s">
        <v>0</v>
      </c>
      <c r="B109" s="1" t="s">
        <v>401</v>
      </c>
      <c r="C109" s="2" t="s">
        <v>522</v>
      </c>
      <c r="D109" s="1" t="s">
        <v>526</v>
      </c>
      <c r="E109" s="1"/>
      <c r="F109" s="3">
        <v>370.62</v>
      </c>
      <c r="G109" s="3">
        <v>292</v>
      </c>
      <c r="H109" s="4">
        <v>1121</v>
      </c>
      <c r="I109" s="3">
        <v>508</v>
      </c>
      <c r="J109" s="3">
        <v>613</v>
      </c>
      <c r="K109" s="3">
        <v>293</v>
      </c>
      <c r="L109" s="3">
        <f t="shared" si="6"/>
        <v>26.137377341659235</v>
      </c>
      <c r="M109" s="3">
        <v>1</v>
      </c>
      <c r="N109" s="3">
        <f t="shared" si="7"/>
        <v>8.9206066012488858E-2</v>
      </c>
      <c r="O109" s="3">
        <v>0</v>
      </c>
      <c r="P109" s="15">
        <v>0</v>
      </c>
      <c r="Q109" s="22" t="s">
        <v>1348</v>
      </c>
      <c r="R109" s="103">
        <v>43764</v>
      </c>
      <c r="S109" s="88">
        <v>93.27</v>
      </c>
      <c r="T109" s="22"/>
      <c r="U109" s="22" t="s">
        <v>1348</v>
      </c>
      <c r="V109" s="22" t="s">
        <v>1348</v>
      </c>
      <c r="W109" s="22" t="s">
        <v>1348</v>
      </c>
      <c r="X109" s="22"/>
      <c r="Y109" s="22"/>
      <c r="Z109" s="22"/>
      <c r="AA109" s="22"/>
      <c r="AB109" s="22"/>
      <c r="AC109" s="22"/>
      <c r="AD109" s="22"/>
      <c r="AE109" s="22"/>
    </row>
    <row r="110" spans="1:31" x14ac:dyDescent="0.25">
      <c r="A110" s="1" t="s">
        <v>0</v>
      </c>
      <c r="B110" s="1" t="s">
        <v>401</v>
      </c>
      <c r="C110" s="2" t="s">
        <v>467</v>
      </c>
      <c r="D110" s="1" t="s">
        <v>466</v>
      </c>
      <c r="E110" s="1"/>
      <c r="F110" s="3">
        <v>710</v>
      </c>
      <c r="G110" s="3">
        <v>116</v>
      </c>
      <c r="H110" s="4">
        <v>621</v>
      </c>
      <c r="I110" s="3">
        <v>317</v>
      </c>
      <c r="J110" s="3">
        <v>304</v>
      </c>
      <c r="K110" s="3">
        <v>10</v>
      </c>
      <c r="L110" s="3">
        <f t="shared" si="6"/>
        <v>1.6103059581320449</v>
      </c>
      <c r="M110" s="3">
        <v>3</v>
      </c>
      <c r="N110" s="3">
        <f t="shared" si="7"/>
        <v>0.48309178743961351</v>
      </c>
      <c r="O110" s="3">
        <v>92</v>
      </c>
      <c r="P110" s="15">
        <v>0</v>
      </c>
      <c r="Q110" s="22" t="s">
        <v>1348</v>
      </c>
      <c r="R110" s="103">
        <v>43776</v>
      </c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</row>
    <row r="111" spans="1:31" x14ac:dyDescent="0.25">
      <c r="A111" s="1" t="s">
        <v>0</v>
      </c>
      <c r="B111" s="1" t="s">
        <v>401</v>
      </c>
      <c r="C111" s="2" t="s">
        <v>467</v>
      </c>
      <c r="D111" s="1" t="s">
        <v>468</v>
      </c>
      <c r="E111" s="1"/>
      <c r="F111" s="3">
        <v>538</v>
      </c>
      <c r="G111" s="3">
        <v>128</v>
      </c>
      <c r="H111" s="4">
        <v>629</v>
      </c>
      <c r="I111" s="3">
        <v>286</v>
      </c>
      <c r="J111" s="3">
        <v>343</v>
      </c>
      <c r="K111" s="3">
        <v>0</v>
      </c>
      <c r="L111" s="3">
        <f t="shared" si="6"/>
        <v>0</v>
      </c>
      <c r="M111" s="3">
        <v>3</v>
      </c>
      <c r="N111" s="3">
        <f t="shared" si="7"/>
        <v>0.47694753577106513</v>
      </c>
      <c r="O111" s="3">
        <v>217</v>
      </c>
      <c r="P111" s="15">
        <v>0</v>
      </c>
      <c r="Q111" s="22" t="s">
        <v>1348</v>
      </c>
      <c r="R111" s="103">
        <v>43773</v>
      </c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</row>
    <row r="112" spans="1:31" x14ac:dyDescent="0.25">
      <c r="A112" s="1" t="s">
        <v>0</v>
      </c>
      <c r="B112" s="1" t="s">
        <v>401</v>
      </c>
      <c r="C112" s="2" t="s">
        <v>467</v>
      </c>
      <c r="D112" s="1" t="s">
        <v>469</v>
      </c>
      <c r="E112" s="1"/>
      <c r="F112" s="3">
        <v>291</v>
      </c>
      <c r="G112" s="3">
        <v>91</v>
      </c>
      <c r="H112" s="4">
        <v>422</v>
      </c>
      <c r="I112" s="3">
        <v>216</v>
      </c>
      <c r="J112" s="3">
        <v>206</v>
      </c>
      <c r="K112" s="3">
        <v>0</v>
      </c>
      <c r="L112" s="3">
        <f t="shared" si="6"/>
        <v>0</v>
      </c>
      <c r="M112" s="3">
        <v>0</v>
      </c>
      <c r="N112" s="3">
        <f t="shared" si="7"/>
        <v>0</v>
      </c>
      <c r="O112" s="3">
        <v>85</v>
      </c>
      <c r="P112" s="15">
        <v>0</v>
      </c>
      <c r="Q112" s="22" t="s">
        <v>1348</v>
      </c>
      <c r="R112" s="103">
        <v>43784</v>
      </c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</row>
    <row r="113" spans="1:31" x14ac:dyDescent="0.25">
      <c r="A113" s="1" t="s">
        <v>0</v>
      </c>
      <c r="B113" s="1" t="s">
        <v>401</v>
      </c>
      <c r="C113" s="2" t="s">
        <v>467</v>
      </c>
      <c r="D113" s="1" t="s">
        <v>470</v>
      </c>
      <c r="E113" s="1"/>
      <c r="F113" s="3">
        <v>141</v>
      </c>
      <c r="G113" s="3">
        <v>52</v>
      </c>
      <c r="H113" s="4">
        <v>267</v>
      </c>
      <c r="I113" s="3">
        <v>149</v>
      </c>
      <c r="J113" s="3">
        <v>118</v>
      </c>
      <c r="K113" s="3">
        <v>0</v>
      </c>
      <c r="L113" s="3">
        <f t="shared" si="6"/>
        <v>0</v>
      </c>
      <c r="M113" s="3">
        <v>0</v>
      </c>
      <c r="N113" s="3">
        <f t="shared" si="7"/>
        <v>0</v>
      </c>
      <c r="O113" s="3">
        <v>0</v>
      </c>
      <c r="P113" s="15">
        <v>36</v>
      </c>
      <c r="Q113" s="22" t="s">
        <v>1348</v>
      </c>
      <c r="R113" s="91">
        <v>43775</v>
      </c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</row>
    <row r="114" spans="1:31" x14ac:dyDescent="0.25">
      <c r="A114" s="1" t="s">
        <v>0</v>
      </c>
      <c r="B114" s="1" t="s">
        <v>401</v>
      </c>
      <c r="C114" s="2" t="s">
        <v>467</v>
      </c>
      <c r="D114" s="1" t="s">
        <v>471</v>
      </c>
      <c r="E114" s="1"/>
      <c r="F114" s="3">
        <v>657</v>
      </c>
      <c r="G114" s="3">
        <v>54</v>
      </c>
      <c r="H114" s="4">
        <v>280</v>
      </c>
      <c r="I114" s="3">
        <v>142</v>
      </c>
      <c r="J114" s="3">
        <v>138</v>
      </c>
      <c r="K114" s="3">
        <v>0</v>
      </c>
      <c r="L114" s="3">
        <f t="shared" si="6"/>
        <v>0</v>
      </c>
      <c r="M114" s="3">
        <v>0</v>
      </c>
      <c r="N114" s="3">
        <f t="shared" si="7"/>
        <v>0</v>
      </c>
      <c r="O114" s="3">
        <v>0</v>
      </c>
      <c r="P114" s="15">
        <v>611</v>
      </c>
      <c r="Q114" s="22" t="s">
        <v>1348</v>
      </c>
      <c r="R114" s="103">
        <v>43782</v>
      </c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</row>
    <row r="115" spans="1:31" x14ac:dyDescent="0.25">
      <c r="A115" s="1" t="s">
        <v>0</v>
      </c>
      <c r="B115" s="1" t="s">
        <v>401</v>
      </c>
      <c r="C115" s="2" t="s">
        <v>467</v>
      </c>
      <c r="D115" s="1" t="s">
        <v>472</v>
      </c>
      <c r="E115" s="1"/>
      <c r="F115" s="3">
        <v>231</v>
      </c>
      <c r="G115" s="3">
        <v>90</v>
      </c>
      <c r="H115" s="4">
        <v>371</v>
      </c>
      <c r="I115" s="3">
        <v>178</v>
      </c>
      <c r="J115" s="3">
        <v>193</v>
      </c>
      <c r="K115" s="3">
        <v>60</v>
      </c>
      <c r="L115" s="3">
        <f t="shared" si="6"/>
        <v>16.172506738544474</v>
      </c>
      <c r="M115" s="3">
        <v>42</v>
      </c>
      <c r="N115" s="3">
        <f t="shared" si="7"/>
        <v>11.320754716981133</v>
      </c>
      <c r="O115" s="3">
        <v>65</v>
      </c>
      <c r="P115" s="15">
        <v>0</v>
      </c>
      <c r="Q115" s="22" t="s">
        <v>1348</v>
      </c>
      <c r="R115" s="103">
        <v>43783</v>
      </c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</row>
    <row r="116" spans="1:31" x14ac:dyDescent="0.25">
      <c r="A116" s="1" t="s">
        <v>0</v>
      </c>
      <c r="B116" s="1" t="s">
        <v>401</v>
      </c>
      <c r="C116" s="2" t="s">
        <v>467</v>
      </c>
      <c r="D116" s="1" t="s">
        <v>473</v>
      </c>
      <c r="E116" s="1"/>
      <c r="F116" s="3">
        <v>1343</v>
      </c>
      <c r="G116" s="3">
        <v>219</v>
      </c>
      <c r="H116" s="4">
        <v>878</v>
      </c>
      <c r="I116" s="3">
        <v>436</v>
      </c>
      <c r="J116" s="3">
        <v>442</v>
      </c>
      <c r="K116" s="3">
        <v>17</v>
      </c>
      <c r="L116" s="3">
        <f t="shared" si="6"/>
        <v>1.9362186788154898</v>
      </c>
      <c r="M116" s="3">
        <v>48</v>
      </c>
      <c r="N116" s="3">
        <f t="shared" si="7"/>
        <v>5.4669703872437356</v>
      </c>
      <c r="O116" s="3">
        <v>0</v>
      </c>
      <c r="P116" s="15">
        <v>1256</v>
      </c>
      <c r="Q116" s="22" t="s">
        <v>1348</v>
      </c>
      <c r="R116" s="103">
        <v>43774</v>
      </c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</row>
    <row r="117" spans="1:31" x14ac:dyDescent="0.25">
      <c r="A117" s="1" t="s">
        <v>0</v>
      </c>
      <c r="B117" s="1" t="s">
        <v>401</v>
      </c>
      <c r="C117" s="2" t="s">
        <v>583</v>
      </c>
      <c r="D117" s="1" t="s">
        <v>582</v>
      </c>
      <c r="E117" s="1"/>
      <c r="F117" s="3">
        <v>2419</v>
      </c>
      <c r="G117" s="3">
        <v>1557</v>
      </c>
      <c r="H117" s="4">
        <v>7427</v>
      </c>
      <c r="I117" s="3">
        <v>3697</v>
      </c>
      <c r="J117" s="3">
        <v>3730</v>
      </c>
      <c r="K117" s="3">
        <v>1841</v>
      </c>
      <c r="L117" s="3">
        <f t="shared" si="6"/>
        <v>24.787935909519319</v>
      </c>
      <c r="M117" s="3">
        <v>418</v>
      </c>
      <c r="N117" s="3">
        <f t="shared" si="7"/>
        <v>5.6281136394237246</v>
      </c>
      <c r="O117" s="3">
        <v>429</v>
      </c>
      <c r="P117" s="15">
        <v>17</v>
      </c>
      <c r="Q117" s="22" t="s">
        <v>1348</v>
      </c>
      <c r="R117" s="103">
        <v>43819</v>
      </c>
      <c r="S117" s="88">
        <v>63.12</v>
      </c>
      <c r="T117" s="22"/>
      <c r="U117" s="22" t="s">
        <v>1348</v>
      </c>
      <c r="V117" s="22" t="s">
        <v>1348</v>
      </c>
      <c r="W117" s="22" t="s">
        <v>1348</v>
      </c>
      <c r="X117" s="22"/>
      <c r="Y117" s="22"/>
      <c r="Z117" s="22"/>
      <c r="AA117" s="22"/>
      <c r="AB117" s="22"/>
      <c r="AC117" s="22"/>
      <c r="AD117" s="22"/>
      <c r="AE117" s="22"/>
    </row>
    <row r="118" spans="1:31" x14ac:dyDescent="0.25">
      <c r="A118" s="1" t="s">
        <v>0</v>
      </c>
      <c r="B118" s="1" t="s">
        <v>401</v>
      </c>
      <c r="C118" s="2" t="s">
        <v>465</v>
      </c>
      <c r="D118" s="1" t="s">
        <v>464</v>
      </c>
      <c r="E118" s="1"/>
      <c r="F118" s="3">
        <v>3177</v>
      </c>
      <c r="G118" s="3">
        <v>1817</v>
      </c>
      <c r="H118" s="4">
        <v>8549</v>
      </c>
      <c r="I118" s="3">
        <v>4274</v>
      </c>
      <c r="J118" s="3">
        <v>4275</v>
      </c>
      <c r="K118" s="3">
        <v>2677</v>
      </c>
      <c r="L118" s="3">
        <f t="shared" si="6"/>
        <v>31.313603930284245</v>
      </c>
      <c r="M118" s="3">
        <v>4</v>
      </c>
      <c r="N118" s="3">
        <f t="shared" si="7"/>
        <v>4.6789098140133351E-2</v>
      </c>
      <c r="O118" s="3">
        <v>12</v>
      </c>
      <c r="P118" s="15">
        <v>0</v>
      </c>
      <c r="Q118" s="22"/>
      <c r="R118" s="97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</row>
    <row r="119" spans="1:31" x14ac:dyDescent="0.25">
      <c r="A119" s="1" t="s">
        <v>0</v>
      </c>
      <c r="B119" s="1" t="s">
        <v>401</v>
      </c>
      <c r="C119" s="2" t="s">
        <v>509</v>
      </c>
      <c r="D119" s="1" t="s">
        <v>508</v>
      </c>
      <c r="E119" s="1"/>
      <c r="F119" s="3">
        <v>1596</v>
      </c>
      <c r="G119" s="3">
        <v>372</v>
      </c>
      <c r="H119" s="4">
        <v>1552</v>
      </c>
      <c r="I119" s="3">
        <v>768</v>
      </c>
      <c r="J119" s="3">
        <v>784</v>
      </c>
      <c r="K119" s="3">
        <v>480</v>
      </c>
      <c r="L119" s="3">
        <f t="shared" si="6"/>
        <v>30.927835051546392</v>
      </c>
      <c r="M119" s="3">
        <v>1</v>
      </c>
      <c r="N119" s="3">
        <f t="shared" si="7"/>
        <v>6.4432989690721643E-2</v>
      </c>
      <c r="O119" s="3">
        <v>87</v>
      </c>
      <c r="P119" s="15">
        <v>0</v>
      </c>
      <c r="Q119" s="22" t="s">
        <v>1348</v>
      </c>
      <c r="R119" s="103">
        <v>43664</v>
      </c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</row>
    <row r="120" spans="1:31" x14ac:dyDescent="0.25">
      <c r="A120" s="1" t="s">
        <v>0</v>
      </c>
      <c r="B120" s="1" t="s">
        <v>401</v>
      </c>
      <c r="C120" s="2" t="s">
        <v>509</v>
      </c>
      <c r="D120" s="1" t="s">
        <v>14</v>
      </c>
      <c r="E120" s="1"/>
      <c r="F120" s="3">
        <v>378</v>
      </c>
      <c r="G120" s="3">
        <v>148</v>
      </c>
      <c r="H120" s="4">
        <v>671</v>
      </c>
      <c r="I120" s="3">
        <v>358</v>
      </c>
      <c r="J120" s="3">
        <v>313</v>
      </c>
      <c r="K120" s="3">
        <v>55</v>
      </c>
      <c r="L120" s="3">
        <f t="shared" si="6"/>
        <v>8.1967213114754092</v>
      </c>
      <c r="M120" s="3">
        <v>464</v>
      </c>
      <c r="N120" s="3">
        <f t="shared" si="7"/>
        <v>69.150521609538004</v>
      </c>
      <c r="O120" s="3">
        <v>32</v>
      </c>
      <c r="P120" s="15">
        <v>0</v>
      </c>
      <c r="Q120" s="22" t="s">
        <v>1348</v>
      </c>
      <c r="R120" s="103">
        <v>43666</v>
      </c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</row>
    <row r="121" spans="1:31" x14ac:dyDescent="0.25">
      <c r="A121" s="1" t="s">
        <v>0</v>
      </c>
      <c r="B121" s="1" t="s">
        <v>401</v>
      </c>
      <c r="C121" s="2" t="s">
        <v>420</v>
      </c>
      <c r="D121" s="1" t="s">
        <v>419</v>
      </c>
      <c r="E121" s="1"/>
      <c r="F121" s="3">
        <v>997</v>
      </c>
      <c r="G121" s="3">
        <v>443</v>
      </c>
      <c r="H121" s="4">
        <v>2217</v>
      </c>
      <c r="I121" s="3">
        <v>1138</v>
      </c>
      <c r="J121" s="3">
        <v>1079</v>
      </c>
      <c r="K121" s="3">
        <v>1001</v>
      </c>
      <c r="L121" s="3">
        <f t="shared" si="6"/>
        <v>45.151105096977901</v>
      </c>
      <c r="M121" s="3">
        <v>3</v>
      </c>
      <c r="N121" s="3">
        <f t="shared" si="7"/>
        <v>0.13531799729364005</v>
      </c>
      <c r="O121" s="3">
        <v>121</v>
      </c>
      <c r="P121" s="15">
        <v>0</v>
      </c>
      <c r="Q121" s="22" t="s">
        <v>1348</v>
      </c>
      <c r="R121" s="103">
        <v>43813</v>
      </c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</row>
    <row r="122" spans="1:31" ht="15.75" x14ac:dyDescent="0.25">
      <c r="A122" s="1" t="s">
        <v>0</v>
      </c>
      <c r="B122" s="1" t="s">
        <v>401</v>
      </c>
      <c r="C122" s="2" t="s">
        <v>492</v>
      </c>
      <c r="D122" s="1" t="s">
        <v>491</v>
      </c>
      <c r="E122" s="1"/>
      <c r="F122" s="3">
        <v>593</v>
      </c>
      <c r="G122" s="3">
        <v>327</v>
      </c>
      <c r="H122" s="4">
        <v>1421</v>
      </c>
      <c r="I122" s="3">
        <v>701</v>
      </c>
      <c r="J122" s="3">
        <v>720</v>
      </c>
      <c r="K122" s="3">
        <v>275</v>
      </c>
      <c r="L122" s="3">
        <f t="shared" si="6"/>
        <v>19.352568613652359</v>
      </c>
      <c r="M122" s="3">
        <v>24</v>
      </c>
      <c r="N122" s="3">
        <f t="shared" si="7"/>
        <v>1.6889514426460239</v>
      </c>
      <c r="O122" s="3">
        <v>41</v>
      </c>
      <c r="P122" s="15">
        <v>0</v>
      </c>
      <c r="Q122" s="22" t="s">
        <v>1348</v>
      </c>
      <c r="R122" s="103">
        <v>43825</v>
      </c>
      <c r="S122" s="89">
        <v>32.71</v>
      </c>
      <c r="T122" s="22"/>
      <c r="U122" s="22" t="s">
        <v>1348</v>
      </c>
      <c r="V122" s="22" t="s">
        <v>1348</v>
      </c>
      <c r="W122" s="22" t="s">
        <v>1348</v>
      </c>
      <c r="X122" s="22"/>
      <c r="Y122" s="22"/>
      <c r="Z122" s="22"/>
      <c r="AA122" s="22"/>
      <c r="AB122" s="22"/>
      <c r="AC122" s="22"/>
      <c r="AD122" s="22"/>
      <c r="AE122" s="22"/>
    </row>
    <row r="123" spans="1:31" x14ac:dyDescent="0.25">
      <c r="A123" s="1" t="s">
        <v>0</v>
      </c>
      <c r="B123" s="1" t="s">
        <v>401</v>
      </c>
      <c r="C123" s="2" t="s">
        <v>492</v>
      </c>
      <c r="D123" s="1" t="s">
        <v>541</v>
      </c>
      <c r="E123" s="1"/>
      <c r="F123" s="3">
        <v>1337</v>
      </c>
      <c r="G123" s="3">
        <v>545</v>
      </c>
      <c r="H123" s="4">
        <v>2520</v>
      </c>
      <c r="I123" s="3">
        <v>1253</v>
      </c>
      <c r="J123" s="3">
        <v>1267</v>
      </c>
      <c r="K123" s="3">
        <v>919</v>
      </c>
      <c r="L123" s="3">
        <f t="shared" si="6"/>
        <v>36.468253968253968</v>
      </c>
      <c r="M123" s="3">
        <v>6</v>
      </c>
      <c r="N123" s="3">
        <f t="shared" si="7"/>
        <v>0.23809523809523811</v>
      </c>
      <c r="O123" s="3">
        <v>141</v>
      </c>
      <c r="P123" s="15">
        <v>0</v>
      </c>
      <c r="Q123" s="22"/>
      <c r="R123" s="97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</row>
    <row r="124" spans="1:31" x14ac:dyDescent="0.25">
      <c r="A124" s="1" t="s">
        <v>0</v>
      </c>
      <c r="B124" s="1" t="s">
        <v>401</v>
      </c>
      <c r="C124" s="2" t="s">
        <v>441</v>
      </c>
      <c r="D124" s="1" t="s">
        <v>440</v>
      </c>
      <c r="E124" s="1"/>
      <c r="F124" s="3">
        <v>515</v>
      </c>
      <c r="G124" s="3">
        <v>156</v>
      </c>
      <c r="H124" s="4">
        <v>689</v>
      </c>
      <c r="I124" s="3">
        <v>317</v>
      </c>
      <c r="J124" s="3">
        <v>372</v>
      </c>
      <c r="K124" s="3">
        <v>330</v>
      </c>
      <c r="L124" s="3">
        <f t="shared" si="6"/>
        <v>47.895500725689402</v>
      </c>
      <c r="M124" s="3">
        <v>1</v>
      </c>
      <c r="N124" s="3">
        <f t="shared" si="7"/>
        <v>0.14513788098693758</v>
      </c>
      <c r="O124" s="3">
        <v>62</v>
      </c>
      <c r="P124" s="15">
        <v>0</v>
      </c>
      <c r="Q124" s="22"/>
      <c r="R124" s="97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</row>
    <row r="125" spans="1:31" x14ac:dyDescent="0.25">
      <c r="A125" s="1" t="s">
        <v>0</v>
      </c>
      <c r="B125" s="1" t="s">
        <v>401</v>
      </c>
      <c r="C125" s="2" t="s">
        <v>441</v>
      </c>
      <c r="D125" s="1" t="s">
        <v>442</v>
      </c>
      <c r="E125" s="1"/>
      <c r="F125" s="3">
        <v>3122</v>
      </c>
      <c r="G125" s="3">
        <v>891</v>
      </c>
      <c r="H125" s="4">
        <v>3985</v>
      </c>
      <c r="I125" s="3">
        <v>1911</v>
      </c>
      <c r="J125" s="3">
        <v>2074</v>
      </c>
      <c r="K125" s="3">
        <v>827</v>
      </c>
      <c r="L125" s="3">
        <f t="shared" si="6"/>
        <v>20.752823086574654</v>
      </c>
      <c r="M125" s="3">
        <v>37</v>
      </c>
      <c r="N125" s="3">
        <f t="shared" si="7"/>
        <v>0.92848180677540781</v>
      </c>
      <c r="O125" s="3">
        <v>176</v>
      </c>
      <c r="P125" s="15">
        <v>0</v>
      </c>
      <c r="Q125" s="22"/>
      <c r="R125" s="97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</row>
    <row r="126" spans="1:31" x14ac:dyDescent="0.25">
      <c r="A126" s="1" t="s">
        <v>0</v>
      </c>
      <c r="B126" s="1" t="s">
        <v>401</v>
      </c>
      <c r="C126" s="2" t="s">
        <v>441</v>
      </c>
      <c r="D126" s="1" t="s">
        <v>103</v>
      </c>
      <c r="E126" s="1"/>
      <c r="F126" s="3">
        <v>835</v>
      </c>
      <c r="G126" s="3">
        <v>213</v>
      </c>
      <c r="H126" s="4">
        <v>968</v>
      </c>
      <c r="I126" s="3">
        <v>474</v>
      </c>
      <c r="J126" s="3">
        <v>494</v>
      </c>
      <c r="K126" s="3">
        <v>229</v>
      </c>
      <c r="L126" s="3">
        <f t="shared" si="6"/>
        <v>23.65702479338843</v>
      </c>
      <c r="M126" s="3">
        <v>0</v>
      </c>
      <c r="N126" s="3">
        <f t="shared" si="7"/>
        <v>0</v>
      </c>
      <c r="O126" s="3">
        <v>38</v>
      </c>
      <c r="P126" s="15">
        <v>0</v>
      </c>
      <c r="Q126" s="22"/>
      <c r="R126" s="97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</row>
    <row r="127" spans="1:31" x14ac:dyDescent="0.25">
      <c r="A127" s="1" t="s">
        <v>0</v>
      </c>
      <c r="B127" s="1" t="s">
        <v>401</v>
      </c>
      <c r="C127" s="2" t="s">
        <v>447</v>
      </c>
      <c r="D127" s="1" t="s">
        <v>446</v>
      </c>
      <c r="E127" s="1"/>
      <c r="F127" s="3">
        <v>979</v>
      </c>
      <c r="G127" s="3">
        <v>602</v>
      </c>
      <c r="H127" s="4">
        <v>2504</v>
      </c>
      <c r="I127" s="3">
        <v>1168</v>
      </c>
      <c r="J127" s="3">
        <v>1336</v>
      </c>
      <c r="K127" s="3">
        <v>718</v>
      </c>
      <c r="L127" s="3">
        <f t="shared" si="6"/>
        <v>28.674121405750796</v>
      </c>
      <c r="M127" s="3">
        <v>4</v>
      </c>
      <c r="N127" s="3">
        <f t="shared" si="7"/>
        <v>0.15974440894568689</v>
      </c>
      <c r="O127" s="3">
        <v>57</v>
      </c>
      <c r="P127" s="15">
        <v>0</v>
      </c>
      <c r="Q127" s="22"/>
      <c r="R127" s="97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</row>
    <row r="128" spans="1:31" x14ac:dyDescent="0.25">
      <c r="A128" s="1" t="s">
        <v>0</v>
      </c>
      <c r="B128" s="1" t="s">
        <v>401</v>
      </c>
      <c r="C128" s="2" t="s">
        <v>490</v>
      </c>
      <c r="D128" s="1" t="s">
        <v>489</v>
      </c>
      <c r="E128" s="1"/>
      <c r="F128" s="3">
        <v>1784</v>
      </c>
      <c r="G128" s="3">
        <v>726</v>
      </c>
      <c r="H128" s="4">
        <v>3033</v>
      </c>
      <c r="I128" s="3">
        <v>1436</v>
      </c>
      <c r="J128" s="3">
        <v>1597</v>
      </c>
      <c r="K128" s="3">
        <v>698</v>
      </c>
      <c r="L128" s="3">
        <f t="shared" si="6"/>
        <v>23.013517969007584</v>
      </c>
      <c r="M128" s="3">
        <v>280</v>
      </c>
      <c r="N128" s="3">
        <f t="shared" si="7"/>
        <v>9.2317837124958793</v>
      </c>
      <c r="O128" s="3">
        <v>81</v>
      </c>
      <c r="P128" s="15">
        <v>0</v>
      </c>
      <c r="Q128" s="22" t="s">
        <v>1348</v>
      </c>
      <c r="R128" s="103">
        <v>43628</v>
      </c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</row>
    <row r="129" spans="1:31" ht="15.75" x14ac:dyDescent="0.25">
      <c r="A129" s="1" t="s">
        <v>0</v>
      </c>
      <c r="B129" s="1" t="s">
        <v>401</v>
      </c>
      <c r="C129" s="2" t="s">
        <v>516</v>
      </c>
      <c r="D129" s="1" t="s">
        <v>515</v>
      </c>
      <c r="E129" s="1"/>
      <c r="F129" s="3">
        <v>1661.58</v>
      </c>
      <c r="G129" s="3">
        <v>449</v>
      </c>
      <c r="H129" s="4">
        <v>1934</v>
      </c>
      <c r="I129" s="3">
        <v>922</v>
      </c>
      <c r="J129" s="3">
        <v>1012</v>
      </c>
      <c r="K129" s="3">
        <v>693</v>
      </c>
      <c r="L129" s="3">
        <f t="shared" si="6"/>
        <v>35.832471561530504</v>
      </c>
      <c r="M129" s="3">
        <v>0</v>
      </c>
      <c r="N129" s="3">
        <f t="shared" si="7"/>
        <v>0</v>
      </c>
      <c r="O129" s="3">
        <v>98.58</v>
      </c>
      <c r="P129" s="15">
        <v>0</v>
      </c>
      <c r="Q129" s="22" t="s">
        <v>1348</v>
      </c>
      <c r="R129" s="103">
        <v>43660</v>
      </c>
      <c r="S129" s="89">
        <v>29.43</v>
      </c>
      <c r="T129" s="22"/>
      <c r="U129" s="22" t="s">
        <v>1348</v>
      </c>
      <c r="V129" s="22" t="s">
        <v>1348</v>
      </c>
      <c r="W129" s="22" t="s">
        <v>1348</v>
      </c>
      <c r="X129" s="22"/>
      <c r="Y129" s="22"/>
      <c r="Z129" s="22"/>
      <c r="AA129" s="22"/>
      <c r="AB129" s="22"/>
      <c r="AC129" s="22"/>
      <c r="AD129" s="22"/>
      <c r="AE129" s="22"/>
    </row>
    <row r="130" spans="1:31" ht="15.75" x14ac:dyDescent="0.25">
      <c r="A130" s="1" t="s">
        <v>0</v>
      </c>
      <c r="B130" s="1" t="s">
        <v>401</v>
      </c>
      <c r="C130" s="2" t="s">
        <v>516</v>
      </c>
      <c r="D130" s="1" t="s">
        <v>517</v>
      </c>
      <c r="E130" s="1"/>
      <c r="F130" s="3">
        <v>247</v>
      </c>
      <c r="G130" s="3">
        <v>41</v>
      </c>
      <c r="H130" s="4">
        <v>212</v>
      </c>
      <c r="I130" s="3">
        <v>101</v>
      </c>
      <c r="J130" s="3">
        <v>111</v>
      </c>
      <c r="K130" s="3">
        <v>50</v>
      </c>
      <c r="L130" s="3">
        <f t="shared" si="6"/>
        <v>23.584905660377359</v>
      </c>
      <c r="M130" s="3">
        <v>0</v>
      </c>
      <c r="N130" s="3">
        <f t="shared" si="7"/>
        <v>0</v>
      </c>
      <c r="O130" s="3">
        <v>0</v>
      </c>
      <c r="P130" s="15">
        <v>0</v>
      </c>
      <c r="Q130" s="22"/>
      <c r="R130" s="104"/>
      <c r="S130" s="89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</row>
    <row r="131" spans="1:31" ht="15.75" x14ac:dyDescent="0.25">
      <c r="A131" s="1" t="s">
        <v>0</v>
      </c>
      <c r="B131" s="1" t="s">
        <v>401</v>
      </c>
      <c r="C131" s="2" t="s">
        <v>516</v>
      </c>
      <c r="D131" s="1" t="s">
        <v>520</v>
      </c>
      <c r="E131" s="1"/>
      <c r="F131" s="3">
        <v>494</v>
      </c>
      <c r="G131" s="3">
        <v>265</v>
      </c>
      <c r="H131" s="4">
        <v>1176</v>
      </c>
      <c r="I131" s="3">
        <v>574</v>
      </c>
      <c r="J131" s="3">
        <v>602</v>
      </c>
      <c r="K131" s="3">
        <v>416</v>
      </c>
      <c r="L131" s="3">
        <f t="shared" si="6"/>
        <v>35.374149659863946</v>
      </c>
      <c r="M131" s="3">
        <v>2</v>
      </c>
      <c r="N131" s="3">
        <f t="shared" si="7"/>
        <v>0.17006802721088435</v>
      </c>
      <c r="O131" s="3">
        <v>67</v>
      </c>
      <c r="P131" s="15">
        <v>0</v>
      </c>
      <c r="Q131" s="22" t="s">
        <v>1348</v>
      </c>
      <c r="R131" s="103">
        <v>43662</v>
      </c>
      <c r="S131" s="89">
        <v>193.11</v>
      </c>
      <c r="T131" s="22"/>
      <c r="U131" s="22" t="s">
        <v>1348</v>
      </c>
      <c r="V131" s="22" t="s">
        <v>1348</v>
      </c>
      <c r="W131" s="22" t="s">
        <v>1348</v>
      </c>
      <c r="X131" s="22"/>
      <c r="Y131" s="22"/>
      <c r="Z131" s="22"/>
      <c r="AA131" s="22"/>
      <c r="AB131" s="22"/>
      <c r="AC131" s="22"/>
      <c r="AD131" s="22"/>
      <c r="AE131" s="22"/>
    </row>
    <row r="132" spans="1:31" x14ac:dyDescent="0.25">
      <c r="A132" s="1" t="s">
        <v>0</v>
      </c>
      <c r="B132" s="1" t="s">
        <v>401</v>
      </c>
      <c r="C132" s="2" t="s">
        <v>552</v>
      </c>
      <c r="D132" s="1" t="s">
        <v>551</v>
      </c>
      <c r="E132" s="1"/>
      <c r="F132" s="3">
        <v>1077</v>
      </c>
      <c r="G132" s="3">
        <v>163</v>
      </c>
      <c r="H132" s="4">
        <v>848</v>
      </c>
      <c r="I132" s="3">
        <v>424</v>
      </c>
      <c r="J132" s="3">
        <v>424</v>
      </c>
      <c r="K132" s="3">
        <v>15</v>
      </c>
      <c r="L132" s="3">
        <f t="shared" ref="L132:L159" si="8">(K132/H132)*100</f>
        <v>1.7688679245283019</v>
      </c>
      <c r="M132" s="3">
        <v>22</v>
      </c>
      <c r="N132" s="3">
        <f t="shared" ref="N132:N159" si="9">(M132/H132)*100</f>
        <v>2.5943396226415096</v>
      </c>
      <c r="O132" s="3">
        <v>69</v>
      </c>
      <c r="P132" s="15">
        <v>698</v>
      </c>
      <c r="Q132" s="22"/>
      <c r="R132" s="97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</row>
    <row r="133" spans="1:31" x14ac:dyDescent="0.25">
      <c r="A133" s="1" t="s">
        <v>0</v>
      </c>
      <c r="B133" s="1" t="s">
        <v>401</v>
      </c>
      <c r="C133" s="2" t="s">
        <v>552</v>
      </c>
      <c r="D133" s="1" t="s">
        <v>553</v>
      </c>
      <c r="E133" s="1"/>
      <c r="F133" s="3">
        <v>1203</v>
      </c>
      <c r="G133" s="3">
        <v>214</v>
      </c>
      <c r="H133" s="4">
        <v>919</v>
      </c>
      <c r="I133" s="3">
        <v>473</v>
      </c>
      <c r="J133" s="3">
        <v>446</v>
      </c>
      <c r="K133" s="3">
        <v>182</v>
      </c>
      <c r="L133" s="3">
        <f t="shared" si="8"/>
        <v>19.804134929270948</v>
      </c>
      <c r="M133" s="3">
        <v>0</v>
      </c>
      <c r="N133" s="3">
        <f t="shared" si="9"/>
        <v>0</v>
      </c>
      <c r="O133" s="3">
        <v>0</v>
      </c>
      <c r="P133" s="15">
        <v>958</v>
      </c>
      <c r="Q133" s="22" t="s">
        <v>1348</v>
      </c>
      <c r="R133" s="103">
        <v>43597</v>
      </c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</row>
    <row r="134" spans="1:31" x14ac:dyDescent="0.25">
      <c r="A134" s="1" t="s">
        <v>0</v>
      </c>
      <c r="B134" s="1" t="s">
        <v>401</v>
      </c>
      <c r="C134" s="2" t="s">
        <v>552</v>
      </c>
      <c r="D134" s="1" t="s">
        <v>554</v>
      </c>
      <c r="E134" s="1"/>
      <c r="F134" s="3">
        <v>205</v>
      </c>
      <c r="G134" s="3">
        <v>230</v>
      </c>
      <c r="H134" s="4">
        <v>1001</v>
      </c>
      <c r="I134" s="3">
        <v>501</v>
      </c>
      <c r="J134" s="3">
        <v>500</v>
      </c>
      <c r="K134" s="3">
        <v>23</v>
      </c>
      <c r="L134" s="3">
        <f t="shared" si="8"/>
        <v>2.2977022977022976</v>
      </c>
      <c r="M134" s="3">
        <v>39</v>
      </c>
      <c r="N134" s="3">
        <f t="shared" si="9"/>
        <v>3.8961038961038961</v>
      </c>
      <c r="O134" s="3">
        <v>59</v>
      </c>
      <c r="P134" s="15">
        <v>0</v>
      </c>
      <c r="Q134" s="22"/>
      <c r="R134" s="104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</row>
    <row r="135" spans="1:31" ht="15.75" x14ac:dyDescent="0.25">
      <c r="A135" s="1" t="s">
        <v>0</v>
      </c>
      <c r="B135" s="1" t="s">
        <v>401</v>
      </c>
      <c r="C135" s="2" t="s">
        <v>552</v>
      </c>
      <c r="D135" s="1" t="s">
        <v>555</v>
      </c>
      <c r="E135" s="1"/>
      <c r="F135" s="3">
        <v>732</v>
      </c>
      <c r="G135" s="3">
        <v>224</v>
      </c>
      <c r="H135" s="4">
        <v>1003</v>
      </c>
      <c r="I135" s="3">
        <v>490</v>
      </c>
      <c r="J135" s="3">
        <v>513</v>
      </c>
      <c r="K135" s="3">
        <v>92</v>
      </c>
      <c r="L135" s="3">
        <f t="shared" si="8"/>
        <v>9.1724825523429718</v>
      </c>
      <c r="M135" s="3">
        <v>5</v>
      </c>
      <c r="N135" s="3">
        <f t="shared" si="9"/>
        <v>0.49850448654037888</v>
      </c>
      <c r="O135" s="3">
        <v>28</v>
      </c>
      <c r="P135" s="15">
        <v>484</v>
      </c>
      <c r="Q135" s="22" t="s">
        <v>1348</v>
      </c>
      <c r="R135" s="103">
        <v>43628</v>
      </c>
      <c r="S135" s="89">
        <v>23.08</v>
      </c>
      <c r="T135" s="22"/>
      <c r="U135" s="22" t="s">
        <v>1348</v>
      </c>
      <c r="V135" s="22" t="s">
        <v>1348</v>
      </c>
      <c r="W135" s="22" t="s">
        <v>1348</v>
      </c>
      <c r="X135" s="22"/>
      <c r="Y135" s="22"/>
      <c r="Z135" s="22"/>
      <c r="AA135" s="22"/>
      <c r="AB135" s="22"/>
      <c r="AC135" s="22"/>
      <c r="AD135" s="22"/>
      <c r="AE135" s="22"/>
    </row>
    <row r="136" spans="1:31" x14ac:dyDescent="0.25">
      <c r="A136" s="1" t="s">
        <v>0</v>
      </c>
      <c r="B136" s="1" t="s">
        <v>401</v>
      </c>
      <c r="C136" s="2" t="s">
        <v>552</v>
      </c>
      <c r="D136" s="1" t="s">
        <v>556</v>
      </c>
      <c r="E136" s="1"/>
      <c r="F136" s="3">
        <v>1070</v>
      </c>
      <c r="G136" s="3">
        <v>166</v>
      </c>
      <c r="H136" s="4">
        <v>948</v>
      </c>
      <c r="I136" s="3">
        <v>477</v>
      </c>
      <c r="J136" s="3">
        <v>471</v>
      </c>
      <c r="K136" s="3">
        <v>52</v>
      </c>
      <c r="L136" s="3">
        <f t="shared" si="8"/>
        <v>5.485232067510549</v>
      </c>
      <c r="M136" s="3">
        <v>0</v>
      </c>
      <c r="N136" s="3">
        <f t="shared" si="9"/>
        <v>0</v>
      </c>
      <c r="O136" s="3">
        <v>70</v>
      </c>
      <c r="P136" s="15">
        <v>382</v>
      </c>
      <c r="Q136" s="22" t="s">
        <v>1348</v>
      </c>
      <c r="R136" s="103">
        <v>43658</v>
      </c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</row>
    <row r="137" spans="1:31" x14ac:dyDescent="0.25">
      <c r="A137" s="1" t="s">
        <v>0</v>
      </c>
      <c r="B137" s="1" t="s">
        <v>401</v>
      </c>
      <c r="C137" s="2" t="s">
        <v>536</v>
      </c>
      <c r="D137" s="1" t="s">
        <v>535</v>
      </c>
      <c r="E137" s="1"/>
      <c r="F137" s="3">
        <v>444</v>
      </c>
      <c r="G137" s="3">
        <v>106</v>
      </c>
      <c r="H137" s="4">
        <v>461</v>
      </c>
      <c r="I137" s="3">
        <v>214</v>
      </c>
      <c r="J137" s="3">
        <v>247</v>
      </c>
      <c r="K137" s="3">
        <v>57</v>
      </c>
      <c r="L137" s="3">
        <f t="shared" si="8"/>
        <v>12.364425162689804</v>
      </c>
      <c r="M137" s="3">
        <v>85</v>
      </c>
      <c r="N137" s="3">
        <f t="shared" si="9"/>
        <v>18.43817787418655</v>
      </c>
      <c r="O137" s="3">
        <v>36</v>
      </c>
      <c r="P137" s="15">
        <v>0</v>
      </c>
      <c r="Q137" s="22"/>
      <c r="R137" s="97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</row>
    <row r="138" spans="1:31" ht="15.75" x14ac:dyDescent="0.25">
      <c r="A138" s="1" t="s">
        <v>0</v>
      </c>
      <c r="B138" s="1" t="s">
        <v>401</v>
      </c>
      <c r="C138" s="2" t="s">
        <v>536</v>
      </c>
      <c r="D138" s="1" t="s">
        <v>537</v>
      </c>
      <c r="E138" s="1"/>
      <c r="F138" s="3">
        <v>496</v>
      </c>
      <c r="G138" s="3">
        <v>146</v>
      </c>
      <c r="H138" s="4">
        <v>597</v>
      </c>
      <c r="I138" s="3">
        <v>285</v>
      </c>
      <c r="J138" s="3">
        <v>312</v>
      </c>
      <c r="K138" s="3">
        <v>172</v>
      </c>
      <c r="L138" s="3">
        <f t="shared" si="8"/>
        <v>28.810720268006701</v>
      </c>
      <c r="M138" s="3">
        <v>0</v>
      </c>
      <c r="N138" s="3">
        <f t="shared" si="9"/>
        <v>0</v>
      </c>
      <c r="O138" s="3">
        <v>41</v>
      </c>
      <c r="P138" s="15">
        <v>0</v>
      </c>
      <c r="Q138" s="22" t="s">
        <v>1348</v>
      </c>
      <c r="R138" s="103">
        <v>43787</v>
      </c>
      <c r="S138" s="89">
        <v>28.41</v>
      </c>
      <c r="T138" s="22"/>
      <c r="U138" s="22" t="s">
        <v>1348</v>
      </c>
      <c r="V138" s="22" t="s">
        <v>1348</v>
      </c>
      <c r="W138" s="22" t="s">
        <v>1348</v>
      </c>
      <c r="X138" s="22"/>
      <c r="Y138" s="22"/>
      <c r="Z138" s="22"/>
      <c r="AA138" s="22"/>
      <c r="AB138" s="22"/>
      <c r="AC138" s="22"/>
      <c r="AD138" s="22"/>
      <c r="AE138" s="22"/>
    </row>
    <row r="139" spans="1:31" x14ac:dyDescent="0.25">
      <c r="A139" s="1" t="s">
        <v>0</v>
      </c>
      <c r="B139" s="1" t="s">
        <v>401</v>
      </c>
      <c r="C139" s="2" t="s">
        <v>536</v>
      </c>
      <c r="D139" s="1" t="s">
        <v>538</v>
      </c>
      <c r="E139" s="1"/>
      <c r="F139" s="3">
        <v>954</v>
      </c>
      <c r="G139" s="3">
        <v>395</v>
      </c>
      <c r="H139" s="4">
        <v>1746</v>
      </c>
      <c r="I139" s="3">
        <v>837</v>
      </c>
      <c r="J139" s="3">
        <v>909</v>
      </c>
      <c r="K139" s="3">
        <v>325</v>
      </c>
      <c r="L139" s="3">
        <f t="shared" si="8"/>
        <v>18.613974799541811</v>
      </c>
      <c r="M139" s="3">
        <v>38</v>
      </c>
      <c r="N139" s="3">
        <f t="shared" si="9"/>
        <v>2.1764032073310422</v>
      </c>
      <c r="O139" s="3">
        <v>125</v>
      </c>
      <c r="P139" s="15">
        <v>0</v>
      </c>
      <c r="Q139" s="22" t="s">
        <v>1348</v>
      </c>
      <c r="R139" s="103">
        <v>43789</v>
      </c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</row>
    <row r="140" spans="1:31" x14ac:dyDescent="0.25">
      <c r="A140" s="1" t="s">
        <v>0</v>
      </c>
      <c r="B140" s="1" t="s">
        <v>401</v>
      </c>
      <c r="C140" s="2" t="s">
        <v>495</v>
      </c>
      <c r="D140" s="1" t="s">
        <v>494</v>
      </c>
      <c r="E140" s="1"/>
      <c r="F140" s="3">
        <v>1362.09</v>
      </c>
      <c r="G140" s="3">
        <v>1043</v>
      </c>
      <c r="H140" s="4">
        <v>4301</v>
      </c>
      <c r="I140" s="3">
        <v>2091</v>
      </c>
      <c r="J140" s="3">
        <v>2210</v>
      </c>
      <c r="K140" s="3">
        <v>864</v>
      </c>
      <c r="L140" s="3">
        <f t="shared" si="8"/>
        <v>20.088351546152058</v>
      </c>
      <c r="M140" s="3">
        <v>10</v>
      </c>
      <c r="N140" s="3">
        <f t="shared" si="9"/>
        <v>0.23250406882120439</v>
      </c>
      <c r="O140" s="3">
        <v>230.08</v>
      </c>
      <c r="P140" s="15">
        <v>0</v>
      </c>
      <c r="Q140" s="22"/>
      <c r="R140" s="97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</row>
    <row r="141" spans="1:31" x14ac:dyDescent="0.25">
      <c r="A141" s="1" t="s">
        <v>0</v>
      </c>
      <c r="B141" s="1" t="s">
        <v>401</v>
      </c>
      <c r="C141" s="2" t="s">
        <v>485</v>
      </c>
      <c r="D141" s="1" t="s">
        <v>484</v>
      </c>
      <c r="E141" s="1"/>
      <c r="F141" s="3">
        <v>54</v>
      </c>
      <c r="G141" s="3">
        <v>59</v>
      </c>
      <c r="H141" s="4">
        <v>295</v>
      </c>
      <c r="I141" s="3">
        <v>155</v>
      </c>
      <c r="J141" s="3">
        <v>140</v>
      </c>
      <c r="K141" s="3">
        <v>0</v>
      </c>
      <c r="L141" s="3">
        <f t="shared" si="8"/>
        <v>0</v>
      </c>
      <c r="M141" s="3">
        <v>0</v>
      </c>
      <c r="N141" s="3">
        <f t="shared" si="9"/>
        <v>0</v>
      </c>
      <c r="O141" s="3">
        <v>0</v>
      </c>
      <c r="P141" s="15">
        <v>0</v>
      </c>
      <c r="Q141" s="22"/>
      <c r="R141" s="97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</row>
    <row r="142" spans="1:31" x14ac:dyDescent="0.25">
      <c r="A142" s="1" t="s">
        <v>0</v>
      </c>
      <c r="B142" s="1" t="s">
        <v>401</v>
      </c>
      <c r="C142" s="2" t="s">
        <v>485</v>
      </c>
      <c r="D142" s="1" t="s">
        <v>486</v>
      </c>
      <c r="E142" s="1"/>
      <c r="F142" s="3">
        <v>1639</v>
      </c>
      <c r="G142" s="3">
        <v>806</v>
      </c>
      <c r="H142" s="4">
        <v>3918</v>
      </c>
      <c r="I142" s="3">
        <v>1985</v>
      </c>
      <c r="J142" s="3">
        <v>1933</v>
      </c>
      <c r="K142" s="3">
        <v>609</v>
      </c>
      <c r="L142" s="3">
        <f t="shared" si="8"/>
        <v>15.54364471669219</v>
      </c>
      <c r="M142" s="3">
        <v>123</v>
      </c>
      <c r="N142" s="3">
        <f t="shared" si="9"/>
        <v>3.1393568147013782</v>
      </c>
      <c r="O142" s="3">
        <v>298</v>
      </c>
      <c r="P142" s="15">
        <v>151</v>
      </c>
      <c r="Q142" s="22"/>
      <c r="R142" s="97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</row>
    <row r="143" spans="1:31" x14ac:dyDescent="0.25">
      <c r="A143" s="1" t="s">
        <v>0</v>
      </c>
      <c r="B143" s="1" t="s">
        <v>401</v>
      </c>
      <c r="C143" s="2" t="s">
        <v>444</v>
      </c>
      <c r="D143" s="1" t="s">
        <v>443</v>
      </c>
      <c r="E143" s="1"/>
      <c r="F143" s="3">
        <v>944</v>
      </c>
      <c r="G143" s="3">
        <v>154</v>
      </c>
      <c r="H143" s="4">
        <v>772</v>
      </c>
      <c r="I143" s="3">
        <v>365</v>
      </c>
      <c r="J143" s="3">
        <v>407</v>
      </c>
      <c r="K143" s="3">
        <v>294</v>
      </c>
      <c r="L143" s="3">
        <f t="shared" si="8"/>
        <v>38.082901554404145</v>
      </c>
      <c r="M143" s="3">
        <v>0</v>
      </c>
      <c r="N143" s="3">
        <f t="shared" si="9"/>
        <v>0</v>
      </c>
      <c r="O143" s="3">
        <v>129</v>
      </c>
      <c r="P143" s="15">
        <v>0</v>
      </c>
      <c r="Q143" s="22"/>
      <c r="R143" s="97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</row>
    <row r="144" spans="1:31" x14ac:dyDescent="0.25">
      <c r="A144" s="1" t="s">
        <v>0</v>
      </c>
      <c r="B144" s="1" t="s">
        <v>401</v>
      </c>
      <c r="C144" s="2" t="s">
        <v>444</v>
      </c>
      <c r="D144" s="1" t="s">
        <v>445</v>
      </c>
      <c r="E144" s="1"/>
      <c r="F144" s="3">
        <v>2704</v>
      </c>
      <c r="G144" s="3">
        <v>932</v>
      </c>
      <c r="H144" s="4">
        <v>4400</v>
      </c>
      <c r="I144" s="3">
        <v>2093</v>
      </c>
      <c r="J144" s="3">
        <v>2307</v>
      </c>
      <c r="K144" s="3">
        <v>1087</v>
      </c>
      <c r="L144" s="3">
        <f t="shared" si="8"/>
        <v>24.704545454545453</v>
      </c>
      <c r="M144" s="3">
        <v>6</v>
      </c>
      <c r="N144" s="3">
        <f t="shared" si="9"/>
        <v>0.13636363636363638</v>
      </c>
      <c r="O144" s="3">
        <v>339</v>
      </c>
      <c r="P144" s="15">
        <v>0</v>
      </c>
      <c r="Q144" s="22"/>
      <c r="R144" s="97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</row>
    <row r="145" spans="1:31" x14ac:dyDescent="0.25">
      <c r="A145" s="1" t="s">
        <v>0</v>
      </c>
      <c r="B145" s="1" t="s">
        <v>401</v>
      </c>
      <c r="C145" s="2" t="s">
        <v>544</v>
      </c>
      <c r="D145" s="1" t="s">
        <v>543</v>
      </c>
      <c r="E145" s="1"/>
      <c r="F145" s="3">
        <v>101.9</v>
      </c>
      <c r="G145" s="3">
        <v>65</v>
      </c>
      <c r="H145" s="4">
        <v>320</v>
      </c>
      <c r="I145" s="3">
        <v>161</v>
      </c>
      <c r="J145" s="3">
        <v>159</v>
      </c>
      <c r="K145" s="3">
        <v>0</v>
      </c>
      <c r="L145" s="3">
        <f t="shared" si="8"/>
        <v>0</v>
      </c>
      <c r="M145" s="3">
        <v>0</v>
      </c>
      <c r="N145" s="3">
        <f t="shared" si="9"/>
        <v>0</v>
      </c>
      <c r="O145" s="3">
        <v>0</v>
      </c>
      <c r="P145" s="15">
        <v>0</v>
      </c>
      <c r="Q145" s="22"/>
      <c r="R145" s="97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</row>
    <row r="146" spans="1:31" x14ac:dyDescent="0.25">
      <c r="A146" s="1" t="s">
        <v>0</v>
      </c>
      <c r="B146" s="1" t="s">
        <v>401</v>
      </c>
      <c r="C146" s="2" t="s">
        <v>544</v>
      </c>
      <c r="D146" s="1" t="s">
        <v>545</v>
      </c>
      <c r="E146" s="1"/>
      <c r="F146" s="3">
        <v>2024.51</v>
      </c>
      <c r="G146" s="3">
        <v>898</v>
      </c>
      <c r="H146" s="4">
        <v>3987</v>
      </c>
      <c r="I146" s="3">
        <v>1921</v>
      </c>
      <c r="J146" s="3">
        <v>2066</v>
      </c>
      <c r="K146" s="3">
        <v>899</v>
      </c>
      <c r="L146" s="3">
        <f t="shared" si="8"/>
        <v>22.54828191622774</v>
      </c>
      <c r="M146" s="3">
        <v>2</v>
      </c>
      <c r="N146" s="3">
        <f t="shared" si="9"/>
        <v>5.0163029847002751E-2</v>
      </c>
      <c r="O146" s="3">
        <v>228.51</v>
      </c>
      <c r="P146" s="15">
        <v>101</v>
      </c>
      <c r="Q146" s="22"/>
      <c r="R146" s="97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</row>
    <row r="147" spans="1:31" x14ac:dyDescent="0.25">
      <c r="A147" s="1" t="s">
        <v>0</v>
      </c>
      <c r="B147" s="1" t="s">
        <v>401</v>
      </c>
      <c r="C147" s="2" t="s">
        <v>544</v>
      </c>
      <c r="D147" s="1" t="s">
        <v>546</v>
      </c>
      <c r="E147" s="1"/>
      <c r="F147" s="3">
        <v>198.64</v>
      </c>
      <c r="G147" s="3">
        <v>52</v>
      </c>
      <c r="H147" s="4">
        <v>237</v>
      </c>
      <c r="I147" s="3">
        <v>108</v>
      </c>
      <c r="J147" s="3">
        <v>129</v>
      </c>
      <c r="K147" s="3">
        <v>0</v>
      </c>
      <c r="L147" s="3">
        <f t="shared" si="8"/>
        <v>0</v>
      </c>
      <c r="M147" s="3">
        <v>0</v>
      </c>
      <c r="N147" s="3">
        <f t="shared" si="9"/>
        <v>0</v>
      </c>
      <c r="O147" s="3">
        <v>119</v>
      </c>
      <c r="P147" s="15">
        <v>0</v>
      </c>
      <c r="Q147" s="22" t="s">
        <v>1348</v>
      </c>
      <c r="R147" s="103">
        <v>43508</v>
      </c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</row>
    <row r="148" spans="1:31" ht="15.75" x14ac:dyDescent="0.25">
      <c r="A148" s="1" t="s">
        <v>0</v>
      </c>
      <c r="B148" s="1" t="s">
        <v>401</v>
      </c>
      <c r="C148" s="2" t="s">
        <v>544</v>
      </c>
      <c r="D148" s="1" t="s">
        <v>547</v>
      </c>
      <c r="E148" s="1"/>
      <c r="F148" s="3">
        <v>407.67</v>
      </c>
      <c r="G148" s="3">
        <v>63</v>
      </c>
      <c r="H148" s="4">
        <v>323</v>
      </c>
      <c r="I148" s="3">
        <v>161</v>
      </c>
      <c r="J148" s="3">
        <v>162</v>
      </c>
      <c r="K148" s="3">
        <v>40</v>
      </c>
      <c r="L148" s="3">
        <f t="shared" si="8"/>
        <v>12.383900928792571</v>
      </c>
      <c r="M148" s="3">
        <v>0</v>
      </c>
      <c r="N148" s="3">
        <f t="shared" si="9"/>
        <v>0</v>
      </c>
      <c r="O148" s="3">
        <v>69</v>
      </c>
      <c r="P148" s="15">
        <v>211</v>
      </c>
      <c r="Q148" s="22" t="s">
        <v>1348</v>
      </c>
      <c r="R148" s="103">
        <v>43477</v>
      </c>
      <c r="S148" s="89">
        <v>24.9</v>
      </c>
      <c r="T148" s="22"/>
      <c r="U148" s="22" t="s">
        <v>1348</v>
      </c>
      <c r="V148" s="22" t="s">
        <v>1348</v>
      </c>
      <c r="W148" s="22" t="s">
        <v>1348</v>
      </c>
      <c r="X148" s="22"/>
      <c r="Y148" s="22"/>
      <c r="Z148" s="22"/>
      <c r="AA148" s="22"/>
      <c r="AB148" s="22"/>
      <c r="AC148" s="22"/>
      <c r="AD148" s="22"/>
      <c r="AE148" s="22"/>
    </row>
    <row r="149" spans="1:31" x14ac:dyDescent="0.25">
      <c r="A149" s="1" t="s">
        <v>0</v>
      </c>
      <c r="B149" s="1" t="s">
        <v>401</v>
      </c>
      <c r="C149" s="2" t="s">
        <v>449</v>
      </c>
      <c r="D149" s="1" t="s">
        <v>448</v>
      </c>
      <c r="E149" s="1"/>
      <c r="F149" s="3">
        <v>681</v>
      </c>
      <c r="G149" s="3">
        <v>258</v>
      </c>
      <c r="H149" s="4">
        <v>1198</v>
      </c>
      <c r="I149" s="3">
        <v>593</v>
      </c>
      <c r="J149" s="3">
        <v>605</v>
      </c>
      <c r="K149" s="3">
        <v>233</v>
      </c>
      <c r="L149" s="3">
        <f t="shared" si="8"/>
        <v>19.449081803005008</v>
      </c>
      <c r="M149" s="3">
        <v>0</v>
      </c>
      <c r="N149" s="3">
        <f t="shared" si="9"/>
        <v>0</v>
      </c>
      <c r="O149" s="3">
        <v>96</v>
      </c>
      <c r="P149" s="15">
        <v>0</v>
      </c>
      <c r="Q149" s="22"/>
      <c r="R149" s="97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</row>
    <row r="150" spans="1:31" x14ac:dyDescent="0.25">
      <c r="A150" s="1" t="s">
        <v>0</v>
      </c>
      <c r="B150" s="1" t="s">
        <v>401</v>
      </c>
      <c r="C150" s="2" t="s">
        <v>449</v>
      </c>
      <c r="D150" s="1" t="s">
        <v>452</v>
      </c>
      <c r="E150" s="1"/>
      <c r="F150" s="3">
        <v>302</v>
      </c>
      <c r="G150" s="3">
        <v>209</v>
      </c>
      <c r="H150" s="4">
        <v>915</v>
      </c>
      <c r="I150" s="3">
        <v>472</v>
      </c>
      <c r="J150" s="3">
        <v>443</v>
      </c>
      <c r="K150" s="3">
        <v>112</v>
      </c>
      <c r="L150" s="3">
        <f t="shared" si="8"/>
        <v>12.240437158469945</v>
      </c>
      <c r="M150" s="3">
        <v>20</v>
      </c>
      <c r="N150" s="3">
        <f t="shared" si="9"/>
        <v>2.1857923497267762</v>
      </c>
      <c r="O150" s="3">
        <v>1</v>
      </c>
      <c r="P150" s="15">
        <v>0</v>
      </c>
      <c r="Q150" s="22"/>
      <c r="R150" s="97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</row>
    <row r="151" spans="1:31" x14ac:dyDescent="0.25">
      <c r="A151" s="1" t="s">
        <v>0</v>
      </c>
      <c r="B151" s="1" t="s">
        <v>401</v>
      </c>
      <c r="C151" s="2" t="s">
        <v>449</v>
      </c>
      <c r="D151" s="1" t="s">
        <v>453</v>
      </c>
      <c r="E151" s="1"/>
      <c r="F151" s="3">
        <v>1123</v>
      </c>
      <c r="G151" s="3">
        <v>478</v>
      </c>
      <c r="H151" s="4">
        <v>2334</v>
      </c>
      <c r="I151" s="3">
        <v>1194</v>
      </c>
      <c r="J151" s="3">
        <v>1140</v>
      </c>
      <c r="K151" s="3">
        <v>377</v>
      </c>
      <c r="L151" s="3">
        <f t="shared" si="8"/>
        <v>16.152527849185947</v>
      </c>
      <c r="M151" s="3">
        <v>1</v>
      </c>
      <c r="N151" s="3">
        <f t="shared" si="9"/>
        <v>4.2844901456726654E-2</v>
      </c>
      <c r="O151" s="3">
        <v>261</v>
      </c>
      <c r="P151" s="15">
        <v>0</v>
      </c>
      <c r="Q151" s="22"/>
      <c r="R151" s="97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</row>
    <row r="152" spans="1:31" x14ac:dyDescent="0.25">
      <c r="A152" s="1" t="s">
        <v>0</v>
      </c>
      <c r="B152" s="1" t="s">
        <v>401</v>
      </c>
      <c r="C152" s="2" t="s">
        <v>460</v>
      </c>
      <c r="D152" s="1" t="s">
        <v>459</v>
      </c>
      <c r="E152" s="1"/>
      <c r="F152" s="3">
        <v>272</v>
      </c>
      <c r="G152" s="3">
        <v>133</v>
      </c>
      <c r="H152" s="4">
        <v>732</v>
      </c>
      <c r="I152" s="3">
        <v>379</v>
      </c>
      <c r="J152" s="3">
        <v>353</v>
      </c>
      <c r="K152" s="3">
        <v>210</v>
      </c>
      <c r="L152" s="3">
        <f t="shared" si="8"/>
        <v>28.688524590163933</v>
      </c>
      <c r="M152" s="3">
        <v>1</v>
      </c>
      <c r="N152" s="3">
        <f t="shared" si="9"/>
        <v>0.13661202185792351</v>
      </c>
      <c r="O152" s="3">
        <v>10</v>
      </c>
      <c r="P152" s="15">
        <v>0</v>
      </c>
      <c r="Q152" s="22"/>
      <c r="R152" s="97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</row>
    <row r="153" spans="1:31" x14ac:dyDescent="0.25">
      <c r="A153" s="1" t="s">
        <v>0</v>
      </c>
      <c r="B153" s="1" t="s">
        <v>401</v>
      </c>
      <c r="C153" s="2" t="s">
        <v>460</v>
      </c>
      <c r="D153" s="1" t="s">
        <v>461</v>
      </c>
      <c r="E153" s="1"/>
      <c r="F153" s="3">
        <v>653</v>
      </c>
      <c r="G153" s="3">
        <v>451</v>
      </c>
      <c r="H153" s="4">
        <v>1712</v>
      </c>
      <c r="I153" s="3">
        <v>800</v>
      </c>
      <c r="J153" s="3">
        <v>912</v>
      </c>
      <c r="K153" s="3">
        <v>491</v>
      </c>
      <c r="L153" s="3">
        <f t="shared" si="8"/>
        <v>28.679906542056077</v>
      </c>
      <c r="M153" s="3">
        <v>0</v>
      </c>
      <c r="N153" s="3">
        <f t="shared" si="9"/>
        <v>0</v>
      </c>
      <c r="O153" s="3">
        <v>0</v>
      </c>
      <c r="P153" s="15">
        <v>0</v>
      </c>
      <c r="Q153" s="22"/>
      <c r="R153" s="97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</row>
    <row r="154" spans="1:31" ht="15.75" x14ac:dyDescent="0.25">
      <c r="A154" s="1" t="s">
        <v>0</v>
      </c>
      <c r="B154" s="1" t="s">
        <v>401</v>
      </c>
      <c r="C154" s="2" t="s">
        <v>406</v>
      </c>
      <c r="D154" s="1" t="s">
        <v>257</v>
      </c>
      <c r="E154" s="1"/>
      <c r="F154" s="3">
        <v>3643</v>
      </c>
      <c r="G154" s="3">
        <v>610</v>
      </c>
      <c r="H154" s="4">
        <v>3365</v>
      </c>
      <c r="I154" s="3">
        <v>1746</v>
      </c>
      <c r="J154" s="3">
        <v>1619</v>
      </c>
      <c r="K154" s="3">
        <v>454</v>
      </c>
      <c r="L154" s="3">
        <f t="shared" si="8"/>
        <v>13.491827637444279</v>
      </c>
      <c r="M154" s="3">
        <v>57</v>
      </c>
      <c r="N154" s="3">
        <f t="shared" si="9"/>
        <v>1.6939078751857355</v>
      </c>
      <c r="O154" s="3">
        <v>257</v>
      </c>
      <c r="P154" s="15">
        <v>0</v>
      </c>
      <c r="Q154" s="22" t="s">
        <v>1348</v>
      </c>
      <c r="R154" s="103">
        <v>43786</v>
      </c>
      <c r="S154" s="89">
        <v>19.739999999999998</v>
      </c>
      <c r="T154" s="22"/>
      <c r="U154" s="22" t="s">
        <v>1348</v>
      </c>
      <c r="V154" s="22" t="s">
        <v>1348</v>
      </c>
      <c r="W154" s="22" t="s">
        <v>1348</v>
      </c>
      <c r="X154" s="22"/>
      <c r="Y154" s="22"/>
      <c r="Z154" s="22"/>
      <c r="AA154" s="22"/>
      <c r="AB154" s="22"/>
      <c r="AC154" s="22"/>
      <c r="AD154" s="22"/>
      <c r="AE154" s="22"/>
    </row>
    <row r="155" spans="1:31" ht="15.75" x14ac:dyDescent="0.25">
      <c r="A155" s="1" t="s">
        <v>0</v>
      </c>
      <c r="B155" s="1" t="s">
        <v>401</v>
      </c>
      <c r="C155" s="2" t="s">
        <v>406</v>
      </c>
      <c r="D155" s="1" t="s">
        <v>412</v>
      </c>
      <c r="E155" s="1"/>
      <c r="F155" s="3">
        <v>997</v>
      </c>
      <c r="G155" s="3">
        <v>163</v>
      </c>
      <c r="H155" s="4">
        <v>687</v>
      </c>
      <c r="I155" s="3">
        <v>331</v>
      </c>
      <c r="J155" s="3">
        <v>356</v>
      </c>
      <c r="K155" s="3">
        <v>296</v>
      </c>
      <c r="L155" s="3">
        <f t="shared" si="8"/>
        <v>43.085880640465795</v>
      </c>
      <c r="M155" s="3">
        <v>0</v>
      </c>
      <c r="N155" s="3">
        <f t="shared" si="9"/>
        <v>0</v>
      </c>
      <c r="O155" s="3">
        <v>134</v>
      </c>
      <c r="P155" s="15">
        <v>5</v>
      </c>
      <c r="Q155" s="22" t="s">
        <v>1348</v>
      </c>
      <c r="R155" s="103">
        <v>43784</v>
      </c>
      <c r="S155" s="89">
        <v>19.41</v>
      </c>
      <c r="T155" s="22"/>
      <c r="U155" s="22" t="s">
        <v>1348</v>
      </c>
      <c r="V155" s="22" t="s">
        <v>1348</v>
      </c>
      <c r="W155" s="22" t="s">
        <v>1348</v>
      </c>
      <c r="X155" s="22"/>
      <c r="Y155" s="22"/>
      <c r="Z155" s="22"/>
      <c r="AA155" s="22"/>
      <c r="AB155" s="22"/>
      <c r="AC155" s="22"/>
      <c r="AD155" s="22"/>
      <c r="AE155" s="22"/>
    </row>
    <row r="156" spans="1:31" x14ac:dyDescent="0.25">
      <c r="A156" s="1" t="s">
        <v>0</v>
      </c>
      <c r="B156" s="1" t="s">
        <v>401</v>
      </c>
      <c r="C156" s="2" t="s">
        <v>406</v>
      </c>
      <c r="D156" s="1" t="s">
        <v>418</v>
      </c>
      <c r="E156" s="1"/>
      <c r="F156" s="3">
        <v>486</v>
      </c>
      <c r="G156" s="3">
        <v>113</v>
      </c>
      <c r="H156" s="4">
        <v>557</v>
      </c>
      <c r="I156" s="3">
        <v>276</v>
      </c>
      <c r="J156" s="3">
        <v>281</v>
      </c>
      <c r="K156" s="3">
        <v>152</v>
      </c>
      <c r="L156" s="3">
        <f t="shared" si="8"/>
        <v>27.289048473967686</v>
      </c>
      <c r="M156" s="3">
        <v>0</v>
      </c>
      <c r="N156" s="3">
        <f t="shared" si="9"/>
        <v>0</v>
      </c>
      <c r="O156" s="3">
        <v>57</v>
      </c>
      <c r="P156" s="15">
        <v>0</v>
      </c>
      <c r="Q156" s="22" t="s">
        <v>1348</v>
      </c>
      <c r="R156" s="103">
        <v>43785</v>
      </c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</row>
    <row r="157" spans="1:31" ht="15.75" x14ac:dyDescent="0.25">
      <c r="A157" s="1" t="s">
        <v>0</v>
      </c>
      <c r="B157" s="1" t="s">
        <v>401</v>
      </c>
      <c r="C157" s="2" t="s">
        <v>463</v>
      </c>
      <c r="D157" s="1" t="s">
        <v>462</v>
      </c>
      <c r="E157" s="1"/>
      <c r="F157" s="3">
        <v>446</v>
      </c>
      <c r="G157" s="3">
        <v>171</v>
      </c>
      <c r="H157" s="4">
        <v>805</v>
      </c>
      <c r="I157" s="3">
        <v>392</v>
      </c>
      <c r="J157" s="3">
        <v>413</v>
      </c>
      <c r="K157" s="3">
        <v>43</v>
      </c>
      <c r="L157" s="3">
        <f t="shared" si="8"/>
        <v>5.341614906832298</v>
      </c>
      <c r="M157" s="3">
        <v>328</v>
      </c>
      <c r="N157" s="3">
        <f t="shared" si="9"/>
        <v>40.745341614906835</v>
      </c>
      <c r="O157" s="3">
        <v>57</v>
      </c>
      <c r="P157" s="15">
        <v>0</v>
      </c>
      <c r="Q157" s="22" t="s">
        <v>1348</v>
      </c>
      <c r="R157" s="103">
        <v>43567</v>
      </c>
      <c r="S157" s="89">
        <v>29.5</v>
      </c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</row>
    <row r="158" spans="1:31" ht="15.75" x14ac:dyDescent="0.25">
      <c r="A158" s="1" t="s">
        <v>0</v>
      </c>
      <c r="B158" s="1" t="s">
        <v>401</v>
      </c>
      <c r="C158" s="2" t="s">
        <v>463</v>
      </c>
      <c r="D158" s="1" t="s">
        <v>487</v>
      </c>
      <c r="E158" s="1"/>
      <c r="F158" s="3">
        <v>1775</v>
      </c>
      <c r="G158" s="3">
        <v>650</v>
      </c>
      <c r="H158" s="4">
        <v>2874</v>
      </c>
      <c r="I158" s="3">
        <v>1399</v>
      </c>
      <c r="J158" s="3">
        <v>1475</v>
      </c>
      <c r="K158" s="3">
        <v>575</v>
      </c>
      <c r="L158" s="3">
        <f t="shared" si="8"/>
        <v>20.006958942240779</v>
      </c>
      <c r="M158" s="3">
        <v>122</v>
      </c>
      <c r="N158" s="3">
        <f t="shared" si="9"/>
        <v>4.244954766875435</v>
      </c>
      <c r="O158" s="3">
        <v>64</v>
      </c>
      <c r="P158" s="15">
        <v>0</v>
      </c>
      <c r="Q158" s="22" t="s">
        <v>1348</v>
      </c>
      <c r="R158" s="103">
        <v>43536</v>
      </c>
      <c r="S158" s="89">
        <v>116.58</v>
      </c>
      <c r="T158" s="22"/>
      <c r="U158" s="22" t="s">
        <v>1348</v>
      </c>
      <c r="V158" s="22" t="s">
        <v>1348</v>
      </c>
      <c r="W158" s="22" t="s">
        <v>1348</v>
      </c>
      <c r="X158" s="22"/>
      <c r="Y158" s="22"/>
      <c r="Z158" s="22"/>
      <c r="AA158" s="22"/>
      <c r="AB158" s="22"/>
      <c r="AC158" s="22"/>
      <c r="AD158" s="22"/>
      <c r="AE158" s="22"/>
    </row>
    <row r="159" spans="1:31" ht="15.75" x14ac:dyDescent="0.25">
      <c r="A159" s="1" t="s">
        <v>0</v>
      </c>
      <c r="B159" s="1" t="s">
        <v>401</v>
      </c>
      <c r="C159" s="2" t="s">
        <v>463</v>
      </c>
      <c r="D159" s="1" t="s">
        <v>488</v>
      </c>
      <c r="E159" s="1"/>
      <c r="F159" s="3">
        <v>356</v>
      </c>
      <c r="G159" s="3">
        <v>119</v>
      </c>
      <c r="H159" s="4">
        <v>529</v>
      </c>
      <c r="I159" s="3">
        <v>262</v>
      </c>
      <c r="J159" s="3">
        <v>267</v>
      </c>
      <c r="K159" s="3">
        <v>159</v>
      </c>
      <c r="L159" s="3">
        <f t="shared" si="8"/>
        <v>30.056710775047257</v>
      </c>
      <c r="M159" s="3">
        <v>0</v>
      </c>
      <c r="N159" s="3">
        <f t="shared" si="9"/>
        <v>0</v>
      </c>
      <c r="O159" s="3">
        <v>27</v>
      </c>
      <c r="P159" s="15">
        <v>0</v>
      </c>
      <c r="Q159" s="22" t="s">
        <v>1348</v>
      </c>
      <c r="R159" s="103">
        <v>43823</v>
      </c>
      <c r="S159" s="89">
        <v>48.22</v>
      </c>
      <c r="T159" s="22"/>
      <c r="U159" s="22" t="s">
        <v>1348</v>
      </c>
      <c r="V159" s="22" t="s">
        <v>1348</v>
      </c>
      <c r="W159" s="22" t="s">
        <v>1348</v>
      </c>
      <c r="X159" s="22"/>
      <c r="Y159" s="22"/>
      <c r="Z159" s="22"/>
      <c r="AA159" s="22"/>
      <c r="AB159" s="22"/>
      <c r="AC159" s="22"/>
      <c r="AD159" s="22"/>
      <c r="AE159" s="22"/>
    </row>
  </sheetData>
  <mergeCells count="3">
    <mergeCell ref="AD2:AE2"/>
    <mergeCell ref="M2:N2"/>
    <mergeCell ref="K2:L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1"/>
  <sheetViews>
    <sheetView topLeftCell="A7" workbookViewId="0">
      <pane ySplit="1" topLeftCell="A8" activePane="bottomLeft" state="frozen"/>
      <selection activeCell="A7" sqref="A7"/>
      <selection pane="bottomLeft" activeCell="F15" sqref="F15"/>
    </sheetView>
  </sheetViews>
  <sheetFormatPr defaultRowHeight="15" x14ac:dyDescent="0.25"/>
  <cols>
    <col min="1" max="1" width="8" bestFit="1" customWidth="1"/>
    <col min="2" max="2" width="6.28515625" bestFit="1" customWidth="1"/>
    <col min="3" max="3" width="12.7109375" bestFit="1" customWidth="1"/>
    <col min="4" max="4" width="15.7109375" bestFit="1" customWidth="1"/>
    <col min="5" max="5" width="8.5703125" bestFit="1" customWidth="1"/>
    <col min="6" max="6" width="8" bestFit="1" customWidth="1"/>
    <col min="7" max="7" width="8.28515625" bestFit="1" customWidth="1"/>
    <col min="8" max="8" width="8.7109375" bestFit="1" customWidth="1"/>
    <col min="9" max="9" width="6.5703125" bestFit="1" customWidth="1"/>
    <col min="10" max="10" width="7.85546875" bestFit="1" customWidth="1"/>
    <col min="11" max="11" width="4.42578125" bestFit="1" customWidth="1"/>
    <col min="12" max="12" width="10.42578125" bestFit="1" customWidth="1"/>
    <col min="13" max="13" width="4.42578125" bestFit="1" customWidth="1"/>
    <col min="14" max="14" width="10.42578125" bestFit="1" customWidth="1"/>
    <col min="16" max="16" width="8.5703125" bestFit="1" customWidth="1"/>
    <col min="17" max="17" width="8.7109375" bestFit="1" customWidth="1"/>
    <col min="18" max="18" width="10.42578125" style="110" bestFit="1" customWidth="1"/>
    <col min="19" max="19" width="9" bestFit="1" customWidth="1"/>
    <col min="20" max="20" width="8.85546875" bestFit="1" customWidth="1"/>
    <col min="21" max="21" width="8.28515625" bestFit="1" customWidth="1"/>
    <col min="22" max="22" width="8.140625" bestFit="1" customWidth="1"/>
    <col min="23" max="23" width="8.5703125" bestFit="1" customWidth="1"/>
    <col min="26" max="26" width="8.5703125" bestFit="1" customWidth="1"/>
    <col min="29" max="29" width="26" customWidth="1"/>
    <col min="30" max="30" width="10" bestFit="1" customWidth="1"/>
    <col min="31" max="31" width="10.85546875" bestFit="1" customWidth="1"/>
  </cols>
  <sheetData>
    <row r="1" spans="1:31" ht="15.75" x14ac:dyDescent="0.25">
      <c r="A1" s="23"/>
      <c r="B1" s="23"/>
      <c r="C1" s="24"/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11" t="s">
        <v>1327</v>
      </c>
      <c r="R1" s="106" t="s">
        <v>1327</v>
      </c>
      <c r="S1" s="11" t="s">
        <v>1328</v>
      </c>
      <c r="T1" s="12" t="s">
        <v>1329</v>
      </c>
      <c r="U1" s="11" t="s">
        <v>1329</v>
      </c>
      <c r="V1" s="11" t="s">
        <v>1329</v>
      </c>
      <c r="W1" s="11" t="s">
        <v>1329</v>
      </c>
      <c r="X1" s="11" t="s">
        <v>1329</v>
      </c>
      <c r="Y1" s="11" t="s">
        <v>1329</v>
      </c>
      <c r="Z1" s="13" t="s">
        <v>1330</v>
      </c>
      <c r="AA1" s="13" t="s">
        <v>1330</v>
      </c>
      <c r="AB1" s="13" t="s">
        <v>1330</v>
      </c>
      <c r="AC1" s="13" t="s">
        <v>1330</v>
      </c>
      <c r="AD1" s="13" t="s">
        <v>1330</v>
      </c>
      <c r="AE1" s="13" t="s">
        <v>1330</v>
      </c>
    </row>
    <row r="2" spans="1:31" ht="165" x14ac:dyDescent="0.25">
      <c r="A2" s="25" t="s">
        <v>1336</v>
      </c>
      <c r="B2" s="25" t="s">
        <v>1337</v>
      </c>
      <c r="C2" s="25" t="s">
        <v>1338</v>
      </c>
      <c r="D2" s="25" t="s">
        <v>1339</v>
      </c>
      <c r="E2" s="25" t="s">
        <v>1340</v>
      </c>
      <c r="F2" s="25" t="s">
        <v>1341</v>
      </c>
      <c r="G2" s="25" t="s">
        <v>1342</v>
      </c>
      <c r="H2" s="25" t="s">
        <v>1343</v>
      </c>
      <c r="I2" s="25" t="s">
        <v>1344</v>
      </c>
      <c r="J2" s="25" t="s">
        <v>1345</v>
      </c>
      <c r="K2" s="119" t="s">
        <v>1346</v>
      </c>
      <c r="L2" s="120"/>
      <c r="M2" s="119" t="s">
        <v>1347</v>
      </c>
      <c r="N2" s="120"/>
      <c r="O2" s="14" t="s">
        <v>1331</v>
      </c>
      <c r="P2" s="14" t="s">
        <v>1332</v>
      </c>
      <c r="Q2" s="6" t="s">
        <v>1307</v>
      </c>
      <c r="R2" s="95" t="s">
        <v>1308</v>
      </c>
      <c r="S2" s="6" t="s">
        <v>1309</v>
      </c>
      <c r="T2" s="7" t="s">
        <v>1310</v>
      </c>
      <c r="U2" s="6" t="s">
        <v>1311</v>
      </c>
      <c r="V2" s="7" t="s">
        <v>1312</v>
      </c>
      <c r="W2" s="6" t="s">
        <v>1313</v>
      </c>
      <c r="X2" s="6" t="s">
        <v>1314</v>
      </c>
      <c r="Y2" s="7" t="s">
        <v>1315</v>
      </c>
      <c r="Z2" s="7" t="s">
        <v>1316</v>
      </c>
      <c r="AA2" s="7" t="s">
        <v>1317</v>
      </c>
      <c r="AB2" s="7" t="s">
        <v>1318</v>
      </c>
      <c r="AC2" s="7" t="s">
        <v>1319</v>
      </c>
      <c r="AD2" s="121" t="s">
        <v>1320</v>
      </c>
      <c r="AE2" s="121"/>
    </row>
    <row r="3" spans="1:31" ht="30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8" t="s">
        <v>1333</v>
      </c>
      <c r="L3" s="8" t="s">
        <v>1334</v>
      </c>
      <c r="M3" s="8" t="s">
        <v>1333</v>
      </c>
      <c r="N3" s="8" t="s">
        <v>1334</v>
      </c>
      <c r="O3" s="14" t="s">
        <v>1335</v>
      </c>
      <c r="P3" s="14" t="s">
        <v>1335</v>
      </c>
      <c r="Q3" s="8" t="s">
        <v>1321</v>
      </c>
      <c r="R3" s="95" t="s">
        <v>1322</v>
      </c>
      <c r="S3" s="8" t="s">
        <v>1323</v>
      </c>
      <c r="T3" s="9" t="s">
        <v>1323</v>
      </c>
      <c r="U3" s="8" t="s">
        <v>1321</v>
      </c>
      <c r="V3" s="8" t="s">
        <v>1321</v>
      </c>
      <c r="W3" s="9" t="s">
        <v>1321</v>
      </c>
      <c r="X3" s="9" t="s">
        <v>1321</v>
      </c>
      <c r="Y3" s="9" t="s">
        <v>1323</v>
      </c>
      <c r="Z3" s="9" t="s">
        <v>1321</v>
      </c>
      <c r="AA3" s="9" t="s">
        <v>1321</v>
      </c>
      <c r="AB3" s="9" t="s">
        <v>1323</v>
      </c>
      <c r="AC3" s="8" t="s">
        <v>1324</v>
      </c>
      <c r="AD3" s="10" t="s">
        <v>1325</v>
      </c>
      <c r="AE3" s="10" t="s">
        <v>1326</v>
      </c>
    </row>
    <row r="4" spans="1:31" x14ac:dyDescent="0.25">
      <c r="A4" s="1" t="s">
        <v>0</v>
      </c>
      <c r="B4" s="1" t="s">
        <v>0</v>
      </c>
      <c r="C4" s="2" t="s">
        <v>629</v>
      </c>
      <c r="D4" s="1" t="s">
        <v>60</v>
      </c>
      <c r="E4" s="1"/>
      <c r="F4" s="3">
        <v>754.58</v>
      </c>
      <c r="G4" s="3">
        <v>147</v>
      </c>
      <c r="H4" s="4">
        <v>680</v>
      </c>
      <c r="I4" s="3">
        <v>317</v>
      </c>
      <c r="J4" s="3">
        <v>363</v>
      </c>
      <c r="K4" s="3">
        <v>395</v>
      </c>
      <c r="L4" s="3">
        <f t="shared" ref="L4:L41" si="0">(K4/H4)*100</f>
        <v>58.088235294117652</v>
      </c>
      <c r="M4" s="3">
        <v>0</v>
      </c>
      <c r="N4" s="3">
        <f t="shared" ref="N4:N41" si="1">(M4/H4)*100</f>
        <v>0</v>
      </c>
      <c r="O4" s="3">
        <v>61</v>
      </c>
      <c r="P4" s="15">
        <v>0</v>
      </c>
      <c r="Q4" s="22"/>
      <c r="R4" s="107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</row>
    <row r="5" spans="1:31" x14ac:dyDescent="0.25">
      <c r="A5" s="1" t="s">
        <v>0</v>
      </c>
      <c r="B5" s="1" t="s">
        <v>0</v>
      </c>
      <c r="C5" s="2" t="s">
        <v>629</v>
      </c>
      <c r="D5" s="1" t="s">
        <v>632</v>
      </c>
      <c r="E5" s="1"/>
      <c r="F5" s="3">
        <v>665.41</v>
      </c>
      <c r="G5" s="3">
        <v>119</v>
      </c>
      <c r="H5" s="4">
        <v>537</v>
      </c>
      <c r="I5" s="3">
        <v>268</v>
      </c>
      <c r="J5" s="3">
        <v>269</v>
      </c>
      <c r="K5" s="3">
        <v>124</v>
      </c>
      <c r="L5" s="3">
        <f t="shared" si="0"/>
        <v>23.09124767225326</v>
      </c>
      <c r="M5" s="3">
        <v>4</v>
      </c>
      <c r="N5" s="3">
        <f t="shared" si="1"/>
        <v>0.74487895716945995</v>
      </c>
      <c r="O5" s="3">
        <v>82.1</v>
      </c>
      <c r="P5" s="15">
        <v>0</v>
      </c>
      <c r="Q5" s="22" t="s">
        <v>1348</v>
      </c>
      <c r="R5" s="108">
        <v>43824</v>
      </c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</row>
    <row r="6" spans="1:31" x14ac:dyDescent="0.25">
      <c r="A6" s="1" t="s">
        <v>0</v>
      </c>
      <c r="B6" s="1" t="s">
        <v>0</v>
      </c>
      <c r="C6" s="2" t="s">
        <v>629</v>
      </c>
      <c r="D6" s="1" t="s">
        <v>633</v>
      </c>
      <c r="E6" s="1"/>
      <c r="F6" s="3">
        <v>956.37</v>
      </c>
      <c r="G6" s="3">
        <v>161</v>
      </c>
      <c r="H6" s="4">
        <v>610</v>
      </c>
      <c r="I6" s="3">
        <v>301</v>
      </c>
      <c r="J6" s="3">
        <v>309</v>
      </c>
      <c r="K6" s="3">
        <v>137</v>
      </c>
      <c r="L6" s="3">
        <f t="shared" si="0"/>
        <v>22.459016393442624</v>
      </c>
      <c r="M6" s="3">
        <v>0</v>
      </c>
      <c r="N6" s="3">
        <f t="shared" si="1"/>
        <v>0</v>
      </c>
      <c r="O6" s="3">
        <v>44.2</v>
      </c>
      <c r="P6" s="15">
        <v>0</v>
      </c>
      <c r="Q6" s="22" t="s">
        <v>1348</v>
      </c>
      <c r="R6" s="108">
        <v>43825</v>
      </c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</row>
    <row r="7" spans="1:31" ht="15.75" x14ac:dyDescent="0.25">
      <c r="A7" s="23"/>
      <c r="B7" s="23"/>
      <c r="C7" s="24"/>
      <c r="D7" s="24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11" t="s">
        <v>1327</v>
      </c>
      <c r="R7" s="94" t="s">
        <v>1327</v>
      </c>
      <c r="S7" s="11" t="s">
        <v>1328</v>
      </c>
      <c r="T7" s="12" t="s">
        <v>1329</v>
      </c>
      <c r="U7" s="11" t="s">
        <v>1329</v>
      </c>
      <c r="V7" s="11" t="s">
        <v>1329</v>
      </c>
      <c r="W7" s="11" t="s">
        <v>1329</v>
      </c>
      <c r="X7" s="11" t="s">
        <v>1329</v>
      </c>
      <c r="Y7" s="11" t="s">
        <v>1329</v>
      </c>
      <c r="Z7" s="13" t="s">
        <v>1330</v>
      </c>
      <c r="AA7" s="13" t="s">
        <v>1330</v>
      </c>
      <c r="AB7" s="13" t="s">
        <v>1330</v>
      </c>
      <c r="AC7" s="13" t="s">
        <v>1330</v>
      </c>
      <c r="AD7" s="13" t="s">
        <v>1330</v>
      </c>
      <c r="AE7" s="13" t="s">
        <v>1330</v>
      </c>
    </row>
    <row r="8" spans="1:31" ht="165" x14ac:dyDescent="0.25">
      <c r="A8" s="25" t="s">
        <v>1336</v>
      </c>
      <c r="B8" s="25" t="s">
        <v>1337</v>
      </c>
      <c r="C8" s="25" t="s">
        <v>1338</v>
      </c>
      <c r="D8" s="25" t="s">
        <v>1339</v>
      </c>
      <c r="E8" s="25" t="s">
        <v>1340</v>
      </c>
      <c r="F8" s="25" t="s">
        <v>1341</v>
      </c>
      <c r="G8" s="25" t="s">
        <v>1342</v>
      </c>
      <c r="H8" s="25" t="s">
        <v>1343</v>
      </c>
      <c r="I8" s="25" t="s">
        <v>1344</v>
      </c>
      <c r="J8" s="25" t="s">
        <v>1345</v>
      </c>
      <c r="K8" s="119" t="s">
        <v>1346</v>
      </c>
      <c r="L8" s="120"/>
      <c r="M8" s="119" t="s">
        <v>1347</v>
      </c>
      <c r="N8" s="120"/>
      <c r="O8" s="14" t="s">
        <v>1331</v>
      </c>
      <c r="P8" s="14" t="s">
        <v>1332</v>
      </c>
      <c r="Q8" s="6" t="s">
        <v>1307</v>
      </c>
      <c r="R8" s="95" t="s">
        <v>1308</v>
      </c>
      <c r="S8" s="6" t="s">
        <v>1309</v>
      </c>
      <c r="T8" s="7" t="s">
        <v>1310</v>
      </c>
      <c r="U8" s="6" t="s">
        <v>1311</v>
      </c>
      <c r="V8" s="7" t="s">
        <v>1312</v>
      </c>
      <c r="W8" s="6" t="s">
        <v>1313</v>
      </c>
      <c r="X8" s="6" t="s">
        <v>1314</v>
      </c>
      <c r="Y8" s="7" t="s">
        <v>1315</v>
      </c>
      <c r="Z8" s="7" t="s">
        <v>1316</v>
      </c>
      <c r="AA8" s="7" t="s">
        <v>1317</v>
      </c>
      <c r="AB8" s="7" t="s">
        <v>1318</v>
      </c>
      <c r="AC8" s="7" t="s">
        <v>1319</v>
      </c>
      <c r="AD8" s="121" t="s">
        <v>1320</v>
      </c>
      <c r="AE8" s="121"/>
    </row>
    <row r="9" spans="1:31" ht="30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8" t="s">
        <v>1333</v>
      </c>
      <c r="L9" s="8" t="s">
        <v>1334</v>
      </c>
      <c r="M9" s="8" t="s">
        <v>1333</v>
      </c>
      <c r="N9" s="8" t="s">
        <v>1334</v>
      </c>
      <c r="O9" s="14" t="s">
        <v>1335</v>
      </c>
      <c r="P9" s="14" t="s">
        <v>1335</v>
      </c>
      <c r="Q9" s="8" t="s">
        <v>1321</v>
      </c>
      <c r="R9" s="95" t="s">
        <v>1322</v>
      </c>
      <c r="S9" s="8" t="s">
        <v>1323</v>
      </c>
      <c r="T9" s="9" t="s">
        <v>1323</v>
      </c>
      <c r="U9" s="8" t="s">
        <v>1321</v>
      </c>
      <c r="V9" s="8" t="s">
        <v>1321</v>
      </c>
      <c r="W9" s="9" t="s">
        <v>1321</v>
      </c>
      <c r="X9" s="9" t="s">
        <v>1321</v>
      </c>
      <c r="Y9" s="9" t="s">
        <v>1323</v>
      </c>
      <c r="Z9" s="9" t="s">
        <v>1321</v>
      </c>
      <c r="AA9" s="9" t="s">
        <v>1321</v>
      </c>
      <c r="AB9" s="9" t="s">
        <v>1323</v>
      </c>
      <c r="AC9" s="8" t="s">
        <v>1324</v>
      </c>
      <c r="AD9" s="105" t="s">
        <v>1325</v>
      </c>
      <c r="AE9" s="105" t="s">
        <v>1326</v>
      </c>
    </row>
    <row r="10" spans="1:31" x14ac:dyDescent="0.25">
      <c r="A10" s="1" t="s">
        <v>0</v>
      </c>
      <c r="B10" s="1" t="s">
        <v>0</v>
      </c>
      <c r="C10" s="2" t="s">
        <v>629</v>
      </c>
      <c r="D10" s="1" t="s">
        <v>60</v>
      </c>
      <c r="E10" s="1"/>
      <c r="F10" s="3">
        <v>754.58</v>
      </c>
      <c r="G10" s="3">
        <v>147</v>
      </c>
      <c r="H10" s="4">
        <v>680</v>
      </c>
      <c r="I10" s="3">
        <v>317</v>
      </c>
      <c r="J10" s="3">
        <v>363</v>
      </c>
      <c r="K10" s="3">
        <v>395</v>
      </c>
      <c r="L10" s="3">
        <f t="shared" ref="L10:L12" si="2">(K10/H10)*100</f>
        <v>58.088235294117652</v>
      </c>
      <c r="M10" s="3">
        <v>0</v>
      </c>
      <c r="N10" s="3">
        <f t="shared" ref="N10:N12" si="3">(M10/H10)*100</f>
        <v>0</v>
      </c>
      <c r="O10" s="3">
        <v>61</v>
      </c>
      <c r="P10" s="15">
        <v>0</v>
      </c>
      <c r="Q10" s="22"/>
      <c r="R10" s="97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</row>
    <row r="11" spans="1:31" x14ac:dyDescent="0.25">
      <c r="A11" s="1" t="s">
        <v>0</v>
      </c>
      <c r="B11" s="1" t="s">
        <v>0</v>
      </c>
      <c r="C11" s="2" t="s">
        <v>629</v>
      </c>
      <c r="D11" s="1" t="s">
        <v>632</v>
      </c>
      <c r="E11" s="1"/>
      <c r="F11" s="3">
        <v>665.41</v>
      </c>
      <c r="G11" s="3">
        <v>119</v>
      </c>
      <c r="H11" s="4">
        <v>537</v>
      </c>
      <c r="I11" s="3">
        <v>268</v>
      </c>
      <c r="J11" s="3">
        <v>269</v>
      </c>
      <c r="K11" s="3">
        <v>124</v>
      </c>
      <c r="L11" s="3">
        <f t="shared" si="2"/>
        <v>23.09124767225326</v>
      </c>
      <c r="M11" s="3">
        <v>4</v>
      </c>
      <c r="N11" s="3">
        <f t="shared" si="3"/>
        <v>0.74487895716945995</v>
      </c>
      <c r="O11" s="3">
        <v>82.1</v>
      </c>
      <c r="P11" s="15">
        <v>0</v>
      </c>
      <c r="Q11" s="22" t="s">
        <v>1348</v>
      </c>
      <c r="R11" s="91">
        <v>43824</v>
      </c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x14ac:dyDescent="0.25">
      <c r="A12" s="1" t="s">
        <v>0</v>
      </c>
      <c r="B12" s="1" t="s">
        <v>0</v>
      </c>
      <c r="C12" s="2" t="s">
        <v>629</v>
      </c>
      <c r="D12" s="1" t="s">
        <v>633</v>
      </c>
      <c r="E12" s="1"/>
      <c r="F12" s="3">
        <v>956.37</v>
      </c>
      <c r="G12" s="3">
        <v>161</v>
      </c>
      <c r="H12" s="4">
        <v>610</v>
      </c>
      <c r="I12" s="3">
        <v>301</v>
      </c>
      <c r="J12" s="3">
        <v>309</v>
      </c>
      <c r="K12" s="3">
        <v>137</v>
      </c>
      <c r="L12" s="3">
        <f t="shared" si="2"/>
        <v>22.459016393442624</v>
      </c>
      <c r="M12" s="3">
        <v>0</v>
      </c>
      <c r="N12" s="3">
        <f t="shared" si="3"/>
        <v>0</v>
      </c>
      <c r="O12" s="3">
        <v>44.2</v>
      </c>
      <c r="P12" s="15">
        <v>0</v>
      </c>
      <c r="Q12" s="22" t="s">
        <v>1348</v>
      </c>
      <c r="R12" s="91">
        <v>43825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 spans="1:31" ht="20.25" customHeight="1" x14ac:dyDescent="0.25">
      <c r="A13" s="1" t="s">
        <v>0</v>
      </c>
      <c r="B13" s="1" t="s">
        <v>0</v>
      </c>
      <c r="C13" s="2" t="s">
        <v>629</v>
      </c>
      <c r="D13" s="1" t="s">
        <v>634</v>
      </c>
      <c r="E13" s="1"/>
      <c r="F13" s="3">
        <v>1853.35</v>
      </c>
      <c r="G13" s="3">
        <v>149</v>
      </c>
      <c r="H13" s="4">
        <v>635</v>
      </c>
      <c r="I13" s="3">
        <v>333</v>
      </c>
      <c r="J13" s="3">
        <v>302</v>
      </c>
      <c r="K13" s="3">
        <v>37</v>
      </c>
      <c r="L13" s="3">
        <f t="shared" si="0"/>
        <v>5.8267716535433074</v>
      </c>
      <c r="M13" s="3">
        <v>122</v>
      </c>
      <c r="N13" s="3">
        <f t="shared" si="1"/>
        <v>19.212598425196852</v>
      </c>
      <c r="O13" s="3">
        <v>37</v>
      </c>
      <c r="P13" s="15">
        <v>0</v>
      </c>
      <c r="Q13" s="22" t="s">
        <v>1348</v>
      </c>
      <c r="R13" s="108">
        <v>43825</v>
      </c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1:31" x14ac:dyDescent="0.25">
      <c r="A14" s="1" t="s">
        <v>0</v>
      </c>
      <c r="B14" s="1" t="s">
        <v>0</v>
      </c>
      <c r="C14" s="2" t="s">
        <v>629</v>
      </c>
      <c r="D14" s="1" t="s">
        <v>665</v>
      </c>
      <c r="E14" s="1"/>
      <c r="F14" s="3">
        <v>175.79</v>
      </c>
      <c r="G14" s="3">
        <v>3</v>
      </c>
      <c r="H14" s="4">
        <v>16</v>
      </c>
      <c r="I14" s="3">
        <v>8</v>
      </c>
      <c r="J14" s="3">
        <v>8</v>
      </c>
      <c r="K14" s="3">
        <v>1</v>
      </c>
      <c r="L14" s="3">
        <f t="shared" si="0"/>
        <v>6.25</v>
      </c>
      <c r="M14" s="3">
        <v>15</v>
      </c>
      <c r="N14" s="3">
        <f t="shared" si="1"/>
        <v>93.75</v>
      </c>
      <c r="O14" s="3">
        <v>0</v>
      </c>
      <c r="P14" s="15">
        <v>0</v>
      </c>
      <c r="Q14" s="22" t="s">
        <v>1348</v>
      </c>
      <c r="R14" s="108">
        <v>43814</v>
      </c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1" x14ac:dyDescent="0.25">
      <c r="A15" s="1" t="s">
        <v>0</v>
      </c>
      <c r="B15" s="1" t="s">
        <v>0</v>
      </c>
      <c r="C15" s="2" t="s">
        <v>617</v>
      </c>
      <c r="D15" s="1" t="s">
        <v>616</v>
      </c>
      <c r="E15" s="1"/>
      <c r="F15" s="3">
        <v>503.1</v>
      </c>
      <c r="G15" s="3">
        <v>68</v>
      </c>
      <c r="H15" s="4">
        <v>366</v>
      </c>
      <c r="I15" s="3">
        <v>189</v>
      </c>
      <c r="J15" s="3">
        <v>177</v>
      </c>
      <c r="K15" s="3">
        <v>159</v>
      </c>
      <c r="L15" s="3">
        <f t="shared" si="0"/>
        <v>43.442622950819668</v>
      </c>
      <c r="M15" s="3">
        <v>0</v>
      </c>
      <c r="N15" s="3">
        <f t="shared" si="1"/>
        <v>0</v>
      </c>
      <c r="O15" s="3">
        <v>40.18</v>
      </c>
      <c r="P15" s="15">
        <v>0</v>
      </c>
      <c r="Q15" s="22" t="s">
        <v>1348</v>
      </c>
      <c r="R15" s="108">
        <v>43816</v>
      </c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 spans="1:31" x14ac:dyDescent="0.25">
      <c r="A16" s="1" t="s">
        <v>0</v>
      </c>
      <c r="B16" s="1" t="s">
        <v>0</v>
      </c>
      <c r="C16" s="2" t="s">
        <v>617</v>
      </c>
      <c r="D16" s="1" t="s">
        <v>618</v>
      </c>
      <c r="E16" s="1"/>
      <c r="F16" s="3">
        <v>1508.63</v>
      </c>
      <c r="G16" s="3">
        <v>218</v>
      </c>
      <c r="H16" s="4">
        <v>1027</v>
      </c>
      <c r="I16" s="3">
        <v>531</v>
      </c>
      <c r="J16" s="3">
        <v>496</v>
      </c>
      <c r="K16" s="3">
        <v>467</v>
      </c>
      <c r="L16" s="3">
        <f t="shared" si="0"/>
        <v>45.472249269717622</v>
      </c>
      <c r="M16" s="3">
        <v>15</v>
      </c>
      <c r="N16" s="3">
        <f t="shared" si="1"/>
        <v>1.4605647517039921</v>
      </c>
      <c r="O16" s="3">
        <v>59.2</v>
      </c>
      <c r="P16" s="15">
        <v>0</v>
      </c>
      <c r="Q16" s="22" t="s">
        <v>1348</v>
      </c>
      <c r="R16" s="108">
        <v>43815</v>
      </c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1:31" x14ac:dyDescent="0.25">
      <c r="A17" s="1" t="s">
        <v>0</v>
      </c>
      <c r="B17" s="1" t="s">
        <v>0</v>
      </c>
      <c r="C17" s="2" t="s">
        <v>617</v>
      </c>
      <c r="D17" s="1" t="s">
        <v>619</v>
      </c>
      <c r="E17" s="1"/>
      <c r="F17" s="3">
        <v>715.45</v>
      </c>
      <c r="G17" s="3">
        <v>134</v>
      </c>
      <c r="H17" s="4">
        <v>638</v>
      </c>
      <c r="I17" s="3">
        <v>325</v>
      </c>
      <c r="J17" s="3">
        <v>313</v>
      </c>
      <c r="K17" s="3">
        <v>109</v>
      </c>
      <c r="L17" s="3">
        <f t="shared" si="0"/>
        <v>17.084639498432601</v>
      </c>
      <c r="M17" s="3">
        <v>0</v>
      </c>
      <c r="N17" s="3">
        <f t="shared" si="1"/>
        <v>0</v>
      </c>
      <c r="O17" s="3">
        <v>27.6</v>
      </c>
      <c r="P17" s="15">
        <v>0</v>
      </c>
      <c r="Q17" s="22" t="s">
        <v>1348</v>
      </c>
      <c r="R17" s="108">
        <v>43813</v>
      </c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 spans="1:31" x14ac:dyDescent="0.25">
      <c r="A18" s="1" t="s">
        <v>0</v>
      </c>
      <c r="B18" s="1" t="s">
        <v>0</v>
      </c>
      <c r="C18" s="2" t="s">
        <v>617</v>
      </c>
      <c r="D18" s="1" t="s">
        <v>620</v>
      </c>
      <c r="E18" s="1"/>
      <c r="F18" s="3">
        <v>882.86</v>
      </c>
      <c r="G18" s="3">
        <v>114</v>
      </c>
      <c r="H18" s="4">
        <v>449</v>
      </c>
      <c r="I18" s="3">
        <v>209</v>
      </c>
      <c r="J18" s="3">
        <v>240</v>
      </c>
      <c r="K18" s="3">
        <v>114</v>
      </c>
      <c r="L18" s="3">
        <f t="shared" si="0"/>
        <v>25.389755011135858</v>
      </c>
      <c r="M18" s="3">
        <v>75</v>
      </c>
      <c r="N18" s="3">
        <f t="shared" si="1"/>
        <v>16.70378619153675</v>
      </c>
      <c r="O18" s="3">
        <v>70.040000000000006</v>
      </c>
      <c r="P18" s="15">
        <v>0</v>
      </c>
      <c r="Q18" s="22" t="s">
        <v>1348</v>
      </c>
      <c r="R18" s="108">
        <v>43818</v>
      </c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1:31" x14ac:dyDescent="0.25">
      <c r="A19" s="1" t="s">
        <v>0</v>
      </c>
      <c r="B19" s="1" t="s">
        <v>0</v>
      </c>
      <c r="C19" s="2" t="s">
        <v>617</v>
      </c>
      <c r="D19" s="1" t="s">
        <v>621</v>
      </c>
      <c r="E19" s="1"/>
      <c r="F19" s="3">
        <v>477.36</v>
      </c>
      <c r="G19" s="3">
        <v>104</v>
      </c>
      <c r="H19" s="4">
        <v>365</v>
      </c>
      <c r="I19" s="3">
        <v>169</v>
      </c>
      <c r="J19" s="3">
        <v>196</v>
      </c>
      <c r="K19" s="3">
        <v>97</v>
      </c>
      <c r="L19" s="3">
        <f t="shared" si="0"/>
        <v>26.575342465753426</v>
      </c>
      <c r="M19" s="3">
        <v>0</v>
      </c>
      <c r="N19" s="3">
        <f t="shared" si="1"/>
        <v>0</v>
      </c>
      <c r="O19" s="3">
        <v>51.82</v>
      </c>
      <c r="P19" s="15">
        <v>0</v>
      </c>
      <c r="Q19" s="22" t="s">
        <v>1348</v>
      </c>
      <c r="R19" s="108">
        <v>43818</v>
      </c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</row>
    <row r="20" spans="1:31" x14ac:dyDescent="0.25">
      <c r="A20" s="1" t="s">
        <v>0</v>
      </c>
      <c r="B20" s="1" t="s">
        <v>0</v>
      </c>
      <c r="C20" s="2" t="s">
        <v>617</v>
      </c>
      <c r="D20" s="1" t="s">
        <v>622</v>
      </c>
      <c r="E20" s="1"/>
      <c r="F20" s="3">
        <v>358.75</v>
      </c>
      <c r="G20" s="3">
        <v>108</v>
      </c>
      <c r="H20" s="4">
        <v>536</v>
      </c>
      <c r="I20" s="3">
        <v>273</v>
      </c>
      <c r="J20" s="3">
        <v>263</v>
      </c>
      <c r="K20" s="3">
        <v>282</v>
      </c>
      <c r="L20" s="3">
        <f t="shared" si="0"/>
        <v>52.611940298507463</v>
      </c>
      <c r="M20" s="3">
        <v>0</v>
      </c>
      <c r="N20" s="3">
        <f t="shared" si="1"/>
        <v>0</v>
      </c>
      <c r="O20" s="3">
        <v>48.36</v>
      </c>
      <c r="P20" s="15">
        <v>0</v>
      </c>
      <c r="Q20" s="22" t="s">
        <v>1348</v>
      </c>
      <c r="R20" s="108">
        <v>43818</v>
      </c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 spans="1:31" x14ac:dyDescent="0.25">
      <c r="A21" s="1" t="s">
        <v>0</v>
      </c>
      <c r="B21" s="1" t="s">
        <v>0</v>
      </c>
      <c r="C21" s="2" t="s">
        <v>603</v>
      </c>
      <c r="D21" s="1" t="s">
        <v>602</v>
      </c>
      <c r="E21" s="1"/>
      <c r="F21" s="3">
        <v>1554.32</v>
      </c>
      <c r="G21" s="3">
        <v>185</v>
      </c>
      <c r="H21" s="4">
        <v>818</v>
      </c>
      <c r="I21" s="3">
        <v>420</v>
      </c>
      <c r="J21" s="3">
        <v>398</v>
      </c>
      <c r="K21" s="3">
        <v>368</v>
      </c>
      <c r="L21" s="3">
        <f t="shared" si="0"/>
        <v>44.987775061124694</v>
      </c>
      <c r="M21" s="3">
        <v>1</v>
      </c>
      <c r="N21" s="3">
        <f t="shared" si="1"/>
        <v>0.12224938875305623</v>
      </c>
      <c r="O21" s="3">
        <v>92.28</v>
      </c>
      <c r="P21" s="15">
        <v>0</v>
      </c>
      <c r="Q21" s="22" t="s">
        <v>1348</v>
      </c>
      <c r="R21" s="108">
        <v>43816</v>
      </c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1:31" x14ac:dyDescent="0.25">
      <c r="A22" s="1" t="s">
        <v>0</v>
      </c>
      <c r="B22" s="1" t="s">
        <v>0</v>
      </c>
      <c r="C22" s="2" t="s">
        <v>603</v>
      </c>
      <c r="D22" s="1" t="s">
        <v>604</v>
      </c>
      <c r="E22" s="1"/>
      <c r="F22" s="3">
        <v>3434.9</v>
      </c>
      <c r="G22" s="3">
        <v>304</v>
      </c>
      <c r="H22" s="4">
        <v>1520</v>
      </c>
      <c r="I22" s="3">
        <v>733</v>
      </c>
      <c r="J22" s="3">
        <v>787</v>
      </c>
      <c r="K22" s="3">
        <v>351</v>
      </c>
      <c r="L22" s="3">
        <f t="shared" si="0"/>
        <v>23.092105263157894</v>
      </c>
      <c r="M22" s="3">
        <v>1</v>
      </c>
      <c r="N22" s="3">
        <f t="shared" si="1"/>
        <v>6.5789473684210523E-2</v>
      </c>
      <c r="O22" s="3">
        <v>339.27</v>
      </c>
      <c r="P22" s="15">
        <v>0</v>
      </c>
      <c r="Q22" s="22" t="s">
        <v>1348</v>
      </c>
      <c r="R22" s="108">
        <v>43815</v>
      </c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 spans="1:31" x14ac:dyDescent="0.25">
      <c r="A23" s="1" t="s">
        <v>0</v>
      </c>
      <c r="B23" s="1" t="s">
        <v>0</v>
      </c>
      <c r="C23" s="2" t="s">
        <v>681</v>
      </c>
      <c r="D23" s="1" t="s">
        <v>680</v>
      </c>
      <c r="E23" s="1"/>
      <c r="F23" s="3">
        <v>4519</v>
      </c>
      <c r="G23" s="3">
        <v>746</v>
      </c>
      <c r="H23" s="4">
        <v>3995</v>
      </c>
      <c r="I23" s="3">
        <v>2055</v>
      </c>
      <c r="J23" s="3">
        <v>1940</v>
      </c>
      <c r="K23" s="3">
        <v>856</v>
      </c>
      <c r="L23" s="3">
        <f t="shared" si="0"/>
        <v>21.426783479349186</v>
      </c>
      <c r="M23" s="3">
        <v>98</v>
      </c>
      <c r="N23" s="3">
        <f t="shared" si="1"/>
        <v>2.4530663329161451</v>
      </c>
      <c r="O23" s="3">
        <v>462</v>
      </c>
      <c r="P23" s="15">
        <v>0</v>
      </c>
      <c r="Q23" s="22" t="s">
        <v>1348</v>
      </c>
      <c r="R23" s="108">
        <v>43816</v>
      </c>
      <c r="S23" s="67">
        <v>30.7</v>
      </c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 spans="1:31" x14ac:dyDescent="0.25">
      <c r="A24" s="1" t="s">
        <v>0</v>
      </c>
      <c r="B24" s="1" t="s">
        <v>0</v>
      </c>
      <c r="C24" s="2" t="s">
        <v>612</v>
      </c>
      <c r="D24" s="1" t="s">
        <v>611</v>
      </c>
      <c r="E24" s="1"/>
      <c r="F24" s="3">
        <v>1554.24</v>
      </c>
      <c r="G24" s="3">
        <v>335</v>
      </c>
      <c r="H24" s="4">
        <v>1778</v>
      </c>
      <c r="I24" s="3">
        <v>898</v>
      </c>
      <c r="J24" s="3">
        <v>880</v>
      </c>
      <c r="K24" s="3">
        <v>495</v>
      </c>
      <c r="L24" s="3">
        <f t="shared" si="0"/>
        <v>27.840269966254215</v>
      </c>
      <c r="M24" s="3">
        <v>141</v>
      </c>
      <c r="N24" s="3">
        <f t="shared" si="1"/>
        <v>7.9302587176602923</v>
      </c>
      <c r="O24" s="3">
        <v>103.59</v>
      </c>
      <c r="P24" s="15">
        <v>0</v>
      </c>
      <c r="Q24" s="22"/>
      <c r="R24" s="107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</row>
    <row r="25" spans="1:31" x14ac:dyDescent="0.25">
      <c r="A25" s="1" t="s">
        <v>0</v>
      </c>
      <c r="B25" s="1" t="s">
        <v>0</v>
      </c>
      <c r="C25" s="2" t="s">
        <v>612</v>
      </c>
      <c r="D25" s="1" t="s">
        <v>613</v>
      </c>
      <c r="E25" s="1"/>
      <c r="F25" s="3">
        <v>972.51</v>
      </c>
      <c r="G25" s="3">
        <v>170</v>
      </c>
      <c r="H25" s="4">
        <v>930</v>
      </c>
      <c r="I25" s="3">
        <v>472</v>
      </c>
      <c r="J25" s="3">
        <v>458</v>
      </c>
      <c r="K25" s="3">
        <v>315</v>
      </c>
      <c r="L25" s="3">
        <f t="shared" si="0"/>
        <v>33.87096774193548</v>
      </c>
      <c r="M25" s="3">
        <v>41</v>
      </c>
      <c r="N25" s="3">
        <f t="shared" si="1"/>
        <v>4.408602150537634</v>
      </c>
      <c r="O25" s="3">
        <v>79.239999999999995</v>
      </c>
      <c r="P25" s="15">
        <v>0</v>
      </c>
      <c r="Q25" s="22" t="s">
        <v>1348</v>
      </c>
      <c r="R25" s="108">
        <v>43819</v>
      </c>
      <c r="S25" s="22"/>
      <c r="T25" s="22"/>
      <c r="U25" s="22"/>
      <c r="V25" s="22"/>
      <c r="W25" s="22"/>
      <c r="X25" s="22"/>
      <c r="Y25" s="22"/>
      <c r="Z25" s="22"/>
      <c r="AA25" s="22"/>
      <c r="AB25" s="22">
        <v>5</v>
      </c>
      <c r="AC25" s="22" t="s">
        <v>1361</v>
      </c>
      <c r="AD25">
        <v>26.103258</v>
      </c>
      <c r="AE25">
        <v>73.978290000000001</v>
      </c>
    </row>
    <row r="26" spans="1:31" x14ac:dyDescent="0.25">
      <c r="A26" s="1" t="s">
        <v>0</v>
      </c>
      <c r="B26" s="1" t="s">
        <v>0</v>
      </c>
      <c r="C26" s="2" t="s">
        <v>612</v>
      </c>
      <c r="D26" s="1" t="s">
        <v>615</v>
      </c>
      <c r="E26" s="1"/>
      <c r="F26" s="3">
        <v>956.12</v>
      </c>
      <c r="G26" s="3">
        <v>205</v>
      </c>
      <c r="H26" s="4">
        <v>1044</v>
      </c>
      <c r="I26" s="3">
        <v>539</v>
      </c>
      <c r="J26" s="3">
        <v>505</v>
      </c>
      <c r="K26" s="3">
        <v>456</v>
      </c>
      <c r="L26" s="3">
        <f t="shared" si="0"/>
        <v>43.678160919540232</v>
      </c>
      <c r="M26" s="3">
        <v>11</v>
      </c>
      <c r="N26" s="3">
        <f t="shared" si="1"/>
        <v>1.053639846743295</v>
      </c>
      <c r="O26" s="3">
        <v>73.98</v>
      </c>
      <c r="P26" s="15">
        <v>0</v>
      </c>
      <c r="Q26" s="22" t="s">
        <v>1348</v>
      </c>
      <c r="R26" s="108">
        <v>43819</v>
      </c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</row>
    <row r="27" spans="1:31" x14ac:dyDescent="0.25">
      <c r="A27" s="1" t="s">
        <v>0</v>
      </c>
      <c r="B27" s="1" t="s">
        <v>0</v>
      </c>
      <c r="C27" s="2" t="s">
        <v>612</v>
      </c>
      <c r="D27" s="1" t="s">
        <v>624</v>
      </c>
      <c r="E27" s="1"/>
      <c r="F27" s="3">
        <v>1252.1400000000001</v>
      </c>
      <c r="G27" s="3">
        <v>160</v>
      </c>
      <c r="H27" s="4">
        <v>844</v>
      </c>
      <c r="I27" s="3">
        <v>398</v>
      </c>
      <c r="J27" s="3">
        <v>446</v>
      </c>
      <c r="K27" s="3">
        <v>240</v>
      </c>
      <c r="L27" s="3">
        <f t="shared" si="0"/>
        <v>28.436018957345972</v>
      </c>
      <c r="M27" s="3">
        <v>36</v>
      </c>
      <c r="N27" s="3">
        <f t="shared" si="1"/>
        <v>4.2654028436018958</v>
      </c>
      <c r="O27" s="3">
        <v>257.86</v>
      </c>
      <c r="P27" s="15">
        <v>0</v>
      </c>
      <c r="Q27" s="22" t="s">
        <v>1348</v>
      </c>
      <c r="R27" s="108">
        <v>43821</v>
      </c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 spans="1:31" x14ac:dyDescent="0.25">
      <c r="A28" s="1" t="s">
        <v>0</v>
      </c>
      <c r="B28" s="1" t="s">
        <v>0</v>
      </c>
      <c r="C28" s="2" t="s">
        <v>612</v>
      </c>
      <c r="D28" s="1" t="s">
        <v>625</v>
      </c>
      <c r="E28" s="1"/>
      <c r="F28" s="3">
        <v>506.41</v>
      </c>
      <c r="G28" s="3">
        <v>57</v>
      </c>
      <c r="H28" s="4">
        <v>353</v>
      </c>
      <c r="I28" s="3">
        <v>184</v>
      </c>
      <c r="J28" s="3">
        <v>169</v>
      </c>
      <c r="K28" s="3">
        <v>217</v>
      </c>
      <c r="L28" s="3">
        <f t="shared" si="0"/>
        <v>61.473087818696882</v>
      </c>
      <c r="M28" s="3">
        <v>1</v>
      </c>
      <c r="N28" s="3">
        <f t="shared" si="1"/>
        <v>0.28328611898016998</v>
      </c>
      <c r="O28" s="3">
        <v>0</v>
      </c>
      <c r="P28" s="15">
        <v>0</v>
      </c>
      <c r="Q28" s="22"/>
      <c r="R28" s="107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 spans="1:31" x14ac:dyDescent="0.25">
      <c r="A29" s="1" t="s">
        <v>0</v>
      </c>
      <c r="B29" s="1" t="s">
        <v>0</v>
      </c>
      <c r="C29" s="2" t="s">
        <v>682</v>
      </c>
      <c r="D29" s="1" t="s">
        <v>423</v>
      </c>
      <c r="E29" s="1"/>
      <c r="F29" s="3">
        <v>2097</v>
      </c>
      <c r="G29" s="3">
        <v>323</v>
      </c>
      <c r="H29" s="4">
        <v>1479</v>
      </c>
      <c r="I29" s="3">
        <v>739</v>
      </c>
      <c r="J29" s="3">
        <v>740</v>
      </c>
      <c r="K29" s="3">
        <v>457</v>
      </c>
      <c r="L29" s="3">
        <f t="shared" si="0"/>
        <v>30.899256254225826</v>
      </c>
      <c r="M29" s="3">
        <v>261</v>
      </c>
      <c r="N29" s="3">
        <f t="shared" si="1"/>
        <v>17.647058823529413</v>
      </c>
      <c r="O29" s="3">
        <v>64</v>
      </c>
      <c r="P29" s="15">
        <v>59</v>
      </c>
      <c r="Q29" s="22" t="s">
        <v>1348</v>
      </c>
      <c r="R29" s="111">
        <v>44197</v>
      </c>
      <c r="S29" s="67">
        <v>40.520000000000003</v>
      </c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</row>
    <row r="30" spans="1:31" x14ac:dyDescent="0.25">
      <c r="A30" s="1" t="s">
        <v>0</v>
      </c>
      <c r="B30" s="1" t="s">
        <v>0</v>
      </c>
      <c r="C30" s="2" t="s">
        <v>682</v>
      </c>
      <c r="D30" s="1" t="s">
        <v>683</v>
      </c>
      <c r="E30" s="1"/>
      <c r="F30" s="3">
        <v>4233</v>
      </c>
      <c r="G30" s="3">
        <v>468</v>
      </c>
      <c r="H30" s="4">
        <v>2083</v>
      </c>
      <c r="I30" s="3">
        <v>1073</v>
      </c>
      <c r="J30" s="3">
        <v>1010</v>
      </c>
      <c r="K30" s="3">
        <v>476</v>
      </c>
      <c r="L30" s="3">
        <f t="shared" si="0"/>
        <v>22.851656265002401</v>
      </c>
      <c r="M30" s="3">
        <v>394</v>
      </c>
      <c r="N30" s="3">
        <f t="shared" si="1"/>
        <v>18.915026404224676</v>
      </c>
      <c r="O30" s="3">
        <v>551</v>
      </c>
      <c r="P30" s="15">
        <v>223</v>
      </c>
      <c r="Q30" s="22" t="s">
        <v>1348</v>
      </c>
      <c r="R30" s="108">
        <v>43817</v>
      </c>
      <c r="S30" s="67">
        <v>16.510000000000002</v>
      </c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</row>
    <row r="31" spans="1:31" x14ac:dyDescent="0.25">
      <c r="A31" s="1" t="s">
        <v>0</v>
      </c>
      <c r="B31" s="1" t="s">
        <v>0</v>
      </c>
      <c r="C31" s="2" t="s">
        <v>654</v>
      </c>
      <c r="D31" s="1" t="s">
        <v>363</v>
      </c>
      <c r="E31" s="1"/>
      <c r="F31" s="3">
        <v>3674.73</v>
      </c>
      <c r="G31" s="3">
        <v>522</v>
      </c>
      <c r="H31" s="4">
        <v>2689</v>
      </c>
      <c r="I31" s="3">
        <v>1380</v>
      </c>
      <c r="J31" s="3">
        <v>1309</v>
      </c>
      <c r="K31" s="3">
        <v>609</v>
      </c>
      <c r="L31" s="3">
        <f t="shared" si="0"/>
        <v>22.64782447006322</v>
      </c>
      <c r="M31" s="3">
        <v>101</v>
      </c>
      <c r="N31" s="3">
        <f t="shared" si="1"/>
        <v>3.756043138713276</v>
      </c>
      <c r="O31" s="3">
        <v>208</v>
      </c>
      <c r="P31" s="15">
        <v>0</v>
      </c>
      <c r="Q31" s="22" t="s">
        <v>1348</v>
      </c>
      <c r="R31" s="109">
        <v>44085</v>
      </c>
      <c r="S31" s="67">
        <v>30.81</v>
      </c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 spans="1:31" x14ac:dyDescent="0.25">
      <c r="A32" s="1" t="s">
        <v>0</v>
      </c>
      <c r="B32" s="1" t="s">
        <v>0</v>
      </c>
      <c r="C32" s="2" t="s">
        <v>654</v>
      </c>
      <c r="D32" s="1" t="s">
        <v>677</v>
      </c>
      <c r="E32" s="1"/>
      <c r="F32" s="3">
        <v>2273</v>
      </c>
      <c r="G32" s="3">
        <v>302</v>
      </c>
      <c r="H32" s="4">
        <v>1797</v>
      </c>
      <c r="I32" s="3">
        <v>960</v>
      </c>
      <c r="J32" s="3">
        <v>837</v>
      </c>
      <c r="K32" s="3">
        <v>675</v>
      </c>
      <c r="L32" s="3">
        <f t="shared" si="0"/>
        <v>37.56260434056761</v>
      </c>
      <c r="M32" s="3">
        <v>0</v>
      </c>
      <c r="N32" s="3">
        <f t="shared" si="1"/>
        <v>0</v>
      </c>
      <c r="O32" s="3">
        <v>205</v>
      </c>
      <c r="P32" s="15">
        <v>102</v>
      </c>
      <c r="Q32" s="22" t="s">
        <v>1348</v>
      </c>
      <c r="R32" s="109">
        <v>44086</v>
      </c>
      <c r="S32" s="67">
        <v>26.85</v>
      </c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</row>
    <row r="33" spans="1:31" x14ac:dyDescent="0.25">
      <c r="A33" s="1" t="s">
        <v>0</v>
      </c>
      <c r="B33" s="1" t="s">
        <v>0</v>
      </c>
      <c r="C33" s="2" t="s">
        <v>676</v>
      </c>
      <c r="D33" s="1" t="s">
        <v>675</v>
      </c>
      <c r="E33" s="1"/>
      <c r="F33" s="3">
        <v>5218</v>
      </c>
      <c r="G33" s="3">
        <v>758</v>
      </c>
      <c r="H33" s="4">
        <v>3794</v>
      </c>
      <c r="I33" s="3">
        <v>1924</v>
      </c>
      <c r="J33" s="3">
        <v>1870</v>
      </c>
      <c r="K33" s="3">
        <v>950</v>
      </c>
      <c r="L33" s="3">
        <f t="shared" si="0"/>
        <v>25.039536109646811</v>
      </c>
      <c r="M33" s="3">
        <v>370</v>
      </c>
      <c r="N33" s="3">
        <f t="shared" si="1"/>
        <v>9.7522403795466523</v>
      </c>
      <c r="O33" s="3">
        <v>179</v>
      </c>
      <c r="P33" s="15">
        <v>0</v>
      </c>
      <c r="Q33" s="22"/>
      <c r="R33" s="107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 spans="1:31" x14ac:dyDescent="0.25">
      <c r="A34" s="1" t="s">
        <v>0</v>
      </c>
      <c r="B34" s="1" t="s">
        <v>0</v>
      </c>
      <c r="C34" s="2" t="s">
        <v>672</v>
      </c>
      <c r="D34" s="1" t="s">
        <v>671</v>
      </c>
      <c r="E34" s="1"/>
      <c r="F34" s="3">
        <v>1566.02</v>
      </c>
      <c r="G34" s="3">
        <v>545</v>
      </c>
      <c r="H34" s="4">
        <v>2387</v>
      </c>
      <c r="I34" s="3">
        <v>1186</v>
      </c>
      <c r="J34" s="3">
        <v>1201</v>
      </c>
      <c r="K34" s="3">
        <v>223</v>
      </c>
      <c r="L34" s="3">
        <f t="shared" si="0"/>
        <v>9.3422706325932143</v>
      </c>
      <c r="M34" s="3">
        <v>430</v>
      </c>
      <c r="N34" s="3">
        <f t="shared" si="1"/>
        <v>18.014243820695434</v>
      </c>
      <c r="O34" s="3">
        <v>21.59</v>
      </c>
      <c r="P34" s="15">
        <v>0</v>
      </c>
      <c r="Q34" s="22" t="s">
        <v>1348</v>
      </c>
      <c r="R34" s="109">
        <v>44093</v>
      </c>
      <c r="S34" s="67">
        <v>16.510000000000002</v>
      </c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</row>
    <row r="35" spans="1:31" x14ac:dyDescent="0.25">
      <c r="A35" s="1" t="s">
        <v>0</v>
      </c>
      <c r="B35" s="1" t="s">
        <v>0</v>
      </c>
      <c r="C35" s="2" t="s">
        <v>672</v>
      </c>
      <c r="D35" s="1" t="s">
        <v>521</v>
      </c>
      <c r="E35" s="1"/>
      <c r="F35" s="3">
        <v>849.89</v>
      </c>
      <c r="G35" s="3">
        <v>226</v>
      </c>
      <c r="H35" s="4">
        <v>947</v>
      </c>
      <c r="I35" s="3">
        <v>448</v>
      </c>
      <c r="J35" s="3">
        <v>499</v>
      </c>
      <c r="K35" s="3">
        <v>150</v>
      </c>
      <c r="L35" s="3">
        <f t="shared" si="0"/>
        <v>15.839493136219641</v>
      </c>
      <c r="M35" s="3">
        <v>197</v>
      </c>
      <c r="N35" s="3">
        <f t="shared" si="1"/>
        <v>20.802534318901795</v>
      </c>
      <c r="O35" s="3">
        <v>39.97</v>
      </c>
      <c r="P35" s="15">
        <v>0</v>
      </c>
      <c r="Q35" s="22" t="s">
        <v>1348</v>
      </c>
      <c r="R35" s="109">
        <v>44097</v>
      </c>
      <c r="S35" s="67">
        <v>6.17</v>
      </c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</row>
    <row r="36" spans="1:31" x14ac:dyDescent="0.25">
      <c r="A36" s="1" t="s">
        <v>0</v>
      </c>
      <c r="B36" s="1" t="s">
        <v>0</v>
      </c>
      <c r="C36" s="2" t="s">
        <v>643</v>
      </c>
      <c r="D36" s="1" t="s">
        <v>642</v>
      </c>
      <c r="E36" s="1"/>
      <c r="F36" s="3">
        <v>867</v>
      </c>
      <c r="G36" s="3">
        <v>100</v>
      </c>
      <c r="H36" s="4">
        <v>472</v>
      </c>
      <c r="I36" s="3">
        <v>240</v>
      </c>
      <c r="J36" s="3">
        <v>232</v>
      </c>
      <c r="K36" s="3">
        <v>76</v>
      </c>
      <c r="L36" s="3">
        <f t="shared" si="0"/>
        <v>16.101694915254235</v>
      </c>
      <c r="M36" s="3">
        <v>0</v>
      </c>
      <c r="N36" s="3">
        <f t="shared" si="1"/>
        <v>0</v>
      </c>
      <c r="O36" s="3">
        <v>7</v>
      </c>
      <c r="P36" s="15">
        <v>0</v>
      </c>
      <c r="Q36" s="22"/>
      <c r="R36" s="107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 spans="1:31" x14ac:dyDescent="0.25">
      <c r="A37" s="1" t="s">
        <v>0</v>
      </c>
      <c r="B37" s="1" t="s">
        <v>0</v>
      </c>
      <c r="C37" s="2" t="s">
        <v>643</v>
      </c>
      <c r="D37" s="1" t="s">
        <v>644</v>
      </c>
      <c r="E37" s="1"/>
      <c r="F37" s="3">
        <v>477</v>
      </c>
      <c r="G37" s="3">
        <v>14</v>
      </c>
      <c r="H37" s="4">
        <v>63</v>
      </c>
      <c r="I37" s="3">
        <v>26</v>
      </c>
      <c r="J37" s="3">
        <v>37</v>
      </c>
      <c r="K37" s="3">
        <v>14</v>
      </c>
      <c r="L37" s="3">
        <f t="shared" si="0"/>
        <v>22.222222222222221</v>
      </c>
      <c r="M37" s="3">
        <v>44</v>
      </c>
      <c r="N37" s="3">
        <f t="shared" si="1"/>
        <v>69.841269841269835</v>
      </c>
      <c r="O37" s="3">
        <v>41</v>
      </c>
      <c r="P37" s="15">
        <v>0</v>
      </c>
      <c r="Q37" s="22"/>
      <c r="R37" s="107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 spans="1:31" x14ac:dyDescent="0.25">
      <c r="A38" s="1" t="s">
        <v>0</v>
      </c>
      <c r="B38" s="1" t="s">
        <v>0</v>
      </c>
      <c r="C38" s="2" t="s">
        <v>643</v>
      </c>
      <c r="D38" s="1" t="s">
        <v>645</v>
      </c>
      <c r="E38" s="1"/>
      <c r="F38" s="3">
        <v>1024</v>
      </c>
      <c r="G38" s="3">
        <v>129</v>
      </c>
      <c r="H38" s="4">
        <v>698</v>
      </c>
      <c r="I38" s="3">
        <v>354</v>
      </c>
      <c r="J38" s="3">
        <v>344</v>
      </c>
      <c r="K38" s="3">
        <v>116</v>
      </c>
      <c r="L38" s="3">
        <f t="shared" si="0"/>
        <v>16.618911174785101</v>
      </c>
      <c r="M38" s="3">
        <v>0</v>
      </c>
      <c r="N38" s="3">
        <f t="shared" si="1"/>
        <v>0</v>
      </c>
      <c r="O38" s="3">
        <v>27</v>
      </c>
      <c r="P38" s="15">
        <v>0</v>
      </c>
      <c r="Q38" s="22"/>
      <c r="R38" s="107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</row>
    <row r="39" spans="1:31" x14ac:dyDescent="0.25">
      <c r="A39" s="1" t="s">
        <v>0</v>
      </c>
      <c r="B39" s="1" t="s">
        <v>0</v>
      </c>
      <c r="C39" s="2" t="s">
        <v>643</v>
      </c>
      <c r="D39" s="1" t="s">
        <v>646</v>
      </c>
      <c r="E39" s="1"/>
      <c r="F39" s="3">
        <v>295</v>
      </c>
      <c r="G39" s="3">
        <v>118</v>
      </c>
      <c r="H39" s="4">
        <v>540</v>
      </c>
      <c r="I39" s="3">
        <v>282</v>
      </c>
      <c r="J39" s="3">
        <v>258</v>
      </c>
      <c r="K39" s="3">
        <v>14</v>
      </c>
      <c r="L39" s="3">
        <f t="shared" si="0"/>
        <v>2.5925925925925926</v>
      </c>
      <c r="M39" s="3">
        <v>2</v>
      </c>
      <c r="N39" s="3">
        <f t="shared" si="1"/>
        <v>0.37037037037037041</v>
      </c>
      <c r="O39" s="3">
        <v>50</v>
      </c>
      <c r="P39" s="15">
        <v>0</v>
      </c>
      <c r="Q39" s="22"/>
      <c r="R39" s="107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31" x14ac:dyDescent="0.25">
      <c r="A40" s="1" t="s">
        <v>0</v>
      </c>
      <c r="B40" s="1" t="s">
        <v>0</v>
      </c>
      <c r="C40" s="2" t="s">
        <v>643</v>
      </c>
      <c r="D40" s="1" t="s">
        <v>647</v>
      </c>
      <c r="E40" s="1"/>
      <c r="F40" s="3">
        <v>1009</v>
      </c>
      <c r="G40" s="3">
        <v>129</v>
      </c>
      <c r="H40" s="4">
        <v>643</v>
      </c>
      <c r="I40" s="3">
        <v>305</v>
      </c>
      <c r="J40" s="3">
        <v>338</v>
      </c>
      <c r="K40" s="3">
        <v>184</v>
      </c>
      <c r="L40" s="3">
        <f t="shared" si="0"/>
        <v>28.615863141524105</v>
      </c>
      <c r="M40" s="3">
        <v>51</v>
      </c>
      <c r="N40" s="3">
        <f t="shared" si="1"/>
        <v>7.9315707620528766</v>
      </c>
      <c r="O40" s="3">
        <v>26</v>
      </c>
      <c r="P40" s="15">
        <v>0</v>
      </c>
      <c r="Q40" s="22"/>
      <c r="R40" s="107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31" x14ac:dyDescent="0.25">
      <c r="A41" s="1" t="s">
        <v>0</v>
      </c>
      <c r="B41" s="1" t="s">
        <v>0</v>
      </c>
      <c r="C41" s="2" t="s">
        <v>643</v>
      </c>
      <c r="D41" s="1" t="s">
        <v>655</v>
      </c>
      <c r="E41" s="1"/>
      <c r="F41" s="3">
        <v>1837</v>
      </c>
      <c r="G41" s="3">
        <v>340</v>
      </c>
      <c r="H41" s="4">
        <v>1711</v>
      </c>
      <c r="I41" s="3">
        <v>884</v>
      </c>
      <c r="J41" s="3">
        <v>827</v>
      </c>
      <c r="K41" s="3">
        <v>274</v>
      </c>
      <c r="L41" s="3">
        <f t="shared" si="0"/>
        <v>16.014026884862652</v>
      </c>
      <c r="M41" s="3">
        <v>407</v>
      </c>
      <c r="N41" s="3">
        <f t="shared" si="1"/>
        <v>23.787258912916425</v>
      </c>
      <c r="O41" s="3">
        <v>28</v>
      </c>
      <c r="P41" s="15">
        <v>0</v>
      </c>
      <c r="Q41" s="22" t="s">
        <v>1348</v>
      </c>
      <c r="R41" s="109">
        <v>44198</v>
      </c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 spans="1:31" x14ac:dyDescent="0.25">
      <c r="A42" s="1" t="s">
        <v>0</v>
      </c>
      <c r="B42" s="1" t="s">
        <v>0</v>
      </c>
      <c r="C42" s="2" t="s">
        <v>659</v>
      </c>
      <c r="D42" s="1" t="s">
        <v>658</v>
      </c>
      <c r="E42" s="1"/>
      <c r="F42" s="3">
        <v>761.18</v>
      </c>
      <c r="G42" s="3">
        <v>93</v>
      </c>
      <c r="H42" s="4">
        <v>575</v>
      </c>
      <c r="I42" s="3">
        <v>298</v>
      </c>
      <c r="J42" s="3">
        <v>277</v>
      </c>
      <c r="K42" s="3">
        <v>58</v>
      </c>
      <c r="L42" s="3">
        <f t="shared" ref="L42:L73" si="4">(K42/H42)*100</f>
        <v>10.086956521739131</v>
      </c>
      <c r="M42" s="3">
        <v>0</v>
      </c>
      <c r="N42" s="3">
        <f t="shared" ref="N42:N73" si="5">(M42/H42)*100</f>
        <v>0</v>
      </c>
      <c r="O42" s="3">
        <v>31.18</v>
      </c>
      <c r="P42" s="15">
        <v>0</v>
      </c>
      <c r="Q42" s="22" t="s">
        <v>1348</v>
      </c>
      <c r="R42" s="109">
        <v>44090</v>
      </c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 spans="1:31" x14ac:dyDescent="0.25">
      <c r="A43" s="1" t="s">
        <v>0</v>
      </c>
      <c r="B43" s="1" t="s">
        <v>0</v>
      </c>
      <c r="C43" s="2" t="s">
        <v>659</v>
      </c>
      <c r="D43" s="1" t="s">
        <v>660</v>
      </c>
      <c r="E43" s="1"/>
      <c r="F43" s="3">
        <v>4327.79</v>
      </c>
      <c r="G43" s="3">
        <v>992</v>
      </c>
      <c r="H43" s="4">
        <v>5157</v>
      </c>
      <c r="I43" s="3">
        <v>2615</v>
      </c>
      <c r="J43" s="3">
        <v>2542</v>
      </c>
      <c r="K43" s="3">
        <v>1706</v>
      </c>
      <c r="L43" s="3">
        <f t="shared" si="4"/>
        <v>33.081248788055071</v>
      </c>
      <c r="M43" s="3">
        <v>55</v>
      </c>
      <c r="N43" s="3">
        <f t="shared" si="5"/>
        <v>1.0665115377157262</v>
      </c>
      <c r="O43" s="3">
        <v>0</v>
      </c>
      <c r="P43" s="15">
        <v>0</v>
      </c>
      <c r="Q43" s="22" t="s">
        <v>1348</v>
      </c>
      <c r="R43" s="109">
        <v>44101</v>
      </c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:31" x14ac:dyDescent="0.25">
      <c r="A44" s="1" t="s">
        <v>0</v>
      </c>
      <c r="B44" s="1" t="s">
        <v>0</v>
      </c>
      <c r="C44" s="2" t="s">
        <v>659</v>
      </c>
      <c r="D44" s="1" t="s">
        <v>661</v>
      </c>
      <c r="E44" s="1"/>
      <c r="F44" s="3">
        <v>1089.33</v>
      </c>
      <c r="G44" s="3">
        <v>99</v>
      </c>
      <c r="H44" s="4">
        <v>429</v>
      </c>
      <c r="I44" s="3">
        <v>222</v>
      </c>
      <c r="J44" s="3">
        <v>207</v>
      </c>
      <c r="K44" s="3">
        <v>66</v>
      </c>
      <c r="L44" s="3">
        <f t="shared" si="4"/>
        <v>15.384615384615385</v>
      </c>
      <c r="M44" s="3">
        <v>0</v>
      </c>
      <c r="N44" s="3">
        <f t="shared" si="5"/>
        <v>0</v>
      </c>
      <c r="O44" s="3">
        <v>0</v>
      </c>
      <c r="P44" s="15">
        <v>0</v>
      </c>
      <c r="Q44" s="22"/>
      <c r="R44" s="107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:31" x14ac:dyDescent="0.25">
      <c r="A45" s="1" t="s">
        <v>0</v>
      </c>
      <c r="B45" s="1" t="s">
        <v>0</v>
      </c>
      <c r="C45" s="2" t="s">
        <v>695</v>
      </c>
      <c r="D45" s="1" t="s">
        <v>694</v>
      </c>
      <c r="E45" s="1"/>
      <c r="F45" s="3">
        <v>621</v>
      </c>
      <c r="G45" s="3">
        <v>211</v>
      </c>
      <c r="H45" s="4">
        <v>938</v>
      </c>
      <c r="I45" s="3">
        <v>503</v>
      </c>
      <c r="J45" s="3">
        <v>435</v>
      </c>
      <c r="K45" s="3">
        <v>180</v>
      </c>
      <c r="L45" s="3">
        <f t="shared" si="4"/>
        <v>19.189765458422176</v>
      </c>
      <c r="M45" s="3">
        <v>0</v>
      </c>
      <c r="N45" s="3">
        <f t="shared" si="5"/>
        <v>0</v>
      </c>
      <c r="O45" s="3">
        <v>104.08</v>
      </c>
      <c r="P45" s="15">
        <v>40.950000000000003</v>
      </c>
      <c r="Q45" s="22" t="s">
        <v>1348</v>
      </c>
      <c r="R45" s="109">
        <v>44094</v>
      </c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 spans="1:31" x14ac:dyDescent="0.25">
      <c r="A46" s="1" t="s">
        <v>0</v>
      </c>
      <c r="B46" s="1" t="s">
        <v>0</v>
      </c>
      <c r="C46" s="2" t="s">
        <v>695</v>
      </c>
      <c r="D46" s="1" t="s">
        <v>696</v>
      </c>
      <c r="E46" s="1"/>
      <c r="F46" s="3">
        <v>1769</v>
      </c>
      <c r="G46" s="3">
        <v>180</v>
      </c>
      <c r="H46" s="4">
        <v>872</v>
      </c>
      <c r="I46" s="3">
        <v>453</v>
      </c>
      <c r="J46" s="3">
        <v>419</v>
      </c>
      <c r="K46" s="3">
        <v>228</v>
      </c>
      <c r="L46" s="3">
        <f t="shared" si="4"/>
        <v>26.146788990825687</v>
      </c>
      <c r="M46" s="3">
        <v>0</v>
      </c>
      <c r="N46" s="3">
        <f t="shared" si="5"/>
        <v>0</v>
      </c>
      <c r="O46" s="3">
        <v>197.95</v>
      </c>
      <c r="P46" s="15">
        <v>0</v>
      </c>
      <c r="Q46" s="22" t="s">
        <v>1348</v>
      </c>
      <c r="R46" s="109">
        <v>44200</v>
      </c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 spans="1:31" x14ac:dyDescent="0.25">
      <c r="A47" s="1" t="s">
        <v>0</v>
      </c>
      <c r="B47" s="1" t="s">
        <v>0</v>
      </c>
      <c r="C47" s="2" t="s">
        <v>695</v>
      </c>
      <c r="D47" s="1" t="s">
        <v>697</v>
      </c>
      <c r="E47" s="1"/>
      <c r="F47" s="3">
        <v>3066.07</v>
      </c>
      <c r="G47" s="3">
        <v>905</v>
      </c>
      <c r="H47" s="4">
        <v>4023</v>
      </c>
      <c r="I47" s="3">
        <v>2073</v>
      </c>
      <c r="J47" s="3">
        <v>1950</v>
      </c>
      <c r="K47" s="3">
        <v>482</v>
      </c>
      <c r="L47" s="3">
        <f t="shared" si="4"/>
        <v>11.981108625403927</v>
      </c>
      <c r="M47" s="3">
        <v>1920</v>
      </c>
      <c r="N47" s="3">
        <f t="shared" si="5"/>
        <v>47.725577926920209</v>
      </c>
      <c r="O47" s="3">
        <v>107.14</v>
      </c>
      <c r="P47" s="15">
        <v>802.52</v>
      </c>
      <c r="Q47" s="22" t="s">
        <v>1348</v>
      </c>
      <c r="R47" s="109">
        <v>44092</v>
      </c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 spans="1:31" x14ac:dyDescent="0.25">
      <c r="A48" s="1" t="s">
        <v>0</v>
      </c>
      <c r="B48" s="1" t="s">
        <v>0</v>
      </c>
      <c r="C48" s="2" t="s">
        <v>656</v>
      </c>
      <c r="D48" s="1" t="s">
        <v>656</v>
      </c>
      <c r="E48" s="1"/>
      <c r="F48" s="3">
        <v>2614</v>
      </c>
      <c r="G48" s="3">
        <v>454</v>
      </c>
      <c r="H48" s="4">
        <v>2435</v>
      </c>
      <c r="I48" s="3">
        <v>1239</v>
      </c>
      <c r="J48" s="3">
        <v>1196</v>
      </c>
      <c r="K48" s="3">
        <v>504</v>
      </c>
      <c r="L48" s="3">
        <f t="shared" si="4"/>
        <v>20.698151950718685</v>
      </c>
      <c r="M48" s="3">
        <v>264</v>
      </c>
      <c r="N48" s="3">
        <f t="shared" si="5"/>
        <v>10.841889117043122</v>
      </c>
      <c r="O48" s="3">
        <v>160</v>
      </c>
      <c r="P48" s="15">
        <v>48</v>
      </c>
      <c r="Q48" s="22"/>
      <c r="R48" s="107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</row>
    <row r="49" spans="1:31" x14ac:dyDescent="0.25">
      <c r="A49" s="1" t="s">
        <v>0</v>
      </c>
      <c r="B49" s="1" t="s">
        <v>0</v>
      </c>
      <c r="C49" s="2" t="s">
        <v>656</v>
      </c>
      <c r="D49" s="1" t="s">
        <v>657</v>
      </c>
      <c r="E49" s="1"/>
      <c r="F49" s="3">
        <v>1560</v>
      </c>
      <c r="G49" s="3">
        <v>465</v>
      </c>
      <c r="H49" s="4">
        <v>2202</v>
      </c>
      <c r="I49" s="3">
        <v>1124</v>
      </c>
      <c r="J49" s="3">
        <v>1078</v>
      </c>
      <c r="K49" s="3">
        <v>276</v>
      </c>
      <c r="L49" s="3">
        <f t="shared" si="4"/>
        <v>12.534059945504087</v>
      </c>
      <c r="M49" s="3">
        <v>1</v>
      </c>
      <c r="N49" s="3">
        <f t="shared" si="5"/>
        <v>4.5413260672116255E-2</v>
      </c>
      <c r="O49" s="3">
        <v>174.32</v>
      </c>
      <c r="P49" s="15">
        <v>0</v>
      </c>
      <c r="Q49" s="22"/>
      <c r="R49" s="107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 spans="1:31" x14ac:dyDescent="0.25">
      <c r="A50" s="1" t="s">
        <v>0</v>
      </c>
      <c r="B50" s="1" t="s">
        <v>0</v>
      </c>
      <c r="C50" s="2" t="s">
        <v>638</v>
      </c>
      <c r="D50" s="1" t="s">
        <v>637</v>
      </c>
      <c r="E50" s="1"/>
      <c r="F50" s="3">
        <v>2542.94</v>
      </c>
      <c r="G50" s="3">
        <v>756</v>
      </c>
      <c r="H50" s="4">
        <v>4012</v>
      </c>
      <c r="I50" s="3">
        <v>2061</v>
      </c>
      <c r="J50" s="3">
        <v>1951</v>
      </c>
      <c r="K50" s="3">
        <v>634</v>
      </c>
      <c r="L50" s="3">
        <f t="shared" si="4"/>
        <v>15.802592223330009</v>
      </c>
      <c r="M50" s="3">
        <v>5</v>
      </c>
      <c r="N50" s="3">
        <f t="shared" si="5"/>
        <v>0.12462612163509472</v>
      </c>
      <c r="O50" s="3">
        <v>118.51</v>
      </c>
      <c r="P50" s="15">
        <v>0</v>
      </c>
      <c r="Q50" s="22"/>
      <c r="R50" s="107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 spans="1:31" x14ac:dyDescent="0.25">
      <c r="A51" s="1" t="s">
        <v>0</v>
      </c>
      <c r="B51" s="1" t="s">
        <v>0</v>
      </c>
      <c r="C51" s="2" t="s">
        <v>638</v>
      </c>
      <c r="D51" s="1" t="s">
        <v>639</v>
      </c>
      <c r="E51" s="1"/>
      <c r="F51" s="3">
        <v>583.07000000000005</v>
      </c>
      <c r="G51" s="3">
        <v>213</v>
      </c>
      <c r="H51" s="4">
        <v>1198</v>
      </c>
      <c r="I51" s="3">
        <v>631</v>
      </c>
      <c r="J51" s="3">
        <v>567</v>
      </c>
      <c r="K51" s="3">
        <v>304</v>
      </c>
      <c r="L51" s="3">
        <f t="shared" si="4"/>
        <v>25.375626043405674</v>
      </c>
      <c r="M51" s="3">
        <v>0</v>
      </c>
      <c r="N51" s="3">
        <f t="shared" si="5"/>
        <v>0</v>
      </c>
      <c r="O51" s="3">
        <v>33.42</v>
      </c>
      <c r="P51" s="15">
        <v>0</v>
      </c>
      <c r="Q51" s="22" t="s">
        <v>1348</v>
      </c>
      <c r="R51" s="109">
        <v>44190</v>
      </c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 spans="1:31" x14ac:dyDescent="0.25">
      <c r="A52" s="1" t="s">
        <v>0</v>
      </c>
      <c r="B52" s="1" t="s">
        <v>0</v>
      </c>
      <c r="C52" s="2" t="s">
        <v>638</v>
      </c>
      <c r="D52" s="1" t="s">
        <v>640</v>
      </c>
      <c r="E52" s="1"/>
      <c r="F52" s="2">
        <v>304</v>
      </c>
      <c r="G52" s="5"/>
      <c r="H52" s="4">
        <v>0</v>
      </c>
      <c r="I52" s="5"/>
      <c r="J52" s="5"/>
      <c r="K52" s="5"/>
      <c r="L52" s="3" t="e">
        <f t="shared" si="4"/>
        <v>#DIV/0!</v>
      </c>
      <c r="M52" s="5"/>
      <c r="N52" s="3" t="e">
        <f t="shared" si="5"/>
        <v>#DIV/0!</v>
      </c>
      <c r="O52" s="2">
        <v>0</v>
      </c>
      <c r="P52" s="18">
        <v>0</v>
      </c>
      <c r="Q52" s="22"/>
      <c r="R52" s="107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  <row r="53" spans="1:31" x14ac:dyDescent="0.25">
      <c r="A53" s="1" t="s">
        <v>0</v>
      </c>
      <c r="B53" s="1" t="s">
        <v>0</v>
      </c>
      <c r="C53" s="2" t="s">
        <v>638</v>
      </c>
      <c r="D53" s="1" t="s">
        <v>641</v>
      </c>
      <c r="E53" s="1"/>
      <c r="F53" s="2">
        <v>73</v>
      </c>
      <c r="G53" s="5"/>
      <c r="H53" s="4">
        <v>0</v>
      </c>
      <c r="I53" s="5"/>
      <c r="J53" s="5"/>
      <c r="K53" s="5"/>
      <c r="L53" s="3" t="e">
        <f t="shared" si="4"/>
        <v>#DIV/0!</v>
      </c>
      <c r="M53" s="5"/>
      <c r="N53" s="3" t="e">
        <f t="shared" si="5"/>
        <v>#DIV/0!</v>
      </c>
      <c r="O53" s="2">
        <v>0</v>
      </c>
      <c r="P53" s="18">
        <v>0</v>
      </c>
      <c r="Q53" s="22"/>
      <c r="R53" s="107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 spans="1:31" x14ac:dyDescent="0.25">
      <c r="A54" s="1" t="s">
        <v>0</v>
      </c>
      <c r="B54" s="1" t="s">
        <v>0</v>
      </c>
      <c r="C54" s="2" t="s">
        <v>631</v>
      </c>
      <c r="D54" s="1" t="s">
        <v>630</v>
      </c>
      <c r="E54" s="1"/>
      <c r="F54" s="3">
        <v>3580.52</v>
      </c>
      <c r="G54" s="3">
        <v>1043</v>
      </c>
      <c r="H54" s="4">
        <v>5500</v>
      </c>
      <c r="I54" s="3">
        <v>2848</v>
      </c>
      <c r="J54" s="3">
        <v>2652</v>
      </c>
      <c r="K54" s="3">
        <v>1059</v>
      </c>
      <c r="L54" s="3">
        <f t="shared" si="4"/>
        <v>19.254545454545454</v>
      </c>
      <c r="M54" s="3">
        <v>13</v>
      </c>
      <c r="N54" s="3">
        <f t="shared" si="5"/>
        <v>0.23636363636363639</v>
      </c>
      <c r="O54" s="3">
        <v>228</v>
      </c>
      <c r="P54" s="15">
        <v>0</v>
      </c>
      <c r="Q54" s="22" t="s">
        <v>1348</v>
      </c>
      <c r="R54" s="109">
        <v>44196</v>
      </c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 spans="1:31" x14ac:dyDescent="0.25">
      <c r="A55" s="1" t="s">
        <v>0</v>
      </c>
      <c r="B55" s="1" t="s">
        <v>0</v>
      </c>
      <c r="C55" s="2" t="s">
        <v>674</v>
      </c>
      <c r="D55" s="1" t="s">
        <v>673</v>
      </c>
      <c r="E55" s="1"/>
      <c r="F55" s="3">
        <v>990.58</v>
      </c>
      <c r="G55" s="3">
        <v>425</v>
      </c>
      <c r="H55" s="4">
        <v>2068</v>
      </c>
      <c r="I55" s="3">
        <v>1085</v>
      </c>
      <c r="J55" s="3">
        <v>983</v>
      </c>
      <c r="K55" s="3">
        <v>253</v>
      </c>
      <c r="L55" s="3">
        <f t="shared" si="4"/>
        <v>12.23404255319149</v>
      </c>
      <c r="M55" s="3">
        <v>906</v>
      </c>
      <c r="N55" s="3">
        <f t="shared" si="5"/>
        <v>43.810444874274665</v>
      </c>
      <c r="O55" s="3">
        <v>95.34</v>
      </c>
      <c r="P55" s="15">
        <v>0</v>
      </c>
      <c r="Q55" s="22" t="s">
        <v>1348</v>
      </c>
      <c r="R55" s="109">
        <v>44091</v>
      </c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 spans="1:31" x14ac:dyDescent="0.25">
      <c r="A56" s="1" t="s">
        <v>0</v>
      </c>
      <c r="B56" s="1" t="s">
        <v>0</v>
      </c>
      <c r="C56" s="2" t="s">
        <v>674</v>
      </c>
      <c r="D56" s="1" t="s">
        <v>691</v>
      </c>
      <c r="E56" s="1"/>
      <c r="F56" s="3">
        <v>3400.36</v>
      </c>
      <c r="G56" s="3">
        <v>360</v>
      </c>
      <c r="H56" s="4">
        <v>1743</v>
      </c>
      <c r="I56" s="3">
        <v>872</v>
      </c>
      <c r="J56" s="3">
        <v>871</v>
      </c>
      <c r="K56" s="3">
        <v>257</v>
      </c>
      <c r="L56" s="3">
        <f t="shared" si="4"/>
        <v>14.744693057946071</v>
      </c>
      <c r="M56" s="3">
        <v>302</v>
      </c>
      <c r="N56" s="3">
        <f t="shared" si="5"/>
        <v>17.326448651749857</v>
      </c>
      <c r="O56" s="3">
        <v>236.63</v>
      </c>
      <c r="P56" s="15">
        <v>0</v>
      </c>
      <c r="Q56" s="22" t="s">
        <v>1348</v>
      </c>
      <c r="R56" s="109">
        <v>44088</v>
      </c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 spans="1:31" x14ac:dyDescent="0.25">
      <c r="A57" s="1" t="s">
        <v>0</v>
      </c>
      <c r="B57" s="1" t="s">
        <v>0</v>
      </c>
      <c r="C57" s="2" t="s">
        <v>674</v>
      </c>
      <c r="D57" s="1" t="s">
        <v>692</v>
      </c>
      <c r="E57" s="1"/>
      <c r="F57" s="3">
        <v>3752.12</v>
      </c>
      <c r="G57" s="3">
        <v>404</v>
      </c>
      <c r="H57" s="4">
        <v>1702</v>
      </c>
      <c r="I57" s="3">
        <v>791</v>
      </c>
      <c r="J57" s="3">
        <v>911</v>
      </c>
      <c r="K57" s="3">
        <v>293</v>
      </c>
      <c r="L57" s="3">
        <f t="shared" si="4"/>
        <v>17.215041128084607</v>
      </c>
      <c r="M57" s="3">
        <v>407</v>
      </c>
      <c r="N57" s="3">
        <f t="shared" si="5"/>
        <v>23.913043478260871</v>
      </c>
      <c r="O57" s="3">
        <v>376.12</v>
      </c>
      <c r="P57" s="15">
        <v>0</v>
      </c>
      <c r="Q57" s="22" t="s">
        <v>1348</v>
      </c>
      <c r="R57" s="109">
        <v>44090</v>
      </c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</row>
    <row r="58" spans="1:31" x14ac:dyDescent="0.25">
      <c r="A58" s="1" t="s">
        <v>0</v>
      </c>
      <c r="B58" s="1" t="s">
        <v>0</v>
      </c>
      <c r="C58" s="2" t="s">
        <v>674</v>
      </c>
      <c r="D58" s="1" t="s">
        <v>693</v>
      </c>
      <c r="E58" s="1"/>
      <c r="F58" s="3">
        <v>1666.12</v>
      </c>
      <c r="G58" s="3">
        <v>188</v>
      </c>
      <c r="H58" s="4">
        <v>942</v>
      </c>
      <c r="I58" s="3">
        <v>484</v>
      </c>
      <c r="J58" s="3">
        <v>458</v>
      </c>
      <c r="K58" s="3">
        <v>110</v>
      </c>
      <c r="L58" s="3">
        <f t="shared" si="4"/>
        <v>11.677282377919321</v>
      </c>
      <c r="M58" s="3">
        <v>413</v>
      </c>
      <c r="N58" s="3">
        <f t="shared" si="5"/>
        <v>43.842887473460721</v>
      </c>
      <c r="O58" s="3">
        <v>190.47</v>
      </c>
      <c r="P58" s="15">
        <v>0</v>
      </c>
      <c r="Q58" s="22" t="s">
        <v>1348</v>
      </c>
      <c r="R58" s="109">
        <v>44089</v>
      </c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 spans="1:31" x14ac:dyDescent="0.25">
      <c r="A59" s="1" t="s">
        <v>0</v>
      </c>
      <c r="B59" s="1" t="s">
        <v>0</v>
      </c>
      <c r="C59" s="2" t="s">
        <v>270</v>
      </c>
      <c r="D59" s="1" t="s">
        <v>614</v>
      </c>
      <c r="E59" s="1"/>
      <c r="F59" s="3">
        <v>846.3</v>
      </c>
      <c r="G59" s="3">
        <v>31</v>
      </c>
      <c r="H59" s="4">
        <v>174</v>
      </c>
      <c r="I59" s="3">
        <v>91</v>
      </c>
      <c r="J59" s="3">
        <v>83</v>
      </c>
      <c r="K59" s="3">
        <v>0</v>
      </c>
      <c r="L59" s="3">
        <f t="shared" si="4"/>
        <v>0</v>
      </c>
      <c r="M59" s="3">
        <v>0</v>
      </c>
      <c r="N59" s="3">
        <f t="shared" si="5"/>
        <v>0</v>
      </c>
      <c r="O59" s="3">
        <v>118.48</v>
      </c>
      <c r="P59" s="15">
        <v>0</v>
      </c>
      <c r="Q59" s="22"/>
      <c r="R59" s="107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</row>
    <row r="60" spans="1:31" x14ac:dyDescent="0.25">
      <c r="A60" s="1" t="s">
        <v>0</v>
      </c>
      <c r="B60" s="1" t="s">
        <v>0</v>
      </c>
      <c r="C60" s="2" t="s">
        <v>270</v>
      </c>
      <c r="D60" s="1" t="s">
        <v>353</v>
      </c>
      <c r="E60" s="1"/>
      <c r="F60" s="3">
        <v>2354.7800000000002</v>
      </c>
      <c r="G60" s="3">
        <v>483</v>
      </c>
      <c r="H60" s="4">
        <v>2183</v>
      </c>
      <c r="I60" s="3">
        <v>1081</v>
      </c>
      <c r="J60" s="3">
        <v>1102</v>
      </c>
      <c r="K60" s="3">
        <v>912</v>
      </c>
      <c r="L60" s="3">
        <f t="shared" si="4"/>
        <v>41.777370590929912</v>
      </c>
      <c r="M60" s="3">
        <v>0</v>
      </c>
      <c r="N60" s="3">
        <f t="shared" si="5"/>
        <v>0</v>
      </c>
      <c r="O60" s="3">
        <v>143.33000000000001</v>
      </c>
      <c r="P60" s="15">
        <v>66.569999999999993</v>
      </c>
      <c r="Q60" s="22"/>
      <c r="R60" s="107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 spans="1:31" x14ac:dyDescent="0.25">
      <c r="A61" s="1" t="s">
        <v>0</v>
      </c>
      <c r="B61" s="1" t="s">
        <v>0</v>
      </c>
      <c r="C61" s="2" t="s">
        <v>270</v>
      </c>
      <c r="D61" s="1" t="s">
        <v>623</v>
      </c>
      <c r="E61" s="1"/>
      <c r="F61" s="3">
        <v>761.16</v>
      </c>
      <c r="G61" s="3">
        <v>27</v>
      </c>
      <c r="H61" s="4">
        <v>132</v>
      </c>
      <c r="I61" s="3">
        <v>64</v>
      </c>
      <c r="J61" s="3">
        <v>68</v>
      </c>
      <c r="K61" s="3">
        <v>0</v>
      </c>
      <c r="L61" s="3">
        <f t="shared" si="4"/>
        <v>0</v>
      </c>
      <c r="M61" s="3">
        <v>0</v>
      </c>
      <c r="N61" s="3">
        <f t="shared" si="5"/>
        <v>0</v>
      </c>
      <c r="O61" s="3">
        <v>35.56</v>
      </c>
      <c r="P61" s="15">
        <v>0</v>
      </c>
      <c r="Q61" s="22"/>
      <c r="R61" s="107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</row>
    <row r="62" spans="1:31" x14ac:dyDescent="0.25">
      <c r="A62" s="1" t="s">
        <v>0</v>
      </c>
      <c r="B62" s="1" t="s">
        <v>0</v>
      </c>
      <c r="C62" s="2" t="s">
        <v>270</v>
      </c>
      <c r="D62" s="1" t="s">
        <v>309</v>
      </c>
      <c r="E62" s="1"/>
      <c r="F62" s="3">
        <v>310.89999999999998</v>
      </c>
      <c r="G62" s="3">
        <v>13</v>
      </c>
      <c r="H62" s="4">
        <v>43</v>
      </c>
      <c r="I62" s="3">
        <v>20</v>
      </c>
      <c r="J62" s="3">
        <v>23</v>
      </c>
      <c r="K62" s="3">
        <v>31</v>
      </c>
      <c r="L62" s="3">
        <f t="shared" si="4"/>
        <v>72.093023255813947</v>
      </c>
      <c r="M62" s="3">
        <v>1</v>
      </c>
      <c r="N62" s="3">
        <f t="shared" si="5"/>
        <v>2.3255813953488373</v>
      </c>
      <c r="O62" s="3">
        <v>0</v>
      </c>
      <c r="P62" s="15">
        <v>0</v>
      </c>
      <c r="Q62" s="22"/>
      <c r="R62" s="107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 spans="1:31" x14ac:dyDescent="0.25">
      <c r="A63" s="1" t="s">
        <v>0</v>
      </c>
      <c r="B63" s="1" t="s">
        <v>0</v>
      </c>
      <c r="C63" s="2" t="s">
        <v>679</v>
      </c>
      <c r="D63" s="1" t="s">
        <v>678</v>
      </c>
      <c r="E63" s="1"/>
      <c r="F63" s="3">
        <v>4996.88</v>
      </c>
      <c r="G63" s="3">
        <v>681</v>
      </c>
      <c r="H63" s="4">
        <v>3194</v>
      </c>
      <c r="I63" s="3">
        <v>1596</v>
      </c>
      <c r="J63" s="3">
        <v>1598</v>
      </c>
      <c r="K63" s="3">
        <v>468</v>
      </c>
      <c r="L63" s="3">
        <f t="shared" si="4"/>
        <v>14.652473387601752</v>
      </c>
      <c r="M63" s="3">
        <v>377</v>
      </c>
      <c r="N63" s="3">
        <f t="shared" si="5"/>
        <v>11.803381340012525</v>
      </c>
      <c r="O63" s="3">
        <v>0</v>
      </c>
      <c r="P63" s="15">
        <v>402.36</v>
      </c>
      <c r="Q63" s="22"/>
      <c r="R63" s="107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spans="1:31" x14ac:dyDescent="0.25">
      <c r="A64" s="1" t="s">
        <v>0</v>
      </c>
      <c r="B64" s="1" t="s">
        <v>0</v>
      </c>
      <c r="C64" s="2" t="s">
        <v>679</v>
      </c>
      <c r="D64" s="1" t="s">
        <v>690</v>
      </c>
      <c r="E64" s="1"/>
      <c r="F64" s="3">
        <v>1529.56</v>
      </c>
      <c r="G64" s="3">
        <v>120</v>
      </c>
      <c r="H64" s="4">
        <v>730</v>
      </c>
      <c r="I64" s="3">
        <v>370</v>
      </c>
      <c r="J64" s="3">
        <v>360</v>
      </c>
      <c r="K64" s="3">
        <v>396</v>
      </c>
      <c r="L64" s="3">
        <f t="shared" si="4"/>
        <v>54.246575342465754</v>
      </c>
      <c r="M64" s="3">
        <v>0</v>
      </c>
      <c r="N64" s="3">
        <f t="shared" si="5"/>
        <v>0</v>
      </c>
      <c r="O64" s="3">
        <v>50.74</v>
      </c>
      <c r="P64" s="15">
        <v>516.12</v>
      </c>
      <c r="Q64" s="22"/>
      <c r="R64" s="107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 spans="1:31" x14ac:dyDescent="0.25">
      <c r="A65" s="1" t="s">
        <v>0</v>
      </c>
      <c r="B65" s="1" t="s">
        <v>0</v>
      </c>
      <c r="C65" s="2" t="s">
        <v>679</v>
      </c>
      <c r="D65" s="1" t="s">
        <v>172</v>
      </c>
      <c r="E65" s="1"/>
      <c r="F65" s="3">
        <v>979.55</v>
      </c>
      <c r="G65" s="3">
        <v>116</v>
      </c>
      <c r="H65" s="4">
        <v>604</v>
      </c>
      <c r="I65" s="3">
        <v>284</v>
      </c>
      <c r="J65" s="3">
        <v>320</v>
      </c>
      <c r="K65" s="3">
        <v>32</v>
      </c>
      <c r="L65" s="3">
        <f t="shared" si="4"/>
        <v>5.298013245033113</v>
      </c>
      <c r="M65" s="3">
        <v>127</v>
      </c>
      <c r="N65" s="3">
        <f t="shared" si="5"/>
        <v>21.026490066225165</v>
      </c>
      <c r="O65" s="3">
        <v>40.08</v>
      </c>
      <c r="P65" s="15">
        <v>0</v>
      </c>
      <c r="Q65" s="22"/>
      <c r="R65" s="107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 spans="1:31" x14ac:dyDescent="0.25">
      <c r="A66" s="1" t="s">
        <v>0</v>
      </c>
      <c r="B66" s="1" t="s">
        <v>0</v>
      </c>
      <c r="C66" s="2" t="s">
        <v>601</v>
      </c>
      <c r="D66" s="1" t="s">
        <v>600</v>
      </c>
      <c r="E66" s="1"/>
      <c r="F66" s="3">
        <v>835.96</v>
      </c>
      <c r="G66" s="3">
        <v>272</v>
      </c>
      <c r="H66" s="4">
        <v>1451</v>
      </c>
      <c r="I66" s="3">
        <v>740</v>
      </c>
      <c r="J66" s="3">
        <v>711</v>
      </c>
      <c r="K66" s="3">
        <v>177</v>
      </c>
      <c r="L66" s="3">
        <f t="shared" si="4"/>
        <v>12.198483804272914</v>
      </c>
      <c r="M66" s="3">
        <v>0</v>
      </c>
      <c r="N66" s="3">
        <f t="shared" si="5"/>
        <v>0</v>
      </c>
      <c r="O66" s="3">
        <v>32.99</v>
      </c>
      <c r="P66" s="15">
        <v>0</v>
      </c>
      <c r="Q66" s="22"/>
      <c r="R66" s="107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spans="1:31" x14ac:dyDescent="0.25">
      <c r="A67" s="1" t="s">
        <v>0</v>
      </c>
      <c r="B67" s="1" t="s">
        <v>0</v>
      </c>
      <c r="C67" s="2" t="s">
        <v>649</v>
      </c>
      <c r="D67" s="1" t="s">
        <v>648</v>
      </c>
      <c r="E67" s="1"/>
      <c r="F67" s="3">
        <v>1296.1400000000001</v>
      </c>
      <c r="G67" s="3">
        <v>241</v>
      </c>
      <c r="H67" s="4">
        <v>1111</v>
      </c>
      <c r="I67" s="3">
        <v>558</v>
      </c>
      <c r="J67" s="3">
        <v>553</v>
      </c>
      <c r="K67" s="3">
        <v>383</v>
      </c>
      <c r="L67" s="3">
        <f t="shared" si="4"/>
        <v>34.473447344734474</v>
      </c>
      <c r="M67" s="3">
        <v>24</v>
      </c>
      <c r="N67" s="3">
        <f t="shared" si="5"/>
        <v>2.1602160216021602</v>
      </c>
      <c r="O67" s="3">
        <v>119.14</v>
      </c>
      <c r="P67" s="15">
        <v>0</v>
      </c>
      <c r="Q67" s="22" t="s">
        <v>1348</v>
      </c>
      <c r="R67" s="108">
        <v>43822</v>
      </c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</row>
    <row r="68" spans="1:31" x14ac:dyDescent="0.25">
      <c r="A68" s="1" t="s">
        <v>0</v>
      </c>
      <c r="B68" s="1" t="s">
        <v>0</v>
      </c>
      <c r="C68" s="2" t="s">
        <v>649</v>
      </c>
      <c r="D68" s="1" t="s">
        <v>650</v>
      </c>
      <c r="E68" s="1"/>
      <c r="F68" s="3">
        <v>981.39</v>
      </c>
      <c r="G68" s="3">
        <v>138</v>
      </c>
      <c r="H68" s="4">
        <v>788</v>
      </c>
      <c r="I68" s="3">
        <v>416</v>
      </c>
      <c r="J68" s="3">
        <v>372</v>
      </c>
      <c r="K68" s="3">
        <v>443</v>
      </c>
      <c r="L68" s="3">
        <f t="shared" si="4"/>
        <v>56.218274111675129</v>
      </c>
      <c r="M68" s="3">
        <v>206</v>
      </c>
      <c r="N68" s="3">
        <f t="shared" si="5"/>
        <v>26.142131979695431</v>
      </c>
      <c r="O68" s="3">
        <v>32</v>
      </c>
      <c r="P68" s="15">
        <v>0</v>
      </c>
      <c r="Q68" s="22" t="s">
        <v>1348</v>
      </c>
      <c r="R68" s="108">
        <v>43824</v>
      </c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</row>
    <row r="69" spans="1:31" x14ac:dyDescent="0.25">
      <c r="A69" s="1" t="s">
        <v>0</v>
      </c>
      <c r="B69" s="1" t="s">
        <v>0</v>
      </c>
      <c r="C69" s="2" t="s">
        <v>649</v>
      </c>
      <c r="D69" s="1" t="s">
        <v>651</v>
      </c>
      <c r="E69" s="1"/>
      <c r="F69" s="3">
        <v>563.28</v>
      </c>
      <c r="G69" s="3">
        <v>53</v>
      </c>
      <c r="H69" s="4">
        <v>269</v>
      </c>
      <c r="I69" s="3">
        <v>139</v>
      </c>
      <c r="J69" s="3">
        <v>130</v>
      </c>
      <c r="K69" s="3">
        <v>6</v>
      </c>
      <c r="L69" s="3">
        <f t="shared" si="4"/>
        <v>2.2304832713754648</v>
      </c>
      <c r="M69" s="3">
        <v>0</v>
      </c>
      <c r="N69" s="3">
        <f t="shared" si="5"/>
        <v>0</v>
      </c>
      <c r="O69" s="3">
        <v>44</v>
      </c>
      <c r="P69" s="15">
        <v>0</v>
      </c>
      <c r="Q69" s="22" t="s">
        <v>1348</v>
      </c>
      <c r="R69" s="108">
        <v>43820</v>
      </c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</row>
    <row r="70" spans="1:31" x14ac:dyDescent="0.25">
      <c r="A70" s="1" t="s">
        <v>0</v>
      </c>
      <c r="B70" s="1" t="s">
        <v>0</v>
      </c>
      <c r="C70" s="2" t="s">
        <v>649</v>
      </c>
      <c r="D70" s="1" t="s">
        <v>652</v>
      </c>
      <c r="E70" s="1"/>
      <c r="F70" s="3">
        <v>2052.4699999999998</v>
      </c>
      <c r="G70" s="3">
        <v>448</v>
      </c>
      <c r="H70" s="4">
        <v>2294</v>
      </c>
      <c r="I70" s="3">
        <v>1217</v>
      </c>
      <c r="J70" s="3">
        <v>1077</v>
      </c>
      <c r="K70" s="3">
        <v>384</v>
      </c>
      <c r="L70" s="3">
        <f t="shared" si="4"/>
        <v>16.739319965126416</v>
      </c>
      <c r="M70" s="3">
        <v>103</v>
      </c>
      <c r="N70" s="3">
        <f t="shared" si="5"/>
        <v>4.4899738448125541</v>
      </c>
      <c r="O70" s="3">
        <v>84.15</v>
      </c>
      <c r="P70" s="15">
        <v>0</v>
      </c>
      <c r="Q70" s="22" t="s">
        <v>1348</v>
      </c>
      <c r="R70" s="108">
        <v>43822</v>
      </c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 spans="1:31" x14ac:dyDescent="0.25">
      <c r="A71" s="1" t="s">
        <v>0</v>
      </c>
      <c r="B71" s="1" t="s">
        <v>0</v>
      </c>
      <c r="C71" s="2" t="s">
        <v>649</v>
      </c>
      <c r="D71" s="1" t="s">
        <v>653</v>
      </c>
      <c r="E71" s="1"/>
      <c r="F71" s="3">
        <v>759.14</v>
      </c>
      <c r="G71" s="3">
        <v>75</v>
      </c>
      <c r="H71" s="4">
        <v>514</v>
      </c>
      <c r="I71" s="3">
        <v>249</v>
      </c>
      <c r="J71" s="3">
        <v>265</v>
      </c>
      <c r="K71" s="3">
        <v>64</v>
      </c>
      <c r="L71" s="3">
        <f t="shared" si="4"/>
        <v>12.45136186770428</v>
      </c>
      <c r="M71" s="3">
        <v>0</v>
      </c>
      <c r="N71" s="3">
        <f t="shared" si="5"/>
        <v>0</v>
      </c>
      <c r="O71" s="3">
        <v>33</v>
      </c>
      <c r="P71" s="15">
        <v>0</v>
      </c>
      <c r="Q71" s="22" t="s">
        <v>1348</v>
      </c>
      <c r="R71" s="108">
        <v>43821</v>
      </c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 spans="1:31" x14ac:dyDescent="0.25">
      <c r="A72" s="1" t="s">
        <v>0</v>
      </c>
      <c r="B72" s="1" t="s">
        <v>0</v>
      </c>
      <c r="C72" s="2" t="s">
        <v>685</v>
      </c>
      <c r="D72" s="1" t="s">
        <v>684</v>
      </c>
      <c r="E72" s="1"/>
      <c r="F72" s="3">
        <v>1115</v>
      </c>
      <c r="G72" s="3">
        <v>104</v>
      </c>
      <c r="H72" s="4">
        <v>500</v>
      </c>
      <c r="I72" s="3">
        <v>247</v>
      </c>
      <c r="J72" s="3">
        <v>253</v>
      </c>
      <c r="K72" s="3">
        <v>7</v>
      </c>
      <c r="L72" s="3">
        <f t="shared" si="4"/>
        <v>1.4000000000000001</v>
      </c>
      <c r="M72" s="3">
        <v>282</v>
      </c>
      <c r="N72" s="3">
        <f t="shared" si="5"/>
        <v>56.399999999999991</v>
      </c>
      <c r="O72" s="3">
        <v>1</v>
      </c>
      <c r="P72" s="15">
        <v>152</v>
      </c>
      <c r="Q72" s="22"/>
      <c r="R72" s="107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 spans="1:31" x14ac:dyDescent="0.25">
      <c r="A73" s="1" t="s">
        <v>0</v>
      </c>
      <c r="B73" s="1" t="s">
        <v>0</v>
      </c>
      <c r="C73" s="2" t="s">
        <v>685</v>
      </c>
      <c r="D73" s="1" t="s">
        <v>686</v>
      </c>
      <c r="E73" s="1"/>
      <c r="F73" s="3">
        <v>1338</v>
      </c>
      <c r="G73" s="3">
        <v>174</v>
      </c>
      <c r="H73" s="4">
        <v>753</v>
      </c>
      <c r="I73" s="3">
        <v>384</v>
      </c>
      <c r="J73" s="3">
        <v>369</v>
      </c>
      <c r="K73" s="3">
        <v>75</v>
      </c>
      <c r="L73" s="3">
        <f t="shared" si="4"/>
        <v>9.9601593625498008</v>
      </c>
      <c r="M73" s="3">
        <v>166</v>
      </c>
      <c r="N73" s="3">
        <f t="shared" si="5"/>
        <v>22.045152722443557</v>
      </c>
      <c r="O73" s="3">
        <v>152</v>
      </c>
      <c r="P73" s="15">
        <v>0</v>
      </c>
      <c r="Q73" s="22" t="s">
        <v>1348</v>
      </c>
      <c r="R73" s="109">
        <v>44097</v>
      </c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 spans="1:31" x14ac:dyDescent="0.25">
      <c r="A74" s="1" t="s">
        <v>0</v>
      </c>
      <c r="B74" s="1" t="s">
        <v>0</v>
      </c>
      <c r="C74" s="2" t="s">
        <v>685</v>
      </c>
      <c r="D74" s="1" t="s">
        <v>687</v>
      </c>
      <c r="E74" s="1"/>
      <c r="F74" s="3">
        <v>978</v>
      </c>
      <c r="G74" s="3">
        <v>121</v>
      </c>
      <c r="H74" s="4">
        <v>738</v>
      </c>
      <c r="I74" s="3">
        <v>386</v>
      </c>
      <c r="J74" s="3">
        <v>352</v>
      </c>
      <c r="K74" s="3">
        <v>46</v>
      </c>
      <c r="L74" s="3">
        <f t="shared" ref="L74:L91" si="6">(K74/H74)*100</f>
        <v>6.2330623306233059</v>
      </c>
      <c r="M74" s="3">
        <v>145</v>
      </c>
      <c r="N74" s="3">
        <f t="shared" ref="N74:N91" si="7">(M74/H74)*100</f>
        <v>19.647696476964768</v>
      </c>
      <c r="O74" s="3">
        <v>330</v>
      </c>
      <c r="P74" s="15">
        <v>0</v>
      </c>
      <c r="Q74" s="22" t="s">
        <v>1348</v>
      </c>
      <c r="R74" s="109">
        <v>44095</v>
      </c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</row>
    <row r="75" spans="1:31" x14ac:dyDescent="0.25">
      <c r="A75" s="1" t="s">
        <v>0</v>
      </c>
      <c r="B75" s="1" t="s">
        <v>0</v>
      </c>
      <c r="C75" s="2" t="s">
        <v>685</v>
      </c>
      <c r="D75" s="1" t="s">
        <v>688</v>
      </c>
      <c r="E75" s="1"/>
      <c r="F75" s="3">
        <v>1279</v>
      </c>
      <c r="G75" s="3">
        <v>89</v>
      </c>
      <c r="H75" s="4">
        <v>481</v>
      </c>
      <c r="I75" s="3">
        <v>258</v>
      </c>
      <c r="J75" s="3">
        <v>223</v>
      </c>
      <c r="K75" s="3">
        <v>86</v>
      </c>
      <c r="L75" s="3">
        <f t="shared" si="6"/>
        <v>17.879417879417879</v>
      </c>
      <c r="M75" s="3">
        <v>0</v>
      </c>
      <c r="N75" s="3">
        <f t="shared" si="7"/>
        <v>0</v>
      </c>
      <c r="O75" s="3">
        <v>65</v>
      </c>
      <c r="P75" s="15">
        <v>0</v>
      </c>
      <c r="Q75" s="22" t="s">
        <v>1348</v>
      </c>
      <c r="R75" s="109">
        <v>44194</v>
      </c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 spans="1:31" x14ac:dyDescent="0.25">
      <c r="A76" s="1" t="s">
        <v>0</v>
      </c>
      <c r="B76" s="1" t="s">
        <v>0</v>
      </c>
      <c r="C76" s="2" t="s">
        <v>685</v>
      </c>
      <c r="D76" s="1" t="s">
        <v>689</v>
      </c>
      <c r="E76" s="1"/>
      <c r="F76" s="3">
        <v>1276</v>
      </c>
      <c r="G76" s="3">
        <v>121</v>
      </c>
      <c r="H76" s="4">
        <v>599</v>
      </c>
      <c r="I76" s="3">
        <v>295</v>
      </c>
      <c r="J76" s="3">
        <v>304</v>
      </c>
      <c r="K76" s="3">
        <v>247</v>
      </c>
      <c r="L76" s="3">
        <f t="shared" si="6"/>
        <v>41.235392320534224</v>
      </c>
      <c r="M76" s="3">
        <v>0</v>
      </c>
      <c r="N76" s="3">
        <f t="shared" si="7"/>
        <v>0</v>
      </c>
      <c r="O76" s="3">
        <v>90</v>
      </c>
      <c r="P76" s="15">
        <v>0</v>
      </c>
      <c r="Q76" s="22" t="s">
        <v>1348</v>
      </c>
      <c r="R76" s="109">
        <v>44103</v>
      </c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</row>
    <row r="77" spans="1:31" x14ac:dyDescent="0.25">
      <c r="A77" s="1" t="s">
        <v>0</v>
      </c>
      <c r="B77" s="1" t="s">
        <v>0</v>
      </c>
      <c r="C77" s="2" t="s">
        <v>606</v>
      </c>
      <c r="D77" s="1" t="s">
        <v>605</v>
      </c>
      <c r="E77" s="1"/>
      <c r="F77" s="3">
        <v>1580.45</v>
      </c>
      <c r="G77" s="3">
        <v>65</v>
      </c>
      <c r="H77" s="4">
        <v>456</v>
      </c>
      <c r="I77" s="3">
        <v>234</v>
      </c>
      <c r="J77" s="3">
        <v>222</v>
      </c>
      <c r="K77" s="3">
        <v>0</v>
      </c>
      <c r="L77" s="3">
        <f t="shared" si="6"/>
        <v>0</v>
      </c>
      <c r="M77" s="3">
        <v>0</v>
      </c>
      <c r="N77" s="3">
        <f t="shared" si="7"/>
        <v>0</v>
      </c>
      <c r="O77" s="3">
        <v>0</v>
      </c>
      <c r="P77" s="15">
        <v>340.88</v>
      </c>
      <c r="Q77" s="22"/>
      <c r="R77" s="107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</row>
    <row r="78" spans="1:31" x14ac:dyDescent="0.25">
      <c r="A78" s="1" t="s">
        <v>0</v>
      </c>
      <c r="B78" s="1" t="s">
        <v>0</v>
      </c>
      <c r="C78" s="2" t="s">
        <v>606</v>
      </c>
      <c r="D78" s="1" t="s">
        <v>607</v>
      </c>
      <c r="E78" s="1"/>
      <c r="F78" s="3">
        <v>1485.57</v>
      </c>
      <c r="G78" s="3">
        <v>175</v>
      </c>
      <c r="H78" s="4">
        <v>933</v>
      </c>
      <c r="I78" s="3">
        <v>468</v>
      </c>
      <c r="J78" s="3">
        <v>465</v>
      </c>
      <c r="K78" s="3">
        <v>54</v>
      </c>
      <c r="L78" s="3">
        <f t="shared" si="6"/>
        <v>5.787781350482315</v>
      </c>
      <c r="M78" s="3">
        <v>18</v>
      </c>
      <c r="N78" s="3">
        <f t="shared" si="7"/>
        <v>1.929260450160772</v>
      </c>
      <c r="O78" s="3">
        <v>39.1</v>
      </c>
      <c r="P78" s="15">
        <v>0</v>
      </c>
      <c r="Q78" s="22" t="s">
        <v>1348</v>
      </c>
      <c r="R78" s="108">
        <v>43823</v>
      </c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 spans="1:31" x14ac:dyDescent="0.25">
      <c r="A79" s="1" t="s">
        <v>0</v>
      </c>
      <c r="B79" s="1" t="s">
        <v>0</v>
      </c>
      <c r="C79" s="2" t="s">
        <v>606</v>
      </c>
      <c r="D79" s="1" t="s">
        <v>608</v>
      </c>
      <c r="E79" s="1"/>
      <c r="F79" s="3">
        <v>658.49</v>
      </c>
      <c r="G79" s="3">
        <v>190</v>
      </c>
      <c r="H79" s="4">
        <v>950</v>
      </c>
      <c r="I79" s="3">
        <v>506</v>
      </c>
      <c r="J79" s="3">
        <v>444</v>
      </c>
      <c r="K79" s="3">
        <v>154</v>
      </c>
      <c r="L79" s="3">
        <f t="shared" si="6"/>
        <v>16.210526315789473</v>
      </c>
      <c r="M79" s="3">
        <v>23</v>
      </c>
      <c r="N79" s="3">
        <f t="shared" si="7"/>
        <v>2.4210526315789473</v>
      </c>
      <c r="O79" s="3">
        <v>34.89</v>
      </c>
      <c r="P79" s="15">
        <v>0</v>
      </c>
      <c r="Q79" s="22" t="s">
        <v>1348</v>
      </c>
      <c r="R79" s="108">
        <v>43824</v>
      </c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</row>
    <row r="80" spans="1:31" x14ac:dyDescent="0.25">
      <c r="A80" s="1" t="s">
        <v>0</v>
      </c>
      <c r="B80" s="1" t="s">
        <v>0</v>
      </c>
      <c r="C80" s="2" t="s">
        <v>606</v>
      </c>
      <c r="D80" s="1" t="s">
        <v>609</v>
      </c>
      <c r="E80" s="1"/>
      <c r="F80" s="3">
        <v>1033.22</v>
      </c>
      <c r="G80" s="3">
        <v>106</v>
      </c>
      <c r="H80" s="4">
        <v>507</v>
      </c>
      <c r="I80" s="3">
        <v>267</v>
      </c>
      <c r="J80" s="3">
        <v>240</v>
      </c>
      <c r="K80" s="3">
        <v>144</v>
      </c>
      <c r="L80" s="3">
        <f t="shared" si="6"/>
        <v>28.402366863905325</v>
      </c>
      <c r="M80" s="3">
        <v>0</v>
      </c>
      <c r="N80" s="3">
        <f t="shared" si="7"/>
        <v>0</v>
      </c>
      <c r="O80" s="3">
        <v>154.72</v>
      </c>
      <c r="P80" s="15">
        <v>0</v>
      </c>
      <c r="Q80" s="22" t="s">
        <v>1348</v>
      </c>
      <c r="R80" s="108">
        <v>43825</v>
      </c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</row>
    <row r="81" spans="1:31" x14ac:dyDescent="0.25">
      <c r="A81" s="1" t="s">
        <v>0</v>
      </c>
      <c r="B81" s="1" t="s">
        <v>0</v>
      </c>
      <c r="C81" s="2" t="s">
        <v>606</v>
      </c>
      <c r="D81" s="1" t="s">
        <v>610</v>
      </c>
      <c r="E81" s="1"/>
      <c r="F81" s="3">
        <v>1573.84</v>
      </c>
      <c r="G81" s="3">
        <v>260</v>
      </c>
      <c r="H81" s="4">
        <v>1443</v>
      </c>
      <c r="I81" s="3">
        <v>772</v>
      </c>
      <c r="J81" s="3">
        <v>671</v>
      </c>
      <c r="K81" s="3">
        <v>109</v>
      </c>
      <c r="L81" s="3">
        <f t="shared" si="6"/>
        <v>7.5537075537075529</v>
      </c>
      <c r="M81" s="3">
        <v>0</v>
      </c>
      <c r="N81" s="3">
        <f t="shared" si="7"/>
        <v>0</v>
      </c>
      <c r="O81" s="3">
        <v>227.1</v>
      </c>
      <c r="P81" s="15">
        <v>0</v>
      </c>
      <c r="Q81" s="22" t="s">
        <v>1348</v>
      </c>
      <c r="R81" s="108">
        <v>43825</v>
      </c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</row>
    <row r="82" spans="1:31" x14ac:dyDescent="0.25">
      <c r="A82" s="1" t="s">
        <v>0</v>
      </c>
      <c r="B82" s="1" t="s">
        <v>0</v>
      </c>
      <c r="C82" s="2" t="s">
        <v>663</v>
      </c>
      <c r="D82" s="1" t="s">
        <v>662</v>
      </c>
      <c r="E82" s="1"/>
      <c r="F82" s="3">
        <v>1456.82</v>
      </c>
      <c r="G82" s="3">
        <v>291</v>
      </c>
      <c r="H82" s="4">
        <v>1192</v>
      </c>
      <c r="I82" s="3">
        <v>563</v>
      </c>
      <c r="J82" s="3">
        <v>629</v>
      </c>
      <c r="K82" s="3">
        <v>217</v>
      </c>
      <c r="L82" s="3">
        <f t="shared" si="6"/>
        <v>18.20469798657718</v>
      </c>
      <c r="M82" s="3">
        <v>0</v>
      </c>
      <c r="N82" s="3">
        <f t="shared" si="7"/>
        <v>0</v>
      </c>
      <c r="O82" s="3">
        <v>0</v>
      </c>
      <c r="P82" s="15">
        <v>0</v>
      </c>
      <c r="Q82" s="22"/>
      <c r="R82" s="107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</row>
    <row r="83" spans="1:31" x14ac:dyDescent="0.25">
      <c r="A83" s="1" t="s">
        <v>0</v>
      </c>
      <c r="B83" s="1" t="s">
        <v>0</v>
      </c>
      <c r="C83" s="2" t="s">
        <v>663</v>
      </c>
      <c r="D83" s="1" t="s">
        <v>664</v>
      </c>
      <c r="E83" s="1"/>
      <c r="F83" s="3">
        <v>1348.62</v>
      </c>
      <c r="G83" s="3">
        <v>162</v>
      </c>
      <c r="H83" s="4">
        <v>748</v>
      </c>
      <c r="I83" s="3">
        <v>358</v>
      </c>
      <c r="J83" s="3">
        <v>390</v>
      </c>
      <c r="K83" s="3">
        <v>251</v>
      </c>
      <c r="L83" s="3">
        <f t="shared" si="6"/>
        <v>33.55614973262032</v>
      </c>
      <c r="M83" s="3">
        <v>0</v>
      </c>
      <c r="N83" s="3">
        <f t="shared" si="7"/>
        <v>0</v>
      </c>
      <c r="O83" s="3">
        <v>166.01</v>
      </c>
      <c r="P83" s="15">
        <v>0</v>
      </c>
      <c r="Q83" s="22" t="s">
        <v>1348</v>
      </c>
      <c r="R83" s="109">
        <v>44192</v>
      </c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</row>
    <row r="84" spans="1:31" x14ac:dyDescent="0.25">
      <c r="A84" s="1" t="s">
        <v>0</v>
      </c>
      <c r="B84" s="1" t="s">
        <v>0</v>
      </c>
      <c r="C84" s="2" t="s">
        <v>663</v>
      </c>
      <c r="D84" s="1" t="s">
        <v>669</v>
      </c>
      <c r="E84" s="1"/>
      <c r="F84" s="3">
        <v>1070.74</v>
      </c>
      <c r="G84" s="3">
        <v>267</v>
      </c>
      <c r="H84" s="4">
        <v>1332</v>
      </c>
      <c r="I84" s="3">
        <v>645</v>
      </c>
      <c r="J84" s="3">
        <v>687</v>
      </c>
      <c r="K84" s="3">
        <v>54</v>
      </c>
      <c r="L84" s="3">
        <f t="shared" si="6"/>
        <v>4.0540540540540544</v>
      </c>
      <c r="M84" s="3">
        <v>0</v>
      </c>
      <c r="N84" s="3">
        <f t="shared" si="7"/>
        <v>0</v>
      </c>
      <c r="O84" s="3">
        <v>44.86</v>
      </c>
      <c r="P84" s="15">
        <v>0</v>
      </c>
      <c r="Q84" s="22" t="s">
        <v>1348</v>
      </c>
      <c r="R84" s="109">
        <v>44191</v>
      </c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</row>
    <row r="85" spans="1:31" x14ac:dyDescent="0.25">
      <c r="A85" s="1" t="s">
        <v>0</v>
      </c>
      <c r="B85" s="1" t="s">
        <v>0</v>
      </c>
      <c r="C85" s="2" t="s">
        <v>663</v>
      </c>
      <c r="D85" s="1" t="s">
        <v>670</v>
      </c>
      <c r="E85" s="1"/>
      <c r="F85" s="3">
        <v>529.88</v>
      </c>
      <c r="G85" s="3">
        <v>125</v>
      </c>
      <c r="H85" s="4">
        <v>511</v>
      </c>
      <c r="I85" s="3">
        <v>239</v>
      </c>
      <c r="J85" s="3">
        <v>272</v>
      </c>
      <c r="K85" s="3">
        <v>144</v>
      </c>
      <c r="L85" s="3">
        <f t="shared" si="6"/>
        <v>28.180039138943247</v>
      </c>
      <c r="M85" s="3">
        <v>103</v>
      </c>
      <c r="N85" s="3">
        <f t="shared" si="7"/>
        <v>20.156555772994128</v>
      </c>
      <c r="O85" s="3">
        <v>29.06</v>
      </c>
      <c r="P85" s="15">
        <v>0</v>
      </c>
      <c r="Q85" s="22" t="s">
        <v>1348</v>
      </c>
      <c r="R85" s="109">
        <v>44195</v>
      </c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</row>
    <row r="86" spans="1:31" x14ac:dyDescent="0.25">
      <c r="A86" s="1" t="s">
        <v>0</v>
      </c>
      <c r="B86" s="1" t="s">
        <v>0</v>
      </c>
      <c r="C86" s="2" t="s">
        <v>627</v>
      </c>
      <c r="D86" s="1" t="s">
        <v>626</v>
      </c>
      <c r="E86" s="1"/>
      <c r="F86" s="3">
        <v>1202.8800000000001</v>
      </c>
      <c r="G86" s="3">
        <v>257</v>
      </c>
      <c r="H86" s="4">
        <v>1176</v>
      </c>
      <c r="I86" s="3">
        <v>577</v>
      </c>
      <c r="J86" s="3">
        <v>599</v>
      </c>
      <c r="K86" s="3">
        <v>213</v>
      </c>
      <c r="L86" s="3">
        <f t="shared" si="6"/>
        <v>18.112244897959183</v>
      </c>
      <c r="M86" s="3">
        <v>86</v>
      </c>
      <c r="N86" s="3">
        <f t="shared" si="7"/>
        <v>7.3129251700680271</v>
      </c>
      <c r="O86" s="3">
        <v>88.01</v>
      </c>
      <c r="P86" s="15">
        <v>0</v>
      </c>
      <c r="Q86" s="22" t="s">
        <v>1348</v>
      </c>
      <c r="R86" s="108">
        <v>43817</v>
      </c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</row>
    <row r="87" spans="1:31" x14ac:dyDescent="0.25">
      <c r="A87" s="1" t="s">
        <v>0</v>
      </c>
      <c r="B87" s="1" t="s">
        <v>0</v>
      </c>
      <c r="C87" s="2" t="s">
        <v>627</v>
      </c>
      <c r="D87" s="1" t="s">
        <v>628</v>
      </c>
      <c r="E87" s="1"/>
      <c r="F87" s="3">
        <v>533.63</v>
      </c>
      <c r="G87" s="3">
        <v>143</v>
      </c>
      <c r="H87" s="4">
        <v>956</v>
      </c>
      <c r="I87" s="3">
        <v>497</v>
      </c>
      <c r="J87" s="3">
        <v>459</v>
      </c>
      <c r="K87" s="3">
        <v>309</v>
      </c>
      <c r="L87" s="3">
        <f t="shared" si="6"/>
        <v>32.322175732217573</v>
      </c>
      <c r="M87" s="3">
        <v>0</v>
      </c>
      <c r="N87" s="3">
        <f t="shared" si="7"/>
        <v>0</v>
      </c>
      <c r="O87" s="3">
        <v>101.1</v>
      </c>
      <c r="P87" s="15">
        <v>0</v>
      </c>
      <c r="Q87" s="22" t="s">
        <v>1348</v>
      </c>
      <c r="R87" s="108">
        <v>43818</v>
      </c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</row>
    <row r="88" spans="1:31" x14ac:dyDescent="0.25">
      <c r="A88" s="1" t="s">
        <v>0</v>
      </c>
      <c r="B88" s="1" t="s">
        <v>0</v>
      </c>
      <c r="C88" s="2" t="s">
        <v>627</v>
      </c>
      <c r="D88" s="1" t="s">
        <v>635</v>
      </c>
      <c r="E88" s="1"/>
      <c r="F88" s="3">
        <v>1154.81</v>
      </c>
      <c r="G88" s="3">
        <v>182</v>
      </c>
      <c r="H88" s="4">
        <v>938</v>
      </c>
      <c r="I88" s="3">
        <v>470</v>
      </c>
      <c r="J88" s="3">
        <v>468</v>
      </c>
      <c r="K88" s="3">
        <v>275</v>
      </c>
      <c r="L88" s="3">
        <f t="shared" si="6"/>
        <v>29.31769722814499</v>
      </c>
      <c r="M88" s="3">
        <v>39</v>
      </c>
      <c r="N88" s="3">
        <f t="shared" si="7"/>
        <v>4.157782515991471</v>
      </c>
      <c r="O88" s="3">
        <v>53.02</v>
      </c>
      <c r="P88" s="15">
        <v>0</v>
      </c>
      <c r="Q88" s="22" t="s">
        <v>1348</v>
      </c>
      <c r="R88" s="109">
        <v>44193</v>
      </c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</row>
    <row r="89" spans="1:31" x14ac:dyDescent="0.25">
      <c r="A89" s="1" t="s">
        <v>0</v>
      </c>
      <c r="B89" s="1" t="s">
        <v>0</v>
      </c>
      <c r="C89" s="2" t="s">
        <v>627</v>
      </c>
      <c r="D89" s="1" t="s">
        <v>636</v>
      </c>
      <c r="E89" s="1"/>
      <c r="F89" s="3">
        <v>2624.9</v>
      </c>
      <c r="G89" s="3">
        <v>459</v>
      </c>
      <c r="H89" s="4">
        <v>2248</v>
      </c>
      <c r="I89" s="3">
        <v>1155</v>
      </c>
      <c r="J89" s="3">
        <v>1093</v>
      </c>
      <c r="K89" s="3">
        <v>678</v>
      </c>
      <c r="L89" s="3">
        <f t="shared" si="6"/>
        <v>30.160142348754448</v>
      </c>
      <c r="M89" s="3">
        <v>0</v>
      </c>
      <c r="N89" s="3">
        <f t="shared" si="7"/>
        <v>0</v>
      </c>
      <c r="O89" s="3">
        <v>93.35</v>
      </c>
      <c r="P89" s="15">
        <v>0</v>
      </c>
      <c r="Q89" s="22"/>
      <c r="R89" s="108">
        <v>43817</v>
      </c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</row>
    <row r="90" spans="1:31" x14ac:dyDescent="0.25">
      <c r="A90" s="1" t="s">
        <v>0</v>
      </c>
      <c r="B90" s="1" t="s">
        <v>0</v>
      </c>
      <c r="C90" s="2" t="s">
        <v>667</v>
      </c>
      <c r="D90" s="1" t="s">
        <v>666</v>
      </c>
      <c r="E90" s="1"/>
      <c r="F90" s="3">
        <v>498.05</v>
      </c>
      <c r="G90" s="3">
        <v>291</v>
      </c>
      <c r="H90" s="4">
        <v>1124</v>
      </c>
      <c r="I90" s="3">
        <v>533</v>
      </c>
      <c r="J90" s="3">
        <v>591</v>
      </c>
      <c r="K90" s="3">
        <v>157</v>
      </c>
      <c r="L90" s="3">
        <f t="shared" si="6"/>
        <v>13.967971530249109</v>
      </c>
      <c r="M90" s="3">
        <v>11</v>
      </c>
      <c r="N90" s="3">
        <f t="shared" si="7"/>
        <v>0.97864768683274017</v>
      </c>
      <c r="O90" s="3">
        <v>47.02</v>
      </c>
      <c r="P90" s="15">
        <v>0</v>
      </c>
      <c r="Q90" s="22" t="s">
        <v>1348</v>
      </c>
      <c r="R90" s="109">
        <v>44082</v>
      </c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</row>
    <row r="91" spans="1:31" x14ac:dyDescent="0.25">
      <c r="A91" s="1" t="s">
        <v>0</v>
      </c>
      <c r="B91" s="1" t="s">
        <v>0</v>
      </c>
      <c r="C91" s="2" t="s">
        <v>667</v>
      </c>
      <c r="D91" s="1" t="s">
        <v>668</v>
      </c>
      <c r="E91" s="1"/>
      <c r="F91" s="3">
        <v>728.12</v>
      </c>
      <c r="G91" s="3">
        <v>249</v>
      </c>
      <c r="H91" s="4">
        <v>986</v>
      </c>
      <c r="I91" s="3">
        <v>485</v>
      </c>
      <c r="J91" s="3">
        <v>501</v>
      </c>
      <c r="K91" s="3">
        <v>150</v>
      </c>
      <c r="L91" s="3">
        <f t="shared" si="6"/>
        <v>15.212981744421908</v>
      </c>
      <c r="M91" s="3">
        <v>0</v>
      </c>
      <c r="N91" s="3">
        <f t="shared" si="7"/>
        <v>0</v>
      </c>
      <c r="O91" s="3">
        <v>107.03</v>
      </c>
      <c r="P91" s="15">
        <v>0</v>
      </c>
      <c r="Q91" s="22"/>
      <c r="R91" s="107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</row>
  </sheetData>
  <mergeCells count="6">
    <mergeCell ref="AD2:AE2"/>
    <mergeCell ref="M2:N2"/>
    <mergeCell ref="K2:L2"/>
    <mergeCell ref="K8:L8"/>
    <mergeCell ref="M8:N8"/>
    <mergeCell ref="AD8:AE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44"/>
  <sheetViews>
    <sheetView workbookViewId="0">
      <pane xSplit="10" ySplit="4" topLeftCell="T5" activePane="bottomRight" state="frozen"/>
      <selection pane="topRight" activeCell="K1" sqref="K1"/>
      <selection pane="bottomLeft" activeCell="A5" sqref="A5"/>
      <selection pane="bottomRight" activeCell="V6" sqref="V6"/>
    </sheetView>
  </sheetViews>
  <sheetFormatPr defaultRowHeight="15" x14ac:dyDescent="0.25"/>
  <cols>
    <col min="3" max="3" width="24.5703125" customWidth="1"/>
    <col min="4" max="4" width="17.7109375" customWidth="1"/>
    <col min="18" max="18" width="10.42578125" bestFit="1" customWidth="1"/>
    <col min="20" max="20" width="13.85546875" customWidth="1"/>
    <col min="29" max="29" width="36.5703125" customWidth="1"/>
    <col min="30" max="30" width="14" customWidth="1"/>
    <col min="31" max="31" width="15" customWidth="1"/>
  </cols>
  <sheetData>
    <row r="1" spans="1:31" ht="15.75" x14ac:dyDescent="0.25">
      <c r="A1" s="23"/>
      <c r="B1" s="23"/>
      <c r="C1" s="24"/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11" t="s">
        <v>1327</v>
      </c>
      <c r="R1" s="11" t="s">
        <v>1327</v>
      </c>
      <c r="S1" s="11" t="s">
        <v>1328</v>
      </c>
      <c r="T1" s="12" t="s">
        <v>1329</v>
      </c>
      <c r="U1" s="11" t="s">
        <v>1329</v>
      </c>
      <c r="V1" s="11" t="s">
        <v>1329</v>
      </c>
      <c r="W1" s="11" t="s">
        <v>1329</v>
      </c>
      <c r="X1" s="11" t="s">
        <v>1329</v>
      </c>
      <c r="Y1" s="11" t="s">
        <v>1329</v>
      </c>
      <c r="Z1" s="13" t="s">
        <v>1330</v>
      </c>
      <c r="AA1" s="13" t="s">
        <v>1330</v>
      </c>
      <c r="AB1" s="13" t="s">
        <v>1330</v>
      </c>
      <c r="AC1" s="13" t="s">
        <v>1330</v>
      </c>
      <c r="AD1" s="13" t="s">
        <v>1330</v>
      </c>
      <c r="AE1" s="13" t="s">
        <v>1330</v>
      </c>
    </row>
    <row r="2" spans="1:31" ht="165" x14ac:dyDescent="0.25">
      <c r="A2" s="25" t="s">
        <v>1336</v>
      </c>
      <c r="B2" s="25" t="s">
        <v>1337</v>
      </c>
      <c r="C2" s="25" t="s">
        <v>1338</v>
      </c>
      <c r="D2" s="25" t="s">
        <v>1339</v>
      </c>
      <c r="E2" s="25" t="s">
        <v>1340</v>
      </c>
      <c r="F2" s="25" t="s">
        <v>1341</v>
      </c>
      <c r="G2" s="25" t="s">
        <v>1342</v>
      </c>
      <c r="H2" s="25" t="s">
        <v>1343</v>
      </c>
      <c r="I2" s="25" t="s">
        <v>1344</v>
      </c>
      <c r="J2" s="25" t="s">
        <v>1345</v>
      </c>
      <c r="K2" s="119" t="s">
        <v>1346</v>
      </c>
      <c r="L2" s="120"/>
      <c r="M2" s="119" t="s">
        <v>1347</v>
      </c>
      <c r="N2" s="120"/>
      <c r="O2" s="14" t="s">
        <v>1331</v>
      </c>
      <c r="P2" s="14" t="s">
        <v>1332</v>
      </c>
      <c r="Q2" s="6" t="s">
        <v>1307</v>
      </c>
      <c r="R2" s="6" t="s">
        <v>1308</v>
      </c>
      <c r="S2" s="6" t="s">
        <v>1309</v>
      </c>
      <c r="T2" s="7" t="s">
        <v>1310</v>
      </c>
      <c r="U2" s="6" t="s">
        <v>1311</v>
      </c>
      <c r="V2" s="7" t="s">
        <v>1312</v>
      </c>
      <c r="W2" s="6" t="s">
        <v>1313</v>
      </c>
      <c r="X2" s="6" t="s">
        <v>1314</v>
      </c>
      <c r="Y2" s="7" t="s">
        <v>1315</v>
      </c>
      <c r="Z2" s="7" t="s">
        <v>1316</v>
      </c>
      <c r="AA2" s="7" t="s">
        <v>1317</v>
      </c>
      <c r="AB2" s="7" t="s">
        <v>1318</v>
      </c>
      <c r="AC2" s="7" t="s">
        <v>1319</v>
      </c>
      <c r="AD2" s="121" t="s">
        <v>1320</v>
      </c>
      <c r="AE2" s="121"/>
    </row>
    <row r="3" spans="1:31" ht="31.5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8" t="s">
        <v>1333</v>
      </c>
      <c r="L3" s="8" t="s">
        <v>1334</v>
      </c>
      <c r="M3" s="8" t="s">
        <v>1333</v>
      </c>
      <c r="N3" s="8" t="s">
        <v>1334</v>
      </c>
      <c r="O3" s="14" t="s">
        <v>1335</v>
      </c>
      <c r="P3" s="14" t="s">
        <v>1335</v>
      </c>
      <c r="Q3" s="8" t="s">
        <v>1321</v>
      </c>
      <c r="R3" s="8" t="s">
        <v>1322</v>
      </c>
      <c r="S3" s="8" t="s">
        <v>1323</v>
      </c>
      <c r="T3" s="9" t="s">
        <v>1323</v>
      </c>
      <c r="U3" s="8" t="s">
        <v>1321</v>
      </c>
      <c r="V3" s="8" t="s">
        <v>1321</v>
      </c>
      <c r="W3" s="9" t="s">
        <v>1321</v>
      </c>
      <c r="X3" s="9" t="s">
        <v>1321</v>
      </c>
      <c r="Y3" s="9" t="s">
        <v>1323</v>
      </c>
      <c r="Z3" s="9" t="s">
        <v>1321</v>
      </c>
      <c r="AA3" s="9" t="s">
        <v>1321</v>
      </c>
      <c r="AB3" s="9" t="s">
        <v>1323</v>
      </c>
      <c r="AC3" s="8" t="s">
        <v>1324</v>
      </c>
      <c r="AD3" s="10" t="s">
        <v>1325</v>
      </c>
      <c r="AE3" s="10" t="s">
        <v>1326</v>
      </c>
    </row>
    <row r="4" spans="1:31" x14ac:dyDescent="0.25">
      <c r="A4" s="1" t="s">
        <v>0</v>
      </c>
      <c r="B4" s="1" t="s">
        <v>698</v>
      </c>
      <c r="C4" s="2" t="s">
        <v>822</v>
      </c>
      <c r="D4" s="1" t="s">
        <v>730</v>
      </c>
      <c r="E4" s="1"/>
      <c r="F4" s="3">
        <v>154</v>
      </c>
      <c r="G4" s="3">
        <v>112</v>
      </c>
      <c r="H4" s="4">
        <v>569</v>
      </c>
      <c r="I4" s="3">
        <v>315</v>
      </c>
      <c r="J4" s="3">
        <v>254</v>
      </c>
      <c r="K4" s="3">
        <v>27</v>
      </c>
      <c r="L4" s="3">
        <f t="shared" ref="L4:L35" si="0">(K4/H4)*100</f>
        <v>4.7451669595782073</v>
      </c>
      <c r="M4" s="3">
        <v>0</v>
      </c>
      <c r="N4" s="3">
        <f t="shared" ref="N4:N35" si="1">(M4/H4)*100</f>
        <v>0</v>
      </c>
      <c r="O4" s="3">
        <v>0</v>
      </c>
      <c r="P4" s="15">
        <v>58</v>
      </c>
      <c r="Q4" s="22" t="s">
        <v>1348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</row>
    <row r="5" spans="1:31" x14ac:dyDescent="0.25">
      <c r="A5" s="1" t="s">
        <v>0</v>
      </c>
      <c r="B5" s="1" t="s">
        <v>698</v>
      </c>
      <c r="C5" s="2" t="s">
        <v>822</v>
      </c>
      <c r="D5" s="1" t="s">
        <v>210</v>
      </c>
      <c r="E5" s="1"/>
      <c r="F5" s="3">
        <v>57</v>
      </c>
      <c r="G5" s="3">
        <v>113</v>
      </c>
      <c r="H5" s="4">
        <v>664</v>
      </c>
      <c r="I5" s="3">
        <v>338</v>
      </c>
      <c r="J5" s="3">
        <v>326</v>
      </c>
      <c r="K5" s="3">
        <v>0</v>
      </c>
      <c r="L5" s="3">
        <f t="shared" si="0"/>
        <v>0</v>
      </c>
      <c r="M5" s="3">
        <v>0</v>
      </c>
      <c r="N5" s="3">
        <f t="shared" si="1"/>
        <v>0</v>
      </c>
      <c r="O5" s="3">
        <v>0</v>
      </c>
      <c r="P5" s="15">
        <v>7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</row>
    <row r="6" spans="1:31" x14ac:dyDescent="0.25">
      <c r="A6" s="1" t="s">
        <v>0</v>
      </c>
      <c r="B6" s="1" t="s">
        <v>698</v>
      </c>
      <c r="C6" s="2" t="s">
        <v>822</v>
      </c>
      <c r="D6" s="1" t="s">
        <v>361</v>
      </c>
      <c r="E6" s="1"/>
      <c r="F6" s="3">
        <v>354</v>
      </c>
      <c r="G6" s="3">
        <v>132</v>
      </c>
      <c r="H6" s="4">
        <v>766</v>
      </c>
      <c r="I6" s="3">
        <v>399</v>
      </c>
      <c r="J6" s="3">
        <v>367</v>
      </c>
      <c r="K6" s="3">
        <v>46</v>
      </c>
      <c r="L6" s="3">
        <f t="shared" si="0"/>
        <v>6.0052219321148828</v>
      </c>
      <c r="M6" s="3">
        <v>0</v>
      </c>
      <c r="N6" s="3">
        <f t="shared" si="1"/>
        <v>0</v>
      </c>
      <c r="O6" s="3">
        <v>0</v>
      </c>
      <c r="P6" s="15">
        <v>139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</row>
    <row r="7" spans="1:31" x14ac:dyDescent="0.25">
      <c r="A7" s="1" t="s">
        <v>0</v>
      </c>
      <c r="B7" s="1" t="s">
        <v>698</v>
      </c>
      <c r="C7" s="2" t="s">
        <v>822</v>
      </c>
      <c r="D7" s="1" t="s">
        <v>827</v>
      </c>
      <c r="E7" s="1"/>
      <c r="F7" s="3">
        <v>385</v>
      </c>
      <c r="G7" s="3">
        <v>209</v>
      </c>
      <c r="H7" s="4">
        <v>1040</v>
      </c>
      <c r="I7" s="3">
        <v>562</v>
      </c>
      <c r="J7" s="3">
        <v>478</v>
      </c>
      <c r="K7" s="3">
        <v>45</v>
      </c>
      <c r="L7" s="3">
        <f t="shared" si="0"/>
        <v>4.3269230769230766</v>
      </c>
      <c r="M7" s="3">
        <v>0</v>
      </c>
      <c r="N7" s="3">
        <f t="shared" si="1"/>
        <v>0</v>
      </c>
      <c r="O7" s="3">
        <v>0</v>
      </c>
      <c r="P7" s="15">
        <v>0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</row>
    <row r="8" spans="1:31" x14ac:dyDescent="0.25">
      <c r="A8" s="1" t="s">
        <v>0</v>
      </c>
      <c r="B8" s="1" t="s">
        <v>698</v>
      </c>
      <c r="C8" s="2" t="s">
        <v>822</v>
      </c>
      <c r="D8" s="1" t="s">
        <v>833</v>
      </c>
      <c r="E8" s="1"/>
      <c r="F8" s="3">
        <v>195</v>
      </c>
      <c r="G8" s="3">
        <v>182</v>
      </c>
      <c r="H8" s="4">
        <v>876</v>
      </c>
      <c r="I8" s="3">
        <v>440</v>
      </c>
      <c r="J8" s="3">
        <v>436</v>
      </c>
      <c r="K8" s="3">
        <v>115</v>
      </c>
      <c r="L8" s="3">
        <f t="shared" si="0"/>
        <v>13.12785388127854</v>
      </c>
      <c r="M8" s="3">
        <v>0</v>
      </c>
      <c r="N8" s="3">
        <f t="shared" si="1"/>
        <v>0</v>
      </c>
      <c r="O8" s="3">
        <v>0</v>
      </c>
      <c r="P8" s="15">
        <v>0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</row>
    <row r="9" spans="1:31" x14ac:dyDescent="0.25">
      <c r="A9" s="1" t="s">
        <v>0</v>
      </c>
      <c r="B9" s="1" t="s">
        <v>698</v>
      </c>
      <c r="C9" s="2" t="s">
        <v>842</v>
      </c>
      <c r="D9" s="1" t="s">
        <v>841</v>
      </c>
      <c r="E9" s="1"/>
      <c r="F9" s="3">
        <v>907</v>
      </c>
      <c r="G9" s="3">
        <v>93</v>
      </c>
      <c r="H9" s="4">
        <v>465</v>
      </c>
      <c r="I9" s="3">
        <v>230</v>
      </c>
      <c r="J9" s="3">
        <v>235</v>
      </c>
      <c r="K9" s="3">
        <v>80</v>
      </c>
      <c r="L9" s="3">
        <f t="shared" si="0"/>
        <v>17.20430107526882</v>
      </c>
      <c r="M9" s="3">
        <v>0</v>
      </c>
      <c r="N9" s="3">
        <f t="shared" si="1"/>
        <v>0</v>
      </c>
      <c r="O9" s="3">
        <v>48</v>
      </c>
      <c r="P9" s="15">
        <v>0</v>
      </c>
      <c r="Q9" s="22" t="s">
        <v>1348</v>
      </c>
      <c r="R9" s="83">
        <v>44066</v>
      </c>
      <c r="S9" s="22"/>
      <c r="T9" s="22"/>
      <c r="U9" s="22" t="s">
        <v>1348</v>
      </c>
      <c r="V9" s="22" t="s">
        <v>1348</v>
      </c>
      <c r="W9" s="22" t="s">
        <v>1348</v>
      </c>
      <c r="X9" s="22"/>
      <c r="Y9" s="22"/>
      <c r="Z9" s="22"/>
      <c r="AA9" s="22"/>
      <c r="AB9" s="22"/>
      <c r="AC9" s="22"/>
      <c r="AD9" s="22"/>
      <c r="AE9" s="22"/>
    </row>
    <row r="10" spans="1:31" x14ac:dyDescent="0.25">
      <c r="A10" s="1" t="s">
        <v>0</v>
      </c>
      <c r="B10" s="1" t="s">
        <v>698</v>
      </c>
      <c r="C10" s="2" t="s">
        <v>842</v>
      </c>
      <c r="D10" s="1" t="s">
        <v>845</v>
      </c>
      <c r="E10" s="1"/>
      <c r="F10" s="3">
        <v>1402</v>
      </c>
      <c r="G10" s="3">
        <v>861</v>
      </c>
      <c r="H10" s="4">
        <v>4118</v>
      </c>
      <c r="I10" s="3">
        <v>2126</v>
      </c>
      <c r="J10" s="3">
        <v>1992</v>
      </c>
      <c r="K10" s="3">
        <v>787</v>
      </c>
      <c r="L10" s="3">
        <f t="shared" si="0"/>
        <v>19.111219038368141</v>
      </c>
      <c r="M10" s="3">
        <v>254</v>
      </c>
      <c r="N10" s="3">
        <f t="shared" si="1"/>
        <v>6.1680427391937833</v>
      </c>
      <c r="O10" s="3">
        <v>114</v>
      </c>
      <c r="P10" s="15">
        <v>119</v>
      </c>
      <c r="Q10" s="22" t="s">
        <v>1348</v>
      </c>
      <c r="R10" s="83">
        <v>44064</v>
      </c>
      <c r="S10" s="22"/>
      <c r="T10" s="22"/>
      <c r="U10" s="22" t="s">
        <v>1348</v>
      </c>
      <c r="V10" s="22" t="s">
        <v>1348</v>
      </c>
      <c r="W10" s="22" t="s">
        <v>1348</v>
      </c>
      <c r="X10" s="22"/>
      <c r="Y10" s="22"/>
      <c r="Z10" s="22"/>
      <c r="AA10" s="22"/>
      <c r="AB10" s="22"/>
      <c r="AC10" s="22"/>
      <c r="AD10" s="22"/>
      <c r="AE10" s="22"/>
    </row>
    <row r="11" spans="1:31" x14ac:dyDescent="0.25">
      <c r="A11" s="1" t="s">
        <v>0</v>
      </c>
      <c r="B11" s="1" t="s">
        <v>698</v>
      </c>
      <c r="C11" s="2" t="s">
        <v>737</v>
      </c>
      <c r="D11" s="1" t="s">
        <v>736</v>
      </c>
      <c r="E11" s="1"/>
      <c r="F11" s="3">
        <v>448</v>
      </c>
      <c r="G11" s="3">
        <v>109</v>
      </c>
      <c r="H11" s="4">
        <v>473</v>
      </c>
      <c r="I11" s="3">
        <v>250</v>
      </c>
      <c r="J11" s="3">
        <v>223</v>
      </c>
      <c r="K11" s="3">
        <v>89</v>
      </c>
      <c r="L11" s="3">
        <f t="shared" si="0"/>
        <v>18.816067653276956</v>
      </c>
      <c r="M11" s="3">
        <v>0</v>
      </c>
      <c r="N11" s="3">
        <f t="shared" si="1"/>
        <v>0</v>
      </c>
      <c r="O11" s="3">
        <v>0</v>
      </c>
      <c r="P11" s="15">
        <v>0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x14ac:dyDescent="0.25">
      <c r="A12" s="1" t="s">
        <v>0</v>
      </c>
      <c r="B12" s="1" t="s">
        <v>698</v>
      </c>
      <c r="C12" s="2" t="s">
        <v>737</v>
      </c>
      <c r="D12" s="1" t="s">
        <v>741</v>
      </c>
      <c r="E12" s="1"/>
      <c r="F12" s="3">
        <v>183</v>
      </c>
      <c r="G12" s="3">
        <v>55</v>
      </c>
      <c r="H12" s="4">
        <v>379</v>
      </c>
      <c r="I12" s="3">
        <v>213</v>
      </c>
      <c r="J12" s="3">
        <v>166</v>
      </c>
      <c r="K12" s="3">
        <v>146</v>
      </c>
      <c r="L12" s="3">
        <f t="shared" si="0"/>
        <v>38.522427440633244</v>
      </c>
      <c r="M12" s="3">
        <v>0</v>
      </c>
      <c r="N12" s="3">
        <f t="shared" si="1"/>
        <v>0</v>
      </c>
      <c r="O12" s="3">
        <v>0</v>
      </c>
      <c r="P12" s="15">
        <v>0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 spans="1:31" x14ac:dyDescent="0.25">
      <c r="A13" s="1" t="s">
        <v>0</v>
      </c>
      <c r="B13" s="1" t="s">
        <v>698</v>
      </c>
      <c r="C13" s="2" t="s">
        <v>737</v>
      </c>
      <c r="D13" s="1" t="s">
        <v>742</v>
      </c>
      <c r="E13" s="1"/>
      <c r="F13" s="3">
        <v>3163</v>
      </c>
      <c r="G13" s="3">
        <v>442</v>
      </c>
      <c r="H13" s="4">
        <v>2112</v>
      </c>
      <c r="I13" s="3">
        <v>1022</v>
      </c>
      <c r="J13" s="3">
        <v>1090</v>
      </c>
      <c r="K13" s="3">
        <v>136</v>
      </c>
      <c r="L13" s="3">
        <f t="shared" si="0"/>
        <v>6.4393939393939394</v>
      </c>
      <c r="M13" s="3">
        <v>0</v>
      </c>
      <c r="N13" s="3">
        <f t="shared" si="1"/>
        <v>0</v>
      </c>
      <c r="O13" s="3">
        <v>0</v>
      </c>
      <c r="P13" s="15">
        <v>2131.8000000000002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1:31" x14ac:dyDescent="0.25">
      <c r="A14" s="1" t="s">
        <v>0</v>
      </c>
      <c r="B14" s="1" t="s">
        <v>698</v>
      </c>
      <c r="C14" s="2" t="s">
        <v>737</v>
      </c>
      <c r="D14" s="1" t="s">
        <v>743</v>
      </c>
      <c r="E14" s="1"/>
      <c r="F14" s="3">
        <v>200</v>
      </c>
      <c r="G14" s="3">
        <v>102</v>
      </c>
      <c r="H14" s="4">
        <v>463</v>
      </c>
      <c r="I14" s="3">
        <v>215</v>
      </c>
      <c r="J14" s="3">
        <v>248</v>
      </c>
      <c r="K14" s="3">
        <v>0</v>
      </c>
      <c r="L14" s="3">
        <f t="shared" si="0"/>
        <v>0</v>
      </c>
      <c r="M14" s="3">
        <v>0</v>
      </c>
      <c r="N14" s="3">
        <f t="shared" si="1"/>
        <v>0</v>
      </c>
      <c r="O14" s="3">
        <v>0</v>
      </c>
      <c r="P14" s="15">
        <v>0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1" x14ac:dyDescent="0.25">
      <c r="A15" s="1" t="s">
        <v>0</v>
      </c>
      <c r="B15" s="1" t="s">
        <v>698</v>
      </c>
      <c r="C15" s="2" t="s">
        <v>712</v>
      </c>
      <c r="D15" s="1" t="s">
        <v>711</v>
      </c>
      <c r="E15" s="1"/>
      <c r="F15" s="3">
        <v>1965</v>
      </c>
      <c r="G15" s="3">
        <v>683</v>
      </c>
      <c r="H15" s="4">
        <v>2814</v>
      </c>
      <c r="I15" s="3">
        <v>1340</v>
      </c>
      <c r="J15" s="3">
        <v>1474</v>
      </c>
      <c r="K15" s="3">
        <v>652</v>
      </c>
      <c r="L15" s="3">
        <f t="shared" si="0"/>
        <v>23.169864960909734</v>
      </c>
      <c r="M15" s="3">
        <v>0</v>
      </c>
      <c r="N15" s="3">
        <f t="shared" si="1"/>
        <v>0</v>
      </c>
      <c r="O15" s="3">
        <v>178</v>
      </c>
      <c r="P15" s="15">
        <v>0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>
        <v>5</v>
      </c>
      <c r="AC15" s="22" t="s">
        <v>1361</v>
      </c>
      <c r="AD15">
        <v>26.023482000000001</v>
      </c>
      <c r="AE15">
        <v>73.922130999999993</v>
      </c>
    </row>
    <row r="16" spans="1:31" x14ac:dyDescent="0.25">
      <c r="A16" s="1" t="s">
        <v>0</v>
      </c>
      <c r="B16" s="1" t="s">
        <v>698</v>
      </c>
      <c r="C16" s="2" t="s">
        <v>762</v>
      </c>
      <c r="D16" s="1" t="s">
        <v>761</v>
      </c>
      <c r="E16" s="1"/>
      <c r="F16" s="3">
        <v>182</v>
      </c>
      <c r="G16" s="3">
        <v>74</v>
      </c>
      <c r="H16" s="4">
        <v>422</v>
      </c>
      <c r="I16" s="3">
        <v>223</v>
      </c>
      <c r="J16" s="3">
        <v>199</v>
      </c>
      <c r="K16" s="3">
        <v>16</v>
      </c>
      <c r="L16" s="3">
        <f t="shared" si="0"/>
        <v>3.7914691943127963</v>
      </c>
      <c r="M16" s="3">
        <v>0</v>
      </c>
      <c r="N16" s="3">
        <f t="shared" si="1"/>
        <v>0</v>
      </c>
      <c r="O16" s="3">
        <v>63</v>
      </c>
      <c r="P16" s="15">
        <v>0</v>
      </c>
      <c r="Q16" s="22" t="s">
        <v>1348</v>
      </c>
      <c r="R16" s="112">
        <v>43819</v>
      </c>
      <c r="S16" s="67">
        <v>4.7</v>
      </c>
      <c r="T16" s="22"/>
      <c r="U16" s="22" t="s">
        <v>1348</v>
      </c>
      <c r="V16" s="22" t="s">
        <v>1348</v>
      </c>
      <c r="W16" s="22" t="s">
        <v>1348</v>
      </c>
      <c r="X16" s="22"/>
      <c r="Y16" s="22"/>
      <c r="Z16" s="22"/>
      <c r="AA16" s="22"/>
      <c r="AB16" s="22"/>
      <c r="AC16" s="22"/>
      <c r="AD16" s="22"/>
      <c r="AE16" s="22"/>
    </row>
    <row r="17" spans="1:31" x14ac:dyDescent="0.25">
      <c r="A17" s="1" t="s">
        <v>0</v>
      </c>
      <c r="B17" s="1" t="s">
        <v>698</v>
      </c>
      <c r="C17" s="2" t="s">
        <v>762</v>
      </c>
      <c r="D17" s="1" t="s">
        <v>771</v>
      </c>
      <c r="E17" s="1"/>
      <c r="F17" s="3">
        <v>1508</v>
      </c>
      <c r="G17" s="3">
        <v>1386</v>
      </c>
      <c r="H17" s="4">
        <v>6777</v>
      </c>
      <c r="I17" s="3">
        <v>3516</v>
      </c>
      <c r="J17" s="3">
        <v>3261</v>
      </c>
      <c r="K17" s="3">
        <v>1347</v>
      </c>
      <c r="L17" s="3">
        <f t="shared" si="0"/>
        <v>19.876051350154935</v>
      </c>
      <c r="M17" s="3">
        <v>17</v>
      </c>
      <c r="N17" s="3">
        <f t="shared" si="1"/>
        <v>0.25084845801977274</v>
      </c>
      <c r="O17" s="3">
        <v>247</v>
      </c>
      <c r="P17" s="15">
        <v>182</v>
      </c>
      <c r="Q17" s="22" t="s">
        <v>1348</v>
      </c>
      <c r="R17" s="83">
        <v>43819</v>
      </c>
      <c r="S17" s="22"/>
      <c r="T17" s="22"/>
      <c r="U17" s="22" t="s">
        <v>1348</v>
      </c>
      <c r="V17" s="22" t="s">
        <v>1348</v>
      </c>
      <c r="W17" s="22" t="s">
        <v>1348</v>
      </c>
      <c r="X17" s="22"/>
      <c r="Y17" s="22"/>
      <c r="Z17" s="22"/>
      <c r="AA17" s="22"/>
      <c r="AB17" s="22"/>
      <c r="AC17" s="22"/>
      <c r="AD17" s="22"/>
      <c r="AE17" s="22"/>
    </row>
    <row r="18" spans="1:31" x14ac:dyDescent="0.25">
      <c r="A18" s="1" t="s">
        <v>0</v>
      </c>
      <c r="B18" s="1" t="s">
        <v>698</v>
      </c>
      <c r="C18" s="2" t="s">
        <v>773</v>
      </c>
      <c r="D18" s="1" t="s">
        <v>772</v>
      </c>
      <c r="E18" s="1"/>
      <c r="F18" s="3">
        <v>354.33</v>
      </c>
      <c r="G18" s="3">
        <v>151</v>
      </c>
      <c r="H18" s="4">
        <v>690</v>
      </c>
      <c r="I18" s="3">
        <v>339</v>
      </c>
      <c r="J18" s="3">
        <v>351</v>
      </c>
      <c r="K18" s="3">
        <v>30</v>
      </c>
      <c r="L18" s="3">
        <f t="shared" si="0"/>
        <v>4.3478260869565215</v>
      </c>
      <c r="M18" s="3">
        <v>0</v>
      </c>
      <c r="N18" s="3">
        <f t="shared" si="1"/>
        <v>0</v>
      </c>
      <c r="O18" s="3">
        <v>1.04</v>
      </c>
      <c r="P18" s="15">
        <v>0</v>
      </c>
      <c r="Q18" s="22" t="s">
        <v>1348</v>
      </c>
      <c r="R18" s="83">
        <v>43822</v>
      </c>
      <c r="S18" s="22"/>
      <c r="T18" s="22"/>
      <c r="U18" s="22" t="s">
        <v>1348</v>
      </c>
      <c r="V18" s="22" t="s">
        <v>1348</v>
      </c>
      <c r="W18" s="22" t="s">
        <v>1348</v>
      </c>
      <c r="X18" s="22"/>
      <c r="Y18" s="22"/>
      <c r="Z18" s="22"/>
      <c r="AA18" s="22"/>
      <c r="AB18" s="22"/>
      <c r="AC18" s="22"/>
      <c r="AD18" s="22"/>
      <c r="AE18" s="22"/>
    </row>
    <row r="19" spans="1:31" x14ac:dyDescent="0.25">
      <c r="A19" s="1" t="s">
        <v>0</v>
      </c>
      <c r="B19" s="1" t="s">
        <v>698</v>
      </c>
      <c r="C19" s="2" t="s">
        <v>773</v>
      </c>
      <c r="D19" s="1" t="s">
        <v>774</v>
      </c>
      <c r="E19" s="1"/>
      <c r="F19" s="3">
        <v>317.95</v>
      </c>
      <c r="G19" s="3">
        <v>22</v>
      </c>
      <c r="H19" s="4">
        <v>100</v>
      </c>
      <c r="I19" s="3">
        <v>44</v>
      </c>
      <c r="J19" s="3">
        <v>56</v>
      </c>
      <c r="K19" s="3">
        <v>11</v>
      </c>
      <c r="L19" s="3">
        <f t="shared" si="0"/>
        <v>11</v>
      </c>
      <c r="M19" s="3">
        <v>1</v>
      </c>
      <c r="N19" s="3">
        <f t="shared" si="1"/>
        <v>1</v>
      </c>
      <c r="O19" s="3">
        <v>48.04</v>
      </c>
      <c r="P19" s="15">
        <v>0</v>
      </c>
      <c r="Q19" s="22" t="s">
        <v>1348</v>
      </c>
      <c r="R19" s="83">
        <v>43801</v>
      </c>
      <c r="S19" s="22"/>
      <c r="T19" s="22"/>
      <c r="U19" s="22" t="s">
        <v>1348</v>
      </c>
      <c r="V19" s="22" t="s">
        <v>1348</v>
      </c>
      <c r="W19" s="22" t="s">
        <v>1348</v>
      </c>
      <c r="X19" s="22"/>
      <c r="Y19" s="22"/>
      <c r="Z19" s="22"/>
      <c r="AA19" s="22"/>
      <c r="AB19" s="22"/>
      <c r="AC19" s="22"/>
      <c r="AD19" s="22"/>
      <c r="AE19" s="22"/>
    </row>
    <row r="20" spans="1:31" x14ac:dyDescent="0.25">
      <c r="A20" s="1" t="s">
        <v>0</v>
      </c>
      <c r="B20" s="1" t="s">
        <v>698</v>
      </c>
      <c r="C20" s="2" t="s">
        <v>773</v>
      </c>
      <c r="D20" s="1" t="s">
        <v>775</v>
      </c>
      <c r="E20" s="1"/>
      <c r="F20" s="2">
        <v>67.87</v>
      </c>
      <c r="G20" s="5"/>
      <c r="H20" s="4">
        <v>0</v>
      </c>
      <c r="I20" s="5"/>
      <c r="J20" s="5"/>
      <c r="K20" s="5"/>
      <c r="L20" s="3" t="e">
        <f t="shared" si="0"/>
        <v>#DIV/0!</v>
      </c>
      <c r="M20" s="5"/>
      <c r="N20" s="3" t="e">
        <f t="shared" si="1"/>
        <v>#DIV/0!</v>
      </c>
      <c r="O20" s="2">
        <v>0</v>
      </c>
      <c r="P20" s="18">
        <v>0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 spans="1:31" x14ac:dyDescent="0.25">
      <c r="A21" s="1" t="s">
        <v>0</v>
      </c>
      <c r="B21" s="1" t="s">
        <v>698</v>
      </c>
      <c r="C21" s="2" t="s">
        <v>773</v>
      </c>
      <c r="D21" s="1" t="s">
        <v>776</v>
      </c>
      <c r="E21" s="1"/>
      <c r="F21" s="3">
        <v>1831.13</v>
      </c>
      <c r="G21" s="3">
        <v>478</v>
      </c>
      <c r="H21" s="4">
        <v>2445</v>
      </c>
      <c r="I21" s="3">
        <v>1229</v>
      </c>
      <c r="J21" s="3">
        <v>1216</v>
      </c>
      <c r="K21" s="3">
        <v>1451</v>
      </c>
      <c r="L21" s="3">
        <f t="shared" si="0"/>
        <v>59.345603271983634</v>
      </c>
      <c r="M21" s="3">
        <v>10</v>
      </c>
      <c r="N21" s="3">
        <f t="shared" si="1"/>
        <v>0.40899795501022501</v>
      </c>
      <c r="O21" s="3">
        <v>112.66</v>
      </c>
      <c r="P21" s="15">
        <v>0</v>
      </c>
      <c r="Q21" s="22" t="s">
        <v>1348</v>
      </c>
      <c r="R21" s="83">
        <v>43822</v>
      </c>
      <c r="S21" s="22"/>
      <c r="T21" s="22"/>
      <c r="U21" s="22" t="s">
        <v>1348</v>
      </c>
      <c r="V21" s="22" t="s">
        <v>1348</v>
      </c>
      <c r="W21" s="22" t="s">
        <v>1348</v>
      </c>
      <c r="X21" s="22"/>
      <c r="Y21" s="22"/>
      <c r="Z21" s="22"/>
      <c r="AA21" s="22"/>
      <c r="AB21" s="22">
        <v>5</v>
      </c>
      <c r="AC21" s="22" t="s">
        <v>1361</v>
      </c>
      <c r="AD21">
        <v>26.113745999999999</v>
      </c>
      <c r="AE21">
        <v>74.079702999999995</v>
      </c>
    </row>
    <row r="22" spans="1:31" x14ac:dyDescent="0.25">
      <c r="A22" s="1" t="s">
        <v>0</v>
      </c>
      <c r="B22" s="1" t="s">
        <v>698</v>
      </c>
      <c r="C22" s="2" t="s">
        <v>773</v>
      </c>
      <c r="D22" s="1" t="s">
        <v>777</v>
      </c>
      <c r="E22" s="1"/>
      <c r="F22" s="2">
        <v>82.66</v>
      </c>
      <c r="G22" s="5"/>
      <c r="H22" s="4">
        <v>0</v>
      </c>
      <c r="I22" s="5"/>
      <c r="J22" s="5"/>
      <c r="K22" s="5"/>
      <c r="L22" s="3" t="e">
        <f t="shared" si="0"/>
        <v>#DIV/0!</v>
      </c>
      <c r="M22" s="5"/>
      <c r="N22" s="3" t="e">
        <f t="shared" si="1"/>
        <v>#DIV/0!</v>
      </c>
      <c r="O22" s="2">
        <v>50.99</v>
      </c>
      <c r="P22" s="18">
        <v>0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 spans="1:31" x14ac:dyDescent="0.25">
      <c r="A23" s="1" t="s">
        <v>0</v>
      </c>
      <c r="B23" s="1" t="s">
        <v>698</v>
      </c>
      <c r="C23" s="2" t="s">
        <v>773</v>
      </c>
      <c r="D23" s="1" t="s">
        <v>778</v>
      </c>
      <c r="E23" s="1"/>
      <c r="F23" s="2">
        <v>50.35</v>
      </c>
      <c r="G23" s="5"/>
      <c r="H23" s="4">
        <v>0</v>
      </c>
      <c r="I23" s="5"/>
      <c r="J23" s="5"/>
      <c r="K23" s="5"/>
      <c r="L23" s="3" t="e">
        <f t="shared" si="0"/>
        <v>#DIV/0!</v>
      </c>
      <c r="M23" s="5"/>
      <c r="N23" s="3" t="e">
        <f t="shared" si="1"/>
        <v>#DIV/0!</v>
      </c>
      <c r="O23" s="2">
        <v>0</v>
      </c>
      <c r="P23" s="18">
        <v>0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 spans="1:31" x14ac:dyDescent="0.25">
      <c r="A24" s="1" t="s">
        <v>0</v>
      </c>
      <c r="B24" s="1" t="s">
        <v>698</v>
      </c>
      <c r="C24" s="2" t="s">
        <v>813</v>
      </c>
      <c r="D24" s="1" t="s">
        <v>812</v>
      </c>
      <c r="E24" s="1"/>
      <c r="F24" s="3">
        <v>1035</v>
      </c>
      <c r="G24" s="3">
        <v>274</v>
      </c>
      <c r="H24" s="4">
        <v>1432</v>
      </c>
      <c r="I24" s="3">
        <v>738</v>
      </c>
      <c r="J24" s="3">
        <v>694</v>
      </c>
      <c r="K24" s="3">
        <v>0</v>
      </c>
      <c r="L24" s="3">
        <f t="shared" si="0"/>
        <v>0</v>
      </c>
      <c r="M24" s="3">
        <v>1</v>
      </c>
      <c r="N24" s="3">
        <f t="shared" si="1"/>
        <v>6.9832402234636867E-2</v>
      </c>
      <c r="O24" s="3">
        <v>0</v>
      </c>
      <c r="P24" s="15">
        <v>289</v>
      </c>
      <c r="Q24" s="22" t="s">
        <v>1348</v>
      </c>
      <c r="R24" s="83">
        <v>43802</v>
      </c>
      <c r="S24" s="22"/>
      <c r="T24" s="22"/>
      <c r="U24" s="22" t="s">
        <v>1348</v>
      </c>
      <c r="V24" s="22" t="s">
        <v>1348</v>
      </c>
      <c r="W24" s="22" t="s">
        <v>1348</v>
      </c>
      <c r="X24" s="22"/>
      <c r="Y24" s="22"/>
      <c r="Z24" s="22"/>
      <c r="AA24" s="22"/>
      <c r="AB24" s="22"/>
      <c r="AC24" s="22"/>
      <c r="AD24" s="22"/>
      <c r="AE24" s="22"/>
    </row>
    <row r="25" spans="1:31" x14ac:dyDescent="0.25">
      <c r="A25" s="1" t="s">
        <v>0</v>
      </c>
      <c r="B25" s="1" t="s">
        <v>698</v>
      </c>
      <c r="C25" s="2" t="s">
        <v>813</v>
      </c>
      <c r="D25" s="1" t="s">
        <v>814</v>
      </c>
      <c r="E25" s="1"/>
      <c r="F25" s="3">
        <v>2494</v>
      </c>
      <c r="G25" s="3">
        <v>792</v>
      </c>
      <c r="H25" s="4">
        <v>3349</v>
      </c>
      <c r="I25" s="3">
        <v>1613</v>
      </c>
      <c r="J25" s="3">
        <v>1736</v>
      </c>
      <c r="K25" s="3">
        <v>652</v>
      </c>
      <c r="L25" s="3">
        <f t="shared" si="0"/>
        <v>19.468498059122126</v>
      </c>
      <c r="M25" s="3">
        <v>2</v>
      </c>
      <c r="N25" s="3">
        <f t="shared" si="1"/>
        <v>5.9719319199761124E-2</v>
      </c>
      <c r="O25" s="3">
        <v>316</v>
      </c>
      <c r="P25" s="15">
        <v>0</v>
      </c>
      <c r="Q25" s="22" t="s">
        <v>1348</v>
      </c>
      <c r="R25" s="112">
        <v>43508</v>
      </c>
      <c r="S25" s="22"/>
      <c r="T25" s="22"/>
      <c r="U25" s="22" t="s">
        <v>1348</v>
      </c>
      <c r="V25" s="22" t="s">
        <v>1348</v>
      </c>
      <c r="W25" s="22" t="s">
        <v>1348</v>
      </c>
      <c r="X25" s="22"/>
      <c r="Y25" s="22"/>
      <c r="Z25" s="22"/>
      <c r="AA25" s="22"/>
      <c r="AB25" s="22"/>
      <c r="AC25" s="22"/>
      <c r="AD25" s="22"/>
      <c r="AE25" s="22"/>
    </row>
    <row r="26" spans="1:31" x14ac:dyDescent="0.25">
      <c r="A26" s="1" t="s">
        <v>0</v>
      </c>
      <c r="B26" s="1" t="s">
        <v>698</v>
      </c>
      <c r="C26" s="2" t="s">
        <v>791</v>
      </c>
      <c r="D26" s="1" t="s">
        <v>790</v>
      </c>
      <c r="E26" s="1"/>
      <c r="F26" s="3">
        <v>2393</v>
      </c>
      <c r="G26" s="3">
        <v>635</v>
      </c>
      <c r="H26" s="4">
        <v>3356</v>
      </c>
      <c r="I26" s="3">
        <v>1762</v>
      </c>
      <c r="J26" s="3">
        <v>1594</v>
      </c>
      <c r="K26" s="3">
        <v>867</v>
      </c>
      <c r="L26" s="3">
        <f t="shared" si="0"/>
        <v>25.834326579261024</v>
      </c>
      <c r="M26" s="3">
        <v>0</v>
      </c>
      <c r="N26" s="3">
        <f t="shared" si="1"/>
        <v>0</v>
      </c>
      <c r="O26" s="3">
        <v>253</v>
      </c>
      <c r="P26" s="15">
        <v>0</v>
      </c>
      <c r="Q26" s="22" t="s">
        <v>1348</v>
      </c>
      <c r="R26" s="112">
        <v>43877</v>
      </c>
      <c r="S26" s="67">
        <v>52.42</v>
      </c>
      <c r="T26" s="22"/>
      <c r="U26" s="22" t="s">
        <v>1348</v>
      </c>
      <c r="V26" s="22" t="s">
        <v>1348</v>
      </c>
      <c r="W26" s="22" t="s">
        <v>1348</v>
      </c>
      <c r="X26" s="22"/>
      <c r="Y26" s="22"/>
      <c r="Z26" s="22"/>
      <c r="AA26" s="22"/>
      <c r="AB26" s="22"/>
      <c r="AC26" s="22"/>
      <c r="AD26" s="22"/>
      <c r="AE26" s="22"/>
    </row>
    <row r="27" spans="1:31" x14ac:dyDescent="0.25">
      <c r="A27" s="1" t="s">
        <v>0</v>
      </c>
      <c r="B27" s="1" t="s">
        <v>698</v>
      </c>
      <c r="C27" s="2" t="s">
        <v>791</v>
      </c>
      <c r="D27" s="1" t="s">
        <v>792</v>
      </c>
      <c r="E27" s="1"/>
      <c r="F27" s="3">
        <v>548</v>
      </c>
      <c r="G27" s="3">
        <v>245</v>
      </c>
      <c r="H27" s="4">
        <v>1194</v>
      </c>
      <c r="I27" s="3">
        <v>607</v>
      </c>
      <c r="J27" s="3">
        <v>587</v>
      </c>
      <c r="K27" s="3">
        <v>0</v>
      </c>
      <c r="L27" s="3">
        <f t="shared" si="0"/>
        <v>0</v>
      </c>
      <c r="M27" s="3">
        <v>0</v>
      </c>
      <c r="N27" s="3">
        <f t="shared" si="1"/>
        <v>0</v>
      </c>
      <c r="O27" s="3">
        <v>80</v>
      </c>
      <c r="P27" s="15">
        <v>0</v>
      </c>
      <c r="Q27" s="22" t="s">
        <v>1348</v>
      </c>
      <c r="R27" s="83">
        <v>44068</v>
      </c>
      <c r="S27" s="22"/>
      <c r="T27" s="22"/>
      <c r="U27" s="22" t="s">
        <v>1348</v>
      </c>
      <c r="V27" s="22" t="s">
        <v>1348</v>
      </c>
      <c r="W27" s="22" t="s">
        <v>1348</v>
      </c>
      <c r="X27" s="22"/>
      <c r="Y27" s="22"/>
      <c r="Z27" s="22"/>
      <c r="AA27" s="22"/>
      <c r="AB27" s="22"/>
      <c r="AC27" s="22"/>
      <c r="AD27" s="22"/>
      <c r="AE27" s="22"/>
    </row>
    <row r="28" spans="1:31" x14ac:dyDescent="0.25">
      <c r="A28" s="1" t="s">
        <v>0</v>
      </c>
      <c r="B28" s="1" t="s">
        <v>698</v>
      </c>
      <c r="C28" s="2" t="s">
        <v>829</v>
      </c>
      <c r="D28" s="1" t="s">
        <v>828</v>
      </c>
      <c r="E28" s="1"/>
      <c r="F28" s="3">
        <v>857</v>
      </c>
      <c r="G28" s="3">
        <v>269</v>
      </c>
      <c r="H28" s="4">
        <v>1204</v>
      </c>
      <c r="I28" s="3">
        <v>585</v>
      </c>
      <c r="J28" s="3">
        <v>619</v>
      </c>
      <c r="K28" s="3">
        <v>24</v>
      </c>
      <c r="L28" s="3">
        <f t="shared" si="0"/>
        <v>1.9933554817275747</v>
      </c>
      <c r="M28" s="3">
        <v>0</v>
      </c>
      <c r="N28" s="3">
        <f t="shared" si="1"/>
        <v>0</v>
      </c>
      <c r="O28" s="3">
        <v>215</v>
      </c>
      <c r="P28" s="15">
        <v>0</v>
      </c>
      <c r="Q28" s="22" t="s">
        <v>1348</v>
      </c>
      <c r="R28" s="83">
        <v>44067</v>
      </c>
      <c r="S28" s="22"/>
      <c r="T28" s="22"/>
      <c r="U28" s="22" t="s">
        <v>1348</v>
      </c>
      <c r="V28" s="22" t="s">
        <v>1348</v>
      </c>
      <c r="W28" s="22" t="s">
        <v>1348</v>
      </c>
      <c r="X28" s="22"/>
      <c r="Y28" s="22"/>
      <c r="Z28" s="22"/>
      <c r="AA28" s="22"/>
      <c r="AB28" s="22"/>
      <c r="AC28" s="22"/>
      <c r="AD28" s="22"/>
      <c r="AE28" s="22"/>
    </row>
    <row r="29" spans="1:31" x14ac:dyDescent="0.25">
      <c r="A29" s="1" t="s">
        <v>0</v>
      </c>
      <c r="B29" s="1" t="s">
        <v>698</v>
      </c>
      <c r="C29" s="2" t="s">
        <v>829</v>
      </c>
      <c r="D29" s="1" t="s">
        <v>276</v>
      </c>
      <c r="E29" s="1"/>
      <c r="F29" s="3">
        <v>281</v>
      </c>
      <c r="G29" s="3">
        <v>398</v>
      </c>
      <c r="H29" s="4">
        <v>2019</v>
      </c>
      <c r="I29" s="3">
        <v>1082</v>
      </c>
      <c r="J29" s="3">
        <v>937</v>
      </c>
      <c r="K29" s="3">
        <v>55</v>
      </c>
      <c r="L29" s="3">
        <f t="shared" si="0"/>
        <v>2.7241208519068847</v>
      </c>
      <c r="M29" s="3">
        <v>0</v>
      </c>
      <c r="N29" s="3">
        <f t="shared" si="1"/>
        <v>0</v>
      </c>
      <c r="O29" s="3">
        <v>59</v>
      </c>
      <c r="P29" s="15">
        <v>0</v>
      </c>
      <c r="Q29" s="22" t="s">
        <v>1348</v>
      </c>
      <c r="R29" s="83">
        <v>44069</v>
      </c>
      <c r="S29" s="22"/>
      <c r="T29" s="22"/>
      <c r="U29" s="22" t="s">
        <v>1348</v>
      </c>
      <c r="V29" s="22" t="s">
        <v>1348</v>
      </c>
      <c r="W29" s="22" t="s">
        <v>1348</v>
      </c>
      <c r="X29" s="22"/>
      <c r="Y29" s="22"/>
      <c r="Z29" s="22"/>
      <c r="AA29" s="22"/>
      <c r="AB29" s="22"/>
      <c r="AC29" s="22"/>
      <c r="AD29" s="22"/>
      <c r="AE29" s="22"/>
    </row>
    <row r="30" spans="1:31" x14ac:dyDescent="0.25">
      <c r="A30" s="1" t="s">
        <v>0</v>
      </c>
      <c r="B30" s="1" t="s">
        <v>698</v>
      </c>
      <c r="C30" s="2" t="s">
        <v>829</v>
      </c>
      <c r="D30" s="1" t="s">
        <v>830</v>
      </c>
      <c r="E30" s="1"/>
      <c r="F30" s="3">
        <v>319</v>
      </c>
      <c r="G30" s="3">
        <v>322</v>
      </c>
      <c r="H30" s="4">
        <v>1714</v>
      </c>
      <c r="I30" s="3">
        <v>884</v>
      </c>
      <c r="J30" s="3">
        <v>830</v>
      </c>
      <c r="K30" s="3">
        <v>31</v>
      </c>
      <c r="L30" s="3">
        <f t="shared" si="0"/>
        <v>1.8086347724620768</v>
      </c>
      <c r="M30" s="3">
        <v>0</v>
      </c>
      <c r="N30" s="3">
        <f t="shared" si="1"/>
        <v>0</v>
      </c>
      <c r="O30" s="3">
        <v>0</v>
      </c>
      <c r="P30" s="15">
        <v>0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</row>
    <row r="31" spans="1:31" x14ac:dyDescent="0.25">
      <c r="A31" s="1" t="s">
        <v>0</v>
      </c>
      <c r="B31" s="1" t="s">
        <v>698</v>
      </c>
      <c r="C31" s="2" t="s">
        <v>829</v>
      </c>
      <c r="D31" s="1" t="s">
        <v>831</v>
      </c>
      <c r="E31" s="1"/>
      <c r="F31" s="3">
        <v>71</v>
      </c>
      <c r="G31" s="3">
        <v>113</v>
      </c>
      <c r="H31" s="4">
        <v>516</v>
      </c>
      <c r="I31" s="3">
        <v>284</v>
      </c>
      <c r="J31" s="3">
        <v>232</v>
      </c>
      <c r="K31" s="3">
        <v>0</v>
      </c>
      <c r="L31" s="3">
        <f t="shared" si="0"/>
        <v>0</v>
      </c>
      <c r="M31" s="3">
        <v>0</v>
      </c>
      <c r="N31" s="3">
        <f t="shared" si="1"/>
        <v>0</v>
      </c>
      <c r="O31" s="3">
        <v>0</v>
      </c>
      <c r="P31" s="15">
        <v>0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 spans="1:31" x14ac:dyDescent="0.25">
      <c r="A32" s="1" t="s">
        <v>0</v>
      </c>
      <c r="B32" s="1" t="s">
        <v>698</v>
      </c>
      <c r="C32" s="2" t="s">
        <v>829</v>
      </c>
      <c r="D32" s="1" t="s">
        <v>832</v>
      </c>
      <c r="E32" s="1"/>
      <c r="F32" s="3">
        <v>656</v>
      </c>
      <c r="G32" s="3">
        <v>262</v>
      </c>
      <c r="H32" s="4">
        <v>1236</v>
      </c>
      <c r="I32" s="3">
        <v>624</v>
      </c>
      <c r="J32" s="3">
        <v>612</v>
      </c>
      <c r="K32" s="3">
        <v>119</v>
      </c>
      <c r="L32" s="3">
        <f t="shared" si="0"/>
        <v>9.6278317152103554</v>
      </c>
      <c r="M32" s="3">
        <v>0</v>
      </c>
      <c r="N32" s="3">
        <f t="shared" si="1"/>
        <v>0</v>
      </c>
      <c r="O32" s="3">
        <v>0</v>
      </c>
      <c r="P32" s="15">
        <v>227</v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</row>
    <row r="33" spans="1:31" x14ac:dyDescent="0.25">
      <c r="A33" s="1" t="s">
        <v>0</v>
      </c>
      <c r="B33" s="1" t="s">
        <v>698</v>
      </c>
      <c r="C33" s="2" t="s">
        <v>829</v>
      </c>
      <c r="D33" s="1" t="s">
        <v>834</v>
      </c>
      <c r="E33" s="1"/>
      <c r="F33" s="3">
        <v>95</v>
      </c>
      <c r="G33" s="3">
        <v>29</v>
      </c>
      <c r="H33" s="4">
        <v>177</v>
      </c>
      <c r="I33" s="3">
        <v>98</v>
      </c>
      <c r="J33" s="3">
        <v>79</v>
      </c>
      <c r="K33" s="3">
        <v>0</v>
      </c>
      <c r="L33" s="3">
        <f t="shared" si="0"/>
        <v>0</v>
      </c>
      <c r="M33" s="3">
        <v>0</v>
      </c>
      <c r="N33" s="3">
        <f t="shared" si="1"/>
        <v>0</v>
      </c>
      <c r="O33" s="3">
        <v>0</v>
      </c>
      <c r="P33" s="15">
        <v>0</v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 spans="1:31" x14ac:dyDescent="0.25">
      <c r="A34" s="1" t="s">
        <v>0</v>
      </c>
      <c r="B34" s="1" t="s">
        <v>698</v>
      </c>
      <c r="C34" s="2" t="s">
        <v>829</v>
      </c>
      <c r="D34" s="1" t="s">
        <v>835</v>
      </c>
      <c r="E34" s="1"/>
      <c r="F34" s="3">
        <v>160</v>
      </c>
      <c r="G34" s="3">
        <v>173</v>
      </c>
      <c r="H34" s="4">
        <v>1072</v>
      </c>
      <c r="I34" s="3">
        <v>550</v>
      </c>
      <c r="J34" s="3">
        <v>522</v>
      </c>
      <c r="K34" s="3">
        <v>0</v>
      </c>
      <c r="L34" s="3">
        <f t="shared" si="0"/>
        <v>0</v>
      </c>
      <c r="M34" s="3">
        <v>0</v>
      </c>
      <c r="N34" s="3">
        <f t="shared" si="1"/>
        <v>0</v>
      </c>
      <c r="O34" s="3">
        <v>10</v>
      </c>
      <c r="P34" s="15">
        <v>0</v>
      </c>
      <c r="Q34" s="22" t="s">
        <v>1348</v>
      </c>
      <c r="R34" s="83">
        <v>44070</v>
      </c>
      <c r="S34" s="22"/>
      <c r="T34" s="22"/>
      <c r="U34" s="22" t="s">
        <v>1348</v>
      </c>
      <c r="V34" s="22" t="s">
        <v>1348</v>
      </c>
      <c r="W34" s="22" t="s">
        <v>1348</v>
      </c>
      <c r="X34" s="22"/>
      <c r="Y34" s="22"/>
      <c r="Z34" s="22"/>
      <c r="AA34" s="22"/>
      <c r="AB34" s="22"/>
      <c r="AC34" s="22"/>
      <c r="AD34" s="22"/>
      <c r="AE34" s="22"/>
    </row>
    <row r="35" spans="1:31" x14ac:dyDescent="0.25">
      <c r="A35" s="1" t="s">
        <v>0</v>
      </c>
      <c r="B35" s="1" t="s">
        <v>698</v>
      </c>
      <c r="C35" s="2" t="s">
        <v>806</v>
      </c>
      <c r="D35" s="1" t="s">
        <v>805</v>
      </c>
      <c r="E35" s="1"/>
      <c r="F35" s="3">
        <v>117</v>
      </c>
      <c r="G35" s="3">
        <v>241</v>
      </c>
      <c r="H35" s="4">
        <v>1097</v>
      </c>
      <c r="I35" s="3">
        <v>571</v>
      </c>
      <c r="J35" s="3">
        <v>526</v>
      </c>
      <c r="K35" s="3">
        <v>15</v>
      </c>
      <c r="L35" s="3">
        <f t="shared" si="0"/>
        <v>1.367365542388332</v>
      </c>
      <c r="M35" s="3">
        <v>0</v>
      </c>
      <c r="N35" s="3">
        <f t="shared" si="1"/>
        <v>0</v>
      </c>
      <c r="O35" s="3">
        <v>0</v>
      </c>
      <c r="P35" s="15">
        <v>0</v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</row>
    <row r="36" spans="1:31" x14ac:dyDescent="0.25">
      <c r="A36" s="1" t="s">
        <v>0</v>
      </c>
      <c r="B36" s="1" t="s">
        <v>698</v>
      </c>
      <c r="C36" s="2" t="s">
        <v>806</v>
      </c>
      <c r="D36" s="1" t="s">
        <v>807</v>
      </c>
      <c r="E36" s="1"/>
      <c r="F36" s="3">
        <v>74</v>
      </c>
      <c r="G36" s="3">
        <v>154</v>
      </c>
      <c r="H36" s="4">
        <v>725</v>
      </c>
      <c r="I36" s="3">
        <v>370</v>
      </c>
      <c r="J36" s="3">
        <v>355</v>
      </c>
      <c r="K36" s="3">
        <v>0</v>
      </c>
      <c r="L36" s="3">
        <f t="shared" ref="L36:L67" si="2">(K36/H36)*100</f>
        <v>0</v>
      </c>
      <c r="M36" s="3">
        <v>0</v>
      </c>
      <c r="N36" s="3">
        <f t="shared" ref="N36:N67" si="3">(M36/H36)*100</f>
        <v>0</v>
      </c>
      <c r="O36" s="3">
        <v>0</v>
      </c>
      <c r="P36" s="15">
        <v>0</v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 spans="1:31" x14ac:dyDescent="0.25">
      <c r="A37" s="1" t="s">
        <v>0</v>
      </c>
      <c r="B37" s="1" t="s">
        <v>698</v>
      </c>
      <c r="C37" s="2" t="s">
        <v>806</v>
      </c>
      <c r="D37" s="1" t="s">
        <v>808</v>
      </c>
      <c r="E37" s="1"/>
      <c r="F37" s="3">
        <v>762</v>
      </c>
      <c r="G37" s="3">
        <v>384</v>
      </c>
      <c r="H37" s="4">
        <v>1869</v>
      </c>
      <c r="I37" s="3">
        <v>967</v>
      </c>
      <c r="J37" s="3">
        <v>902</v>
      </c>
      <c r="K37" s="3">
        <v>62</v>
      </c>
      <c r="L37" s="3">
        <f t="shared" si="2"/>
        <v>3.3172819689673623</v>
      </c>
      <c r="M37" s="3">
        <v>0</v>
      </c>
      <c r="N37" s="3">
        <f t="shared" si="3"/>
        <v>0</v>
      </c>
      <c r="O37" s="3">
        <v>0</v>
      </c>
      <c r="P37" s="15">
        <v>95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 spans="1:31" x14ac:dyDescent="0.25">
      <c r="A38" s="1" t="s">
        <v>0</v>
      </c>
      <c r="B38" s="1" t="s">
        <v>698</v>
      </c>
      <c r="C38" s="2" t="s">
        <v>806</v>
      </c>
      <c r="D38" s="1" t="s">
        <v>809</v>
      </c>
      <c r="E38" s="1"/>
      <c r="F38" s="3">
        <v>237</v>
      </c>
      <c r="G38" s="3">
        <v>185</v>
      </c>
      <c r="H38" s="4">
        <v>1069</v>
      </c>
      <c r="I38" s="3">
        <v>568</v>
      </c>
      <c r="J38" s="3">
        <v>501</v>
      </c>
      <c r="K38" s="3">
        <v>0</v>
      </c>
      <c r="L38" s="3">
        <f t="shared" si="2"/>
        <v>0</v>
      </c>
      <c r="M38" s="3">
        <v>0</v>
      </c>
      <c r="N38" s="3">
        <f t="shared" si="3"/>
        <v>0</v>
      </c>
      <c r="O38" s="3">
        <v>0</v>
      </c>
      <c r="P38" s="15">
        <v>0</v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</row>
    <row r="39" spans="1:31" x14ac:dyDescent="0.25">
      <c r="A39" s="1" t="s">
        <v>0</v>
      </c>
      <c r="B39" s="1" t="s">
        <v>698</v>
      </c>
      <c r="C39" s="2" t="s">
        <v>806</v>
      </c>
      <c r="D39" s="1" t="s">
        <v>810</v>
      </c>
      <c r="E39" s="1"/>
      <c r="F39" s="3">
        <v>213</v>
      </c>
      <c r="G39" s="3">
        <v>274</v>
      </c>
      <c r="H39" s="4">
        <v>1282</v>
      </c>
      <c r="I39" s="3">
        <v>691</v>
      </c>
      <c r="J39" s="3">
        <v>591</v>
      </c>
      <c r="K39" s="3">
        <v>0</v>
      </c>
      <c r="L39" s="3">
        <f t="shared" si="2"/>
        <v>0</v>
      </c>
      <c r="M39" s="3">
        <v>0</v>
      </c>
      <c r="N39" s="3">
        <f t="shared" si="3"/>
        <v>0</v>
      </c>
      <c r="O39" s="3">
        <v>0</v>
      </c>
      <c r="P39" s="15">
        <v>0</v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31" x14ac:dyDescent="0.25">
      <c r="A40" s="1" t="s">
        <v>0</v>
      </c>
      <c r="B40" s="1" t="s">
        <v>698</v>
      </c>
      <c r="C40" s="2" t="s">
        <v>806</v>
      </c>
      <c r="D40" s="1" t="s">
        <v>811</v>
      </c>
      <c r="E40" s="1"/>
      <c r="F40" s="3">
        <v>1992</v>
      </c>
      <c r="G40" s="3">
        <v>152</v>
      </c>
      <c r="H40" s="4">
        <v>558</v>
      </c>
      <c r="I40" s="3">
        <v>272</v>
      </c>
      <c r="J40" s="3">
        <v>286</v>
      </c>
      <c r="K40" s="3">
        <v>0</v>
      </c>
      <c r="L40" s="3">
        <f t="shared" si="2"/>
        <v>0</v>
      </c>
      <c r="M40" s="3">
        <v>0</v>
      </c>
      <c r="N40" s="3">
        <f t="shared" si="3"/>
        <v>0</v>
      </c>
      <c r="O40" s="3">
        <v>0</v>
      </c>
      <c r="P40" s="15">
        <v>1296</v>
      </c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31" x14ac:dyDescent="0.25">
      <c r="A41" s="1" t="s">
        <v>0</v>
      </c>
      <c r="B41" s="1" t="s">
        <v>698</v>
      </c>
      <c r="C41" s="2" t="s">
        <v>806</v>
      </c>
      <c r="D41" s="1" t="s">
        <v>838</v>
      </c>
      <c r="E41" s="1"/>
      <c r="F41" s="3">
        <v>37</v>
      </c>
      <c r="G41" s="3">
        <v>23</v>
      </c>
      <c r="H41" s="4">
        <v>124</v>
      </c>
      <c r="I41" s="3">
        <v>70</v>
      </c>
      <c r="J41" s="3">
        <v>54</v>
      </c>
      <c r="K41" s="3">
        <v>0</v>
      </c>
      <c r="L41" s="3">
        <f t="shared" si="2"/>
        <v>0</v>
      </c>
      <c r="M41" s="3">
        <v>0</v>
      </c>
      <c r="N41" s="3">
        <f t="shared" si="3"/>
        <v>0</v>
      </c>
      <c r="O41" s="3">
        <v>0</v>
      </c>
      <c r="P41" s="15">
        <v>0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 spans="1:31" x14ac:dyDescent="0.25">
      <c r="A42" s="1" t="s">
        <v>0</v>
      </c>
      <c r="B42" s="1" t="s">
        <v>698</v>
      </c>
      <c r="C42" s="2" t="s">
        <v>755</v>
      </c>
      <c r="D42" s="1" t="s">
        <v>754</v>
      </c>
      <c r="E42" s="1"/>
      <c r="F42" s="3">
        <v>1318.32</v>
      </c>
      <c r="G42" s="3">
        <v>131</v>
      </c>
      <c r="H42" s="4">
        <v>652</v>
      </c>
      <c r="I42" s="3">
        <v>319</v>
      </c>
      <c r="J42" s="3">
        <v>333</v>
      </c>
      <c r="K42" s="3">
        <v>3</v>
      </c>
      <c r="L42" s="3">
        <f t="shared" si="2"/>
        <v>0.46012269938650308</v>
      </c>
      <c r="M42" s="3">
        <v>0</v>
      </c>
      <c r="N42" s="3">
        <f t="shared" si="3"/>
        <v>0</v>
      </c>
      <c r="O42" s="3">
        <v>0</v>
      </c>
      <c r="P42" s="15">
        <v>36.11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 spans="1:31" x14ac:dyDescent="0.25">
      <c r="A43" s="1" t="s">
        <v>0</v>
      </c>
      <c r="B43" s="1" t="s">
        <v>698</v>
      </c>
      <c r="C43" s="2" t="s">
        <v>755</v>
      </c>
      <c r="D43" s="1" t="s">
        <v>756</v>
      </c>
      <c r="E43" s="1"/>
      <c r="F43" s="3">
        <v>751.97</v>
      </c>
      <c r="G43" s="3">
        <v>373</v>
      </c>
      <c r="H43" s="4">
        <v>1780</v>
      </c>
      <c r="I43" s="3">
        <v>897</v>
      </c>
      <c r="J43" s="3">
        <v>883</v>
      </c>
      <c r="K43" s="3">
        <v>52</v>
      </c>
      <c r="L43" s="3">
        <f t="shared" si="2"/>
        <v>2.9213483146067416</v>
      </c>
      <c r="M43" s="3">
        <v>0</v>
      </c>
      <c r="N43" s="3">
        <f t="shared" si="3"/>
        <v>0</v>
      </c>
      <c r="O43" s="3">
        <v>0</v>
      </c>
      <c r="P43" s="15">
        <v>0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:31" x14ac:dyDescent="0.25">
      <c r="A44" s="1" t="s">
        <v>0</v>
      </c>
      <c r="B44" s="1" t="s">
        <v>698</v>
      </c>
      <c r="C44" s="2" t="s">
        <v>755</v>
      </c>
      <c r="D44" s="1" t="s">
        <v>757</v>
      </c>
      <c r="E44" s="1"/>
      <c r="F44" s="3">
        <v>579.19000000000005</v>
      </c>
      <c r="G44" s="3">
        <v>434</v>
      </c>
      <c r="H44" s="4">
        <v>2118</v>
      </c>
      <c r="I44" s="3">
        <v>1070</v>
      </c>
      <c r="J44" s="3">
        <v>1048</v>
      </c>
      <c r="K44" s="3">
        <v>330</v>
      </c>
      <c r="L44" s="3">
        <f t="shared" si="2"/>
        <v>15.580736543909349</v>
      </c>
      <c r="M44" s="3">
        <v>56</v>
      </c>
      <c r="N44" s="3">
        <f t="shared" si="3"/>
        <v>2.644003777148253</v>
      </c>
      <c r="O44" s="3">
        <v>0</v>
      </c>
      <c r="P44" s="15">
        <v>0</v>
      </c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:31" x14ac:dyDescent="0.25">
      <c r="A45" s="1" t="s">
        <v>0</v>
      </c>
      <c r="B45" s="1" t="s">
        <v>698</v>
      </c>
      <c r="C45" s="2" t="s">
        <v>700</v>
      </c>
      <c r="D45" s="1" t="s">
        <v>699</v>
      </c>
      <c r="E45" s="1"/>
      <c r="F45" s="3">
        <v>4801</v>
      </c>
      <c r="G45" s="3">
        <v>1429</v>
      </c>
      <c r="H45" s="4">
        <v>6432</v>
      </c>
      <c r="I45" s="3">
        <v>3112</v>
      </c>
      <c r="J45" s="3">
        <v>3320</v>
      </c>
      <c r="K45" s="3">
        <v>1633</v>
      </c>
      <c r="L45" s="3">
        <f t="shared" si="2"/>
        <v>25.388681592039802</v>
      </c>
      <c r="M45" s="3">
        <v>1</v>
      </c>
      <c r="N45" s="3">
        <f t="shared" si="3"/>
        <v>1.554726368159204E-2</v>
      </c>
      <c r="O45" s="3">
        <v>49</v>
      </c>
      <c r="P45" s="15">
        <v>0</v>
      </c>
      <c r="Q45" s="22" t="s">
        <v>1348</v>
      </c>
      <c r="R45" s="83">
        <v>43800</v>
      </c>
      <c r="S45" s="22"/>
      <c r="T45" s="22"/>
      <c r="U45" s="22" t="s">
        <v>1348</v>
      </c>
      <c r="V45" s="22" t="s">
        <v>1348</v>
      </c>
      <c r="W45" s="22" t="s">
        <v>1348</v>
      </c>
      <c r="X45" s="22"/>
      <c r="Y45" s="22"/>
      <c r="Z45" s="22"/>
      <c r="AA45" s="22"/>
      <c r="AB45" s="22"/>
      <c r="AC45" s="22"/>
      <c r="AD45" s="22"/>
      <c r="AE45" s="22"/>
    </row>
    <row r="46" spans="1:31" x14ac:dyDescent="0.25">
      <c r="A46" s="1" t="s">
        <v>0</v>
      </c>
      <c r="B46" s="1" t="s">
        <v>698</v>
      </c>
      <c r="C46" s="2" t="s">
        <v>844</v>
      </c>
      <c r="D46" s="1" t="s">
        <v>843</v>
      </c>
      <c r="E46" s="1"/>
      <c r="F46" s="3">
        <v>533</v>
      </c>
      <c r="G46" s="3">
        <v>61</v>
      </c>
      <c r="H46" s="4">
        <v>289</v>
      </c>
      <c r="I46" s="3">
        <v>143</v>
      </c>
      <c r="J46" s="3">
        <v>146</v>
      </c>
      <c r="K46" s="3">
        <v>18</v>
      </c>
      <c r="L46" s="3">
        <f t="shared" si="2"/>
        <v>6.2283737024221448</v>
      </c>
      <c r="M46" s="3">
        <v>0</v>
      </c>
      <c r="N46" s="3">
        <f t="shared" si="3"/>
        <v>0</v>
      </c>
      <c r="O46" s="3">
        <v>14</v>
      </c>
      <c r="P46" s="15">
        <v>0</v>
      </c>
      <c r="Q46" s="22" t="s">
        <v>1348</v>
      </c>
      <c r="R46" s="83">
        <v>44067</v>
      </c>
      <c r="S46" s="22"/>
      <c r="T46" s="22"/>
      <c r="U46" s="22" t="s">
        <v>1348</v>
      </c>
      <c r="V46" s="22" t="s">
        <v>1348</v>
      </c>
      <c r="W46" s="22" t="s">
        <v>1348</v>
      </c>
      <c r="X46" s="22"/>
      <c r="Y46" s="22"/>
      <c r="Z46" s="22"/>
      <c r="AA46" s="22"/>
      <c r="AB46" s="22"/>
      <c r="AC46" s="22"/>
      <c r="AD46" s="22"/>
      <c r="AE46" s="22"/>
    </row>
    <row r="47" spans="1:31" x14ac:dyDescent="0.25">
      <c r="A47" s="1" t="s">
        <v>0</v>
      </c>
      <c r="B47" s="1" t="s">
        <v>698</v>
      </c>
      <c r="C47" s="2" t="s">
        <v>844</v>
      </c>
      <c r="D47" s="1" t="s">
        <v>844</v>
      </c>
      <c r="E47" s="1"/>
      <c r="F47" s="3">
        <v>560</v>
      </c>
      <c r="G47" s="3">
        <v>176</v>
      </c>
      <c r="H47" s="4">
        <v>900</v>
      </c>
      <c r="I47" s="3">
        <v>444</v>
      </c>
      <c r="J47" s="3">
        <v>456</v>
      </c>
      <c r="K47" s="3">
        <v>122</v>
      </c>
      <c r="L47" s="3">
        <f t="shared" si="2"/>
        <v>13.555555555555557</v>
      </c>
      <c r="M47" s="3">
        <v>0</v>
      </c>
      <c r="N47" s="3">
        <f t="shared" si="3"/>
        <v>0</v>
      </c>
      <c r="O47" s="3">
        <v>62</v>
      </c>
      <c r="P47" s="15">
        <v>0</v>
      </c>
      <c r="Q47" s="22" t="s">
        <v>1348</v>
      </c>
      <c r="R47" s="83">
        <v>44056</v>
      </c>
      <c r="S47" s="22"/>
      <c r="T47" s="22"/>
      <c r="U47" s="22" t="s">
        <v>1348</v>
      </c>
      <c r="V47" s="22" t="s">
        <v>1348</v>
      </c>
      <c r="W47" s="22" t="s">
        <v>1348</v>
      </c>
      <c r="X47" s="22"/>
      <c r="Y47" s="22"/>
      <c r="Z47" s="22"/>
      <c r="AA47" s="22"/>
      <c r="AB47" s="22"/>
      <c r="AC47" s="22"/>
      <c r="AD47" s="22"/>
      <c r="AE47" s="22"/>
    </row>
    <row r="48" spans="1:31" x14ac:dyDescent="0.25">
      <c r="A48" s="1" t="s">
        <v>0</v>
      </c>
      <c r="B48" s="1" t="s">
        <v>698</v>
      </c>
      <c r="C48" s="2" t="s">
        <v>844</v>
      </c>
      <c r="D48" s="1" t="s">
        <v>846</v>
      </c>
      <c r="E48" s="1"/>
      <c r="F48" s="3">
        <v>420</v>
      </c>
      <c r="G48" s="3">
        <v>131</v>
      </c>
      <c r="H48" s="4">
        <v>690</v>
      </c>
      <c r="I48" s="3">
        <v>346</v>
      </c>
      <c r="J48" s="3">
        <v>344</v>
      </c>
      <c r="K48" s="3">
        <v>23</v>
      </c>
      <c r="L48" s="3">
        <f t="shared" si="2"/>
        <v>3.3333333333333335</v>
      </c>
      <c r="M48" s="3">
        <v>0</v>
      </c>
      <c r="N48" s="3">
        <f t="shared" si="3"/>
        <v>0</v>
      </c>
      <c r="O48" s="3">
        <v>19</v>
      </c>
      <c r="P48" s="15">
        <v>0</v>
      </c>
      <c r="Q48" s="22" t="s">
        <v>1348</v>
      </c>
      <c r="R48" s="83">
        <v>44065</v>
      </c>
      <c r="S48" s="22"/>
      <c r="T48" s="22"/>
      <c r="U48" s="22" t="s">
        <v>1348</v>
      </c>
      <c r="V48" s="22" t="s">
        <v>1348</v>
      </c>
      <c r="W48" s="22" t="s">
        <v>1348</v>
      </c>
      <c r="X48" s="22"/>
      <c r="Y48" s="22"/>
      <c r="Z48" s="22"/>
      <c r="AA48" s="22"/>
      <c r="AB48" s="22"/>
      <c r="AC48" s="22"/>
      <c r="AD48" s="22"/>
      <c r="AE48" s="22"/>
    </row>
    <row r="49" spans="1:31" x14ac:dyDescent="0.25">
      <c r="A49" s="1" t="s">
        <v>0</v>
      </c>
      <c r="B49" s="1" t="s">
        <v>698</v>
      </c>
      <c r="C49" s="2" t="s">
        <v>844</v>
      </c>
      <c r="D49" s="1" t="s">
        <v>569</v>
      </c>
      <c r="E49" s="1"/>
      <c r="F49" s="3">
        <v>502</v>
      </c>
      <c r="G49" s="3">
        <v>173</v>
      </c>
      <c r="H49" s="4">
        <v>965</v>
      </c>
      <c r="I49" s="3">
        <v>467</v>
      </c>
      <c r="J49" s="3">
        <v>498</v>
      </c>
      <c r="K49" s="3">
        <v>110</v>
      </c>
      <c r="L49" s="3">
        <f t="shared" si="2"/>
        <v>11.398963730569948</v>
      </c>
      <c r="M49" s="3">
        <v>0</v>
      </c>
      <c r="N49" s="3">
        <f t="shared" si="3"/>
        <v>0</v>
      </c>
      <c r="O49" s="3">
        <v>87</v>
      </c>
      <c r="P49" s="15">
        <v>0</v>
      </c>
      <c r="Q49" s="22" t="s">
        <v>1348</v>
      </c>
      <c r="R49" s="83">
        <v>44064</v>
      </c>
      <c r="S49" s="22"/>
      <c r="T49" s="22"/>
      <c r="U49" s="22" t="s">
        <v>1348</v>
      </c>
      <c r="V49" s="22" t="s">
        <v>1348</v>
      </c>
      <c r="W49" s="22" t="s">
        <v>1348</v>
      </c>
      <c r="X49" s="22"/>
      <c r="Y49" s="22"/>
      <c r="Z49" s="22"/>
      <c r="AA49" s="22"/>
      <c r="AB49" s="22"/>
      <c r="AC49" s="22"/>
      <c r="AD49" s="22"/>
      <c r="AE49" s="22"/>
    </row>
    <row r="50" spans="1:31" x14ac:dyDescent="0.25">
      <c r="A50" s="1" t="s">
        <v>0</v>
      </c>
      <c r="B50" s="1" t="s">
        <v>698</v>
      </c>
      <c r="C50" s="2" t="s">
        <v>787</v>
      </c>
      <c r="D50" s="1" t="s">
        <v>786</v>
      </c>
      <c r="E50" s="1"/>
      <c r="F50" s="3">
        <v>1306</v>
      </c>
      <c r="G50" s="3">
        <v>619</v>
      </c>
      <c r="H50" s="4">
        <v>3011</v>
      </c>
      <c r="I50" s="3">
        <v>1532</v>
      </c>
      <c r="J50" s="3">
        <v>1479</v>
      </c>
      <c r="K50" s="3">
        <v>1052</v>
      </c>
      <c r="L50" s="3">
        <f t="shared" si="2"/>
        <v>34.938558618399199</v>
      </c>
      <c r="M50" s="3">
        <v>0</v>
      </c>
      <c r="N50" s="3">
        <f t="shared" si="3"/>
        <v>0</v>
      </c>
      <c r="O50" s="3">
        <v>490</v>
      </c>
      <c r="P50" s="15">
        <v>0</v>
      </c>
      <c r="Q50" s="22" t="s">
        <v>1348</v>
      </c>
      <c r="R50" s="83">
        <v>43875</v>
      </c>
      <c r="S50" s="22"/>
      <c r="T50" s="22"/>
      <c r="U50" s="22" t="s">
        <v>1348</v>
      </c>
      <c r="V50" s="22" t="s">
        <v>1348</v>
      </c>
      <c r="W50" s="22" t="s">
        <v>1348</v>
      </c>
      <c r="X50" s="22"/>
      <c r="Y50" s="22"/>
      <c r="Z50" s="22"/>
      <c r="AA50" s="22"/>
      <c r="AB50" s="22"/>
      <c r="AC50" s="22"/>
      <c r="AD50" s="22"/>
      <c r="AE50" s="22"/>
    </row>
    <row r="51" spans="1:31" x14ac:dyDescent="0.25">
      <c r="A51" s="1" t="s">
        <v>0</v>
      </c>
      <c r="B51" s="1" t="s">
        <v>698</v>
      </c>
      <c r="C51" s="2" t="s">
        <v>787</v>
      </c>
      <c r="D51" s="1" t="s">
        <v>788</v>
      </c>
      <c r="E51" s="1"/>
      <c r="F51" s="3">
        <v>509</v>
      </c>
      <c r="G51" s="3">
        <v>158</v>
      </c>
      <c r="H51" s="4">
        <v>733</v>
      </c>
      <c r="I51" s="3">
        <v>353</v>
      </c>
      <c r="J51" s="3">
        <v>380</v>
      </c>
      <c r="K51" s="3">
        <v>29</v>
      </c>
      <c r="L51" s="3">
        <f t="shared" si="2"/>
        <v>3.9563437926330152</v>
      </c>
      <c r="M51" s="3">
        <v>0</v>
      </c>
      <c r="N51" s="3">
        <f t="shared" si="3"/>
        <v>0</v>
      </c>
      <c r="O51" s="3">
        <v>0</v>
      </c>
      <c r="P51" s="15">
        <v>0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 spans="1:31" x14ac:dyDescent="0.25">
      <c r="A52" s="1" t="s">
        <v>0</v>
      </c>
      <c r="B52" s="1" t="s">
        <v>698</v>
      </c>
      <c r="C52" s="2" t="s">
        <v>787</v>
      </c>
      <c r="D52" s="1" t="s">
        <v>793</v>
      </c>
      <c r="E52" s="1"/>
      <c r="F52" s="3">
        <v>410</v>
      </c>
      <c r="G52" s="3">
        <v>377</v>
      </c>
      <c r="H52" s="4">
        <v>1706</v>
      </c>
      <c r="I52" s="3">
        <v>879</v>
      </c>
      <c r="J52" s="3">
        <v>827</v>
      </c>
      <c r="K52" s="3">
        <v>189</v>
      </c>
      <c r="L52" s="3">
        <f t="shared" si="2"/>
        <v>11.078546307151232</v>
      </c>
      <c r="M52" s="3">
        <v>0</v>
      </c>
      <c r="N52" s="3">
        <f t="shared" si="3"/>
        <v>0</v>
      </c>
      <c r="O52" s="3">
        <v>15</v>
      </c>
      <c r="P52" s="15">
        <v>100</v>
      </c>
      <c r="Q52" s="22" t="s">
        <v>1348</v>
      </c>
      <c r="R52" s="83">
        <v>43819</v>
      </c>
      <c r="S52" s="22"/>
      <c r="T52" s="22"/>
      <c r="U52" s="22" t="s">
        <v>1348</v>
      </c>
      <c r="V52" s="22" t="s">
        <v>1348</v>
      </c>
      <c r="W52" s="22" t="s">
        <v>1348</v>
      </c>
      <c r="X52" s="22"/>
      <c r="Y52" s="22"/>
      <c r="Z52" s="22"/>
      <c r="AA52" s="22"/>
      <c r="AB52" s="22"/>
      <c r="AC52" s="22"/>
      <c r="AD52" s="22"/>
      <c r="AE52" s="22"/>
    </row>
    <row r="53" spans="1:31" x14ac:dyDescent="0.25">
      <c r="A53" s="1" t="s">
        <v>0</v>
      </c>
      <c r="B53" s="1" t="s">
        <v>698</v>
      </c>
      <c r="C53" s="2" t="s">
        <v>780</v>
      </c>
      <c r="D53" s="1" t="s">
        <v>779</v>
      </c>
      <c r="E53" s="1"/>
      <c r="F53" s="3">
        <v>633</v>
      </c>
      <c r="G53" s="3">
        <v>302</v>
      </c>
      <c r="H53" s="4">
        <v>1217</v>
      </c>
      <c r="I53" s="3">
        <v>567</v>
      </c>
      <c r="J53" s="3">
        <v>650</v>
      </c>
      <c r="K53" s="3">
        <v>462</v>
      </c>
      <c r="L53" s="3">
        <f t="shared" si="2"/>
        <v>37.962202136400983</v>
      </c>
      <c r="M53" s="3">
        <v>19</v>
      </c>
      <c r="N53" s="3">
        <f t="shared" si="3"/>
        <v>1.561216105176664</v>
      </c>
      <c r="O53" s="3">
        <v>0</v>
      </c>
      <c r="P53" s="15">
        <v>0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 spans="1:31" x14ac:dyDescent="0.25">
      <c r="A54" s="1" t="s">
        <v>0</v>
      </c>
      <c r="B54" s="1" t="s">
        <v>698</v>
      </c>
      <c r="C54" s="2" t="s">
        <v>780</v>
      </c>
      <c r="D54" s="1" t="s">
        <v>781</v>
      </c>
      <c r="E54" s="1"/>
      <c r="F54" s="3">
        <v>793</v>
      </c>
      <c r="G54" s="3">
        <v>272</v>
      </c>
      <c r="H54" s="4">
        <v>1172</v>
      </c>
      <c r="I54" s="3">
        <v>539</v>
      </c>
      <c r="J54" s="3">
        <v>633</v>
      </c>
      <c r="K54" s="3">
        <v>338</v>
      </c>
      <c r="L54" s="3">
        <f t="shared" si="2"/>
        <v>28.83959044368601</v>
      </c>
      <c r="M54" s="3">
        <v>0</v>
      </c>
      <c r="N54" s="3">
        <f t="shared" si="3"/>
        <v>0</v>
      </c>
      <c r="O54" s="3">
        <v>24</v>
      </c>
      <c r="P54" s="15">
        <v>0</v>
      </c>
      <c r="Q54" s="22" t="s">
        <v>1348</v>
      </c>
      <c r="R54" s="83">
        <v>43813</v>
      </c>
      <c r="S54" s="22"/>
      <c r="T54" s="22"/>
      <c r="U54" s="22" t="s">
        <v>1348</v>
      </c>
      <c r="V54" s="22" t="s">
        <v>1348</v>
      </c>
      <c r="W54" s="22" t="s">
        <v>1348</v>
      </c>
      <c r="X54" s="22"/>
      <c r="Y54" s="22"/>
      <c r="Z54" s="22"/>
      <c r="AA54" s="22"/>
      <c r="AB54" s="22"/>
      <c r="AC54" s="22"/>
      <c r="AD54" s="22"/>
      <c r="AE54" s="22"/>
    </row>
    <row r="55" spans="1:31" x14ac:dyDescent="0.25">
      <c r="A55" s="1" t="s">
        <v>0</v>
      </c>
      <c r="B55" s="1" t="s">
        <v>698</v>
      </c>
      <c r="C55" s="2" t="s">
        <v>780</v>
      </c>
      <c r="D55" s="1" t="s">
        <v>782</v>
      </c>
      <c r="E55" s="1"/>
      <c r="F55" s="3">
        <v>206</v>
      </c>
      <c r="G55" s="3">
        <v>18</v>
      </c>
      <c r="H55" s="4">
        <v>82</v>
      </c>
      <c r="I55" s="3">
        <v>46</v>
      </c>
      <c r="J55" s="3">
        <v>36</v>
      </c>
      <c r="K55" s="3">
        <v>5</v>
      </c>
      <c r="L55" s="3">
        <f t="shared" si="2"/>
        <v>6.0975609756097562</v>
      </c>
      <c r="M55" s="3">
        <v>0</v>
      </c>
      <c r="N55" s="3">
        <f t="shared" si="3"/>
        <v>0</v>
      </c>
      <c r="O55" s="3">
        <v>18</v>
      </c>
      <c r="P55" s="15">
        <v>0</v>
      </c>
      <c r="Q55" s="22" t="s">
        <v>1348</v>
      </c>
      <c r="R55" s="83">
        <v>43813</v>
      </c>
      <c r="S55" s="22"/>
      <c r="T55" s="22"/>
      <c r="U55" s="22" t="s">
        <v>1348</v>
      </c>
      <c r="V55" s="22" t="s">
        <v>1348</v>
      </c>
      <c r="W55" s="22" t="s">
        <v>1348</v>
      </c>
      <c r="X55" s="22"/>
      <c r="Y55" s="22"/>
      <c r="Z55" s="22"/>
      <c r="AA55" s="22"/>
      <c r="AB55" s="22"/>
      <c r="AC55" s="22"/>
      <c r="AD55" s="22"/>
      <c r="AE55" s="22"/>
    </row>
    <row r="56" spans="1:31" x14ac:dyDescent="0.25">
      <c r="A56" s="1" t="s">
        <v>0</v>
      </c>
      <c r="B56" s="1" t="s">
        <v>698</v>
      </c>
      <c r="C56" s="2" t="s">
        <v>767</v>
      </c>
      <c r="D56" s="1" t="s">
        <v>766</v>
      </c>
      <c r="E56" s="1"/>
      <c r="F56" s="3">
        <v>201.12</v>
      </c>
      <c r="G56" s="3">
        <v>166</v>
      </c>
      <c r="H56" s="4">
        <v>757</v>
      </c>
      <c r="I56" s="3">
        <v>390</v>
      </c>
      <c r="J56" s="3">
        <v>367</v>
      </c>
      <c r="K56" s="3">
        <v>58</v>
      </c>
      <c r="L56" s="3">
        <f t="shared" si="2"/>
        <v>7.6618229854689561</v>
      </c>
      <c r="M56" s="3">
        <v>0</v>
      </c>
      <c r="N56" s="3">
        <f t="shared" si="3"/>
        <v>0</v>
      </c>
      <c r="O56" s="3">
        <v>0</v>
      </c>
      <c r="P56" s="15">
        <v>0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 spans="1:31" x14ac:dyDescent="0.25">
      <c r="A57" s="1" t="s">
        <v>0</v>
      </c>
      <c r="B57" s="1" t="s">
        <v>698</v>
      </c>
      <c r="C57" s="2" t="s">
        <v>767</v>
      </c>
      <c r="D57" s="1" t="s">
        <v>769</v>
      </c>
      <c r="E57" s="1"/>
      <c r="F57" s="3">
        <v>1336</v>
      </c>
      <c r="G57" s="3">
        <v>361</v>
      </c>
      <c r="H57" s="4">
        <v>1840</v>
      </c>
      <c r="I57" s="3">
        <v>943</v>
      </c>
      <c r="J57" s="3">
        <v>897</v>
      </c>
      <c r="K57" s="3">
        <v>17</v>
      </c>
      <c r="L57" s="3">
        <f t="shared" si="2"/>
        <v>0.92391304347826086</v>
      </c>
      <c r="M57" s="3">
        <v>1</v>
      </c>
      <c r="N57" s="3">
        <f t="shared" si="3"/>
        <v>5.434782608695652E-2</v>
      </c>
      <c r="O57" s="3">
        <v>1</v>
      </c>
      <c r="P57" s="15">
        <v>125</v>
      </c>
      <c r="Q57" s="22" t="s">
        <v>1348</v>
      </c>
      <c r="R57" s="83">
        <v>43813</v>
      </c>
      <c r="S57" s="22"/>
      <c r="T57" s="22"/>
      <c r="U57" s="22" t="s">
        <v>1348</v>
      </c>
      <c r="V57" s="22" t="s">
        <v>1348</v>
      </c>
      <c r="W57" s="22" t="s">
        <v>1348</v>
      </c>
      <c r="X57" s="22"/>
      <c r="Y57" s="22"/>
      <c r="Z57" s="22"/>
      <c r="AA57" s="22"/>
      <c r="AB57" s="22"/>
      <c r="AC57" s="22"/>
      <c r="AD57" s="22"/>
      <c r="AE57" s="22"/>
    </row>
    <row r="58" spans="1:31" x14ac:dyDescent="0.25">
      <c r="A58" s="1" t="s">
        <v>0</v>
      </c>
      <c r="B58" s="1" t="s">
        <v>698</v>
      </c>
      <c r="C58" s="2" t="s">
        <v>767</v>
      </c>
      <c r="D58" s="1" t="s">
        <v>521</v>
      </c>
      <c r="E58" s="1"/>
      <c r="F58" s="3">
        <v>748</v>
      </c>
      <c r="G58" s="3">
        <v>233</v>
      </c>
      <c r="H58" s="4">
        <v>1084</v>
      </c>
      <c r="I58" s="3">
        <v>581</v>
      </c>
      <c r="J58" s="3">
        <v>503</v>
      </c>
      <c r="K58" s="3">
        <v>45</v>
      </c>
      <c r="L58" s="3">
        <f t="shared" si="2"/>
        <v>4.1512915129151295</v>
      </c>
      <c r="M58" s="3">
        <v>1</v>
      </c>
      <c r="N58" s="3">
        <f t="shared" si="3"/>
        <v>9.2250922509225092E-2</v>
      </c>
      <c r="O58" s="3">
        <v>0</v>
      </c>
      <c r="P58" s="15">
        <v>0</v>
      </c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 spans="1:31" x14ac:dyDescent="0.25">
      <c r="A59" s="1" t="s">
        <v>0</v>
      </c>
      <c r="B59" s="1" t="s">
        <v>698</v>
      </c>
      <c r="C59" s="2" t="s">
        <v>767</v>
      </c>
      <c r="D59" s="1" t="s">
        <v>817</v>
      </c>
      <c r="E59" s="1"/>
      <c r="F59" s="3">
        <v>497</v>
      </c>
      <c r="G59" s="3">
        <v>201</v>
      </c>
      <c r="H59" s="4">
        <v>965</v>
      </c>
      <c r="I59" s="3">
        <v>521</v>
      </c>
      <c r="J59" s="3">
        <v>444</v>
      </c>
      <c r="K59" s="3">
        <v>116</v>
      </c>
      <c r="L59" s="3">
        <f t="shared" si="2"/>
        <v>12.020725388601036</v>
      </c>
      <c r="M59" s="3">
        <v>7</v>
      </c>
      <c r="N59" s="3">
        <f t="shared" si="3"/>
        <v>0.72538860103626945</v>
      </c>
      <c r="O59" s="3">
        <v>0</v>
      </c>
      <c r="P59" s="15">
        <v>0</v>
      </c>
      <c r="Q59" s="22" t="s">
        <v>1348</v>
      </c>
      <c r="R59" s="83">
        <v>43803</v>
      </c>
      <c r="S59" s="22"/>
      <c r="T59" s="22"/>
      <c r="U59" s="22" t="s">
        <v>1348</v>
      </c>
      <c r="V59" s="22" t="s">
        <v>1348</v>
      </c>
      <c r="W59" s="22" t="s">
        <v>1348</v>
      </c>
      <c r="X59" s="22"/>
      <c r="Y59" s="22"/>
      <c r="Z59" s="22"/>
      <c r="AA59" s="22"/>
      <c r="AB59" s="22"/>
      <c r="AC59" s="22"/>
      <c r="AD59" s="22"/>
      <c r="AE59" s="22"/>
    </row>
    <row r="60" spans="1:31" x14ac:dyDescent="0.25">
      <c r="A60" s="1" t="s">
        <v>0</v>
      </c>
      <c r="B60" s="1" t="s">
        <v>698</v>
      </c>
      <c r="C60" s="2" t="s">
        <v>722</v>
      </c>
      <c r="D60" s="1" t="s">
        <v>721</v>
      </c>
      <c r="E60" s="1"/>
      <c r="F60" s="3">
        <v>319</v>
      </c>
      <c r="G60" s="3">
        <v>291</v>
      </c>
      <c r="H60" s="4">
        <v>1301</v>
      </c>
      <c r="I60" s="3">
        <v>597</v>
      </c>
      <c r="J60" s="3">
        <v>704</v>
      </c>
      <c r="K60" s="3">
        <v>412</v>
      </c>
      <c r="L60" s="3">
        <f t="shared" si="2"/>
        <v>31.667947732513451</v>
      </c>
      <c r="M60" s="3">
        <v>1</v>
      </c>
      <c r="N60" s="3">
        <f t="shared" si="3"/>
        <v>7.6863950807071479E-2</v>
      </c>
      <c r="O60" s="3">
        <v>0</v>
      </c>
      <c r="P60" s="15">
        <v>0</v>
      </c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 spans="1:31" x14ac:dyDescent="0.25">
      <c r="A61" s="1" t="s">
        <v>0</v>
      </c>
      <c r="B61" s="1" t="s">
        <v>698</v>
      </c>
      <c r="C61" s="2" t="s">
        <v>722</v>
      </c>
      <c r="D61" s="1" t="s">
        <v>727</v>
      </c>
      <c r="E61" s="1"/>
      <c r="F61" s="3">
        <v>2843</v>
      </c>
      <c r="G61" s="3">
        <v>981</v>
      </c>
      <c r="H61" s="4">
        <v>4081</v>
      </c>
      <c r="I61" s="3">
        <v>1972</v>
      </c>
      <c r="J61" s="3">
        <v>2109</v>
      </c>
      <c r="K61" s="3">
        <v>836</v>
      </c>
      <c r="L61" s="3">
        <f t="shared" si="2"/>
        <v>20.485175202156334</v>
      </c>
      <c r="M61" s="3">
        <v>42</v>
      </c>
      <c r="N61" s="3">
        <f t="shared" si="3"/>
        <v>1.0291595197255576</v>
      </c>
      <c r="O61" s="3">
        <v>422</v>
      </c>
      <c r="P61" s="15">
        <v>0</v>
      </c>
      <c r="Q61" s="22" t="s">
        <v>1348</v>
      </c>
      <c r="R61" s="83">
        <v>43802</v>
      </c>
      <c r="S61" s="22"/>
      <c r="T61" s="22"/>
      <c r="U61" s="22" t="s">
        <v>1348</v>
      </c>
      <c r="V61" s="22" t="s">
        <v>1348</v>
      </c>
      <c r="W61" s="22" t="s">
        <v>1348</v>
      </c>
      <c r="X61" s="22"/>
      <c r="Y61" s="22"/>
      <c r="Z61" s="22"/>
      <c r="AA61" s="22"/>
      <c r="AB61" s="22">
        <v>10</v>
      </c>
      <c r="AC61" s="115" t="s">
        <v>1381</v>
      </c>
      <c r="AD61" s="115">
        <v>26.007293000000001</v>
      </c>
      <c r="AE61" s="115">
        <v>73.973917999999998</v>
      </c>
    </row>
    <row r="62" spans="1:31" x14ac:dyDescent="0.25">
      <c r="A62" s="1" t="s">
        <v>0</v>
      </c>
      <c r="B62" s="1" t="s">
        <v>698</v>
      </c>
      <c r="C62" s="2" t="s">
        <v>735</v>
      </c>
      <c r="D62" s="1" t="s">
        <v>734</v>
      </c>
      <c r="E62" s="1"/>
      <c r="F62" s="3">
        <v>1671.36</v>
      </c>
      <c r="G62" s="3">
        <v>673</v>
      </c>
      <c r="H62" s="4">
        <v>3184</v>
      </c>
      <c r="I62" s="3">
        <v>1637</v>
      </c>
      <c r="J62" s="3">
        <v>1547</v>
      </c>
      <c r="K62" s="3">
        <v>195</v>
      </c>
      <c r="L62" s="3">
        <f t="shared" si="2"/>
        <v>6.1243718592964829</v>
      </c>
      <c r="M62" s="3">
        <v>0</v>
      </c>
      <c r="N62" s="3">
        <f t="shared" si="3"/>
        <v>0</v>
      </c>
      <c r="O62" s="3">
        <v>14.72</v>
      </c>
      <c r="P62" s="15">
        <v>694.56</v>
      </c>
      <c r="Q62" s="22" t="s">
        <v>1348</v>
      </c>
      <c r="R62" s="83">
        <v>43817</v>
      </c>
      <c r="S62" s="67"/>
      <c r="T62" s="22"/>
      <c r="U62" s="22" t="s">
        <v>1348</v>
      </c>
      <c r="V62" s="22" t="s">
        <v>1348</v>
      </c>
      <c r="W62" s="22" t="s">
        <v>1348</v>
      </c>
      <c r="X62" s="22"/>
      <c r="Y62" s="22"/>
      <c r="Z62" s="22"/>
      <c r="AA62" s="22"/>
      <c r="AB62" s="22"/>
      <c r="AC62" s="22"/>
      <c r="AD62" s="22"/>
      <c r="AE62" s="22"/>
    </row>
    <row r="63" spans="1:31" x14ac:dyDescent="0.25">
      <c r="A63" s="1" t="s">
        <v>0</v>
      </c>
      <c r="B63" s="1" t="s">
        <v>698</v>
      </c>
      <c r="C63" s="2" t="s">
        <v>745</v>
      </c>
      <c r="D63" s="1" t="s">
        <v>744</v>
      </c>
      <c r="E63" s="1"/>
      <c r="F63" s="3">
        <v>531.64</v>
      </c>
      <c r="G63" s="3">
        <v>107</v>
      </c>
      <c r="H63" s="4">
        <v>612</v>
      </c>
      <c r="I63" s="3">
        <v>316</v>
      </c>
      <c r="J63" s="3">
        <v>296</v>
      </c>
      <c r="K63" s="3">
        <v>0</v>
      </c>
      <c r="L63" s="3">
        <f t="shared" si="2"/>
        <v>0</v>
      </c>
      <c r="M63" s="3">
        <v>0</v>
      </c>
      <c r="N63" s="3">
        <f t="shared" si="3"/>
        <v>0</v>
      </c>
      <c r="O63" s="3">
        <v>0</v>
      </c>
      <c r="P63" s="15">
        <v>0</v>
      </c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spans="1:31" x14ac:dyDescent="0.25">
      <c r="A64" s="1" t="s">
        <v>0</v>
      </c>
      <c r="B64" s="1" t="s">
        <v>698</v>
      </c>
      <c r="C64" s="2" t="s">
        <v>745</v>
      </c>
      <c r="D64" s="1" t="s">
        <v>746</v>
      </c>
      <c r="E64" s="1"/>
      <c r="F64" s="3">
        <v>150</v>
      </c>
      <c r="G64" s="3">
        <v>50</v>
      </c>
      <c r="H64" s="4">
        <v>204</v>
      </c>
      <c r="I64" s="3">
        <v>104</v>
      </c>
      <c r="J64" s="3">
        <v>100</v>
      </c>
      <c r="K64" s="3">
        <v>57</v>
      </c>
      <c r="L64" s="3">
        <f t="shared" si="2"/>
        <v>27.941176470588236</v>
      </c>
      <c r="M64" s="3">
        <v>0</v>
      </c>
      <c r="N64" s="3">
        <f t="shared" si="3"/>
        <v>0</v>
      </c>
      <c r="O64" s="3">
        <v>0</v>
      </c>
      <c r="P64" s="15">
        <v>0</v>
      </c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 spans="1:31" x14ac:dyDescent="0.25">
      <c r="A65" s="1" t="s">
        <v>0</v>
      </c>
      <c r="B65" s="1" t="s">
        <v>698</v>
      </c>
      <c r="C65" s="2" t="s">
        <v>745</v>
      </c>
      <c r="D65" s="1" t="s">
        <v>747</v>
      </c>
      <c r="E65" s="1"/>
      <c r="F65" s="3">
        <v>807</v>
      </c>
      <c r="G65" s="3">
        <v>636</v>
      </c>
      <c r="H65" s="4">
        <v>3241</v>
      </c>
      <c r="I65" s="3">
        <v>1602</v>
      </c>
      <c r="J65" s="3">
        <v>1639</v>
      </c>
      <c r="K65" s="3">
        <v>16</v>
      </c>
      <c r="L65" s="3">
        <f t="shared" si="2"/>
        <v>0.49367479173094725</v>
      </c>
      <c r="M65" s="3">
        <v>16</v>
      </c>
      <c r="N65" s="3">
        <f t="shared" si="3"/>
        <v>0.49367479173094725</v>
      </c>
      <c r="O65" s="3">
        <v>0</v>
      </c>
      <c r="P65" s="15">
        <v>0</v>
      </c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>
        <v>5</v>
      </c>
      <c r="AC65" s="22" t="s">
        <v>1363</v>
      </c>
      <c r="AD65">
        <v>25.924098000000001</v>
      </c>
      <c r="AE65">
        <v>74.152867999999998</v>
      </c>
    </row>
    <row r="66" spans="1:31" x14ac:dyDescent="0.25">
      <c r="A66" s="1" t="s">
        <v>0</v>
      </c>
      <c r="B66" s="1" t="s">
        <v>698</v>
      </c>
      <c r="C66" s="2" t="s">
        <v>745</v>
      </c>
      <c r="D66" s="1" t="s">
        <v>748</v>
      </c>
      <c r="E66" s="1"/>
      <c r="F66" s="3">
        <v>1080.6400000000001</v>
      </c>
      <c r="G66" s="3">
        <v>161</v>
      </c>
      <c r="H66" s="4">
        <v>669</v>
      </c>
      <c r="I66" s="3">
        <v>332</v>
      </c>
      <c r="J66" s="3">
        <v>337</v>
      </c>
      <c r="K66" s="3">
        <v>103</v>
      </c>
      <c r="L66" s="3">
        <f t="shared" si="2"/>
        <v>15.396113602391628</v>
      </c>
      <c r="M66" s="3">
        <v>0</v>
      </c>
      <c r="N66" s="3">
        <f t="shared" si="3"/>
        <v>0</v>
      </c>
      <c r="O66" s="3">
        <v>592.32000000000005</v>
      </c>
      <c r="P66" s="15">
        <v>0</v>
      </c>
      <c r="Q66" s="22" t="s">
        <v>1348</v>
      </c>
      <c r="R66" s="83">
        <v>43818</v>
      </c>
      <c r="S66" s="22"/>
      <c r="T66" s="22"/>
      <c r="U66" s="22" t="s">
        <v>1348</v>
      </c>
      <c r="V66" s="22" t="s">
        <v>1348</v>
      </c>
      <c r="W66" s="22" t="s">
        <v>1348</v>
      </c>
      <c r="X66" s="22"/>
      <c r="Y66" s="22"/>
      <c r="Z66" s="22"/>
      <c r="AA66" s="22"/>
      <c r="AB66" s="22"/>
      <c r="AC66" s="22"/>
      <c r="AD66" s="22"/>
      <c r="AE66" s="22"/>
    </row>
    <row r="67" spans="1:31" x14ac:dyDescent="0.25">
      <c r="A67" s="1" t="s">
        <v>0</v>
      </c>
      <c r="B67" s="1" t="s">
        <v>698</v>
      </c>
      <c r="C67" s="2" t="s">
        <v>764</v>
      </c>
      <c r="D67" s="1" t="s">
        <v>763</v>
      </c>
      <c r="E67" s="1"/>
      <c r="F67" s="3">
        <v>238</v>
      </c>
      <c r="G67" s="3">
        <v>54</v>
      </c>
      <c r="H67" s="4">
        <v>233</v>
      </c>
      <c r="I67" s="3">
        <v>124</v>
      </c>
      <c r="J67" s="3">
        <v>109</v>
      </c>
      <c r="K67" s="3">
        <v>35</v>
      </c>
      <c r="L67" s="3">
        <f t="shared" si="2"/>
        <v>15.021459227467812</v>
      </c>
      <c r="M67" s="3">
        <v>0</v>
      </c>
      <c r="N67" s="3">
        <f t="shared" si="3"/>
        <v>0</v>
      </c>
      <c r="O67" s="3">
        <v>0</v>
      </c>
      <c r="P67" s="15">
        <v>0</v>
      </c>
      <c r="Q67" s="22" t="s">
        <v>1348</v>
      </c>
      <c r="R67" s="83">
        <v>43804</v>
      </c>
      <c r="S67" s="22"/>
      <c r="T67" s="22"/>
      <c r="U67" s="22" t="s">
        <v>1348</v>
      </c>
      <c r="V67" s="22" t="s">
        <v>1348</v>
      </c>
      <c r="W67" s="22" t="s">
        <v>1348</v>
      </c>
      <c r="X67" s="22"/>
      <c r="Y67" s="22"/>
      <c r="Z67" s="22"/>
      <c r="AA67" s="22"/>
      <c r="AB67" s="22"/>
      <c r="AC67" s="22"/>
      <c r="AD67" s="22"/>
      <c r="AE67" s="22"/>
    </row>
    <row r="68" spans="1:31" x14ac:dyDescent="0.25">
      <c r="A68" s="1" t="s">
        <v>0</v>
      </c>
      <c r="B68" s="1" t="s">
        <v>698</v>
      </c>
      <c r="C68" s="2" t="s">
        <v>764</v>
      </c>
      <c r="D68" s="1" t="s">
        <v>765</v>
      </c>
      <c r="E68" s="1"/>
      <c r="F68" s="3">
        <v>3244</v>
      </c>
      <c r="G68" s="3">
        <v>912</v>
      </c>
      <c r="H68" s="4">
        <v>4116</v>
      </c>
      <c r="I68" s="3">
        <v>2064</v>
      </c>
      <c r="J68" s="3">
        <v>2052</v>
      </c>
      <c r="K68" s="3">
        <v>169</v>
      </c>
      <c r="L68" s="3">
        <f t="shared" ref="L68:L99" si="4">(K68/H68)*100</f>
        <v>4.1059280855199223</v>
      </c>
      <c r="M68" s="3">
        <v>4</v>
      </c>
      <c r="N68" s="3">
        <f t="shared" ref="N68:N99" si="5">(M68/H68)*100</f>
        <v>9.718172983479105E-2</v>
      </c>
      <c r="O68" s="3">
        <v>0</v>
      </c>
      <c r="P68" s="15">
        <v>2466</v>
      </c>
      <c r="Q68" s="22" t="s">
        <v>1348</v>
      </c>
      <c r="R68" s="83">
        <v>43803</v>
      </c>
      <c r="S68" s="22"/>
      <c r="T68" s="22"/>
      <c r="U68" s="22" t="s">
        <v>1348</v>
      </c>
      <c r="V68" s="22" t="s">
        <v>1348</v>
      </c>
      <c r="W68" s="22" t="s">
        <v>1348</v>
      </c>
      <c r="X68" s="22"/>
      <c r="Y68" s="22"/>
      <c r="Z68" s="22"/>
      <c r="AA68" s="22"/>
      <c r="AB68" s="22"/>
      <c r="AC68" s="22"/>
      <c r="AD68" s="22"/>
      <c r="AE68" s="22"/>
    </row>
    <row r="69" spans="1:31" x14ac:dyDescent="0.25">
      <c r="A69" s="1" t="s">
        <v>0</v>
      </c>
      <c r="B69" s="1" t="s">
        <v>698</v>
      </c>
      <c r="C69" s="2" t="s">
        <v>739</v>
      </c>
      <c r="D69" s="1" t="s">
        <v>738</v>
      </c>
      <c r="E69" s="1"/>
      <c r="F69" s="3">
        <v>759</v>
      </c>
      <c r="G69" s="3">
        <v>343</v>
      </c>
      <c r="H69" s="4">
        <v>1624</v>
      </c>
      <c r="I69" s="3">
        <v>788</v>
      </c>
      <c r="J69" s="3">
        <v>836</v>
      </c>
      <c r="K69" s="3">
        <v>116</v>
      </c>
      <c r="L69" s="3">
        <f t="shared" si="4"/>
        <v>7.1428571428571423</v>
      </c>
      <c r="M69" s="3">
        <v>0</v>
      </c>
      <c r="N69" s="3">
        <f t="shared" si="5"/>
        <v>0</v>
      </c>
      <c r="O69" s="3">
        <v>0</v>
      </c>
      <c r="P69" s="15">
        <v>0</v>
      </c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</row>
    <row r="70" spans="1:31" x14ac:dyDescent="0.25">
      <c r="A70" s="1" t="s">
        <v>0</v>
      </c>
      <c r="B70" s="1" t="s">
        <v>698</v>
      </c>
      <c r="C70" s="2" t="s">
        <v>739</v>
      </c>
      <c r="D70" s="1" t="s">
        <v>740</v>
      </c>
      <c r="E70" s="1"/>
      <c r="F70" s="3">
        <v>1533</v>
      </c>
      <c r="G70" s="3">
        <v>648</v>
      </c>
      <c r="H70" s="4">
        <v>3143</v>
      </c>
      <c r="I70" s="3">
        <v>1575</v>
      </c>
      <c r="J70" s="3">
        <v>1568</v>
      </c>
      <c r="K70" s="3">
        <v>171</v>
      </c>
      <c r="L70" s="3">
        <f t="shared" si="4"/>
        <v>5.4406617881005408</v>
      </c>
      <c r="M70" s="3">
        <v>3</v>
      </c>
      <c r="N70" s="3">
        <f t="shared" si="5"/>
        <v>9.5450206808781426E-2</v>
      </c>
      <c r="O70" s="3">
        <v>0</v>
      </c>
      <c r="P70" s="15">
        <v>357</v>
      </c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>
        <v>5</v>
      </c>
      <c r="AC70" s="22" t="s">
        <v>1361</v>
      </c>
      <c r="AD70" s="115">
        <v>25.850327</v>
      </c>
      <c r="AE70" s="115">
        <v>74.086160000000007</v>
      </c>
    </row>
    <row r="71" spans="1:31" x14ac:dyDescent="0.25">
      <c r="A71" s="1" t="s">
        <v>0</v>
      </c>
      <c r="B71" s="1" t="s">
        <v>698</v>
      </c>
      <c r="C71" s="2" t="s">
        <v>716</v>
      </c>
      <c r="D71" s="1" t="s">
        <v>438</v>
      </c>
      <c r="E71" s="1"/>
      <c r="F71" s="3">
        <v>2420</v>
      </c>
      <c r="G71" s="3">
        <v>1972</v>
      </c>
      <c r="H71" s="4">
        <v>8191</v>
      </c>
      <c r="I71" s="3">
        <v>3824</v>
      </c>
      <c r="J71" s="3">
        <v>4367</v>
      </c>
      <c r="K71" s="3">
        <v>1812</v>
      </c>
      <c r="L71" s="3">
        <f t="shared" si="4"/>
        <v>22.121841045049447</v>
      </c>
      <c r="M71" s="3">
        <v>39</v>
      </c>
      <c r="N71" s="3">
        <f t="shared" si="5"/>
        <v>0.47613234037358076</v>
      </c>
      <c r="O71" s="3">
        <v>39</v>
      </c>
      <c r="P71" s="15">
        <v>0</v>
      </c>
      <c r="Q71" s="22"/>
      <c r="R71" s="83">
        <v>43823</v>
      </c>
      <c r="S71" s="22"/>
      <c r="T71" s="22"/>
      <c r="U71" s="22" t="s">
        <v>1348</v>
      </c>
      <c r="V71" s="22" t="s">
        <v>1348</v>
      </c>
      <c r="W71" s="22" t="s">
        <v>1348</v>
      </c>
      <c r="X71" s="22"/>
      <c r="Y71" s="22"/>
      <c r="Z71" s="22"/>
      <c r="AA71" s="22"/>
      <c r="AB71" s="22"/>
      <c r="AC71" s="22"/>
      <c r="AD71" s="22"/>
      <c r="AE71" s="22"/>
    </row>
    <row r="72" spans="1:31" x14ac:dyDescent="0.25">
      <c r="A72" s="1" t="s">
        <v>0</v>
      </c>
      <c r="B72" s="1" t="s">
        <v>698</v>
      </c>
      <c r="C72" s="2" t="s">
        <v>718</v>
      </c>
      <c r="D72" s="1" t="s">
        <v>717</v>
      </c>
      <c r="E72" s="1"/>
      <c r="F72" s="3">
        <v>858.22</v>
      </c>
      <c r="G72" s="3">
        <v>309</v>
      </c>
      <c r="H72" s="4">
        <v>1387</v>
      </c>
      <c r="I72" s="3">
        <v>653</v>
      </c>
      <c r="J72" s="3">
        <v>734</v>
      </c>
      <c r="K72" s="3">
        <v>352</v>
      </c>
      <c r="L72" s="3">
        <f t="shared" si="4"/>
        <v>25.378514780100936</v>
      </c>
      <c r="M72" s="3">
        <v>7</v>
      </c>
      <c r="N72" s="3">
        <f t="shared" si="5"/>
        <v>0.50468637346791634</v>
      </c>
      <c r="O72" s="3">
        <v>151.13</v>
      </c>
      <c r="P72" s="15">
        <v>0</v>
      </c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 spans="1:31" x14ac:dyDescent="0.25">
      <c r="A73" s="1" t="s">
        <v>0</v>
      </c>
      <c r="B73" s="1" t="s">
        <v>698</v>
      </c>
      <c r="C73" s="2" t="s">
        <v>718</v>
      </c>
      <c r="D73" s="1" t="s">
        <v>719</v>
      </c>
      <c r="E73" s="1"/>
      <c r="F73" s="3">
        <v>421.63</v>
      </c>
      <c r="G73" s="3">
        <v>229</v>
      </c>
      <c r="H73" s="4">
        <v>896</v>
      </c>
      <c r="I73" s="3">
        <v>407</v>
      </c>
      <c r="J73" s="3">
        <v>489</v>
      </c>
      <c r="K73" s="3">
        <v>266</v>
      </c>
      <c r="L73" s="3">
        <f t="shared" si="4"/>
        <v>29.6875</v>
      </c>
      <c r="M73" s="3">
        <v>0</v>
      </c>
      <c r="N73" s="3">
        <f t="shared" si="5"/>
        <v>0</v>
      </c>
      <c r="O73" s="3">
        <v>21.33</v>
      </c>
      <c r="P73" s="15">
        <v>0</v>
      </c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 spans="1:31" x14ac:dyDescent="0.25">
      <c r="A74" s="1" t="s">
        <v>0</v>
      </c>
      <c r="B74" s="1" t="s">
        <v>698</v>
      </c>
      <c r="C74" s="2" t="s">
        <v>718</v>
      </c>
      <c r="D74" s="1" t="s">
        <v>720</v>
      </c>
      <c r="E74" s="1"/>
      <c r="F74" s="3">
        <v>1566.06</v>
      </c>
      <c r="G74" s="3">
        <v>586</v>
      </c>
      <c r="H74" s="4">
        <v>2605</v>
      </c>
      <c r="I74" s="3">
        <v>1273</v>
      </c>
      <c r="J74" s="3">
        <v>1332</v>
      </c>
      <c r="K74" s="3">
        <v>807</v>
      </c>
      <c r="L74" s="3">
        <f t="shared" si="4"/>
        <v>30.978886756238005</v>
      </c>
      <c r="M74" s="3">
        <v>0</v>
      </c>
      <c r="N74" s="3">
        <f t="shared" si="5"/>
        <v>0</v>
      </c>
      <c r="O74" s="3">
        <v>204.98</v>
      </c>
      <c r="P74" s="15">
        <v>0</v>
      </c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>
        <v>5</v>
      </c>
      <c r="AC74" s="115" t="s">
        <v>1381</v>
      </c>
      <c r="AD74" s="115">
        <v>26.078987999999999</v>
      </c>
      <c r="AE74" s="115">
        <v>74.005790000000005</v>
      </c>
    </row>
    <row r="75" spans="1:31" x14ac:dyDescent="0.25">
      <c r="A75" s="1" t="s">
        <v>0</v>
      </c>
      <c r="B75" s="1" t="s">
        <v>698</v>
      </c>
      <c r="C75" s="2" t="s">
        <v>718</v>
      </c>
      <c r="D75" s="1" t="s">
        <v>103</v>
      </c>
      <c r="E75" s="1"/>
      <c r="F75" s="3">
        <v>291</v>
      </c>
      <c r="G75" s="3">
        <v>126</v>
      </c>
      <c r="H75" s="4">
        <v>509</v>
      </c>
      <c r="I75" s="3">
        <v>255</v>
      </c>
      <c r="J75" s="3">
        <v>254</v>
      </c>
      <c r="K75" s="3">
        <v>177</v>
      </c>
      <c r="L75" s="3">
        <f t="shared" si="4"/>
        <v>34.77406679764244</v>
      </c>
      <c r="M75" s="3">
        <v>9</v>
      </c>
      <c r="N75" s="3">
        <f t="shared" si="5"/>
        <v>1.768172888015717</v>
      </c>
      <c r="O75" s="3">
        <v>0</v>
      </c>
      <c r="P75" s="15">
        <v>0</v>
      </c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 spans="1:31" x14ac:dyDescent="0.25">
      <c r="A76" s="1" t="s">
        <v>0</v>
      </c>
      <c r="B76" s="1" t="s">
        <v>698</v>
      </c>
      <c r="C76" s="2" t="s">
        <v>718</v>
      </c>
      <c r="D76" s="1" t="s">
        <v>725</v>
      </c>
      <c r="E76" s="1"/>
      <c r="F76" s="3">
        <v>1273.97</v>
      </c>
      <c r="G76" s="3">
        <v>155</v>
      </c>
      <c r="H76" s="4">
        <v>670</v>
      </c>
      <c r="I76" s="3">
        <v>312</v>
      </c>
      <c r="J76" s="3">
        <v>358</v>
      </c>
      <c r="K76" s="3">
        <v>274</v>
      </c>
      <c r="L76" s="3">
        <f t="shared" si="4"/>
        <v>40.895522388059703</v>
      </c>
      <c r="M76" s="3">
        <v>0</v>
      </c>
      <c r="N76" s="3">
        <f t="shared" si="5"/>
        <v>0</v>
      </c>
      <c r="O76" s="3">
        <v>0</v>
      </c>
      <c r="P76" s="15">
        <v>208.39</v>
      </c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</row>
    <row r="77" spans="1:31" x14ac:dyDescent="0.25">
      <c r="A77" s="1" t="s">
        <v>0</v>
      </c>
      <c r="B77" s="1" t="s">
        <v>698</v>
      </c>
      <c r="C77" s="2" t="s">
        <v>759</v>
      </c>
      <c r="D77" s="1" t="s">
        <v>758</v>
      </c>
      <c r="E77" s="1"/>
      <c r="F77" s="3">
        <v>312</v>
      </c>
      <c r="G77" s="3">
        <v>114</v>
      </c>
      <c r="H77" s="4">
        <v>566</v>
      </c>
      <c r="I77" s="3">
        <v>273</v>
      </c>
      <c r="J77" s="3">
        <v>293</v>
      </c>
      <c r="K77" s="3">
        <v>0</v>
      </c>
      <c r="L77" s="3">
        <f t="shared" si="4"/>
        <v>0</v>
      </c>
      <c r="M77" s="3">
        <v>0</v>
      </c>
      <c r="N77" s="3">
        <f t="shared" si="5"/>
        <v>0</v>
      </c>
      <c r="O77" s="3">
        <v>0</v>
      </c>
      <c r="P77" s="15">
        <v>29</v>
      </c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</row>
    <row r="78" spans="1:31" x14ac:dyDescent="0.25">
      <c r="A78" s="1" t="s">
        <v>0</v>
      </c>
      <c r="B78" s="1" t="s">
        <v>698</v>
      </c>
      <c r="C78" s="2" t="s">
        <v>759</v>
      </c>
      <c r="D78" s="1" t="s">
        <v>760</v>
      </c>
      <c r="E78" s="1"/>
      <c r="F78" s="3">
        <v>286</v>
      </c>
      <c r="G78" s="3">
        <v>84</v>
      </c>
      <c r="H78" s="4">
        <v>393</v>
      </c>
      <c r="I78" s="3">
        <v>213</v>
      </c>
      <c r="J78" s="3">
        <v>180</v>
      </c>
      <c r="K78" s="3">
        <v>16</v>
      </c>
      <c r="L78" s="3">
        <f t="shared" si="4"/>
        <v>4.0712468193384224</v>
      </c>
      <c r="M78" s="3">
        <v>0</v>
      </c>
      <c r="N78" s="3">
        <f t="shared" si="5"/>
        <v>0</v>
      </c>
      <c r="O78" s="3">
        <v>0</v>
      </c>
      <c r="P78" s="15">
        <v>40</v>
      </c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 spans="1:31" x14ac:dyDescent="0.25">
      <c r="A79" s="1" t="s">
        <v>0</v>
      </c>
      <c r="B79" s="1" t="s">
        <v>698</v>
      </c>
      <c r="C79" s="2" t="s">
        <v>759</v>
      </c>
      <c r="D79" s="1" t="s">
        <v>768</v>
      </c>
      <c r="E79" s="1"/>
      <c r="F79" s="3">
        <v>176.55</v>
      </c>
      <c r="G79" s="3">
        <v>158</v>
      </c>
      <c r="H79" s="4">
        <v>792</v>
      </c>
      <c r="I79" s="3">
        <v>419</v>
      </c>
      <c r="J79" s="3">
        <v>373</v>
      </c>
      <c r="K79" s="3">
        <v>32</v>
      </c>
      <c r="L79" s="3">
        <f t="shared" si="4"/>
        <v>4.0404040404040407</v>
      </c>
      <c r="M79" s="3">
        <v>1</v>
      </c>
      <c r="N79" s="3">
        <f t="shared" si="5"/>
        <v>0.12626262626262627</v>
      </c>
      <c r="O79" s="3">
        <v>19</v>
      </c>
      <c r="P79" s="15">
        <v>0</v>
      </c>
      <c r="Q79" s="22" t="s">
        <v>1348</v>
      </c>
      <c r="R79" s="83">
        <v>44125</v>
      </c>
      <c r="S79" s="22"/>
      <c r="T79" s="22"/>
      <c r="U79" s="22" t="s">
        <v>1348</v>
      </c>
      <c r="V79" s="22" t="s">
        <v>1348</v>
      </c>
      <c r="W79" s="22" t="s">
        <v>1348</v>
      </c>
      <c r="X79" s="22"/>
      <c r="Y79" s="22"/>
      <c r="Z79" s="22"/>
      <c r="AA79" s="22"/>
      <c r="AB79" s="22"/>
      <c r="AC79" s="22"/>
      <c r="AD79" s="22"/>
      <c r="AE79" s="22"/>
    </row>
    <row r="80" spans="1:31" x14ac:dyDescent="0.25">
      <c r="A80" s="1" t="s">
        <v>0</v>
      </c>
      <c r="B80" s="1" t="s">
        <v>698</v>
      </c>
      <c r="C80" s="2" t="s">
        <v>759</v>
      </c>
      <c r="D80" s="1" t="s">
        <v>759</v>
      </c>
      <c r="E80" s="1"/>
      <c r="F80" s="3">
        <v>275.39999999999998</v>
      </c>
      <c r="G80" s="3">
        <v>254</v>
      </c>
      <c r="H80" s="4">
        <v>1231</v>
      </c>
      <c r="I80" s="3">
        <v>656</v>
      </c>
      <c r="J80" s="3">
        <v>575</v>
      </c>
      <c r="K80" s="3">
        <v>527</v>
      </c>
      <c r="L80" s="3">
        <f t="shared" si="4"/>
        <v>42.810722989439483</v>
      </c>
      <c r="M80" s="3">
        <v>0</v>
      </c>
      <c r="N80" s="3">
        <f t="shared" si="5"/>
        <v>0</v>
      </c>
      <c r="O80" s="3">
        <v>73.14</v>
      </c>
      <c r="P80" s="15">
        <v>0</v>
      </c>
      <c r="Q80" s="22" t="s">
        <v>1348</v>
      </c>
      <c r="R80" s="83">
        <v>43816</v>
      </c>
      <c r="S80" s="22"/>
      <c r="T80" s="22"/>
      <c r="U80" s="22" t="s">
        <v>1348</v>
      </c>
      <c r="V80" s="22" t="s">
        <v>1348</v>
      </c>
      <c r="W80" s="22" t="s">
        <v>1348</v>
      </c>
      <c r="X80" s="22"/>
      <c r="Y80" s="22"/>
      <c r="Z80" s="22"/>
      <c r="AA80" s="22"/>
      <c r="AB80" s="22"/>
      <c r="AC80" s="22"/>
      <c r="AD80" s="22"/>
      <c r="AE80" s="22"/>
    </row>
    <row r="81" spans="1:31" x14ac:dyDescent="0.25">
      <c r="A81" s="1" t="s">
        <v>0</v>
      </c>
      <c r="B81" s="1" t="s">
        <v>698</v>
      </c>
      <c r="C81" s="2" t="s">
        <v>759</v>
      </c>
      <c r="D81" s="1" t="s">
        <v>770</v>
      </c>
      <c r="E81" s="1"/>
      <c r="F81" s="3">
        <v>934</v>
      </c>
      <c r="G81" s="3">
        <v>356</v>
      </c>
      <c r="H81" s="4">
        <v>1783</v>
      </c>
      <c r="I81" s="3">
        <v>941</v>
      </c>
      <c r="J81" s="3">
        <v>842</v>
      </c>
      <c r="K81" s="3">
        <v>0</v>
      </c>
      <c r="L81" s="3">
        <f t="shared" si="4"/>
        <v>0</v>
      </c>
      <c r="M81" s="3">
        <v>0</v>
      </c>
      <c r="N81" s="3">
        <f t="shared" si="5"/>
        <v>0</v>
      </c>
      <c r="O81" s="3">
        <v>52</v>
      </c>
      <c r="P81" s="15">
        <v>0</v>
      </c>
      <c r="Q81" s="22" t="s">
        <v>1348</v>
      </c>
      <c r="R81" s="83">
        <v>43822</v>
      </c>
      <c r="S81" s="22"/>
      <c r="T81" s="22"/>
      <c r="U81" s="22" t="s">
        <v>1348</v>
      </c>
      <c r="V81" s="22" t="s">
        <v>1348</v>
      </c>
      <c r="W81" s="22" t="s">
        <v>1348</v>
      </c>
      <c r="X81" s="22"/>
      <c r="Y81" s="22"/>
      <c r="Z81" s="22"/>
      <c r="AA81" s="22"/>
      <c r="AB81" s="22"/>
      <c r="AC81" s="22"/>
      <c r="AD81" s="22"/>
      <c r="AE81" s="22"/>
    </row>
    <row r="82" spans="1:31" x14ac:dyDescent="0.25">
      <c r="A82" s="1" t="s">
        <v>0</v>
      </c>
      <c r="B82" s="1" t="s">
        <v>698</v>
      </c>
      <c r="C82" s="2" t="s">
        <v>784</v>
      </c>
      <c r="D82" s="1" t="s">
        <v>783</v>
      </c>
      <c r="E82" s="1"/>
      <c r="F82" s="3">
        <v>575</v>
      </c>
      <c r="G82" s="3">
        <v>227</v>
      </c>
      <c r="H82" s="4">
        <v>1080</v>
      </c>
      <c r="I82" s="3">
        <v>529</v>
      </c>
      <c r="J82" s="3">
        <v>551</v>
      </c>
      <c r="K82" s="3">
        <v>207</v>
      </c>
      <c r="L82" s="3">
        <f t="shared" si="4"/>
        <v>19.166666666666668</v>
      </c>
      <c r="M82" s="3">
        <v>0</v>
      </c>
      <c r="N82" s="3">
        <f t="shared" si="5"/>
        <v>0</v>
      </c>
      <c r="O82" s="3">
        <v>11</v>
      </c>
      <c r="P82" s="15">
        <v>0</v>
      </c>
      <c r="Q82" s="22" t="s">
        <v>1348</v>
      </c>
      <c r="R82" s="83">
        <v>43879</v>
      </c>
      <c r="S82" s="22"/>
      <c r="T82" s="22"/>
      <c r="U82" s="22" t="s">
        <v>1348</v>
      </c>
      <c r="V82" s="22" t="s">
        <v>1348</v>
      </c>
      <c r="W82" s="22" t="s">
        <v>1348</v>
      </c>
      <c r="X82" s="22"/>
      <c r="Y82" s="22"/>
      <c r="Z82" s="22"/>
      <c r="AA82" s="22"/>
      <c r="AB82" s="22"/>
      <c r="AC82" s="22"/>
      <c r="AD82" s="22"/>
      <c r="AE82" s="22"/>
    </row>
    <row r="83" spans="1:31" x14ac:dyDescent="0.25">
      <c r="A83" s="1" t="s">
        <v>0</v>
      </c>
      <c r="B83" s="1" t="s">
        <v>698</v>
      </c>
      <c r="C83" s="2" t="s">
        <v>784</v>
      </c>
      <c r="D83" s="1" t="s">
        <v>785</v>
      </c>
      <c r="E83" s="1"/>
      <c r="F83" s="3">
        <v>748</v>
      </c>
      <c r="G83" s="3">
        <v>188</v>
      </c>
      <c r="H83" s="4">
        <v>981</v>
      </c>
      <c r="I83" s="3">
        <v>490</v>
      </c>
      <c r="J83" s="3">
        <v>491</v>
      </c>
      <c r="K83" s="3">
        <v>73</v>
      </c>
      <c r="L83" s="3">
        <f t="shared" si="4"/>
        <v>7.4413863404689096</v>
      </c>
      <c r="M83" s="3">
        <v>2</v>
      </c>
      <c r="N83" s="3">
        <f t="shared" si="5"/>
        <v>0.20387359836901123</v>
      </c>
      <c r="O83" s="3">
        <v>239</v>
      </c>
      <c r="P83" s="15">
        <v>0</v>
      </c>
      <c r="Q83" s="22" t="s">
        <v>1348</v>
      </c>
      <c r="R83" s="83">
        <v>43880</v>
      </c>
      <c r="S83" s="22"/>
      <c r="T83" s="22"/>
      <c r="U83" s="22" t="s">
        <v>1348</v>
      </c>
      <c r="V83" s="22" t="s">
        <v>1348</v>
      </c>
      <c r="W83" s="22" t="s">
        <v>1348</v>
      </c>
      <c r="X83" s="22"/>
      <c r="Y83" s="22"/>
      <c r="Z83" s="22"/>
      <c r="AA83" s="22"/>
      <c r="AB83" s="22"/>
      <c r="AC83" s="22"/>
      <c r="AD83" s="22"/>
      <c r="AE83" s="22"/>
    </row>
    <row r="84" spans="1:31" x14ac:dyDescent="0.25">
      <c r="A84" s="1" t="s">
        <v>0</v>
      </c>
      <c r="B84" s="1" t="s">
        <v>698</v>
      </c>
      <c r="C84" s="2" t="s">
        <v>784</v>
      </c>
      <c r="D84" s="1" t="s">
        <v>784</v>
      </c>
      <c r="E84" s="1"/>
      <c r="F84" s="3">
        <v>1407</v>
      </c>
      <c r="G84" s="3">
        <v>343</v>
      </c>
      <c r="H84" s="4">
        <v>1418</v>
      </c>
      <c r="I84" s="3">
        <v>723</v>
      </c>
      <c r="J84" s="3">
        <v>695</v>
      </c>
      <c r="K84" s="3">
        <v>358</v>
      </c>
      <c r="L84" s="3">
        <f t="shared" si="4"/>
        <v>25.246826516220029</v>
      </c>
      <c r="M84" s="3">
        <v>0</v>
      </c>
      <c r="N84" s="3">
        <f t="shared" si="5"/>
        <v>0</v>
      </c>
      <c r="O84" s="3">
        <v>212</v>
      </c>
      <c r="P84" s="15">
        <v>0</v>
      </c>
      <c r="Q84" s="22" t="s">
        <v>1348</v>
      </c>
      <c r="R84" s="83">
        <v>43879</v>
      </c>
      <c r="S84" s="22"/>
      <c r="T84" s="22"/>
      <c r="U84" s="22" t="s">
        <v>1348</v>
      </c>
      <c r="V84" s="22" t="s">
        <v>1348</v>
      </c>
      <c r="W84" s="22" t="s">
        <v>1348</v>
      </c>
      <c r="X84" s="22"/>
      <c r="Y84" s="22"/>
      <c r="Z84" s="22"/>
      <c r="AA84" s="22"/>
      <c r="AB84" s="22"/>
      <c r="AC84" s="22"/>
      <c r="AD84" s="22"/>
      <c r="AE84" s="22"/>
    </row>
    <row r="85" spans="1:31" x14ac:dyDescent="0.25">
      <c r="A85" s="1" t="s">
        <v>0</v>
      </c>
      <c r="B85" s="1" t="s">
        <v>698</v>
      </c>
      <c r="C85" s="2" t="s">
        <v>784</v>
      </c>
      <c r="D85" s="1" t="s">
        <v>789</v>
      </c>
      <c r="E85" s="1"/>
      <c r="F85" s="3">
        <v>366</v>
      </c>
      <c r="G85" s="3">
        <v>77</v>
      </c>
      <c r="H85" s="4">
        <v>360</v>
      </c>
      <c r="I85" s="3">
        <v>189</v>
      </c>
      <c r="J85" s="3">
        <v>171</v>
      </c>
      <c r="K85" s="3">
        <v>19</v>
      </c>
      <c r="L85" s="3">
        <f t="shared" si="4"/>
        <v>5.2777777777777777</v>
      </c>
      <c r="M85" s="3">
        <v>0</v>
      </c>
      <c r="N85" s="3">
        <f t="shared" si="5"/>
        <v>0</v>
      </c>
      <c r="O85" s="3">
        <v>6</v>
      </c>
      <c r="P85" s="15">
        <v>0</v>
      </c>
      <c r="Q85" s="22" t="s">
        <v>1348</v>
      </c>
      <c r="R85" s="83">
        <v>43881</v>
      </c>
      <c r="S85" s="22"/>
      <c r="T85" s="22"/>
      <c r="U85" s="22" t="s">
        <v>1348</v>
      </c>
      <c r="V85" s="22" t="s">
        <v>1348</v>
      </c>
      <c r="W85" s="22" t="s">
        <v>1348</v>
      </c>
      <c r="X85" s="22"/>
      <c r="Y85" s="22"/>
      <c r="Z85" s="22"/>
      <c r="AA85" s="22"/>
      <c r="AB85" s="22"/>
      <c r="AC85" s="22"/>
      <c r="AD85" s="22"/>
      <c r="AE85" s="22"/>
    </row>
    <row r="86" spans="1:31" x14ac:dyDescent="0.25">
      <c r="A86" s="1" t="s">
        <v>0</v>
      </c>
      <c r="B86" s="1" t="s">
        <v>698</v>
      </c>
      <c r="C86" s="2" t="s">
        <v>710</v>
      </c>
      <c r="D86" s="1" t="s">
        <v>709</v>
      </c>
      <c r="E86" s="1"/>
      <c r="F86" s="3">
        <v>1093</v>
      </c>
      <c r="G86" s="3">
        <v>454</v>
      </c>
      <c r="H86" s="4">
        <v>1941</v>
      </c>
      <c r="I86" s="3">
        <v>915</v>
      </c>
      <c r="J86" s="3">
        <v>1026</v>
      </c>
      <c r="K86" s="3">
        <v>412</v>
      </c>
      <c r="L86" s="3">
        <f t="shared" si="4"/>
        <v>21.226172076249355</v>
      </c>
      <c r="M86" s="3">
        <v>0</v>
      </c>
      <c r="N86" s="3">
        <f t="shared" si="5"/>
        <v>0</v>
      </c>
      <c r="O86" s="3">
        <v>89</v>
      </c>
      <c r="P86" s="15">
        <v>0</v>
      </c>
      <c r="Q86" s="22" t="s">
        <v>1348</v>
      </c>
      <c r="R86" s="83">
        <v>43795</v>
      </c>
      <c r="S86" s="22"/>
      <c r="T86" s="22"/>
      <c r="U86" s="22" t="s">
        <v>1348</v>
      </c>
      <c r="V86" s="22" t="s">
        <v>1348</v>
      </c>
      <c r="W86" s="22" t="s">
        <v>1348</v>
      </c>
      <c r="X86" s="22"/>
      <c r="Y86" s="22"/>
      <c r="Z86" s="22"/>
      <c r="AA86" s="22"/>
      <c r="AB86" s="22"/>
      <c r="AC86" s="22"/>
      <c r="AD86" s="22"/>
      <c r="AE86" s="22"/>
    </row>
    <row r="87" spans="1:31" x14ac:dyDescent="0.25">
      <c r="A87" s="1" t="s">
        <v>0</v>
      </c>
      <c r="B87" s="1" t="s">
        <v>698</v>
      </c>
      <c r="C87" s="2" t="s">
        <v>710</v>
      </c>
      <c r="D87" s="1" t="s">
        <v>715</v>
      </c>
      <c r="E87" s="1"/>
      <c r="F87" s="3">
        <v>823</v>
      </c>
      <c r="G87" s="3">
        <v>436</v>
      </c>
      <c r="H87" s="4">
        <v>1910</v>
      </c>
      <c r="I87" s="3">
        <v>870</v>
      </c>
      <c r="J87" s="3">
        <v>1040</v>
      </c>
      <c r="K87" s="3">
        <v>310</v>
      </c>
      <c r="L87" s="3">
        <f t="shared" si="4"/>
        <v>16.230366492146597</v>
      </c>
      <c r="M87" s="3">
        <v>0</v>
      </c>
      <c r="N87" s="3">
        <f t="shared" si="5"/>
        <v>0</v>
      </c>
      <c r="O87" s="3">
        <v>9</v>
      </c>
      <c r="P87" s="15">
        <v>0</v>
      </c>
      <c r="Q87" s="22" t="s">
        <v>1348</v>
      </c>
      <c r="R87" s="83">
        <v>43796</v>
      </c>
      <c r="S87" s="22"/>
      <c r="T87" s="22"/>
      <c r="U87" s="22" t="s">
        <v>1348</v>
      </c>
      <c r="V87" s="22" t="s">
        <v>1348</v>
      </c>
      <c r="W87" s="22" t="s">
        <v>1348</v>
      </c>
      <c r="X87" s="22"/>
      <c r="Y87" s="22"/>
      <c r="Z87" s="22"/>
      <c r="AA87" s="22"/>
      <c r="AB87" s="22"/>
      <c r="AC87" s="22"/>
      <c r="AD87" s="22"/>
      <c r="AE87" s="22"/>
    </row>
    <row r="88" spans="1:31" x14ac:dyDescent="0.25">
      <c r="A88" s="1" t="s">
        <v>0</v>
      </c>
      <c r="B88" s="1" t="s">
        <v>698</v>
      </c>
      <c r="C88" s="2" t="s">
        <v>795</v>
      </c>
      <c r="D88" s="1" t="s">
        <v>794</v>
      </c>
      <c r="E88" s="1"/>
      <c r="F88" s="3">
        <v>505.42</v>
      </c>
      <c r="G88" s="3">
        <v>407</v>
      </c>
      <c r="H88" s="4">
        <v>2053</v>
      </c>
      <c r="I88" s="3">
        <v>1056</v>
      </c>
      <c r="J88" s="3">
        <v>997</v>
      </c>
      <c r="K88" s="3">
        <v>29</v>
      </c>
      <c r="L88" s="3">
        <f t="shared" si="4"/>
        <v>1.412566975158305</v>
      </c>
      <c r="M88" s="3">
        <v>0</v>
      </c>
      <c r="N88" s="3">
        <f t="shared" si="5"/>
        <v>0</v>
      </c>
      <c r="O88" s="3">
        <v>236.02</v>
      </c>
      <c r="P88" s="15">
        <v>0</v>
      </c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</row>
    <row r="89" spans="1:31" x14ac:dyDescent="0.25">
      <c r="A89" s="1" t="s">
        <v>0</v>
      </c>
      <c r="B89" s="1" t="s">
        <v>698</v>
      </c>
      <c r="C89" s="2" t="s">
        <v>795</v>
      </c>
      <c r="D89" s="1" t="s">
        <v>796</v>
      </c>
      <c r="E89" s="1"/>
      <c r="F89" s="3">
        <v>253</v>
      </c>
      <c r="G89" s="3">
        <v>83</v>
      </c>
      <c r="H89" s="4">
        <v>390</v>
      </c>
      <c r="I89" s="3">
        <v>191</v>
      </c>
      <c r="J89" s="3">
        <v>199</v>
      </c>
      <c r="K89" s="3">
        <v>0</v>
      </c>
      <c r="L89" s="3">
        <f t="shared" si="4"/>
        <v>0</v>
      </c>
      <c r="M89" s="3">
        <v>0</v>
      </c>
      <c r="N89" s="3">
        <f t="shared" si="5"/>
        <v>0</v>
      </c>
      <c r="O89" s="3">
        <v>25.15</v>
      </c>
      <c r="P89" s="15">
        <v>0</v>
      </c>
      <c r="Q89" s="22" t="s">
        <v>1348</v>
      </c>
      <c r="R89" s="83">
        <v>43819</v>
      </c>
      <c r="S89" s="22"/>
      <c r="T89" s="22"/>
      <c r="U89" s="22" t="s">
        <v>1348</v>
      </c>
      <c r="V89" s="22" t="s">
        <v>1348</v>
      </c>
      <c r="W89" s="22" t="s">
        <v>1348</v>
      </c>
      <c r="X89" s="22"/>
      <c r="Y89" s="22"/>
      <c r="Z89" s="22"/>
      <c r="AA89" s="22"/>
      <c r="AB89" s="22"/>
      <c r="AC89" s="22"/>
      <c r="AD89" s="22"/>
      <c r="AE89" s="22"/>
    </row>
    <row r="90" spans="1:31" x14ac:dyDescent="0.25">
      <c r="A90" s="1" t="s">
        <v>0</v>
      </c>
      <c r="B90" s="1" t="s">
        <v>698</v>
      </c>
      <c r="C90" s="2" t="s">
        <v>795</v>
      </c>
      <c r="D90" s="1" t="s">
        <v>797</v>
      </c>
      <c r="E90" s="1"/>
      <c r="F90" s="3">
        <v>809.13</v>
      </c>
      <c r="G90" s="3">
        <v>460</v>
      </c>
      <c r="H90" s="4">
        <v>2253</v>
      </c>
      <c r="I90" s="3">
        <v>1144</v>
      </c>
      <c r="J90" s="3">
        <v>1109</v>
      </c>
      <c r="K90" s="3">
        <v>235</v>
      </c>
      <c r="L90" s="3">
        <f t="shared" si="4"/>
        <v>10.430537061695517</v>
      </c>
      <c r="M90" s="3">
        <v>0</v>
      </c>
      <c r="N90" s="3">
        <f t="shared" si="5"/>
        <v>0</v>
      </c>
      <c r="O90" s="3">
        <v>6.47</v>
      </c>
      <c r="P90" s="15">
        <v>417.13</v>
      </c>
      <c r="Q90" s="22" t="s">
        <v>1348</v>
      </c>
      <c r="R90" s="83">
        <v>43818</v>
      </c>
      <c r="S90" s="22"/>
      <c r="T90" s="22"/>
      <c r="U90" s="22" t="s">
        <v>1348</v>
      </c>
      <c r="V90" s="22" t="s">
        <v>1348</v>
      </c>
      <c r="W90" s="22" t="s">
        <v>1348</v>
      </c>
      <c r="X90" s="22"/>
      <c r="Y90" s="22"/>
      <c r="Z90" s="22"/>
      <c r="AA90" s="22"/>
      <c r="AB90" s="22"/>
      <c r="AC90" s="22"/>
      <c r="AD90" s="22"/>
      <c r="AE90" s="22"/>
    </row>
    <row r="91" spans="1:31" x14ac:dyDescent="0.25">
      <c r="A91" s="1" t="s">
        <v>0</v>
      </c>
      <c r="B91" s="1" t="s">
        <v>698</v>
      </c>
      <c r="C91" s="2" t="s">
        <v>795</v>
      </c>
      <c r="D91" s="1" t="s">
        <v>798</v>
      </c>
      <c r="E91" s="1"/>
      <c r="F91" s="3">
        <v>493.26</v>
      </c>
      <c r="G91" s="3">
        <v>183</v>
      </c>
      <c r="H91" s="4">
        <v>754</v>
      </c>
      <c r="I91" s="3">
        <v>374</v>
      </c>
      <c r="J91" s="3">
        <v>380</v>
      </c>
      <c r="K91" s="3">
        <v>1</v>
      </c>
      <c r="L91" s="3">
        <f t="shared" si="4"/>
        <v>0.1326259946949602</v>
      </c>
      <c r="M91" s="3">
        <v>1</v>
      </c>
      <c r="N91" s="3">
        <f t="shared" si="5"/>
        <v>0.1326259946949602</v>
      </c>
      <c r="O91" s="3">
        <v>94.12</v>
      </c>
      <c r="P91" s="15">
        <v>0</v>
      </c>
      <c r="Q91" s="22" t="s">
        <v>1348</v>
      </c>
      <c r="R91" s="83">
        <v>43818</v>
      </c>
      <c r="S91" s="22"/>
      <c r="T91" s="22"/>
      <c r="U91" s="22" t="s">
        <v>1348</v>
      </c>
      <c r="V91" s="22" t="s">
        <v>1348</v>
      </c>
      <c r="W91" s="22" t="s">
        <v>1348</v>
      </c>
      <c r="X91" s="22"/>
      <c r="Y91" s="22"/>
      <c r="Z91" s="22"/>
      <c r="AA91" s="22"/>
      <c r="AB91" s="22"/>
      <c r="AC91" s="22"/>
      <c r="AD91" s="22"/>
      <c r="AE91" s="22"/>
    </row>
    <row r="92" spans="1:31" x14ac:dyDescent="0.25">
      <c r="A92" s="1" t="s">
        <v>0</v>
      </c>
      <c r="B92" s="1" t="s">
        <v>698</v>
      </c>
      <c r="C92" s="2" t="s">
        <v>706</v>
      </c>
      <c r="D92" s="1" t="s">
        <v>705</v>
      </c>
      <c r="E92" s="1"/>
      <c r="F92" s="3">
        <v>1951</v>
      </c>
      <c r="G92" s="3">
        <v>757</v>
      </c>
      <c r="H92" s="4">
        <v>3426</v>
      </c>
      <c r="I92" s="3">
        <v>1558</v>
      </c>
      <c r="J92" s="3">
        <v>1868</v>
      </c>
      <c r="K92" s="3">
        <v>742</v>
      </c>
      <c r="L92" s="3">
        <f t="shared" si="4"/>
        <v>21.6579100992411</v>
      </c>
      <c r="M92" s="3">
        <v>0</v>
      </c>
      <c r="N92" s="3">
        <f t="shared" si="5"/>
        <v>0</v>
      </c>
      <c r="O92" s="3">
        <v>0</v>
      </c>
      <c r="P92" s="15">
        <v>0</v>
      </c>
      <c r="Q92" s="22" t="s">
        <v>1348</v>
      </c>
      <c r="R92" s="83">
        <v>44090</v>
      </c>
      <c r="S92" s="22"/>
      <c r="T92" s="22"/>
      <c r="U92" s="22" t="s">
        <v>1348</v>
      </c>
      <c r="V92" s="22" t="s">
        <v>1348</v>
      </c>
      <c r="W92" s="22" t="s">
        <v>1348</v>
      </c>
      <c r="X92" s="22"/>
      <c r="Y92" s="22"/>
      <c r="Z92" s="22"/>
      <c r="AA92" s="22"/>
      <c r="AB92" s="22"/>
      <c r="AC92" s="115" t="s">
        <v>1383</v>
      </c>
      <c r="AD92" s="115">
        <v>26.085782999999999</v>
      </c>
      <c r="AE92" s="115">
        <v>73.888506000000007</v>
      </c>
    </row>
    <row r="93" spans="1:31" x14ac:dyDescent="0.25">
      <c r="A93" s="1" t="s">
        <v>0</v>
      </c>
      <c r="B93" s="1" t="s">
        <v>698</v>
      </c>
      <c r="C93" s="2" t="s">
        <v>706</v>
      </c>
      <c r="D93" s="1" t="s">
        <v>707</v>
      </c>
      <c r="E93" s="1"/>
      <c r="F93" s="3">
        <v>312</v>
      </c>
      <c r="G93" s="3">
        <v>104</v>
      </c>
      <c r="H93" s="4">
        <v>407</v>
      </c>
      <c r="I93" s="3">
        <v>201</v>
      </c>
      <c r="J93" s="3">
        <v>206</v>
      </c>
      <c r="K93" s="3">
        <v>61</v>
      </c>
      <c r="L93" s="3">
        <f t="shared" si="4"/>
        <v>14.987714987714988</v>
      </c>
      <c r="M93" s="3">
        <v>0</v>
      </c>
      <c r="N93" s="3">
        <f t="shared" si="5"/>
        <v>0</v>
      </c>
      <c r="O93" s="3">
        <v>0</v>
      </c>
      <c r="P93" s="15">
        <v>0.6</v>
      </c>
      <c r="Q93" s="22" t="s">
        <v>1348</v>
      </c>
      <c r="R93" s="83">
        <v>44189</v>
      </c>
      <c r="S93" s="22"/>
      <c r="T93" s="22"/>
      <c r="U93" s="22" t="s">
        <v>1348</v>
      </c>
      <c r="V93" s="22" t="s">
        <v>1348</v>
      </c>
      <c r="W93" s="22" t="s">
        <v>1348</v>
      </c>
      <c r="X93" s="22"/>
      <c r="Y93" s="22"/>
      <c r="Z93" s="22"/>
      <c r="AA93" s="22"/>
      <c r="AB93" s="22"/>
      <c r="AC93" s="22"/>
      <c r="AD93" s="22"/>
      <c r="AE93" s="22"/>
    </row>
    <row r="94" spans="1:31" x14ac:dyDescent="0.25">
      <c r="A94" s="1" t="s">
        <v>0</v>
      </c>
      <c r="B94" s="1" t="s">
        <v>698</v>
      </c>
      <c r="C94" s="2" t="s">
        <v>750</v>
      </c>
      <c r="D94" s="1" t="s">
        <v>749</v>
      </c>
      <c r="E94" s="1"/>
      <c r="F94" s="3">
        <v>1236.28</v>
      </c>
      <c r="G94" s="3">
        <v>409</v>
      </c>
      <c r="H94" s="4">
        <v>1940</v>
      </c>
      <c r="I94" s="3">
        <v>934</v>
      </c>
      <c r="J94" s="3">
        <v>1006</v>
      </c>
      <c r="K94" s="3">
        <v>21</v>
      </c>
      <c r="L94" s="3">
        <f t="shared" si="4"/>
        <v>1.0824742268041236</v>
      </c>
      <c r="M94" s="3">
        <v>0</v>
      </c>
      <c r="N94" s="3">
        <f t="shared" si="5"/>
        <v>0</v>
      </c>
      <c r="O94" s="3">
        <v>803.16</v>
      </c>
      <c r="P94" s="15">
        <v>101.92</v>
      </c>
      <c r="Q94" s="22" t="s">
        <v>1348</v>
      </c>
      <c r="R94" s="83">
        <v>43801</v>
      </c>
      <c r="S94" s="22"/>
      <c r="T94" s="22"/>
      <c r="U94" s="22" t="s">
        <v>1348</v>
      </c>
      <c r="V94" s="22" t="s">
        <v>1348</v>
      </c>
      <c r="W94" s="22" t="s">
        <v>1348</v>
      </c>
      <c r="X94" s="22"/>
      <c r="Y94" s="22"/>
      <c r="Z94" s="22"/>
      <c r="AA94" s="22"/>
      <c r="AB94" s="22"/>
      <c r="AC94" s="22"/>
      <c r="AD94" s="22"/>
      <c r="AE94" s="22"/>
    </row>
    <row r="95" spans="1:31" x14ac:dyDescent="0.25">
      <c r="A95" s="1" t="s">
        <v>0</v>
      </c>
      <c r="B95" s="1" t="s">
        <v>698</v>
      </c>
      <c r="C95" s="2" t="s">
        <v>750</v>
      </c>
      <c r="D95" s="1" t="s">
        <v>751</v>
      </c>
      <c r="E95" s="1"/>
      <c r="F95" s="3">
        <v>331.52</v>
      </c>
      <c r="G95" s="3">
        <v>119</v>
      </c>
      <c r="H95" s="4">
        <v>661</v>
      </c>
      <c r="I95" s="3">
        <v>352</v>
      </c>
      <c r="J95" s="3">
        <v>309</v>
      </c>
      <c r="K95" s="3">
        <v>0</v>
      </c>
      <c r="L95" s="3">
        <f t="shared" si="4"/>
        <v>0</v>
      </c>
      <c r="M95" s="3">
        <v>0</v>
      </c>
      <c r="N95" s="3">
        <f t="shared" si="5"/>
        <v>0</v>
      </c>
      <c r="O95" s="3">
        <v>27.04</v>
      </c>
      <c r="P95" s="15">
        <v>275.68</v>
      </c>
      <c r="Q95" s="22" t="s">
        <v>1348</v>
      </c>
      <c r="R95" s="83">
        <v>43800</v>
      </c>
      <c r="S95" s="22"/>
      <c r="T95" s="22"/>
      <c r="U95" s="22" t="s">
        <v>1348</v>
      </c>
      <c r="V95" s="22" t="s">
        <v>1348</v>
      </c>
      <c r="W95" s="22" t="s">
        <v>1348</v>
      </c>
      <c r="X95" s="22"/>
      <c r="Y95" s="22"/>
      <c r="Z95" s="22"/>
      <c r="AA95" s="22"/>
      <c r="AB95" s="22"/>
      <c r="AC95" s="22"/>
      <c r="AD95" s="22"/>
      <c r="AE95" s="22"/>
    </row>
    <row r="96" spans="1:31" x14ac:dyDescent="0.25">
      <c r="A96" s="1" t="s">
        <v>0</v>
      </c>
      <c r="B96" s="1" t="s">
        <v>698</v>
      </c>
      <c r="C96" s="2" t="s">
        <v>750</v>
      </c>
      <c r="D96" s="1" t="s">
        <v>752</v>
      </c>
      <c r="E96" s="1"/>
      <c r="F96" s="3">
        <v>2206.56</v>
      </c>
      <c r="G96" s="3">
        <v>289</v>
      </c>
      <c r="H96" s="4">
        <v>1316</v>
      </c>
      <c r="I96" s="3">
        <v>672</v>
      </c>
      <c r="J96" s="3">
        <v>644</v>
      </c>
      <c r="K96" s="3">
        <v>174</v>
      </c>
      <c r="L96" s="3">
        <f t="shared" si="4"/>
        <v>13.221884498480243</v>
      </c>
      <c r="M96" s="3">
        <v>0</v>
      </c>
      <c r="N96" s="3">
        <f t="shared" si="5"/>
        <v>0</v>
      </c>
      <c r="O96" s="3">
        <v>565.44000000000005</v>
      </c>
      <c r="P96" s="15">
        <v>1394.72</v>
      </c>
      <c r="Q96" s="22" t="s">
        <v>1348</v>
      </c>
      <c r="R96" s="83">
        <v>43799</v>
      </c>
      <c r="S96" s="22"/>
      <c r="T96" s="22"/>
      <c r="U96" s="22" t="s">
        <v>1348</v>
      </c>
      <c r="V96" s="22" t="s">
        <v>1348</v>
      </c>
      <c r="W96" s="22" t="s">
        <v>1348</v>
      </c>
      <c r="X96" s="22"/>
      <c r="Y96" s="22"/>
      <c r="Z96" s="22"/>
      <c r="AA96" s="22"/>
      <c r="AB96" s="22"/>
      <c r="AC96" s="22"/>
      <c r="AD96" s="22"/>
      <c r="AE96" s="22"/>
    </row>
    <row r="97" spans="1:31" x14ac:dyDescent="0.25">
      <c r="A97" s="1" t="s">
        <v>0</v>
      </c>
      <c r="B97" s="1" t="s">
        <v>698</v>
      </c>
      <c r="C97" s="2" t="s">
        <v>750</v>
      </c>
      <c r="D97" s="1" t="s">
        <v>753</v>
      </c>
      <c r="E97" s="1"/>
      <c r="F97" s="3">
        <v>656.16</v>
      </c>
      <c r="G97" s="3">
        <v>102</v>
      </c>
      <c r="H97" s="4">
        <v>438</v>
      </c>
      <c r="I97" s="3">
        <v>225</v>
      </c>
      <c r="J97" s="3">
        <v>213</v>
      </c>
      <c r="K97" s="3">
        <v>8</v>
      </c>
      <c r="L97" s="3">
        <f t="shared" si="4"/>
        <v>1.8264840182648401</v>
      </c>
      <c r="M97" s="3">
        <v>0</v>
      </c>
      <c r="N97" s="3">
        <f t="shared" si="5"/>
        <v>0</v>
      </c>
      <c r="O97" s="3">
        <v>503.2</v>
      </c>
      <c r="P97" s="15">
        <v>0</v>
      </c>
      <c r="Q97" s="22" t="s">
        <v>1348</v>
      </c>
      <c r="R97" s="83">
        <v>43802</v>
      </c>
      <c r="S97" s="22"/>
      <c r="T97" s="22"/>
      <c r="U97" s="22" t="s">
        <v>1348</v>
      </c>
      <c r="V97" s="22" t="s">
        <v>1348</v>
      </c>
      <c r="W97" s="22" t="s">
        <v>1348</v>
      </c>
      <c r="X97" s="22"/>
      <c r="Y97" s="22"/>
      <c r="Z97" s="22"/>
      <c r="AA97" s="22"/>
      <c r="AB97" s="22"/>
      <c r="AC97" s="22"/>
      <c r="AD97" s="22"/>
      <c r="AE97" s="22"/>
    </row>
    <row r="98" spans="1:31" x14ac:dyDescent="0.25">
      <c r="A98" s="1" t="s">
        <v>0</v>
      </c>
      <c r="B98" s="1" t="s">
        <v>698</v>
      </c>
      <c r="C98" s="2" t="s">
        <v>383</v>
      </c>
      <c r="D98" s="1" t="s">
        <v>793</v>
      </c>
      <c r="E98" s="1"/>
      <c r="F98" s="3">
        <v>1075</v>
      </c>
      <c r="G98" s="3">
        <v>458</v>
      </c>
      <c r="H98" s="4">
        <v>2146</v>
      </c>
      <c r="I98" s="3">
        <v>1120</v>
      </c>
      <c r="J98" s="3">
        <v>1026</v>
      </c>
      <c r="K98" s="3">
        <v>127</v>
      </c>
      <c r="L98" s="3">
        <f t="shared" si="4"/>
        <v>5.9179869524697111</v>
      </c>
      <c r="M98" s="3">
        <v>8</v>
      </c>
      <c r="N98" s="3">
        <f t="shared" si="5"/>
        <v>0.37278657968313139</v>
      </c>
      <c r="O98" s="3">
        <v>219</v>
      </c>
      <c r="P98" s="15">
        <v>208</v>
      </c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</row>
    <row r="99" spans="1:31" x14ac:dyDescent="0.25">
      <c r="A99" s="1" t="s">
        <v>0</v>
      </c>
      <c r="B99" s="1" t="s">
        <v>698</v>
      </c>
      <c r="C99" s="2" t="s">
        <v>383</v>
      </c>
      <c r="D99" s="1" t="s">
        <v>840</v>
      </c>
      <c r="E99" s="1"/>
      <c r="F99" s="3">
        <v>627</v>
      </c>
      <c r="G99" s="3">
        <v>225</v>
      </c>
      <c r="H99" s="4">
        <v>1159</v>
      </c>
      <c r="I99" s="3">
        <v>610</v>
      </c>
      <c r="J99" s="3">
        <v>549</v>
      </c>
      <c r="K99" s="3">
        <v>80</v>
      </c>
      <c r="L99" s="3">
        <f t="shared" si="4"/>
        <v>6.9025021570319245</v>
      </c>
      <c r="M99" s="3">
        <v>0</v>
      </c>
      <c r="N99" s="3">
        <f t="shared" si="5"/>
        <v>0</v>
      </c>
      <c r="O99" s="3">
        <v>76</v>
      </c>
      <c r="P99" s="15">
        <v>0</v>
      </c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</row>
    <row r="100" spans="1:31" x14ac:dyDescent="0.25">
      <c r="A100" s="1" t="s">
        <v>0</v>
      </c>
      <c r="B100" s="1" t="s">
        <v>698</v>
      </c>
      <c r="C100" s="2" t="s">
        <v>383</v>
      </c>
      <c r="D100" s="1" t="s">
        <v>383</v>
      </c>
      <c r="E100" s="1"/>
      <c r="F100" s="3">
        <v>652</v>
      </c>
      <c r="G100" s="3">
        <v>319</v>
      </c>
      <c r="H100" s="4">
        <v>1607</v>
      </c>
      <c r="I100" s="3">
        <v>858</v>
      </c>
      <c r="J100" s="3">
        <v>749</v>
      </c>
      <c r="K100" s="3">
        <v>183</v>
      </c>
      <c r="L100" s="3">
        <f t="shared" ref="L100:L131" si="6">(K100/H100)*100</f>
        <v>11.387678904791537</v>
      </c>
      <c r="M100" s="3">
        <v>12</v>
      </c>
      <c r="N100" s="3">
        <f t="shared" ref="N100:N131" si="7">(M100/H100)*100</f>
        <v>0.74673304293714993</v>
      </c>
      <c r="O100" s="3">
        <v>1</v>
      </c>
      <c r="P100" s="15">
        <v>0</v>
      </c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</row>
    <row r="101" spans="1:31" x14ac:dyDescent="0.25">
      <c r="A101" s="1" t="s">
        <v>0</v>
      </c>
      <c r="B101" s="1" t="s">
        <v>698</v>
      </c>
      <c r="C101" s="2" t="s">
        <v>714</v>
      </c>
      <c r="D101" s="1" t="s">
        <v>713</v>
      </c>
      <c r="E101" s="1"/>
      <c r="F101" s="3">
        <v>1559.96</v>
      </c>
      <c r="G101" s="3">
        <v>1543</v>
      </c>
      <c r="H101" s="4">
        <v>7121</v>
      </c>
      <c r="I101" s="3">
        <v>3495</v>
      </c>
      <c r="J101" s="3">
        <v>3626</v>
      </c>
      <c r="K101" s="3">
        <v>2250</v>
      </c>
      <c r="L101" s="3">
        <f t="shared" si="6"/>
        <v>31.596685858727707</v>
      </c>
      <c r="M101" s="3">
        <v>32</v>
      </c>
      <c r="N101" s="3">
        <f t="shared" si="7"/>
        <v>0.44937508776857188</v>
      </c>
      <c r="O101" s="3">
        <v>163.36000000000001</v>
      </c>
      <c r="P101" s="15">
        <v>16.8</v>
      </c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>
        <v>5</v>
      </c>
      <c r="AC101" s="22" t="s">
        <v>1382</v>
      </c>
      <c r="AD101" s="115">
        <v>26.016407000000001</v>
      </c>
      <c r="AE101" s="115">
        <v>73.952691999999999</v>
      </c>
    </row>
    <row r="102" spans="1:31" x14ac:dyDescent="0.25">
      <c r="A102" s="1" t="s">
        <v>0</v>
      </c>
      <c r="B102" s="1" t="s">
        <v>698</v>
      </c>
      <c r="C102" s="2" t="s">
        <v>848</v>
      </c>
      <c r="D102" s="1" t="s">
        <v>847</v>
      </c>
      <c r="E102" s="1"/>
      <c r="F102" s="3">
        <v>577</v>
      </c>
      <c r="G102" s="3">
        <v>174</v>
      </c>
      <c r="H102" s="4">
        <v>915</v>
      </c>
      <c r="I102" s="3">
        <v>459</v>
      </c>
      <c r="J102" s="3">
        <v>456</v>
      </c>
      <c r="K102" s="3">
        <v>35</v>
      </c>
      <c r="L102" s="3">
        <f t="shared" si="6"/>
        <v>3.8251366120218582</v>
      </c>
      <c r="M102" s="3">
        <v>0</v>
      </c>
      <c r="N102" s="3">
        <f t="shared" si="7"/>
        <v>0</v>
      </c>
      <c r="O102" s="3">
        <v>0</v>
      </c>
      <c r="P102" s="15">
        <v>0</v>
      </c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</row>
    <row r="103" spans="1:31" x14ac:dyDescent="0.25">
      <c r="A103" s="1" t="s">
        <v>0</v>
      </c>
      <c r="B103" s="1" t="s">
        <v>698</v>
      </c>
      <c r="C103" s="2" t="s">
        <v>848</v>
      </c>
      <c r="D103" s="1" t="s">
        <v>849</v>
      </c>
      <c r="E103" s="1"/>
      <c r="F103" s="3">
        <v>942</v>
      </c>
      <c r="G103" s="3">
        <v>369</v>
      </c>
      <c r="H103" s="4">
        <v>1828</v>
      </c>
      <c r="I103" s="3">
        <v>959</v>
      </c>
      <c r="J103" s="3">
        <v>869</v>
      </c>
      <c r="K103" s="3">
        <v>145</v>
      </c>
      <c r="L103" s="3">
        <f t="shared" si="6"/>
        <v>7.9321663019693647</v>
      </c>
      <c r="M103" s="3">
        <v>16</v>
      </c>
      <c r="N103" s="3">
        <f t="shared" si="7"/>
        <v>0.87527352297592997</v>
      </c>
      <c r="O103" s="3">
        <v>0</v>
      </c>
      <c r="P103" s="15">
        <v>0</v>
      </c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</row>
    <row r="104" spans="1:31" x14ac:dyDescent="0.25">
      <c r="A104" s="1" t="s">
        <v>0</v>
      </c>
      <c r="B104" s="1" t="s">
        <v>698</v>
      </c>
      <c r="C104" s="2" t="s">
        <v>848</v>
      </c>
      <c r="D104" s="1" t="s">
        <v>850</v>
      </c>
      <c r="E104" s="1"/>
      <c r="F104" s="3">
        <v>291</v>
      </c>
      <c r="G104" s="3">
        <v>144</v>
      </c>
      <c r="H104" s="4">
        <v>775</v>
      </c>
      <c r="I104" s="3">
        <v>404</v>
      </c>
      <c r="J104" s="3">
        <v>371</v>
      </c>
      <c r="K104" s="3">
        <v>8</v>
      </c>
      <c r="L104" s="3">
        <f t="shared" si="6"/>
        <v>1.032258064516129</v>
      </c>
      <c r="M104" s="3">
        <v>0</v>
      </c>
      <c r="N104" s="3">
        <f t="shared" si="7"/>
        <v>0</v>
      </c>
      <c r="O104" s="3">
        <v>9</v>
      </c>
      <c r="P104" s="15">
        <v>0</v>
      </c>
      <c r="Q104" s="22" t="s">
        <v>1348</v>
      </c>
      <c r="R104" s="83">
        <v>43818</v>
      </c>
      <c r="S104" s="22"/>
      <c r="T104" s="22"/>
      <c r="U104" s="22" t="s">
        <v>1348</v>
      </c>
      <c r="V104" s="22" t="s">
        <v>1348</v>
      </c>
      <c r="W104" s="22" t="s">
        <v>1348</v>
      </c>
      <c r="X104" s="22"/>
      <c r="Y104" s="22"/>
      <c r="Z104" s="22"/>
      <c r="AA104" s="22"/>
      <c r="AB104" s="22"/>
      <c r="AC104" s="22"/>
      <c r="AD104" s="22"/>
      <c r="AE104" s="22"/>
    </row>
    <row r="105" spans="1:31" x14ac:dyDescent="0.25">
      <c r="A105" s="1" t="s">
        <v>0</v>
      </c>
      <c r="B105" s="1" t="s">
        <v>698</v>
      </c>
      <c r="C105" s="2" t="s">
        <v>848</v>
      </c>
      <c r="D105" s="1" t="s">
        <v>794</v>
      </c>
      <c r="E105" s="1"/>
      <c r="F105" s="3">
        <v>365</v>
      </c>
      <c r="G105" s="3">
        <v>174</v>
      </c>
      <c r="H105" s="4">
        <v>835</v>
      </c>
      <c r="I105" s="3">
        <v>438</v>
      </c>
      <c r="J105" s="3">
        <v>397</v>
      </c>
      <c r="K105" s="3">
        <v>133</v>
      </c>
      <c r="L105" s="3">
        <f t="shared" si="6"/>
        <v>15.928143712574849</v>
      </c>
      <c r="M105" s="3">
        <v>0</v>
      </c>
      <c r="N105" s="3">
        <f t="shared" si="7"/>
        <v>0</v>
      </c>
      <c r="O105" s="3">
        <v>205</v>
      </c>
      <c r="P105" s="15">
        <v>0</v>
      </c>
      <c r="Q105" s="22" t="s">
        <v>1348</v>
      </c>
      <c r="R105" s="83">
        <v>43819</v>
      </c>
      <c r="S105" s="22"/>
      <c r="T105" s="22"/>
      <c r="U105" s="22" t="s">
        <v>1348</v>
      </c>
      <c r="V105" s="22" t="s">
        <v>1348</v>
      </c>
      <c r="W105" s="22" t="s">
        <v>1348</v>
      </c>
      <c r="X105" s="22"/>
      <c r="Y105" s="22"/>
      <c r="Z105" s="22"/>
      <c r="AA105" s="22"/>
      <c r="AB105" s="22"/>
      <c r="AC105" s="22"/>
      <c r="AD105" s="22"/>
      <c r="AE105" s="22"/>
    </row>
    <row r="106" spans="1:31" x14ac:dyDescent="0.25">
      <c r="A106" s="1" t="s">
        <v>0</v>
      </c>
      <c r="B106" s="1" t="s">
        <v>698</v>
      </c>
      <c r="C106" s="2" t="s">
        <v>848</v>
      </c>
      <c r="D106" s="1" t="s">
        <v>856</v>
      </c>
      <c r="E106" s="1"/>
      <c r="F106" s="3">
        <v>863</v>
      </c>
      <c r="G106" s="3">
        <v>252</v>
      </c>
      <c r="H106" s="4">
        <v>1136</v>
      </c>
      <c r="I106" s="3">
        <v>594</v>
      </c>
      <c r="J106" s="3">
        <v>542</v>
      </c>
      <c r="K106" s="3">
        <v>27</v>
      </c>
      <c r="L106" s="3">
        <f t="shared" si="6"/>
        <v>2.3767605633802815</v>
      </c>
      <c r="M106" s="3">
        <v>0</v>
      </c>
      <c r="N106" s="3">
        <f t="shared" si="7"/>
        <v>0</v>
      </c>
      <c r="O106" s="3">
        <v>200</v>
      </c>
      <c r="P106" s="15">
        <v>0</v>
      </c>
      <c r="Q106" s="22" t="s">
        <v>1348</v>
      </c>
      <c r="R106" s="83">
        <v>43820</v>
      </c>
      <c r="S106" s="22"/>
      <c r="T106" s="22"/>
      <c r="U106" s="22" t="s">
        <v>1348</v>
      </c>
      <c r="V106" s="22" t="s">
        <v>1348</v>
      </c>
      <c r="W106" s="22" t="s">
        <v>1348</v>
      </c>
      <c r="X106" s="22"/>
      <c r="Y106" s="22"/>
      <c r="Z106" s="22"/>
      <c r="AA106" s="22"/>
      <c r="AB106" s="22"/>
      <c r="AC106" s="22"/>
      <c r="AD106" s="22"/>
      <c r="AE106" s="22"/>
    </row>
    <row r="107" spans="1:31" x14ac:dyDescent="0.25">
      <c r="A107" s="1" t="s">
        <v>0</v>
      </c>
      <c r="B107" s="1" t="s">
        <v>698</v>
      </c>
      <c r="C107" s="2" t="s">
        <v>724</v>
      </c>
      <c r="D107" s="1" t="s">
        <v>723</v>
      </c>
      <c r="E107" s="1"/>
      <c r="F107" s="3">
        <v>456.54</v>
      </c>
      <c r="G107" s="3">
        <v>280</v>
      </c>
      <c r="H107" s="4">
        <v>1401</v>
      </c>
      <c r="I107" s="3">
        <v>681</v>
      </c>
      <c r="J107" s="3">
        <v>720</v>
      </c>
      <c r="K107" s="3">
        <v>135</v>
      </c>
      <c r="L107" s="3">
        <f t="shared" si="6"/>
        <v>9.6359743040685224</v>
      </c>
      <c r="M107" s="3">
        <v>4</v>
      </c>
      <c r="N107" s="3">
        <f t="shared" si="7"/>
        <v>0.28551034975017847</v>
      </c>
      <c r="O107" s="3">
        <v>0</v>
      </c>
      <c r="P107" s="15">
        <v>74.680000000000007</v>
      </c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</row>
    <row r="108" spans="1:31" x14ac:dyDescent="0.25">
      <c r="A108" s="1" t="s">
        <v>0</v>
      </c>
      <c r="B108" s="1" t="s">
        <v>698</v>
      </c>
      <c r="C108" s="2" t="s">
        <v>724</v>
      </c>
      <c r="D108" s="1" t="s">
        <v>726</v>
      </c>
      <c r="E108" s="1"/>
      <c r="F108" s="3">
        <v>635.98</v>
      </c>
      <c r="G108" s="3">
        <v>190</v>
      </c>
      <c r="H108" s="4">
        <v>917</v>
      </c>
      <c r="I108" s="3">
        <v>462</v>
      </c>
      <c r="J108" s="3">
        <v>455</v>
      </c>
      <c r="K108" s="3">
        <v>100</v>
      </c>
      <c r="L108" s="3">
        <f t="shared" si="6"/>
        <v>10.905125408942203</v>
      </c>
      <c r="M108" s="3">
        <v>30</v>
      </c>
      <c r="N108" s="3">
        <f t="shared" si="7"/>
        <v>3.2715376226826609</v>
      </c>
      <c r="O108" s="3">
        <v>0</v>
      </c>
      <c r="P108" s="15">
        <v>104.03</v>
      </c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</row>
    <row r="109" spans="1:31" x14ac:dyDescent="0.25">
      <c r="A109" s="1" t="s">
        <v>0</v>
      </c>
      <c r="B109" s="1" t="s">
        <v>698</v>
      </c>
      <c r="C109" s="2" t="s">
        <v>724</v>
      </c>
      <c r="D109" s="1" t="s">
        <v>698</v>
      </c>
      <c r="E109" s="1"/>
      <c r="F109" s="3">
        <v>2359.9899999999998</v>
      </c>
      <c r="G109" s="3">
        <v>2524</v>
      </c>
      <c r="H109" s="4">
        <v>12157</v>
      </c>
      <c r="I109" s="3">
        <v>6101</v>
      </c>
      <c r="J109" s="3">
        <v>6056</v>
      </c>
      <c r="K109" s="3">
        <v>2172</v>
      </c>
      <c r="L109" s="3">
        <f t="shared" si="6"/>
        <v>17.86624989717858</v>
      </c>
      <c r="M109" s="3">
        <v>129</v>
      </c>
      <c r="N109" s="3">
        <f t="shared" si="7"/>
        <v>1.0611170519042528</v>
      </c>
      <c r="O109" s="3">
        <v>0</v>
      </c>
      <c r="P109" s="15">
        <v>386.04</v>
      </c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>
        <v>10</v>
      </c>
      <c r="AC109" s="22" t="s">
        <v>1361</v>
      </c>
      <c r="AD109">
        <v>26.065280999999999</v>
      </c>
      <c r="AE109">
        <v>734.06193699999994</v>
      </c>
    </row>
    <row r="110" spans="1:31" x14ac:dyDescent="0.25">
      <c r="A110" s="1" t="s">
        <v>0</v>
      </c>
      <c r="B110" s="1" t="s">
        <v>698</v>
      </c>
      <c r="C110" s="2" t="s">
        <v>724</v>
      </c>
      <c r="D110" s="1" t="s">
        <v>732</v>
      </c>
      <c r="E110" s="1"/>
      <c r="F110" s="3">
        <v>23.48</v>
      </c>
      <c r="G110" s="3">
        <v>1</v>
      </c>
      <c r="H110" s="4">
        <v>6</v>
      </c>
      <c r="I110" s="3">
        <v>4</v>
      </c>
      <c r="J110" s="3">
        <v>2</v>
      </c>
      <c r="K110" s="3">
        <v>0</v>
      </c>
      <c r="L110" s="3">
        <f t="shared" si="6"/>
        <v>0</v>
      </c>
      <c r="M110" s="3">
        <v>0</v>
      </c>
      <c r="N110" s="3">
        <f t="shared" si="7"/>
        <v>0</v>
      </c>
      <c r="O110" s="3">
        <v>0</v>
      </c>
      <c r="P110" s="15">
        <v>0</v>
      </c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</row>
    <row r="111" spans="1:31" x14ac:dyDescent="0.25">
      <c r="A111" s="1" t="s">
        <v>0</v>
      </c>
      <c r="B111" s="1" t="s">
        <v>698</v>
      </c>
      <c r="C111" s="2" t="s">
        <v>724</v>
      </c>
      <c r="D111" s="1" t="s">
        <v>733</v>
      </c>
      <c r="E111" s="1"/>
      <c r="F111" s="3">
        <v>1079.18</v>
      </c>
      <c r="G111" s="3">
        <v>387</v>
      </c>
      <c r="H111" s="4">
        <v>1649</v>
      </c>
      <c r="I111" s="3">
        <v>804</v>
      </c>
      <c r="J111" s="3">
        <v>845</v>
      </c>
      <c r="K111" s="3">
        <v>204</v>
      </c>
      <c r="L111" s="3">
        <f t="shared" si="6"/>
        <v>12.371134020618557</v>
      </c>
      <c r="M111" s="3">
        <v>3</v>
      </c>
      <c r="N111" s="3">
        <f t="shared" si="7"/>
        <v>0.18192844147968465</v>
      </c>
      <c r="O111" s="3">
        <v>0</v>
      </c>
      <c r="P111" s="15">
        <v>0</v>
      </c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</row>
    <row r="112" spans="1:31" x14ac:dyDescent="0.25">
      <c r="A112" s="1" t="s">
        <v>0</v>
      </c>
      <c r="B112" s="1" t="s">
        <v>698</v>
      </c>
      <c r="C112" s="2" t="s">
        <v>702</v>
      </c>
      <c r="D112" s="1" t="s">
        <v>701</v>
      </c>
      <c r="E112" s="1"/>
      <c r="F112" s="3">
        <v>440.93</v>
      </c>
      <c r="G112" s="3">
        <v>308</v>
      </c>
      <c r="H112" s="4">
        <v>1323</v>
      </c>
      <c r="I112" s="3">
        <v>657</v>
      </c>
      <c r="J112" s="3">
        <v>666</v>
      </c>
      <c r="K112" s="3">
        <v>280</v>
      </c>
      <c r="L112" s="3">
        <f t="shared" si="6"/>
        <v>21.164021164021165</v>
      </c>
      <c r="M112" s="3">
        <v>0</v>
      </c>
      <c r="N112" s="3">
        <f t="shared" si="7"/>
        <v>0</v>
      </c>
      <c r="O112" s="3">
        <v>5.41</v>
      </c>
      <c r="P112" s="15">
        <v>0</v>
      </c>
      <c r="Q112" s="22" t="s">
        <v>1348</v>
      </c>
      <c r="R112" s="83">
        <v>43798</v>
      </c>
      <c r="S112" s="22"/>
      <c r="T112" s="22"/>
      <c r="U112" s="22" t="s">
        <v>1348</v>
      </c>
      <c r="V112" s="22" t="s">
        <v>1348</v>
      </c>
      <c r="W112" s="22" t="s">
        <v>1348</v>
      </c>
      <c r="X112" s="22"/>
      <c r="Y112" s="22"/>
      <c r="Z112" s="22"/>
      <c r="AA112" s="22"/>
      <c r="AB112" s="22"/>
      <c r="AC112" s="22"/>
      <c r="AD112" s="22"/>
      <c r="AE112" s="22"/>
    </row>
    <row r="113" spans="1:31" x14ac:dyDescent="0.25">
      <c r="A113" s="1" t="s">
        <v>0</v>
      </c>
      <c r="B113" s="1" t="s">
        <v>698</v>
      </c>
      <c r="C113" s="2" t="s">
        <v>702</v>
      </c>
      <c r="D113" s="1" t="s">
        <v>703</v>
      </c>
      <c r="E113" s="1"/>
      <c r="F113" s="3">
        <v>384.75</v>
      </c>
      <c r="G113" s="3">
        <v>163</v>
      </c>
      <c r="H113" s="4">
        <v>682</v>
      </c>
      <c r="I113" s="3">
        <v>326</v>
      </c>
      <c r="J113" s="3">
        <v>356</v>
      </c>
      <c r="K113" s="3">
        <v>311</v>
      </c>
      <c r="L113" s="3">
        <f t="shared" si="6"/>
        <v>45.60117302052786</v>
      </c>
      <c r="M113" s="3">
        <v>0</v>
      </c>
      <c r="N113" s="3">
        <f t="shared" si="7"/>
        <v>0</v>
      </c>
      <c r="O113" s="3">
        <v>8.86</v>
      </c>
      <c r="P113" s="15">
        <v>0</v>
      </c>
      <c r="Q113" s="22" t="s">
        <v>1348</v>
      </c>
      <c r="R113" s="83">
        <v>43800</v>
      </c>
      <c r="S113" s="22"/>
      <c r="T113" s="22"/>
      <c r="U113" s="22" t="s">
        <v>1348</v>
      </c>
      <c r="V113" s="22" t="s">
        <v>1348</v>
      </c>
      <c r="W113" s="22" t="s">
        <v>1348</v>
      </c>
      <c r="X113" s="22"/>
      <c r="Y113" s="22"/>
      <c r="Z113" s="22"/>
      <c r="AA113" s="22"/>
      <c r="AB113" s="22"/>
      <c r="AC113" s="22"/>
      <c r="AD113" s="22"/>
      <c r="AE113" s="22"/>
    </row>
    <row r="114" spans="1:31" x14ac:dyDescent="0.25">
      <c r="A114" s="1" t="s">
        <v>0</v>
      </c>
      <c r="B114" s="1" t="s">
        <v>698</v>
      </c>
      <c r="C114" s="2" t="s">
        <v>702</v>
      </c>
      <c r="D114" s="1" t="s">
        <v>704</v>
      </c>
      <c r="E114" s="1"/>
      <c r="F114" s="3">
        <v>381.64</v>
      </c>
      <c r="G114" s="3">
        <v>141</v>
      </c>
      <c r="H114" s="4">
        <v>526</v>
      </c>
      <c r="I114" s="3">
        <v>273</v>
      </c>
      <c r="J114" s="3">
        <v>253</v>
      </c>
      <c r="K114" s="3">
        <v>193</v>
      </c>
      <c r="L114" s="3">
        <f t="shared" si="6"/>
        <v>36.692015209125472</v>
      </c>
      <c r="M114" s="3">
        <v>5</v>
      </c>
      <c r="N114" s="3">
        <f t="shared" si="7"/>
        <v>0.95057034220532322</v>
      </c>
      <c r="O114" s="3">
        <v>4.84</v>
      </c>
      <c r="P114" s="15">
        <v>0</v>
      </c>
      <c r="Q114" s="22" t="s">
        <v>1348</v>
      </c>
      <c r="R114" s="83">
        <v>43789</v>
      </c>
      <c r="S114" s="22"/>
      <c r="T114" s="22"/>
      <c r="U114" s="22" t="s">
        <v>1348</v>
      </c>
      <c r="V114" s="22" t="s">
        <v>1348</v>
      </c>
      <c r="W114" s="22" t="s">
        <v>1348</v>
      </c>
      <c r="X114" s="22"/>
      <c r="Y114" s="22"/>
      <c r="Z114" s="22"/>
      <c r="AA114" s="22"/>
      <c r="AB114" s="22"/>
      <c r="AC114" s="22"/>
      <c r="AD114" s="22"/>
      <c r="AE114" s="22"/>
    </row>
    <row r="115" spans="1:31" x14ac:dyDescent="0.25">
      <c r="A115" s="1" t="s">
        <v>0</v>
      </c>
      <c r="B115" s="1" t="s">
        <v>698</v>
      </c>
      <c r="C115" s="2" t="s">
        <v>702</v>
      </c>
      <c r="D115" s="1" t="s">
        <v>708</v>
      </c>
      <c r="E115" s="1"/>
      <c r="F115" s="3">
        <v>1205.74</v>
      </c>
      <c r="G115" s="3">
        <v>376</v>
      </c>
      <c r="H115" s="4">
        <v>1585</v>
      </c>
      <c r="I115" s="3">
        <v>752</v>
      </c>
      <c r="J115" s="3">
        <v>833</v>
      </c>
      <c r="K115" s="3">
        <v>496</v>
      </c>
      <c r="L115" s="3">
        <f t="shared" si="6"/>
        <v>31.293375394321764</v>
      </c>
      <c r="M115" s="3">
        <v>0</v>
      </c>
      <c r="N115" s="3">
        <f t="shared" si="7"/>
        <v>0</v>
      </c>
      <c r="O115" s="3">
        <v>111.74</v>
      </c>
      <c r="P115" s="15">
        <v>0</v>
      </c>
      <c r="Q115" s="22" t="s">
        <v>1348</v>
      </c>
      <c r="R115" s="83">
        <v>43797</v>
      </c>
      <c r="S115" s="22"/>
      <c r="T115" s="22"/>
      <c r="U115" s="22" t="s">
        <v>1348</v>
      </c>
      <c r="V115" s="22" t="s">
        <v>1348</v>
      </c>
      <c r="W115" s="22" t="s">
        <v>1348</v>
      </c>
      <c r="X115" s="22"/>
      <c r="Y115" s="22"/>
      <c r="Z115" s="22"/>
      <c r="AA115" s="22"/>
      <c r="AB115" s="22"/>
      <c r="AC115" s="22"/>
      <c r="AD115" s="22"/>
      <c r="AE115" s="22"/>
    </row>
    <row r="116" spans="1:31" x14ac:dyDescent="0.25">
      <c r="A116" s="1" t="s">
        <v>0</v>
      </c>
      <c r="B116" s="1" t="s">
        <v>698</v>
      </c>
      <c r="C116" s="2" t="s">
        <v>837</v>
      </c>
      <c r="D116" s="1" t="s">
        <v>836</v>
      </c>
      <c r="E116" s="1"/>
      <c r="F116" s="3">
        <v>195</v>
      </c>
      <c r="G116" s="3">
        <v>196</v>
      </c>
      <c r="H116" s="4">
        <v>839</v>
      </c>
      <c r="I116" s="3">
        <v>439</v>
      </c>
      <c r="J116" s="3">
        <v>400</v>
      </c>
      <c r="K116" s="3">
        <v>21</v>
      </c>
      <c r="L116" s="3">
        <f t="shared" si="6"/>
        <v>2.5029797377830754</v>
      </c>
      <c r="M116" s="3">
        <v>0</v>
      </c>
      <c r="N116" s="3">
        <f t="shared" si="7"/>
        <v>0</v>
      </c>
      <c r="O116" s="3">
        <v>41</v>
      </c>
      <c r="P116" s="15">
        <v>0</v>
      </c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</row>
    <row r="117" spans="1:31" x14ac:dyDescent="0.25">
      <c r="A117" s="1" t="s">
        <v>0</v>
      </c>
      <c r="B117" s="1" t="s">
        <v>698</v>
      </c>
      <c r="C117" s="2" t="s">
        <v>837</v>
      </c>
      <c r="D117" s="1" t="s">
        <v>839</v>
      </c>
      <c r="E117" s="1"/>
      <c r="F117" s="3">
        <v>1455</v>
      </c>
      <c r="G117" s="3">
        <v>630</v>
      </c>
      <c r="H117" s="4">
        <v>3237</v>
      </c>
      <c r="I117" s="3">
        <v>1714</v>
      </c>
      <c r="J117" s="3">
        <v>1523</v>
      </c>
      <c r="K117" s="3">
        <v>361</v>
      </c>
      <c r="L117" s="3">
        <f t="shared" si="6"/>
        <v>11.152301513747297</v>
      </c>
      <c r="M117" s="3">
        <v>0</v>
      </c>
      <c r="N117" s="3">
        <f t="shared" si="7"/>
        <v>0</v>
      </c>
      <c r="O117" s="3">
        <v>0</v>
      </c>
      <c r="P117" s="15">
        <v>101</v>
      </c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</row>
    <row r="118" spans="1:31" x14ac:dyDescent="0.25">
      <c r="A118" s="1" t="s">
        <v>0</v>
      </c>
      <c r="B118" s="1" t="s">
        <v>698</v>
      </c>
      <c r="C118" s="2" t="s">
        <v>852</v>
      </c>
      <c r="D118" s="1" t="s">
        <v>851</v>
      </c>
      <c r="E118" s="1"/>
      <c r="F118" s="3">
        <v>283</v>
      </c>
      <c r="G118" s="3">
        <v>184</v>
      </c>
      <c r="H118" s="4">
        <v>822</v>
      </c>
      <c r="I118" s="3">
        <v>416</v>
      </c>
      <c r="J118" s="3">
        <v>406</v>
      </c>
      <c r="K118" s="3">
        <v>0</v>
      </c>
      <c r="L118" s="3">
        <f t="shared" si="6"/>
        <v>0</v>
      </c>
      <c r="M118" s="3">
        <v>0</v>
      </c>
      <c r="N118" s="3">
        <f t="shared" si="7"/>
        <v>0</v>
      </c>
      <c r="O118" s="3">
        <v>7</v>
      </c>
      <c r="P118" s="15">
        <v>0</v>
      </c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</row>
    <row r="119" spans="1:31" x14ac:dyDescent="0.25">
      <c r="A119" s="1" t="s">
        <v>0</v>
      </c>
      <c r="B119" s="1" t="s">
        <v>698</v>
      </c>
      <c r="C119" s="2" t="s">
        <v>852</v>
      </c>
      <c r="D119" s="1" t="s">
        <v>852</v>
      </c>
      <c r="E119" s="1"/>
      <c r="F119" s="3">
        <v>519</v>
      </c>
      <c r="G119" s="3">
        <v>201</v>
      </c>
      <c r="H119" s="4">
        <v>951</v>
      </c>
      <c r="I119" s="3">
        <v>506</v>
      </c>
      <c r="J119" s="3">
        <v>445</v>
      </c>
      <c r="K119" s="3">
        <v>180</v>
      </c>
      <c r="L119" s="3">
        <f t="shared" si="6"/>
        <v>18.927444794952681</v>
      </c>
      <c r="M119" s="3">
        <v>0</v>
      </c>
      <c r="N119" s="3">
        <f t="shared" si="7"/>
        <v>0</v>
      </c>
      <c r="O119" s="3">
        <v>62</v>
      </c>
      <c r="P119" s="15">
        <v>0</v>
      </c>
      <c r="Q119" s="22" t="s">
        <v>1348</v>
      </c>
      <c r="R119" s="83">
        <v>44167</v>
      </c>
      <c r="S119" s="22"/>
      <c r="T119" s="22"/>
      <c r="U119" s="22" t="s">
        <v>1348</v>
      </c>
      <c r="V119" s="22" t="s">
        <v>1348</v>
      </c>
      <c r="W119" s="22" t="s">
        <v>1348</v>
      </c>
      <c r="X119" s="22"/>
      <c r="Y119" s="22"/>
      <c r="Z119" s="22"/>
      <c r="AA119" s="22"/>
      <c r="AB119" s="22"/>
      <c r="AC119" s="22"/>
      <c r="AD119" s="22"/>
      <c r="AE119" s="22"/>
    </row>
    <row r="120" spans="1:31" x14ac:dyDescent="0.25">
      <c r="A120" s="1" t="s">
        <v>0</v>
      </c>
      <c r="B120" s="1" t="s">
        <v>698</v>
      </c>
      <c r="C120" s="2" t="s">
        <v>852</v>
      </c>
      <c r="D120" s="1" t="s">
        <v>853</v>
      </c>
      <c r="E120" s="1"/>
      <c r="F120" s="3">
        <v>240</v>
      </c>
      <c r="G120" s="3">
        <v>180</v>
      </c>
      <c r="H120" s="4">
        <v>914</v>
      </c>
      <c r="I120" s="3">
        <v>484</v>
      </c>
      <c r="J120" s="3">
        <v>430</v>
      </c>
      <c r="K120" s="3">
        <v>29</v>
      </c>
      <c r="L120" s="3">
        <f t="shared" si="6"/>
        <v>3.1728665207877462</v>
      </c>
      <c r="M120" s="3">
        <v>0</v>
      </c>
      <c r="N120" s="3">
        <f t="shared" si="7"/>
        <v>0</v>
      </c>
      <c r="O120" s="3">
        <v>0</v>
      </c>
      <c r="P120" s="15">
        <v>0</v>
      </c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</row>
    <row r="121" spans="1:31" x14ac:dyDescent="0.25">
      <c r="A121" s="1" t="s">
        <v>0</v>
      </c>
      <c r="B121" s="1" t="s">
        <v>698</v>
      </c>
      <c r="C121" s="2" t="s">
        <v>852</v>
      </c>
      <c r="D121" s="1" t="s">
        <v>60</v>
      </c>
      <c r="E121" s="1"/>
      <c r="F121" s="3">
        <v>206</v>
      </c>
      <c r="G121" s="3">
        <v>74</v>
      </c>
      <c r="H121" s="4">
        <v>362</v>
      </c>
      <c r="I121" s="3">
        <v>197</v>
      </c>
      <c r="J121" s="3">
        <v>165</v>
      </c>
      <c r="K121" s="3">
        <v>2</v>
      </c>
      <c r="L121" s="3">
        <f t="shared" si="6"/>
        <v>0.55248618784530379</v>
      </c>
      <c r="M121" s="3">
        <v>0</v>
      </c>
      <c r="N121" s="3">
        <f t="shared" si="7"/>
        <v>0</v>
      </c>
      <c r="O121" s="3">
        <v>6</v>
      </c>
      <c r="P121" s="15">
        <v>0</v>
      </c>
      <c r="Q121" s="22" t="s">
        <v>1348</v>
      </c>
      <c r="R121" s="83">
        <v>44076</v>
      </c>
      <c r="S121" s="22"/>
      <c r="T121" s="22"/>
      <c r="U121" s="22" t="s">
        <v>1348</v>
      </c>
      <c r="V121" s="22" t="s">
        <v>1348</v>
      </c>
      <c r="W121" s="22" t="s">
        <v>1348</v>
      </c>
      <c r="X121" s="22"/>
      <c r="Y121" s="22"/>
      <c r="Z121" s="22"/>
      <c r="AA121" s="22"/>
      <c r="AB121" s="22"/>
      <c r="AC121" s="22"/>
      <c r="AD121" s="22"/>
      <c r="AE121" s="22"/>
    </row>
    <row r="122" spans="1:31" x14ac:dyDescent="0.25">
      <c r="A122" s="1" t="s">
        <v>0</v>
      </c>
      <c r="B122" s="1" t="s">
        <v>698</v>
      </c>
      <c r="C122" s="2" t="s">
        <v>852</v>
      </c>
      <c r="D122" s="1" t="s">
        <v>858</v>
      </c>
      <c r="E122" s="1"/>
      <c r="F122" s="3">
        <v>714</v>
      </c>
      <c r="G122" s="3">
        <v>108</v>
      </c>
      <c r="H122" s="4">
        <v>490</v>
      </c>
      <c r="I122" s="3">
        <v>232</v>
      </c>
      <c r="J122" s="3">
        <v>258</v>
      </c>
      <c r="K122" s="3">
        <v>0</v>
      </c>
      <c r="L122" s="3">
        <f t="shared" si="6"/>
        <v>0</v>
      </c>
      <c r="M122" s="3">
        <v>2</v>
      </c>
      <c r="N122" s="3">
        <f t="shared" si="7"/>
        <v>0.40816326530612246</v>
      </c>
      <c r="O122" s="3">
        <v>72</v>
      </c>
      <c r="P122" s="15">
        <v>300</v>
      </c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</row>
    <row r="123" spans="1:31" x14ac:dyDescent="0.25">
      <c r="A123" s="1" t="s">
        <v>0</v>
      </c>
      <c r="B123" s="1" t="s">
        <v>698</v>
      </c>
      <c r="C123" s="2" t="s">
        <v>800</v>
      </c>
      <c r="D123" s="1" t="s">
        <v>799</v>
      </c>
      <c r="E123" s="1"/>
      <c r="F123" s="3">
        <v>165.25</v>
      </c>
      <c r="G123" s="3">
        <v>64</v>
      </c>
      <c r="H123" s="4">
        <v>294</v>
      </c>
      <c r="I123" s="3">
        <v>169</v>
      </c>
      <c r="J123" s="3">
        <v>125</v>
      </c>
      <c r="K123" s="3">
        <v>0</v>
      </c>
      <c r="L123" s="3">
        <f t="shared" si="6"/>
        <v>0</v>
      </c>
      <c r="M123" s="3">
        <v>0</v>
      </c>
      <c r="N123" s="3">
        <f t="shared" si="7"/>
        <v>0</v>
      </c>
      <c r="O123" s="3">
        <v>14.07</v>
      </c>
      <c r="P123" s="15">
        <v>0</v>
      </c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</row>
    <row r="124" spans="1:31" x14ac:dyDescent="0.25">
      <c r="A124" s="1" t="s">
        <v>0</v>
      </c>
      <c r="B124" s="1" t="s">
        <v>698</v>
      </c>
      <c r="C124" s="2" t="s">
        <v>800</v>
      </c>
      <c r="D124" s="1" t="s">
        <v>801</v>
      </c>
      <c r="E124" s="1"/>
      <c r="F124" s="3">
        <v>185.15</v>
      </c>
      <c r="G124" s="3">
        <v>112</v>
      </c>
      <c r="H124" s="4">
        <v>557</v>
      </c>
      <c r="I124" s="3">
        <v>293</v>
      </c>
      <c r="J124" s="3">
        <v>264</v>
      </c>
      <c r="K124" s="3">
        <v>0</v>
      </c>
      <c r="L124" s="3">
        <f t="shared" si="6"/>
        <v>0</v>
      </c>
      <c r="M124" s="3">
        <v>0</v>
      </c>
      <c r="N124" s="3">
        <f t="shared" si="7"/>
        <v>0</v>
      </c>
      <c r="O124" s="3">
        <v>27.19</v>
      </c>
      <c r="P124" s="15">
        <v>0</v>
      </c>
      <c r="Q124" s="22" t="s">
        <v>1348</v>
      </c>
      <c r="R124" s="83">
        <v>44070</v>
      </c>
      <c r="S124" s="22"/>
      <c r="T124" s="22"/>
      <c r="U124" s="22" t="s">
        <v>1348</v>
      </c>
      <c r="V124" s="22" t="s">
        <v>1348</v>
      </c>
      <c r="W124" s="22" t="s">
        <v>1348</v>
      </c>
      <c r="X124" s="22"/>
      <c r="Y124" s="22"/>
      <c r="Z124" s="22"/>
      <c r="AA124" s="22"/>
      <c r="AB124" s="22"/>
      <c r="AC124" s="22"/>
      <c r="AD124" s="22"/>
      <c r="AE124" s="22"/>
    </row>
    <row r="125" spans="1:31" x14ac:dyDescent="0.25">
      <c r="A125" s="1" t="s">
        <v>0</v>
      </c>
      <c r="B125" s="1" t="s">
        <v>698</v>
      </c>
      <c r="C125" s="2" t="s">
        <v>800</v>
      </c>
      <c r="D125" s="1" t="s">
        <v>802</v>
      </c>
      <c r="E125" s="1"/>
      <c r="F125" s="3">
        <v>524.39</v>
      </c>
      <c r="G125" s="3">
        <v>364</v>
      </c>
      <c r="H125" s="4">
        <v>1814</v>
      </c>
      <c r="I125" s="3">
        <v>921</v>
      </c>
      <c r="J125" s="3">
        <v>893</v>
      </c>
      <c r="K125" s="3">
        <v>110</v>
      </c>
      <c r="L125" s="3">
        <f t="shared" si="6"/>
        <v>6.0639470782800444</v>
      </c>
      <c r="M125" s="3">
        <v>0</v>
      </c>
      <c r="N125" s="3">
        <f t="shared" si="7"/>
        <v>0</v>
      </c>
      <c r="O125" s="3">
        <v>0</v>
      </c>
      <c r="P125" s="15">
        <v>8.57</v>
      </c>
      <c r="Q125" s="22" t="s">
        <v>1348</v>
      </c>
      <c r="R125" s="83">
        <v>43814</v>
      </c>
      <c r="S125" s="22"/>
      <c r="T125" s="22"/>
      <c r="U125" s="22" t="s">
        <v>1348</v>
      </c>
      <c r="V125" s="22" t="s">
        <v>1348</v>
      </c>
      <c r="W125" s="22" t="s">
        <v>1348</v>
      </c>
      <c r="X125" s="22"/>
      <c r="Y125" s="22"/>
      <c r="Z125" s="22"/>
      <c r="AA125" s="22"/>
      <c r="AB125" s="22"/>
      <c r="AC125" s="22"/>
      <c r="AD125" s="22"/>
      <c r="AE125" s="22"/>
    </row>
    <row r="126" spans="1:31" x14ac:dyDescent="0.25">
      <c r="A126" s="1" t="s">
        <v>0</v>
      </c>
      <c r="B126" s="1" t="s">
        <v>698</v>
      </c>
      <c r="C126" s="2" t="s">
        <v>800</v>
      </c>
      <c r="D126" s="1" t="s">
        <v>803</v>
      </c>
      <c r="E126" s="1"/>
      <c r="F126" s="3">
        <v>249.02</v>
      </c>
      <c r="G126" s="3">
        <v>75</v>
      </c>
      <c r="H126" s="4">
        <v>390</v>
      </c>
      <c r="I126" s="3">
        <v>202</v>
      </c>
      <c r="J126" s="3">
        <v>188</v>
      </c>
      <c r="K126" s="3">
        <v>0</v>
      </c>
      <c r="L126" s="3">
        <f t="shared" si="6"/>
        <v>0</v>
      </c>
      <c r="M126" s="3">
        <v>0</v>
      </c>
      <c r="N126" s="3">
        <f t="shared" si="7"/>
        <v>0</v>
      </c>
      <c r="O126" s="3">
        <v>0</v>
      </c>
      <c r="P126" s="15">
        <v>0</v>
      </c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</row>
    <row r="127" spans="1:31" x14ac:dyDescent="0.25">
      <c r="A127" s="1" t="s">
        <v>0</v>
      </c>
      <c r="B127" s="1" t="s">
        <v>698</v>
      </c>
      <c r="C127" s="2" t="s">
        <v>800</v>
      </c>
      <c r="D127" s="1" t="s">
        <v>804</v>
      </c>
      <c r="E127" s="1"/>
      <c r="F127" s="3">
        <v>145.16</v>
      </c>
      <c r="G127" s="3">
        <v>90</v>
      </c>
      <c r="H127" s="4">
        <v>474</v>
      </c>
      <c r="I127" s="3">
        <v>256</v>
      </c>
      <c r="J127" s="3">
        <v>218</v>
      </c>
      <c r="K127" s="3">
        <v>36</v>
      </c>
      <c r="L127" s="3">
        <f t="shared" si="6"/>
        <v>7.59493670886076</v>
      </c>
      <c r="M127" s="3">
        <v>0</v>
      </c>
      <c r="N127" s="3">
        <f t="shared" si="7"/>
        <v>0</v>
      </c>
      <c r="O127" s="3">
        <v>4.2</v>
      </c>
      <c r="P127" s="15">
        <v>0</v>
      </c>
      <c r="Q127" s="22" t="s">
        <v>1348</v>
      </c>
      <c r="R127" s="83">
        <v>43814</v>
      </c>
      <c r="S127" s="22"/>
      <c r="T127" s="22"/>
      <c r="U127" s="22" t="s">
        <v>1348</v>
      </c>
      <c r="V127" s="22" t="s">
        <v>1348</v>
      </c>
      <c r="W127" s="22" t="s">
        <v>1348</v>
      </c>
      <c r="X127" s="22"/>
      <c r="Y127" s="22"/>
      <c r="Z127" s="22"/>
      <c r="AA127" s="22"/>
      <c r="AB127" s="22"/>
      <c r="AC127" s="22"/>
      <c r="AD127" s="22"/>
      <c r="AE127" s="22"/>
    </row>
    <row r="128" spans="1:31" x14ac:dyDescent="0.25">
      <c r="A128" s="1" t="s">
        <v>0</v>
      </c>
      <c r="B128" s="1" t="s">
        <v>698</v>
      </c>
      <c r="C128" s="2" t="s">
        <v>729</v>
      </c>
      <c r="D128" s="1" t="s">
        <v>728</v>
      </c>
      <c r="E128" s="1"/>
      <c r="F128" s="3">
        <v>790.58</v>
      </c>
      <c r="G128" s="3">
        <v>308</v>
      </c>
      <c r="H128" s="4">
        <v>1394</v>
      </c>
      <c r="I128" s="3">
        <v>684</v>
      </c>
      <c r="J128" s="3">
        <v>710</v>
      </c>
      <c r="K128" s="3">
        <v>312</v>
      </c>
      <c r="L128" s="3">
        <f t="shared" si="6"/>
        <v>22.381635581061694</v>
      </c>
      <c r="M128" s="3">
        <v>0</v>
      </c>
      <c r="N128" s="3">
        <f t="shared" si="7"/>
        <v>0</v>
      </c>
      <c r="O128" s="3">
        <v>52</v>
      </c>
      <c r="P128" s="15">
        <v>0</v>
      </c>
      <c r="Q128" s="22" t="s">
        <v>1348</v>
      </c>
      <c r="R128" s="83">
        <v>43795</v>
      </c>
      <c r="S128" s="22"/>
      <c r="T128" s="22"/>
      <c r="U128" s="22" t="s">
        <v>1348</v>
      </c>
      <c r="V128" s="22" t="s">
        <v>1348</v>
      </c>
      <c r="W128" s="22" t="s">
        <v>1348</v>
      </c>
      <c r="X128" s="22"/>
      <c r="Y128" s="22"/>
      <c r="Z128" s="22"/>
      <c r="AA128" s="22"/>
      <c r="AB128" s="22"/>
      <c r="AC128" s="22"/>
      <c r="AD128" s="22"/>
      <c r="AE128" s="22"/>
    </row>
    <row r="129" spans="1:31" x14ac:dyDescent="0.25">
      <c r="A129" s="1" t="s">
        <v>0</v>
      </c>
      <c r="B129" s="1" t="s">
        <v>698</v>
      </c>
      <c r="C129" s="2" t="s">
        <v>729</v>
      </c>
      <c r="D129" s="1" t="s">
        <v>730</v>
      </c>
      <c r="E129" s="1"/>
      <c r="F129" s="3">
        <v>1141.3599999999999</v>
      </c>
      <c r="G129" s="3">
        <v>282</v>
      </c>
      <c r="H129" s="4">
        <v>1299</v>
      </c>
      <c r="I129" s="3">
        <v>636</v>
      </c>
      <c r="J129" s="3">
        <v>663</v>
      </c>
      <c r="K129" s="3">
        <v>553</v>
      </c>
      <c r="L129" s="3">
        <f t="shared" si="6"/>
        <v>42.57120862201694</v>
      </c>
      <c r="M129" s="3">
        <v>7</v>
      </c>
      <c r="N129" s="3">
        <f t="shared" si="7"/>
        <v>0.53887605850654352</v>
      </c>
      <c r="O129" s="3">
        <v>174</v>
      </c>
      <c r="P129" s="15">
        <v>0</v>
      </c>
      <c r="Q129" s="22" t="s">
        <v>1348</v>
      </c>
      <c r="R129" s="83">
        <v>43798</v>
      </c>
      <c r="S129" s="22"/>
      <c r="T129" s="22"/>
      <c r="U129" s="22" t="s">
        <v>1348</v>
      </c>
      <c r="V129" s="22" t="s">
        <v>1348</v>
      </c>
      <c r="W129" s="22" t="s">
        <v>1348</v>
      </c>
      <c r="X129" s="22"/>
      <c r="Y129" s="22"/>
      <c r="Z129" s="22"/>
      <c r="AA129" s="22"/>
      <c r="AB129" s="22"/>
      <c r="AC129" s="22"/>
      <c r="AD129" s="22"/>
      <c r="AE129" s="22"/>
    </row>
    <row r="130" spans="1:31" x14ac:dyDescent="0.25">
      <c r="A130" s="1" t="s">
        <v>0</v>
      </c>
      <c r="B130" s="1" t="s">
        <v>698</v>
      </c>
      <c r="C130" s="2" t="s">
        <v>729</v>
      </c>
      <c r="D130" s="1" t="s">
        <v>1352</v>
      </c>
      <c r="E130" s="1"/>
      <c r="F130" s="3">
        <v>857.56</v>
      </c>
      <c r="G130" s="3">
        <v>234</v>
      </c>
      <c r="H130" s="4">
        <v>1049</v>
      </c>
      <c r="I130" s="3">
        <v>534</v>
      </c>
      <c r="J130" s="3">
        <v>515</v>
      </c>
      <c r="K130" s="3">
        <v>72</v>
      </c>
      <c r="L130" s="3">
        <f t="shared" si="6"/>
        <v>6.8636796949475691</v>
      </c>
      <c r="M130" s="3">
        <v>0</v>
      </c>
      <c r="N130" s="3">
        <f t="shared" si="7"/>
        <v>0</v>
      </c>
      <c r="O130" s="3">
        <v>132</v>
      </c>
      <c r="P130" s="15">
        <v>0</v>
      </c>
      <c r="Q130" s="22" t="s">
        <v>1348</v>
      </c>
      <c r="R130" s="83">
        <v>43796</v>
      </c>
      <c r="S130" s="22"/>
      <c r="T130" s="22"/>
      <c r="U130" s="22" t="s">
        <v>1348</v>
      </c>
      <c r="V130" s="22" t="s">
        <v>1348</v>
      </c>
      <c r="W130" s="22" t="s">
        <v>1348</v>
      </c>
      <c r="X130" s="22"/>
      <c r="Y130" s="22"/>
      <c r="Z130" s="22"/>
      <c r="AA130" s="22"/>
      <c r="AB130" s="22"/>
      <c r="AC130" s="22"/>
      <c r="AD130" s="22"/>
      <c r="AE130" s="22"/>
    </row>
    <row r="131" spans="1:31" x14ac:dyDescent="0.25">
      <c r="A131" s="1" t="s">
        <v>0</v>
      </c>
      <c r="B131" s="1" t="s">
        <v>698</v>
      </c>
      <c r="C131" s="2" t="s">
        <v>729</v>
      </c>
      <c r="D131" s="1" t="s">
        <v>731</v>
      </c>
      <c r="E131" s="1"/>
      <c r="F131" s="3">
        <v>520.74</v>
      </c>
      <c r="G131" s="3">
        <v>157</v>
      </c>
      <c r="H131" s="4">
        <v>800</v>
      </c>
      <c r="I131" s="3">
        <v>404</v>
      </c>
      <c r="J131" s="3">
        <v>396</v>
      </c>
      <c r="K131" s="3">
        <v>19</v>
      </c>
      <c r="L131" s="3">
        <f t="shared" si="6"/>
        <v>2.375</v>
      </c>
      <c r="M131" s="3">
        <v>0</v>
      </c>
      <c r="N131" s="3">
        <f t="shared" si="7"/>
        <v>0</v>
      </c>
      <c r="O131" s="3">
        <v>0</v>
      </c>
      <c r="P131" s="15">
        <v>0</v>
      </c>
      <c r="Q131" s="22" t="s">
        <v>1348</v>
      </c>
      <c r="R131" s="83">
        <v>43797</v>
      </c>
      <c r="S131" s="22"/>
      <c r="T131" s="22"/>
      <c r="U131" s="22" t="s">
        <v>1348</v>
      </c>
      <c r="V131" s="22" t="s">
        <v>1348</v>
      </c>
      <c r="W131" s="22" t="s">
        <v>1348</v>
      </c>
      <c r="X131" s="22"/>
      <c r="Y131" s="22"/>
      <c r="Z131" s="22"/>
      <c r="AA131" s="22"/>
      <c r="AB131" s="22"/>
      <c r="AC131" s="22"/>
      <c r="AD131" s="22"/>
      <c r="AE131" s="22"/>
    </row>
    <row r="132" spans="1:31" x14ac:dyDescent="0.25">
      <c r="A132" s="1" t="s">
        <v>0</v>
      </c>
      <c r="B132" s="1" t="s">
        <v>698</v>
      </c>
      <c r="C132" s="2" t="s">
        <v>816</v>
      </c>
      <c r="D132" s="1" t="s">
        <v>815</v>
      </c>
      <c r="E132" s="1"/>
      <c r="F132" s="3">
        <v>186.25</v>
      </c>
      <c r="G132" s="3">
        <v>214</v>
      </c>
      <c r="H132" s="4">
        <v>1102</v>
      </c>
      <c r="I132" s="3">
        <v>574</v>
      </c>
      <c r="J132" s="3">
        <v>528</v>
      </c>
      <c r="K132" s="3">
        <v>39</v>
      </c>
      <c r="L132" s="3">
        <f t="shared" ref="L132:L144" si="8">(K132/H132)*100</f>
        <v>3.5390199637023589</v>
      </c>
      <c r="M132" s="3">
        <v>0</v>
      </c>
      <c r="N132" s="3">
        <f t="shared" ref="N132:N144" si="9">(M132/H132)*100</f>
        <v>0</v>
      </c>
      <c r="O132" s="3">
        <v>0</v>
      </c>
      <c r="P132" s="15">
        <v>0</v>
      </c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</row>
    <row r="133" spans="1:31" x14ac:dyDescent="0.25">
      <c r="A133" s="1" t="s">
        <v>0</v>
      </c>
      <c r="B133" s="1" t="s">
        <v>698</v>
      </c>
      <c r="C133" s="2" t="s">
        <v>816</v>
      </c>
      <c r="D133" s="1" t="s">
        <v>818</v>
      </c>
      <c r="E133" s="1"/>
      <c r="F133" s="3">
        <v>361</v>
      </c>
      <c r="G133" s="3">
        <v>550</v>
      </c>
      <c r="H133" s="4">
        <v>2731</v>
      </c>
      <c r="I133" s="3">
        <v>1396</v>
      </c>
      <c r="J133" s="3">
        <v>1335</v>
      </c>
      <c r="K133" s="3">
        <v>382</v>
      </c>
      <c r="L133" s="3">
        <f t="shared" si="8"/>
        <v>13.987550347857928</v>
      </c>
      <c r="M133" s="3">
        <v>11</v>
      </c>
      <c r="N133" s="3">
        <f t="shared" si="9"/>
        <v>0.4027828634199927</v>
      </c>
      <c r="O133" s="3">
        <v>0</v>
      </c>
      <c r="P133" s="15">
        <v>12</v>
      </c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</row>
    <row r="134" spans="1:31" x14ac:dyDescent="0.25">
      <c r="A134" s="1" t="s">
        <v>0</v>
      </c>
      <c r="B134" s="1" t="s">
        <v>698</v>
      </c>
      <c r="C134" s="2" t="s">
        <v>816</v>
      </c>
      <c r="D134" s="1" t="s">
        <v>819</v>
      </c>
      <c r="E134" s="1"/>
      <c r="F134" s="3">
        <v>1842</v>
      </c>
      <c r="G134" s="3">
        <v>33</v>
      </c>
      <c r="H134" s="4">
        <v>157</v>
      </c>
      <c r="I134" s="3">
        <v>85</v>
      </c>
      <c r="J134" s="3">
        <v>72</v>
      </c>
      <c r="K134" s="3">
        <v>0</v>
      </c>
      <c r="L134" s="3">
        <f t="shared" si="8"/>
        <v>0</v>
      </c>
      <c r="M134" s="3">
        <v>0</v>
      </c>
      <c r="N134" s="3">
        <f t="shared" si="9"/>
        <v>0</v>
      </c>
      <c r="O134" s="3">
        <v>0</v>
      </c>
      <c r="P134" s="15">
        <v>1760</v>
      </c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</row>
    <row r="135" spans="1:31" x14ac:dyDescent="0.25">
      <c r="A135" s="1" t="s">
        <v>0</v>
      </c>
      <c r="B135" s="1" t="s">
        <v>698</v>
      </c>
      <c r="C135" s="2" t="s">
        <v>816</v>
      </c>
      <c r="D135" s="1" t="s">
        <v>820</v>
      </c>
      <c r="E135" s="1"/>
      <c r="F135" s="3">
        <v>302</v>
      </c>
      <c r="G135" s="3">
        <v>222</v>
      </c>
      <c r="H135" s="4">
        <v>1046</v>
      </c>
      <c r="I135" s="3">
        <v>507</v>
      </c>
      <c r="J135" s="3">
        <v>539</v>
      </c>
      <c r="K135" s="3">
        <v>7</v>
      </c>
      <c r="L135" s="3">
        <f t="shared" si="8"/>
        <v>0.6692160611854685</v>
      </c>
      <c r="M135" s="3">
        <v>0</v>
      </c>
      <c r="N135" s="3">
        <f t="shared" si="9"/>
        <v>0</v>
      </c>
      <c r="O135" s="3">
        <v>0</v>
      </c>
      <c r="P135" s="15">
        <v>0</v>
      </c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</row>
    <row r="136" spans="1:31" x14ac:dyDescent="0.25">
      <c r="A136" s="1" t="s">
        <v>0</v>
      </c>
      <c r="B136" s="1" t="s">
        <v>698</v>
      </c>
      <c r="C136" s="2" t="s">
        <v>816</v>
      </c>
      <c r="D136" s="1" t="s">
        <v>821</v>
      </c>
      <c r="E136" s="1"/>
      <c r="F136" s="3">
        <v>160</v>
      </c>
      <c r="G136" s="3">
        <v>58</v>
      </c>
      <c r="H136" s="4">
        <v>264</v>
      </c>
      <c r="I136" s="3">
        <v>146</v>
      </c>
      <c r="J136" s="3">
        <v>118</v>
      </c>
      <c r="K136" s="3">
        <v>0</v>
      </c>
      <c r="L136" s="3">
        <f t="shared" si="8"/>
        <v>0</v>
      </c>
      <c r="M136" s="3">
        <v>0</v>
      </c>
      <c r="N136" s="3">
        <f t="shared" si="9"/>
        <v>0</v>
      </c>
      <c r="O136" s="3">
        <v>0</v>
      </c>
      <c r="P136" s="15">
        <v>17</v>
      </c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</row>
    <row r="137" spans="1:31" x14ac:dyDescent="0.25">
      <c r="A137" s="1" t="s">
        <v>0</v>
      </c>
      <c r="B137" s="1" t="s">
        <v>698</v>
      </c>
      <c r="C137" s="2" t="s">
        <v>816</v>
      </c>
      <c r="D137" s="1" t="s">
        <v>823</v>
      </c>
      <c r="E137" s="1"/>
      <c r="F137" s="3">
        <v>389</v>
      </c>
      <c r="G137" s="3">
        <v>365</v>
      </c>
      <c r="H137" s="4">
        <v>1634</v>
      </c>
      <c r="I137" s="3">
        <v>796</v>
      </c>
      <c r="J137" s="3">
        <v>838</v>
      </c>
      <c r="K137" s="3">
        <v>67</v>
      </c>
      <c r="L137" s="3">
        <f t="shared" si="8"/>
        <v>4.1003671970624236</v>
      </c>
      <c r="M137" s="3">
        <v>0</v>
      </c>
      <c r="N137" s="3">
        <f t="shared" si="9"/>
        <v>0</v>
      </c>
      <c r="O137" s="3">
        <v>0</v>
      </c>
      <c r="P137" s="15">
        <v>65</v>
      </c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</row>
    <row r="138" spans="1:31" x14ac:dyDescent="0.25">
      <c r="A138" s="1" t="s">
        <v>0</v>
      </c>
      <c r="B138" s="1" t="s">
        <v>698</v>
      </c>
      <c r="C138" s="2" t="s">
        <v>816</v>
      </c>
      <c r="D138" s="1" t="s">
        <v>51</v>
      </c>
      <c r="E138" s="1"/>
      <c r="F138" s="3">
        <v>232</v>
      </c>
      <c r="G138" s="3">
        <v>38</v>
      </c>
      <c r="H138" s="4">
        <v>168</v>
      </c>
      <c r="I138" s="3">
        <v>90</v>
      </c>
      <c r="J138" s="3">
        <v>78</v>
      </c>
      <c r="K138" s="3">
        <v>3</v>
      </c>
      <c r="L138" s="3">
        <f t="shared" si="8"/>
        <v>1.7857142857142856</v>
      </c>
      <c r="M138" s="3">
        <v>14</v>
      </c>
      <c r="N138" s="3">
        <f t="shared" si="9"/>
        <v>8.3333333333333321</v>
      </c>
      <c r="O138" s="3">
        <v>0</v>
      </c>
      <c r="P138" s="15">
        <v>0</v>
      </c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</row>
    <row r="139" spans="1:31" x14ac:dyDescent="0.25">
      <c r="A139" s="1" t="s">
        <v>0</v>
      </c>
      <c r="B139" s="1" t="s">
        <v>698</v>
      </c>
      <c r="C139" s="2" t="s">
        <v>816</v>
      </c>
      <c r="D139" s="1" t="s">
        <v>824</v>
      </c>
      <c r="E139" s="1"/>
      <c r="F139" s="2">
        <v>55</v>
      </c>
      <c r="G139" s="5"/>
      <c r="H139" s="4">
        <v>0</v>
      </c>
      <c r="I139" s="5"/>
      <c r="J139" s="5"/>
      <c r="K139" s="5"/>
      <c r="L139" s="3" t="e">
        <f t="shared" si="8"/>
        <v>#DIV/0!</v>
      </c>
      <c r="M139" s="5"/>
      <c r="N139" s="3" t="e">
        <f t="shared" si="9"/>
        <v>#DIV/0!</v>
      </c>
      <c r="O139" s="2">
        <v>0</v>
      </c>
      <c r="P139" s="18">
        <v>0</v>
      </c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</row>
    <row r="140" spans="1:31" x14ac:dyDescent="0.25">
      <c r="A140" s="1" t="s">
        <v>0</v>
      </c>
      <c r="B140" s="1" t="s">
        <v>698</v>
      </c>
      <c r="C140" s="2" t="s">
        <v>816</v>
      </c>
      <c r="D140" s="1" t="s">
        <v>825</v>
      </c>
      <c r="E140" s="1"/>
      <c r="F140" s="3">
        <v>776</v>
      </c>
      <c r="G140" s="3">
        <v>203</v>
      </c>
      <c r="H140" s="4">
        <v>1119</v>
      </c>
      <c r="I140" s="3">
        <v>557</v>
      </c>
      <c r="J140" s="3">
        <v>562</v>
      </c>
      <c r="K140" s="3">
        <v>0</v>
      </c>
      <c r="L140" s="3">
        <f t="shared" si="8"/>
        <v>0</v>
      </c>
      <c r="M140" s="3">
        <v>0</v>
      </c>
      <c r="N140" s="3">
        <f t="shared" si="9"/>
        <v>0</v>
      </c>
      <c r="O140" s="3">
        <v>0</v>
      </c>
      <c r="P140" s="15">
        <v>42</v>
      </c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</row>
    <row r="141" spans="1:31" x14ac:dyDescent="0.25">
      <c r="A141" s="1" t="s">
        <v>0</v>
      </c>
      <c r="B141" s="1" t="s">
        <v>698</v>
      </c>
      <c r="C141" s="2" t="s">
        <v>816</v>
      </c>
      <c r="D141" s="1" t="s">
        <v>826</v>
      </c>
      <c r="E141" s="1"/>
      <c r="F141" s="3">
        <v>103</v>
      </c>
      <c r="G141" s="3">
        <v>31</v>
      </c>
      <c r="H141" s="4">
        <v>148</v>
      </c>
      <c r="I141" s="3">
        <v>81</v>
      </c>
      <c r="J141" s="3">
        <v>67</v>
      </c>
      <c r="K141" s="3">
        <v>0</v>
      </c>
      <c r="L141" s="3">
        <f t="shared" si="8"/>
        <v>0</v>
      </c>
      <c r="M141" s="3">
        <v>0</v>
      </c>
      <c r="N141" s="3">
        <f t="shared" si="9"/>
        <v>0</v>
      </c>
      <c r="O141" s="3">
        <v>0</v>
      </c>
      <c r="P141" s="15">
        <v>0</v>
      </c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</row>
    <row r="142" spans="1:31" x14ac:dyDescent="0.25">
      <c r="A142" s="1" t="s">
        <v>0</v>
      </c>
      <c r="B142" s="1" t="s">
        <v>698</v>
      </c>
      <c r="C142" s="2" t="s">
        <v>854</v>
      </c>
      <c r="D142" s="1" t="s">
        <v>382</v>
      </c>
      <c r="E142" s="1"/>
      <c r="F142" s="3">
        <v>308</v>
      </c>
      <c r="G142" s="3">
        <v>172</v>
      </c>
      <c r="H142" s="4">
        <v>837</v>
      </c>
      <c r="I142" s="3">
        <v>436</v>
      </c>
      <c r="J142" s="3">
        <v>401</v>
      </c>
      <c r="K142" s="3">
        <v>7</v>
      </c>
      <c r="L142" s="3">
        <f t="shared" si="8"/>
        <v>0.83632019115890077</v>
      </c>
      <c r="M142" s="3">
        <v>0</v>
      </c>
      <c r="N142" s="3">
        <f t="shared" si="9"/>
        <v>0</v>
      </c>
      <c r="O142" s="3">
        <v>21</v>
      </c>
      <c r="P142" s="15">
        <v>0</v>
      </c>
      <c r="Q142" s="22" t="s">
        <v>1348</v>
      </c>
      <c r="R142" s="83">
        <v>44137</v>
      </c>
      <c r="S142" s="22"/>
      <c r="T142" s="22"/>
      <c r="U142" s="22" t="s">
        <v>1348</v>
      </c>
      <c r="V142" s="22" t="s">
        <v>1348</v>
      </c>
      <c r="W142" s="22" t="s">
        <v>1348</v>
      </c>
      <c r="X142" s="22"/>
      <c r="Y142" s="22"/>
      <c r="Z142" s="22"/>
      <c r="AA142" s="22"/>
      <c r="AB142" s="22"/>
      <c r="AC142" s="22"/>
      <c r="AD142" s="22"/>
      <c r="AE142" s="22"/>
    </row>
    <row r="143" spans="1:31" x14ac:dyDescent="0.25">
      <c r="A143" s="1" t="s">
        <v>0</v>
      </c>
      <c r="B143" s="1" t="s">
        <v>698</v>
      </c>
      <c r="C143" s="2" t="s">
        <v>854</v>
      </c>
      <c r="D143" s="1" t="s">
        <v>855</v>
      </c>
      <c r="E143" s="1"/>
      <c r="F143" s="3">
        <v>3048</v>
      </c>
      <c r="G143" s="3">
        <v>562</v>
      </c>
      <c r="H143" s="4">
        <v>2735</v>
      </c>
      <c r="I143" s="3">
        <v>1417</v>
      </c>
      <c r="J143" s="3">
        <v>1318</v>
      </c>
      <c r="K143" s="3">
        <v>965</v>
      </c>
      <c r="L143" s="3">
        <f t="shared" si="8"/>
        <v>35.283363802559414</v>
      </c>
      <c r="M143" s="3">
        <v>4</v>
      </c>
      <c r="N143" s="3">
        <f t="shared" si="9"/>
        <v>0.14625228519195613</v>
      </c>
      <c r="O143" s="3">
        <v>273</v>
      </c>
      <c r="P143" s="15">
        <v>588</v>
      </c>
      <c r="Q143" s="22" t="s">
        <v>1348</v>
      </c>
      <c r="R143" s="83">
        <v>44490</v>
      </c>
      <c r="S143" s="22"/>
      <c r="T143" s="22"/>
      <c r="U143" s="22" t="s">
        <v>1348</v>
      </c>
      <c r="V143" s="22" t="s">
        <v>1348</v>
      </c>
      <c r="W143" s="22" t="s">
        <v>1348</v>
      </c>
      <c r="X143" s="22"/>
      <c r="Y143" s="22"/>
      <c r="Z143" s="22"/>
      <c r="AA143" s="22"/>
      <c r="AB143" s="22"/>
      <c r="AC143" s="22"/>
      <c r="AD143" s="22"/>
      <c r="AE143" s="22"/>
    </row>
    <row r="144" spans="1:31" x14ac:dyDescent="0.25">
      <c r="A144" s="1" t="s">
        <v>0</v>
      </c>
      <c r="B144" s="1" t="s">
        <v>698</v>
      </c>
      <c r="C144" s="2" t="s">
        <v>854</v>
      </c>
      <c r="D144" s="1" t="s">
        <v>857</v>
      </c>
      <c r="E144" s="1"/>
      <c r="F144" s="3">
        <v>646</v>
      </c>
      <c r="G144" s="3">
        <v>284</v>
      </c>
      <c r="H144" s="4">
        <v>1541</v>
      </c>
      <c r="I144" s="3">
        <v>790</v>
      </c>
      <c r="J144" s="3">
        <v>751</v>
      </c>
      <c r="K144" s="3">
        <v>0</v>
      </c>
      <c r="L144" s="3">
        <f t="shared" si="8"/>
        <v>0</v>
      </c>
      <c r="M144" s="3">
        <v>0</v>
      </c>
      <c r="N144" s="3">
        <f t="shared" si="9"/>
        <v>0</v>
      </c>
      <c r="O144" s="3">
        <v>37</v>
      </c>
      <c r="P144" s="15">
        <v>0</v>
      </c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</row>
  </sheetData>
  <mergeCells count="3">
    <mergeCell ref="AD2:AE2"/>
    <mergeCell ref="M2:N2"/>
    <mergeCell ref="K2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3"/>
  <sheetViews>
    <sheetView workbookViewId="0">
      <selection activeCell="I3" sqref="I3"/>
    </sheetView>
  </sheetViews>
  <sheetFormatPr defaultRowHeight="15" x14ac:dyDescent="0.25"/>
  <cols>
    <col min="3" max="3" width="18.28515625" customWidth="1"/>
    <col min="4" max="4" width="17.5703125" customWidth="1"/>
    <col min="18" max="18" width="10.42578125" style="99" bestFit="1" customWidth="1"/>
  </cols>
  <sheetData>
    <row r="1" spans="1:31" ht="15.75" x14ac:dyDescent="0.25">
      <c r="A1" s="23"/>
      <c r="B1" s="23"/>
      <c r="C1" s="24"/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11" t="s">
        <v>1327</v>
      </c>
      <c r="R1" s="94" t="s">
        <v>1327</v>
      </c>
      <c r="S1" s="11" t="s">
        <v>1328</v>
      </c>
      <c r="T1" s="12" t="s">
        <v>1329</v>
      </c>
      <c r="U1" s="11" t="s">
        <v>1329</v>
      </c>
      <c r="V1" s="11" t="s">
        <v>1329</v>
      </c>
      <c r="W1" s="11" t="s">
        <v>1329</v>
      </c>
      <c r="X1" s="11" t="s">
        <v>1329</v>
      </c>
      <c r="Y1" s="11" t="s">
        <v>1329</v>
      </c>
      <c r="Z1" s="13" t="s">
        <v>1330</v>
      </c>
      <c r="AA1" s="13" t="s">
        <v>1330</v>
      </c>
      <c r="AB1" s="13" t="s">
        <v>1330</v>
      </c>
      <c r="AC1" s="13" t="s">
        <v>1330</v>
      </c>
      <c r="AD1" s="13" t="s">
        <v>1330</v>
      </c>
      <c r="AE1" s="13" t="s">
        <v>1330</v>
      </c>
    </row>
    <row r="2" spans="1:31" ht="165" x14ac:dyDescent="0.25">
      <c r="A2" s="25" t="s">
        <v>1336</v>
      </c>
      <c r="B2" s="25" t="s">
        <v>1337</v>
      </c>
      <c r="C2" s="25" t="s">
        <v>1338</v>
      </c>
      <c r="D2" s="25" t="s">
        <v>1339</v>
      </c>
      <c r="E2" s="25" t="s">
        <v>1340</v>
      </c>
      <c r="F2" s="25" t="s">
        <v>1341</v>
      </c>
      <c r="G2" s="25" t="s">
        <v>1342</v>
      </c>
      <c r="H2" s="25" t="s">
        <v>1343</v>
      </c>
      <c r="I2" s="25" t="s">
        <v>1344</v>
      </c>
      <c r="J2" s="25" t="s">
        <v>1345</v>
      </c>
      <c r="K2" s="119" t="s">
        <v>1346</v>
      </c>
      <c r="L2" s="120"/>
      <c r="M2" s="119" t="s">
        <v>1347</v>
      </c>
      <c r="N2" s="120"/>
      <c r="O2" s="14" t="s">
        <v>1331</v>
      </c>
      <c r="P2" s="14" t="s">
        <v>1332</v>
      </c>
      <c r="Q2" s="6" t="s">
        <v>1307</v>
      </c>
      <c r="R2" s="95" t="s">
        <v>1308</v>
      </c>
      <c r="S2" s="6" t="s">
        <v>1309</v>
      </c>
      <c r="T2" s="7" t="s">
        <v>1310</v>
      </c>
      <c r="U2" s="6" t="s">
        <v>1311</v>
      </c>
      <c r="V2" s="7" t="s">
        <v>1312</v>
      </c>
      <c r="W2" s="6" t="s">
        <v>1313</v>
      </c>
      <c r="X2" s="6" t="s">
        <v>1314</v>
      </c>
      <c r="Y2" s="7" t="s">
        <v>1315</v>
      </c>
      <c r="Z2" s="7" t="s">
        <v>1316</v>
      </c>
      <c r="AA2" s="7" t="s">
        <v>1317</v>
      </c>
      <c r="AB2" s="7" t="s">
        <v>1318</v>
      </c>
      <c r="AC2" s="7" t="s">
        <v>1319</v>
      </c>
      <c r="AD2" s="121" t="s">
        <v>1320</v>
      </c>
      <c r="AE2" s="121"/>
    </row>
    <row r="3" spans="1:31" ht="31.5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8" t="s">
        <v>1333</v>
      </c>
      <c r="L3" s="8" t="s">
        <v>1334</v>
      </c>
      <c r="M3" s="8" t="s">
        <v>1333</v>
      </c>
      <c r="N3" s="8" t="s">
        <v>1334</v>
      </c>
      <c r="O3" s="14" t="s">
        <v>1335</v>
      </c>
      <c r="P3" s="14" t="s">
        <v>1335</v>
      </c>
      <c r="Q3" s="8" t="s">
        <v>1321</v>
      </c>
      <c r="R3" s="95" t="s">
        <v>1322</v>
      </c>
      <c r="S3" s="8" t="s">
        <v>1323</v>
      </c>
      <c r="T3" s="9" t="s">
        <v>1323</v>
      </c>
      <c r="U3" s="8" t="s">
        <v>1321</v>
      </c>
      <c r="V3" s="8" t="s">
        <v>1321</v>
      </c>
      <c r="W3" s="9" t="s">
        <v>1321</v>
      </c>
      <c r="X3" s="9" t="s">
        <v>1321</v>
      </c>
      <c r="Y3" s="9" t="s">
        <v>1323</v>
      </c>
      <c r="Z3" s="9" t="s">
        <v>1321</v>
      </c>
      <c r="AA3" s="9" t="s">
        <v>1321</v>
      </c>
      <c r="AB3" s="9" t="s">
        <v>1323</v>
      </c>
      <c r="AC3" s="8" t="s">
        <v>1324</v>
      </c>
      <c r="AD3" s="10" t="s">
        <v>1325</v>
      </c>
      <c r="AE3" s="10" t="s">
        <v>1326</v>
      </c>
    </row>
    <row r="4" spans="1:31" x14ac:dyDescent="0.25">
      <c r="A4" s="1" t="s">
        <v>0</v>
      </c>
      <c r="B4" s="1" t="s">
        <v>859</v>
      </c>
      <c r="C4" s="2" t="s">
        <v>942</v>
      </c>
      <c r="D4" s="1" t="s">
        <v>941</v>
      </c>
      <c r="E4" s="1"/>
      <c r="F4" s="3">
        <v>2141</v>
      </c>
      <c r="G4" s="3">
        <v>383</v>
      </c>
      <c r="H4" s="4">
        <v>2041</v>
      </c>
      <c r="I4" s="3">
        <v>1034</v>
      </c>
      <c r="J4" s="3">
        <v>1007</v>
      </c>
      <c r="K4" s="3">
        <v>911</v>
      </c>
      <c r="L4" s="3">
        <f t="shared" ref="L4:L35" si="0">(K4/H4)*100</f>
        <v>44.634982851543356</v>
      </c>
      <c r="M4" s="3">
        <v>0</v>
      </c>
      <c r="N4" s="3">
        <f t="shared" ref="N4:N35" si="1">(M4/H4)*100</f>
        <v>0</v>
      </c>
      <c r="O4" s="3">
        <v>289</v>
      </c>
      <c r="P4" s="15">
        <v>0</v>
      </c>
      <c r="Q4" s="22" t="s">
        <v>1348</v>
      </c>
      <c r="R4" s="102">
        <v>43596</v>
      </c>
      <c r="S4" s="67">
        <v>116.47</v>
      </c>
      <c r="U4" s="22" t="s">
        <v>1348</v>
      </c>
      <c r="V4" s="22" t="s">
        <v>1348</v>
      </c>
      <c r="W4" s="22" t="s">
        <v>1348</v>
      </c>
      <c r="X4" s="22"/>
      <c r="Y4" s="22"/>
      <c r="Z4" s="22"/>
      <c r="AA4" s="22"/>
      <c r="AB4" s="22"/>
      <c r="AC4" s="22"/>
      <c r="AD4" s="22"/>
      <c r="AE4" s="22"/>
    </row>
    <row r="5" spans="1:31" x14ac:dyDescent="0.25">
      <c r="A5" s="1" t="s">
        <v>0</v>
      </c>
      <c r="B5" s="1" t="s">
        <v>859</v>
      </c>
      <c r="C5" s="2" t="s">
        <v>942</v>
      </c>
      <c r="D5" s="1" t="s">
        <v>946</v>
      </c>
      <c r="E5" s="1"/>
      <c r="F5" s="3">
        <v>1388</v>
      </c>
      <c r="G5" s="3">
        <v>262</v>
      </c>
      <c r="H5" s="4">
        <v>1178</v>
      </c>
      <c r="I5" s="3">
        <v>617</v>
      </c>
      <c r="J5" s="3">
        <v>561</v>
      </c>
      <c r="K5" s="3">
        <v>499</v>
      </c>
      <c r="L5" s="3">
        <f t="shared" si="0"/>
        <v>42.359932088285227</v>
      </c>
      <c r="M5" s="3">
        <v>0</v>
      </c>
      <c r="N5" s="3">
        <f t="shared" si="1"/>
        <v>0</v>
      </c>
      <c r="O5" s="3">
        <v>92</v>
      </c>
      <c r="P5" s="15">
        <v>0</v>
      </c>
      <c r="Q5" s="22" t="s">
        <v>1348</v>
      </c>
      <c r="R5" s="102">
        <v>43476</v>
      </c>
      <c r="S5" s="67">
        <v>35.64</v>
      </c>
      <c r="T5" s="22"/>
      <c r="U5" s="22" t="s">
        <v>1348</v>
      </c>
      <c r="V5" s="22" t="s">
        <v>1348</v>
      </c>
      <c r="W5" s="22" t="s">
        <v>1348</v>
      </c>
      <c r="X5" s="22"/>
      <c r="Y5" s="22"/>
      <c r="Z5" s="22"/>
      <c r="AA5" s="22"/>
      <c r="AB5" s="22"/>
      <c r="AC5" s="22"/>
      <c r="AD5" s="22"/>
      <c r="AE5" s="22"/>
    </row>
    <row r="6" spans="1:31" x14ac:dyDescent="0.25">
      <c r="A6" s="1" t="s">
        <v>0</v>
      </c>
      <c r="B6" s="1" t="s">
        <v>859</v>
      </c>
      <c r="C6" s="2" t="s">
        <v>942</v>
      </c>
      <c r="D6" s="1" t="s">
        <v>947</v>
      </c>
      <c r="E6" s="1"/>
      <c r="F6" s="3">
        <v>3430</v>
      </c>
      <c r="G6" s="3">
        <v>495</v>
      </c>
      <c r="H6" s="4">
        <v>2546</v>
      </c>
      <c r="I6" s="3">
        <v>1335</v>
      </c>
      <c r="J6" s="3">
        <v>1211</v>
      </c>
      <c r="K6" s="3">
        <v>1292</v>
      </c>
      <c r="L6" s="3">
        <f t="shared" si="0"/>
        <v>50.746268656716417</v>
      </c>
      <c r="M6" s="3">
        <v>0</v>
      </c>
      <c r="N6" s="3">
        <f t="shared" si="1"/>
        <v>0</v>
      </c>
      <c r="O6" s="3">
        <v>440</v>
      </c>
      <c r="P6" s="15">
        <v>37</v>
      </c>
      <c r="Q6" s="22" t="s">
        <v>1348</v>
      </c>
      <c r="R6" s="102">
        <v>43769</v>
      </c>
      <c r="S6" s="67">
        <v>47.55</v>
      </c>
      <c r="T6" s="22"/>
      <c r="U6" s="22" t="s">
        <v>1348</v>
      </c>
      <c r="V6" s="22" t="s">
        <v>1348</v>
      </c>
      <c r="W6" s="22" t="s">
        <v>1348</v>
      </c>
      <c r="X6" s="22"/>
      <c r="Y6" s="22"/>
      <c r="Z6" s="22"/>
      <c r="AA6" s="22"/>
      <c r="AB6" s="22"/>
      <c r="AC6" s="22"/>
      <c r="AD6" s="22"/>
      <c r="AE6" s="22"/>
    </row>
    <row r="7" spans="1:31" x14ac:dyDescent="0.25">
      <c r="A7" s="1" t="s">
        <v>0</v>
      </c>
      <c r="B7" s="1" t="s">
        <v>859</v>
      </c>
      <c r="C7" s="2" t="s">
        <v>912</v>
      </c>
      <c r="D7" s="1" t="s">
        <v>911</v>
      </c>
      <c r="E7" s="1"/>
      <c r="F7" s="3">
        <v>1898.48</v>
      </c>
      <c r="G7" s="3">
        <v>293</v>
      </c>
      <c r="H7" s="4">
        <v>1322</v>
      </c>
      <c r="I7" s="3">
        <v>654</v>
      </c>
      <c r="J7" s="3">
        <v>668</v>
      </c>
      <c r="K7" s="3">
        <v>423</v>
      </c>
      <c r="L7" s="3">
        <f t="shared" si="0"/>
        <v>31.996974281391832</v>
      </c>
      <c r="M7" s="3">
        <v>34</v>
      </c>
      <c r="N7" s="3">
        <f t="shared" si="1"/>
        <v>2.5718608169440245</v>
      </c>
      <c r="O7" s="3">
        <v>128.07</v>
      </c>
      <c r="P7" s="15">
        <v>0</v>
      </c>
      <c r="Q7" s="22" t="s">
        <v>1348</v>
      </c>
      <c r="R7" s="102">
        <v>43870</v>
      </c>
      <c r="S7" s="67">
        <v>91.88</v>
      </c>
      <c r="T7" s="22"/>
      <c r="U7" s="22" t="s">
        <v>1348</v>
      </c>
      <c r="V7" s="22" t="s">
        <v>1348</v>
      </c>
      <c r="W7" s="22" t="s">
        <v>1348</v>
      </c>
      <c r="X7" s="22"/>
      <c r="Y7" s="22"/>
      <c r="Z7" s="22"/>
      <c r="AA7" s="22"/>
      <c r="AB7" s="22"/>
      <c r="AC7" s="22"/>
      <c r="AD7" s="22"/>
      <c r="AE7" s="22"/>
    </row>
    <row r="8" spans="1:31" x14ac:dyDescent="0.25">
      <c r="A8" s="1" t="s">
        <v>0</v>
      </c>
      <c r="B8" s="1" t="s">
        <v>859</v>
      </c>
      <c r="C8" s="2" t="s">
        <v>912</v>
      </c>
      <c r="D8" s="1" t="s">
        <v>914</v>
      </c>
      <c r="E8" s="1"/>
      <c r="F8" s="3">
        <v>3646.18</v>
      </c>
      <c r="G8" s="3">
        <v>464</v>
      </c>
      <c r="H8" s="4">
        <v>2490</v>
      </c>
      <c r="I8" s="3">
        <v>1300</v>
      </c>
      <c r="J8" s="3">
        <v>1190</v>
      </c>
      <c r="K8" s="3">
        <v>334</v>
      </c>
      <c r="L8" s="3">
        <f t="shared" si="0"/>
        <v>13.413654618473897</v>
      </c>
      <c r="M8" s="3">
        <v>28</v>
      </c>
      <c r="N8" s="3">
        <f t="shared" si="1"/>
        <v>1.1244979919678715</v>
      </c>
      <c r="O8" s="3">
        <v>406.01</v>
      </c>
      <c r="P8" s="15">
        <v>0</v>
      </c>
      <c r="Q8" s="22"/>
      <c r="R8" s="97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</row>
    <row r="9" spans="1:31" x14ac:dyDescent="0.25">
      <c r="A9" s="1" t="s">
        <v>0</v>
      </c>
      <c r="B9" s="1" t="s">
        <v>859</v>
      </c>
      <c r="C9" s="2" t="s">
        <v>889</v>
      </c>
      <c r="D9" s="1" t="s">
        <v>888</v>
      </c>
      <c r="E9" s="1"/>
      <c r="F9" s="3">
        <v>1544</v>
      </c>
      <c r="G9" s="3">
        <v>421</v>
      </c>
      <c r="H9" s="4">
        <v>2398</v>
      </c>
      <c r="I9" s="3">
        <v>1253</v>
      </c>
      <c r="J9" s="3">
        <v>1145</v>
      </c>
      <c r="K9" s="3">
        <v>337</v>
      </c>
      <c r="L9" s="3">
        <f t="shared" si="0"/>
        <v>14.053377814845705</v>
      </c>
      <c r="M9" s="3">
        <v>202</v>
      </c>
      <c r="N9" s="3">
        <f t="shared" si="1"/>
        <v>8.4236864053377811</v>
      </c>
      <c r="O9" s="3">
        <v>49</v>
      </c>
      <c r="P9" s="15">
        <v>0</v>
      </c>
      <c r="Q9" s="22" t="s">
        <v>1348</v>
      </c>
      <c r="R9" s="102">
        <v>43876</v>
      </c>
      <c r="S9" s="67">
        <v>19.86</v>
      </c>
      <c r="T9" s="22"/>
      <c r="U9" s="22" t="s">
        <v>1348</v>
      </c>
      <c r="V9" s="22" t="s">
        <v>1348</v>
      </c>
      <c r="W9" s="22" t="s">
        <v>1348</v>
      </c>
      <c r="X9" s="22"/>
      <c r="Y9" s="22"/>
      <c r="Z9" s="22"/>
      <c r="AA9" s="22"/>
      <c r="AB9" s="22"/>
      <c r="AC9" s="22"/>
      <c r="AD9" s="22"/>
      <c r="AE9" s="22"/>
    </row>
    <row r="10" spans="1:31" x14ac:dyDescent="0.25">
      <c r="A10" s="1" t="s">
        <v>0</v>
      </c>
      <c r="B10" s="1" t="s">
        <v>859</v>
      </c>
      <c r="C10" s="2" t="s">
        <v>889</v>
      </c>
      <c r="D10" s="1" t="s">
        <v>890</v>
      </c>
      <c r="E10" s="1"/>
      <c r="F10" s="3">
        <v>1443</v>
      </c>
      <c r="G10" s="3">
        <v>276</v>
      </c>
      <c r="H10" s="4">
        <v>1335</v>
      </c>
      <c r="I10" s="3">
        <v>682</v>
      </c>
      <c r="J10" s="3">
        <v>653</v>
      </c>
      <c r="K10" s="3">
        <v>400</v>
      </c>
      <c r="L10" s="3">
        <f t="shared" si="0"/>
        <v>29.962546816479403</v>
      </c>
      <c r="M10" s="3">
        <v>0</v>
      </c>
      <c r="N10" s="3">
        <f t="shared" si="1"/>
        <v>0</v>
      </c>
      <c r="O10" s="3">
        <v>202</v>
      </c>
      <c r="P10" s="15">
        <v>0</v>
      </c>
      <c r="Q10" s="22" t="s">
        <v>1348</v>
      </c>
      <c r="R10" s="102">
        <v>43882</v>
      </c>
      <c r="S10" s="67">
        <v>113.74</v>
      </c>
      <c r="T10" s="22"/>
      <c r="U10" s="22" t="s">
        <v>1348</v>
      </c>
      <c r="V10" s="22" t="s">
        <v>1348</v>
      </c>
      <c r="W10" s="22" t="s">
        <v>1348</v>
      </c>
      <c r="X10" s="22"/>
      <c r="Y10" s="22"/>
      <c r="Z10" s="22"/>
      <c r="AA10" s="22"/>
      <c r="AB10" s="22"/>
      <c r="AC10" s="22"/>
      <c r="AD10" s="22"/>
      <c r="AE10" s="22"/>
    </row>
    <row r="11" spans="1:31" x14ac:dyDescent="0.25">
      <c r="A11" s="1" t="s">
        <v>0</v>
      </c>
      <c r="B11" s="1" t="s">
        <v>859</v>
      </c>
      <c r="C11" s="2" t="s">
        <v>889</v>
      </c>
      <c r="D11" s="1" t="s">
        <v>891</v>
      </c>
      <c r="E11" s="1"/>
      <c r="F11" s="3">
        <v>2842</v>
      </c>
      <c r="G11" s="3">
        <v>317</v>
      </c>
      <c r="H11" s="4">
        <v>1719</v>
      </c>
      <c r="I11" s="3">
        <v>908</v>
      </c>
      <c r="J11" s="3">
        <v>811</v>
      </c>
      <c r="K11" s="3">
        <v>173</v>
      </c>
      <c r="L11" s="3">
        <f t="shared" si="0"/>
        <v>10.063990692262943</v>
      </c>
      <c r="M11" s="3">
        <v>370</v>
      </c>
      <c r="N11" s="3">
        <f t="shared" si="1"/>
        <v>21.524141942990109</v>
      </c>
      <c r="O11" s="3">
        <v>58</v>
      </c>
      <c r="P11" s="15">
        <v>0</v>
      </c>
      <c r="Q11" s="22" t="s">
        <v>1348</v>
      </c>
      <c r="R11" s="102">
        <v>44085</v>
      </c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x14ac:dyDescent="0.25">
      <c r="A12" s="1" t="s">
        <v>0</v>
      </c>
      <c r="B12" s="1" t="s">
        <v>859</v>
      </c>
      <c r="C12" s="2" t="s">
        <v>889</v>
      </c>
      <c r="D12" s="1" t="s">
        <v>892</v>
      </c>
      <c r="E12" s="1"/>
      <c r="F12" s="3">
        <v>802</v>
      </c>
      <c r="G12" s="3">
        <v>119</v>
      </c>
      <c r="H12" s="4">
        <v>640</v>
      </c>
      <c r="I12" s="3">
        <v>337</v>
      </c>
      <c r="J12" s="3">
        <v>303</v>
      </c>
      <c r="K12" s="3">
        <v>36</v>
      </c>
      <c r="L12" s="3">
        <f t="shared" si="0"/>
        <v>5.625</v>
      </c>
      <c r="M12" s="3">
        <v>341</v>
      </c>
      <c r="N12" s="3">
        <f t="shared" si="1"/>
        <v>53.28125</v>
      </c>
      <c r="O12" s="3">
        <v>9</v>
      </c>
      <c r="P12" s="15">
        <v>0</v>
      </c>
      <c r="Q12" s="22"/>
      <c r="R12" s="97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 spans="1:31" x14ac:dyDescent="0.25">
      <c r="A13" s="1" t="s">
        <v>0</v>
      </c>
      <c r="B13" s="1" t="s">
        <v>859</v>
      </c>
      <c r="C13" s="2" t="s">
        <v>934</v>
      </c>
      <c r="D13" s="1" t="s">
        <v>933</v>
      </c>
      <c r="E13" s="1"/>
      <c r="F13" s="3">
        <v>693</v>
      </c>
      <c r="G13" s="3">
        <v>95</v>
      </c>
      <c r="H13" s="4">
        <v>572</v>
      </c>
      <c r="I13" s="3">
        <v>289</v>
      </c>
      <c r="J13" s="3">
        <v>283</v>
      </c>
      <c r="K13" s="3">
        <v>217</v>
      </c>
      <c r="L13" s="3">
        <f t="shared" si="0"/>
        <v>37.93706293706294</v>
      </c>
      <c r="M13" s="3">
        <v>0</v>
      </c>
      <c r="N13" s="3">
        <f t="shared" si="1"/>
        <v>0</v>
      </c>
      <c r="O13" s="3">
        <v>38</v>
      </c>
      <c r="P13" s="15">
        <v>0</v>
      </c>
      <c r="Q13" s="22" t="s">
        <v>1348</v>
      </c>
      <c r="R13" s="117" t="s">
        <v>1367</v>
      </c>
      <c r="S13" s="67">
        <v>10.220000000000001</v>
      </c>
      <c r="T13" s="22"/>
      <c r="U13" s="22" t="s">
        <v>1348</v>
      </c>
      <c r="V13" s="22" t="s">
        <v>1348</v>
      </c>
      <c r="W13" s="22" t="s">
        <v>1348</v>
      </c>
      <c r="X13" s="22"/>
      <c r="Y13" s="22"/>
      <c r="Z13" s="22"/>
      <c r="AA13" s="22"/>
      <c r="AB13" s="22"/>
      <c r="AC13" s="22"/>
      <c r="AD13" s="22"/>
      <c r="AE13" s="22"/>
    </row>
    <row r="14" spans="1:31" x14ac:dyDescent="0.25">
      <c r="A14" s="1" t="s">
        <v>0</v>
      </c>
      <c r="B14" s="1" t="s">
        <v>859</v>
      </c>
      <c r="C14" s="2" t="s">
        <v>934</v>
      </c>
      <c r="D14" s="1" t="s">
        <v>525</v>
      </c>
      <c r="E14" s="1"/>
      <c r="F14" s="3">
        <v>1163.17</v>
      </c>
      <c r="G14" s="3">
        <v>183</v>
      </c>
      <c r="H14" s="4">
        <v>1072</v>
      </c>
      <c r="I14" s="3">
        <v>552</v>
      </c>
      <c r="J14" s="3">
        <v>520</v>
      </c>
      <c r="K14" s="3">
        <v>148</v>
      </c>
      <c r="L14" s="3">
        <f t="shared" si="0"/>
        <v>13.805970149253731</v>
      </c>
      <c r="M14" s="3">
        <v>0</v>
      </c>
      <c r="N14" s="3">
        <f t="shared" si="1"/>
        <v>0</v>
      </c>
      <c r="O14" s="3">
        <v>40.07</v>
      </c>
      <c r="P14" s="15">
        <v>0</v>
      </c>
      <c r="Q14" s="22" t="s">
        <v>1348</v>
      </c>
      <c r="R14" s="117" t="s">
        <v>1368</v>
      </c>
      <c r="S14" s="67">
        <v>29.65</v>
      </c>
      <c r="T14" s="22"/>
      <c r="U14" s="22" t="s">
        <v>1348</v>
      </c>
      <c r="V14" s="22" t="s">
        <v>1348</v>
      </c>
      <c r="W14" s="22" t="s">
        <v>1348</v>
      </c>
      <c r="X14" s="22"/>
      <c r="Y14" s="22"/>
      <c r="Z14" s="22"/>
      <c r="AA14" s="22"/>
      <c r="AB14" s="22"/>
      <c r="AC14" s="22"/>
      <c r="AD14" s="22"/>
      <c r="AE14" s="22"/>
    </row>
    <row r="15" spans="1:31" x14ac:dyDescent="0.25">
      <c r="A15" s="1" t="s">
        <v>0</v>
      </c>
      <c r="B15" s="1" t="s">
        <v>859</v>
      </c>
      <c r="C15" s="2" t="s">
        <v>934</v>
      </c>
      <c r="D15" s="1" t="s">
        <v>935</v>
      </c>
      <c r="E15" s="1"/>
      <c r="F15" s="3">
        <v>2352.02</v>
      </c>
      <c r="G15" s="3">
        <v>492</v>
      </c>
      <c r="H15" s="4">
        <v>2587</v>
      </c>
      <c r="I15" s="3">
        <v>1349</v>
      </c>
      <c r="J15" s="3">
        <v>1238</v>
      </c>
      <c r="K15" s="3">
        <v>805</v>
      </c>
      <c r="L15" s="3">
        <f t="shared" si="0"/>
        <v>31.117124081948198</v>
      </c>
      <c r="M15" s="3">
        <v>3</v>
      </c>
      <c r="N15" s="3">
        <f t="shared" si="1"/>
        <v>0.11596443757247778</v>
      </c>
      <c r="O15" s="3">
        <v>130.13</v>
      </c>
      <c r="P15" s="15">
        <v>0</v>
      </c>
      <c r="Q15" s="22" t="s">
        <v>1348</v>
      </c>
      <c r="R15" s="117" t="s">
        <v>1369</v>
      </c>
      <c r="S15" s="67">
        <v>90.04</v>
      </c>
      <c r="T15" s="22"/>
      <c r="U15" s="22" t="s">
        <v>1348</v>
      </c>
      <c r="V15" s="22" t="s">
        <v>1348</v>
      </c>
      <c r="W15" s="22" t="s">
        <v>1348</v>
      </c>
      <c r="X15" s="22"/>
      <c r="Y15" s="22"/>
      <c r="Z15" s="22"/>
      <c r="AA15" s="22"/>
      <c r="AB15" s="22"/>
      <c r="AC15" s="22"/>
      <c r="AD15" s="22"/>
      <c r="AE15" s="22"/>
    </row>
    <row r="16" spans="1:31" x14ac:dyDescent="0.25">
      <c r="A16" s="1" t="s">
        <v>0</v>
      </c>
      <c r="B16" s="1" t="s">
        <v>859</v>
      </c>
      <c r="C16" s="2" t="s">
        <v>934</v>
      </c>
      <c r="D16" s="1" t="s">
        <v>936</v>
      </c>
      <c r="E16" s="1"/>
      <c r="F16" s="3">
        <v>1381.43</v>
      </c>
      <c r="G16" s="3">
        <v>101</v>
      </c>
      <c r="H16" s="4">
        <v>613</v>
      </c>
      <c r="I16" s="3">
        <v>319</v>
      </c>
      <c r="J16" s="3">
        <v>294</v>
      </c>
      <c r="K16" s="3">
        <v>147</v>
      </c>
      <c r="L16" s="3">
        <f t="shared" si="0"/>
        <v>23.980424143556281</v>
      </c>
      <c r="M16" s="3">
        <v>0</v>
      </c>
      <c r="N16" s="3">
        <f t="shared" si="1"/>
        <v>0</v>
      </c>
      <c r="O16" s="3">
        <v>228.2</v>
      </c>
      <c r="P16" s="15">
        <v>0</v>
      </c>
      <c r="Q16" s="22" t="s">
        <v>1348</v>
      </c>
      <c r="R16" s="117" t="s">
        <v>1370</v>
      </c>
      <c r="S16" s="67">
        <v>17.91</v>
      </c>
      <c r="T16" s="22"/>
      <c r="U16" s="22" t="s">
        <v>1348</v>
      </c>
      <c r="V16" s="22" t="s">
        <v>1348</v>
      </c>
      <c r="W16" s="22" t="s">
        <v>1348</v>
      </c>
      <c r="X16" s="22"/>
      <c r="Y16" s="22"/>
      <c r="Z16" s="22"/>
      <c r="AA16" s="22"/>
      <c r="AB16" s="22"/>
      <c r="AC16" s="22"/>
      <c r="AD16" s="22"/>
      <c r="AE16" s="22"/>
    </row>
    <row r="17" spans="1:31" x14ac:dyDescent="0.25">
      <c r="A17" s="1" t="s">
        <v>0</v>
      </c>
      <c r="B17" s="1" t="s">
        <v>859</v>
      </c>
      <c r="C17" s="2" t="s">
        <v>934</v>
      </c>
      <c r="D17" s="1" t="s">
        <v>937</v>
      </c>
      <c r="E17" s="1"/>
      <c r="F17" s="3">
        <v>928.65</v>
      </c>
      <c r="G17" s="3">
        <v>185</v>
      </c>
      <c r="H17" s="4">
        <v>1128</v>
      </c>
      <c r="I17" s="3">
        <v>576</v>
      </c>
      <c r="J17" s="3">
        <v>552</v>
      </c>
      <c r="K17" s="3">
        <v>10</v>
      </c>
      <c r="L17" s="3">
        <f t="shared" si="0"/>
        <v>0.88652482269503552</v>
      </c>
      <c r="M17" s="3">
        <v>9</v>
      </c>
      <c r="N17" s="3">
        <f t="shared" si="1"/>
        <v>0.7978723404255319</v>
      </c>
      <c r="O17" s="3">
        <v>221.01</v>
      </c>
      <c r="P17" s="15">
        <v>0</v>
      </c>
      <c r="Q17" s="22" t="s">
        <v>1348</v>
      </c>
      <c r="R17" s="117" t="s">
        <v>1371</v>
      </c>
      <c r="S17" s="67">
        <v>99.17</v>
      </c>
      <c r="T17" s="22"/>
      <c r="U17" s="22" t="s">
        <v>1348</v>
      </c>
      <c r="V17" s="22" t="s">
        <v>1348</v>
      </c>
      <c r="W17" s="22" t="s">
        <v>1348</v>
      </c>
      <c r="X17" s="22"/>
      <c r="Y17" s="22"/>
      <c r="Z17" s="22"/>
      <c r="AA17" s="22"/>
      <c r="AB17" s="22"/>
      <c r="AC17" s="22"/>
      <c r="AD17" s="22"/>
      <c r="AE17" s="22"/>
    </row>
    <row r="18" spans="1:31" x14ac:dyDescent="0.25">
      <c r="A18" s="1" t="s">
        <v>0</v>
      </c>
      <c r="B18" s="1" t="s">
        <v>859</v>
      </c>
      <c r="C18" s="2" t="s">
        <v>934</v>
      </c>
      <c r="D18" s="1" t="s">
        <v>940</v>
      </c>
      <c r="E18" s="1"/>
      <c r="F18" s="3">
        <v>1406.47</v>
      </c>
      <c r="G18" s="3">
        <v>188</v>
      </c>
      <c r="H18" s="4">
        <v>1116</v>
      </c>
      <c r="I18" s="3">
        <v>572</v>
      </c>
      <c r="J18" s="3">
        <v>544</v>
      </c>
      <c r="K18" s="3">
        <v>223</v>
      </c>
      <c r="L18" s="3">
        <f t="shared" si="0"/>
        <v>19.982078853046595</v>
      </c>
      <c r="M18" s="3">
        <v>391</v>
      </c>
      <c r="N18" s="3">
        <f t="shared" si="1"/>
        <v>35.035842293906811</v>
      </c>
      <c r="O18" s="3">
        <v>140.01</v>
      </c>
      <c r="P18" s="15">
        <v>0</v>
      </c>
      <c r="Q18" s="22" t="s">
        <v>1348</v>
      </c>
      <c r="R18" s="117" t="s">
        <v>1372</v>
      </c>
      <c r="S18" s="67">
        <v>74.959999999999994</v>
      </c>
      <c r="T18" s="22"/>
      <c r="U18" s="22" t="s">
        <v>1348</v>
      </c>
      <c r="V18" s="22" t="s">
        <v>1348</v>
      </c>
      <c r="W18" s="22" t="s">
        <v>1348</v>
      </c>
      <c r="X18" s="22"/>
      <c r="Y18" s="22"/>
      <c r="Z18" s="22"/>
      <c r="AA18" s="22"/>
      <c r="AB18" s="22"/>
      <c r="AC18" s="22"/>
      <c r="AD18" s="22"/>
      <c r="AE18" s="22"/>
    </row>
    <row r="19" spans="1:31" x14ac:dyDescent="0.25">
      <c r="A19" s="1" t="s">
        <v>0</v>
      </c>
      <c r="B19" s="1" t="s">
        <v>859</v>
      </c>
      <c r="C19" s="2" t="s">
        <v>944</v>
      </c>
      <c r="D19" s="1" t="s">
        <v>943</v>
      </c>
      <c r="E19" s="1"/>
      <c r="F19" s="3">
        <v>2445</v>
      </c>
      <c r="G19" s="3">
        <v>456</v>
      </c>
      <c r="H19" s="4">
        <v>2449</v>
      </c>
      <c r="I19" s="3">
        <v>1219</v>
      </c>
      <c r="J19" s="3">
        <v>1230</v>
      </c>
      <c r="K19" s="3">
        <v>316</v>
      </c>
      <c r="L19" s="3">
        <f t="shared" si="0"/>
        <v>12.903225806451612</v>
      </c>
      <c r="M19" s="3">
        <v>1</v>
      </c>
      <c r="N19" s="3">
        <f t="shared" si="1"/>
        <v>4.0832993058391179E-2</v>
      </c>
      <c r="O19" s="3">
        <v>245</v>
      </c>
      <c r="P19" s="15">
        <v>0</v>
      </c>
      <c r="Q19" s="22" t="s">
        <v>1348</v>
      </c>
      <c r="R19" s="97" t="s">
        <v>1373</v>
      </c>
      <c r="S19" s="67">
        <v>120.26</v>
      </c>
      <c r="T19" s="22"/>
      <c r="U19" s="22" t="s">
        <v>1348</v>
      </c>
      <c r="V19" s="22" t="s">
        <v>1348</v>
      </c>
      <c r="W19" s="22" t="s">
        <v>1348</v>
      </c>
      <c r="X19" s="22"/>
      <c r="Y19" s="22"/>
      <c r="Z19" s="22"/>
      <c r="AA19" s="22"/>
      <c r="AB19" s="22"/>
      <c r="AC19" s="22"/>
      <c r="AD19" s="22"/>
      <c r="AE19" s="22"/>
    </row>
    <row r="20" spans="1:31" x14ac:dyDescent="0.25">
      <c r="A20" s="1" t="s">
        <v>0</v>
      </c>
      <c r="B20" s="1" t="s">
        <v>859</v>
      </c>
      <c r="C20" s="2" t="s">
        <v>944</v>
      </c>
      <c r="D20" s="1" t="s">
        <v>279</v>
      </c>
      <c r="E20" s="1"/>
      <c r="F20" s="3">
        <v>1184</v>
      </c>
      <c r="G20" s="3">
        <v>86</v>
      </c>
      <c r="H20" s="4">
        <v>506</v>
      </c>
      <c r="I20" s="3">
        <v>261</v>
      </c>
      <c r="J20" s="3">
        <v>245</v>
      </c>
      <c r="K20" s="3">
        <v>90</v>
      </c>
      <c r="L20" s="3">
        <f t="shared" si="0"/>
        <v>17.786561264822133</v>
      </c>
      <c r="M20" s="3">
        <v>0</v>
      </c>
      <c r="N20" s="3">
        <f t="shared" si="1"/>
        <v>0</v>
      </c>
      <c r="O20" s="3">
        <v>59</v>
      </c>
      <c r="P20" s="15">
        <v>0</v>
      </c>
      <c r="Q20" s="22" t="s">
        <v>1348</v>
      </c>
      <c r="R20" s="102">
        <v>43761</v>
      </c>
      <c r="S20" s="67">
        <v>50.93</v>
      </c>
      <c r="T20" s="22"/>
      <c r="U20" s="22" t="s">
        <v>1348</v>
      </c>
      <c r="V20" s="22" t="s">
        <v>1348</v>
      </c>
      <c r="W20" s="22" t="s">
        <v>1348</v>
      </c>
      <c r="X20" s="22"/>
      <c r="Y20" s="22"/>
      <c r="Z20" s="22"/>
      <c r="AA20" s="22"/>
      <c r="AB20" s="22"/>
      <c r="AC20" s="22"/>
      <c r="AD20" s="22"/>
      <c r="AE20" s="22"/>
    </row>
    <row r="21" spans="1:31" x14ac:dyDescent="0.25">
      <c r="A21" s="1" t="s">
        <v>0</v>
      </c>
      <c r="B21" s="1" t="s">
        <v>859</v>
      </c>
      <c r="C21" s="2" t="s">
        <v>944</v>
      </c>
      <c r="D21" s="1" t="s">
        <v>945</v>
      </c>
      <c r="E21" s="1"/>
      <c r="F21" s="3">
        <v>1218</v>
      </c>
      <c r="G21" s="3">
        <v>266</v>
      </c>
      <c r="H21" s="4">
        <v>1250</v>
      </c>
      <c r="I21" s="3">
        <v>627</v>
      </c>
      <c r="J21" s="3">
        <v>623</v>
      </c>
      <c r="K21" s="3">
        <v>383</v>
      </c>
      <c r="L21" s="3">
        <f t="shared" si="0"/>
        <v>30.64</v>
      </c>
      <c r="M21" s="3">
        <v>0</v>
      </c>
      <c r="N21" s="3">
        <f t="shared" si="1"/>
        <v>0</v>
      </c>
      <c r="O21" s="3">
        <v>69</v>
      </c>
      <c r="P21" s="15">
        <v>0</v>
      </c>
      <c r="Q21" s="22" t="s">
        <v>1348</v>
      </c>
      <c r="R21" s="102">
        <v>43874</v>
      </c>
      <c r="S21" s="67">
        <v>64.790000000000006</v>
      </c>
      <c r="T21" s="22"/>
      <c r="U21" s="22" t="s">
        <v>1348</v>
      </c>
      <c r="V21" s="22" t="s">
        <v>1348</v>
      </c>
      <c r="W21" s="22" t="s">
        <v>1348</v>
      </c>
      <c r="X21" s="22"/>
      <c r="Y21" s="22"/>
      <c r="Z21" s="22"/>
      <c r="AA21" s="22"/>
      <c r="AB21" s="22"/>
      <c r="AC21" s="22"/>
      <c r="AD21" s="22"/>
      <c r="AE21" s="22"/>
    </row>
    <row r="22" spans="1:31" x14ac:dyDescent="0.25">
      <c r="A22" s="1" t="s">
        <v>0</v>
      </c>
      <c r="B22" s="1" t="s">
        <v>859</v>
      </c>
      <c r="C22" s="2" t="s">
        <v>872</v>
      </c>
      <c r="D22" s="1" t="s">
        <v>871</v>
      </c>
      <c r="E22" s="1"/>
      <c r="F22" s="3">
        <v>1253</v>
      </c>
      <c r="G22" s="3">
        <v>188</v>
      </c>
      <c r="H22" s="4">
        <v>1079</v>
      </c>
      <c r="I22" s="3">
        <v>557</v>
      </c>
      <c r="J22" s="3">
        <v>522</v>
      </c>
      <c r="K22" s="3">
        <v>136</v>
      </c>
      <c r="L22" s="3">
        <f t="shared" si="0"/>
        <v>12.604263206672844</v>
      </c>
      <c r="M22" s="3">
        <v>100</v>
      </c>
      <c r="N22" s="3">
        <f t="shared" si="1"/>
        <v>9.2678405931417984</v>
      </c>
      <c r="O22" s="3">
        <v>7</v>
      </c>
      <c r="P22" s="15">
        <v>0</v>
      </c>
      <c r="Q22" s="22" t="s">
        <v>1348</v>
      </c>
      <c r="R22" s="102">
        <v>43673</v>
      </c>
      <c r="S22" s="67">
        <v>23.01</v>
      </c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 spans="1:31" x14ac:dyDescent="0.25">
      <c r="A23" s="1" t="s">
        <v>0</v>
      </c>
      <c r="B23" s="1" t="s">
        <v>859</v>
      </c>
      <c r="C23" s="2" t="s">
        <v>872</v>
      </c>
      <c r="D23" s="1" t="s">
        <v>881</v>
      </c>
      <c r="E23" s="1"/>
      <c r="F23" s="3">
        <v>962</v>
      </c>
      <c r="G23" s="3">
        <v>119</v>
      </c>
      <c r="H23" s="4">
        <v>696</v>
      </c>
      <c r="I23" s="3">
        <v>356</v>
      </c>
      <c r="J23" s="3">
        <v>340</v>
      </c>
      <c r="K23" s="3">
        <v>115</v>
      </c>
      <c r="L23" s="3">
        <f t="shared" si="0"/>
        <v>16.522988505747126</v>
      </c>
      <c r="M23" s="3">
        <v>0</v>
      </c>
      <c r="N23" s="3">
        <f t="shared" si="1"/>
        <v>0</v>
      </c>
      <c r="O23" s="3">
        <v>7</v>
      </c>
      <c r="P23" s="15">
        <v>0</v>
      </c>
      <c r="Q23" s="22" t="s">
        <v>1348</v>
      </c>
      <c r="R23" s="102">
        <v>43691</v>
      </c>
      <c r="S23" s="67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 spans="1:31" x14ac:dyDescent="0.25">
      <c r="A24" s="1" t="s">
        <v>0</v>
      </c>
      <c r="B24" s="1" t="s">
        <v>859</v>
      </c>
      <c r="C24" s="2" t="s">
        <v>872</v>
      </c>
      <c r="D24" s="1" t="s">
        <v>882</v>
      </c>
      <c r="E24" s="1"/>
      <c r="F24" s="3">
        <v>1330</v>
      </c>
      <c r="G24" s="3">
        <v>188</v>
      </c>
      <c r="H24" s="4">
        <v>991</v>
      </c>
      <c r="I24" s="3">
        <v>508</v>
      </c>
      <c r="J24" s="3">
        <v>483</v>
      </c>
      <c r="K24" s="3">
        <v>145</v>
      </c>
      <c r="L24" s="3">
        <f t="shared" si="0"/>
        <v>14.631685166498487</v>
      </c>
      <c r="M24" s="3">
        <v>0</v>
      </c>
      <c r="N24" s="3">
        <f t="shared" si="1"/>
        <v>0</v>
      </c>
      <c r="O24" s="3">
        <v>107</v>
      </c>
      <c r="P24" s="15">
        <v>0</v>
      </c>
      <c r="Q24" s="22" t="s">
        <v>1348</v>
      </c>
      <c r="R24" s="102">
        <v>43690</v>
      </c>
      <c r="S24" s="67">
        <v>48.04</v>
      </c>
      <c r="T24" s="22"/>
      <c r="U24" s="22" t="s">
        <v>1348</v>
      </c>
      <c r="V24" s="22" t="s">
        <v>1348</v>
      </c>
      <c r="W24" s="22" t="s">
        <v>1348</v>
      </c>
      <c r="X24" s="22"/>
      <c r="Y24" s="22"/>
      <c r="Z24" s="22"/>
      <c r="AA24" s="22"/>
      <c r="AB24" s="22"/>
      <c r="AC24" s="22"/>
      <c r="AD24" s="22"/>
      <c r="AE24" s="22"/>
    </row>
    <row r="25" spans="1:31" x14ac:dyDescent="0.25">
      <c r="A25" s="1" t="s">
        <v>0</v>
      </c>
      <c r="B25" s="1" t="s">
        <v>859</v>
      </c>
      <c r="C25" s="2" t="s">
        <v>872</v>
      </c>
      <c r="D25" s="1" t="s">
        <v>883</v>
      </c>
      <c r="E25" s="1"/>
      <c r="F25" s="3">
        <v>1463</v>
      </c>
      <c r="G25" s="3">
        <v>209</v>
      </c>
      <c r="H25" s="4">
        <v>1154</v>
      </c>
      <c r="I25" s="3">
        <v>574</v>
      </c>
      <c r="J25" s="3">
        <v>580</v>
      </c>
      <c r="K25" s="3">
        <v>110</v>
      </c>
      <c r="L25" s="3">
        <f t="shared" si="0"/>
        <v>9.5320623916811087</v>
      </c>
      <c r="M25" s="3">
        <v>55</v>
      </c>
      <c r="N25" s="3">
        <f t="shared" si="1"/>
        <v>4.7660311958405543</v>
      </c>
      <c r="O25" s="3">
        <v>95</v>
      </c>
      <c r="P25" s="15">
        <v>0</v>
      </c>
      <c r="Q25" s="22" t="s">
        <v>1348</v>
      </c>
      <c r="R25" s="102">
        <v>43882</v>
      </c>
      <c r="S25" s="67">
        <v>115.28</v>
      </c>
      <c r="T25" s="22"/>
      <c r="U25" s="22" t="s">
        <v>1348</v>
      </c>
      <c r="V25" s="22" t="s">
        <v>1348</v>
      </c>
      <c r="W25" s="22" t="s">
        <v>1348</v>
      </c>
      <c r="X25" s="22"/>
      <c r="Y25" s="22"/>
      <c r="Z25" s="22"/>
      <c r="AA25" s="22"/>
      <c r="AB25" s="22"/>
      <c r="AC25" s="22"/>
      <c r="AD25" s="22"/>
      <c r="AE25" s="22"/>
    </row>
    <row r="26" spans="1:31" x14ac:dyDescent="0.25">
      <c r="A26" s="1" t="s">
        <v>0</v>
      </c>
      <c r="B26" s="1" t="s">
        <v>859</v>
      </c>
      <c r="C26" s="2" t="s">
        <v>860</v>
      </c>
      <c r="D26" s="1" t="s">
        <v>867</v>
      </c>
      <c r="E26" s="1"/>
      <c r="F26" s="3">
        <v>2398.63</v>
      </c>
      <c r="G26" s="3">
        <v>432</v>
      </c>
      <c r="H26" s="4">
        <v>2439</v>
      </c>
      <c r="I26" s="3">
        <v>1273</v>
      </c>
      <c r="J26" s="3">
        <v>1166</v>
      </c>
      <c r="K26" s="3">
        <v>134</v>
      </c>
      <c r="L26" s="3">
        <f t="shared" si="0"/>
        <v>5.4940549405494057</v>
      </c>
      <c r="M26" s="3">
        <v>690</v>
      </c>
      <c r="N26" s="3">
        <f t="shared" si="1"/>
        <v>28.290282902829027</v>
      </c>
      <c r="O26" s="3">
        <v>114</v>
      </c>
      <c r="P26" s="15">
        <v>0</v>
      </c>
      <c r="Q26" s="22" t="s">
        <v>1348</v>
      </c>
      <c r="R26" s="102">
        <v>43864</v>
      </c>
      <c r="S26" s="67">
        <v>41.55</v>
      </c>
      <c r="T26" s="22"/>
      <c r="U26" s="22" t="s">
        <v>1348</v>
      </c>
      <c r="V26" s="22" t="s">
        <v>1348</v>
      </c>
      <c r="W26" s="22" t="s">
        <v>1348</v>
      </c>
      <c r="X26" s="22"/>
      <c r="Y26" s="22"/>
      <c r="Z26" s="22"/>
      <c r="AA26" s="22"/>
      <c r="AB26" s="22"/>
      <c r="AC26" s="22"/>
      <c r="AD26" s="22"/>
      <c r="AE26" s="22"/>
    </row>
    <row r="27" spans="1:31" x14ac:dyDescent="0.25">
      <c r="A27" s="1" t="s">
        <v>0</v>
      </c>
      <c r="B27" s="1" t="s">
        <v>859</v>
      </c>
      <c r="C27" s="2" t="s">
        <v>860</v>
      </c>
      <c r="D27" s="1" t="s">
        <v>870</v>
      </c>
      <c r="E27" s="1"/>
      <c r="F27" s="3">
        <v>1222.82</v>
      </c>
      <c r="G27" s="3">
        <v>208</v>
      </c>
      <c r="H27" s="4">
        <v>1297</v>
      </c>
      <c r="I27" s="3">
        <v>663</v>
      </c>
      <c r="J27" s="3">
        <v>634</v>
      </c>
      <c r="K27" s="3">
        <v>143</v>
      </c>
      <c r="L27" s="3">
        <f t="shared" si="0"/>
        <v>11.0254433307633</v>
      </c>
      <c r="M27" s="3">
        <v>478</v>
      </c>
      <c r="N27" s="3">
        <f t="shared" si="1"/>
        <v>36.854279105628372</v>
      </c>
      <c r="O27" s="3">
        <v>62.82</v>
      </c>
      <c r="P27" s="15">
        <v>0</v>
      </c>
      <c r="Q27" s="22" t="s">
        <v>1348</v>
      </c>
      <c r="R27" s="102">
        <v>43865</v>
      </c>
      <c r="S27" s="67">
        <v>32.549999999999997</v>
      </c>
      <c r="T27" s="22"/>
      <c r="U27" s="22" t="s">
        <v>1348</v>
      </c>
      <c r="V27" s="22" t="s">
        <v>1348</v>
      </c>
      <c r="W27" s="22" t="s">
        <v>1348</v>
      </c>
      <c r="X27" s="22"/>
      <c r="Y27" s="22"/>
      <c r="Z27" s="22"/>
      <c r="AA27" s="22"/>
      <c r="AB27" s="22"/>
      <c r="AC27" s="22"/>
      <c r="AD27" s="22"/>
      <c r="AE27" s="22"/>
    </row>
    <row r="28" spans="1:31" x14ac:dyDescent="0.25">
      <c r="A28" s="1" t="s">
        <v>0</v>
      </c>
      <c r="B28" s="1" t="s">
        <v>859</v>
      </c>
      <c r="C28" s="2" t="s">
        <v>885</v>
      </c>
      <c r="D28" s="1" t="s">
        <v>884</v>
      </c>
      <c r="E28" s="1"/>
      <c r="F28" s="3">
        <v>3712</v>
      </c>
      <c r="G28" s="3">
        <v>571</v>
      </c>
      <c r="H28" s="4">
        <v>3244</v>
      </c>
      <c r="I28" s="3">
        <v>1664</v>
      </c>
      <c r="J28" s="3">
        <v>1580</v>
      </c>
      <c r="K28" s="3">
        <v>897</v>
      </c>
      <c r="L28" s="3">
        <f t="shared" si="0"/>
        <v>27.651048088779284</v>
      </c>
      <c r="M28" s="3">
        <v>13</v>
      </c>
      <c r="N28" s="3">
        <f t="shared" si="1"/>
        <v>0.4007398273736128</v>
      </c>
      <c r="O28" s="3">
        <v>423.17</v>
      </c>
      <c r="P28" s="15">
        <v>0</v>
      </c>
      <c r="Q28" s="22" t="s">
        <v>1348</v>
      </c>
      <c r="R28" s="102">
        <v>43673</v>
      </c>
      <c r="S28" s="67">
        <v>194.12</v>
      </c>
      <c r="T28" s="22"/>
      <c r="U28" s="22" t="s">
        <v>1348</v>
      </c>
      <c r="V28" s="22" t="s">
        <v>1348</v>
      </c>
      <c r="W28" s="22" t="s">
        <v>1348</v>
      </c>
      <c r="X28" s="22"/>
      <c r="Y28" s="22"/>
      <c r="Z28" s="22"/>
      <c r="AA28" s="22"/>
      <c r="AB28" s="22"/>
      <c r="AC28" s="22"/>
      <c r="AD28" s="22"/>
      <c r="AE28" s="22"/>
    </row>
    <row r="29" spans="1:31" x14ac:dyDescent="0.25">
      <c r="A29" s="1" t="s">
        <v>0</v>
      </c>
      <c r="B29" s="1" t="s">
        <v>859</v>
      </c>
      <c r="C29" s="2" t="s">
        <v>885</v>
      </c>
      <c r="D29" s="1" t="s">
        <v>907</v>
      </c>
      <c r="E29" s="1"/>
      <c r="F29" s="3">
        <v>958</v>
      </c>
      <c r="G29" s="3">
        <v>164</v>
      </c>
      <c r="H29" s="4">
        <v>925</v>
      </c>
      <c r="I29" s="3">
        <v>474</v>
      </c>
      <c r="J29" s="3">
        <v>451</v>
      </c>
      <c r="K29" s="3">
        <v>360</v>
      </c>
      <c r="L29" s="3">
        <f t="shared" si="0"/>
        <v>38.918918918918919</v>
      </c>
      <c r="M29" s="3">
        <v>28</v>
      </c>
      <c r="N29" s="3">
        <f t="shared" si="1"/>
        <v>3.0270270270270272</v>
      </c>
      <c r="O29" s="3">
        <v>109.25</v>
      </c>
      <c r="P29" s="15">
        <v>0</v>
      </c>
      <c r="Q29" s="22" t="s">
        <v>1348</v>
      </c>
      <c r="R29" s="102">
        <v>44085</v>
      </c>
      <c r="S29" s="67">
        <v>68.010000000000005</v>
      </c>
      <c r="T29" s="22"/>
      <c r="U29" s="22" t="s">
        <v>1348</v>
      </c>
      <c r="V29" s="22" t="s">
        <v>1348</v>
      </c>
      <c r="W29" s="22" t="s">
        <v>1348</v>
      </c>
      <c r="X29" s="22"/>
      <c r="Y29" s="22"/>
      <c r="Z29" s="22"/>
      <c r="AA29" s="22"/>
      <c r="AB29" s="22"/>
      <c r="AC29" s="22"/>
      <c r="AD29" s="22"/>
      <c r="AE29" s="22"/>
    </row>
    <row r="30" spans="1:31" x14ac:dyDescent="0.25">
      <c r="A30" s="1" t="s">
        <v>0</v>
      </c>
      <c r="B30" s="1" t="s">
        <v>859</v>
      </c>
      <c r="C30" s="2" t="s">
        <v>885</v>
      </c>
      <c r="D30" s="1" t="s">
        <v>913</v>
      </c>
      <c r="E30" s="1"/>
      <c r="F30" s="3">
        <v>2568</v>
      </c>
      <c r="G30" s="3">
        <v>461</v>
      </c>
      <c r="H30" s="4">
        <v>2037</v>
      </c>
      <c r="I30" s="3">
        <v>1014</v>
      </c>
      <c r="J30" s="3">
        <v>1023</v>
      </c>
      <c r="K30" s="3">
        <v>448</v>
      </c>
      <c r="L30" s="3">
        <f t="shared" si="0"/>
        <v>21.993127147766323</v>
      </c>
      <c r="M30" s="3">
        <v>136</v>
      </c>
      <c r="N30" s="3">
        <f t="shared" si="1"/>
        <v>6.6764850270004912</v>
      </c>
      <c r="O30" s="3">
        <v>112.1</v>
      </c>
      <c r="P30" s="15">
        <v>0</v>
      </c>
      <c r="Q30" s="22" t="s">
        <v>1348</v>
      </c>
      <c r="R30" s="102">
        <v>44085</v>
      </c>
      <c r="S30" s="67">
        <v>35.49</v>
      </c>
      <c r="T30" s="22"/>
      <c r="U30" s="22" t="s">
        <v>1348</v>
      </c>
      <c r="V30" s="22" t="s">
        <v>1348</v>
      </c>
      <c r="W30" s="22" t="s">
        <v>1348</v>
      </c>
      <c r="X30" s="22"/>
      <c r="Y30" s="22"/>
      <c r="Z30" s="22"/>
      <c r="AA30" s="22"/>
      <c r="AB30" s="22"/>
      <c r="AC30" s="22"/>
      <c r="AD30" s="22"/>
      <c r="AE30" s="22"/>
    </row>
    <row r="31" spans="1:31" x14ac:dyDescent="0.25">
      <c r="A31" s="1" t="s">
        <v>0</v>
      </c>
      <c r="B31" s="1" t="s">
        <v>859</v>
      </c>
      <c r="C31" s="2" t="s">
        <v>862</v>
      </c>
      <c r="D31" s="1" t="s">
        <v>861</v>
      </c>
      <c r="E31" s="1"/>
      <c r="F31" s="3">
        <v>573.23</v>
      </c>
      <c r="G31" s="3">
        <v>89</v>
      </c>
      <c r="H31" s="4">
        <v>482</v>
      </c>
      <c r="I31" s="3">
        <v>234</v>
      </c>
      <c r="J31" s="3">
        <v>248</v>
      </c>
      <c r="K31" s="3">
        <v>153</v>
      </c>
      <c r="L31" s="3">
        <f t="shared" si="0"/>
        <v>31.742738589211616</v>
      </c>
      <c r="M31" s="3">
        <v>0</v>
      </c>
      <c r="N31" s="3">
        <f t="shared" si="1"/>
        <v>0</v>
      </c>
      <c r="O31" s="3">
        <v>42.24</v>
      </c>
      <c r="P31" s="15">
        <v>0</v>
      </c>
      <c r="Q31" s="22" t="s">
        <v>1348</v>
      </c>
      <c r="R31" s="102">
        <v>44082</v>
      </c>
      <c r="S31" s="67">
        <v>26.92</v>
      </c>
      <c r="T31" s="22"/>
      <c r="U31" s="22" t="s">
        <v>1348</v>
      </c>
      <c r="V31" s="22" t="s">
        <v>1348</v>
      </c>
      <c r="W31" s="22" t="s">
        <v>1348</v>
      </c>
      <c r="X31" s="22"/>
      <c r="Y31" s="22"/>
      <c r="Z31" s="22"/>
      <c r="AA31" s="22"/>
      <c r="AB31" s="22"/>
      <c r="AC31" s="22"/>
      <c r="AD31" s="22"/>
      <c r="AE31" s="22"/>
    </row>
    <row r="32" spans="1:31" x14ac:dyDescent="0.25">
      <c r="A32" s="1" t="s">
        <v>0</v>
      </c>
      <c r="B32" s="1" t="s">
        <v>859</v>
      </c>
      <c r="C32" s="2" t="s">
        <v>862</v>
      </c>
      <c r="D32" s="1" t="s">
        <v>863</v>
      </c>
      <c r="E32" s="1"/>
      <c r="F32" s="3">
        <v>1063.01</v>
      </c>
      <c r="G32" s="3">
        <v>111</v>
      </c>
      <c r="H32" s="4">
        <v>619</v>
      </c>
      <c r="I32" s="3">
        <v>317</v>
      </c>
      <c r="J32" s="3">
        <v>302</v>
      </c>
      <c r="K32" s="3">
        <v>57</v>
      </c>
      <c r="L32" s="3">
        <f t="shared" si="0"/>
        <v>9.2084006462035539</v>
      </c>
      <c r="M32" s="3">
        <v>0</v>
      </c>
      <c r="N32" s="3">
        <f t="shared" si="1"/>
        <v>0</v>
      </c>
      <c r="O32" s="3">
        <v>80.430000000000007</v>
      </c>
      <c r="P32" s="15">
        <v>0</v>
      </c>
      <c r="Q32" s="22" t="s">
        <v>1348</v>
      </c>
      <c r="R32" s="102">
        <v>44081</v>
      </c>
      <c r="S32" s="67">
        <v>35.08</v>
      </c>
      <c r="T32" s="22"/>
      <c r="U32" s="22" t="s">
        <v>1348</v>
      </c>
      <c r="V32" s="22" t="s">
        <v>1348</v>
      </c>
      <c r="W32" s="22" t="s">
        <v>1348</v>
      </c>
      <c r="X32" s="22"/>
      <c r="Y32" s="22"/>
      <c r="Z32" s="22"/>
      <c r="AA32" s="22"/>
      <c r="AB32" s="22"/>
      <c r="AC32" s="22"/>
      <c r="AD32" s="22"/>
      <c r="AE32" s="22"/>
    </row>
    <row r="33" spans="1:31" x14ac:dyDescent="0.25">
      <c r="A33" s="1" t="s">
        <v>0</v>
      </c>
      <c r="B33" s="1" t="s">
        <v>859</v>
      </c>
      <c r="C33" s="2" t="s">
        <v>862</v>
      </c>
      <c r="D33" s="1" t="s">
        <v>864</v>
      </c>
      <c r="E33" s="1"/>
      <c r="F33" s="3">
        <v>2105.13</v>
      </c>
      <c r="G33" s="3">
        <v>389</v>
      </c>
      <c r="H33" s="4">
        <v>2200</v>
      </c>
      <c r="I33" s="3">
        <v>1113</v>
      </c>
      <c r="J33" s="3">
        <v>1087</v>
      </c>
      <c r="K33" s="3">
        <v>325</v>
      </c>
      <c r="L33" s="3">
        <f t="shared" si="0"/>
        <v>14.772727272727273</v>
      </c>
      <c r="M33" s="3">
        <v>227</v>
      </c>
      <c r="N33" s="3">
        <f t="shared" si="1"/>
        <v>10.318181818181818</v>
      </c>
      <c r="O33" s="3">
        <v>124.06</v>
      </c>
      <c r="P33" s="15">
        <v>0</v>
      </c>
      <c r="Q33" s="22" t="s">
        <v>1348</v>
      </c>
      <c r="R33" s="102">
        <v>43875</v>
      </c>
      <c r="S33" s="67">
        <v>49.38</v>
      </c>
      <c r="T33" s="22"/>
      <c r="U33" s="22" t="s">
        <v>1348</v>
      </c>
      <c r="V33" s="22" t="s">
        <v>1348</v>
      </c>
      <c r="W33" s="22" t="s">
        <v>1348</v>
      </c>
      <c r="X33" s="22"/>
      <c r="Y33" s="22"/>
      <c r="Z33" s="22"/>
      <c r="AA33" s="22"/>
      <c r="AB33" s="22"/>
      <c r="AC33" s="22"/>
      <c r="AD33" s="22"/>
      <c r="AE33" s="22"/>
    </row>
    <row r="34" spans="1:31" x14ac:dyDescent="0.25">
      <c r="A34" s="1" t="s">
        <v>0</v>
      </c>
      <c r="B34" s="1" t="s">
        <v>859</v>
      </c>
      <c r="C34" s="2" t="s">
        <v>862</v>
      </c>
      <c r="D34" s="1" t="s">
        <v>865</v>
      </c>
      <c r="E34" s="1"/>
      <c r="F34" s="3">
        <v>717.04</v>
      </c>
      <c r="G34" s="3">
        <v>97</v>
      </c>
      <c r="H34" s="4">
        <v>541</v>
      </c>
      <c r="I34" s="3">
        <v>267</v>
      </c>
      <c r="J34" s="3">
        <v>274</v>
      </c>
      <c r="K34" s="3">
        <v>87</v>
      </c>
      <c r="L34" s="3">
        <f t="shared" si="0"/>
        <v>16.081330868761555</v>
      </c>
      <c r="M34" s="3">
        <v>86</v>
      </c>
      <c r="N34" s="3">
        <f t="shared" si="1"/>
        <v>15.89648798521257</v>
      </c>
      <c r="O34" s="3">
        <v>30.43</v>
      </c>
      <c r="P34" s="15">
        <v>0</v>
      </c>
      <c r="Q34" s="22" t="s">
        <v>1348</v>
      </c>
      <c r="R34" s="102">
        <v>43878</v>
      </c>
      <c r="S34" s="67">
        <v>40.74</v>
      </c>
      <c r="T34" s="22"/>
      <c r="U34" s="22" t="s">
        <v>1348</v>
      </c>
      <c r="V34" s="22" t="s">
        <v>1348</v>
      </c>
      <c r="W34" s="22" t="s">
        <v>1348</v>
      </c>
      <c r="X34" s="22"/>
      <c r="Y34" s="22"/>
      <c r="Z34" s="22"/>
      <c r="AA34" s="22"/>
      <c r="AB34" s="22"/>
      <c r="AC34" s="22"/>
      <c r="AD34" s="22"/>
      <c r="AE34" s="22"/>
    </row>
    <row r="35" spans="1:31" x14ac:dyDescent="0.25">
      <c r="A35" s="1" t="s">
        <v>0</v>
      </c>
      <c r="B35" s="1" t="s">
        <v>859</v>
      </c>
      <c r="C35" s="2" t="s">
        <v>862</v>
      </c>
      <c r="D35" s="1" t="s">
        <v>866</v>
      </c>
      <c r="E35" s="1"/>
      <c r="F35" s="3">
        <v>1560.23</v>
      </c>
      <c r="G35" s="3">
        <v>353</v>
      </c>
      <c r="H35" s="4">
        <v>1751</v>
      </c>
      <c r="I35" s="3">
        <v>924</v>
      </c>
      <c r="J35" s="3">
        <v>827</v>
      </c>
      <c r="K35" s="3">
        <v>235</v>
      </c>
      <c r="L35" s="3">
        <f t="shared" si="0"/>
        <v>13.420902341519131</v>
      </c>
      <c r="M35" s="3">
        <v>494</v>
      </c>
      <c r="N35" s="3">
        <f t="shared" si="1"/>
        <v>28.212450028555114</v>
      </c>
      <c r="O35" s="3">
        <v>47.2</v>
      </c>
      <c r="P35" s="15">
        <v>0</v>
      </c>
      <c r="Q35" s="22" t="s">
        <v>1348</v>
      </c>
      <c r="R35" s="102">
        <v>43877</v>
      </c>
      <c r="S35" s="67">
        <v>27.83</v>
      </c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</row>
    <row r="36" spans="1:31" x14ac:dyDescent="0.25">
      <c r="A36" s="1" t="s">
        <v>0</v>
      </c>
      <c r="B36" s="1" t="s">
        <v>859</v>
      </c>
      <c r="C36" s="2" t="s">
        <v>949</v>
      </c>
      <c r="D36" s="1" t="s">
        <v>948</v>
      </c>
      <c r="E36" s="1"/>
      <c r="F36" s="3">
        <v>468</v>
      </c>
      <c r="G36" s="3">
        <v>429</v>
      </c>
      <c r="H36" s="4">
        <v>2269</v>
      </c>
      <c r="I36" s="3">
        <v>1179</v>
      </c>
      <c r="J36" s="3">
        <v>1090</v>
      </c>
      <c r="K36" s="3">
        <v>79</v>
      </c>
      <c r="L36" s="3">
        <f t="shared" ref="L36:L67" si="2">(K36/H36)*100</f>
        <v>3.4817100044072276</v>
      </c>
      <c r="M36" s="3">
        <v>0</v>
      </c>
      <c r="N36" s="3">
        <f t="shared" ref="N36:N67" si="3">(M36/H36)*100</f>
        <v>0</v>
      </c>
      <c r="O36" s="3">
        <v>0</v>
      </c>
      <c r="P36" s="15">
        <v>0</v>
      </c>
      <c r="Q36" s="22" t="s">
        <v>1348</v>
      </c>
      <c r="R36" s="102">
        <v>43818</v>
      </c>
      <c r="S36" s="67">
        <v>74.290000000000006</v>
      </c>
      <c r="T36" s="22"/>
      <c r="U36" s="22" t="s">
        <v>1348</v>
      </c>
      <c r="V36" s="22" t="s">
        <v>1348</v>
      </c>
      <c r="W36" s="22" t="s">
        <v>1348</v>
      </c>
      <c r="X36" s="22"/>
      <c r="Y36" s="22"/>
      <c r="Z36" s="22"/>
      <c r="AA36" s="22"/>
      <c r="AB36" s="22"/>
      <c r="AC36" s="22"/>
      <c r="AD36" s="22"/>
      <c r="AE36" s="22"/>
    </row>
    <row r="37" spans="1:31" x14ac:dyDescent="0.25">
      <c r="A37" s="1" t="s">
        <v>0</v>
      </c>
      <c r="B37" s="1" t="s">
        <v>859</v>
      </c>
      <c r="C37" s="2" t="s">
        <v>949</v>
      </c>
      <c r="D37" s="1" t="s">
        <v>950</v>
      </c>
      <c r="E37" s="1"/>
      <c r="F37" s="3">
        <v>1453</v>
      </c>
      <c r="G37" s="3">
        <v>284</v>
      </c>
      <c r="H37" s="4">
        <v>1445</v>
      </c>
      <c r="I37" s="3">
        <v>716</v>
      </c>
      <c r="J37" s="3">
        <v>729</v>
      </c>
      <c r="K37" s="3">
        <v>430</v>
      </c>
      <c r="L37" s="3">
        <f t="shared" si="2"/>
        <v>29.757785467128027</v>
      </c>
      <c r="M37" s="3">
        <v>20</v>
      </c>
      <c r="N37" s="3">
        <f t="shared" si="3"/>
        <v>1.3840830449826991</v>
      </c>
      <c r="O37" s="3">
        <v>181</v>
      </c>
      <c r="P37" s="15">
        <v>0</v>
      </c>
      <c r="Q37" s="22" t="s">
        <v>1348</v>
      </c>
      <c r="R37" s="102">
        <v>43819</v>
      </c>
      <c r="S37" s="67">
        <v>66.02</v>
      </c>
      <c r="T37" s="22"/>
      <c r="U37" s="22" t="s">
        <v>1348</v>
      </c>
      <c r="V37" s="22" t="s">
        <v>1348</v>
      </c>
      <c r="W37" s="22" t="s">
        <v>1348</v>
      </c>
      <c r="X37" s="22"/>
      <c r="Y37" s="22"/>
      <c r="Z37" s="22"/>
      <c r="AA37" s="22"/>
      <c r="AB37" s="22"/>
      <c r="AC37" s="22"/>
      <c r="AD37" s="22"/>
      <c r="AE37" s="22"/>
    </row>
    <row r="38" spans="1:31" x14ac:dyDescent="0.25">
      <c r="A38" s="1" t="s">
        <v>0</v>
      </c>
      <c r="B38" s="1" t="s">
        <v>859</v>
      </c>
      <c r="C38" s="2" t="s">
        <v>949</v>
      </c>
      <c r="D38" s="1" t="s">
        <v>951</v>
      </c>
      <c r="E38" s="1"/>
      <c r="F38" s="3">
        <v>478</v>
      </c>
      <c r="G38" s="3">
        <v>122</v>
      </c>
      <c r="H38" s="4">
        <v>642</v>
      </c>
      <c r="I38" s="3">
        <v>342</v>
      </c>
      <c r="J38" s="3">
        <v>300</v>
      </c>
      <c r="K38" s="3">
        <v>60</v>
      </c>
      <c r="L38" s="3">
        <f t="shared" si="2"/>
        <v>9.3457943925233646</v>
      </c>
      <c r="M38" s="3">
        <v>0</v>
      </c>
      <c r="N38" s="3">
        <f t="shared" si="3"/>
        <v>0</v>
      </c>
      <c r="O38" s="3">
        <v>111</v>
      </c>
      <c r="P38" s="15">
        <v>0</v>
      </c>
      <c r="Q38" s="22" t="s">
        <v>1348</v>
      </c>
      <c r="R38" s="102">
        <v>43815</v>
      </c>
      <c r="S38" s="67">
        <v>1.33</v>
      </c>
      <c r="T38" s="22"/>
      <c r="U38" s="22" t="s">
        <v>1348</v>
      </c>
      <c r="V38" s="22" t="s">
        <v>1348</v>
      </c>
      <c r="W38" s="22" t="s">
        <v>1348</v>
      </c>
      <c r="X38" s="22"/>
      <c r="Y38" s="22"/>
      <c r="Z38" s="22"/>
      <c r="AA38" s="22"/>
      <c r="AB38" s="22"/>
      <c r="AC38" s="22"/>
      <c r="AD38" s="22"/>
      <c r="AE38" s="22"/>
    </row>
    <row r="39" spans="1:31" x14ac:dyDescent="0.25">
      <c r="A39" s="1" t="s">
        <v>0</v>
      </c>
      <c r="B39" s="1" t="s">
        <v>859</v>
      </c>
      <c r="C39" s="2" t="s">
        <v>949</v>
      </c>
      <c r="D39" s="1" t="s">
        <v>952</v>
      </c>
      <c r="E39" s="1"/>
      <c r="F39" s="3">
        <v>1163</v>
      </c>
      <c r="G39" s="3">
        <v>252</v>
      </c>
      <c r="H39" s="4">
        <v>1296</v>
      </c>
      <c r="I39" s="3">
        <v>622</v>
      </c>
      <c r="J39" s="3">
        <v>674</v>
      </c>
      <c r="K39" s="3">
        <v>184</v>
      </c>
      <c r="L39" s="3">
        <f t="shared" si="2"/>
        <v>14.19753086419753</v>
      </c>
      <c r="M39" s="3">
        <v>154</v>
      </c>
      <c r="N39" s="3">
        <f t="shared" si="3"/>
        <v>11.882716049382717</v>
      </c>
      <c r="O39" s="3">
        <v>0</v>
      </c>
      <c r="P39" s="15">
        <v>0</v>
      </c>
      <c r="Q39" s="22" t="s">
        <v>1348</v>
      </c>
      <c r="R39" s="102">
        <v>43816</v>
      </c>
      <c r="S39" s="67">
        <v>16.14</v>
      </c>
      <c r="T39" s="22"/>
      <c r="U39" s="22" t="s">
        <v>1348</v>
      </c>
      <c r="V39" s="22" t="s">
        <v>1348</v>
      </c>
      <c r="W39" s="22" t="s">
        <v>1348</v>
      </c>
      <c r="X39" s="22"/>
      <c r="Y39" s="22"/>
      <c r="Z39" s="22"/>
      <c r="AA39" s="22"/>
      <c r="AB39" s="22"/>
      <c r="AC39" s="22"/>
      <c r="AD39" s="22"/>
      <c r="AE39" s="22"/>
    </row>
    <row r="40" spans="1:31" x14ac:dyDescent="0.25">
      <c r="A40" s="1" t="s">
        <v>0</v>
      </c>
      <c r="B40" s="1" t="s">
        <v>859</v>
      </c>
      <c r="C40" s="2" t="s">
        <v>949</v>
      </c>
      <c r="D40" s="1" t="s">
        <v>953</v>
      </c>
      <c r="E40" s="1"/>
      <c r="F40" s="3">
        <v>859</v>
      </c>
      <c r="G40" s="3">
        <v>130</v>
      </c>
      <c r="H40" s="4">
        <v>709</v>
      </c>
      <c r="I40" s="3">
        <v>361</v>
      </c>
      <c r="J40" s="3">
        <v>348</v>
      </c>
      <c r="K40" s="3">
        <v>214</v>
      </c>
      <c r="L40" s="3">
        <f t="shared" si="2"/>
        <v>30.18335684062059</v>
      </c>
      <c r="M40" s="3">
        <v>0</v>
      </c>
      <c r="N40" s="3">
        <f t="shared" si="3"/>
        <v>0</v>
      </c>
      <c r="O40" s="3">
        <v>98</v>
      </c>
      <c r="P40" s="15">
        <v>0</v>
      </c>
      <c r="Q40" s="22" t="s">
        <v>1348</v>
      </c>
      <c r="R40" s="102">
        <v>43817</v>
      </c>
      <c r="S40" s="67">
        <v>22.35</v>
      </c>
      <c r="T40" s="22"/>
      <c r="U40" s="22" t="s">
        <v>1348</v>
      </c>
      <c r="V40" s="22" t="s">
        <v>1348</v>
      </c>
      <c r="W40" s="22" t="s">
        <v>1348</v>
      </c>
      <c r="X40" s="22"/>
      <c r="Y40" s="22"/>
      <c r="Z40" s="22"/>
      <c r="AA40" s="22"/>
      <c r="AB40" s="22"/>
      <c r="AC40" s="22"/>
      <c r="AD40" s="22"/>
      <c r="AE40" s="22"/>
    </row>
    <row r="41" spans="1:31" x14ac:dyDescent="0.25">
      <c r="A41" s="1" t="s">
        <v>0</v>
      </c>
      <c r="B41" s="1" t="s">
        <v>859</v>
      </c>
      <c r="C41" s="2" t="s">
        <v>924</v>
      </c>
      <c r="D41" s="1" t="s">
        <v>923</v>
      </c>
      <c r="E41" s="1"/>
      <c r="F41" s="3">
        <v>2249</v>
      </c>
      <c r="G41" s="3">
        <v>423</v>
      </c>
      <c r="H41" s="4">
        <v>2242</v>
      </c>
      <c r="I41" s="3">
        <v>1126</v>
      </c>
      <c r="J41" s="3">
        <v>1116</v>
      </c>
      <c r="K41" s="3">
        <v>576</v>
      </c>
      <c r="L41" s="3">
        <f t="shared" si="2"/>
        <v>25.69134701159679</v>
      </c>
      <c r="M41" s="3">
        <v>34</v>
      </c>
      <c r="N41" s="3">
        <f t="shared" si="3"/>
        <v>1.5165031222123104</v>
      </c>
      <c r="O41" s="3">
        <v>238</v>
      </c>
      <c r="P41" s="15">
        <v>0</v>
      </c>
      <c r="Q41" s="22" t="s">
        <v>1348</v>
      </c>
      <c r="R41" s="117" t="s">
        <v>1374</v>
      </c>
      <c r="S41" s="67">
        <v>66.83</v>
      </c>
      <c r="T41" s="22"/>
      <c r="U41" s="22" t="s">
        <v>1348</v>
      </c>
      <c r="V41" s="22" t="s">
        <v>1348</v>
      </c>
      <c r="W41" s="22" t="s">
        <v>1348</v>
      </c>
      <c r="X41" s="22"/>
      <c r="Y41" s="22"/>
      <c r="Z41" s="22"/>
      <c r="AA41" s="22"/>
      <c r="AB41" s="22"/>
      <c r="AC41" s="22"/>
      <c r="AD41" s="22"/>
      <c r="AE41" s="22"/>
    </row>
    <row r="42" spans="1:31" x14ac:dyDescent="0.25">
      <c r="A42" s="1" t="s">
        <v>0</v>
      </c>
      <c r="B42" s="1" t="s">
        <v>859</v>
      </c>
      <c r="C42" s="2" t="s">
        <v>924</v>
      </c>
      <c r="D42" s="1" t="s">
        <v>929</v>
      </c>
      <c r="E42" s="1"/>
      <c r="F42" s="3">
        <v>792.81</v>
      </c>
      <c r="G42" s="3">
        <v>131</v>
      </c>
      <c r="H42" s="4">
        <v>636</v>
      </c>
      <c r="I42" s="3">
        <v>324</v>
      </c>
      <c r="J42" s="3">
        <v>312</v>
      </c>
      <c r="K42" s="3">
        <v>165</v>
      </c>
      <c r="L42" s="3">
        <f t="shared" si="2"/>
        <v>25.943396226415093</v>
      </c>
      <c r="M42" s="3">
        <v>0</v>
      </c>
      <c r="N42" s="3">
        <f t="shared" si="3"/>
        <v>0</v>
      </c>
      <c r="O42" s="3">
        <v>165.86</v>
      </c>
      <c r="P42" s="15">
        <v>0</v>
      </c>
      <c r="Q42" s="22" t="s">
        <v>1348</v>
      </c>
      <c r="R42" s="97" t="s">
        <v>1375</v>
      </c>
      <c r="S42" s="67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 spans="1:31" x14ac:dyDescent="0.25">
      <c r="A43" s="1" t="s">
        <v>0</v>
      </c>
      <c r="B43" s="1" t="s">
        <v>859</v>
      </c>
      <c r="C43" s="2" t="s">
        <v>924</v>
      </c>
      <c r="D43" s="1" t="s">
        <v>930</v>
      </c>
      <c r="E43" s="1"/>
      <c r="F43" s="3">
        <v>275.68</v>
      </c>
      <c r="G43" s="3">
        <v>49</v>
      </c>
      <c r="H43" s="4">
        <v>335</v>
      </c>
      <c r="I43" s="3">
        <v>168</v>
      </c>
      <c r="J43" s="3">
        <v>167</v>
      </c>
      <c r="K43" s="3">
        <v>0</v>
      </c>
      <c r="L43" s="3">
        <f t="shared" si="2"/>
        <v>0</v>
      </c>
      <c r="M43" s="3">
        <v>0</v>
      </c>
      <c r="N43" s="3">
        <f t="shared" si="3"/>
        <v>0</v>
      </c>
      <c r="O43" s="3">
        <v>0</v>
      </c>
      <c r="P43" s="15">
        <v>0</v>
      </c>
      <c r="Q43" s="22" t="s">
        <v>1348</v>
      </c>
      <c r="R43" s="97" t="s">
        <v>1365</v>
      </c>
      <c r="S43" s="67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:31" x14ac:dyDescent="0.25">
      <c r="A44" s="1" t="s">
        <v>0</v>
      </c>
      <c r="B44" s="1" t="s">
        <v>859</v>
      </c>
      <c r="C44" s="2" t="s">
        <v>924</v>
      </c>
      <c r="D44" s="1" t="s">
        <v>931</v>
      </c>
      <c r="E44" s="1"/>
      <c r="F44" s="3">
        <v>1962.31</v>
      </c>
      <c r="G44" s="3">
        <v>368</v>
      </c>
      <c r="H44" s="4">
        <v>1964</v>
      </c>
      <c r="I44" s="3">
        <v>1025</v>
      </c>
      <c r="J44" s="3">
        <v>939</v>
      </c>
      <c r="K44" s="3">
        <v>585</v>
      </c>
      <c r="L44" s="3">
        <f t="shared" si="2"/>
        <v>29.786150712830956</v>
      </c>
      <c r="M44" s="3">
        <v>0</v>
      </c>
      <c r="N44" s="3">
        <f t="shared" si="3"/>
        <v>0</v>
      </c>
      <c r="O44" s="3">
        <v>176.01</v>
      </c>
      <c r="P44" s="15">
        <v>0</v>
      </c>
      <c r="Q44" s="22" t="s">
        <v>1348</v>
      </c>
      <c r="R44" s="117" t="s">
        <v>1376</v>
      </c>
      <c r="S44" s="67">
        <v>83.77</v>
      </c>
      <c r="T44" s="22"/>
      <c r="U44" s="22" t="s">
        <v>1348</v>
      </c>
      <c r="V44" s="22" t="s">
        <v>1348</v>
      </c>
      <c r="W44" s="22" t="s">
        <v>1348</v>
      </c>
      <c r="X44" s="22"/>
      <c r="Y44" s="22"/>
      <c r="Z44" s="22"/>
      <c r="AA44" s="22"/>
      <c r="AB44" s="22"/>
      <c r="AC44" s="22"/>
      <c r="AD44" s="22"/>
      <c r="AE44" s="22"/>
    </row>
    <row r="45" spans="1:31" x14ac:dyDescent="0.25">
      <c r="A45" s="1" t="s">
        <v>0</v>
      </c>
      <c r="B45" s="1" t="s">
        <v>859</v>
      </c>
      <c r="C45" s="2" t="s">
        <v>924</v>
      </c>
      <c r="D45" s="1" t="s">
        <v>60</v>
      </c>
      <c r="E45" s="1"/>
      <c r="F45" s="3">
        <v>1777</v>
      </c>
      <c r="G45" s="3">
        <v>304</v>
      </c>
      <c r="H45" s="4">
        <v>1985</v>
      </c>
      <c r="I45" s="3">
        <v>1029</v>
      </c>
      <c r="J45" s="3">
        <v>956</v>
      </c>
      <c r="K45" s="3">
        <v>700</v>
      </c>
      <c r="L45" s="3">
        <f t="shared" si="2"/>
        <v>35.264483627204029</v>
      </c>
      <c r="M45" s="3">
        <v>14</v>
      </c>
      <c r="N45" s="3">
        <f t="shared" si="3"/>
        <v>0.70528967254408059</v>
      </c>
      <c r="O45" s="3">
        <v>158</v>
      </c>
      <c r="P45" s="15">
        <v>0</v>
      </c>
      <c r="Q45" s="22" t="s">
        <v>1348</v>
      </c>
      <c r="R45" s="117" t="s">
        <v>1377</v>
      </c>
      <c r="S45" s="67">
        <v>9.14</v>
      </c>
      <c r="T45" s="22"/>
      <c r="U45" s="22" t="s">
        <v>1348</v>
      </c>
      <c r="V45" s="22" t="s">
        <v>1348</v>
      </c>
      <c r="W45" s="22" t="s">
        <v>1348</v>
      </c>
      <c r="X45" s="22"/>
      <c r="Y45" s="22"/>
      <c r="Z45" s="22"/>
      <c r="AA45" s="22"/>
      <c r="AB45" s="22"/>
      <c r="AC45" s="22"/>
      <c r="AD45" s="22"/>
      <c r="AE45" s="22"/>
    </row>
    <row r="46" spans="1:31" x14ac:dyDescent="0.25">
      <c r="A46" s="1" t="s">
        <v>0</v>
      </c>
      <c r="B46" s="1" t="s">
        <v>859</v>
      </c>
      <c r="C46" s="2" t="s">
        <v>874</v>
      </c>
      <c r="D46" s="1" t="s">
        <v>873</v>
      </c>
      <c r="E46" s="1"/>
      <c r="F46" s="3">
        <v>462</v>
      </c>
      <c r="G46" s="3">
        <v>53</v>
      </c>
      <c r="H46" s="4">
        <v>247</v>
      </c>
      <c r="I46" s="3">
        <v>125</v>
      </c>
      <c r="J46" s="3">
        <v>122</v>
      </c>
      <c r="K46" s="3">
        <v>0</v>
      </c>
      <c r="L46" s="3">
        <f t="shared" si="2"/>
        <v>0</v>
      </c>
      <c r="M46" s="3">
        <v>0</v>
      </c>
      <c r="N46" s="3">
        <f t="shared" si="3"/>
        <v>0</v>
      </c>
      <c r="O46" s="3">
        <v>42</v>
      </c>
      <c r="P46" s="15">
        <v>0</v>
      </c>
      <c r="Q46" s="22" t="s">
        <v>1348</v>
      </c>
      <c r="R46" s="102">
        <v>44077</v>
      </c>
      <c r="S46" s="67">
        <v>22.43</v>
      </c>
      <c r="T46" s="22"/>
      <c r="U46" s="22" t="s">
        <v>1348</v>
      </c>
      <c r="V46" s="22" t="s">
        <v>1348</v>
      </c>
      <c r="W46" s="22" t="s">
        <v>1348</v>
      </c>
      <c r="X46" s="22"/>
      <c r="Y46" s="22"/>
      <c r="Z46" s="22"/>
      <c r="AA46" s="22"/>
      <c r="AB46" s="22"/>
      <c r="AC46" s="22"/>
      <c r="AD46" s="22"/>
      <c r="AE46" s="22"/>
    </row>
    <row r="47" spans="1:31" x14ac:dyDescent="0.25">
      <c r="A47" s="1" t="s">
        <v>0</v>
      </c>
      <c r="B47" s="1" t="s">
        <v>859</v>
      </c>
      <c r="C47" s="2" t="s">
        <v>874</v>
      </c>
      <c r="D47" s="1" t="s">
        <v>875</v>
      </c>
      <c r="E47" s="1"/>
      <c r="F47" s="3">
        <v>2126</v>
      </c>
      <c r="G47" s="3">
        <v>381</v>
      </c>
      <c r="H47" s="4">
        <v>1929</v>
      </c>
      <c r="I47" s="3">
        <v>1007</v>
      </c>
      <c r="J47" s="3">
        <v>922</v>
      </c>
      <c r="K47" s="3">
        <v>555</v>
      </c>
      <c r="L47" s="3">
        <f t="shared" si="2"/>
        <v>28.771384136858476</v>
      </c>
      <c r="M47" s="3">
        <v>0</v>
      </c>
      <c r="N47" s="3">
        <f t="shared" si="3"/>
        <v>0</v>
      </c>
      <c r="O47" s="3">
        <v>83</v>
      </c>
      <c r="P47" s="15">
        <v>0</v>
      </c>
      <c r="Q47" s="22" t="s">
        <v>1348</v>
      </c>
      <c r="R47" s="102">
        <v>43872</v>
      </c>
      <c r="S47" s="67">
        <v>53.8</v>
      </c>
      <c r="T47" s="22"/>
      <c r="U47" s="22" t="s">
        <v>1348</v>
      </c>
      <c r="V47" s="22" t="s">
        <v>1348</v>
      </c>
      <c r="W47" s="22" t="s">
        <v>1348</v>
      </c>
      <c r="X47" s="22"/>
      <c r="Y47" s="22"/>
      <c r="Z47" s="22"/>
      <c r="AA47" s="22"/>
      <c r="AB47" s="22"/>
      <c r="AC47" s="22"/>
      <c r="AD47" s="22"/>
      <c r="AE47" s="22"/>
    </row>
    <row r="48" spans="1:31" x14ac:dyDescent="0.25">
      <c r="A48" s="1" t="s">
        <v>0</v>
      </c>
      <c r="B48" s="1" t="s">
        <v>859</v>
      </c>
      <c r="C48" s="2" t="s">
        <v>874</v>
      </c>
      <c r="D48" s="1" t="s">
        <v>876</v>
      </c>
      <c r="E48" s="1"/>
      <c r="F48" s="3">
        <v>1902</v>
      </c>
      <c r="G48" s="3">
        <v>326</v>
      </c>
      <c r="H48" s="4">
        <v>1917</v>
      </c>
      <c r="I48" s="3">
        <v>1007</v>
      </c>
      <c r="J48" s="3">
        <v>910</v>
      </c>
      <c r="K48" s="3">
        <v>650</v>
      </c>
      <c r="L48" s="3">
        <f t="shared" si="2"/>
        <v>33.907146583202923</v>
      </c>
      <c r="M48" s="3">
        <v>45</v>
      </c>
      <c r="N48" s="3">
        <f t="shared" si="3"/>
        <v>2.3474178403755865</v>
      </c>
      <c r="O48" s="3">
        <v>71</v>
      </c>
      <c r="P48" s="15">
        <v>0</v>
      </c>
      <c r="Q48" s="22" t="s">
        <v>1348</v>
      </c>
      <c r="R48" s="102">
        <v>43873</v>
      </c>
      <c r="S48" s="67">
        <v>51.47</v>
      </c>
      <c r="T48" s="22"/>
      <c r="U48" s="22" t="s">
        <v>1348</v>
      </c>
      <c r="V48" s="22" t="s">
        <v>1348</v>
      </c>
      <c r="W48" s="22" t="s">
        <v>1348</v>
      </c>
      <c r="X48" s="22"/>
      <c r="Y48" s="22"/>
      <c r="Z48" s="22"/>
      <c r="AA48" s="22"/>
      <c r="AB48" s="22"/>
      <c r="AC48" s="22"/>
      <c r="AD48" s="22"/>
      <c r="AE48" s="22"/>
    </row>
    <row r="49" spans="1:31" x14ac:dyDescent="0.25">
      <c r="A49" s="1" t="s">
        <v>0</v>
      </c>
      <c r="B49" s="1" t="s">
        <v>859</v>
      </c>
      <c r="C49" s="2" t="s">
        <v>939</v>
      </c>
      <c r="D49" s="1" t="s">
        <v>938</v>
      </c>
      <c r="E49" s="1"/>
      <c r="F49" s="3">
        <v>1915</v>
      </c>
      <c r="G49" s="3">
        <v>195</v>
      </c>
      <c r="H49" s="4">
        <v>1023</v>
      </c>
      <c r="I49" s="3">
        <v>503</v>
      </c>
      <c r="J49" s="3">
        <v>520</v>
      </c>
      <c r="K49" s="3">
        <v>110</v>
      </c>
      <c r="L49" s="3">
        <f t="shared" si="2"/>
        <v>10.75268817204301</v>
      </c>
      <c r="M49" s="3">
        <v>0</v>
      </c>
      <c r="N49" s="3">
        <f t="shared" si="3"/>
        <v>0</v>
      </c>
      <c r="O49" s="3">
        <v>75</v>
      </c>
      <c r="P49" s="15">
        <v>0</v>
      </c>
      <c r="Q49" s="22" t="s">
        <v>1348</v>
      </c>
      <c r="R49" s="97" t="s">
        <v>1366</v>
      </c>
      <c r="S49" s="67">
        <v>15.4</v>
      </c>
      <c r="T49" s="22"/>
      <c r="U49" s="22" t="s">
        <v>1348</v>
      </c>
      <c r="V49" s="22" t="s">
        <v>1348</v>
      </c>
      <c r="W49" s="22" t="s">
        <v>1348</v>
      </c>
      <c r="X49" s="22"/>
      <c r="Y49" s="22"/>
      <c r="Z49" s="22"/>
      <c r="AA49" s="22"/>
      <c r="AB49" s="22"/>
      <c r="AC49" s="22"/>
      <c r="AD49" s="22"/>
      <c r="AE49" s="22"/>
    </row>
    <row r="50" spans="1:31" x14ac:dyDescent="0.25">
      <c r="A50" s="1" t="s">
        <v>0</v>
      </c>
      <c r="B50" s="1" t="s">
        <v>859</v>
      </c>
      <c r="C50" s="2" t="s">
        <v>939</v>
      </c>
      <c r="D50" s="1" t="s">
        <v>225</v>
      </c>
      <c r="E50" s="1"/>
      <c r="F50" s="3">
        <v>4349</v>
      </c>
      <c r="G50" s="3">
        <v>549</v>
      </c>
      <c r="H50" s="4">
        <v>2867</v>
      </c>
      <c r="I50" s="3">
        <v>1480</v>
      </c>
      <c r="J50" s="3">
        <v>1387</v>
      </c>
      <c r="K50" s="3">
        <v>817</v>
      </c>
      <c r="L50" s="3">
        <f t="shared" si="2"/>
        <v>28.496686431810254</v>
      </c>
      <c r="M50" s="3">
        <v>256</v>
      </c>
      <c r="N50" s="3">
        <f t="shared" si="3"/>
        <v>8.9291942797349151</v>
      </c>
      <c r="O50" s="3">
        <v>191</v>
      </c>
      <c r="P50" s="15">
        <v>0</v>
      </c>
      <c r="Q50" s="22"/>
      <c r="R50" s="97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 spans="1:31" x14ac:dyDescent="0.25">
      <c r="A51" s="1" t="s">
        <v>0</v>
      </c>
      <c r="B51" s="1" t="s">
        <v>859</v>
      </c>
      <c r="C51" s="2" t="s">
        <v>905</v>
      </c>
      <c r="D51" s="1" t="s">
        <v>904</v>
      </c>
      <c r="E51" s="1"/>
      <c r="F51" s="3">
        <v>1188</v>
      </c>
      <c r="G51" s="3">
        <v>158</v>
      </c>
      <c r="H51" s="4">
        <v>1041</v>
      </c>
      <c r="I51" s="3">
        <v>549</v>
      </c>
      <c r="J51" s="3">
        <v>492</v>
      </c>
      <c r="K51" s="3">
        <v>154</v>
      </c>
      <c r="L51" s="3">
        <f t="shared" si="2"/>
        <v>14.793467819404418</v>
      </c>
      <c r="M51" s="3">
        <v>6</v>
      </c>
      <c r="N51" s="3">
        <f t="shared" si="3"/>
        <v>0.57636887608069165</v>
      </c>
      <c r="O51" s="3">
        <v>14</v>
      </c>
      <c r="P51" s="15">
        <v>0</v>
      </c>
      <c r="Q51" s="22" t="s">
        <v>1348</v>
      </c>
      <c r="R51" s="102">
        <v>43699</v>
      </c>
      <c r="S51" s="67">
        <v>82.34</v>
      </c>
      <c r="T51" s="22"/>
      <c r="U51" s="22" t="s">
        <v>1348</v>
      </c>
      <c r="V51" s="22" t="s">
        <v>1348</v>
      </c>
      <c r="W51" s="22" t="s">
        <v>1348</v>
      </c>
      <c r="X51" s="22"/>
      <c r="Y51" s="22"/>
      <c r="Z51" s="22"/>
      <c r="AA51" s="22"/>
      <c r="AB51" s="22"/>
      <c r="AC51" s="22"/>
      <c r="AD51" s="22"/>
      <c r="AE51" s="22"/>
    </row>
    <row r="52" spans="1:31" x14ac:dyDescent="0.25">
      <c r="A52" s="1" t="s">
        <v>0</v>
      </c>
      <c r="B52" s="1" t="s">
        <v>859</v>
      </c>
      <c r="C52" s="2" t="s">
        <v>905</v>
      </c>
      <c r="D52" s="1" t="s">
        <v>908</v>
      </c>
      <c r="E52" s="1"/>
      <c r="F52" s="3">
        <v>963</v>
      </c>
      <c r="G52" s="3">
        <v>109</v>
      </c>
      <c r="H52" s="4">
        <v>598</v>
      </c>
      <c r="I52" s="3">
        <v>298</v>
      </c>
      <c r="J52" s="3">
        <v>300</v>
      </c>
      <c r="K52" s="3">
        <v>106</v>
      </c>
      <c r="L52" s="3">
        <f t="shared" si="2"/>
        <v>17.725752508361204</v>
      </c>
      <c r="M52" s="3">
        <v>0</v>
      </c>
      <c r="N52" s="3">
        <f t="shared" si="3"/>
        <v>0</v>
      </c>
      <c r="O52" s="3">
        <v>91</v>
      </c>
      <c r="P52" s="15">
        <v>0</v>
      </c>
      <c r="Q52" s="22" t="s">
        <v>1348</v>
      </c>
      <c r="R52" s="102">
        <v>43667</v>
      </c>
      <c r="S52" s="67">
        <v>41.82</v>
      </c>
      <c r="T52" s="22"/>
      <c r="U52" s="22" t="s">
        <v>1348</v>
      </c>
      <c r="V52" s="22" t="s">
        <v>1348</v>
      </c>
      <c r="W52" s="22" t="s">
        <v>1348</v>
      </c>
      <c r="X52" s="22"/>
      <c r="Y52" s="22"/>
      <c r="Z52" s="22"/>
      <c r="AA52" s="22"/>
      <c r="AB52" s="22"/>
      <c r="AC52" s="22"/>
      <c r="AD52" s="22"/>
      <c r="AE52" s="22"/>
    </row>
    <row r="53" spans="1:31" x14ac:dyDescent="0.25">
      <c r="A53" s="1" t="s">
        <v>0</v>
      </c>
      <c r="B53" s="1" t="s">
        <v>859</v>
      </c>
      <c r="C53" s="2" t="s">
        <v>905</v>
      </c>
      <c r="D53" s="1" t="s">
        <v>909</v>
      </c>
      <c r="E53" s="1"/>
      <c r="F53" s="3">
        <v>1902</v>
      </c>
      <c r="G53" s="3">
        <v>334</v>
      </c>
      <c r="H53" s="4">
        <v>1726</v>
      </c>
      <c r="I53" s="3">
        <v>890</v>
      </c>
      <c r="J53" s="3">
        <v>836</v>
      </c>
      <c r="K53" s="3">
        <v>425</v>
      </c>
      <c r="L53" s="3">
        <f t="shared" si="2"/>
        <v>24.623406720741599</v>
      </c>
      <c r="M53" s="3">
        <v>50</v>
      </c>
      <c r="N53" s="3">
        <f t="shared" si="3"/>
        <v>2.8968713789107765</v>
      </c>
      <c r="O53" s="3">
        <v>112</v>
      </c>
      <c r="P53" s="15">
        <v>0</v>
      </c>
      <c r="Q53" s="22" t="s">
        <v>1348</v>
      </c>
      <c r="R53" s="102">
        <v>43677</v>
      </c>
      <c r="S53" s="67">
        <v>92.69</v>
      </c>
      <c r="T53" s="22"/>
      <c r="U53" s="22" t="s">
        <v>1348</v>
      </c>
      <c r="V53" s="22" t="s">
        <v>1348</v>
      </c>
      <c r="W53" s="22" t="s">
        <v>1348</v>
      </c>
      <c r="X53" s="22"/>
      <c r="Y53" s="22"/>
      <c r="Z53" s="22"/>
      <c r="AA53" s="22"/>
      <c r="AB53" s="22"/>
      <c r="AC53" s="22"/>
      <c r="AD53" s="22"/>
      <c r="AE53" s="22"/>
    </row>
    <row r="54" spans="1:31" x14ac:dyDescent="0.25">
      <c r="A54" s="1" t="s">
        <v>0</v>
      </c>
      <c r="B54" s="1" t="s">
        <v>859</v>
      </c>
      <c r="C54" s="2" t="s">
        <v>905</v>
      </c>
      <c r="D54" s="1" t="s">
        <v>910</v>
      </c>
      <c r="E54" s="1"/>
      <c r="F54" s="3">
        <v>1087</v>
      </c>
      <c r="G54" s="3">
        <v>125</v>
      </c>
      <c r="H54" s="4">
        <v>734</v>
      </c>
      <c r="I54" s="3">
        <v>392</v>
      </c>
      <c r="J54" s="3">
        <v>342</v>
      </c>
      <c r="K54" s="3">
        <v>188</v>
      </c>
      <c r="L54" s="3">
        <f t="shared" si="2"/>
        <v>25.61307901907357</v>
      </c>
      <c r="M54" s="3">
        <v>0</v>
      </c>
      <c r="N54" s="3">
        <f t="shared" si="3"/>
        <v>0</v>
      </c>
      <c r="O54" s="3">
        <v>89.2</v>
      </c>
      <c r="P54" s="15">
        <v>0</v>
      </c>
      <c r="Q54" s="22" t="s">
        <v>1348</v>
      </c>
      <c r="R54" s="102">
        <v>43669</v>
      </c>
      <c r="S54" s="67">
        <v>4.32</v>
      </c>
      <c r="T54" s="22"/>
      <c r="U54" s="22" t="s">
        <v>1348</v>
      </c>
      <c r="V54" s="22" t="s">
        <v>1348</v>
      </c>
      <c r="W54" s="22" t="s">
        <v>1348</v>
      </c>
      <c r="X54" s="22"/>
      <c r="Y54" s="22"/>
      <c r="Z54" s="22"/>
      <c r="AA54" s="22"/>
      <c r="AB54" s="22"/>
      <c r="AC54" s="22"/>
      <c r="AD54" s="22"/>
      <c r="AE54" s="22"/>
    </row>
    <row r="55" spans="1:31" x14ac:dyDescent="0.25">
      <c r="A55" s="1" t="s">
        <v>0</v>
      </c>
      <c r="B55" s="1" t="s">
        <v>859</v>
      </c>
      <c r="C55" s="2" t="s">
        <v>894</v>
      </c>
      <c r="D55" s="1" t="s">
        <v>893</v>
      </c>
      <c r="E55" s="1"/>
      <c r="F55" s="3">
        <v>879.23</v>
      </c>
      <c r="G55" s="3">
        <v>255</v>
      </c>
      <c r="H55" s="4">
        <v>1351</v>
      </c>
      <c r="I55" s="3">
        <v>669</v>
      </c>
      <c r="J55" s="3">
        <v>682</v>
      </c>
      <c r="K55" s="3">
        <v>269</v>
      </c>
      <c r="L55" s="3">
        <f t="shared" si="2"/>
        <v>19.911176905995561</v>
      </c>
      <c r="M55" s="3">
        <v>16</v>
      </c>
      <c r="N55" s="3">
        <f t="shared" si="3"/>
        <v>1.1843079200592153</v>
      </c>
      <c r="O55" s="3">
        <v>55.1</v>
      </c>
      <c r="P55" s="15">
        <v>0</v>
      </c>
      <c r="Q55" s="22" t="s">
        <v>1348</v>
      </c>
      <c r="R55" s="102">
        <v>43879</v>
      </c>
      <c r="S55" s="67">
        <v>52.58</v>
      </c>
      <c r="T55" s="22"/>
      <c r="U55" s="22" t="s">
        <v>1348</v>
      </c>
      <c r="V55" s="22" t="s">
        <v>1348</v>
      </c>
      <c r="W55" s="22" t="s">
        <v>1348</v>
      </c>
      <c r="X55" s="22"/>
      <c r="Y55" s="22"/>
      <c r="Z55" s="22"/>
      <c r="AA55" s="22"/>
      <c r="AB55" s="22"/>
      <c r="AC55" s="22"/>
      <c r="AD55" s="22"/>
      <c r="AE55" s="22"/>
    </row>
    <row r="56" spans="1:31" x14ac:dyDescent="0.25">
      <c r="A56" s="1" t="s">
        <v>0</v>
      </c>
      <c r="B56" s="1" t="s">
        <v>859</v>
      </c>
      <c r="C56" s="2" t="s">
        <v>894</v>
      </c>
      <c r="D56" s="1" t="s">
        <v>895</v>
      </c>
      <c r="E56" s="1"/>
      <c r="F56" s="3">
        <v>697.86</v>
      </c>
      <c r="G56" s="3">
        <v>206</v>
      </c>
      <c r="H56" s="4">
        <v>1097</v>
      </c>
      <c r="I56" s="3">
        <v>547</v>
      </c>
      <c r="J56" s="3">
        <v>550</v>
      </c>
      <c r="K56" s="3">
        <v>374</v>
      </c>
      <c r="L56" s="3">
        <f t="shared" si="2"/>
        <v>34.092980856882406</v>
      </c>
      <c r="M56" s="3">
        <v>133</v>
      </c>
      <c r="N56" s="3">
        <f t="shared" si="3"/>
        <v>12.123974475843209</v>
      </c>
      <c r="O56" s="3">
        <v>0</v>
      </c>
      <c r="P56" s="15">
        <v>0</v>
      </c>
      <c r="Q56" s="22" t="s">
        <v>1348</v>
      </c>
      <c r="R56" s="102">
        <v>43884</v>
      </c>
      <c r="S56" s="67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 spans="1:31" x14ac:dyDescent="0.25">
      <c r="A57" s="1" t="s">
        <v>0</v>
      </c>
      <c r="B57" s="1" t="s">
        <v>859</v>
      </c>
      <c r="C57" s="2" t="s">
        <v>894</v>
      </c>
      <c r="D57" s="1" t="s">
        <v>896</v>
      </c>
      <c r="E57" s="1"/>
      <c r="F57" s="3">
        <v>377.26</v>
      </c>
      <c r="G57" s="3">
        <v>10</v>
      </c>
      <c r="H57" s="4">
        <v>63</v>
      </c>
      <c r="I57" s="3">
        <v>33</v>
      </c>
      <c r="J57" s="3">
        <v>30</v>
      </c>
      <c r="K57" s="3">
        <v>0</v>
      </c>
      <c r="L57" s="3">
        <f t="shared" si="2"/>
        <v>0</v>
      </c>
      <c r="M57" s="3">
        <v>0</v>
      </c>
      <c r="N57" s="3">
        <f t="shared" si="3"/>
        <v>0</v>
      </c>
      <c r="O57" s="3">
        <v>3.02</v>
      </c>
      <c r="P57" s="15">
        <v>66.010000000000005</v>
      </c>
      <c r="Q57" s="22" t="s">
        <v>1348</v>
      </c>
      <c r="R57" s="102">
        <v>43877</v>
      </c>
      <c r="S57" s="67">
        <v>22.47</v>
      </c>
      <c r="T57" s="22"/>
      <c r="U57" s="22" t="s">
        <v>1348</v>
      </c>
      <c r="V57" s="22" t="s">
        <v>1348</v>
      </c>
      <c r="W57" s="22" t="s">
        <v>1348</v>
      </c>
      <c r="X57" s="22"/>
      <c r="Y57" s="22"/>
      <c r="Z57" s="22"/>
      <c r="AA57" s="22"/>
      <c r="AB57" s="22"/>
      <c r="AC57" s="22"/>
      <c r="AD57" s="22"/>
      <c r="AE57" s="22"/>
    </row>
    <row r="58" spans="1:31" x14ac:dyDescent="0.25">
      <c r="A58" s="1" t="s">
        <v>0</v>
      </c>
      <c r="B58" s="1" t="s">
        <v>859</v>
      </c>
      <c r="C58" s="2" t="s">
        <v>894</v>
      </c>
      <c r="D58" s="1" t="s">
        <v>897</v>
      </c>
      <c r="E58" s="1"/>
      <c r="F58" s="3">
        <v>1737.35</v>
      </c>
      <c r="G58" s="3">
        <v>253</v>
      </c>
      <c r="H58" s="4">
        <v>1418</v>
      </c>
      <c r="I58" s="3">
        <v>712</v>
      </c>
      <c r="J58" s="3">
        <v>706</v>
      </c>
      <c r="K58" s="3">
        <v>354</v>
      </c>
      <c r="L58" s="3">
        <f t="shared" si="2"/>
        <v>24.964739069111424</v>
      </c>
      <c r="M58" s="3">
        <v>229</v>
      </c>
      <c r="N58" s="3">
        <f t="shared" si="3"/>
        <v>16.149506346967559</v>
      </c>
      <c r="O58" s="3">
        <v>405</v>
      </c>
      <c r="P58" s="15">
        <v>132.12</v>
      </c>
      <c r="Q58" s="22" t="s">
        <v>1348</v>
      </c>
      <c r="R58" s="102">
        <v>44083</v>
      </c>
      <c r="S58" s="67">
        <v>69.38</v>
      </c>
      <c r="T58" s="22"/>
      <c r="U58" s="22" t="s">
        <v>1348</v>
      </c>
      <c r="V58" s="22" t="s">
        <v>1348</v>
      </c>
      <c r="W58" s="22" t="s">
        <v>1348</v>
      </c>
      <c r="X58" s="22"/>
      <c r="Y58" s="22"/>
      <c r="Z58" s="22"/>
      <c r="AA58" s="22"/>
      <c r="AB58" s="22"/>
      <c r="AC58" s="22"/>
      <c r="AD58" s="22"/>
      <c r="AE58" s="22"/>
    </row>
    <row r="59" spans="1:31" x14ac:dyDescent="0.25">
      <c r="A59" s="1" t="s">
        <v>0</v>
      </c>
      <c r="B59" s="1" t="s">
        <v>859</v>
      </c>
      <c r="C59" s="2" t="s">
        <v>894</v>
      </c>
      <c r="D59" s="1" t="s">
        <v>898</v>
      </c>
      <c r="E59" s="1"/>
      <c r="F59" s="3">
        <v>1291.1300000000001</v>
      </c>
      <c r="G59" s="3">
        <v>157</v>
      </c>
      <c r="H59" s="4">
        <v>983</v>
      </c>
      <c r="I59" s="3">
        <v>508</v>
      </c>
      <c r="J59" s="3">
        <v>475</v>
      </c>
      <c r="K59" s="3">
        <v>373</v>
      </c>
      <c r="L59" s="3">
        <f t="shared" si="2"/>
        <v>37.945066124109864</v>
      </c>
      <c r="M59" s="3">
        <v>136</v>
      </c>
      <c r="N59" s="3">
        <f t="shared" si="3"/>
        <v>13.835198372329604</v>
      </c>
      <c r="O59" s="3">
        <v>129.07</v>
      </c>
      <c r="P59" s="15">
        <v>0</v>
      </c>
      <c r="Q59" s="22" t="s">
        <v>1348</v>
      </c>
      <c r="R59" s="102">
        <v>43883</v>
      </c>
      <c r="S59" s="67">
        <v>32.31</v>
      </c>
      <c r="T59" s="22"/>
      <c r="U59" s="22" t="s">
        <v>1348</v>
      </c>
      <c r="V59" s="22" t="s">
        <v>1348</v>
      </c>
      <c r="W59" s="22" t="s">
        <v>1348</v>
      </c>
      <c r="X59" s="22"/>
      <c r="Y59" s="22"/>
      <c r="Z59" s="22"/>
      <c r="AA59" s="22"/>
      <c r="AB59" s="22"/>
      <c r="AC59" s="22"/>
      <c r="AD59" s="22"/>
      <c r="AE59" s="22"/>
    </row>
    <row r="60" spans="1:31" x14ac:dyDescent="0.25">
      <c r="A60" s="1" t="s">
        <v>0</v>
      </c>
      <c r="B60" s="1" t="s">
        <v>859</v>
      </c>
      <c r="C60" s="2" t="s">
        <v>894</v>
      </c>
      <c r="D60" s="1" t="s">
        <v>899</v>
      </c>
      <c r="E60" s="1"/>
      <c r="F60" s="3">
        <v>1168.3</v>
      </c>
      <c r="G60" s="3">
        <v>326</v>
      </c>
      <c r="H60" s="4">
        <v>1758</v>
      </c>
      <c r="I60" s="3">
        <v>915</v>
      </c>
      <c r="J60" s="3">
        <v>843</v>
      </c>
      <c r="K60" s="3">
        <v>392</v>
      </c>
      <c r="L60" s="3">
        <f t="shared" si="2"/>
        <v>22.29806598407281</v>
      </c>
      <c r="M60" s="3">
        <v>262</v>
      </c>
      <c r="N60" s="3">
        <f t="shared" si="3"/>
        <v>14.903299203640499</v>
      </c>
      <c r="O60" s="3">
        <v>34</v>
      </c>
      <c r="P60" s="15">
        <v>0</v>
      </c>
      <c r="Q60" s="22" t="s">
        <v>1348</v>
      </c>
      <c r="R60" s="102">
        <v>43885</v>
      </c>
      <c r="S60" s="67">
        <v>10.65</v>
      </c>
      <c r="T60" s="22"/>
      <c r="U60" s="22" t="s">
        <v>1348</v>
      </c>
      <c r="V60" s="22" t="s">
        <v>1348</v>
      </c>
      <c r="W60" s="22" t="s">
        <v>1348</v>
      </c>
      <c r="X60" s="22"/>
      <c r="Y60" s="22"/>
      <c r="Z60" s="22"/>
      <c r="AA60" s="22"/>
      <c r="AB60" s="22"/>
      <c r="AC60" s="22"/>
      <c r="AD60" s="22"/>
      <c r="AE60" s="22"/>
    </row>
    <row r="61" spans="1:31" x14ac:dyDescent="0.25">
      <c r="A61" s="1" t="s">
        <v>0</v>
      </c>
      <c r="B61" s="1" t="s">
        <v>859</v>
      </c>
      <c r="C61" s="2" t="s">
        <v>894</v>
      </c>
      <c r="D61" s="1" t="s">
        <v>900</v>
      </c>
      <c r="E61" s="1"/>
      <c r="F61" s="3">
        <v>555.89</v>
      </c>
      <c r="G61" s="3">
        <v>103</v>
      </c>
      <c r="H61" s="4">
        <v>485</v>
      </c>
      <c r="I61" s="3">
        <v>271</v>
      </c>
      <c r="J61" s="3">
        <v>214</v>
      </c>
      <c r="K61" s="3">
        <v>29</v>
      </c>
      <c r="L61" s="3">
        <f t="shared" si="2"/>
        <v>5.9793814432989691</v>
      </c>
      <c r="M61" s="3">
        <v>194</v>
      </c>
      <c r="N61" s="3">
        <f t="shared" si="3"/>
        <v>40</v>
      </c>
      <c r="O61" s="3">
        <v>10.75</v>
      </c>
      <c r="P61" s="15">
        <v>0</v>
      </c>
      <c r="Q61" s="22" t="s">
        <v>1348</v>
      </c>
      <c r="R61" s="102">
        <v>43881</v>
      </c>
      <c r="S61" s="67">
        <v>12.08</v>
      </c>
      <c r="T61" s="22"/>
      <c r="U61" s="22" t="s">
        <v>1348</v>
      </c>
      <c r="V61" s="22" t="s">
        <v>1348</v>
      </c>
      <c r="W61" s="22" t="s">
        <v>1348</v>
      </c>
      <c r="X61" s="22"/>
      <c r="Y61" s="22"/>
      <c r="Z61" s="22"/>
      <c r="AA61" s="22"/>
      <c r="AB61" s="22"/>
      <c r="AC61" s="22"/>
      <c r="AD61" s="22"/>
      <c r="AE61" s="22"/>
    </row>
    <row r="62" spans="1:31" x14ac:dyDescent="0.25">
      <c r="A62" s="1" t="s">
        <v>0</v>
      </c>
      <c r="B62" s="1" t="s">
        <v>859</v>
      </c>
      <c r="C62" s="2" t="s">
        <v>869</v>
      </c>
      <c r="D62" s="1" t="s">
        <v>868</v>
      </c>
      <c r="E62" s="1"/>
      <c r="F62" s="3">
        <v>6346.14</v>
      </c>
      <c r="G62" s="3">
        <v>1120</v>
      </c>
      <c r="H62" s="4">
        <v>5987</v>
      </c>
      <c r="I62" s="3">
        <v>3051</v>
      </c>
      <c r="J62" s="3">
        <v>2936</v>
      </c>
      <c r="K62" s="3">
        <v>1033</v>
      </c>
      <c r="L62" s="3">
        <f t="shared" si="2"/>
        <v>17.25405044262569</v>
      </c>
      <c r="M62" s="3">
        <v>263</v>
      </c>
      <c r="N62" s="3">
        <f t="shared" si="3"/>
        <v>4.3928511775513615</v>
      </c>
      <c r="O62" s="3">
        <v>608.02</v>
      </c>
      <c r="P62" s="15">
        <v>0</v>
      </c>
      <c r="Q62" s="22" t="s">
        <v>1348</v>
      </c>
      <c r="R62" s="102">
        <v>43871</v>
      </c>
      <c r="S62" s="67">
        <v>57.54</v>
      </c>
      <c r="T62" s="22"/>
      <c r="U62" s="22" t="s">
        <v>1348</v>
      </c>
      <c r="V62" s="22" t="s">
        <v>1348</v>
      </c>
      <c r="W62" s="22" t="s">
        <v>1348</v>
      </c>
      <c r="X62" s="22"/>
      <c r="Y62" s="22"/>
      <c r="Z62" s="22"/>
      <c r="AA62" s="22"/>
      <c r="AB62" s="22"/>
      <c r="AC62" s="22"/>
      <c r="AD62" s="22"/>
      <c r="AE62" s="22"/>
    </row>
    <row r="63" spans="1:31" x14ac:dyDescent="0.25">
      <c r="A63" s="1" t="s">
        <v>0</v>
      </c>
      <c r="B63" s="1" t="s">
        <v>859</v>
      </c>
      <c r="C63" s="2" t="s">
        <v>955</v>
      </c>
      <c r="D63" s="1" t="s">
        <v>954</v>
      </c>
      <c r="E63" s="1"/>
      <c r="F63" s="3">
        <v>2299.15</v>
      </c>
      <c r="G63" s="3">
        <v>386</v>
      </c>
      <c r="H63" s="4">
        <v>2029</v>
      </c>
      <c r="I63" s="3">
        <v>1004</v>
      </c>
      <c r="J63" s="3">
        <v>1025</v>
      </c>
      <c r="K63" s="3">
        <v>279</v>
      </c>
      <c r="L63" s="3">
        <f t="shared" si="2"/>
        <v>13.750616067028092</v>
      </c>
      <c r="M63" s="3">
        <v>2</v>
      </c>
      <c r="N63" s="3">
        <f t="shared" si="3"/>
        <v>9.8570724494825041E-2</v>
      </c>
      <c r="O63" s="3">
        <v>118.39</v>
      </c>
      <c r="P63" s="15">
        <v>0</v>
      </c>
      <c r="Q63" s="22"/>
      <c r="R63" s="97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spans="1:31" x14ac:dyDescent="0.25">
      <c r="A64" s="1" t="s">
        <v>0</v>
      </c>
      <c r="B64" s="1" t="s">
        <v>859</v>
      </c>
      <c r="C64" s="2" t="s">
        <v>955</v>
      </c>
      <c r="D64" s="1" t="s">
        <v>956</v>
      </c>
      <c r="E64" s="1"/>
      <c r="F64" s="3">
        <v>2854.38</v>
      </c>
      <c r="G64" s="3">
        <v>316</v>
      </c>
      <c r="H64" s="4">
        <v>1417</v>
      </c>
      <c r="I64" s="3">
        <v>698</v>
      </c>
      <c r="J64" s="3">
        <v>719</v>
      </c>
      <c r="K64" s="3">
        <v>334</v>
      </c>
      <c r="L64" s="3">
        <f t="shared" si="2"/>
        <v>23.570924488355683</v>
      </c>
      <c r="M64" s="3">
        <v>19</v>
      </c>
      <c r="N64" s="3">
        <f t="shared" si="3"/>
        <v>1.3408609738884969</v>
      </c>
      <c r="O64" s="3">
        <v>72.849999999999994</v>
      </c>
      <c r="P64" s="15">
        <v>0</v>
      </c>
      <c r="Q64" s="22"/>
      <c r="R64" s="97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 spans="1:31" x14ac:dyDescent="0.25">
      <c r="A65" s="1" t="s">
        <v>0</v>
      </c>
      <c r="B65" s="1" t="s">
        <v>859</v>
      </c>
      <c r="C65" s="2" t="s">
        <v>903</v>
      </c>
      <c r="D65" s="1" t="s">
        <v>902</v>
      </c>
      <c r="E65" s="1"/>
      <c r="F65" s="3">
        <v>4103.21</v>
      </c>
      <c r="G65" s="3">
        <v>570</v>
      </c>
      <c r="H65" s="4">
        <v>2935</v>
      </c>
      <c r="I65" s="3">
        <v>1380</v>
      </c>
      <c r="J65" s="3">
        <v>1555</v>
      </c>
      <c r="K65" s="3">
        <v>628</v>
      </c>
      <c r="L65" s="3">
        <f t="shared" si="2"/>
        <v>21.396933560477002</v>
      </c>
      <c r="M65" s="3">
        <v>385</v>
      </c>
      <c r="N65" s="3">
        <f t="shared" si="3"/>
        <v>13.1175468483816</v>
      </c>
      <c r="O65" s="3">
        <v>146.01</v>
      </c>
      <c r="P65" s="15">
        <v>0</v>
      </c>
      <c r="Q65" s="22" t="s">
        <v>1348</v>
      </c>
      <c r="R65" s="102">
        <v>43664</v>
      </c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 spans="1:31" x14ac:dyDescent="0.25">
      <c r="A66" s="1" t="s">
        <v>0</v>
      </c>
      <c r="B66" s="1" t="s">
        <v>859</v>
      </c>
      <c r="C66" s="2" t="s">
        <v>919</v>
      </c>
      <c r="D66" s="1" t="s">
        <v>918</v>
      </c>
      <c r="E66" s="1"/>
      <c r="F66" s="3">
        <v>761.52</v>
      </c>
      <c r="G66" s="3">
        <v>128</v>
      </c>
      <c r="H66" s="4">
        <v>678</v>
      </c>
      <c r="I66" s="3">
        <v>350</v>
      </c>
      <c r="J66" s="3">
        <v>328</v>
      </c>
      <c r="K66" s="3">
        <v>72</v>
      </c>
      <c r="L66" s="3">
        <f t="shared" si="2"/>
        <v>10.619469026548673</v>
      </c>
      <c r="M66" s="3">
        <v>0</v>
      </c>
      <c r="N66" s="3">
        <f t="shared" si="3"/>
        <v>0</v>
      </c>
      <c r="O66" s="3">
        <v>41</v>
      </c>
      <c r="P66" s="15">
        <v>0</v>
      </c>
      <c r="Q66" s="22" t="s">
        <v>1348</v>
      </c>
      <c r="R66" s="102">
        <v>43755</v>
      </c>
      <c r="S66" s="67">
        <v>40.46</v>
      </c>
      <c r="T66" s="22"/>
      <c r="U66" s="22" t="s">
        <v>1348</v>
      </c>
      <c r="V66" s="22" t="s">
        <v>1348</v>
      </c>
      <c r="W66" s="22" t="s">
        <v>1348</v>
      </c>
      <c r="X66" s="22"/>
      <c r="Y66" s="22"/>
      <c r="Z66" s="22"/>
      <c r="AA66" s="22"/>
      <c r="AB66" s="22"/>
      <c r="AC66" s="22"/>
      <c r="AD66" s="22"/>
      <c r="AE66" s="22"/>
    </row>
    <row r="67" spans="1:31" x14ac:dyDescent="0.25">
      <c r="A67" s="1" t="s">
        <v>0</v>
      </c>
      <c r="B67" s="1" t="s">
        <v>859</v>
      </c>
      <c r="C67" s="2" t="s">
        <v>919</v>
      </c>
      <c r="D67" s="1" t="s">
        <v>921</v>
      </c>
      <c r="E67" s="1"/>
      <c r="F67" s="3">
        <v>1385.17</v>
      </c>
      <c r="G67" s="3">
        <v>218</v>
      </c>
      <c r="H67" s="4">
        <v>1318</v>
      </c>
      <c r="I67" s="3">
        <v>705</v>
      </c>
      <c r="J67" s="3">
        <v>613</v>
      </c>
      <c r="K67" s="3">
        <v>231</v>
      </c>
      <c r="L67" s="3">
        <f t="shared" si="2"/>
        <v>17.526555386949923</v>
      </c>
      <c r="M67" s="3">
        <v>9</v>
      </c>
      <c r="N67" s="3">
        <f t="shared" si="3"/>
        <v>0.6828528072837633</v>
      </c>
      <c r="O67" s="3">
        <v>48</v>
      </c>
      <c r="P67" s="15">
        <v>0</v>
      </c>
      <c r="Q67" s="22" t="s">
        <v>1348</v>
      </c>
      <c r="R67" s="102">
        <v>43753</v>
      </c>
      <c r="S67" s="67">
        <v>19.18</v>
      </c>
      <c r="T67" s="22"/>
      <c r="U67" s="22" t="s">
        <v>1348</v>
      </c>
      <c r="V67" s="22" t="s">
        <v>1348</v>
      </c>
      <c r="W67" s="22" t="s">
        <v>1348</v>
      </c>
      <c r="X67" s="22"/>
      <c r="Y67" s="22"/>
      <c r="Z67" s="22"/>
      <c r="AA67" s="22"/>
      <c r="AB67" s="22"/>
      <c r="AC67" s="22"/>
      <c r="AD67" s="22"/>
      <c r="AE67" s="22"/>
    </row>
    <row r="68" spans="1:31" x14ac:dyDescent="0.25">
      <c r="A68" s="1" t="s">
        <v>0</v>
      </c>
      <c r="B68" s="1" t="s">
        <v>859</v>
      </c>
      <c r="C68" s="2" t="s">
        <v>919</v>
      </c>
      <c r="D68" s="1" t="s">
        <v>922</v>
      </c>
      <c r="E68" s="1"/>
      <c r="F68" s="3">
        <v>1353.14</v>
      </c>
      <c r="G68" s="3">
        <v>210</v>
      </c>
      <c r="H68" s="4">
        <v>1076</v>
      </c>
      <c r="I68" s="3">
        <v>567</v>
      </c>
      <c r="J68" s="3">
        <v>509</v>
      </c>
      <c r="K68" s="3">
        <v>417</v>
      </c>
      <c r="L68" s="3">
        <f t="shared" ref="L68:L83" si="4">(K68/H68)*100</f>
        <v>38.754646840148702</v>
      </c>
      <c r="M68" s="3">
        <v>59</v>
      </c>
      <c r="N68" s="3">
        <f t="shared" ref="N68:N83" si="5">(M68/H68)*100</f>
        <v>5.4832713754646845</v>
      </c>
      <c r="O68" s="3">
        <v>100</v>
      </c>
      <c r="P68" s="15">
        <v>0</v>
      </c>
      <c r="Q68" s="22" t="s">
        <v>1348</v>
      </c>
      <c r="R68" s="102">
        <v>43754</v>
      </c>
      <c r="S68" s="67">
        <v>90.59</v>
      </c>
      <c r="T68" s="22"/>
      <c r="U68" s="22" t="s">
        <v>1348</v>
      </c>
      <c r="V68" s="22" t="s">
        <v>1348</v>
      </c>
      <c r="W68" s="22" t="s">
        <v>1348</v>
      </c>
      <c r="X68" s="22"/>
      <c r="Y68" s="22"/>
      <c r="Z68" s="22"/>
      <c r="AA68" s="22"/>
      <c r="AB68" s="22"/>
      <c r="AC68" s="22"/>
      <c r="AD68" s="22"/>
      <c r="AE68" s="22"/>
    </row>
    <row r="69" spans="1:31" x14ac:dyDescent="0.25">
      <c r="A69" s="1" t="s">
        <v>0</v>
      </c>
      <c r="B69" s="1" t="s">
        <v>859</v>
      </c>
      <c r="C69" s="2" t="s">
        <v>919</v>
      </c>
      <c r="D69" s="1" t="s">
        <v>859</v>
      </c>
      <c r="E69" s="1"/>
      <c r="F69" s="3">
        <v>4394.4399999999996</v>
      </c>
      <c r="G69" s="3">
        <v>1294</v>
      </c>
      <c r="H69" s="4">
        <v>6980</v>
      </c>
      <c r="I69" s="3">
        <v>3622</v>
      </c>
      <c r="J69" s="3">
        <v>3358</v>
      </c>
      <c r="K69" s="3">
        <v>1427</v>
      </c>
      <c r="L69" s="3">
        <f t="shared" si="4"/>
        <v>20.444126074498566</v>
      </c>
      <c r="M69" s="3">
        <v>14</v>
      </c>
      <c r="N69" s="3">
        <f t="shared" si="5"/>
        <v>0.20057306590257878</v>
      </c>
      <c r="O69" s="3">
        <v>278.12</v>
      </c>
      <c r="P69" s="15">
        <v>0</v>
      </c>
      <c r="Q69" s="22" t="s">
        <v>1348</v>
      </c>
      <c r="R69" s="102">
        <v>43757</v>
      </c>
      <c r="S69" s="67">
        <v>65.14</v>
      </c>
      <c r="T69" s="22"/>
      <c r="U69" s="22" t="s">
        <v>1348</v>
      </c>
      <c r="V69" s="22" t="s">
        <v>1348</v>
      </c>
      <c r="W69" s="22" t="s">
        <v>1348</v>
      </c>
      <c r="X69" s="88" t="s">
        <v>1348</v>
      </c>
      <c r="Y69" s="88">
        <v>4</v>
      </c>
      <c r="Z69" s="22"/>
      <c r="AA69" s="22"/>
      <c r="AB69" s="22"/>
      <c r="AC69" s="22"/>
      <c r="AD69" s="22"/>
      <c r="AE69" s="22"/>
    </row>
    <row r="70" spans="1:31" x14ac:dyDescent="0.25">
      <c r="A70" s="1" t="s">
        <v>0</v>
      </c>
      <c r="B70" s="1" t="s">
        <v>859</v>
      </c>
      <c r="C70" s="2" t="s">
        <v>919</v>
      </c>
      <c r="D70" s="1" t="s">
        <v>932</v>
      </c>
      <c r="E70" s="1"/>
      <c r="F70" s="3">
        <v>1240.99</v>
      </c>
      <c r="G70" s="3">
        <v>129</v>
      </c>
      <c r="H70" s="4">
        <v>734</v>
      </c>
      <c r="I70" s="3">
        <v>390</v>
      </c>
      <c r="J70" s="3">
        <v>344</v>
      </c>
      <c r="K70" s="3">
        <v>0</v>
      </c>
      <c r="L70" s="3">
        <f t="shared" si="4"/>
        <v>0</v>
      </c>
      <c r="M70" s="3">
        <v>0</v>
      </c>
      <c r="N70" s="3">
        <f t="shared" si="5"/>
        <v>0</v>
      </c>
      <c r="O70" s="3">
        <v>108.82</v>
      </c>
      <c r="P70" s="15">
        <v>0</v>
      </c>
      <c r="Q70" s="22" t="s">
        <v>1348</v>
      </c>
      <c r="R70" s="102">
        <v>43756</v>
      </c>
      <c r="S70" s="67">
        <v>59.57</v>
      </c>
      <c r="T70" s="22"/>
      <c r="U70" s="22" t="s">
        <v>1348</v>
      </c>
      <c r="V70" s="22" t="s">
        <v>1348</v>
      </c>
      <c r="W70" s="22" t="s">
        <v>1348</v>
      </c>
      <c r="X70" s="22"/>
      <c r="Y70" s="22"/>
      <c r="Z70" s="22"/>
      <c r="AA70" s="22"/>
      <c r="AB70" s="22"/>
      <c r="AC70" s="22"/>
      <c r="AD70" s="22"/>
      <c r="AE70" s="22"/>
    </row>
    <row r="71" spans="1:31" x14ac:dyDescent="0.25">
      <c r="A71" s="1" t="s">
        <v>0</v>
      </c>
      <c r="B71" s="1" t="s">
        <v>859</v>
      </c>
      <c r="C71" s="2" t="s">
        <v>926</v>
      </c>
      <c r="D71" s="1" t="s">
        <v>925</v>
      </c>
      <c r="E71" s="1"/>
      <c r="F71" s="3">
        <v>1171.29</v>
      </c>
      <c r="G71" s="3">
        <v>179</v>
      </c>
      <c r="H71" s="4">
        <v>1116</v>
      </c>
      <c r="I71" s="3">
        <v>574</v>
      </c>
      <c r="J71" s="3">
        <v>542</v>
      </c>
      <c r="K71" s="3">
        <v>624</v>
      </c>
      <c r="L71" s="3">
        <f t="shared" si="4"/>
        <v>55.913978494623649</v>
      </c>
      <c r="M71" s="3">
        <v>0</v>
      </c>
      <c r="N71" s="3">
        <f t="shared" si="5"/>
        <v>0</v>
      </c>
      <c r="O71" s="3">
        <v>128.83000000000001</v>
      </c>
      <c r="P71" s="15">
        <v>0</v>
      </c>
      <c r="Q71" s="22"/>
      <c r="R71" s="97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 spans="1:31" x14ac:dyDescent="0.25">
      <c r="A72" s="1" t="s">
        <v>0</v>
      </c>
      <c r="B72" s="1" t="s">
        <v>859</v>
      </c>
      <c r="C72" s="2" t="s">
        <v>926</v>
      </c>
      <c r="D72" s="1" t="s">
        <v>927</v>
      </c>
      <c r="E72" s="1"/>
      <c r="F72" s="3">
        <v>3751.3</v>
      </c>
      <c r="G72" s="3">
        <v>253</v>
      </c>
      <c r="H72" s="4">
        <v>1619</v>
      </c>
      <c r="I72" s="3">
        <v>887</v>
      </c>
      <c r="J72" s="3">
        <v>732</v>
      </c>
      <c r="K72" s="3">
        <v>392</v>
      </c>
      <c r="L72" s="3">
        <f t="shared" si="4"/>
        <v>24.212476837554046</v>
      </c>
      <c r="M72" s="3">
        <v>170</v>
      </c>
      <c r="N72" s="3">
        <f t="shared" si="5"/>
        <v>10.500308832612724</v>
      </c>
      <c r="O72" s="3">
        <v>256.41000000000003</v>
      </c>
      <c r="P72" s="15">
        <v>0</v>
      </c>
      <c r="Q72" s="22"/>
      <c r="R72" s="97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 spans="1:31" x14ac:dyDescent="0.25">
      <c r="A73" s="1" t="s">
        <v>0</v>
      </c>
      <c r="B73" s="1" t="s">
        <v>859</v>
      </c>
      <c r="C73" s="2" t="s">
        <v>926</v>
      </c>
      <c r="D73" s="1" t="s">
        <v>928</v>
      </c>
      <c r="E73" s="1"/>
      <c r="F73" s="3">
        <v>1835</v>
      </c>
      <c r="G73" s="3">
        <v>309</v>
      </c>
      <c r="H73" s="4">
        <v>1664</v>
      </c>
      <c r="I73" s="3">
        <v>852</v>
      </c>
      <c r="J73" s="3">
        <v>812</v>
      </c>
      <c r="K73" s="3">
        <v>348</v>
      </c>
      <c r="L73" s="3">
        <f t="shared" si="4"/>
        <v>20.91346153846154</v>
      </c>
      <c r="M73" s="3">
        <v>191</v>
      </c>
      <c r="N73" s="3">
        <f t="shared" si="5"/>
        <v>11.478365384615383</v>
      </c>
      <c r="O73" s="3">
        <v>149</v>
      </c>
      <c r="P73" s="15">
        <v>0</v>
      </c>
      <c r="Q73" s="22"/>
      <c r="R73" s="97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 spans="1:31" x14ac:dyDescent="0.25">
      <c r="A74" s="1" t="s">
        <v>0</v>
      </c>
      <c r="B74" s="1" t="s">
        <v>859</v>
      </c>
      <c r="C74" s="2" t="s">
        <v>916</v>
      </c>
      <c r="D74" s="1" t="s">
        <v>915</v>
      </c>
      <c r="E74" s="1"/>
      <c r="F74" s="3">
        <v>979</v>
      </c>
      <c r="G74" s="3">
        <v>185</v>
      </c>
      <c r="H74" s="4">
        <v>999</v>
      </c>
      <c r="I74" s="3">
        <v>501</v>
      </c>
      <c r="J74" s="3">
        <v>498</v>
      </c>
      <c r="K74" s="3">
        <v>143</v>
      </c>
      <c r="L74" s="3">
        <f t="shared" si="4"/>
        <v>14.314314314314313</v>
      </c>
      <c r="M74" s="3">
        <v>32</v>
      </c>
      <c r="N74" s="3">
        <f t="shared" si="5"/>
        <v>3.203203203203203</v>
      </c>
      <c r="O74" s="3">
        <v>103</v>
      </c>
      <c r="P74" s="15">
        <v>0</v>
      </c>
      <c r="Q74" s="22" t="s">
        <v>1348</v>
      </c>
      <c r="R74" s="102">
        <v>43870</v>
      </c>
      <c r="S74" s="67">
        <v>51.87</v>
      </c>
      <c r="T74" s="22"/>
      <c r="U74" s="22" t="s">
        <v>1348</v>
      </c>
      <c r="V74" s="22" t="s">
        <v>1348</v>
      </c>
      <c r="W74" s="22" t="s">
        <v>1348</v>
      </c>
      <c r="X74" s="22"/>
      <c r="Y74" s="22"/>
      <c r="Z74" s="22"/>
      <c r="AA74" s="22"/>
      <c r="AB74" s="22"/>
      <c r="AC74" s="22"/>
      <c r="AD74" s="22"/>
      <c r="AE74" s="22"/>
    </row>
    <row r="75" spans="1:31" x14ac:dyDescent="0.25">
      <c r="A75" s="1" t="s">
        <v>0</v>
      </c>
      <c r="B75" s="1" t="s">
        <v>859</v>
      </c>
      <c r="C75" s="2" t="s">
        <v>916</v>
      </c>
      <c r="D75" s="1" t="s">
        <v>917</v>
      </c>
      <c r="E75" s="1"/>
      <c r="F75" s="3">
        <v>2054</v>
      </c>
      <c r="G75" s="3">
        <v>328</v>
      </c>
      <c r="H75" s="4">
        <v>1689</v>
      </c>
      <c r="I75" s="3">
        <v>885</v>
      </c>
      <c r="J75" s="3">
        <v>804</v>
      </c>
      <c r="K75" s="3">
        <v>310</v>
      </c>
      <c r="L75" s="3">
        <f t="shared" si="4"/>
        <v>18.354055654233274</v>
      </c>
      <c r="M75" s="3">
        <v>80</v>
      </c>
      <c r="N75" s="3">
        <f t="shared" si="5"/>
        <v>4.7365304914150386</v>
      </c>
      <c r="O75" s="3">
        <v>93</v>
      </c>
      <c r="P75" s="15">
        <v>0</v>
      </c>
      <c r="Q75" s="22" t="s">
        <v>1348</v>
      </c>
      <c r="R75" s="102">
        <v>43868</v>
      </c>
      <c r="S75" s="67">
        <v>2.0099999999999998</v>
      </c>
      <c r="T75" s="22"/>
      <c r="U75" s="22" t="s">
        <v>1348</v>
      </c>
      <c r="V75" s="22" t="s">
        <v>1348</v>
      </c>
      <c r="W75" s="22" t="s">
        <v>1348</v>
      </c>
      <c r="X75" s="22"/>
      <c r="Y75" s="22"/>
      <c r="Z75" s="22"/>
      <c r="AA75" s="22"/>
      <c r="AB75" s="22"/>
      <c r="AC75" s="22"/>
      <c r="AD75" s="22"/>
      <c r="AE75" s="22"/>
    </row>
    <row r="76" spans="1:31" x14ac:dyDescent="0.25">
      <c r="A76" s="1" t="s">
        <v>0</v>
      </c>
      <c r="B76" s="1" t="s">
        <v>859</v>
      </c>
      <c r="C76" s="2" t="s">
        <v>916</v>
      </c>
      <c r="D76" s="1" t="s">
        <v>920</v>
      </c>
      <c r="E76" s="1"/>
      <c r="F76" s="3">
        <v>1653</v>
      </c>
      <c r="G76" s="3">
        <v>247</v>
      </c>
      <c r="H76" s="4">
        <v>1402</v>
      </c>
      <c r="I76" s="3">
        <v>722</v>
      </c>
      <c r="J76" s="3">
        <v>680</v>
      </c>
      <c r="K76" s="3">
        <v>301</v>
      </c>
      <c r="L76" s="3">
        <f t="shared" si="4"/>
        <v>21.469329529243939</v>
      </c>
      <c r="M76" s="3">
        <v>0</v>
      </c>
      <c r="N76" s="3">
        <f t="shared" si="5"/>
        <v>0</v>
      </c>
      <c r="O76" s="3">
        <v>121</v>
      </c>
      <c r="P76" s="15">
        <v>0</v>
      </c>
      <c r="Q76" s="22" t="s">
        <v>1348</v>
      </c>
      <c r="R76" s="102">
        <v>43869</v>
      </c>
      <c r="S76" s="67">
        <v>10.41</v>
      </c>
      <c r="T76" s="22"/>
      <c r="U76" s="22" t="s">
        <v>1348</v>
      </c>
      <c r="V76" s="22" t="s">
        <v>1348</v>
      </c>
      <c r="W76" s="22" t="s">
        <v>1348</v>
      </c>
      <c r="X76" s="22"/>
      <c r="Y76" s="22"/>
      <c r="Z76" s="22"/>
      <c r="AA76" s="22"/>
      <c r="AB76" s="22"/>
      <c r="AC76" s="22"/>
      <c r="AD76" s="22"/>
      <c r="AE76" s="22"/>
    </row>
    <row r="77" spans="1:31" x14ac:dyDescent="0.25">
      <c r="A77" s="1" t="s">
        <v>0</v>
      </c>
      <c r="B77" s="1" t="s">
        <v>859</v>
      </c>
      <c r="C77" s="2" t="s">
        <v>878</v>
      </c>
      <c r="D77" s="1" t="s">
        <v>877</v>
      </c>
      <c r="E77" s="1"/>
      <c r="F77" s="3">
        <v>2945</v>
      </c>
      <c r="G77" s="3">
        <v>421</v>
      </c>
      <c r="H77" s="4">
        <v>2263</v>
      </c>
      <c r="I77" s="3">
        <v>1136</v>
      </c>
      <c r="J77" s="3">
        <v>1127</v>
      </c>
      <c r="K77" s="3">
        <v>476</v>
      </c>
      <c r="L77" s="3">
        <f t="shared" si="4"/>
        <v>21.034025629695094</v>
      </c>
      <c r="M77" s="3">
        <v>0</v>
      </c>
      <c r="N77" s="3">
        <f t="shared" si="5"/>
        <v>0</v>
      </c>
      <c r="O77" s="3">
        <v>197</v>
      </c>
      <c r="P77" s="15">
        <v>0</v>
      </c>
      <c r="Q77" s="22" t="s">
        <v>1348</v>
      </c>
      <c r="R77" s="102">
        <v>44087</v>
      </c>
      <c r="S77" s="67">
        <v>47.67</v>
      </c>
      <c r="T77" s="22"/>
      <c r="U77" s="22" t="s">
        <v>1348</v>
      </c>
      <c r="V77" s="22" t="s">
        <v>1348</v>
      </c>
      <c r="W77" s="22" t="s">
        <v>1348</v>
      </c>
      <c r="X77" s="22"/>
      <c r="Y77" s="22"/>
      <c r="Z77" s="22"/>
      <c r="AA77" s="22"/>
      <c r="AB77" s="22"/>
      <c r="AC77" s="22"/>
      <c r="AD77" s="22"/>
      <c r="AE77" s="22"/>
    </row>
    <row r="78" spans="1:31" x14ac:dyDescent="0.25">
      <c r="A78" s="1" t="s">
        <v>0</v>
      </c>
      <c r="B78" s="1" t="s">
        <v>859</v>
      </c>
      <c r="C78" s="2" t="s">
        <v>878</v>
      </c>
      <c r="D78" s="1" t="s">
        <v>879</v>
      </c>
      <c r="E78" s="1"/>
      <c r="F78" s="3">
        <v>1067</v>
      </c>
      <c r="G78" s="3">
        <v>177</v>
      </c>
      <c r="H78" s="4">
        <v>1009</v>
      </c>
      <c r="I78" s="3">
        <v>523</v>
      </c>
      <c r="J78" s="3">
        <v>486</v>
      </c>
      <c r="K78" s="3">
        <v>47</v>
      </c>
      <c r="L78" s="3">
        <f t="shared" si="4"/>
        <v>4.6580773042616448</v>
      </c>
      <c r="M78" s="3">
        <v>0</v>
      </c>
      <c r="N78" s="3">
        <f t="shared" si="5"/>
        <v>0</v>
      </c>
      <c r="O78" s="3">
        <v>114</v>
      </c>
      <c r="P78" s="15">
        <v>0</v>
      </c>
      <c r="Q78" s="22"/>
      <c r="R78" s="97"/>
      <c r="S78" s="67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 spans="1:31" x14ac:dyDescent="0.25">
      <c r="A79" s="1" t="s">
        <v>0</v>
      </c>
      <c r="B79" s="1" t="s">
        <v>859</v>
      </c>
      <c r="C79" s="2" t="s">
        <v>878</v>
      </c>
      <c r="D79" s="1" t="s">
        <v>880</v>
      </c>
      <c r="E79" s="1"/>
      <c r="F79" s="3">
        <v>981</v>
      </c>
      <c r="G79" s="3">
        <v>182</v>
      </c>
      <c r="H79" s="4">
        <v>978</v>
      </c>
      <c r="I79" s="3">
        <v>492</v>
      </c>
      <c r="J79" s="3">
        <v>486</v>
      </c>
      <c r="K79" s="3">
        <v>297</v>
      </c>
      <c r="L79" s="3">
        <f t="shared" si="4"/>
        <v>30.368098159509206</v>
      </c>
      <c r="M79" s="3">
        <v>47</v>
      </c>
      <c r="N79" s="3">
        <f t="shared" si="5"/>
        <v>4.8057259713701432</v>
      </c>
      <c r="O79" s="3">
        <v>29</v>
      </c>
      <c r="P79" s="15">
        <v>0</v>
      </c>
      <c r="Q79" s="22" t="s">
        <v>1348</v>
      </c>
      <c r="R79" s="102">
        <v>44086</v>
      </c>
      <c r="S79" s="67">
        <v>24.83</v>
      </c>
      <c r="T79" s="22"/>
      <c r="U79" s="22" t="s">
        <v>1348</v>
      </c>
      <c r="V79" s="22" t="s">
        <v>1348</v>
      </c>
      <c r="W79" s="22" t="s">
        <v>1348</v>
      </c>
      <c r="X79" s="22"/>
      <c r="Y79" s="22"/>
      <c r="Z79" s="22"/>
      <c r="AA79" s="22"/>
      <c r="AB79" s="22"/>
      <c r="AC79" s="22"/>
      <c r="AD79" s="22"/>
      <c r="AE79" s="22"/>
    </row>
    <row r="80" spans="1:31" x14ac:dyDescent="0.25">
      <c r="A80" s="1" t="s">
        <v>0</v>
      </c>
      <c r="B80" s="1" t="s">
        <v>859</v>
      </c>
      <c r="C80" s="2" t="s">
        <v>887</v>
      </c>
      <c r="D80" s="1" t="s">
        <v>886</v>
      </c>
      <c r="E80" s="1"/>
      <c r="F80" s="3">
        <v>2555.13</v>
      </c>
      <c r="G80" s="3">
        <v>377</v>
      </c>
      <c r="H80" s="4">
        <v>2161</v>
      </c>
      <c r="I80" s="3">
        <v>1100</v>
      </c>
      <c r="J80" s="3">
        <v>1061</v>
      </c>
      <c r="K80" s="3">
        <v>246</v>
      </c>
      <c r="L80" s="3">
        <f t="shared" si="4"/>
        <v>11.38361869504859</v>
      </c>
      <c r="M80" s="3">
        <v>83</v>
      </c>
      <c r="N80" s="3">
        <f t="shared" si="5"/>
        <v>3.840814437760296</v>
      </c>
      <c r="O80" s="3">
        <v>78.02</v>
      </c>
      <c r="P80" s="15">
        <v>0</v>
      </c>
      <c r="Q80" s="22" t="s">
        <v>1348</v>
      </c>
      <c r="R80" s="102">
        <v>43665</v>
      </c>
      <c r="S80" s="67">
        <v>54.31</v>
      </c>
      <c r="T80" s="22"/>
      <c r="U80" s="22" t="s">
        <v>1348</v>
      </c>
      <c r="V80" s="22" t="s">
        <v>1348</v>
      </c>
      <c r="W80" s="22" t="s">
        <v>1348</v>
      </c>
      <c r="X80" s="22"/>
      <c r="Y80" s="22"/>
      <c r="Z80" s="22"/>
      <c r="AA80" s="22"/>
      <c r="AB80" s="22"/>
      <c r="AC80" s="22"/>
      <c r="AD80" s="22"/>
      <c r="AE80" s="22"/>
    </row>
    <row r="81" spans="1:31" x14ac:dyDescent="0.25">
      <c r="A81" s="1" t="s">
        <v>0</v>
      </c>
      <c r="B81" s="1" t="s">
        <v>859</v>
      </c>
      <c r="C81" s="2" t="s">
        <v>887</v>
      </c>
      <c r="D81" s="1" t="s">
        <v>351</v>
      </c>
      <c r="E81" s="1"/>
      <c r="F81" s="3">
        <v>1244.27</v>
      </c>
      <c r="G81" s="3">
        <v>190</v>
      </c>
      <c r="H81" s="4">
        <v>978</v>
      </c>
      <c r="I81" s="3">
        <v>500</v>
      </c>
      <c r="J81" s="3">
        <v>478</v>
      </c>
      <c r="K81" s="3">
        <v>112</v>
      </c>
      <c r="L81" s="3">
        <f t="shared" si="4"/>
        <v>11.451942740286299</v>
      </c>
      <c r="M81" s="3">
        <v>242</v>
      </c>
      <c r="N81" s="3">
        <f t="shared" si="5"/>
        <v>24.744376278118612</v>
      </c>
      <c r="O81" s="3">
        <v>32.04</v>
      </c>
      <c r="P81" s="15">
        <v>0</v>
      </c>
      <c r="Q81" s="22" t="s">
        <v>1348</v>
      </c>
      <c r="R81" s="102">
        <v>43669</v>
      </c>
      <c r="S81" s="67">
        <v>48.79</v>
      </c>
      <c r="T81" s="22"/>
      <c r="U81" s="22" t="s">
        <v>1348</v>
      </c>
      <c r="V81" s="22" t="s">
        <v>1348</v>
      </c>
      <c r="W81" s="22" t="s">
        <v>1348</v>
      </c>
      <c r="X81" s="22"/>
      <c r="Y81" s="22"/>
      <c r="Z81" s="22"/>
      <c r="AA81" s="22"/>
      <c r="AB81" s="22"/>
      <c r="AC81" s="22"/>
      <c r="AD81" s="22"/>
      <c r="AE81" s="22"/>
    </row>
    <row r="82" spans="1:31" x14ac:dyDescent="0.25">
      <c r="A82" s="1" t="s">
        <v>0</v>
      </c>
      <c r="B82" s="1" t="s">
        <v>859</v>
      </c>
      <c r="C82" s="2" t="s">
        <v>887</v>
      </c>
      <c r="D82" s="1" t="s">
        <v>901</v>
      </c>
      <c r="E82" s="1"/>
      <c r="F82" s="3">
        <v>2866</v>
      </c>
      <c r="G82" s="3">
        <v>498</v>
      </c>
      <c r="H82" s="4">
        <v>2870</v>
      </c>
      <c r="I82" s="3">
        <v>1491</v>
      </c>
      <c r="J82" s="3">
        <v>1379</v>
      </c>
      <c r="K82" s="3">
        <v>705</v>
      </c>
      <c r="L82" s="3">
        <f t="shared" si="4"/>
        <v>24.564459930313589</v>
      </c>
      <c r="M82" s="3">
        <v>257</v>
      </c>
      <c r="N82" s="3">
        <f t="shared" si="5"/>
        <v>8.9547038327526121</v>
      </c>
      <c r="O82" s="3">
        <v>87</v>
      </c>
      <c r="P82" s="15">
        <v>0</v>
      </c>
      <c r="Q82" s="22" t="s">
        <v>1348</v>
      </c>
      <c r="R82" s="102">
        <v>43668</v>
      </c>
      <c r="S82" s="67">
        <v>43.32</v>
      </c>
      <c r="T82" s="22"/>
      <c r="U82" s="22" t="s">
        <v>1348</v>
      </c>
      <c r="V82" s="22" t="s">
        <v>1348</v>
      </c>
      <c r="W82" s="22" t="s">
        <v>1348</v>
      </c>
      <c r="X82" s="22"/>
      <c r="Y82" s="22"/>
      <c r="Z82" s="22"/>
      <c r="AA82" s="22"/>
      <c r="AB82" s="22"/>
      <c r="AC82" s="22"/>
      <c r="AD82" s="22"/>
      <c r="AE82" s="22"/>
    </row>
    <row r="83" spans="1:31" x14ac:dyDescent="0.25">
      <c r="A83" s="1" t="s">
        <v>0</v>
      </c>
      <c r="B83" s="1" t="s">
        <v>859</v>
      </c>
      <c r="C83" s="2" t="s">
        <v>887</v>
      </c>
      <c r="D83" s="1" t="s">
        <v>906</v>
      </c>
      <c r="E83" s="1"/>
      <c r="F83" s="3">
        <v>902.33</v>
      </c>
      <c r="G83" s="3">
        <v>161</v>
      </c>
      <c r="H83" s="4">
        <v>941</v>
      </c>
      <c r="I83" s="3">
        <v>486</v>
      </c>
      <c r="J83" s="3">
        <v>455</v>
      </c>
      <c r="K83" s="3">
        <v>196</v>
      </c>
      <c r="L83" s="3">
        <f t="shared" si="4"/>
        <v>20.828905419766205</v>
      </c>
      <c r="M83" s="3">
        <v>0</v>
      </c>
      <c r="N83" s="3">
        <f t="shared" si="5"/>
        <v>0</v>
      </c>
      <c r="O83" s="3">
        <v>73.05</v>
      </c>
      <c r="P83" s="15">
        <v>0</v>
      </c>
      <c r="Q83" s="22" t="s">
        <v>1348</v>
      </c>
      <c r="R83" s="102">
        <v>43668</v>
      </c>
      <c r="S83" s="67">
        <v>11.72</v>
      </c>
      <c r="T83" s="22"/>
      <c r="U83" s="22" t="s">
        <v>1348</v>
      </c>
      <c r="V83" s="22" t="s">
        <v>1348</v>
      </c>
      <c r="W83" s="22" t="s">
        <v>1348</v>
      </c>
      <c r="X83" s="22"/>
      <c r="Y83" s="22"/>
      <c r="Z83" s="22"/>
      <c r="AA83" s="22"/>
      <c r="AB83" s="22"/>
      <c r="AC83" s="22"/>
      <c r="AD83" s="22"/>
      <c r="AE83" s="22"/>
    </row>
  </sheetData>
  <mergeCells count="3">
    <mergeCell ref="AD2:AE2"/>
    <mergeCell ref="K2:L2"/>
    <mergeCell ref="M2:N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9"/>
  <sheetViews>
    <sheetView workbookViewId="0">
      <pane xSplit="10" ySplit="4" topLeftCell="K53" activePane="bottomRight" state="frozen"/>
      <selection pane="topRight" activeCell="K1" sqref="K1"/>
      <selection pane="bottomLeft" activeCell="A5" sqref="A5"/>
      <selection pane="bottomRight" activeCell="F67" sqref="F67"/>
    </sheetView>
  </sheetViews>
  <sheetFormatPr defaultRowHeight="15" x14ac:dyDescent="0.25"/>
  <cols>
    <col min="3" max="3" width="25.140625" customWidth="1"/>
    <col min="4" max="4" width="18" customWidth="1"/>
    <col min="18" max="18" width="10.42578125" style="93" bestFit="1" customWidth="1"/>
    <col min="29" max="29" width="35.85546875" customWidth="1"/>
    <col min="31" max="31" width="12.7109375" customWidth="1"/>
  </cols>
  <sheetData>
    <row r="1" spans="1:31" ht="15.75" x14ac:dyDescent="0.25">
      <c r="A1" s="23"/>
      <c r="B1" s="23"/>
      <c r="C1" s="24"/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11" t="s">
        <v>1327</v>
      </c>
      <c r="R1" s="11" t="s">
        <v>1327</v>
      </c>
      <c r="S1" s="11" t="s">
        <v>1328</v>
      </c>
      <c r="T1" s="12" t="s">
        <v>1329</v>
      </c>
      <c r="U1" s="11" t="s">
        <v>1329</v>
      </c>
      <c r="V1" s="11" t="s">
        <v>1329</v>
      </c>
      <c r="W1" s="11" t="s">
        <v>1329</v>
      </c>
      <c r="X1" s="11" t="s">
        <v>1329</v>
      </c>
      <c r="Y1" s="11" t="s">
        <v>1329</v>
      </c>
      <c r="Z1" s="13" t="s">
        <v>1330</v>
      </c>
      <c r="AA1" s="13" t="s">
        <v>1330</v>
      </c>
      <c r="AB1" s="13" t="s">
        <v>1330</v>
      </c>
      <c r="AC1" s="13" t="s">
        <v>1330</v>
      </c>
      <c r="AD1" s="13" t="s">
        <v>1330</v>
      </c>
      <c r="AE1" s="13" t="s">
        <v>1330</v>
      </c>
    </row>
    <row r="2" spans="1:31" ht="165" x14ac:dyDescent="0.25">
      <c r="A2" s="25" t="s">
        <v>1336</v>
      </c>
      <c r="B2" s="25" t="s">
        <v>1337</v>
      </c>
      <c r="C2" s="25" t="s">
        <v>1338</v>
      </c>
      <c r="D2" s="25" t="s">
        <v>1339</v>
      </c>
      <c r="E2" s="25" t="s">
        <v>1340</v>
      </c>
      <c r="F2" s="25" t="s">
        <v>1341</v>
      </c>
      <c r="G2" s="25" t="s">
        <v>1342</v>
      </c>
      <c r="H2" s="25" t="s">
        <v>1343</v>
      </c>
      <c r="I2" s="25" t="s">
        <v>1344</v>
      </c>
      <c r="J2" s="25" t="s">
        <v>1345</v>
      </c>
      <c r="K2" s="119" t="s">
        <v>1346</v>
      </c>
      <c r="L2" s="120"/>
      <c r="M2" s="119" t="s">
        <v>1347</v>
      </c>
      <c r="N2" s="120"/>
      <c r="O2" s="14" t="s">
        <v>1331</v>
      </c>
      <c r="P2" s="14" t="s">
        <v>1332</v>
      </c>
      <c r="Q2" s="6" t="s">
        <v>1307</v>
      </c>
      <c r="R2" s="8" t="s">
        <v>1308</v>
      </c>
      <c r="S2" s="6" t="s">
        <v>1309</v>
      </c>
      <c r="T2" s="7" t="s">
        <v>1310</v>
      </c>
      <c r="U2" s="6" t="s">
        <v>1311</v>
      </c>
      <c r="V2" s="7" t="s">
        <v>1312</v>
      </c>
      <c r="W2" s="6" t="s">
        <v>1313</v>
      </c>
      <c r="X2" s="6" t="s">
        <v>1314</v>
      </c>
      <c r="Y2" s="7" t="s">
        <v>1315</v>
      </c>
      <c r="Z2" s="7" t="s">
        <v>1316</v>
      </c>
      <c r="AA2" s="7" t="s">
        <v>1317</v>
      </c>
      <c r="AB2" s="7" t="s">
        <v>1318</v>
      </c>
      <c r="AC2" s="7" t="s">
        <v>1319</v>
      </c>
      <c r="AD2" s="121" t="s">
        <v>1320</v>
      </c>
      <c r="AE2" s="121"/>
    </row>
    <row r="3" spans="1:31" ht="30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8" t="s">
        <v>1333</v>
      </c>
      <c r="L3" s="8" t="s">
        <v>1334</v>
      </c>
      <c r="M3" s="8" t="s">
        <v>1333</v>
      </c>
      <c r="N3" s="8" t="s">
        <v>1334</v>
      </c>
      <c r="O3" s="14" t="s">
        <v>1335</v>
      </c>
      <c r="P3" s="14" t="s">
        <v>1335</v>
      </c>
      <c r="Q3" s="8" t="s">
        <v>1321</v>
      </c>
      <c r="R3" s="8" t="s">
        <v>1322</v>
      </c>
      <c r="S3" s="8" t="s">
        <v>1323</v>
      </c>
      <c r="T3" s="9" t="s">
        <v>1323</v>
      </c>
      <c r="U3" s="8" t="s">
        <v>1321</v>
      </c>
      <c r="V3" s="8" t="s">
        <v>1321</v>
      </c>
      <c r="W3" s="9" t="s">
        <v>1321</v>
      </c>
      <c r="X3" s="9" t="s">
        <v>1321</v>
      </c>
      <c r="Y3" s="9" t="s">
        <v>1323</v>
      </c>
      <c r="Z3" s="9" t="s">
        <v>1321</v>
      </c>
      <c r="AA3" s="9" t="s">
        <v>1321</v>
      </c>
      <c r="AB3" s="9" t="s">
        <v>1323</v>
      </c>
      <c r="AC3" s="8" t="s">
        <v>1324</v>
      </c>
      <c r="AD3" s="86" t="s">
        <v>1325</v>
      </c>
      <c r="AE3" s="86" t="s">
        <v>1326</v>
      </c>
    </row>
    <row r="4" spans="1:31" x14ac:dyDescent="0.25">
      <c r="A4" s="1" t="s">
        <v>0</v>
      </c>
      <c r="B4" s="1" t="s">
        <v>957</v>
      </c>
      <c r="C4" s="2" t="s">
        <v>1059</v>
      </c>
      <c r="D4" s="1" t="s">
        <v>1058</v>
      </c>
      <c r="E4" s="1"/>
      <c r="F4" s="3">
        <v>5533.17</v>
      </c>
      <c r="G4" s="3">
        <v>1340</v>
      </c>
      <c r="H4" s="4">
        <v>5938</v>
      </c>
      <c r="I4" s="3">
        <v>2899</v>
      </c>
      <c r="J4" s="3">
        <v>3039</v>
      </c>
      <c r="K4" s="3">
        <v>1710</v>
      </c>
      <c r="L4" s="3">
        <f t="shared" ref="L4:L11" si="0">(K4/H4)*100</f>
        <v>28.797574941057597</v>
      </c>
      <c r="M4" s="3">
        <v>1</v>
      </c>
      <c r="N4" s="3">
        <f t="shared" ref="N4:N11" si="1">(M4/H4)*100</f>
        <v>1.6840687100033683E-2</v>
      </c>
      <c r="O4" s="3">
        <v>116.92</v>
      </c>
      <c r="P4" s="15">
        <v>590.08000000000004</v>
      </c>
      <c r="Q4" s="22"/>
      <c r="R4" s="85">
        <v>43749</v>
      </c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</row>
    <row r="5" spans="1:31" x14ac:dyDescent="0.25">
      <c r="A5" s="1" t="s">
        <v>0</v>
      </c>
      <c r="B5" s="1" t="s">
        <v>957</v>
      </c>
      <c r="C5" s="2" t="s">
        <v>1048</v>
      </c>
      <c r="D5" s="1" t="s">
        <v>742</v>
      </c>
      <c r="E5" s="1"/>
      <c r="F5" s="3">
        <v>6949</v>
      </c>
      <c r="G5" s="3">
        <v>2374</v>
      </c>
      <c r="H5" s="4">
        <v>10509</v>
      </c>
      <c r="I5" s="3">
        <v>5115</v>
      </c>
      <c r="J5" s="3">
        <v>5394</v>
      </c>
      <c r="K5" s="3">
        <v>1723</v>
      </c>
      <c r="L5" s="3">
        <f t="shared" si="0"/>
        <v>16.395470549053194</v>
      </c>
      <c r="M5" s="3">
        <v>1</v>
      </c>
      <c r="N5" s="3">
        <f t="shared" si="1"/>
        <v>9.5156532495955862E-3</v>
      </c>
      <c r="O5" s="3">
        <v>91</v>
      </c>
      <c r="P5" s="15">
        <v>0</v>
      </c>
      <c r="Q5" s="22"/>
      <c r="R5" s="85">
        <v>43759</v>
      </c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</row>
    <row r="6" spans="1:31" x14ac:dyDescent="0.25">
      <c r="A6" s="1" t="s">
        <v>0</v>
      </c>
      <c r="B6" s="1" t="s">
        <v>957</v>
      </c>
      <c r="C6" s="2" t="s">
        <v>1063</v>
      </c>
      <c r="D6" s="1" t="s">
        <v>1062</v>
      </c>
      <c r="E6" s="1"/>
      <c r="F6" s="3">
        <v>1688.44</v>
      </c>
      <c r="G6" s="3">
        <v>494</v>
      </c>
      <c r="H6" s="4">
        <v>2115</v>
      </c>
      <c r="I6" s="3">
        <v>1032</v>
      </c>
      <c r="J6" s="3">
        <v>1083</v>
      </c>
      <c r="K6" s="3">
        <v>324</v>
      </c>
      <c r="L6" s="3">
        <f t="shared" si="0"/>
        <v>15.319148936170212</v>
      </c>
      <c r="M6" s="3">
        <v>349</v>
      </c>
      <c r="N6" s="3">
        <f t="shared" si="1"/>
        <v>16.501182033096924</v>
      </c>
      <c r="O6" s="3">
        <v>51.02</v>
      </c>
      <c r="P6" s="15">
        <v>0</v>
      </c>
      <c r="Q6" s="22"/>
      <c r="R6" s="85">
        <v>43663</v>
      </c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</row>
    <row r="7" spans="1:31" x14ac:dyDescent="0.25">
      <c r="A7" s="1" t="s">
        <v>0</v>
      </c>
      <c r="B7" s="1" t="s">
        <v>957</v>
      </c>
      <c r="C7" s="2" t="s">
        <v>1063</v>
      </c>
      <c r="D7" s="1" t="s">
        <v>1064</v>
      </c>
      <c r="E7" s="1"/>
      <c r="F7" s="3">
        <v>432.92</v>
      </c>
      <c r="G7" s="3">
        <v>85</v>
      </c>
      <c r="H7" s="4">
        <v>356</v>
      </c>
      <c r="I7" s="3">
        <v>154</v>
      </c>
      <c r="J7" s="3">
        <v>202</v>
      </c>
      <c r="K7" s="3">
        <v>0</v>
      </c>
      <c r="L7" s="3">
        <f t="shared" si="0"/>
        <v>0</v>
      </c>
      <c r="M7" s="3">
        <v>0</v>
      </c>
      <c r="N7" s="3">
        <f t="shared" si="1"/>
        <v>0</v>
      </c>
      <c r="O7" s="3">
        <v>0</v>
      </c>
      <c r="P7" s="15">
        <v>0</v>
      </c>
      <c r="Q7" s="22"/>
      <c r="R7" s="85">
        <v>43662</v>
      </c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</row>
    <row r="8" spans="1:31" x14ac:dyDescent="0.25">
      <c r="A8" s="1" t="s">
        <v>0</v>
      </c>
      <c r="B8" s="1" t="s">
        <v>957</v>
      </c>
      <c r="C8" s="2" t="s">
        <v>1039</v>
      </c>
      <c r="D8" s="1" t="s">
        <v>1038</v>
      </c>
      <c r="E8" s="1"/>
      <c r="F8" s="3">
        <v>1908</v>
      </c>
      <c r="G8" s="3">
        <v>400</v>
      </c>
      <c r="H8" s="4">
        <v>1685</v>
      </c>
      <c r="I8" s="3">
        <v>804</v>
      </c>
      <c r="J8" s="3">
        <v>881</v>
      </c>
      <c r="K8" s="3">
        <v>305</v>
      </c>
      <c r="L8" s="3">
        <f t="shared" si="0"/>
        <v>18.100890207715135</v>
      </c>
      <c r="M8" s="3">
        <v>0</v>
      </c>
      <c r="N8" s="3">
        <f t="shared" si="1"/>
        <v>0</v>
      </c>
      <c r="O8" s="3">
        <v>293</v>
      </c>
      <c r="P8" s="15">
        <v>0</v>
      </c>
      <c r="Q8" s="22"/>
      <c r="R8" s="85">
        <v>43751</v>
      </c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</row>
    <row r="9" spans="1:31" x14ac:dyDescent="0.25">
      <c r="A9" s="1" t="s">
        <v>0</v>
      </c>
      <c r="B9" s="1" t="s">
        <v>957</v>
      </c>
      <c r="C9" s="2" t="s">
        <v>1039</v>
      </c>
      <c r="D9" s="1" t="s">
        <v>1040</v>
      </c>
      <c r="E9" s="1"/>
      <c r="F9" s="3">
        <v>1368</v>
      </c>
      <c r="G9" s="3">
        <v>348</v>
      </c>
      <c r="H9" s="4">
        <v>1498</v>
      </c>
      <c r="I9" s="3">
        <v>734</v>
      </c>
      <c r="J9" s="3">
        <v>764</v>
      </c>
      <c r="K9" s="3">
        <v>424</v>
      </c>
      <c r="L9" s="3">
        <f t="shared" si="0"/>
        <v>28.304405874499334</v>
      </c>
      <c r="M9" s="3">
        <v>0</v>
      </c>
      <c r="N9" s="3">
        <f t="shared" si="1"/>
        <v>0</v>
      </c>
      <c r="O9" s="3">
        <v>0</v>
      </c>
      <c r="P9" s="15">
        <v>0</v>
      </c>
      <c r="Q9" s="22"/>
      <c r="R9" s="85">
        <v>43752</v>
      </c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</row>
    <row r="10" spans="1:31" x14ac:dyDescent="0.25">
      <c r="A10" s="1" t="s">
        <v>0</v>
      </c>
      <c r="B10" s="1" t="s">
        <v>957</v>
      </c>
      <c r="C10" s="2" t="s">
        <v>1019</v>
      </c>
      <c r="D10" s="1" t="s">
        <v>1018</v>
      </c>
      <c r="E10" s="1"/>
      <c r="F10" s="3">
        <v>150</v>
      </c>
      <c r="G10" s="3">
        <v>310</v>
      </c>
      <c r="H10" s="4">
        <v>1432</v>
      </c>
      <c r="I10" s="3">
        <v>729</v>
      </c>
      <c r="J10" s="3">
        <v>703</v>
      </c>
      <c r="K10" s="3">
        <v>970</v>
      </c>
      <c r="L10" s="3">
        <f t="shared" si="0"/>
        <v>67.737430167597765</v>
      </c>
      <c r="M10" s="3">
        <v>0</v>
      </c>
      <c r="N10" s="3">
        <f t="shared" si="1"/>
        <v>0</v>
      </c>
      <c r="O10" s="3">
        <v>0</v>
      </c>
      <c r="P10" s="15">
        <v>0</v>
      </c>
      <c r="Q10" s="22"/>
      <c r="R10" s="85">
        <v>43753</v>
      </c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</row>
    <row r="11" spans="1:31" x14ac:dyDescent="0.25">
      <c r="A11" s="1" t="s">
        <v>0</v>
      </c>
      <c r="B11" s="1" t="s">
        <v>957</v>
      </c>
      <c r="C11" s="2" t="s">
        <v>1019</v>
      </c>
      <c r="D11" s="1" t="s">
        <v>1020</v>
      </c>
      <c r="E11" s="1"/>
      <c r="F11" s="3">
        <v>2573</v>
      </c>
      <c r="G11" s="3">
        <v>861</v>
      </c>
      <c r="H11" s="4">
        <v>3667</v>
      </c>
      <c r="I11" s="3">
        <v>1777</v>
      </c>
      <c r="J11" s="3">
        <v>1890</v>
      </c>
      <c r="K11" s="3">
        <v>904</v>
      </c>
      <c r="L11" s="3">
        <f t="shared" si="0"/>
        <v>24.652304335969458</v>
      </c>
      <c r="M11" s="3">
        <v>0</v>
      </c>
      <c r="N11" s="3">
        <f t="shared" si="1"/>
        <v>0</v>
      </c>
      <c r="O11" s="3">
        <v>428</v>
      </c>
      <c r="P11" s="15">
        <v>0</v>
      </c>
      <c r="Q11" s="22"/>
      <c r="R11" s="85">
        <v>43660</v>
      </c>
      <c r="S11" s="22"/>
      <c r="T11" s="22"/>
      <c r="U11" s="22"/>
      <c r="V11" s="22"/>
      <c r="W11" s="22"/>
      <c r="X11" s="22"/>
      <c r="Y11" s="22"/>
      <c r="Z11" s="22"/>
      <c r="AA11" s="22"/>
      <c r="AB11" s="22">
        <v>10</v>
      </c>
      <c r="AC11" s="101" t="s">
        <v>1385</v>
      </c>
      <c r="AD11" s="101">
        <v>25.954972999999999</v>
      </c>
      <c r="AE11" s="101">
        <v>73.612983</v>
      </c>
    </row>
    <row r="12" spans="1:31" x14ac:dyDescent="0.25">
      <c r="A12" s="1"/>
      <c r="B12" s="1"/>
      <c r="C12" s="2"/>
      <c r="D12" s="1"/>
      <c r="E12" s="1"/>
      <c r="F12" s="3"/>
      <c r="G12" s="3"/>
      <c r="H12" s="4"/>
      <c r="I12" s="3"/>
      <c r="J12" s="3"/>
      <c r="K12" s="3"/>
      <c r="L12" s="3"/>
      <c r="M12" s="3"/>
      <c r="N12" s="3"/>
      <c r="O12" s="3"/>
      <c r="P12" s="15"/>
      <c r="Q12" s="22"/>
      <c r="R12" s="85"/>
      <c r="S12" s="22"/>
      <c r="T12" s="22"/>
      <c r="U12" s="22"/>
      <c r="V12" s="22"/>
      <c r="W12" s="22"/>
      <c r="X12" s="22"/>
      <c r="Y12" s="22"/>
      <c r="Z12" s="22"/>
      <c r="AA12" s="22"/>
      <c r="AB12" s="22">
        <v>15</v>
      </c>
      <c r="AC12" s="101" t="s">
        <v>1385</v>
      </c>
      <c r="AD12" s="101">
        <v>25.950972</v>
      </c>
      <c r="AE12" s="101">
        <v>73.618435000000005</v>
      </c>
    </row>
    <row r="13" spans="1:31" x14ac:dyDescent="0.25">
      <c r="A13" s="1" t="s">
        <v>0</v>
      </c>
      <c r="B13" s="1" t="s">
        <v>957</v>
      </c>
      <c r="C13" s="2" t="s">
        <v>1057</v>
      </c>
      <c r="D13" s="1" t="s">
        <v>1056</v>
      </c>
      <c r="E13" s="1"/>
      <c r="F13" s="3">
        <v>1864.18</v>
      </c>
      <c r="G13" s="3">
        <v>271</v>
      </c>
      <c r="H13" s="4">
        <v>1358</v>
      </c>
      <c r="I13" s="3">
        <v>697</v>
      </c>
      <c r="J13" s="3">
        <v>661</v>
      </c>
      <c r="K13" s="3">
        <v>634</v>
      </c>
      <c r="L13" s="3">
        <f t="shared" ref="L13:L42" si="2">(K13/H13)*100</f>
        <v>46.686303387334313</v>
      </c>
      <c r="M13" s="3">
        <v>6</v>
      </c>
      <c r="N13" s="3">
        <f t="shared" ref="N13:N42" si="3">(M13/H13)*100</f>
        <v>0.4418262150220913</v>
      </c>
      <c r="O13" s="3">
        <v>27</v>
      </c>
      <c r="P13" s="15">
        <v>805.51</v>
      </c>
      <c r="Q13" s="22"/>
      <c r="R13" s="85">
        <v>43754</v>
      </c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1:31" x14ac:dyDescent="0.25">
      <c r="A14" s="1" t="s">
        <v>0</v>
      </c>
      <c r="B14" s="1" t="s">
        <v>957</v>
      </c>
      <c r="C14" s="2" t="s">
        <v>1057</v>
      </c>
      <c r="D14" s="1" t="s">
        <v>1060</v>
      </c>
      <c r="E14" s="1"/>
      <c r="F14" s="3">
        <v>1544.12</v>
      </c>
      <c r="G14" s="3">
        <v>244</v>
      </c>
      <c r="H14" s="4">
        <v>1107</v>
      </c>
      <c r="I14" s="3">
        <v>536</v>
      </c>
      <c r="J14" s="3">
        <v>571</v>
      </c>
      <c r="K14" s="3">
        <v>375</v>
      </c>
      <c r="L14" s="3">
        <f t="shared" si="2"/>
        <v>33.875338753387538</v>
      </c>
      <c r="M14" s="3">
        <v>1</v>
      </c>
      <c r="N14" s="3">
        <f t="shared" si="3"/>
        <v>9.0334236675700091E-2</v>
      </c>
      <c r="O14" s="3">
        <v>98.72</v>
      </c>
      <c r="P14" s="15">
        <v>0</v>
      </c>
      <c r="Q14" s="22"/>
      <c r="R14" s="85">
        <v>43755</v>
      </c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1" x14ac:dyDescent="0.25">
      <c r="A15" s="1" t="s">
        <v>0</v>
      </c>
      <c r="B15" s="1" t="s">
        <v>957</v>
      </c>
      <c r="C15" s="2" t="s">
        <v>1057</v>
      </c>
      <c r="D15" s="1" t="s">
        <v>1061</v>
      </c>
      <c r="E15" s="1"/>
      <c r="F15" s="3">
        <v>699.05</v>
      </c>
      <c r="G15" s="3">
        <v>234</v>
      </c>
      <c r="H15" s="4">
        <v>942</v>
      </c>
      <c r="I15" s="3">
        <v>453</v>
      </c>
      <c r="J15" s="3">
        <v>489</v>
      </c>
      <c r="K15" s="3">
        <v>404</v>
      </c>
      <c r="L15" s="3">
        <f t="shared" si="2"/>
        <v>42.887473460721871</v>
      </c>
      <c r="M15" s="3">
        <v>0</v>
      </c>
      <c r="N15" s="3">
        <f t="shared" si="3"/>
        <v>0</v>
      </c>
      <c r="O15" s="3">
        <v>27.75</v>
      </c>
      <c r="P15" s="15">
        <v>0</v>
      </c>
      <c r="Q15" s="22"/>
      <c r="R15" s="85">
        <v>43756</v>
      </c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 spans="1:31" x14ac:dyDescent="0.25">
      <c r="A16" s="1" t="s">
        <v>0</v>
      </c>
      <c r="B16" s="1" t="s">
        <v>957</v>
      </c>
      <c r="C16" s="2" t="s">
        <v>1070</v>
      </c>
      <c r="D16" s="1" t="s">
        <v>1069</v>
      </c>
      <c r="E16" s="1"/>
      <c r="F16" s="3">
        <v>3690</v>
      </c>
      <c r="G16" s="3">
        <v>1460</v>
      </c>
      <c r="H16" s="4">
        <v>7019</v>
      </c>
      <c r="I16" s="3">
        <v>3442</v>
      </c>
      <c r="J16" s="3">
        <v>3577</v>
      </c>
      <c r="K16" s="3">
        <v>2107</v>
      </c>
      <c r="L16" s="3">
        <f t="shared" si="2"/>
        <v>30.018521156859951</v>
      </c>
      <c r="M16" s="3">
        <v>31</v>
      </c>
      <c r="N16" s="3">
        <f t="shared" si="3"/>
        <v>0.44165835589115254</v>
      </c>
      <c r="O16" s="3">
        <v>393</v>
      </c>
      <c r="P16" s="15">
        <v>0</v>
      </c>
      <c r="Q16" s="22"/>
      <c r="R16" s="85">
        <v>43757</v>
      </c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1:31" x14ac:dyDescent="0.25">
      <c r="A17" s="1" t="s">
        <v>0</v>
      </c>
      <c r="B17" s="1" t="s">
        <v>957</v>
      </c>
      <c r="C17" s="2" t="s">
        <v>1068</v>
      </c>
      <c r="D17" s="1" t="s">
        <v>1067</v>
      </c>
      <c r="E17" s="1"/>
      <c r="F17" s="3">
        <v>857</v>
      </c>
      <c r="G17" s="3">
        <v>137</v>
      </c>
      <c r="H17" s="4">
        <v>653</v>
      </c>
      <c r="I17" s="3">
        <v>329</v>
      </c>
      <c r="J17" s="3">
        <v>324</v>
      </c>
      <c r="K17" s="3">
        <v>103</v>
      </c>
      <c r="L17" s="3">
        <f t="shared" si="2"/>
        <v>15.773353751914243</v>
      </c>
      <c r="M17" s="3">
        <v>0</v>
      </c>
      <c r="N17" s="3">
        <f t="shared" si="3"/>
        <v>0</v>
      </c>
      <c r="O17" s="3">
        <v>63</v>
      </c>
      <c r="P17" s="15">
        <v>0</v>
      </c>
      <c r="Q17" s="22"/>
      <c r="R17" s="85">
        <v>43761</v>
      </c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 spans="1:31" x14ac:dyDescent="0.25">
      <c r="A18" s="1" t="s">
        <v>0</v>
      </c>
      <c r="B18" s="1" t="s">
        <v>957</v>
      </c>
      <c r="C18" s="2" t="s">
        <v>1068</v>
      </c>
      <c r="D18" s="1" t="s">
        <v>1071</v>
      </c>
      <c r="E18" s="1"/>
      <c r="F18" s="3">
        <v>471</v>
      </c>
      <c r="G18" s="3">
        <v>201</v>
      </c>
      <c r="H18" s="4">
        <v>883</v>
      </c>
      <c r="I18" s="3">
        <v>448</v>
      </c>
      <c r="J18" s="3">
        <v>435</v>
      </c>
      <c r="K18" s="3">
        <v>445</v>
      </c>
      <c r="L18" s="3">
        <f t="shared" si="2"/>
        <v>50.39637599093998</v>
      </c>
      <c r="M18" s="3">
        <v>0</v>
      </c>
      <c r="N18" s="3">
        <f t="shared" si="3"/>
        <v>0</v>
      </c>
      <c r="O18" s="3">
        <v>0</v>
      </c>
      <c r="P18" s="15">
        <v>0</v>
      </c>
      <c r="Q18" s="22"/>
      <c r="R18" s="85">
        <v>43762</v>
      </c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1:31" x14ac:dyDescent="0.25">
      <c r="A19" s="1" t="s">
        <v>0</v>
      </c>
      <c r="B19" s="1" t="s">
        <v>957</v>
      </c>
      <c r="C19" s="2" t="s">
        <v>1068</v>
      </c>
      <c r="D19" s="1" t="s">
        <v>1072</v>
      </c>
      <c r="E19" s="1"/>
      <c r="F19" s="3">
        <v>637</v>
      </c>
      <c r="G19" s="3">
        <v>102</v>
      </c>
      <c r="H19" s="4">
        <v>449</v>
      </c>
      <c r="I19" s="3">
        <v>210</v>
      </c>
      <c r="J19" s="3">
        <v>239</v>
      </c>
      <c r="K19" s="3">
        <v>10</v>
      </c>
      <c r="L19" s="3">
        <f t="shared" si="2"/>
        <v>2.2271714922048997</v>
      </c>
      <c r="M19" s="3">
        <v>8</v>
      </c>
      <c r="N19" s="3">
        <f t="shared" si="3"/>
        <v>1.7817371937639197</v>
      </c>
      <c r="O19" s="3">
        <v>203</v>
      </c>
      <c r="P19" s="15">
        <v>127</v>
      </c>
      <c r="Q19" s="22"/>
      <c r="R19" s="85">
        <v>44603</v>
      </c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</row>
    <row r="20" spans="1:31" x14ac:dyDescent="0.25">
      <c r="A20" s="1" t="s">
        <v>0</v>
      </c>
      <c r="B20" s="1" t="s">
        <v>957</v>
      </c>
      <c r="C20" s="2" t="s">
        <v>1068</v>
      </c>
      <c r="D20" s="1" t="s">
        <v>1073</v>
      </c>
      <c r="E20" s="1"/>
      <c r="F20" s="3">
        <v>392</v>
      </c>
      <c r="G20" s="3">
        <v>64</v>
      </c>
      <c r="H20" s="4">
        <v>278</v>
      </c>
      <c r="I20" s="3">
        <v>128</v>
      </c>
      <c r="J20" s="3">
        <v>150</v>
      </c>
      <c r="K20" s="3">
        <v>67</v>
      </c>
      <c r="L20" s="3">
        <f t="shared" si="2"/>
        <v>24.100719424460433</v>
      </c>
      <c r="M20" s="3">
        <v>1</v>
      </c>
      <c r="N20" s="3">
        <f t="shared" si="3"/>
        <v>0.35971223021582738</v>
      </c>
      <c r="O20" s="3">
        <v>0</v>
      </c>
      <c r="P20" s="15">
        <v>206</v>
      </c>
      <c r="Q20" s="22"/>
      <c r="R20" s="85">
        <v>43476</v>
      </c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 spans="1:31" x14ac:dyDescent="0.25">
      <c r="A21" s="1" t="s">
        <v>0</v>
      </c>
      <c r="B21" s="1" t="s">
        <v>957</v>
      </c>
      <c r="C21" s="2" t="s">
        <v>1068</v>
      </c>
      <c r="D21" s="1" t="s">
        <v>1074</v>
      </c>
      <c r="E21" s="1"/>
      <c r="F21" s="3">
        <v>1750</v>
      </c>
      <c r="G21" s="3">
        <v>280</v>
      </c>
      <c r="H21" s="4">
        <v>1233</v>
      </c>
      <c r="I21" s="3">
        <v>595</v>
      </c>
      <c r="J21" s="3">
        <v>638</v>
      </c>
      <c r="K21" s="3">
        <v>455</v>
      </c>
      <c r="L21" s="3">
        <f t="shared" si="2"/>
        <v>36.901865369018658</v>
      </c>
      <c r="M21" s="3">
        <v>1</v>
      </c>
      <c r="N21" s="3">
        <f t="shared" si="3"/>
        <v>8.1103000811030015E-2</v>
      </c>
      <c r="O21" s="3">
        <v>44</v>
      </c>
      <c r="P21" s="15">
        <v>256</v>
      </c>
      <c r="Q21" s="22"/>
      <c r="R21" s="85">
        <v>43769</v>
      </c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1:31" x14ac:dyDescent="0.25">
      <c r="A22" s="1" t="s">
        <v>0</v>
      </c>
      <c r="B22" s="1" t="s">
        <v>957</v>
      </c>
      <c r="C22" s="2" t="s">
        <v>1068</v>
      </c>
      <c r="D22" s="1" t="s">
        <v>1084</v>
      </c>
      <c r="E22" s="1"/>
      <c r="F22" s="3">
        <v>1511</v>
      </c>
      <c r="G22" s="3">
        <v>342</v>
      </c>
      <c r="H22" s="4">
        <v>1567</v>
      </c>
      <c r="I22" s="3">
        <v>748</v>
      </c>
      <c r="J22" s="3">
        <v>819</v>
      </c>
      <c r="K22" s="3">
        <v>258</v>
      </c>
      <c r="L22" s="3">
        <f t="shared" si="2"/>
        <v>16.464582003828973</v>
      </c>
      <c r="M22" s="3">
        <v>0</v>
      </c>
      <c r="N22" s="3">
        <f t="shared" si="3"/>
        <v>0</v>
      </c>
      <c r="O22" s="3">
        <v>143</v>
      </c>
      <c r="P22" s="15">
        <v>338</v>
      </c>
      <c r="Q22" s="22"/>
      <c r="R22" s="85">
        <v>43535</v>
      </c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 spans="1:31" x14ac:dyDescent="0.25">
      <c r="A23" s="1" t="s">
        <v>0</v>
      </c>
      <c r="B23" s="1" t="s">
        <v>957</v>
      </c>
      <c r="C23" s="2" t="s">
        <v>984</v>
      </c>
      <c r="D23" s="1" t="s">
        <v>983</v>
      </c>
      <c r="E23" s="1"/>
      <c r="F23" s="3">
        <v>1764.97</v>
      </c>
      <c r="G23" s="3">
        <v>371</v>
      </c>
      <c r="H23" s="4">
        <v>1806</v>
      </c>
      <c r="I23" s="3">
        <v>911</v>
      </c>
      <c r="J23" s="3">
        <v>895</v>
      </c>
      <c r="K23" s="3">
        <v>316</v>
      </c>
      <c r="L23" s="3">
        <f t="shared" si="2"/>
        <v>17.497231450719823</v>
      </c>
      <c r="M23" s="3">
        <v>0</v>
      </c>
      <c r="N23" s="3">
        <f t="shared" si="3"/>
        <v>0</v>
      </c>
      <c r="O23" s="3">
        <v>439.93</v>
      </c>
      <c r="P23" s="15">
        <v>0</v>
      </c>
      <c r="Q23" s="22"/>
      <c r="R23" s="31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 spans="1:31" x14ac:dyDescent="0.25">
      <c r="A24" s="1" t="s">
        <v>0</v>
      </c>
      <c r="B24" s="1" t="s">
        <v>957</v>
      </c>
      <c r="C24" s="2" t="s">
        <v>984</v>
      </c>
      <c r="D24" s="1" t="s">
        <v>985</v>
      </c>
      <c r="E24" s="1"/>
      <c r="F24" s="3">
        <v>1550</v>
      </c>
      <c r="G24" s="3">
        <v>320</v>
      </c>
      <c r="H24" s="4">
        <v>1558</v>
      </c>
      <c r="I24" s="3">
        <v>815</v>
      </c>
      <c r="J24" s="3">
        <v>743</v>
      </c>
      <c r="K24" s="3">
        <v>331</v>
      </c>
      <c r="L24" s="3">
        <f t="shared" si="2"/>
        <v>21.245186136071887</v>
      </c>
      <c r="M24" s="3">
        <v>0</v>
      </c>
      <c r="N24" s="3">
        <f t="shared" si="3"/>
        <v>0</v>
      </c>
      <c r="O24" s="3">
        <v>175</v>
      </c>
      <c r="P24" s="15">
        <v>0</v>
      </c>
      <c r="Q24" s="22"/>
      <c r="R24" s="31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</row>
    <row r="25" spans="1:31" x14ac:dyDescent="0.25">
      <c r="A25" s="1" t="s">
        <v>0</v>
      </c>
      <c r="B25" s="1" t="s">
        <v>957</v>
      </c>
      <c r="C25" s="2" t="s">
        <v>964</v>
      </c>
      <c r="D25" s="1" t="s">
        <v>963</v>
      </c>
      <c r="E25" s="1"/>
      <c r="F25" s="3">
        <v>675</v>
      </c>
      <c r="G25" s="3">
        <v>149</v>
      </c>
      <c r="H25" s="4">
        <v>782</v>
      </c>
      <c r="I25" s="3">
        <v>399</v>
      </c>
      <c r="J25" s="3">
        <v>383</v>
      </c>
      <c r="K25" s="3">
        <v>307</v>
      </c>
      <c r="L25" s="3">
        <f t="shared" si="2"/>
        <v>39.258312020460359</v>
      </c>
      <c r="M25" s="3">
        <v>5</v>
      </c>
      <c r="N25" s="3">
        <f t="shared" si="3"/>
        <v>0.63938618925831203</v>
      </c>
      <c r="O25" s="3">
        <v>54</v>
      </c>
      <c r="P25" s="15">
        <v>0</v>
      </c>
      <c r="Q25" s="22" t="s">
        <v>1348</v>
      </c>
      <c r="R25" s="85">
        <v>43567</v>
      </c>
      <c r="S25" s="87"/>
      <c r="T25" s="22"/>
      <c r="U25" s="22" t="s">
        <v>1348</v>
      </c>
      <c r="V25" s="22" t="s">
        <v>1348</v>
      </c>
      <c r="W25" s="22" t="s">
        <v>1348</v>
      </c>
      <c r="X25" s="22"/>
      <c r="Y25" s="22"/>
      <c r="Z25" s="22"/>
      <c r="AA25" s="22"/>
      <c r="AB25" s="22"/>
      <c r="AC25" s="22"/>
      <c r="AD25" s="22"/>
      <c r="AE25" s="22"/>
    </row>
    <row r="26" spans="1:31" x14ac:dyDescent="0.25">
      <c r="A26" s="1" t="s">
        <v>0</v>
      </c>
      <c r="B26" s="1" t="s">
        <v>957</v>
      </c>
      <c r="C26" s="2" t="s">
        <v>964</v>
      </c>
      <c r="D26" s="1" t="s">
        <v>965</v>
      </c>
      <c r="E26" s="1"/>
      <c r="F26" s="3">
        <v>1210</v>
      </c>
      <c r="G26" s="3">
        <v>321</v>
      </c>
      <c r="H26" s="4">
        <v>1441</v>
      </c>
      <c r="I26" s="3">
        <v>728</v>
      </c>
      <c r="J26" s="3">
        <v>713</v>
      </c>
      <c r="K26" s="3">
        <v>233</v>
      </c>
      <c r="L26" s="3">
        <f t="shared" si="2"/>
        <v>16.169326856349759</v>
      </c>
      <c r="M26" s="3">
        <v>1</v>
      </c>
      <c r="N26" s="3">
        <f t="shared" si="3"/>
        <v>6.9396252602359473E-2</v>
      </c>
      <c r="O26" s="3">
        <v>153</v>
      </c>
      <c r="P26" s="15">
        <v>0</v>
      </c>
      <c r="Q26" s="22" t="s">
        <v>1348</v>
      </c>
      <c r="R26" s="85">
        <v>43507</v>
      </c>
      <c r="S26" s="87">
        <v>32.85</v>
      </c>
      <c r="T26" s="22"/>
      <c r="U26" s="22" t="s">
        <v>1348</v>
      </c>
      <c r="V26" s="22" t="s">
        <v>1348</v>
      </c>
      <c r="W26" s="22" t="s">
        <v>1348</v>
      </c>
      <c r="X26" s="22"/>
      <c r="Y26" s="22"/>
      <c r="Z26" s="22"/>
      <c r="AA26" s="22"/>
      <c r="AB26" s="22"/>
      <c r="AC26" s="22"/>
      <c r="AD26" s="22"/>
      <c r="AE26" s="22"/>
    </row>
    <row r="27" spans="1:31" x14ac:dyDescent="0.25">
      <c r="A27" s="1" t="s">
        <v>0</v>
      </c>
      <c r="B27" s="1" t="s">
        <v>957</v>
      </c>
      <c r="C27" s="2" t="s">
        <v>964</v>
      </c>
      <c r="D27" s="1" t="s">
        <v>966</v>
      </c>
      <c r="E27" s="1"/>
      <c r="F27" s="3">
        <v>2331</v>
      </c>
      <c r="G27" s="3">
        <v>405</v>
      </c>
      <c r="H27" s="4">
        <v>2161</v>
      </c>
      <c r="I27" s="3">
        <v>1107</v>
      </c>
      <c r="J27" s="3">
        <v>1054</v>
      </c>
      <c r="K27" s="3">
        <v>491</v>
      </c>
      <c r="L27" s="3">
        <f t="shared" si="2"/>
        <v>22.720962517353076</v>
      </c>
      <c r="M27" s="3">
        <v>2</v>
      </c>
      <c r="N27" s="3">
        <f t="shared" si="3"/>
        <v>9.2549745488199914E-2</v>
      </c>
      <c r="O27" s="3">
        <v>73</v>
      </c>
      <c r="P27" s="15">
        <v>0</v>
      </c>
      <c r="Q27" s="22" t="s">
        <v>1348</v>
      </c>
      <c r="R27" s="85">
        <v>43597</v>
      </c>
      <c r="S27" s="88">
        <v>21.86</v>
      </c>
      <c r="T27" s="22"/>
      <c r="U27" s="22" t="s">
        <v>1348</v>
      </c>
      <c r="V27" s="22" t="s">
        <v>1348</v>
      </c>
      <c r="W27" s="22" t="s">
        <v>1348</v>
      </c>
      <c r="X27" s="22"/>
      <c r="Y27" s="22"/>
      <c r="Z27" s="22"/>
      <c r="AA27" s="22"/>
      <c r="AB27" s="22"/>
      <c r="AC27" s="22"/>
      <c r="AD27" s="22"/>
      <c r="AE27" s="22"/>
    </row>
    <row r="28" spans="1:31" x14ac:dyDescent="0.25">
      <c r="A28" s="1" t="s">
        <v>0</v>
      </c>
      <c r="B28" s="1" t="s">
        <v>957</v>
      </c>
      <c r="C28" s="2" t="s">
        <v>964</v>
      </c>
      <c r="D28" s="1" t="s">
        <v>980</v>
      </c>
      <c r="E28" s="1"/>
      <c r="F28" s="3">
        <v>919</v>
      </c>
      <c r="G28" s="3">
        <v>133</v>
      </c>
      <c r="H28" s="4">
        <v>665</v>
      </c>
      <c r="I28" s="3">
        <v>359</v>
      </c>
      <c r="J28" s="3">
        <v>306</v>
      </c>
      <c r="K28" s="3">
        <v>220</v>
      </c>
      <c r="L28" s="3">
        <f t="shared" si="2"/>
        <v>33.082706766917291</v>
      </c>
      <c r="M28" s="3">
        <v>0</v>
      </c>
      <c r="N28" s="3">
        <f t="shared" si="3"/>
        <v>0</v>
      </c>
      <c r="O28" s="3">
        <v>38</v>
      </c>
      <c r="P28" s="15">
        <v>0</v>
      </c>
      <c r="Q28" s="22"/>
      <c r="R28" s="31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 spans="1:31" x14ac:dyDescent="0.25">
      <c r="A29" s="1" t="s">
        <v>0</v>
      </c>
      <c r="B29" s="1" t="s">
        <v>957</v>
      </c>
      <c r="C29" s="2" t="s">
        <v>1025</v>
      </c>
      <c r="D29" s="1" t="s">
        <v>1024</v>
      </c>
      <c r="E29" s="1"/>
      <c r="F29" s="3">
        <v>1901</v>
      </c>
      <c r="G29" s="3">
        <v>617</v>
      </c>
      <c r="H29" s="4">
        <v>2685</v>
      </c>
      <c r="I29" s="3">
        <v>1316</v>
      </c>
      <c r="J29" s="3">
        <v>1369</v>
      </c>
      <c r="K29" s="3">
        <v>1262</v>
      </c>
      <c r="L29" s="3">
        <f t="shared" si="2"/>
        <v>47.001862197392924</v>
      </c>
      <c r="M29" s="3">
        <v>7</v>
      </c>
      <c r="N29" s="3">
        <f t="shared" si="3"/>
        <v>0.26070763500931099</v>
      </c>
      <c r="O29" s="3">
        <v>104</v>
      </c>
      <c r="P29" s="15">
        <v>0</v>
      </c>
      <c r="Q29" s="22" t="s">
        <v>1348</v>
      </c>
      <c r="R29" s="85">
        <v>43669</v>
      </c>
      <c r="S29" s="88">
        <v>5.99</v>
      </c>
      <c r="T29" s="22"/>
      <c r="U29" s="22" t="s">
        <v>1348</v>
      </c>
      <c r="V29" s="22" t="s">
        <v>1348</v>
      </c>
      <c r="W29" s="22" t="s">
        <v>1348</v>
      </c>
      <c r="X29" s="22"/>
      <c r="Y29" s="22"/>
      <c r="Z29" s="22"/>
      <c r="AA29" s="22"/>
      <c r="AB29" s="22"/>
      <c r="AC29" s="22"/>
      <c r="AD29" s="22"/>
      <c r="AE29" s="22"/>
    </row>
    <row r="30" spans="1:31" x14ac:dyDescent="0.25">
      <c r="A30" s="1" t="s">
        <v>0</v>
      </c>
      <c r="B30" s="1" t="s">
        <v>957</v>
      </c>
      <c r="C30" s="2" t="s">
        <v>1025</v>
      </c>
      <c r="D30" s="1" t="s">
        <v>1026</v>
      </c>
      <c r="E30" s="1"/>
      <c r="F30" s="3">
        <v>2944</v>
      </c>
      <c r="G30" s="3">
        <v>356</v>
      </c>
      <c r="H30" s="4">
        <v>1828</v>
      </c>
      <c r="I30" s="3">
        <v>872</v>
      </c>
      <c r="J30" s="3">
        <v>956</v>
      </c>
      <c r="K30" s="3">
        <v>320</v>
      </c>
      <c r="L30" s="3">
        <f t="shared" si="2"/>
        <v>17.505470459518598</v>
      </c>
      <c r="M30" s="3">
        <v>0</v>
      </c>
      <c r="N30" s="3">
        <f t="shared" si="3"/>
        <v>0</v>
      </c>
      <c r="O30" s="3">
        <v>124</v>
      </c>
      <c r="P30" s="15">
        <v>0</v>
      </c>
      <c r="Q30" s="22" t="s">
        <v>1348</v>
      </c>
      <c r="R30" s="85">
        <v>43672</v>
      </c>
      <c r="S30" s="88">
        <v>26.41</v>
      </c>
      <c r="T30" s="22"/>
      <c r="U30" s="22" t="s">
        <v>1348</v>
      </c>
      <c r="V30" s="22" t="s">
        <v>1348</v>
      </c>
      <c r="W30" s="22" t="s">
        <v>1348</v>
      </c>
      <c r="X30" s="22"/>
      <c r="Y30" s="22"/>
      <c r="Z30" s="22"/>
      <c r="AA30" s="22"/>
      <c r="AB30" s="22"/>
      <c r="AC30" s="22"/>
      <c r="AD30" s="22"/>
      <c r="AE30" s="22"/>
    </row>
    <row r="31" spans="1:31" x14ac:dyDescent="0.25">
      <c r="A31" s="1" t="s">
        <v>0</v>
      </c>
      <c r="B31" s="1" t="s">
        <v>957</v>
      </c>
      <c r="C31" s="2" t="s">
        <v>1023</v>
      </c>
      <c r="D31" s="1" t="s">
        <v>1022</v>
      </c>
      <c r="E31" s="1"/>
      <c r="F31" s="3">
        <v>263</v>
      </c>
      <c r="G31" s="3">
        <v>106</v>
      </c>
      <c r="H31" s="4">
        <v>420</v>
      </c>
      <c r="I31" s="3">
        <v>190</v>
      </c>
      <c r="J31" s="3">
        <v>230</v>
      </c>
      <c r="K31" s="3">
        <v>158</v>
      </c>
      <c r="L31" s="3">
        <f t="shared" si="2"/>
        <v>37.61904761904762</v>
      </c>
      <c r="M31" s="3">
        <v>0</v>
      </c>
      <c r="N31" s="3">
        <f t="shared" si="3"/>
        <v>0</v>
      </c>
      <c r="O31" s="3">
        <v>0</v>
      </c>
      <c r="P31" s="15">
        <v>0</v>
      </c>
      <c r="Q31" s="22" t="s">
        <v>1348</v>
      </c>
      <c r="R31" s="85">
        <v>43870</v>
      </c>
      <c r="S31" s="88">
        <v>167</v>
      </c>
      <c r="T31" s="22"/>
      <c r="U31" s="22" t="s">
        <v>1348</v>
      </c>
      <c r="V31" s="22" t="s">
        <v>1348</v>
      </c>
      <c r="W31" s="22" t="s">
        <v>1348</v>
      </c>
      <c r="X31" s="22"/>
      <c r="Y31" s="22"/>
      <c r="Z31" s="22"/>
      <c r="AA31" s="22"/>
      <c r="AB31" s="22"/>
      <c r="AC31" s="22"/>
      <c r="AD31" s="22"/>
      <c r="AE31" s="22"/>
    </row>
    <row r="32" spans="1:31" x14ac:dyDescent="0.25">
      <c r="A32" s="1" t="s">
        <v>0</v>
      </c>
      <c r="B32" s="1" t="s">
        <v>957</v>
      </c>
      <c r="C32" s="2" t="s">
        <v>1023</v>
      </c>
      <c r="D32" s="1" t="s">
        <v>1027</v>
      </c>
      <c r="E32" s="1"/>
      <c r="F32" s="3">
        <v>2130</v>
      </c>
      <c r="G32" s="3">
        <v>432</v>
      </c>
      <c r="H32" s="4">
        <v>1897</v>
      </c>
      <c r="I32" s="3">
        <v>915</v>
      </c>
      <c r="J32" s="3">
        <v>982</v>
      </c>
      <c r="K32" s="3">
        <v>426</v>
      </c>
      <c r="L32" s="3">
        <f t="shared" si="2"/>
        <v>22.45651027938851</v>
      </c>
      <c r="M32" s="3">
        <v>4</v>
      </c>
      <c r="N32" s="3">
        <f t="shared" si="3"/>
        <v>0.21085925144965736</v>
      </c>
      <c r="O32" s="3">
        <v>54</v>
      </c>
      <c r="P32" s="15">
        <v>0</v>
      </c>
      <c r="Q32" s="22" t="s">
        <v>1348</v>
      </c>
      <c r="R32" s="85">
        <v>43664</v>
      </c>
      <c r="S32" s="88">
        <v>26.41</v>
      </c>
      <c r="T32" s="22"/>
      <c r="U32" s="22" t="s">
        <v>1348</v>
      </c>
      <c r="V32" s="22" t="s">
        <v>1348</v>
      </c>
      <c r="W32" s="22" t="s">
        <v>1348</v>
      </c>
      <c r="X32" s="22"/>
      <c r="Y32" s="22"/>
      <c r="Z32" s="22"/>
      <c r="AA32" s="22"/>
      <c r="AB32" s="22"/>
      <c r="AC32" s="22"/>
      <c r="AD32" s="22"/>
      <c r="AE32" s="22"/>
    </row>
    <row r="33" spans="1:31" x14ac:dyDescent="0.25">
      <c r="A33" s="1" t="s">
        <v>0</v>
      </c>
      <c r="B33" s="1" t="s">
        <v>957</v>
      </c>
      <c r="C33" s="2" t="s">
        <v>969</v>
      </c>
      <c r="D33" s="1" t="s">
        <v>968</v>
      </c>
      <c r="E33" s="1"/>
      <c r="F33" s="3">
        <v>1217</v>
      </c>
      <c r="G33" s="3">
        <v>167</v>
      </c>
      <c r="H33" s="4">
        <v>688</v>
      </c>
      <c r="I33" s="3">
        <v>352</v>
      </c>
      <c r="J33" s="3">
        <v>336</v>
      </c>
      <c r="K33" s="3">
        <v>153</v>
      </c>
      <c r="L33" s="3">
        <f t="shared" si="2"/>
        <v>22.238372093023255</v>
      </c>
      <c r="M33" s="3">
        <v>0</v>
      </c>
      <c r="N33" s="3">
        <f t="shared" si="3"/>
        <v>0</v>
      </c>
      <c r="O33" s="3">
        <v>34</v>
      </c>
      <c r="P33" s="15">
        <v>0</v>
      </c>
      <c r="Q33" s="22"/>
      <c r="R33" s="31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 spans="1:31" x14ac:dyDescent="0.25">
      <c r="A34" s="1" t="s">
        <v>0</v>
      </c>
      <c r="B34" s="1" t="s">
        <v>957</v>
      </c>
      <c r="C34" s="2" t="s">
        <v>969</v>
      </c>
      <c r="D34" s="1" t="s">
        <v>970</v>
      </c>
      <c r="E34" s="1"/>
      <c r="F34" s="3">
        <v>1824.62</v>
      </c>
      <c r="G34" s="3">
        <v>273</v>
      </c>
      <c r="H34" s="4">
        <v>1466</v>
      </c>
      <c r="I34" s="3">
        <v>732</v>
      </c>
      <c r="J34" s="3">
        <v>734</v>
      </c>
      <c r="K34" s="3">
        <v>118</v>
      </c>
      <c r="L34" s="3">
        <f t="shared" si="2"/>
        <v>8.0491132332878585</v>
      </c>
      <c r="M34" s="3">
        <v>0</v>
      </c>
      <c r="N34" s="3">
        <f t="shared" si="3"/>
        <v>0</v>
      </c>
      <c r="O34" s="3">
        <v>90</v>
      </c>
      <c r="P34" s="15">
        <v>169.62</v>
      </c>
      <c r="Q34" s="22" t="s">
        <v>1348</v>
      </c>
      <c r="R34" s="85">
        <v>43567</v>
      </c>
      <c r="S34" s="22"/>
      <c r="T34" s="22"/>
      <c r="U34" s="22" t="s">
        <v>1348</v>
      </c>
      <c r="V34" s="22" t="s">
        <v>1348</v>
      </c>
      <c r="W34" s="22" t="s">
        <v>1348</v>
      </c>
      <c r="X34" s="22"/>
      <c r="Y34" s="22"/>
      <c r="Z34" s="22"/>
      <c r="AA34" s="22"/>
      <c r="AB34" s="22"/>
      <c r="AC34" s="22"/>
      <c r="AD34" s="22"/>
      <c r="AE34" s="22"/>
    </row>
    <row r="35" spans="1:31" x14ac:dyDescent="0.25">
      <c r="A35" s="1" t="s">
        <v>0</v>
      </c>
      <c r="B35" s="1" t="s">
        <v>957</v>
      </c>
      <c r="C35" s="2" t="s">
        <v>969</v>
      </c>
      <c r="D35" s="1" t="s">
        <v>971</v>
      </c>
      <c r="E35" s="1"/>
      <c r="F35" s="3">
        <v>1662.53</v>
      </c>
      <c r="G35" s="3">
        <v>222</v>
      </c>
      <c r="H35" s="4">
        <v>1217</v>
      </c>
      <c r="I35" s="3">
        <v>621</v>
      </c>
      <c r="J35" s="3">
        <v>596</v>
      </c>
      <c r="K35" s="3">
        <v>393</v>
      </c>
      <c r="L35" s="3">
        <f t="shared" si="2"/>
        <v>32.292522596548892</v>
      </c>
      <c r="M35" s="3">
        <v>0</v>
      </c>
      <c r="N35" s="3">
        <f t="shared" si="3"/>
        <v>0</v>
      </c>
      <c r="O35" s="3">
        <v>39</v>
      </c>
      <c r="P35" s="15">
        <v>0</v>
      </c>
      <c r="Q35" s="22" t="s">
        <v>1348</v>
      </c>
      <c r="R35" s="85">
        <v>43567</v>
      </c>
      <c r="S35" s="22"/>
      <c r="T35" s="22"/>
      <c r="U35" s="22" t="s">
        <v>1348</v>
      </c>
      <c r="V35" s="22" t="s">
        <v>1348</v>
      </c>
      <c r="W35" s="22" t="s">
        <v>1348</v>
      </c>
      <c r="X35" s="22"/>
      <c r="Y35" s="22"/>
      <c r="Z35" s="22"/>
      <c r="AA35" s="22"/>
      <c r="AB35" s="22"/>
      <c r="AC35" s="22"/>
      <c r="AD35" s="22"/>
      <c r="AE35" s="22"/>
    </row>
    <row r="36" spans="1:31" x14ac:dyDescent="0.25">
      <c r="A36" s="1" t="s">
        <v>0</v>
      </c>
      <c r="B36" s="1" t="s">
        <v>957</v>
      </c>
      <c r="C36" s="2" t="s">
        <v>969</v>
      </c>
      <c r="D36" s="1" t="s">
        <v>972</v>
      </c>
      <c r="E36" s="1"/>
      <c r="F36" s="3">
        <v>1799</v>
      </c>
      <c r="G36" s="3">
        <v>85</v>
      </c>
      <c r="H36" s="4">
        <v>412</v>
      </c>
      <c r="I36" s="3">
        <v>209</v>
      </c>
      <c r="J36" s="3">
        <v>203</v>
      </c>
      <c r="K36" s="3">
        <v>124</v>
      </c>
      <c r="L36" s="3">
        <f t="shared" si="2"/>
        <v>30.097087378640776</v>
      </c>
      <c r="M36" s="3">
        <v>0</v>
      </c>
      <c r="N36" s="3">
        <f t="shared" si="3"/>
        <v>0</v>
      </c>
      <c r="O36" s="3">
        <v>0</v>
      </c>
      <c r="P36" s="15">
        <v>0</v>
      </c>
      <c r="Q36" s="22" t="s">
        <v>1348</v>
      </c>
      <c r="R36" s="85">
        <v>43567</v>
      </c>
      <c r="S36" s="88">
        <v>93.27</v>
      </c>
      <c r="T36" s="22"/>
      <c r="U36" s="22" t="s">
        <v>1348</v>
      </c>
      <c r="V36" s="22" t="s">
        <v>1348</v>
      </c>
      <c r="W36" s="22" t="s">
        <v>1348</v>
      </c>
      <c r="X36" s="22"/>
      <c r="Y36" s="22"/>
      <c r="Z36" s="22"/>
      <c r="AA36" s="22"/>
      <c r="AB36" s="22"/>
      <c r="AC36" s="22"/>
      <c r="AD36" s="22"/>
      <c r="AE36" s="22"/>
    </row>
    <row r="37" spans="1:31" x14ac:dyDescent="0.25">
      <c r="A37" s="1" t="s">
        <v>0</v>
      </c>
      <c r="B37" s="1" t="s">
        <v>957</v>
      </c>
      <c r="C37" s="2" t="s">
        <v>996</v>
      </c>
      <c r="D37" s="1" t="s">
        <v>995</v>
      </c>
      <c r="E37" s="1"/>
      <c r="F37" s="3">
        <v>1052</v>
      </c>
      <c r="G37" s="3">
        <v>78</v>
      </c>
      <c r="H37" s="4">
        <v>427</v>
      </c>
      <c r="I37" s="3">
        <v>207</v>
      </c>
      <c r="J37" s="3">
        <v>220</v>
      </c>
      <c r="K37" s="3">
        <v>0</v>
      </c>
      <c r="L37" s="3">
        <f t="shared" si="2"/>
        <v>0</v>
      </c>
      <c r="M37" s="3">
        <v>34</v>
      </c>
      <c r="N37" s="3">
        <f t="shared" si="3"/>
        <v>7.9625292740046847</v>
      </c>
      <c r="O37" s="3">
        <v>85</v>
      </c>
      <c r="P37" s="15">
        <v>0</v>
      </c>
      <c r="Q37" s="22"/>
      <c r="R37" s="31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 spans="1:31" x14ac:dyDescent="0.25">
      <c r="A38" s="1" t="s">
        <v>0</v>
      </c>
      <c r="B38" s="1" t="s">
        <v>957</v>
      </c>
      <c r="C38" s="2" t="s">
        <v>996</v>
      </c>
      <c r="D38" s="1" t="s">
        <v>1008</v>
      </c>
      <c r="E38" s="1"/>
      <c r="F38" s="3">
        <v>2209</v>
      </c>
      <c r="G38" s="3">
        <v>349</v>
      </c>
      <c r="H38" s="4">
        <v>1354</v>
      </c>
      <c r="I38" s="3">
        <v>669</v>
      </c>
      <c r="J38" s="3">
        <v>685</v>
      </c>
      <c r="K38" s="3">
        <v>390</v>
      </c>
      <c r="L38" s="3">
        <f t="shared" si="2"/>
        <v>28.80354505169867</v>
      </c>
      <c r="M38" s="3">
        <v>0</v>
      </c>
      <c r="N38" s="3">
        <f t="shared" si="3"/>
        <v>0</v>
      </c>
      <c r="O38" s="3">
        <v>123</v>
      </c>
      <c r="P38" s="15">
        <v>0</v>
      </c>
      <c r="Q38" s="22" t="s">
        <v>1348</v>
      </c>
      <c r="R38" s="85">
        <v>7265</v>
      </c>
      <c r="S38" s="88">
        <v>13.17</v>
      </c>
      <c r="T38" s="22"/>
      <c r="U38" s="22" t="s">
        <v>1348</v>
      </c>
      <c r="V38" s="22" t="s">
        <v>1348</v>
      </c>
      <c r="W38" s="22" t="s">
        <v>1348</v>
      </c>
      <c r="X38" s="22"/>
      <c r="Y38" s="22"/>
      <c r="Z38" s="22"/>
      <c r="AA38" s="22"/>
      <c r="AB38" s="22"/>
      <c r="AC38" s="22"/>
      <c r="AD38" s="22"/>
      <c r="AE38" s="22"/>
    </row>
    <row r="39" spans="1:31" x14ac:dyDescent="0.25">
      <c r="A39" s="1" t="s">
        <v>0</v>
      </c>
      <c r="B39" s="1" t="s">
        <v>957</v>
      </c>
      <c r="C39" s="2" t="s">
        <v>996</v>
      </c>
      <c r="D39" s="1" t="s">
        <v>1009</v>
      </c>
      <c r="E39" s="1"/>
      <c r="F39" s="3">
        <v>603</v>
      </c>
      <c r="G39" s="3">
        <v>127</v>
      </c>
      <c r="H39" s="4">
        <v>642</v>
      </c>
      <c r="I39" s="3">
        <v>310</v>
      </c>
      <c r="J39" s="3">
        <v>332</v>
      </c>
      <c r="K39" s="3">
        <v>217</v>
      </c>
      <c r="L39" s="3">
        <f t="shared" si="2"/>
        <v>33.800623052959502</v>
      </c>
      <c r="M39" s="3">
        <v>0</v>
      </c>
      <c r="N39" s="3">
        <f t="shared" si="3"/>
        <v>0</v>
      </c>
      <c r="O39" s="3">
        <v>92</v>
      </c>
      <c r="P39" s="15">
        <v>0</v>
      </c>
      <c r="Q39" s="22" t="s">
        <v>1348</v>
      </c>
      <c r="R39" s="85">
        <v>7267</v>
      </c>
      <c r="S39" s="88">
        <v>18.11</v>
      </c>
      <c r="T39" s="22"/>
      <c r="U39" s="22" t="s">
        <v>1348</v>
      </c>
      <c r="V39" s="22" t="s">
        <v>1348</v>
      </c>
      <c r="W39" s="22" t="s">
        <v>1348</v>
      </c>
      <c r="X39" s="22"/>
      <c r="Y39" s="22"/>
      <c r="Z39" s="22"/>
      <c r="AA39" s="22"/>
      <c r="AB39" s="22"/>
      <c r="AC39" s="22"/>
      <c r="AD39" s="22"/>
      <c r="AE39" s="22"/>
    </row>
    <row r="40" spans="1:31" x14ac:dyDescent="0.25">
      <c r="A40" s="1" t="s">
        <v>0</v>
      </c>
      <c r="B40" s="1" t="s">
        <v>957</v>
      </c>
      <c r="C40" s="2" t="s">
        <v>996</v>
      </c>
      <c r="D40" s="1" t="s">
        <v>1010</v>
      </c>
      <c r="E40" s="1"/>
      <c r="F40" s="3">
        <v>785</v>
      </c>
      <c r="G40" s="3">
        <v>89</v>
      </c>
      <c r="H40" s="4">
        <v>383</v>
      </c>
      <c r="I40" s="3">
        <v>179</v>
      </c>
      <c r="J40" s="3">
        <v>204</v>
      </c>
      <c r="K40" s="3">
        <v>78</v>
      </c>
      <c r="L40" s="3">
        <f t="shared" si="2"/>
        <v>20.365535248041773</v>
      </c>
      <c r="M40" s="3">
        <v>0</v>
      </c>
      <c r="N40" s="3">
        <f t="shared" si="3"/>
        <v>0</v>
      </c>
      <c r="O40" s="3">
        <v>124</v>
      </c>
      <c r="P40" s="15">
        <v>0</v>
      </c>
      <c r="Q40" s="22" t="s">
        <v>1348</v>
      </c>
      <c r="R40" s="85">
        <v>7269</v>
      </c>
      <c r="S40" s="88">
        <v>28.82</v>
      </c>
      <c r="T40" s="22"/>
      <c r="U40" s="22" t="s">
        <v>1348</v>
      </c>
      <c r="V40" s="22" t="s">
        <v>1348</v>
      </c>
      <c r="W40" s="22" t="s">
        <v>1348</v>
      </c>
      <c r="X40" s="22"/>
      <c r="Y40" s="22"/>
      <c r="Z40" s="22"/>
      <c r="AA40" s="22"/>
      <c r="AB40" s="22"/>
      <c r="AC40" s="22"/>
      <c r="AD40" s="22"/>
      <c r="AE40" s="22"/>
    </row>
    <row r="41" spans="1:31" x14ac:dyDescent="0.25">
      <c r="A41" s="1" t="s">
        <v>0</v>
      </c>
      <c r="B41" s="1" t="s">
        <v>957</v>
      </c>
      <c r="C41" s="2" t="s">
        <v>996</v>
      </c>
      <c r="D41" s="1" t="s">
        <v>1021</v>
      </c>
      <c r="E41" s="1"/>
      <c r="F41" s="3">
        <v>1187</v>
      </c>
      <c r="G41" s="3">
        <v>171</v>
      </c>
      <c r="H41" s="4">
        <v>647</v>
      </c>
      <c r="I41" s="3">
        <v>290</v>
      </c>
      <c r="J41" s="3">
        <v>357</v>
      </c>
      <c r="K41" s="3">
        <v>249</v>
      </c>
      <c r="L41" s="3">
        <f t="shared" si="2"/>
        <v>38.485316846986088</v>
      </c>
      <c r="M41" s="3">
        <v>0</v>
      </c>
      <c r="N41" s="3">
        <f t="shared" si="3"/>
        <v>0</v>
      </c>
      <c r="O41" s="3">
        <v>111</v>
      </c>
      <c r="P41" s="15">
        <v>0</v>
      </c>
      <c r="Q41" s="22" t="s">
        <v>1348</v>
      </c>
      <c r="R41" s="85">
        <v>7268</v>
      </c>
      <c r="S41" s="88">
        <v>0</v>
      </c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 spans="1:31" x14ac:dyDescent="0.25">
      <c r="A42" s="1" t="s">
        <v>0</v>
      </c>
      <c r="B42" s="1" t="s">
        <v>957</v>
      </c>
      <c r="C42" s="2" t="s">
        <v>1082</v>
      </c>
      <c r="D42" s="1" t="s">
        <v>1081</v>
      </c>
      <c r="E42" s="1"/>
      <c r="F42" s="3">
        <v>1223</v>
      </c>
      <c r="G42" s="3">
        <v>386</v>
      </c>
      <c r="H42" s="4">
        <v>1708</v>
      </c>
      <c r="I42" s="3">
        <v>868</v>
      </c>
      <c r="J42" s="3">
        <v>840</v>
      </c>
      <c r="K42" s="3">
        <v>456</v>
      </c>
      <c r="L42" s="3">
        <f t="shared" si="2"/>
        <v>26.697892271662766</v>
      </c>
      <c r="M42" s="3">
        <v>0</v>
      </c>
      <c r="N42" s="3">
        <f t="shared" si="3"/>
        <v>0</v>
      </c>
      <c r="O42" s="3">
        <v>0</v>
      </c>
      <c r="P42" s="15">
        <v>68</v>
      </c>
      <c r="Q42" s="22" t="s">
        <v>1348</v>
      </c>
      <c r="R42" s="85">
        <v>43870</v>
      </c>
      <c r="S42" s="88">
        <v>75.63</v>
      </c>
      <c r="T42" s="22"/>
      <c r="U42" s="22" t="s">
        <v>1348</v>
      </c>
      <c r="V42" s="22" t="s">
        <v>1348</v>
      </c>
      <c r="W42" s="22" t="s">
        <v>1348</v>
      </c>
      <c r="X42" s="22"/>
      <c r="Y42" s="22"/>
      <c r="Z42" s="22"/>
      <c r="AA42" s="22"/>
      <c r="AB42" s="22">
        <v>15</v>
      </c>
      <c r="AC42" s="22" t="s">
        <v>1361</v>
      </c>
      <c r="AD42" s="22">
        <v>25.922321</v>
      </c>
      <c r="AE42" s="22">
        <v>73.956442999999993</v>
      </c>
    </row>
    <row r="43" spans="1:31" x14ac:dyDescent="0.25">
      <c r="A43" s="1"/>
      <c r="B43" s="1"/>
      <c r="C43" s="2"/>
      <c r="D43" s="1"/>
      <c r="E43" s="1"/>
      <c r="F43" s="3"/>
      <c r="G43" s="3"/>
      <c r="H43" s="4"/>
      <c r="I43" s="3"/>
      <c r="J43" s="3"/>
      <c r="K43" s="3"/>
      <c r="L43" s="3"/>
      <c r="M43" s="3"/>
      <c r="N43" s="3"/>
      <c r="O43" s="3"/>
      <c r="P43" s="15"/>
      <c r="Q43" s="22"/>
      <c r="R43" s="85"/>
      <c r="S43" s="88"/>
      <c r="T43" s="22"/>
      <c r="U43" s="22"/>
      <c r="V43" s="22"/>
      <c r="W43" s="22"/>
      <c r="X43" s="22"/>
      <c r="Y43" s="22"/>
      <c r="Z43" s="22"/>
      <c r="AA43" s="22"/>
      <c r="AB43" s="22">
        <v>10</v>
      </c>
      <c r="AC43" s="22" t="s">
        <v>1361</v>
      </c>
      <c r="AD43" s="22">
        <v>25.920826999999999</v>
      </c>
      <c r="AE43" s="22">
        <v>73.953912000000003</v>
      </c>
    </row>
    <row r="44" spans="1:31" x14ac:dyDescent="0.25">
      <c r="A44" s="1" t="s">
        <v>0</v>
      </c>
      <c r="B44" s="1" t="s">
        <v>957</v>
      </c>
      <c r="C44" s="2" t="s">
        <v>1082</v>
      </c>
      <c r="D44" s="1" t="s">
        <v>1083</v>
      </c>
      <c r="E44" s="1"/>
      <c r="F44" s="3">
        <v>402.68</v>
      </c>
      <c r="G44" s="3">
        <v>112</v>
      </c>
      <c r="H44" s="4">
        <v>605</v>
      </c>
      <c r="I44" s="3">
        <v>312</v>
      </c>
      <c r="J44" s="3">
        <v>293</v>
      </c>
      <c r="K44" s="3">
        <v>79</v>
      </c>
      <c r="L44" s="3">
        <f t="shared" ref="L44:L75" si="4">(K44/H44)*100</f>
        <v>13.057851239669422</v>
      </c>
      <c r="M44" s="3">
        <v>0</v>
      </c>
      <c r="N44" s="3">
        <f t="shared" ref="N44:N75" si="5">(M44/H44)*100</f>
        <v>0</v>
      </c>
      <c r="O44" s="3">
        <v>0</v>
      </c>
      <c r="P44" s="15">
        <v>90.14</v>
      </c>
      <c r="Q44" s="22"/>
      <c r="R44" s="31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:31" x14ac:dyDescent="0.25">
      <c r="A45" s="1" t="s">
        <v>0</v>
      </c>
      <c r="B45" s="1" t="s">
        <v>957</v>
      </c>
      <c r="C45" s="2" t="s">
        <v>1082</v>
      </c>
      <c r="D45" s="1" t="s">
        <v>1085</v>
      </c>
      <c r="E45" s="1"/>
      <c r="F45" s="3">
        <v>497</v>
      </c>
      <c r="G45" s="3">
        <v>159</v>
      </c>
      <c r="H45" s="4">
        <v>737</v>
      </c>
      <c r="I45" s="3">
        <v>368</v>
      </c>
      <c r="J45" s="3">
        <v>369</v>
      </c>
      <c r="K45" s="3">
        <v>194</v>
      </c>
      <c r="L45" s="3">
        <f t="shared" si="4"/>
        <v>26.322930800542743</v>
      </c>
      <c r="M45" s="3">
        <v>0</v>
      </c>
      <c r="N45" s="3">
        <f t="shared" si="5"/>
        <v>0</v>
      </c>
      <c r="O45" s="3">
        <v>0</v>
      </c>
      <c r="P45" s="15">
        <v>22</v>
      </c>
      <c r="Q45" s="22"/>
      <c r="R45" s="31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 spans="1:31" x14ac:dyDescent="0.25">
      <c r="A46" s="1" t="s">
        <v>0</v>
      </c>
      <c r="B46" s="1" t="s">
        <v>957</v>
      </c>
      <c r="C46" s="2" t="s">
        <v>1082</v>
      </c>
      <c r="D46" s="1" t="s">
        <v>1086</v>
      </c>
      <c r="E46" s="1"/>
      <c r="F46" s="3">
        <v>263.27</v>
      </c>
      <c r="G46" s="3">
        <v>114</v>
      </c>
      <c r="H46" s="4">
        <v>696</v>
      </c>
      <c r="I46" s="3">
        <v>349</v>
      </c>
      <c r="J46" s="3">
        <v>347</v>
      </c>
      <c r="K46" s="3">
        <v>7</v>
      </c>
      <c r="L46" s="3">
        <f t="shared" si="4"/>
        <v>1.0057471264367817</v>
      </c>
      <c r="M46" s="3">
        <v>0</v>
      </c>
      <c r="N46" s="3">
        <f t="shared" si="5"/>
        <v>0</v>
      </c>
      <c r="O46" s="3">
        <v>0</v>
      </c>
      <c r="P46" s="15">
        <v>0</v>
      </c>
      <c r="Q46" s="22"/>
      <c r="R46" s="31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 spans="1:31" x14ac:dyDescent="0.25">
      <c r="A47" s="1" t="s">
        <v>0</v>
      </c>
      <c r="B47" s="1" t="s">
        <v>957</v>
      </c>
      <c r="C47" s="2" t="s">
        <v>1082</v>
      </c>
      <c r="D47" s="1" t="s">
        <v>1106</v>
      </c>
      <c r="E47" s="1"/>
      <c r="F47" s="3">
        <v>659.12</v>
      </c>
      <c r="G47" s="3">
        <v>202</v>
      </c>
      <c r="H47" s="4">
        <v>994</v>
      </c>
      <c r="I47" s="3">
        <v>508</v>
      </c>
      <c r="J47" s="3">
        <v>486</v>
      </c>
      <c r="K47" s="3">
        <v>16</v>
      </c>
      <c r="L47" s="3">
        <f t="shared" si="4"/>
        <v>1.6096579476861168</v>
      </c>
      <c r="M47" s="3">
        <v>0</v>
      </c>
      <c r="N47" s="3">
        <f t="shared" si="5"/>
        <v>0</v>
      </c>
      <c r="O47" s="3">
        <v>0</v>
      </c>
      <c r="P47" s="15">
        <v>0</v>
      </c>
      <c r="Q47" s="22"/>
      <c r="R47" s="31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 spans="1:31" x14ac:dyDescent="0.25">
      <c r="A48" s="1" t="s">
        <v>0</v>
      </c>
      <c r="B48" s="1" t="s">
        <v>957</v>
      </c>
      <c r="C48" s="2" t="s">
        <v>1082</v>
      </c>
      <c r="D48" s="1" t="s">
        <v>1107</v>
      </c>
      <c r="E48" s="1"/>
      <c r="F48" s="3">
        <v>503.64</v>
      </c>
      <c r="G48" s="3">
        <v>141</v>
      </c>
      <c r="H48" s="4">
        <v>664</v>
      </c>
      <c r="I48" s="3">
        <v>364</v>
      </c>
      <c r="J48" s="3">
        <v>300</v>
      </c>
      <c r="K48" s="3">
        <v>0</v>
      </c>
      <c r="L48" s="3">
        <f t="shared" si="4"/>
        <v>0</v>
      </c>
      <c r="M48" s="3">
        <v>0</v>
      </c>
      <c r="N48" s="3">
        <f t="shared" si="5"/>
        <v>0</v>
      </c>
      <c r="O48" s="3">
        <v>0</v>
      </c>
      <c r="P48" s="15">
        <v>400.24</v>
      </c>
      <c r="Q48" s="22"/>
      <c r="R48" s="31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</row>
    <row r="49" spans="1:31" x14ac:dyDescent="0.25">
      <c r="A49" s="1" t="s">
        <v>0</v>
      </c>
      <c r="B49" s="1" t="s">
        <v>957</v>
      </c>
      <c r="C49" s="2" t="s">
        <v>1094</v>
      </c>
      <c r="D49" s="1" t="s">
        <v>1093</v>
      </c>
      <c r="E49" s="1"/>
      <c r="F49" s="3">
        <v>474</v>
      </c>
      <c r="G49" s="3">
        <v>182</v>
      </c>
      <c r="H49" s="4">
        <v>799</v>
      </c>
      <c r="I49" s="3">
        <v>405</v>
      </c>
      <c r="J49" s="3">
        <v>394</v>
      </c>
      <c r="K49" s="3">
        <v>225</v>
      </c>
      <c r="L49" s="3">
        <f t="shared" si="4"/>
        <v>28.16020025031289</v>
      </c>
      <c r="M49" s="3">
        <v>0</v>
      </c>
      <c r="N49" s="3">
        <f t="shared" si="5"/>
        <v>0</v>
      </c>
      <c r="O49" s="3">
        <v>53</v>
      </c>
      <c r="P49" s="15">
        <v>0</v>
      </c>
      <c r="Q49" s="22"/>
      <c r="R49" s="31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 spans="1:31" x14ac:dyDescent="0.25">
      <c r="A50" s="1" t="s">
        <v>0</v>
      </c>
      <c r="B50" s="1" t="s">
        <v>957</v>
      </c>
      <c r="C50" s="2" t="s">
        <v>1094</v>
      </c>
      <c r="D50" s="1" t="s">
        <v>1098</v>
      </c>
      <c r="E50" s="1"/>
      <c r="F50" s="3">
        <v>285</v>
      </c>
      <c r="G50" s="3">
        <v>208</v>
      </c>
      <c r="H50" s="4">
        <v>946</v>
      </c>
      <c r="I50" s="3">
        <v>448</v>
      </c>
      <c r="J50" s="3">
        <v>498</v>
      </c>
      <c r="K50" s="3">
        <v>202</v>
      </c>
      <c r="L50" s="3">
        <f t="shared" si="4"/>
        <v>21.353065539112052</v>
      </c>
      <c r="M50" s="3">
        <v>0</v>
      </c>
      <c r="N50" s="3">
        <f t="shared" si="5"/>
        <v>0</v>
      </c>
      <c r="O50" s="3">
        <v>19</v>
      </c>
      <c r="P50" s="15">
        <v>0</v>
      </c>
      <c r="Q50" s="22"/>
      <c r="R50" s="31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 spans="1:31" x14ac:dyDescent="0.25">
      <c r="A51" s="1" t="s">
        <v>0</v>
      </c>
      <c r="B51" s="1" t="s">
        <v>957</v>
      </c>
      <c r="C51" s="2" t="s">
        <v>1094</v>
      </c>
      <c r="D51" s="1" t="s">
        <v>1099</v>
      </c>
      <c r="E51" s="1"/>
      <c r="F51" s="3">
        <v>297</v>
      </c>
      <c r="G51" s="3">
        <v>54</v>
      </c>
      <c r="H51" s="4">
        <v>239</v>
      </c>
      <c r="I51" s="3">
        <v>115</v>
      </c>
      <c r="J51" s="3">
        <v>124</v>
      </c>
      <c r="K51" s="3">
        <v>72</v>
      </c>
      <c r="L51" s="3">
        <f t="shared" si="4"/>
        <v>30.125523012552303</v>
      </c>
      <c r="M51" s="3">
        <v>0</v>
      </c>
      <c r="N51" s="3">
        <f t="shared" si="5"/>
        <v>0</v>
      </c>
      <c r="O51" s="3">
        <v>4</v>
      </c>
      <c r="P51" s="15">
        <v>205</v>
      </c>
      <c r="Q51" s="22" t="s">
        <v>1348</v>
      </c>
      <c r="R51" s="85">
        <v>43786</v>
      </c>
      <c r="S51" s="88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 spans="1:31" x14ac:dyDescent="0.25">
      <c r="A52" s="1" t="s">
        <v>0</v>
      </c>
      <c r="B52" s="1" t="s">
        <v>957</v>
      </c>
      <c r="C52" s="2" t="s">
        <v>1094</v>
      </c>
      <c r="D52" s="1" t="s">
        <v>1101</v>
      </c>
      <c r="E52" s="1"/>
      <c r="F52" s="3">
        <v>543.07000000000005</v>
      </c>
      <c r="G52" s="3">
        <v>53</v>
      </c>
      <c r="H52" s="4">
        <v>253</v>
      </c>
      <c r="I52" s="3">
        <v>131</v>
      </c>
      <c r="J52" s="3">
        <v>122</v>
      </c>
      <c r="K52" s="3">
        <v>0</v>
      </c>
      <c r="L52" s="3">
        <f t="shared" si="4"/>
        <v>0</v>
      </c>
      <c r="M52" s="3">
        <v>0</v>
      </c>
      <c r="N52" s="3">
        <f t="shared" si="5"/>
        <v>0</v>
      </c>
      <c r="O52" s="3">
        <v>0</v>
      </c>
      <c r="P52" s="15">
        <v>0</v>
      </c>
      <c r="Q52" s="22" t="s">
        <v>1348</v>
      </c>
      <c r="R52" s="85">
        <v>43788</v>
      </c>
      <c r="S52" s="88">
        <v>0</v>
      </c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  <row r="53" spans="1:31" x14ac:dyDescent="0.25">
      <c r="A53" s="1" t="s">
        <v>0</v>
      </c>
      <c r="B53" s="1" t="s">
        <v>957</v>
      </c>
      <c r="C53" s="2" t="s">
        <v>1094</v>
      </c>
      <c r="D53" s="1" t="s">
        <v>1102</v>
      </c>
      <c r="E53" s="1"/>
      <c r="F53" s="3">
        <v>240</v>
      </c>
      <c r="G53" s="3">
        <v>124</v>
      </c>
      <c r="H53" s="4">
        <v>537</v>
      </c>
      <c r="I53" s="3">
        <v>263</v>
      </c>
      <c r="J53" s="3">
        <v>274</v>
      </c>
      <c r="K53" s="3">
        <v>28</v>
      </c>
      <c r="L53" s="3">
        <f t="shared" si="4"/>
        <v>5.2141527001862196</v>
      </c>
      <c r="M53" s="3">
        <v>0</v>
      </c>
      <c r="N53" s="3">
        <f t="shared" si="5"/>
        <v>0</v>
      </c>
      <c r="O53" s="3">
        <v>123</v>
      </c>
      <c r="P53" s="15">
        <v>30</v>
      </c>
      <c r="Q53" s="22" t="s">
        <v>1348</v>
      </c>
      <c r="R53" s="85">
        <v>43871</v>
      </c>
      <c r="S53" s="88">
        <v>0</v>
      </c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 spans="1:31" x14ac:dyDescent="0.25">
      <c r="A54" s="1" t="s">
        <v>0</v>
      </c>
      <c r="B54" s="1" t="s">
        <v>957</v>
      </c>
      <c r="C54" s="2" t="s">
        <v>1094</v>
      </c>
      <c r="D54" s="1" t="s">
        <v>1103</v>
      </c>
      <c r="E54" s="1"/>
      <c r="F54" s="3">
        <v>1135</v>
      </c>
      <c r="G54" s="3">
        <v>492</v>
      </c>
      <c r="H54" s="4">
        <v>2476</v>
      </c>
      <c r="I54" s="3">
        <v>1245</v>
      </c>
      <c r="J54" s="3">
        <v>1231</v>
      </c>
      <c r="K54" s="3">
        <v>630</v>
      </c>
      <c r="L54" s="3">
        <f t="shared" si="4"/>
        <v>25.444264943457188</v>
      </c>
      <c r="M54" s="3">
        <v>1</v>
      </c>
      <c r="N54" s="3">
        <f t="shared" si="5"/>
        <v>4.0387722132471729E-2</v>
      </c>
      <c r="O54" s="3">
        <v>25</v>
      </c>
      <c r="P54" s="15">
        <v>268</v>
      </c>
      <c r="Q54" s="22" t="s">
        <v>1348</v>
      </c>
      <c r="R54" s="85">
        <v>43785</v>
      </c>
      <c r="S54" s="88">
        <v>26.45</v>
      </c>
      <c r="T54" s="22"/>
      <c r="U54" s="22" t="s">
        <v>1348</v>
      </c>
      <c r="V54" s="22" t="s">
        <v>1348</v>
      </c>
      <c r="W54" s="22" t="s">
        <v>1348</v>
      </c>
      <c r="X54" s="22"/>
      <c r="Y54" s="22"/>
      <c r="Z54" s="22"/>
      <c r="AA54" s="22"/>
      <c r="AB54" s="22"/>
      <c r="AC54" s="22"/>
      <c r="AD54" s="22"/>
      <c r="AE54" s="22"/>
    </row>
    <row r="55" spans="1:31" x14ac:dyDescent="0.25">
      <c r="A55" s="1" t="s">
        <v>0</v>
      </c>
      <c r="B55" s="1" t="s">
        <v>957</v>
      </c>
      <c r="C55" s="2" t="s">
        <v>1091</v>
      </c>
      <c r="D55" s="1" t="s">
        <v>1090</v>
      </c>
      <c r="E55" s="1"/>
      <c r="F55" s="3">
        <v>1179</v>
      </c>
      <c r="G55" s="3">
        <v>118</v>
      </c>
      <c r="H55" s="4">
        <v>552</v>
      </c>
      <c r="I55" s="3">
        <v>269</v>
      </c>
      <c r="J55" s="3">
        <v>283</v>
      </c>
      <c r="K55" s="3">
        <v>37</v>
      </c>
      <c r="L55" s="3">
        <f t="shared" si="4"/>
        <v>6.7028985507246386</v>
      </c>
      <c r="M55" s="3">
        <v>0</v>
      </c>
      <c r="N55" s="3">
        <f t="shared" si="5"/>
        <v>0</v>
      </c>
      <c r="O55" s="3">
        <v>21</v>
      </c>
      <c r="P55" s="15">
        <v>0</v>
      </c>
      <c r="Q55" s="22"/>
      <c r="R55" s="85">
        <v>43792</v>
      </c>
      <c r="S55" s="88">
        <v>0</v>
      </c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 spans="1:31" ht="15.75" x14ac:dyDescent="0.25">
      <c r="A56" s="1" t="s">
        <v>0</v>
      </c>
      <c r="B56" s="1" t="s">
        <v>957</v>
      </c>
      <c r="C56" s="2" t="s">
        <v>1091</v>
      </c>
      <c r="D56" s="1" t="s">
        <v>1100</v>
      </c>
      <c r="E56" s="1"/>
      <c r="F56" s="3">
        <v>610</v>
      </c>
      <c r="G56" s="3">
        <v>89</v>
      </c>
      <c r="H56" s="4">
        <v>479</v>
      </c>
      <c r="I56" s="3">
        <v>263</v>
      </c>
      <c r="J56" s="3">
        <v>216</v>
      </c>
      <c r="K56" s="3">
        <v>198</v>
      </c>
      <c r="L56" s="3">
        <f t="shared" si="4"/>
        <v>41.336116910229649</v>
      </c>
      <c r="M56" s="3">
        <v>0</v>
      </c>
      <c r="N56" s="3">
        <f t="shared" si="5"/>
        <v>0</v>
      </c>
      <c r="O56" s="3">
        <v>0</v>
      </c>
      <c r="P56" s="15">
        <v>333</v>
      </c>
      <c r="Q56" s="22" t="s">
        <v>1348</v>
      </c>
      <c r="R56" s="90">
        <v>43794</v>
      </c>
      <c r="S56" s="89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 spans="1:31" ht="15.75" x14ac:dyDescent="0.25">
      <c r="A57" s="1" t="s">
        <v>0</v>
      </c>
      <c r="B57" s="1" t="s">
        <v>957</v>
      </c>
      <c r="C57" s="2" t="s">
        <v>1091</v>
      </c>
      <c r="D57" s="1" t="s">
        <v>1104</v>
      </c>
      <c r="E57" s="1"/>
      <c r="F57" s="3">
        <v>1373</v>
      </c>
      <c r="G57" s="3">
        <v>323</v>
      </c>
      <c r="H57" s="4">
        <v>1362</v>
      </c>
      <c r="I57" s="3">
        <v>668</v>
      </c>
      <c r="J57" s="3">
        <v>694</v>
      </c>
      <c r="K57" s="3">
        <v>411</v>
      </c>
      <c r="L57" s="3">
        <f t="shared" si="4"/>
        <v>30.176211453744493</v>
      </c>
      <c r="M57" s="3">
        <v>4</v>
      </c>
      <c r="N57" s="3">
        <f t="shared" si="5"/>
        <v>0.29368575624082233</v>
      </c>
      <c r="O57" s="3">
        <v>186</v>
      </c>
      <c r="P57" s="15">
        <v>669</v>
      </c>
      <c r="Q57" s="22" t="s">
        <v>1348</v>
      </c>
      <c r="R57" s="85">
        <v>43793</v>
      </c>
      <c r="S57" s="89">
        <v>32.71</v>
      </c>
      <c r="T57" s="22"/>
      <c r="U57" s="22" t="s">
        <v>1348</v>
      </c>
      <c r="V57" s="22" t="s">
        <v>1348</v>
      </c>
      <c r="W57" s="22" t="s">
        <v>1348</v>
      </c>
      <c r="X57" s="22"/>
      <c r="Y57" s="22"/>
      <c r="Z57" s="22"/>
      <c r="AA57" s="22"/>
      <c r="AB57" s="22"/>
      <c r="AC57" s="22"/>
      <c r="AD57" s="22"/>
      <c r="AE57" s="22"/>
    </row>
    <row r="58" spans="1:31" ht="15.75" x14ac:dyDescent="0.25">
      <c r="A58" s="1" t="s">
        <v>0</v>
      </c>
      <c r="B58" s="1" t="s">
        <v>957</v>
      </c>
      <c r="C58" s="2" t="s">
        <v>1091</v>
      </c>
      <c r="D58" s="1" t="s">
        <v>873</v>
      </c>
      <c r="E58" s="1"/>
      <c r="F58" s="3">
        <v>419</v>
      </c>
      <c r="G58" s="3">
        <v>131</v>
      </c>
      <c r="H58" s="4">
        <v>583</v>
      </c>
      <c r="I58" s="3">
        <v>277</v>
      </c>
      <c r="J58" s="3">
        <v>306</v>
      </c>
      <c r="K58" s="3">
        <v>74</v>
      </c>
      <c r="L58" s="3">
        <f t="shared" si="4"/>
        <v>12.69296740994854</v>
      </c>
      <c r="M58" s="3">
        <v>0</v>
      </c>
      <c r="N58" s="3">
        <f t="shared" si="5"/>
        <v>0</v>
      </c>
      <c r="O58" s="3">
        <v>42</v>
      </c>
      <c r="P58" s="15">
        <v>0</v>
      </c>
      <c r="Q58" s="22" t="s">
        <v>1348</v>
      </c>
      <c r="R58" s="85">
        <v>43790</v>
      </c>
      <c r="S58" s="89">
        <v>40.9</v>
      </c>
      <c r="T58" s="22"/>
      <c r="U58" s="22" t="s">
        <v>1348</v>
      </c>
      <c r="V58" s="22" t="s">
        <v>1348</v>
      </c>
      <c r="W58" s="22" t="s">
        <v>1348</v>
      </c>
      <c r="X58" s="22"/>
      <c r="Y58" s="22"/>
      <c r="Z58" s="22"/>
      <c r="AA58" s="22"/>
      <c r="AB58" s="22"/>
      <c r="AC58" s="22"/>
      <c r="AD58" s="22"/>
      <c r="AE58" s="22"/>
    </row>
    <row r="59" spans="1:31" ht="15.75" x14ac:dyDescent="0.25">
      <c r="A59" s="1" t="s">
        <v>0</v>
      </c>
      <c r="B59" s="1" t="s">
        <v>957</v>
      </c>
      <c r="C59" s="2" t="s">
        <v>1091</v>
      </c>
      <c r="D59" s="1" t="s">
        <v>1105</v>
      </c>
      <c r="E59" s="1"/>
      <c r="F59" s="3">
        <v>1086</v>
      </c>
      <c r="G59" s="3">
        <v>165</v>
      </c>
      <c r="H59" s="4">
        <v>788</v>
      </c>
      <c r="I59" s="3">
        <v>386</v>
      </c>
      <c r="J59" s="3">
        <v>402</v>
      </c>
      <c r="K59" s="3">
        <v>138</v>
      </c>
      <c r="L59" s="3">
        <f t="shared" si="4"/>
        <v>17.512690355329948</v>
      </c>
      <c r="M59" s="3">
        <v>1</v>
      </c>
      <c r="N59" s="3">
        <f t="shared" si="5"/>
        <v>0.12690355329949238</v>
      </c>
      <c r="O59" s="3">
        <v>33</v>
      </c>
      <c r="P59" s="15">
        <v>551</v>
      </c>
      <c r="Q59" s="22"/>
      <c r="R59" s="31"/>
      <c r="S59" s="89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</row>
    <row r="60" spans="1:31" ht="15.75" x14ac:dyDescent="0.25">
      <c r="A60" s="1" t="s">
        <v>0</v>
      </c>
      <c r="B60" s="1" t="s">
        <v>957</v>
      </c>
      <c r="C60" s="2" t="s">
        <v>1092</v>
      </c>
      <c r="D60" s="1" t="s">
        <v>54</v>
      </c>
      <c r="E60" s="1"/>
      <c r="F60" s="3">
        <v>841</v>
      </c>
      <c r="G60" s="3">
        <v>254</v>
      </c>
      <c r="H60" s="4">
        <v>1114</v>
      </c>
      <c r="I60" s="3">
        <v>524</v>
      </c>
      <c r="J60" s="3">
        <v>590</v>
      </c>
      <c r="K60" s="3">
        <v>235</v>
      </c>
      <c r="L60" s="3">
        <f t="shared" si="4"/>
        <v>21.095152603231597</v>
      </c>
      <c r="M60" s="3">
        <v>0</v>
      </c>
      <c r="N60" s="3">
        <f t="shared" si="5"/>
        <v>0</v>
      </c>
      <c r="O60" s="3">
        <v>49</v>
      </c>
      <c r="P60" s="15">
        <v>0</v>
      </c>
      <c r="Q60" s="22" t="s">
        <v>1348</v>
      </c>
      <c r="R60" s="85">
        <v>43760</v>
      </c>
      <c r="S60" s="89">
        <v>116.13</v>
      </c>
      <c r="T60" s="22"/>
      <c r="U60" s="89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 spans="1:31" ht="15.75" x14ac:dyDescent="0.25">
      <c r="A61" s="1" t="s">
        <v>0</v>
      </c>
      <c r="B61" s="1" t="s">
        <v>957</v>
      </c>
      <c r="C61" s="2" t="s">
        <v>1092</v>
      </c>
      <c r="D61" s="1" t="s">
        <v>1095</v>
      </c>
      <c r="E61" s="1"/>
      <c r="F61" s="3">
        <v>1176</v>
      </c>
      <c r="G61" s="3">
        <v>531</v>
      </c>
      <c r="H61" s="4">
        <v>2481</v>
      </c>
      <c r="I61" s="3">
        <v>1243</v>
      </c>
      <c r="J61" s="3">
        <v>1238</v>
      </c>
      <c r="K61" s="3">
        <v>815</v>
      </c>
      <c r="L61" s="3">
        <f t="shared" si="4"/>
        <v>32.849657396211207</v>
      </c>
      <c r="M61" s="3">
        <v>0</v>
      </c>
      <c r="N61" s="3">
        <f t="shared" si="5"/>
        <v>0</v>
      </c>
      <c r="O61" s="3">
        <v>46</v>
      </c>
      <c r="P61" s="15">
        <v>0</v>
      </c>
      <c r="Q61" s="22" t="s">
        <v>1348</v>
      </c>
      <c r="R61" s="85">
        <v>43763</v>
      </c>
      <c r="S61" s="89">
        <v>22.7</v>
      </c>
      <c r="T61" s="22"/>
      <c r="U61" s="22" t="s">
        <v>1348</v>
      </c>
      <c r="V61" s="22" t="s">
        <v>1348</v>
      </c>
      <c r="W61" s="22" t="s">
        <v>1348</v>
      </c>
      <c r="X61" s="22"/>
      <c r="Y61" s="22"/>
      <c r="Z61" s="22"/>
      <c r="AA61" s="22"/>
      <c r="AB61" s="22"/>
      <c r="AC61" s="22"/>
      <c r="AD61" s="22"/>
      <c r="AE61" s="22"/>
    </row>
    <row r="62" spans="1:31" ht="15.75" x14ac:dyDescent="0.25">
      <c r="A62" s="1" t="s">
        <v>0</v>
      </c>
      <c r="B62" s="1" t="s">
        <v>957</v>
      </c>
      <c r="C62" s="2" t="s">
        <v>1092</v>
      </c>
      <c r="D62" s="1" t="s">
        <v>1096</v>
      </c>
      <c r="E62" s="1"/>
      <c r="F62" s="3">
        <v>385</v>
      </c>
      <c r="G62" s="3">
        <v>72</v>
      </c>
      <c r="H62" s="4">
        <v>328</v>
      </c>
      <c r="I62" s="3">
        <v>148</v>
      </c>
      <c r="J62" s="3">
        <v>180</v>
      </c>
      <c r="K62" s="3">
        <v>31</v>
      </c>
      <c r="L62" s="3">
        <f t="shared" si="4"/>
        <v>9.4512195121951219</v>
      </c>
      <c r="M62" s="3">
        <v>8</v>
      </c>
      <c r="N62" s="3">
        <f t="shared" si="5"/>
        <v>2.4390243902439024</v>
      </c>
      <c r="O62" s="3">
        <v>0</v>
      </c>
      <c r="P62" s="15">
        <v>0</v>
      </c>
      <c r="Q62" s="22" t="s">
        <v>1348</v>
      </c>
      <c r="R62" s="85">
        <v>43566</v>
      </c>
      <c r="S62" s="89">
        <v>3.8</v>
      </c>
      <c r="T62" s="22"/>
      <c r="U62" s="89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 spans="1:31" ht="15.75" x14ac:dyDescent="0.25">
      <c r="A63" s="1" t="s">
        <v>0</v>
      </c>
      <c r="B63" s="1" t="s">
        <v>957</v>
      </c>
      <c r="C63" s="2" t="s">
        <v>1092</v>
      </c>
      <c r="D63" s="1" t="s">
        <v>1097</v>
      </c>
      <c r="E63" s="1"/>
      <c r="F63" s="3">
        <v>354</v>
      </c>
      <c r="G63" s="3">
        <v>109</v>
      </c>
      <c r="H63" s="4">
        <v>490</v>
      </c>
      <c r="I63" s="3">
        <v>237</v>
      </c>
      <c r="J63" s="3">
        <v>253</v>
      </c>
      <c r="K63" s="3">
        <v>164</v>
      </c>
      <c r="L63" s="3">
        <f t="shared" si="4"/>
        <v>33.469387755102041</v>
      </c>
      <c r="M63" s="3">
        <v>0</v>
      </c>
      <c r="N63" s="3">
        <f t="shared" si="5"/>
        <v>0</v>
      </c>
      <c r="O63" s="3">
        <v>0</v>
      </c>
      <c r="P63" s="15">
        <v>0</v>
      </c>
      <c r="Q63" s="22" t="s">
        <v>1348</v>
      </c>
      <c r="R63" s="85">
        <v>43596</v>
      </c>
      <c r="S63" s="89">
        <v>20.16</v>
      </c>
      <c r="T63" s="22"/>
      <c r="U63" s="22" t="s">
        <v>1348</v>
      </c>
      <c r="V63" s="22" t="s">
        <v>1348</v>
      </c>
      <c r="W63" s="22" t="s">
        <v>1348</v>
      </c>
      <c r="X63" s="22"/>
      <c r="Y63" s="22"/>
      <c r="Z63" s="22"/>
      <c r="AA63" s="22"/>
      <c r="AB63" s="22"/>
      <c r="AC63" s="22"/>
      <c r="AD63" s="22"/>
      <c r="AE63" s="22"/>
    </row>
    <row r="64" spans="1:31" ht="15.75" x14ac:dyDescent="0.25">
      <c r="A64" s="1" t="s">
        <v>0</v>
      </c>
      <c r="B64" s="1" t="s">
        <v>957</v>
      </c>
      <c r="C64" s="2" t="s">
        <v>979</v>
      </c>
      <c r="D64" s="1" t="s">
        <v>978</v>
      </c>
      <c r="E64" s="1"/>
      <c r="F64" s="3">
        <v>841</v>
      </c>
      <c r="G64" s="3">
        <v>182</v>
      </c>
      <c r="H64" s="4">
        <v>960</v>
      </c>
      <c r="I64" s="3">
        <v>491</v>
      </c>
      <c r="J64" s="3">
        <v>469</v>
      </c>
      <c r="K64" s="3">
        <v>388</v>
      </c>
      <c r="L64" s="3">
        <f t="shared" si="4"/>
        <v>40.416666666666664</v>
      </c>
      <c r="M64" s="3">
        <v>0</v>
      </c>
      <c r="N64" s="3">
        <f t="shared" si="5"/>
        <v>0</v>
      </c>
      <c r="O64" s="3">
        <v>0</v>
      </c>
      <c r="P64" s="15">
        <v>0</v>
      </c>
      <c r="Q64" s="22" t="s">
        <v>1348</v>
      </c>
      <c r="R64" s="85">
        <v>43793</v>
      </c>
      <c r="S64" s="89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 spans="1:31" ht="15.75" x14ac:dyDescent="0.25">
      <c r="A65" s="1" t="s">
        <v>0</v>
      </c>
      <c r="B65" s="1" t="s">
        <v>957</v>
      </c>
      <c r="C65" s="2" t="s">
        <v>979</v>
      </c>
      <c r="D65" s="1" t="s">
        <v>997</v>
      </c>
      <c r="E65" s="1"/>
      <c r="F65" s="3">
        <v>2444.4299999999998</v>
      </c>
      <c r="G65" s="3">
        <v>288</v>
      </c>
      <c r="H65" s="4">
        <v>1481</v>
      </c>
      <c r="I65" s="3">
        <v>745</v>
      </c>
      <c r="J65" s="3">
        <v>736</v>
      </c>
      <c r="K65" s="3">
        <v>539</v>
      </c>
      <c r="L65" s="3">
        <f t="shared" si="4"/>
        <v>36.394328156650914</v>
      </c>
      <c r="M65" s="3">
        <v>0</v>
      </c>
      <c r="N65" s="3">
        <f t="shared" si="5"/>
        <v>0</v>
      </c>
      <c r="O65" s="3">
        <v>0</v>
      </c>
      <c r="P65" s="15">
        <v>0</v>
      </c>
      <c r="Q65" s="22" t="s">
        <v>1348</v>
      </c>
      <c r="R65" s="85">
        <v>43794</v>
      </c>
      <c r="S65" s="89">
        <v>69.53</v>
      </c>
      <c r="T65" s="22"/>
      <c r="U65" s="22" t="s">
        <v>1348</v>
      </c>
      <c r="V65" s="22" t="s">
        <v>1348</v>
      </c>
      <c r="W65" s="22" t="s">
        <v>1348</v>
      </c>
      <c r="X65" s="22"/>
      <c r="Y65" s="22"/>
      <c r="Z65" s="22"/>
      <c r="AA65" s="22"/>
      <c r="AB65" s="22"/>
      <c r="AC65" s="22"/>
      <c r="AD65" s="22"/>
      <c r="AE65" s="22"/>
    </row>
    <row r="66" spans="1:31" ht="15.75" x14ac:dyDescent="0.25">
      <c r="A66" s="1" t="s">
        <v>0</v>
      </c>
      <c r="B66" s="1" t="s">
        <v>957</v>
      </c>
      <c r="C66" s="2" t="s">
        <v>979</v>
      </c>
      <c r="D66" s="1" t="s">
        <v>998</v>
      </c>
      <c r="E66" s="1"/>
      <c r="F66" s="3">
        <v>532.78</v>
      </c>
      <c r="G66" s="3">
        <v>72</v>
      </c>
      <c r="H66" s="4">
        <v>390</v>
      </c>
      <c r="I66" s="3">
        <v>209</v>
      </c>
      <c r="J66" s="3">
        <v>181</v>
      </c>
      <c r="K66" s="3">
        <v>0</v>
      </c>
      <c r="L66" s="3">
        <f t="shared" si="4"/>
        <v>0</v>
      </c>
      <c r="M66" s="3">
        <v>0</v>
      </c>
      <c r="N66" s="3">
        <f t="shared" si="5"/>
        <v>0</v>
      </c>
      <c r="O66" s="3">
        <v>71.84</v>
      </c>
      <c r="P66" s="15">
        <v>0</v>
      </c>
      <c r="Q66" s="22" t="s">
        <v>1348</v>
      </c>
      <c r="R66" s="85">
        <v>43789</v>
      </c>
      <c r="S66" s="89">
        <v>29.43</v>
      </c>
      <c r="T66" s="22"/>
      <c r="U66" s="22" t="s">
        <v>1348</v>
      </c>
      <c r="V66" s="22" t="s">
        <v>1348</v>
      </c>
      <c r="W66" s="22" t="s">
        <v>1348</v>
      </c>
      <c r="X66" s="22"/>
      <c r="Y66" s="22"/>
      <c r="Z66" s="22"/>
      <c r="AA66" s="22"/>
      <c r="AB66" s="22"/>
      <c r="AC66" s="22"/>
      <c r="AD66" s="22"/>
      <c r="AE66" s="22"/>
    </row>
    <row r="67" spans="1:31" ht="15.75" x14ac:dyDescent="0.25">
      <c r="A67" s="1" t="s">
        <v>0</v>
      </c>
      <c r="B67" s="1" t="s">
        <v>957</v>
      </c>
      <c r="C67" s="2" t="s">
        <v>979</v>
      </c>
      <c r="D67" s="1" t="s">
        <v>1046</v>
      </c>
      <c r="E67" s="1"/>
      <c r="F67" s="3">
        <v>1037</v>
      </c>
      <c r="G67" s="3">
        <v>367</v>
      </c>
      <c r="H67" s="4">
        <v>1719</v>
      </c>
      <c r="I67" s="3">
        <v>855</v>
      </c>
      <c r="J67" s="3">
        <v>864</v>
      </c>
      <c r="K67" s="3">
        <v>901</v>
      </c>
      <c r="L67" s="3">
        <f t="shared" si="4"/>
        <v>52.414194299011051</v>
      </c>
      <c r="M67" s="3">
        <v>24</v>
      </c>
      <c r="N67" s="3">
        <f t="shared" si="5"/>
        <v>1.3961605584642234</v>
      </c>
      <c r="O67" s="3">
        <v>0</v>
      </c>
      <c r="P67" s="15">
        <v>0</v>
      </c>
      <c r="Q67" s="22" t="s">
        <v>1348</v>
      </c>
      <c r="R67" s="85">
        <v>43792</v>
      </c>
      <c r="S67" s="89">
        <v>14.96</v>
      </c>
      <c r="T67" s="22"/>
      <c r="U67" s="22" t="s">
        <v>1348</v>
      </c>
      <c r="V67" s="22" t="s">
        <v>1348</v>
      </c>
      <c r="W67" s="22" t="s">
        <v>1348</v>
      </c>
      <c r="X67" s="22"/>
      <c r="Y67" s="22"/>
      <c r="Z67" s="22"/>
      <c r="AA67" s="22"/>
      <c r="AB67" s="22"/>
      <c r="AC67" s="22"/>
      <c r="AD67" s="22"/>
      <c r="AE67" s="22"/>
    </row>
    <row r="68" spans="1:31" ht="15.75" x14ac:dyDescent="0.25">
      <c r="A68" s="1" t="s">
        <v>0</v>
      </c>
      <c r="B68" s="1" t="s">
        <v>957</v>
      </c>
      <c r="C68" s="2" t="s">
        <v>1076</v>
      </c>
      <c r="D68" s="1" t="s">
        <v>1075</v>
      </c>
      <c r="E68" s="1"/>
      <c r="F68" s="3">
        <v>1021</v>
      </c>
      <c r="G68" s="3">
        <v>362</v>
      </c>
      <c r="H68" s="4">
        <v>1554</v>
      </c>
      <c r="I68" s="3">
        <v>714</v>
      </c>
      <c r="J68" s="3">
        <v>840</v>
      </c>
      <c r="K68" s="3">
        <v>333</v>
      </c>
      <c r="L68" s="3">
        <f t="shared" si="4"/>
        <v>21.428571428571427</v>
      </c>
      <c r="M68" s="3">
        <v>0</v>
      </c>
      <c r="N68" s="3">
        <f t="shared" si="5"/>
        <v>0</v>
      </c>
      <c r="O68" s="3">
        <v>0</v>
      </c>
      <c r="P68" s="15">
        <v>89</v>
      </c>
      <c r="Q68" s="22" t="s">
        <v>1348</v>
      </c>
      <c r="R68" s="85">
        <v>43784</v>
      </c>
      <c r="S68" s="89">
        <v>193.11</v>
      </c>
      <c r="T68" s="22"/>
      <c r="U68" s="22" t="s">
        <v>1348</v>
      </c>
      <c r="V68" s="22" t="s">
        <v>1348</v>
      </c>
      <c r="W68" s="22" t="s">
        <v>1348</v>
      </c>
      <c r="X68" s="22"/>
      <c r="Y68" s="22"/>
      <c r="Z68" s="22"/>
      <c r="AA68" s="22"/>
      <c r="AB68" s="22"/>
      <c r="AC68" s="22"/>
      <c r="AD68" s="22"/>
      <c r="AE68" s="22"/>
    </row>
    <row r="69" spans="1:31" ht="15.75" x14ac:dyDescent="0.25">
      <c r="A69" s="1" t="s">
        <v>0</v>
      </c>
      <c r="B69" s="1" t="s">
        <v>957</v>
      </c>
      <c r="C69" s="2" t="s">
        <v>1076</v>
      </c>
      <c r="D69" s="1" t="s">
        <v>1077</v>
      </c>
      <c r="E69" s="1"/>
      <c r="F69" s="3">
        <v>1377</v>
      </c>
      <c r="G69" s="3">
        <v>481</v>
      </c>
      <c r="H69" s="4">
        <v>1938</v>
      </c>
      <c r="I69" s="3">
        <v>921</v>
      </c>
      <c r="J69" s="3">
        <v>1017</v>
      </c>
      <c r="K69" s="3">
        <v>477</v>
      </c>
      <c r="L69" s="3">
        <f t="shared" si="4"/>
        <v>24.613003095975234</v>
      </c>
      <c r="M69" s="3">
        <v>0</v>
      </c>
      <c r="N69" s="3">
        <f t="shared" si="5"/>
        <v>0</v>
      </c>
      <c r="O69" s="3">
        <v>111</v>
      </c>
      <c r="P69" s="15">
        <v>0</v>
      </c>
      <c r="Q69" s="22" t="s">
        <v>1348</v>
      </c>
      <c r="R69" s="85">
        <v>43783</v>
      </c>
      <c r="S69" s="89">
        <v>17.68</v>
      </c>
      <c r="T69" s="22"/>
      <c r="U69" s="22" t="s">
        <v>1348</v>
      </c>
      <c r="V69" s="22" t="s">
        <v>1348</v>
      </c>
      <c r="W69" s="22" t="s">
        <v>1348</v>
      </c>
      <c r="X69" s="22" t="s">
        <v>1348</v>
      </c>
      <c r="Y69" s="88">
        <v>13</v>
      </c>
      <c r="Z69" s="22"/>
      <c r="AA69" s="22"/>
      <c r="AB69" s="22"/>
      <c r="AC69" s="22"/>
      <c r="AD69" s="22"/>
      <c r="AE69" s="22"/>
    </row>
    <row r="70" spans="1:31" ht="15.75" x14ac:dyDescent="0.25">
      <c r="A70" s="1" t="s">
        <v>0</v>
      </c>
      <c r="B70" s="1" t="s">
        <v>957</v>
      </c>
      <c r="C70" s="2" t="s">
        <v>1088</v>
      </c>
      <c r="D70" s="1" t="s">
        <v>1087</v>
      </c>
      <c r="E70" s="1"/>
      <c r="F70" s="3">
        <v>1186</v>
      </c>
      <c r="G70" s="3">
        <v>378</v>
      </c>
      <c r="H70" s="4">
        <v>1644</v>
      </c>
      <c r="I70" s="3">
        <v>786</v>
      </c>
      <c r="J70" s="3">
        <v>858</v>
      </c>
      <c r="K70" s="3">
        <v>348</v>
      </c>
      <c r="L70" s="3">
        <f t="shared" si="4"/>
        <v>21.167883211678831</v>
      </c>
      <c r="M70" s="3">
        <v>1</v>
      </c>
      <c r="N70" s="3">
        <f t="shared" si="5"/>
        <v>6.0827250608272508E-2</v>
      </c>
      <c r="O70" s="3">
        <v>180</v>
      </c>
      <c r="P70" s="15">
        <v>0</v>
      </c>
      <c r="Q70" s="22" t="s">
        <v>1348</v>
      </c>
      <c r="R70" s="85">
        <v>43768</v>
      </c>
      <c r="S70" s="89">
        <v>45.62</v>
      </c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 spans="1:31" x14ac:dyDescent="0.25">
      <c r="A71" s="1" t="s">
        <v>0</v>
      </c>
      <c r="B71" s="1" t="s">
        <v>957</v>
      </c>
      <c r="C71" s="2" t="s">
        <v>1088</v>
      </c>
      <c r="D71" s="1" t="s">
        <v>1089</v>
      </c>
      <c r="E71" s="1"/>
      <c r="F71" s="3">
        <v>925</v>
      </c>
      <c r="G71" s="3">
        <v>376</v>
      </c>
      <c r="H71" s="4">
        <v>1686</v>
      </c>
      <c r="I71" s="3">
        <v>785</v>
      </c>
      <c r="J71" s="3">
        <v>901</v>
      </c>
      <c r="K71" s="3">
        <v>482</v>
      </c>
      <c r="L71" s="3">
        <f t="shared" si="4"/>
        <v>28.588374851720051</v>
      </c>
      <c r="M71" s="3">
        <v>1</v>
      </c>
      <c r="N71" s="3">
        <f t="shared" si="5"/>
        <v>5.9311981020166077E-2</v>
      </c>
      <c r="O71" s="3">
        <v>40</v>
      </c>
      <c r="P71" s="15">
        <v>0</v>
      </c>
      <c r="Q71" s="22"/>
      <c r="R71" s="31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 spans="1:31" ht="15.75" x14ac:dyDescent="0.25">
      <c r="A72" s="1" t="s">
        <v>0</v>
      </c>
      <c r="B72" s="1" t="s">
        <v>957</v>
      </c>
      <c r="C72" s="2" t="s">
        <v>1015</v>
      </c>
      <c r="D72" s="1" t="s">
        <v>1014</v>
      </c>
      <c r="E72" s="1"/>
      <c r="F72" s="3">
        <v>3979</v>
      </c>
      <c r="G72" s="3">
        <v>653</v>
      </c>
      <c r="H72" s="4">
        <v>2943</v>
      </c>
      <c r="I72" s="3">
        <v>1445</v>
      </c>
      <c r="J72" s="3">
        <v>1498</v>
      </c>
      <c r="K72" s="3">
        <v>869</v>
      </c>
      <c r="L72" s="3">
        <f t="shared" si="4"/>
        <v>29.527692830445122</v>
      </c>
      <c r="M72" s="3">
        <v>4</v>
      </c>
      <c r="N72" s="3">
        <f t="shared" si="5"/>
        <v>0.13591573224600748</v>
      </c>
      <c r="O72" s="3">
        <v>86</v>
      </c>
      <c r="P72" s="15">
        <v>0</v>
      </c>
      <c r="Q72" s="22" t="s">
        <v>1348</v>
      </c>
      <c r="R72" s="85">
        <v>43676</v>
      </c>
      <c r="S72" s="89">
        <v>23.08</v>
      </c>
      <c r="T72" s="22"/>
      <c r="U72" s="22" t="s">
        <v>1348</v>
      </c>
      <c r="V72" s="22" t="s">
        <v>1348</v>
      </c>
      <c r="W72" s="22" t="s">
        <v>1348</v>
      </c>
      <c r="X72" s="22"/>
      <c r="Y72" s="22"/>
      <c r="Z72" s="22"/>
      <c r="AA72" s="22"/>
      <c r="AB72" s="22"/>
      <c r="AC72" s="22"/>
      <c r="AD72" s="22"/>
      <c r="AE72" s="22"/>
    </row>
    <row r="73" spans="1:31" ht="15.75" x14ac:dyDescent="0.25">
      <c r="A73" s="1" t="s">
        <v>0</v>
      </c>
      <c r="B73" s="1" t="s">
        <v>957</v>
      </c>
      <c r="C73" s="2" t="s">
        <v>1015</v>
      </c>
      <c r="D73" s="1" t="s">
        <v>1016</v>
      </c>
      <c r="E73" s="1"/>
      <c r="F73" s="3">
        <v>975</v>
      </c>
      <c r="G73" s="3">
        <v>160</v>
      </c>
      <c r="H73" s="4">
        <v>907</v>
      </c>
      <c r="I73" s="3">
        <v>473</v>
      </c>
      <c r="J73" s="3">
        <v>434</v>
      </c>
      <c r="K73" s="3">
        <v>155</v>
      </c>
      <c r="L73" s="3">
        <f t="shared" si="4"/>
        <v>17.089305402425577</v>
      </c>
      <c r="M73" s="3">
        <v>0</v>
      </c>
      <c r="N73" s="3">
        <f t="shared" si="5"/>
        <v>0</v>
      </c>
      <c r="O73" s="3">
        <v>120</v>
      </c>
      <c r="P73" s="15">
        <v>0</v>
      </c>
      <c r="Q73" s="22" t="s">
        <v>1348</v>
      </c>
      <c r="R73" s="85">
        <v>43674</v>
      </c>
      <c r="S73" s="89">
        <v>18.440000000000001</v>
      </c>
      <c r="T73" s="22"/>
      <c r="U73" s="22" t="s">
        <v>1348</v>
      </c>
      <c r="V73" s="22" t="s">
        <v>1348</v>
      </c>
      <c r="W73" s="22" t="s">
        <v>1348</v>
      </c>
      <c r="X73" s="22"/>
      <c r="Y73" s="22"/>
      <c r="Z73" s="22"/>
      <c r="AA73" s="22"/>
      <c r="AB73" s="22"/>
      <c r="AC73" s="22"/>
      <c r="AD73" s="22"/>
      <c r="AE73" s="22"/>
    </row>
    <row r="74" spans="1:31" ht="15.75" x14ac:dyDescent="0.25">
      <c r="A74" s="1" t="s">
        <v>0</v>
      </c>
      <c r="B74" s="1" t="s">
        <v>957</v>
      </c>
      <c r="C74" s="2" t="s">
        <v>1015</v>
      </c>
      <c r="D74" s="1" t="s">
        <v>1054</v>
      </c>
      <c r="E74" s="1"/>
      <c r="F74" s="3">
        <v>1585</v>
      </c>
      <c r="G74" s="3">
        <v>365</v>
      </c>
      <c r="H74" s="4">
        <v>1559</v>
      </c>
      <c r="I74" s="3">
        <v>777</v>
      </c>
      <c r="J74" s="3">
        <v>782</v>
      </c>
      <c r="K74" s="3">
        <v>493</v>
      </c>
      <c r="L74" s="3">
        <f t="shared" si="4"/>
        <v>31.622835150737654</v>
      </c>
      <c r="M74" s="3">
        <v>1</v>
      </c>
      <c r="N74" s="3">
        <f t="shared" si="5"/>
        <v>6.4143681847338027E-2</v>
      </c>
      <c r="O74" s="3">
        <v>239</v>
      </c>
      <c r="P74" s="15">
        <v>0</v>
      </c>
      <c r="Q74" s="22" t="s">
        <v>1348</v>
      </c>
      <c r="R74" s="85">
        <v>43597</v>
      </c>
      <c r="S74" s="89">
        <v>55.28</v>
      </c>
      <c r="T74" s="22"/>
      <c r="U74" s="22" t="s">
        <v>1348</v>
      </c>
      <c r="V74" s="22" t="s">
        <v>1348</v>
      </c>
      <c r="W74" s="22" t="s">
        <v>1348</v>
      </c>
      <c r="X74" s="22"/>
      <c r="Y74" s="22"/>
      <c r="Z74" s="22"/>
      <c r="AA74" s="22"/>
      <c r="AB74" s="22"/>
      <c r="AC74" s="22"/>
      <c r="AD74" s="22"/>
      <c r="AE74" s="22"/>
    </row>
    <row r="75" spans="1:31" ht="15.75" x14ac:dyDescent="0.25">
      <c r="A75" s="1" t="s">
        <v>0</v>
      </c>
      <c r="B75" s="1" t="s">
        <v>957</v>
      </c>
      <c r="C75" s="2" t="s">
        <v>1029</v>
      </c>
      <c r="D75" s="1" t="s">
        <v>1028</v>
      </c>
      <c r="E75" s="1"/>
      <c r="F75" s="3">
        <v>573</v>
      </c>
      <c r="G75" s="3">
        <v>190</v>
      </c>
      <c r="H75" s="4">
        <v>915</v>
      </c>
      <c r="I75" s="3">
        <v>448</v>
      </c>
      <c r="J75" s="3">
        <v>467</v>
      </c>
      <c r="K75" s="3">
        <v>207</v>
      </c>
      <c r="L75" s="3">
        <f t="shared" si="4"/>
        <v>22.622950819672131</v>
      </c>
      <c r="M75" s="3">
        <v>0</v>
      </c>
      <c r="N75" s="3">
        <f t="shared" si="5"/>
        <v>0</v>
      </c>
      <c r="O75" s="3">
        <v>75</v>
      </c>
      <c r="P75" s="15">
        <v>0</v>
      </c>
      <c r="Q75" s="22" t="s">
        <v>1348</v>
      </c>
      <c r="R75" s="85">
        <v>43760</v>
      </c>
      <c r="S75" s="89"/>
      <c r="T75" s="22"/>
      <c r="U75" s="89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 spans="1:31" ht="15.75" x14ac:dyDescent="0.25">
      <c r="A76" s="1" t="s">
        <v>0</v>
      </c>
      <c r="B76" s="1" t="s">
        <v>957</v>
      </c>
      <c r="C76" s="2" t="s">
        <v>1029</v>
      </c>
      <c r="D76" s="1" t="s">
        <v>1030</v>
      </c>
      <c r="E76" s="1"/>
      <c r="F76" s="3">
        <v>569</v>
      </c>
      <c r="G76" s="3">
        <v>176</v>
      </c>
      <c r="H76" s="4">
        <v>794</v>
      </c>
      <c r="I76" s="3">
        <v>403</v>
      </c>
      <c r="J76" s="3">
        <v>391</v>
      </c>
      <c r="K76" s="3">
        <v>204</v>
      </c>
      <c r="L76" s="3">
        <f t="shared" ref="L76:L107" si="6">(K76/H76)*100</f>
        <v>25.692695214105793</v>
      </c>
      <c r="M76" s="3">
        <v>263</v>
      </c>
      <c r="N76" s="3">
        <f t="shared" ref="N76:N107" si="7">(M76/H76)*100</f>
        <v>33.123425692695214</v>
      </c>
      <c r="O76" s="3">
        <v>38</v>
      </c>
      <c r="P76" s="15">
        <v>0</v>
      </c>
      <c r="Q76" s="22" t="s">
        <v>1348</v>
      </c>
      <c r="R76" s="85">
        <v>43759</v>
      </c>
      <c r="S76" s="89">
        <v>13.94</v>
      </c>
      <c r="T76" s="22"/>
      <c r="U76" s="22" t="s">
        <v>1348</v>
      </c>
      <c r="V76" s="22" t="s">
        <v>1348</v>
      </c>
      <c r="W76" s="22" t="s">
        <v>1348</v>
      </c>
      <c r="X76" s="22"/>
      <c r="Y76" s="22"/>
      <c r="Z76" s="22"/>
      <c r="AA76" s="22"/>
      <c r="AB76" s="22"/>
      <c r="AC76" s="22"/>
      <c r="AD76" s="22"/>
      <c r="AE76" s="22"/>
    </row>
    <row r="77" spans="1:31" ht="15.75" x14ac:dyDescent="0.25">
      <c r="A77" s="1" t="s">
        <v>0</v>
      </c>
      <c r="B77" s="1" t="s">
        <v>957</v>
      </c>
      <c r="C77" s="2" t="s">
        <v>1029</v>
      </c>
      <c r="D77" s="1" t="s">
        <v>1031</v>
      </c>
      <c r="E77" s="1"/>
      <c r="F77" s="3">
        <v>268</v>
      </c>
      <c r="G77" s="3">
        <v>16</v>
      </c>
      <c r="H77" s="4">
        <v>43</v>
      </c>
      <c r="I77" s="3">
        <v>20</v>
      </c>
      <c r="J77" s="3">
        <v>23</v>
      </c>
      <c r="K77" s="3">
        <v>0</v>
      </c>
      <c r="L77" s="3">
        <f t="shared" si="6"/>
        <v>0</v>
      </c>
      <c r="M77" s="3">
        <v>0</v>
      </c>
      <c r="N77" s="3">
        <f t="shared" si="7"/>
        <v>0</v>
      </c>
      <c r="O77" s="3">
        <v>3</v>
      </c>
      <c r="P77" s="15">
        <v>0</v>
      </c>
      <c r="Q77" s="22" t="s">
        <v>1348</v>
      </c>
      <c r="R77" s="85">
        <v>43761</v>
      </c>
      <c r="S77" s="89"/>
      <c r="T77" s="22"/>
      <c r="U77" s="22" t="s">
        <v>1348</v>
      </c>
      <c r="V77" s="22" t="s">
        <v>1348</v>
      </c>
      <c r="W77" s="22" t="s">
        <v>1348</v>
      </c>
      <c r="X77" s="22"/>
      <c r="Y77" s="22"/>
      <c r="Z77" s="22"/>
      <c r="AA77" s="22"/>
      <c r="AB77" s="22"/>
      <c r="AC77" s="22"/>
      <c r="AD77" s="22"/>
      <c r="AE77" s="22"/>
    </row>
    <row r="78" spans="1:31" ht="15.75" x14ac:dyDescent="0.25">
      <c r="A78" s="1" t="s">
        <v>0</v>
      </c>
      <c r="B78" s="1" t="s">
        <v>957</v>
      </c>
      <c r="C78" s="2" t="s">
        <v>1029</v>
      </c>
      <c r="D78" s="1" t="s">
        <v>1032</v>
      </c>
      <c r="E78" s="1"/>
      <c r="F78" s="3">
        <v>566</v>
      </c>
      <c r="G78" s="3">
        <v>143</v>
      </c>
      <c r="H78" s="4">
        <v>575</v>
      </c>
      <c r="I78" s="3">
        <v>276</v>
      </c>
      <c r="J78" s="3">
        <v>299</v>
      </c>
      <c r="K78" s="3">
        <v>48</v>
      </c>
      <c r="L78" s="3">
        <f t="shared" si="6"/>
        <v>8.3478260869565233</v>
      </c>
      <c r="M78" s="3">
        <v>0</v>
      </c>
      <c r="N78" s="3">
        <f t="shared" si="7"/>
        <v>0</v>
      </c>
      <c r="O78" s="3">
        <v>66</v>
      </c>
      <c r="P78" s="15">
        <v>0</v>
      </c>
      <c r="Q78" s="22" t="s">
        <v>1348</v>
      </c>
      <c r="R78" s="85">
        <v>43758</v>
      </c>
      <c r="S78" s="89">
        <v>28.41</v>
      </c>
      <c r="T78" s="22"/>
      <c r="U78" s="22" t="s">
        <v>1348</v>
      </c>
      <c r="V78" s="22" t="s">
        <v>1348</v>
      </c>
      <c r="W78" s="22" t="s">
        <v>1348</v>
      </c>
      <c r="X78" s="22"/>
      <c r="Y78" s="22"/>
      <c r="Z78" s="22"/>
      <c r="AA78" s="22"/>
      <c r="AB78" s="22"/>
      <c r="AC78" s="22"/>
      <c r="AD78" s="22"/>
      <c r="AE78" s="22"/>
    </row>
    <row r="79" spans="1:31" ht="15.75" x14ac:dyDescent="0.25">
      <c r="A79" s="1" t="s">
        <v>0</v>
      </c>
      <c r="B79" s="1" t="s">
        <v>957</v>
      </c>
      <c r="C79" s="2" t="s">
        <v>1029</v>
      </c>
      <c r="D79" s="1" t="s">
        <v>1033</v>
      </c>
      <c r="E79" s="1"/>
      <c r="F79" s="3">
        <v>805</v>
      </c>
      <c r="G79" s="3">
        <v>117</v>
      </c>
      <c r="H79" s="4">
        <v>577</v>
      </c>
      <c r="I79" s="3">
        <v>302</v>
      </c>
      <c r="J79" s="3">
        <v>275</v>
      </c>
      <c r="K79" s="3">
        <v>101</v>
      </c>
      <c r="L79" s="3">
        <f t="shared" si="6"/>
        <v>17.504332755632582</v>
      </c>
      <c r="M79" s="3">
        <v>12</v>
      </c>
      <c r="N79" s="3">
        <f t="shared" si="7"/>
        <v>2.0797227036395149</v>
      </c>
      <c r="O79" s="3">
        <v>53</v>
      </c>
      <c r="P79" s="15">
        <v>0</v>
      </c>
      <c r="Q79" s="22" t="s">
        <v>1348</v>
      </c>
      <c r="R79" s="85">
        <v>43756</v>
      </c>
      <c r="S79" s="89"/>
      <c r="T79" s="22"/>
      <c r="U79" s="89"/>
      <c r="V79" s="22"/>
      <c r="W79" s="22"/>
      <c r="X79" s="22"/>
      <c r="Y79" s="22"/>
      <c r="Z79" s="22"/>
      <c r="AA79" s="22"/>
      <c r="AB79" s="22"/>
      <c r="AC79" s="22"/>
      <c r="AD79" s="22"/>
      <c r="AE79" s="22"/>
    </row>
    <row r="80" spans="1:31" ht="15.75" x14ac:dyDescent="0.25">
      <c r="A80" s="1" t="s">
        <v>0</v>
      </c>
      <c r="B80" s="1" t="s">
        <v>957</v>
      </c>
      <c r="C80" s="2" t="s">
        <v>1029</v>
      </c>
      <c r="D80" s="1" t="s">
        <v>1034</v>
      </c>
      <c r="E80" s="1"/>
      <c r="F80" s="3">
        <v>794</v>
      </c>
      <c r="G80" s="3">
        <v>123</v>
      </c>
      <c r="H80" s="4">
        <v>558</v>
      </c>
      <c r="I80" s="3">
        <v>287</v>
      </c>
      <c r="J80" s="3">
        <v>271</v>
      </c>
      <c r="K80" s="3">
        <v>155</v>
      </c>
      <c r="L80" s="3">
        <f t="shared" si="6"/>
        <v>27.777777777777779</v>
      </c>
      <c r="M80" s="3">
        <v>18</v>
      </c>
      <c r="N80" s="3">
        <f t="shared" si="7"/>
        <v>3.225806451612903</v>
      </c>
      <c r="O80" s="3">
        <v>0</v>
      </c>
      <c r="P80" s="15">
        <v>0</v>
      </c>
      <c r="Q80" s="22" t="s">
        <v>1348</v>
      </c>
      <c r="R80" s="85">
        <v>43755</v>
      </c>
      <c r="S80" s="89">
        <v>38.54</v>
      </c>
      <c r="T80" s="22"/>
      <c r="U80" s="22" t="s">
        <v>1348</v>
      </c>
      <c r="V80" s="22" t="s">
        <v>1348</v>
      </c>
      <c r="W80" s="22" t="s">
        <v>1348</v>
      </c>
      <c r="X80" s="22"/>
      <c r="Y80" s="22"/>
      <c r="Z80" s="22"/>
      <c r="AA80" s="22"/>
      <c r="AB80" s="22"/>
      <c r="AC80" s="22"/>
      <c r="AD80" s="22"/>
      <c r="AE80" s="22"/>
    </row>
    <row r="81" spans="1:31" ht="15.75" x14ac:dyDescent="0.25">
      <c r="A81" s="1" t="s">
        <v>0</v>
      </c>
      <c r="B81" s="1" t="s">
        <v>957</v>
      </c>
      <c r="C81" s="2" t="s">
        <v>1029</v>
      </c>
      <c r="D81" s="1" t="s">
        <v>1035</v>
      </c>
      <c r="E81" s="1"/>
      <c r="F81" s="3">
        <v>1159</v>
      </c>
      <c r="G81" s="3">
        <v>234</v>
      </c>
      <c r="H81" s="4">
        <v>1105</v>
      </c>
      <c r="I81" s="3">
        <v>562</v>
      </c>
      <c r="J81" s="3">
        <v>543</v>
      </c>
      <c r="K81" s="3">
        <v>409</v>
      </c>
      <c r="L81" s="3">
        <f t="shared" si="6"/>
        <v>37.013574660633488</v>
      </c>
      <c r="M81" s="3">
        <v>0</v>
      </c>
      <c r="N81" s="3">
        <f t="shared" si="7"/>
        <v>0</v>
      </c>
      <c r="O81" s="3">
        <v>127</v>
      </c>
      <c r="P81" s="15">
        <v>0</v>
      </c>
      <c r="Q81" s="22" t="s">
        <v>1348</v>
      </c>
      <c r="R81" s="85">
        <v>43757</v>
      </c>
      <c r="S81" s="89">
        <v>45.94</v>
      </c>
      <c r="T81" s="22"/>
      <c r="U81" s="22" t="s">
        <v>1348</v>
      </c>
      <c r="V81" s="22" t="s">
        <v>1348</v>
      </c>
      <c r="W81" s="22" t="s">
        <v>1348</v>
      </c>
      <c r="X81" s="22"/>
      <c r="Y81" s="22"/>
      <c r="Z81" s="22"/>
      <c r="AA81" s="22"/>
      <c r="AB81" s="22"/>
      <c r="AC81" s="22"/>
      <c r="AD81" s="22"/>
      <c r="AE81" s="22"/>
    </row>
    <row r="82" spans="1:31" x14ac:dyDescent="0.25">
      <c r="A82" s="1" t="s">
        <v>0</v>
      </c>
      <c r="B82" s="1" t="s">
        <v>957</v>
      </c>
      <c r="C82" s="2" t="s">
        <v>982</v>
      </c>
      <c r="D82" s="1" t="s">
        <v>981</v>
      </c>
      <c r="E82" s="1"/>
      <c r="F82" s="3">
        <v>1162.7</v>
      </c>
      <c r="G82" s="3">
        <v>194</v>
      </c>
      <c r="H82" s="4">
        <v>1102</v>
      </c>
      <c r="I82" s="3">
        <v>554</v>
      </c>
      <c r="J82" s="3">
        <v>548</v>
      </c>
      <c r="K82" s="3">
        <v>130</v>
      </c>
      <c r="L82" s="3">
        <f t="shared" si="6"/>
        <v>11.796733212341199</v>
      </c>
      <c r="M82" s="3">
        <v>1</v>
      </c>
      <c r="N82" s="3">
        <f t="shared" si="7"/>
        <v>9.0744101633393831E-2</v>
      </c>
      <c r="O82" s="3">
        <v>87.91</v>
      </c>
      <c r="P82" s="15">
        <v>62.85</v>
      </c>
      <c r="Q82" s="22"/>
      <c r="R82" s="31"/>
      <c r="S82" s="22"/>
      <c r="T82" s="22"/>
      <c r="U82" s="22"/>
      <c r="V82" s="22"/>
      <c r="W82" s="22"/>
      <c r="X82" s="22"/>
      <c r="Y82" s="22"/>
      <c r="Z82" s="22"/>
      <c r="AA82" s="22"/>
      <c r="AB82" s="22">
        <v>5</v>
      </c>
      <c r="AC82" s="115" t="s">
        <v>1381</v>
      </c>
      <c r="AD82" s="101">
        <v>25.898903000000001</v>
      </c>
      <c r="AE82" s="101">
        <v>73.764725999999996</v>
      </c>
    </row>
    <row r="83" spans="1:31" x14ac:dyDescent="0.25">
      <c r="A83" s="1" t="s">
        <v>0</v>
      </c>
      <c r="B83" s="1" t="s">
        <v>957</v>
      </c>
      <c r="C83" s="2" t="s">
        <v>982</v>
      </c>
      <c r="D83" s="1" t="s">
        <v>1049</v>
      </c>
      <c r="E83" s="1"/>
      <c r="F83" s="3">
        <v>2673</v>
      </c>
      <c r="G83" s="3">
        <v>543</v>
      </c>
      <c r="H83" s="4">
        <v>2561</v>
      </c>
      <c r="I83" s="3">
        <v>1249</v>
      </c>
      <c r="J83" s="3">
        <v>1312</v>
      </c>
      <c r="K83" s="3">
        <v>477</v>
      </c>
      <c r="L83" s="3">
        <f t="shared" si="6"/>
        <v>18.625536899648576</v>
      </c>
      <c r="M83" s="3">
        <v>0</v>
      </c>
      <c r="N83" s="3">
        <f t="shared" si="7"/>
        <v>0</v>
      </c>
      <c r="O83" s="3">
        <v>238</v>
      </c>
      <c r="P83" s="15">
        <v>0</v>
      </c>
      <c r="Q83" s="22"/>
      <c r="R83" s="31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116"/>
      <c r="AD83" s="22"/>
      <c r="AE83" s="22"/>
    </row>
    <row r="84" spans="1:31" x14ac:dyDescent="0.25">
      <c r="A84" s="1" t="s">
        <v>0</v>
      </c>
      <c r="B84" s="1" t="s">
        <v>957</v>
      </c>
      <c r="C84" s="2" t="s">
        <v>1109</v>
      </c>
      <c r="D84" s="1" t="s">
        <v>1108</v>
      </c>
      <c r="E84" s="1"/>
      <c r="F84" s="3">
        <v>751</v>
      </c>
      <c r="G84" s="3">
        <v>96</v>
      </c>
      <c r="H84" s="4">
        <v>484</v>
      </c>
      <c r="I84" s="3">
        <v>249</v>
      </c>
      <c r="J84" s="3">
        <v>235</v>
      </c>
      <c r="K84" s="3">
        <v>0</v>
      </c>
      <c r="L84" s="3">
        <f t="shared" si="6"/>
        <v>0</v>
      </c>
      <c r="M84" s="3">
        <v>0</v>
      </c>
      <c r="N84" s="3">
        <f t="shared" si="7"/>
        <v>0</v>
      </c>
      <c r="O84" s="3">
        <v>4</v>
      </c>
      <c r="P84" s="15">
        <v>0</v>
      </c>
      <c r="Q84" s="22" t="s">
        <v>1348</v>
      </c>
      <c r="R84" s="91">
        <v>43870</v>
      </c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116"/>
      <c r="AD84" s="22"/>
      <c r="AE84" s="22"/>
    </row>
    <row r="85" spans="1:31" x14ac:dyDescent="0.25">
      <c r="A85" s="1" t="s">
        <v>0</v>
      </c>
      <c r="B85" s="1" t="s">
        <v>957</v>
      </c>
      <c r="C85" s="2" t="s">
        <v>1109</v>
      </c>
      <c r="D85" s="1" t="s">
        <v>1110</v>
      </c>
      <c r="E85" s="1"/>
      <c r="F85" s="3">
        <v>749</v>
      </c>
      <c r="G85" s="3">
        <v>61</v>
      </c>
      <c r="H85" s="4">
        <v>333</v>
      </c>
      <c r="I85" s="3">
        <v>159</v>
      </c>
      <c r="J85" s="3">
        <v>174</v>
      </c>
      <c r="K85" s="3">
        <v>0</v>
      </c>
      <c r="L85" s="3">
        <f t="shared" si="6"/>
        <v>0</v>
      </c>
      <c r="M85" s="3">
        <v>0</v>
      </c>
      <c r="N85" s="3">
        <f t="shared" si="7"/>
        <v>0</v>
      </c>
      <c r="O85" s="3">
        <v>0</v>
      </c>
      <c r="P85" s="15">
        <v>663</v>
      </c>
      <c r="Q85" s="22"/>
      <c r="R85" s="9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116"/>
      <c r="AD85" s="22"/>
      <c r="AE85" s="22"/>
    </row>
    <row r="86" spans="1:31" x14ac:dyDescent="0.25">
      <c r="A86" s="1" t="s">
        <v>0</v>
      </c>
      <c r="B86" s="1" t="s">
        <v>957</v>
      </c>
      <c r="C86" s="2" t="s">
        <v>1109</v>
      </c>
      <c r="D86" s="1" t="s">
        <v>1111</v>
      </c>
      <c r="E86" s="1"/>
      <c r="F86" s="3">
        <v>1309.3599999999999</v>
      </c>
      <c r="G86" s="3">
        <v>516</v>
      </c>
      <c r="H86" s="4">
        <v>2563</v>
      </c>
      <c r="I86" s="3">
        <v>1282</v>
      </c>
      <c r="J86" s="3">
        <v>1281</v>
      </c>
      <c r="K86" s="3">
        <v>103</v>
      </c>
      <c r="L86" s="3">
        <f t="shared" si="6"/>
        <v>4.0187280530628176</v>
      </c>
      <c r="M86" s="3">
        <v>0</v>
      </c>
      <c r="N86" s="3">
        <f t="shared" si="7"/>
        <v>0</v>
      </c>
      <c r="O86" s="3">
        <v>150.54</v>
      </c>
      <c r="P86" s="15">
        <v>415.44</v>
      </c>
      <c r="Q86" s="22"/>
      <c r="R86" s="92"/>
      <c r="S86" s="22"/>
      <c r="T86" s="22"/>
      <c r="U86" s="22"/>
      <c r="V86" s="22"/>
      <c r="W86" s="22"/>
      <c r="X86" s="22"/>
      <c r="Y86" s="22"/>
      <c r="Z86" s="22"/>
      <c r="AA86" s="22"/>
      <c r="AB86" s="22">
        <v>5</v>
      </c>
      <c r="AC86" s="115" t="s">
        <v>1384</v>
      </c>
      <c r="AD86" s="101">
        <v>25.9679</v>
      </c>
      <c r="AE86" s="101">
        <v>73.771715999999998</v>
      </c>
    </row>
    <row r="87" spans="1:31" x14ac:dyDescent="0.25">
      <c r="A87" s="1" t="s">
        <v>0</v>
      </c>
      <c r="B87" s="1" t="s">
        <v>957</v>
      </c>
      <c r="C87" s="2" t="s">
        <v>1109</v>
      </c>
      <c r="D87" s="1" t="s">
        <v>1112</v>
      </c>
      <c r="E87" s="1"/>
      <c r="F87" s="3">
        <v>443.59</v>
      </c>
      <c r="G87" s="3">
        <v>149</v>
      </c>
      <c r="H87" s="4">
        <v>732</v>
      </c>
      <c r="I87" s="3">
        <v>364</v>
      </c>
      <c r="J87" s="3">
        <v>368</v>
      </c>
      <c r="K87" s="3">
        <v>8</v>
      </c>
      <c r="L87" s="3">
        <f t="shared" si="6"/>
        <v>1.0928961748633881</v>
      </c>
      <c r="M87" s="3">
        <v>0</v>
      </c>
      <c r="N87" s="3">
        <f t="shared" si="7"/>
        <v>0</v>
      </c>
      <c r="O87" s="3">
        <v>1.01</v>
      </c>
      <c r="P87" s="15">
        <v>116.72</v>
      </c>
      <c r="Q87" s="22" t="s">
        <v>1348</v>
      </c>
      <c r="R87" s="91">
        <v>43869</v>
      </c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116"/>
      <c r="AD87" s="22"/>
      <c r="AE87" s="22"/>
    </row>
    <row r="88" spans="1:31" ht="15.75" x14ac:dyDescent="0.25">
      <c r="A88" s="1" t="s">
        <v>0</v>
      </c>
      <c r="B88" s="1" t="s">
        <v>957</v>
      </c>
      <c r="C88" s="2" t="s">
        <v>1051</v>
      </c>
      <c r="D88" s="1" t="s">
        <v>1050</v>
      </c>
      <c r="E88" s="1"/>
      <c r="F88" s="3">
        <v>684</v>
      </c>
      <c r="G88" s="3">
        <v>154</v>
      </c>
      <c r="H88" s="4">
        <v>819</v>
      </c>
      <c r="I88" s="3">
        <v>407</v>
      </c>
      <c r="J88" s="3">
        <v>412</v>
      </c>
      <c r="K88" s="3">
        <v>144</v>
      </c>
      <c r="L88" s="3">
        <f t="shared" si="6"/>
        <v>17.582417582417584</v>
      </c>
      <c r="M88" s="3">
        <v>0</v>
      </c>
      <c r="N88" s="3">
        <f t="shared" si="7"/>
        <v>0</v>
      </c>
      <c r="O88" s="3">
        <v>60</v>
      </c>
      <c r="P88" s="15">
        <v>0</v>
      </c>
      <c r="Q88" s="22" t="s">
        <v>1348</v>
      </c>
      <c r="R88" s="85">
        <v>43667</v>
      </c>
      <c r="S88" s="89">
        <v>176</v>
      </c>
      <c r="T88" s="22"/>
      <c r="U88" s="22" t="s">
        <v>1348</v>
      </c>
      <c r="V88" s="22" t="s">
        <v>1348</v>
      </c>
      <c r="W88" s="22" t="s">
        <v>1348</v>
      </c>
      <c r="X88" s="22"/>
      <c r="Y88" s="22"/>
      <c r="Z88" s="22"/>
      <c r="AA88" s="22"/>
      <c r="AB88" s="22">
        <v>20</v>
      </c>
      <c r="AC88" s="116" t="s">
        <v>1361</v>
      </c>
      <c r="AD88" s="22">
        <v>25.949373000000001</v>
      </c>
      <c r="AE88" s="22">
        <v>73.731548000000004</v>
      </c>
    </row>
    <row r="89" spans="1:31" ht="15.75" x14ac:dyDescent="0.25">
      <c r="A89" s="1" t="s">
        <v>0</v>
      </c>
      <c r="B89" s="1" t="s">
        <v>957</v>
      </c>
      <c r="C89" s="2" t="s">
        <v>1051</v>
      </c>
      <c r="D89" s="1" t="s">
        <v>1052</v>
      </c>
      <c r="E89" s="1"/>
      <c r="F89" s="3">
        <v>1207</v>
      </c>
      <c r="G89" s="3">
        <v>316</v>
      </c>
      <c r="H89" s="4">
        <v>1429</v>
      </c>
      <c r="I89" s="3">
        <v>720</v>
      </c>
      <c r="J89" s="3">
        <v>709</v>
      </c>
      <c r="K89" s="3">
        <v>308</v>
      </c>
      <c r="L89" s="3">
        <f t="shared" si="6"/>
        <v>21.553533939818053</v>
      </c>
      <c r="M89" s="3">
        <v>0</v>
      </c>
      <c r="N89" s="3">
        <f t="shared" si="7"/>
        <v>0</v>
      </c>
      <c r="O89" s="3">
        <v>71</v>
      </c>
      <c r="P89" s="15">
        <v>0</v>
      </c>
      <c r="Q89" s="22" t="s">
        <v>1348</v>
      </c>
      <c r="R89" s="85">
        <v>43764</v>
      </c>
      <c r="S89" s="89">
        <v>36.6</v>
      </c>
      <c r="T89" s="22"/>
      <c r="U89" s="22" t="s">
        <v>1348</v>
      </c>
      <c r="V89" s="22" t="s">
        <v>1348</v>
      </c>
      <c r="W89" s="22" t="s">
        <v>1348</v>
      </c>
      <c r="X89" s="22"/>
      <c r="Y89" s="22"/>
      <c r="Z89" s="22"/>
      <c r="AA89" s="22"/>
      <c r="AB89" s="22"/>
      <c r="AC89" s="22"/>
      <c r="AD89" s="22"/>
      <c r="AE89" s="22"/>
    </row>
    <row r="90" spans="1:31" x14ac:dyDescent="0.25">
      <c r="A90" s="1" t="s">
        <v>0</v>
      </c>
      <c r="B90" s="1" t="s">
        <v>957</v>
      </c>
      <c r="C90" s="2" t="s">
        <v>1051</v>
      </c>
      <c r="D90" s="1" t="s">
        <v>1053</v>
      </c>
      <c r="E90" s="1"/>
      <c r="F90" s="3">
        <v>175</v>
      </c>
      <c r="G90" s="3">
        <v>110</v>
      </c>
      <c r="H90" s="4">
        <v>419</v>
      </c>
      <c r="I90" s="3">
        <v>212</v>
      </c>
      <c r="J90" s="3">
        <v>207</v>
      </c>
      <c r="K90" s="3">
        <v>0</v>
      </c>
      <c r="L90" s="3">
        <f t="shared" si="6"/>
        <v>0</v>
      </c>
      <c r="M90" s="3">
        <v>0</v>
      </c>
      <c r="N90" s="3">
        <f t="shared" si="7"/>
        <v>0</v>
      </c>
      <c r="O90" s="3">
        <v>0</v>
      </c>
      <c r="P90" s="15">
        <v>0</v>
      </c>
      <c r="Q90" s="22" t="s">
        <v>1348</v>
      </c>
      <c r="R90" s="85">
        <v>43767</v>
      </c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</row>
    <row r="91" spans="1:31" ht="15.75" x14ac:dyDescent="0.25">
      <c r="A91" s="1" t="s">
        <v>0</v>
      </c>
      <c r="B91" s="1" t="s">
        <v>957</v>
      </c>
      <c r="C91" s="2" t="s">
        <v>1051</v>
      </c>
      <c r="D91" s="1" t="s">
        <v>1055</v>
      </c>
      <c r="E91" s="1"/>
      <c r="F91" s="3">
        <v>1627</v>
      </c>
      <c r="G91" s="3">
        <v>480</v>
      </c>
      <c r="H91" s="4">
        <v>2134</v>
      </c>
      <c r="I91" s="3">
        <v>1081</v>
      </c>
      <c r="J91" s="3">
        <v>1053</v>
      </c>
      <c r="K91" s="3">
        <v>585</v>
      </c>
      <c r="L91" s="3">
        <f t="shared" si="6"/>
        <v>27.413308341143395</v>
      </c>
      <c r="M91" s="3">
        <v>2</v>
      </c>
      <c r="N91" s="3">
        <f t="shared" si="7"/>
        <v>9.3720712277413312E-2</v>
      </c>
      <c r="O91" s="3">
        <v>572</v>
      </c>
      <c r="P91" s="15">
        <v>0</v>
      </c>
      <c r="Q91" s="22" t="s">
        <v>1348</v>
      </c>
      <c r="R91" s="85">
        <v>43668</v>
      </c>
      <c r="S91" s="89">
        <v>24.31</v>
      </c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</row>
    <row r="92" spans="1:31" x14ac:dyDescent="0.25">
      <c r="A92" s="1" t="s">
        <v>0</v>
      </c>
      <c r="B92" s="1" t="s">
        <v>957</v>
      </c>
      <c r="C92" s="2" t="s">
        <v>990</v>
      </c>
      <c r="D92" s="1" t="s">
        <v>989</v>
      </c>
      <c r="E92" s="1"/>
      <c r="F92" s="3">
        <v>1229</v>
      </c>
      <c r="G92" s="3">
        <v>246</v>
      </c>
      <c r="H92" s="4">
        <v>1368</v>
      </c>
      <c r="I92" s="3">
        <v>722</v>
      </c>
      <c r="J92" s="3">
        <v>646</v>
      </c>
      <c r="K92" s="3">
        <v>167</v>
      </c>
      <c r="L92" s="3">
        <f t="shared" si="6"/>
        <v>12.207602339181287</v>
      </c>
      <c r="M92" s="3">
        <v>0</v>
      </c>
      <c r="N92" s="3">
        <f t="shared" si="7"/>
        <v>0</v>
      </c>
      <c r="O92" s="3">
        <v>147</v>
      </c>
      <c r="P92" s="15">
        <v>0</v>
      </c>
      <c r="Q92" s="22"/>
      <c r="R92" s="31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</row>
    <row r="93" spans="1:31" x14ac:dyDescent="0.25">
      <c r="A93" s="1" t="s">
        <v>0</v>
      </c>
      <c r="B93" s="1" t="s">
        <v>957</v>
      </c>
      <c r="C93" s="2" t="s">
        <v>990</v>
      </c>
      <c r="D93" s="1" t="s">
        <v>991</v>
      </c>
      <c r="E93" s="1"/>
      <c r="F93" s="3">
        <v>2538</v>
      </c>
      <c r="G93" s="3">
        <v>307</v>
      </c>
      <c r="H93" s="4">
        <v>1516</v>
      </c>
      <c r="I93" s="3">
        <v>824</v>
      </c>
      <c r="J93" s="3">
        <v>692</v>
      </c>
      <c r="K93" s="3">
        <v>560</v>
      </c>
      <c r="L93" s="3">
        <f t="shared" si="6"/>
        <v>36.939313984168862</v>
      </c>
      <c r="M93" s="3">
        <v>0</v>
      </c>
      <c r="N93" s="3">
        <f t="shared" si="7"/>
        <v>0</v>
      </c>
      <c r="O93" s="3">
        <v>404</v>
      </c>
      <c r="P93" s="15">
        <v>57</v>
      </c>
      <c r="Q93" s="22"/>
      <c r="R93" s="31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</row>
    <row r="94" spans="1:31" x14ac:dyDescent="0.25">
      <c r="A94" s="1" t="s">
        <v>0</v>
      </c>
      <c r="B94" s="1" t="s">
        <v>957</v>
      </c>
      <c r="C94" s="2" t="s">
        <v>990</v>
      </c>
      <c r="D94" s="1" t="s">
        <v>992</v>
      </c>
      <c r="E94" s="1"/>
      <c r="F94" s="3">
        <v>2740</v>
      </c>
      <c r="G94" s="3">
        <v>248</v>
      </c>
      <c r="H94" s="4">
        <v>1089</v>
      </c>
      <c r="I94" s="3">
        <v>588</v>
      </c>
      <c r="J94" s="3">
        <v>501</v>
      </c>
      <c r="K94" s="3">
        <v>510</v>
      </c>
      <c r="L94" s="3">
        <f t="shared" si="6"/>
        <v>46.831955922865014</v>
      </c>
      <c r="M94" s="3">
        <v>0</v>
      </c>
      <c r="N94" s="3">
        <f t="shared" si="7"/>
        <v>0</v>
      </c>
      <c r="O94" s="3">
        <v>113</v>
      </c>
      <c r="P94" s="15">
        <v>0</v>
      </c>
      <c r="Q94" s="22" t="s">
        <v>1348</v>
      </c>
      <c r="R94" s="85">
        <v>43564</v>
      </c>
      <c r="S94" s="22">
        <v>22.06</v>
      </c>
      <c r="T94" s="113"/>
      <c r="U94" s="22" t="s">
        <v>1348</v>
      </c>
      <c r="V94" s="22" t="s">
        <v>1348</v>
      </c>
      <c r="W94" s="22" t="s">
        <v>1348</v>
      </c>
      <c r="X94" s="22"/>
      <c r="Y94" s="22"/>
      <c r="Z94" s="22"/>
      <c r="AA94" s="22"/>
      <c r="AB94" s="22"/>
      <c r="AC94" s="22"/>
      <c r="AD94" s="22"/>
      <c r="AE94" s="22"/>
    </row>
    <row r="95" spans="1:31" x14ac:dyDescent="0.25">
      <c r="A95" s="1" t="s">
        <v>0</v>
      </c>
      <c r="B95" s="1" t="s">
        <v>957</v>
      </c>
      <c r="C95" s="2" t="s">
        <v>990</v>
      </c>
      <c r="D95" s="1" t="s">
        <v>993</v>
      </c>
      <c r="E95" s="1"/>
      <c r="F95" s="3">
        <v>747</v>
      </c>
      <c r="G95" s="3">
        <v>135</v>
      </c>
      <c r="H95" s="4">
        <v>626</v>
      </c>
      <c r="I95" s="3">
        <v>302</v>
      </c>
      <c r="J95" s="3">
        <v>324</v>
      </c>
      <c r="K95" s="3">
        <v>39</v>
      </c>
      <c r="L95" s="3">
        <f t="shared" si="6"/>
        <v>6.2300319488817886</v>
      </c>
      <c r="M95" s="3">
        <v>0</v>
      </c>
      <c r="N95" s="3">
        <f t="shared" si="7"/>
        <v>0</v>
      </c>
      <c r="O95" s="3">
        <v>8</v>
      </c>
      <c r="P95" s="15">
        <v>0</v>
      </c>
      <c r="Q95" s="22"/>
      <c r="R95" s="31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</row>
    <row r="96" spans="1:31" x14ac:dyDescent="0.25">
      <c r="A96" s="1" t="s">
        <v>0</v>
      </c>
      <c r="B96" s="1" t="s">
        <v>957</v>
      </c>
      <c r="C96" s="2" t="s">
        <v>990</v>
      </c>
      <c r="D96" s="1" t="s">
        <v>1013</v>
      </c>
      <c r="E96" s="1"/>
      <c r="F96" s="3">
        <v>1302</v>
      </c>
      <c r="G96" s="3">
        <v>330</v>
      </c>
      <c r="H96" s="4">
        <v>1436</v>
      </c>
      <c r="I96" s="3">
        <v>716</v>
      </c>
      <c r="J96" s="3">
        <v>720</v>
      </c>
      <c r="K96" s="3">
        <v>439</v>
      </c>
      <c r="L96" s="3">
        <f t="shared" si="6"/>
        <v>30.571030640668521</v>
      </c>
      <c r="M96" s="3">
        <v>32</v>
      </c>
      <c r="N96" s="3">
        <f t="shared" si="7"/>
        <v>2.2284122562674096</v>
      </c>
      <c r="O96" s="3">
        <v>112</v>
      </c>
      <c r="P96" s="15">
        <v>83</v>
      </c>
      <c r="Q96" s="22"/>
      <c r="R96" s="31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</row>
    <row r="97" spans="1:31" x14ac:dyDescent="0.25">
      <c r="A97" s="1" t="s">
        <v>0</v>
      </c>
      <c r="B97" s="1" t="s">
        <v>957</v>
      </c>
      <c r="C97" s="2" t="s">
        <v>959</v>
      </c>
      <c r="D97" s="1" t="s">
        <v>958</v>
      </c>
      <c r="E97" s="1"/>
      <c r="F97" s="3">
        <v>1567</v>
      </c>
      <c r="G97" s="3">
        <v>316</v>
      </c>
      <c r="H97" s="4">
        <v>1561</v>
      </c>
      <c r="I97" s="3">
        <v>789</v>
      </c>
      <c r="J97" s="3">
        <v>772</v>
      </c>
      <c r="K97" s="3">
        <v>529</v>
      </c>
      <c r="L97" s="3">
        <f t="shared" si="6"/>
        <v>33.888532991672008</v>
      </c>
      <c r="M97" s="3">
        <v>0</v>
      </c>
      <c r="N97" s="3">
        <f t="shared" si="7"/>
        <v>0</v>
      </c>
      <c r="O97" s="3">
        <v>132</v>
      </c>
      <c r="P97" s="15">
        <v>0</v>
      </c>
      <c r="Q97" s="22" t="s">
        <v>1348</v>
      </c>
      <c r="R97" s="85">
        <v>43798</v>
      </c>
      <c r="S97" s="22">
        <v>132</v>
      </c>
      <c r="T97" s="22"/>
      <c r="U97" s="22" t="s">
        <v>1348</v>
      </c>
      <c r="V97" s="22" t="s">
        <v>1348</v>
      </c>
      <c r="W97" s="22" t="s">
        <v>1348</v>
      </c>
      <c r="X97" s="22" t="s">
        <v>1348</v>
      </c>
      <c r="Y97" s="22">
        <v>3</v>
      </c>
      <c r="Z97" s="22"/>
      <c r="AA97" s="22"/>
      <c r="AB97" s="22"/>
      <c r="AC97" s="22"/>
      <c r="AD97" s="22"/>
      <c r="AE97" s="22"/>
    </row>
    <row r="98" spans="1:31" x14ac:dyDescent="0.25">
      <c r="A98" s="1" t="s">
        <v>0</v>
      </c>
      <c r="B98" s="1" t="s">
        <v>957</v>
      </c>
      <c r="C98" s="2" t="s">
        <v>959</v>
      </c>
      <c r="D98" s="1" t="s">
        <v>960</v>
      </c>
      <c r="E98" s="1"/>
      <c r="F98" s="3">
        <v>341</v>
      </c>
      <c r="G98" s="3">
        <v>64</v>
      </c>
      <c r="H98" s="4">
        <v>364</v>
      </c>
      <c r="I98" s="3">
        <v>197</v>
      </c>
      <c r="J98" s="3">
        <v>167</v>
      </c>
      <c r="K98" s="3">
        <v>0</v>
      </c>
      <c r="L98" s="3">
        <f t="shared" si="6"/>
        <v>0</v>
      </c>
      <c r="M98" s="3">
        <v>0</v>
      </c>
      <c r="N98" s="3">
        <f t="shared" si="7"/>
        <v>0</v>
      </c>
      <c r="O98" s="3">
        <v>0</v>
      </c>
      <c r="P98" s="15">
        <v>0</v>
      </c>
      <c r="Q98" s="22" t="s">
        <v>1348</v>
      </c>
      <c r="R98" s="85">
        <v>43799</v>
      </c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</row>
    <row r="99" spans="1:31" x14ac:dyDescent="0.25">
      <c r="A99" s="1" t="s">
        <v>0</v>
      </c>
      <c r="B99" s="1" t="s">
        <v>957</v>
      </c>
      <c r="C99" s="2" t="s">
        <v>959</v>
      </c>
      <c r="D99" s="1" t="s">
        <v>961</v>
      </c>
      <c r="E99" s="1"/>
      <c r="F99" s="3">
        <v>1199</v>
      </c>
      <c r="G99" s="3">
        <v>292</v>
      </c>
      <c r="H99" s="4">
        <v>1547</v>
      </c>
      <c r="I99" s="3">
        <v>823</v>
      </c>
      <c r="J99" s="3">
        <v>724</v>
      </c>
      <c r="K99" s="3">
        <v>29</v>
      </c>
      <c r="L99" s="3">
        <f t="shared" si="6"/>
        <v>1.8745959922430511</v>
      </c>
      <c r="M99" s="3">
        <v>0</v>
      </c>
      <c r="N99" s="3">
        <f t="shared" si="7"/>
        <v>0</v>
      </c>
      <c r="O99" s="3">
        <v>81</v>
      </c>
      <c r="P99" s="15">
        <v>0</v>
      </c>
      <c r="Q99" s="22" t="s">
        <v>1348</v>
      </c>
      <c r="R99" s="85">
        <v>43477</v>
      </c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</row>
    <row r="100" spans="1:31" x14ac:dyDescent="0.25">
      <c r="A100" s="1" t="s">
        <v>0</v>
      </c>
      <c r="B100" s="1" t="s">
        <v>957</v>
      </c>
      <c r="C100" s="2" t="s">
        <v>959</v>
      </c>
      <c r="D100" s="1" t="s">
        <v>962</v>
      </c>
      <c r="E100" s="1"/>
      <c r="F100" s="3">
        <v>1345</v>
      </c>
      <c r="G100" s="3">
        <v>341</v>
      </c>
      <c r="H100" s="4">
        <v>1882</v>
      </c>
      <c r="I100" s="3">
        <v>949</v>
      </c>
      <c r="J100" s="3">
        <v>933</v>
      </c>
      <c r="K100" s="3">
        <v>563</v>
      </c>
      <c r="L100" s="3">
        <f t="shared" si="6"/>
        <v>29.914984059511156</v>
      </c>
      <c r="M100" s="3">
        <v>0</v>
      </c>
      <c r="N100" s="3">
        <f t="shared" si="7"/>
        <v>0</v>
      </c>
      <c r="O100" s="3">
        <v>194</v>
      </c>
      <c r="P100" s="15">
        <v>0</v>
      </c>
      <c r="Q100" s="22" t="s">
        <v>1348</v>
      </c>
      <c r="R100" s="85">
        <v>43797</v>
      </c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</row>
    <row r="101" spans="1:31" x14ac:dyDescent="0.25">
      <c r="A101" s="1" t="s">
        <v>0</v>
      </c>
      <c r="B101" s="1" t="s">
        <v>957</v>
      </c>
      <c r="C101" s="2" t="s">
        <v>959</v>
      </c>
      <c r="D101" s="1" t="s">
        <v>967</v>
      </c>
      <c r="E101" s="1"/>
      <c r="F101" s="3">
        <v>500</v>
      </c>
      <c r="G101" s="3">
        <v>78</v>
      </c>
      <c r="H101" s="4">
        <v>371</v>
      </c>
      <c r="I101" s="3">
        <v>189</v>
      </c>
      <c r="J101" s="3">
        <v>182</v>
      </c>
      <c r="K101" s="3">
        <v>77</v>
      </c>
      <c r="L101" s="3">
        <f t="shared" si="6"/>
        <v>20.754716981132077</v>
      </c>
      <c r="M101" s="3">
        <v>0</v>
      </c>
      <c r="N101" s="3">
        <f t="shared" si="7"/>
        <v>0</v>
      </c>
      <c r="O101" s="3">
        <v>40</v>
      </c>
      <c r="P101" s="15">
        <v>0</v>
      </c>
      <c r="Q101" s="22" t="s">
        <v>1348</v>
      </c>
      <c r="R101" s="85">
        <v>43508</v>
      </c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</row>
    <row r="102" spans="1:31" ht="15.75" x14ac:dyDescent="0.25">
      <c r="A102" s="1" t="s">
        <v>0</v>
      </c>
      <c r="B102" s="1" t="s">
        <v>957</v>
      </c>
      <c r="C102" s="2" t="s">
        <v>1079</v>
      </c>
      <c r="D102" s="1" t="s">
        <v>1078</v>
      </c>
      <c r="E102" s="1"/>
      <c r="F102" s="3">
        <v>1405</v>
      </c>
      <c r="G102" s="3">
        <v>146</v>
      </c>
      <c r="H102" s="4">
        <v>722</v>
      </c>
      <c r="I102" s="3">
        <v>358</v>
      </c>
      <c r="J102" s="3">
        <v>364</v>
      </c>
      <c r="K102" s="3">
        <v>155</v>
      </c>
      <c r="L102" s="3">
        <f t="shared" si="6"/>
        <v>21.468144044321331</v>
      </c>
      <c r="M102" s="3">
        <v>0</v>
      </c>
      <c r="N102" s="3">
        <f t="shared" si="7"/>
        <v>0</v>
      </c>
      <c r="O102" s="3">
        <v>88</v>
      </c>
      <c r="P102" s="15">
        <v>0</v>
      </c>
      <c r="Q102" s="22" t="s">
        <v>1348</v>
      </c>
      <c r="R102" s="85">
        <v>43869</v>
      </c>
      <c r="S102" s="89">
        <v>25.75</v>
      </c>
      <c r="T102" s="22"/>
      <c r="U102" s="22" t="s">
        <v>1348</v>
      </c>
      <c r="V102" s="22" t="s">
        <v>1348</v>
      </c>
      <c r="W102" s="22" t="s">
        <v>1348</v>
      </c>
      <c r="X102" s="22"/>
      <c r="Y102" s="22"/>
      <c r="Z102" s="22"/>
      <c r="AA102" s="22"/>
      <c r="AB102" s="22">
        <v>20</v>
      </c>
      <c r="AC102" s="22" t="s">
        <v>1364</v>
      </c>
      <c r="AD102" s="22">
        <v>25.948702000000001</v>
      </c>
      <c r="AE102" s="22">
        <v>73.952951999999996</v>
      </c>
    </row>
    <row r="103" spans="1:31" x14ac:dyDescent="0.25">
      <c r="A103" s="1" t="s">
        <v>0</v>
      </c>
      <c r="B103" s="1" t="s">
        <v>957</v>
      </c>
      <c r="C103" s="2" t="s">
        <v>1079</v>
      </c>
      <c r="D103" s="1" t="s">
        <v>1080</v>
      </c>
      <c r="E103" s="1"/>
      <c r="F103" s="3">
        <v>2819</v>
      </c>
      <c r="G103" s="3">
        <v>698</v>
      </c>
      <c r="H103" s="4">
        <v>3167</v>
      </c>
      <c r="I103" s="3">
        <v>1554</v>
      </c>
      <c r="J103" s="3">
        <v>1613</v>
      </c>
      <c r="K103" s="3">
        <v>133</v>
      </c>
      <c r="L103" s="3">
        <f t="shared" si="6"/>
        <v>4.1995579412693402</v>
      </c>
      <c r="M103" s="3">
        <v>0</v>
      </c>
      <c r="N103" s="3">
        <f t="shared" si="7"/>
        <v>0</v>
      </c>
      <c r="O103" s="3">
        <v>57</v>
      </c>
      <c r="P103" s="15">
        <v>214</v>
      </c>
      <c r="Q103" s="22"/>
      <c r="R103" s="31"/>
      <c r="S103" s="22"/>
      <c r="T103" s="22"/>
      <c r="U103" s="22"/>
      <c r="V103" s="22"/>
      <c r="W103" s="22"/>
      <c r="X103" s="22"/>
      <c r="Y103" s="22"/>
      <c r="Z103" s="22"/>
      <c r="AA103" s="22"/>
      <c r="AB103" s="22">
        <v>5</v>
      </c>
      <c r="AC103" s="22" t="s">
        <v>1361</v>
      </c>
      <c r="AD103" s="101">
        <v>25.941704000000001</v>
      </c>
      <c r="AE103" s="101">
        <v>73.988945000000001</v>
      </c>
    </row>
    <row r="104" spans="1:31" ht="15.75" x14ac:dyDescent="0.25">
      <c r="A104" s="1" t="s">
        <v>0</v>
      </c>
      <c r="B104" s="1" t="s">
        <v>957</v>
      </c>
      <c r="C104" s="2" t="s">
        <v>1037</v>
      </c>
      <c r="D104" s="1" t="s">
        <v>1036</v>
      </c>
      <c r="E104" s="1"/>
      <c r="F104" s="3">
        <v>1424</v>
      </c>
      <c r="G104" s="3">
        <v>323</v>
      </c>
      <c r="H104" s="4">
        <v>1451</v>
      </c>
      <c r="I104" s="3">
        <v>719</v>
      </c>
      <c r="J104" s="3">
        <v>732</v>
      </c>
      <c r="K104" s="3">
        <v>239</v>
      </c>
      <c r="L104" s="3">
        <f t="shared" si="6"/>
        <v>16.471399035148174</v>
      </c>
      <c r="M104" s="3">
        <v>0</v>
      </c>
      <c r="N104" s="3">
        <f t="shared" si="7"/>
        <v>0</v>
      </c>
      <c r="O104" s="3">
        <v>62</v>
      </c>
      <c r="P104" s="15">
        <v>0</v>
      </c>
      <c r="Q104" s="22" t="s">
        <v>1348</v>
      </c>
      <c r="R104" s="85">
        <v>43812</v>
      </c>
      <c r="S104" s="89">
        <v>13.49</v>
      </c>
      <c r="T104" s="22"/>
      <c r="U104" s="22" t="s">
        <v>1348</v>
      </c>
      <c r="V104" s="22" t="s">
        <v>1348</v>
      </c>
      <c r="W104" s="22" t="s">
        <v>1348</v>
      </c>
      <c r="X104" s="22"/>
      <c r="Y104" s="22"/>
      <c r="Z104" s="22"/>
      <c r="AA104" s="22"/>
      <c r="AB104" s="22"/>
      <c r="AC104" s="22"/>
      <c r="AD104" s="22"/>
      <c r="AE104" s="22"/>
    </row>
    <row r="105" spans="1:31" ht="15.75" x14ac:dyDescent="0.25">
      <c r="A105" s="1" t="s">
        <v>0</v>
      </c>
      <c r="B105" s="1" t="s">
        <v>957</v>
      </c>
      <c r="C105" s="2" t="s">
        <v>1037</v>
      </c>
      <c r="D105" s="1" t="s">
        <v>1041</v>
      </c>
      <c r="E105" s="1"/>
      <c r="F105" s="3">
        <v>566</v>
      </c>
      <c r="G105" s="3">
        <v>85</v>
      </c>
      <c r="H105" s="4">
        <v>440</v>
      </c>
      <c r="I105" s="3">
        <v>229</v>
      </c>
      <c r="J105" s="3">
        <v>211</v>
      </c>
      <c r="K105" s="3">
        <v>357</v>
      </c>
      <c r="L105" s="3">
        <f t="shared" si="6"/>
        <v>81.13636363636364</v>
      </c>
      <c r="M105" s="3">
        <v>12</v>
      </c>
      <c r="N105" s="3">
        <f t="shared" si="7"/>
        <v>2.7272727272727271</v>
      </c>
      <c r="O105" s="3">
        <v>14</v>
      </c>
      <c r="P105" s="15">
        <v>0</v>
      </c>
      <c r="Q105" s="22" t="s">
        <v>1348</v>
      </c>
      <c r="R105" s="85">
        <v>43812</v>
      </c>
      <c r="S105" s="89">
        <v>19.739999999999998</v>
      </c>
      <c r="T105" s="22"/>
      <c r="U105" s="22" t="s">
        <v>1348</v>
      </c>
      <c r="V105" s="22" t="s">
        <v>1348</v>
      </c>
      <c r="W105" s="22" t="s">
        <v>1348</v>
      </c>
      <c r="X105" s="22"/>
      <c r="Y105" s="22"/>
      <c r="Z105" s="22"/>
      <c r="AA105" s="22"/>
      <c r="AB105" s="22"/>
      <c r="AC105" s="22"/>
      <c r="AD105" s="22"/>
      <c r="AE105" s="22"/>
    </row>
    <row r="106" spans="1:31" ht="15.75" x14ac:dyDescent="0.25">
      <c r="A106" s="1" t="s">
        <v>0</v>
      </c>
      <c r="B106" s="1" t="s">
        <v>957</v>
      </c>
      <c r="C106" s="2" t="s">
        <v>1037</v>
      </c>
      <c r="D106" s="1" t="s">
        <v>1042</v>
      </c>
      <c r="E106" s="1"/>
      <c r="F106" s="3">
        <v>610</v>
      </c>
      <c r="G106" s="3">
        <v>68</v>
      </c>
      <c r="H106" s="4">
        <v>356</v>
      </c>
      <c r="I106" s="3">
        <v>189</v>
      </c>
      <c r="J106" s="3">
        <v>167</v>
      </c>
      <c r="K106" s="3">
        <v>145</v>
      </c>
      <c r="L106" s="3">
        <f t="shared" si="6"/>
        <v>40.730337078651687</v>
      </c>
      <c r="M106" s="3">
        <v>0</v>
      </c>
      <c r="N106" s="3">
        <f t="shared" si="7"/>
        <v>0</v>
      </c>
      <c r="O106" s="3">
        <v>0</v>
      </c>
      <c r="P106" s="15">
        <v>0</v>
      </c>
      <c r="Q106" s="22" t="s">
        <v>1348</v>
      </c>
      <c r="R106" s="85">
        <v>43812</v>
      </c>
      <c r="S106" s="89">
        <v>19.41</v>
      </c>
      <c r="T106" s="22"/>
      <c r="U106" s="22" t="s">
        <v>1348</v>
      </c>
      <c r="V106" s="22" t="s">
        <v>1348</v>
      </c>
      <c r="W106" s="22" t="s">
        <v>1348</v>
      </c>
      <c r="X106" s="22"/>
      <c r="Y106" s="22"/>
      <c r="Z106" s="22"/>
      <c r="AA106" s="22"/>
      <c r="AB106" s="22"/>
      <c r="AC106" s="22"/>
      <c r="AD106" s="22"/>
      <c r="AE106" s="22"/>
    </row>
    <row r="107" spans="1:31" ht="15.75" x14ac:dyDescent="0.25">
      <c r="A107" s="1" t="s">
        <v>0</v>
      </c>
      <c r="B107" s="1" t="s">
        <v>957</v>
      </c>
      <c r="C107" s="2" t="s">
        <v>1037</v>
      </c>
      <c r="D107" s="1" t="s">
        <v>1043</v>
      </c>
      <c r="E107" s="1"/>
      <c r="F107" s="3">
        <v>1053</v>
      </c>
      <c r="G107" s="3">
        <v>283</v>
      </c>
      <c r="H107" s="4">
        <v>1723</v>
      </c>
      <c r="I107" s="3">
        <v>847</v>
      </c>
      <c r="J107" s="3">
        <v>876</v>
      </c>
      <c r="K107" s="3">
        <v>657</v>
      </c>
      <c r="L107" s="3">
        <f t="shared" si="6"/>
        <v>38.131166569936155</v>
      </c>
      <c r="M107" s="3">
        <v>39</v>
      </c>
      <c r="N107" s="3">
        <f t="shared" si="7"/>
        <v>2.2634939059779455</v>
      </c>
      <c r="O107" s="3">
        <v>25</v>
      </c>
      <c r="P107" s="15">
        <v>0</v>
      </c>
      <c r="Q107" s="22" t="s">
        <v>1348</v>
      </c>
      <c r="R107" s="85">
        <v>43812</v>
      </c>
      <c r="S107" s="89">
        <v>0</v>
      </c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</row>
    <row r="108" spans="1:31" x14ac:dyDescent="0.25">
      <c r="A108" s="1" t="s">
        <v>0</v>
      </c>
      <c r="B108" s="1" t="s">
        <v>957</v>
      </c>
      <c r="C108" s="2" t="s">
        <v>987</v>
      </c>
      <c r="D108" s="1" t="s">
        <v>986</v>
      </c>
      <c r="E108" s="1"/>
      <c r="F108" s="3">
        <v>1285</v>
      </c>
      <c r="G108" s="3">
        <v>397</v>
      </c>
      <c r="H108" s="4">
        <v>1973</v>
      </c>
      <c r="I108" s="3">
        <v>1031</v>
      </c>
      <c r="J108" s="3">
        <v>942</v>
      </c>
      <c r="K108" s="3">
        <v>617</v>
      </c>
      <c r="L108" s="3">
        <f t="shared" ref="L108:L128" si="8">(K108/H108)*100</f>
        <v>31.272174353775977</v>
      </c>
      <c r="M108" s="3">
        <v>0</v>
      </c>
      <c r="N108" s="3">
        <f t="shared" ref="N108:N128" si="9">(M108/H108)*100</f>
        <v>0</v>
      </c>
      <c r="O108" s="3">
        <v>129</v>
      </c>
      <c r="P108" s="15">
        <v>0</v>
      </c>
      <c r="Q108" s="22" t="s">
        <v>1348</v>
      </c>
      <c r="R108" s="85">
        <v>43597</v>
      </c>
      <c r="S108" s="22">
        <v>29.5</v>
      </c>
      <c r="T108" s="22"/>
      <c r="U108" s="22" t="s">
        <v>1348</v>
      </c>
      <c r="V108" s="22" t="s">
        <v>1348</v>
      </c>
      <c r="W108" s="22" t="s">
        <v>1348</v>
      </c>
      <c r="X108" s="22"/>
      <c r="Y108" s="22"/>
      <c r="Z108" s="22"/>
      <c r="AA108" s="22"/>
      <c r="AB108" s="22"/>
      <c r="AC108" s="22"/>
      <c r="AD108" s="22"/>
      <c r="AE108" s="22"/>
    </row>
    <row r="109" spans="1:31" x14ac:dyDescent="0.25">
      <c r="A109" s="1" t="s">
        <v>0</v>
      </c>
      <c r="B109" s="1" t="s">
        <v>957</v>
      </c>
      <c r="C109" s="2" t="s">
        <v>987</v>
      </c>
      <c r="D109" s="1" t="s">
        <v>988</v>
      </c>
      <c r="E109" s="1"/>
      <c r="F109" s="3">
        <v>1296</v>
      </c>
      <c r="G109" s="3">
        <v>283</v>
      </c>
      <c r="H109" s="4">
        <v>1334</v>
      </c>
      <c r="I109" s="3">
        <v>663</v>
      </c>
      <c r="J109" s="3">
        <v>671</v>
      </c>
      <c r="K109" s="3">
        <v>141</v>
      </c>
      <c r="L109" s="3">
        <f t="shared" si="8"/>
        <v>10.569715142428786</v>
      </c>
      <c r="M109" s="3">
        <v>43</v>
      </c>
      <c r="N109" s="3">
        <f t="shared" si="9"/>
        <v>3.2233883058470769</v>
      </c>
      <c r="O109" s="3">
        <v>67</v>
      </c>
      <c r="P109" s="15">
        <v>0</v>
      </c>
      <c r="Q109" s="22"/>
      <c r="R109" s="31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</row>
    <row r="110" spans="1:31" x14ac:dyDescent="0.25">
      <c r="A110" s="1" t="s">
        <v>0</v>
      </c>
      <c r="B110" s="1" t="s">
        <v>957</v>
      </c>
      <c r="C110" s="2" t="s">
        <v>987</v>
      </c>
      <c r="D110" s="1" t="s">
        <v>994</v>
      </c>
      <c r="E110" s="1"/>
      <c r="F110" s="3">
        <v>1050</v>
      </c>
      <c r="G110" s="3">
        <v>120</v>
      </c>
      <c r="H110" s="4">
        <v>627</v>
      </c>
      <c r="I110" s="3">
        <v>338</v>
      </c>
      <c r="J110" s="3">
        <v>289</v>
      </c>
      <c r="K110" s="3">
        <v>108</v>
      </c>
      <c r="L110" s="3">
        <f t="shared" si="8"/>
        <v>17.224880382775119</v>
      </c>
      <c r="M110" s="3">
        <v>0</v>
      </c>
      <c r="N110" s="3">
        <f t="shared" si="9"/>
        <v>0</v>
      </c>
      <c r="O110" s="3">
        <v>104</v>
      </c>
      <c r="P110" s="15">
        <v>0</v>
      </c>
      <c r="Q110" s="22"/>
      <c r="R110" s="31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</row>
    <row r="111" spans="1:31" x14ac:dyDescent="0.25">
      <c r="A111" s="1" t="s">
        <v>0</v>
      </c>
      <c r="B111" s="1" t="s">
        <v>957</v>
      </c>
      <c r="C111" s="2" t="s">
        <v>1012</v>
      </c>
      <c r="D111" s="1" t="s">
        <v>1011</v>
      </c>
      <c r="E111" s="1"/>
      <c r="F111" s="3">
        <v>2468</v>
      </c>
      <c r="G111" s="3">
        <v>469</v>
      </c>
      <c r="H111" s="4">
        <v>2170</v>
      </c>
      <c r="I111" s="3">
        <v>1041</v>
      </c>
      <c r="J111" s="3">
        <v>1129</v>
      </c>
      <c r="K111" s="3">
        <v>308</v>
      </c>
      <c r="L111" s="3">
        <f t="shared" si="8"/>
        <v>14.193548387096774</v>
      </c>
      <c r="M111" s="3">
        <v>1</v>
      </c>
      <c r="N111" s="3">
        <f t="shared" si="9"/>
        <v>4.6082949308755762E-2</v>
      </c>
      <c r="O111" s="3">
        <v>57</v>
      </c>
      <c r="P111" s="15">
        <v>0</v>
      </c>
      <c r="Q111" s="22" t="s">
        <v>1348</v>
      </c>
      <c r="R111" s="85">
        <v>43788</v>
      </c>
      <c r="S111" s="22">
        <v>56</v>
      </c>
      <c r="T111" s="22"/>
      <c r="U111" s="22" t="s">
        <v>1348</v>
      </c>
      <c r="V111" s="22" t="s">
        <v>1348</v>
      </c>
      <c r="W111" s="22" t="s">
        <v>1348</v>
      </c>
      <c r="X111" s="22"/>
      <c r="Y111" s="22"/>
      <c r="Z111" s="22"/>
      <c r="AA111" s="22"/>
      <c r="AB111" s="22"/>
      <c r="AC111" s="22"/>
      <c r="AD111" s="22"/>
      <c r="AE111" s="22"/>
    </row>
    <row r="112" spans="1:31" x14ac:dyDescent="0.25">
      <c r="A112" s="1" t="s">
        <v>0</v>
      </c>
      <c r="B112" s="1" t="s">
        <v>957</v>
      </c>
      <c r="C112" s="2" t="s">
        <v>1012</v>
      </c>
      <c r="D112" s="1" t="s">
        <v>1017</v>
      </c>
      <c r="E112" s="1"/>
      <c r="F112" s="3">
        <v>474</v>
      </c>
      <c r="G112" s="3">
        <v>190</v>
      </c>
      <c r="H112" s="4">
        <v>910</v>
      </c>
      <c r="I112" s="3">
        <v>458</v>
      </c>
      <c r="J112" s="3">
        <v>452</v>
      </c>
      <c r="K112" s="3">
        <v>95</v>
      </c>
      <c r="L112" s="3">
        <f t="shared" si="8"/>
        <v>10.43956043956044</v>
      </c>
      <c r="M112" s="3">
        <v>0</v>
      </c>
      <c r="N112" s="3">
        <f t="shared" si="9"/>
        <v>0</v>
      </c>
      <c r="O112" s="3">
        <v>25</v>
      </c>
      <c r="P112" s="15">
        <v>0</v>
      </c>
      <c r="Q112" s="22" t="s">
        <v>1348</v>
      </c>
      <c r="R112" s="31" t="s">
        <v>1357</v>
      </c>
      <c r="S112" s="22">
        <v>87.63</v>
      </c>
      <c r="T112" s="22"/>
      <c r="U112" s="22" t="s">
        <v>1348</v>
      </c>
      <c r="V112" s="22" t="s">
        <v>1348</v>
      </c>
      <c r="W112" s="22" t="s">
        <v>1348</v>
      </c>
      <c r="X112" s="22"/>
      <c r="Y112" s="22"/>
      <c r="Z112" s="22"/>
      <c r="AA112" s="22"/>
      <c r="AB112" s="22"/>
      <c r="AC112" s="22"/>
      <c r="AD112" s="22"/>
      <c r="AE112" s="22"/>
    </row>
    <row r="113" spans="1:31" x14ac:dyDescent="0.25">
      <c r="A113" s="1" t="s">
        <v>0</v>
      </c>
      <c r="B113" s="1" t="s">
        <v>957</v>
      </c>
      <c r="C113" s="2" t="s">
        <v>1066</v>
      </c>
      <c r="D113" s="1" t="s">
        <v>1065</v>
      </c>
      <c r="E113" s="1"/>
      <c r="F113" s="3">
        <v>3033.64</v>
      </c>
      <c r="G113" s="3">
        <v>905</v>
      </c>
      <c r="H113" s="4">
        <v>4136</v>
      </c>
      <c r="I113" s="3">
        <v>1993</v>
      </c>
      <c r="J113" s="3">
        <v>2143</v>
      </c>
      <c r="K113" s="3">
        <v>1526</v>
      </c>
      <c r="L113" s="3">
        <f t="shared" si="8"/>
        <v>36.895551257253381</v>
      </c>
      <c r="M113" s="3">
        <v>2</v>
      </c>
      <c r="N113" s="3">
        <f t="shared" si="9"/>
        <v>4.8355899419729211E-2</v>
      </c>
      <c r="O113" s="3">
        <v>121</v>
      </c>
      <c r="P113" s="15">
        <v>0</v>
      </c>
      <c r="Q113" s="22" t="s">
        <v>1348</v>
      </c>
      <c r="R113" s="85">
        <v>43758</v>
      </c>
      <c r="S113" s="22">
        <v>266</v>
      </c>
      <c r="T113" s="22"/>
      <c r="U113" s="22" t="s">
        <v>1348</v>
      </c>
      <c r="V113" s="22" t="s">
        <v>1358</v>
      </c>
      <c r="W113" s="22" t="s">
        <v>1348</v>
      </c>
      <c r="X113" s="22"/>
      <c r="Y113" s="22"/>
      <c r="Z113" s="22"/>
      <c r="AA113" s="22"/>
      <c r="AB113" s="22"/>
      <c r="AC113" s="22"/>
      <c r="AD113" s="22"/>
      <c r="AE113" s="22"/>
    </row>
    <row r="114" spans="1:31" x14ac:dyDescent="0.25">
      <c r="A114" s="1" t="s">
        <v>0</v>
      </c>
      <c r="B114" s="1" t="s">
        <v>957</v>
      </c>
      <c r="C114" s="2" t="s">
        <v>974</v>
      </c>
      <c r="D114" s="1" t="s">
        <v>973</v>
      </c>
      <c r="E114" s="1"/>
      <c r="F114" s="3">
        <v>401.61</v>
      </c>
      <c r="G114" s="3">
        <v>135</v>
      </c>
      <c r="H114" s="4">
        <v>492</v>
      </c>
      <c r="I114" s="3">
        <v>229</v>
      </c>
      <c r="J114" s="3">
        <v>263</v>
      </c>
      <c r="K114" s="3">
        <v>126</v>
      </c>
      <c r="L114" s="3">
        <f t="shared" si="8"/>
        <v>25.609756097560975</v>
      </c>
      <c r="M114" s="3">
        <v>0</v>
      </c>
      <c r="N114" s="3">
        <f t="shared" si="9"/>
        <v>0</v>
      </c>
      <c r="O114" s="3">
        <v>17</v>
      </c>
      <c r="P114" s="15">
        <v>0</v>
      </c>
      <c r="Q114" s="22"/>
      <c r="R114" s="85">
        <v>43507</v>
      </c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</row>
    <row r="115" spans="1:31" x14ac:dyDescent="0.25">
      <c r="A115" s="1" t="s">
        <v>0</v>
      </c>
      <c r="B115" s="1" t="s">
        <v>957</v>
      </c>
      <c r="C115" s="2" t="s">
        <v>974</v>
      </c>
      <c r="D115" s="1" t="s">
        <v>975</v>
      </c>
      <c r="E115" s="1"/>
      <c r="F115" s="3">
        <v>3204.1</v>
      </c>
      <c r="G115" s="3">
        <v>277</v>
      </c>
      <c r="H115" s="4">
        <v>1269</v>
      </c>
      <c r="I115" s="3">
        <v>657</v>
      </c>
      <c r="J115" s="3">
        <v>612</v>
      </c>
      <c r="K115" s="3">
        <v>404</v>
      </c>
      <c r="L115" s="3">
        <f t="shared" si="8"/>
        <v>31.836091410559497</v>
      </c>
      <c r="M115" s="3">
        <v>5</v>
      </c>
      <c r="N115" s="3">
        <f t="shared" si="9"/>
        <v>0.39401103230890461</v>
      </c>
      <c r="O115" s="3">
        <v>125</v>
      </c>
      <c r="P115" s="15">
        <v>0</v>
      </c>
      <c r="Q115" s="22" t="s">
        <v>1348</v>
      </c>
      <c r="R115" s="85">
        <v>43476</v>
      </c>
      <c r="S115" s="22">
        <v>15.56</v>
      </c>
      <c r="T115" s="22"/>
      <c r="U115" s="22" t="s">
        <v>1348</v>
      </c>
      <c r="V115" s="22" t="s">
        <v>1348</v>
      </c>
      <c r="W115" s="22" t="s">
        <v>1348</v>
      </c>
      <c r="X115" s="22"/>
      <c r="Y115" s="22"/>
      <c r="Z115" s="22"/>
      <c r="AA115" s="22"/>
      <c r="AB115" s="22"/>
      <c r="AC115" s="22"/>
      <c r="AD115" s="22"/>
      <c r="AE115" s="22"/>
    </row>
    <row r="116" spans="1:31" ht="15.75" x14ac:dyDescent="0.25">
      <c r="A116" s="1" t="s">
        <v>0</v>
      </c>
      <c r="B116" s="1" t="s">
        <v>957</v>
      </c>
      <c r="C116" s="2" t="s">
        <v>976</v>
      </c>
      <c r="D116" s="1" t="s">
        <v>632</v>
      </c>
      <c r="E116" s="1"/>
      <c r="F116" s="3">
        <v>2603.63</v>
      </c>
      <c r="G116" s="3">
        <v>410</v>
      </c>
      <c r="H116" s="4">
        <v>1944</v>
      </c>
      <c r="I116" s="3">
        <v>1005</v>
      </c>
      <c r="J116" s="3">
        <v>939</v>
      </c>
      <c r="K116" s="3">
        <v>652</v>
      </c>
      <c r="L116" s="3">
        <f t="shared" si="8"/>
        <v>33.539094650205762</v>
      </c>
      <c r="M116" s="3">
        <v>1</v>
      </c>
      <c r="N116" s="3">
        <f t="shared" si="9"/>
        <v>5.1440329218106998E-2</v>
      </c>
      <c r="O116" s="3">
        <v>182.63</v>
      </c>
      <c r="P116" s="15">
        <v>0</v>
      </c>
      <c r="Q116" s="22" t="s">
        <v>1348</v>
      </c>
      <c r="R116" s="85">
        <v>43798</v>
      </c>
      <c r="S116" s="89">
        <v>34.11</v>
      </c>
      <c r="T116" s="22"/>
      <c r="U116" s="22" t="s">
        <v>1348</v>
      </c>
      <c r="V116" s="22" t="s">
        <v>1358</v>
      </c>
      <c r="W116" s="22" t="s">
        <v>1348</v>
      </c>
      <c r="X116" s="22"/>
      <c r="Y116" s="22"/>
      <c r="Z116" s="22"/>
      <c r="AA116" s="22"/>
      <c r="AB116" s="22"/>
      <c r="AC116" s="22"/>
      <c r="AD116" s="22"/>
      <c r="AE116" s="22"/>
    </row>
    <row r="117" spans="1:31" x14ac:dyDescent="0.25">
      <c r="A117" s="1" t="s">
        <v>0</v>
      </c>
      <c r="B117" s="1" t="s">
        <v>957</v>
      </c>
      <c r="C117" s="2" t="s">
        <v>976</v>
      </c>
      <c r="D117" s="1" t="s">
        <v>977</v>
      </c>
      <c r="E117" s="1"/>
      <c r="F117" s="3">
        <v>309.12</v>
      </c>
      <c r="G117" s="3">
        <v>71</v>
      </c>
      <c r="H117" s="4">
        <v>353</v>
      </c>
      <c r="I117" s="3">
        <v>180</v>
      </c>
      <c r="J117" s="3">
        <v>173</v>
      </c>
      <c r="K117" s="3">
        <v>0</v>
      </c>
      <c r="L117" s="3">
        <f t="shared" si="8"/>
        <v>0</v>
      </c>
      <c r="M117" s="3">
        <v>0</v>
      </c>
      <c r="N117" s="3">
        <f t="shared" si="9"/>
        <v>0</v>
      </c>
      <c r="O117" s="3">
        <v>13</v>
      </c>
      <c r="P117" s="15">
        <v>0</v>
      </c>
      <c r="Q117" s="22"/>
      <c r="R117" s="85">
        <v>43799</v>
      </c>
      <c r="S117" s="88">
        <v>15.4</v>
      </c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</row>
    <row r="118" spans="1:31" x14ac:dyDescent="0.25">
      <c r="A118" s="1" t="s">
        <v>0</v>
      </c>
      <c r="B118" s="1" t="s">
        <v>957</v>
      </c>
      <c r="C118" s="2" t="s">
        <v>976</v>
      </c>
      <c r="D118" s="1" t="s">
        <v>999</v>
      </c>
      <c r="E118" s="1"/>
      <c r="F118" s="3">
        <v>1517.06</v>
      </c>
      <c r="G118" s="3">
        <v>189</v>
      </c>
      <c r="H118" s="4">
        <v>920</v>
      </c>
      <c r="I118" s="3">
        <v>446</v>
      </c>
      <c r="J118" s="3">
        <v>474</v>
      </c>
      <c r="K118" s="3">
        <v>316</v>
      </c>
      <c r="L118" s="3">
        <f t="shared" si="8"/>
        <v>34.347826086956523</v>
      </c>
      <c r="M118" s="3">
        <v>0</v>
      </c>
      <c r="N118" s="3">
        <f t="shared" si="9"/>
        <v>0</v>
      </c>
      <c r="O118" s="3">
        <v>51</v>
      </c>
      <c r="P118" s="15">
        <v>0</v>
      </c>
      <c r="Q118" s="22" t="s">
        <v>1348</v>
      </c>
      <c r="R118" s="85">
        <v>43797</v>
      </c>
      <c r="S118" s="88">
        <v>5.46</v>
      </c>
      <c r="T118" s="22"/>
      <c r="U118" s="22" t="s">
        <v>1348</v>
      </c>
      <c r="V118" s="22" t="s">
        <v>1348</v>
      </c>
      <c r="W118" s="22" t="s">
        <v>1348</v>
      </c>
      <c r="X118" s="22"/>
      <c r="Y118" s="22"/>
      <c r="Z118" s="22"/>
      <c r="AA118" s="22"/>
      <c r="AB118" s="22"/>
      <c r="AC118" s="22"/>
      <c r="AD118" s="22"/>
      <c r="AE118" s="22"/>
    </row>
    <row r="119" spans="1:31" x14ac:dyDescent="0.25">
      <c r="A119" s="1" t="s">
        <v>0</v>
      </c>
      <c r="B119" s="1" t="s">
        <v>957</v>
      </c>
      <c r="C119" s="2" t="s">
        <v>976</v>
      </c>
      <c r="D119" s="1" t="s">
        <v>1000</v>
      </c>
      <c r="E119" s="1"/>
      <c r="F119" s="3">
        <v>659.39</v>
      </c>
      <c r="G119" s="3">
        <v>211</v>
      </c>
      <c r="H119" s="4">
        <v>1025</v>
      </c>
      <c r="I119" s="3">
        <v>525</v>
      </c>
      <c r="J119" s="3">
        <v>500</v>
      </c>
      <c r="K119" s="3">
        <v>197</v>
      </c>
      <c r="L119" s="3">
        <f t="shared" si="8"/>
        <v>19.219512195121951</v>
      </c>
      <c r="M119" s="3">
        <v>0</v>
      </c>
      <c r="N119" s="3">
        <f t="shared" si="9"/>
        <v>0</v>
      </c>
      <c r="O119" s="3">
        <v>40.39</v>
      </c>
      <c r="P119" s="15">
        <v>0</v>
      </c>
      <c r="Q119" s="22"/>
      <c r="R119" s="85">
        <v>43477</v>
      </c>
      <c r="S119" s="88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</row>
    <row r="120" spans="1:31" x14ac:dyDescent="0.25">
      <c r="A120" s="1" t="s">
        <v>0</v>
      </c>
      <c r="B120" s="1" t="s">
        <v>957</v>
      </c>
      <c r="C120" s="2" t="s">
        <v>976</v>
      </c>
      <c r="D120" s="1" t="s">
        <v>1001</v>
      </c>
      <c r="E120" s="1"/>
      <c r="F120" s="3">
        <v>2755</v>
      </c>
      <c r="G120" s="3">
        <v>329</v>
      </c>
      <c r="H120" s="4">
        <v>1706</v>
      </c>
      <c r="I120" s="3">
        <v>911</v>
      </c>
      <c r="J120" s="3">
        <v>795</v>
      </c>
      <c r="K120" s="3">
        <v>696</v>
      </c>
      <c r="L120" s="3">
        <f t="shared" si="8"/>
        <v>40.797186400937868</v>
      </c>
      <c r="M120" s="3">
        <v>0</v>
      </c>
      <c r="N120" s="3">
        <f t="shared" si="9"/>
        <v>0</v>
      </c>
      <c r="O120" s="3">
        <v>63</v>
      </c>
      <c r="P120" s="15">
        <v>0</v>
      </c>
      <c r="Q120" s="22" t="s">
        <v>1348</v>
      </c>
      <c r="R120" s="85">
        <v>43508</v>
      </c>
      <c r="S120" s="88">
        <v>41.82</v>
      </c>
      <c r="T120" s="22"/>
      <c r="U120" s="22" t="s">
        <v>1348</v>
      </c>
      <c r="V120" s="22" t="s">
        <v>1348</v>
      </c>
      <c r="W120" s="22" t="s">
        <v>1348</v>
      </c>
      <c r="X120" s="22"/>
      <c r="Y120" s="22"/>
      <c r="Z120" s="22"/>
      <c r="AA120" s="22"/>
      <c r="AB120" s="22"/>
      <c r="AC120" s="22"/>
      <c r="AD120" s="22"/>
      <c r="AE120" s="22"/>
    </row>
    <row r="121" spans="1:31" x14ac:dyDescent="0.25">
      <c r="A121" s="1" t="s">
        <v>0</v>
      </c>
      <c r="B121" s="1" t="s">
        <v>957</v>
      </c>
      <c r="C121" s="2" t="s">
        <v>1045</v>
      </c>
      <c r="D121" s="1" t="s">
        <v>1044</v>
      </c>
      <c r="E121" s="1"/>
      <c r="F121" s="3">
        <v>1351</v>
      </c>
      <c r="G121" s="3">
        <v>784</v>
      </c>
      <c r="H121" s="4">
        <v>3239</v>
      </c>
      <c r="I121" s="3">
        <v>1578</v>
      </c>
      <c r="J121" s="3">
        <v>1661</v>
      </c>
      <c r="K121" s="3">
        <v>859</v>
      </c>
      <c r="L121" s="3">
        <f t="shared" si="8"/>
        <v>26.520531028095089</v>
      </c>
      <c r="M121" s="3">
        <v>0</v>
      </c>
      <c r="N121" s="3">
        <f t="shared" si="9"/>
        <v>0</v>
      </c>
      <c r="O121" s="3">
        <v>116</v>
      </c>
      <c r="P121" s="15">
        <v>0</v>
      </c>
      <c r="Q121" s="22" t="s">
        <v>1348</v>
      </c>
      <c r="R121" s="85" t="s">
        <v>1359</v>
      </c>
      <c r="S121" s="88">
        <v>92.69</v>
      </c>
      <c r="T121" s="22"/>
      <c r="U121" s="22" t="s">
        <v>1348</v>
      </c>
      <c r="V121" s="22" t="s">
        <v>1348</v>
      </c>
      <c r="W121" s="22" t="s">
        <v>1348</v>
      </c>
      <c r="X121" s="22"/>
      <c r="Y121" s="22"/>
      <c r="Z121" s="22"/>
      <c r="AA121" s="22"/>
      <c r="AB121" s="22"/>
      <c r="AC121" s="22"/>
      <c r="AD121" s="22"/>
      <c r="AE121" s="22"/>
    </row>
    <row r="122" spans="1:31" x14ac:dyDescent="0.25">
      <c r="A122" s="1" t="s">
        <v>0</v>
      </c>
      <c r="B122" s="1" t="s">
        <v>957</v>
      </c>
      <c r="C122" s="2" t="s">
        <v>1045</v>
      </c>
      <c r="D122" s="1" t="s">
        <v>1047</v>
      </c>
      <c r="E122" s="1"/>
      <c r="F122" s="3">
        <v>811</v>
      </c>
      <c r="G122" s="3">
        <v>216</v>
      </c>
      <c r="H122" s="4">
        <v>909</v>
      </c>
      <c r="I122" s="3">
        <v>422</v>
      </c>
      <c r="J122" s="3">
        <v>487</v>
      </c>
      <c r="K122" s="3">
        <v>201</v>
      </c>
      <c r="L122" s="3">
        <f t="shared" si="8"/>
        <v>22.112211221122113</v>
      </c>
      <c r="M122" s="3">
        <v>0</v>
      </c>
      <c r="N122" s="3">
        <f t="shared" si="9"/>
        <v>0</v>
      </c>
      <c r="O122" s="3">
        <v>107</v>
      </c>
      <c r="P122" s="15">
        <v>0</v>
      </c>
      <c r="Q122" s="22" t="s">
        <v>1348</v>
      </c>
      <c r="R122" s="85">
        <v>43672</v>
      </c>
      <c r="S122" s="88">
        <v>4.32</v>
      </c>
      <c r="T122" s="22"/>
      <c r="U122" s="22" t="s">
        <v>1348</v>
      </c>
      <c r="V122" s="22" t="s">
        <v>1348</v>
      </c>
      <c r="W122" s="22" t="s">
        <v>1348</v>
      </c>
      <c r="X122" s="22"/>
      <c r="Y122" s="22"/>
      <c r="Z122" s="22"/>
      <c r="AA122" s="22"/>
      <c r="AB122" s="22">
        <v>10</v>
      </c>
      <c r="AC122" s="22" t="s">
        <v>1361</v>
      </c>
      <c r="AD122" s="22">
        <v>25.914216</v>
      </c>
      <c r="AE122" s="22">
        <v>73.742671999999999</v>
      </c>
    </row>
    <row r="123" spans="1:31" x14ac:dyDescent="0.25">
      <c r="A123" s="1" t="s">
        <v>0</v>
      </c>
      <c r="B123" s="1" t="s">
        <v>957</v>
      </c>
      <c r="C123" s="2" t="s">
        <v>1003</v>
      </c>
      <c r="D123" s="1" t="s">
        <v>1002</v>
      </c>
      <c r="E123" s="1"/>
      <c r="F123" s="3">
        <v>916</v>
      </c>
      <c r="G123" s="3">
        <v>106</v>
      </c>
      <c r="H123" s="4">
        <v>481</v>
      </c>
      <c r="I123" s="3">
        <v>222</v>
      </c>
      <c r="J123" s="3">
        <v>259</v>
      </c>
      <c r="K123" s="3">
        <v>41</v>
      </c>
      <c r="L123" s="3">
        <f t="shared" si="8"/>
        <v>8.5239085239085242</v>
      </c>
      <c r="M123" s="3">
        <v>0</v>
      </c>
      <c r="N123" s="3">
        <f t="shared" si="9"/>
        <v>0</v>
      </c>
      <c r="O123" s="3">
        <v>57</v>
      </c>
      <c r="P123" s="15">
        <v>18</v>
      </c>
      <c r="Q123" s="22" t="s">
        <v>1348</v>
      </c>
      <c r="R123" s="31" t="s">
        <v>1360</v>
      </c>
      <c r="S123" s="88">
        <v>52.58</v>
      </c>
      <c r="T123" s="22"/>
      <c r="U123" s="22" t="s">
        <v>1348</v>
      </c>
      <c r="V123" s="22" t="s">
        <v>1348</v>
      </c>
      <c r="W123" s="22" t="s">
        <v>1348</v>
      </c>
      <c r="X123" s="22"/>
      <c r="Y123" s="22"/>
      <c r="Z123" s="22"/>
      <c r="AA123" s="22"/>
      <c r="AB123" s="22"/>
      <c r="AC123" s="22"/>
      <c r="AD123" s="22"/>
      <c r="AE123" s="22"/>
    </row>
    <row r="124" spans="1:31" x14ac:dyDescent="0.25">
      <c r="A124" s="1" t="s">
        <v>0</v>
      </c>
      <c r="B124" s="1" t="s">
        <v>957</v>
      </c>
      <c r="C124" s="2" t="s">
        <v>1003</v>
      </c>
      <c r="D124" s="1" t="s">
        <v>279</v>
      </c>
      <c r="E124" s="1"/>
      <c r="F124" s="3">
        <v>826</v>
      </c>
      <c r="G124" s="3">
        <v>132</v>
      </c>
      <c r="H124" s="4">
        <v>596</v>
      </c>
      <c r="I124" s="3">
        <v>297</v>
      </c>
      <c r="J124" s="3">
        <v>299</v>
      </c>
      <c r="K124" s="3">
        <v>45</v>
      </c>
      <c r="L124" s="3">
        <f t="shared" si="8"/>
        <v>7.550335570469799</v>
      </c>
      <c r="M124" s="3">
        <v>0</v>
      </c>
      <c r="N124" s="3">
        <f t="shared" si="9"/>
        <v>0</v>
      </c>
      <c r="O124" s="3">
        <v>16</v>
      </c>
      <c r="P124" s="15">
        <v>143</v>
      </c>
      <c r="Q124" s="22" t="s">
        <v>1348</v>
      </c>
      <c r="R124" s="85">
        <v>43566</v>
      </c>
      <c r="S124" s="88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</row>
    <row r="125" spans="1:31" x14ac:dyDescent="0.25">
      <c r="A125" s="1" t="s">
        <v>0</v>
      </c>
      <c r="B125" s="1" t="s">
        <v>957</v>
      </c>
      <c r="C125" s="2" t="s">
        <v>1003</v>
      </c>
      <c r="D125" s="1" t="s">
        <v>1004</v>
      </c>
      <c r="E125" s="1"/>
      <c r="F125" s="3">
        <v>1106</v>
      </c>
      <c r="G125" s="3">
        <v>125</v>
      </c>
      <c r="H125" s="4">
        <v>596</v>
      </c>
      <c r="I125" s="3">
        <v>286</v>
      </c>
      <c r="J125" s="3">
        <v>310</v>
      </c>
      <c r="K125" s="3">
        <v>174</v>
      </c>
      <c r="L125" s="3">
        <f t="shared" si="8"/>
        <v>29.194630872483224</v>
      </c>
      <c r="M125" s="3">
        <v>0</v>
      </c>
      <c r="N125" s="3">
        <f t="shared" si="9"/>
        <v>0</v>
      </c>
      <c r="O125" s="3">
        <v>63</v>
      </c>
      <c r="P125" s="15">
        <v>41</v>
      </c>
      <c r="Q125" s="22" t="s">
        <v>1348</v>
      </c>
      <c r="R125" s="85">
        <v>43596</v>
      </c>
      <c r="S125" s="88">
        <v>22.47</v>
      </c>
      <c r="T125" s="22"/>
      <c r="U125" s="22" t="s">
        <v>1348</v>
      </c>
      <c r="V125" s="22" t="s">
        <v>1348</v>
      </c>
      <c r="W125" s="22" t="s">
        <v>1348</v>
      </c>
      <c r="X125" s="22"/>
      <c r="Y125" s="22"/>
      <c r="Z125" s="22"/>
      <c r="AA125" s="22"/>
      <c r="AB125" s="22"/>
      <c r="AC125" s="22"/>
      <c r="AD125" s="22"/>
      <c r="AE125" s="22"/>
    </row>
    <row r="126" spans="1:31" x14ac:dyDescent="0.25">
      <c r="A126" s="1" t="s">
        <v>0</v>
      </c>
      <c r="B126" s="1" t="s">
        <v>957</v>
      </c>
      <c r="C126" s="2" t="s">
        <v>1003</v>
      </c>
      <c r="D126" s="1" t="s">
        <v>1005</v>
      </c>
      <c r="E126" s="1"/>
      <c r="F126" s="3">
        <v>484</v>
      </c>
      <c r="G126" s="3">
        <v>27</v>
      </c>
      <c r="H126" s="4">
        <v>136</v>
      </c>
      <c r="I126" s="3">
        <v>76</v>
      </c>
      <c r="J126" s="3">
        <v>60</v>
      </c>
      <c r="K126" s="3">
        <v>23</v>
      </c>
      <c r="L126" s="3">
        <f t="shared" si="8"/>
        <v>16.911764705882355</v>
      </c>
      <c r="M126" s="3">
        <v>0</v>
      </c>
      <c r="N126" s="3">
        <f t="shared" si="9"/>
        <v>0</v>
      </c>
      <c r="O126" s="3">
        <v>0</v>
      </c>
      <c r="P126" s="15">
        <v>0</v>
      </c>
      <c r="Q126" s="22" t="s">
        <v>1348</v>
      </c>
      <c r="R126" s="85">
        <v>43783</v>
      </c>
      <c r="S126" s="88">
        <v>69.38</v>
      </c>
      <c r="T126" s="22"/>
      <c r="U126" s="22" t="s">
        <v>1348</v>
      </c>
      <c r="V126" s="22" t="s">
        <v>1348</v>
      </c>
      <c r="W126" s="22" t="s">
        <v>1348</v>
      </c>
      <c r="X126" s="22"/>
      <c r="Y126" s="22"/>
      <c r="Z126" s="22"/>
      <c r="AA126" s="22"/>
      <c r="AB126" s="22"/>
      <c r="AC126" s="22"/>
      <c r="AD126" s="22"/>
      <c r="AE126" s="22"/>
    </row>
    <row r="127" spans="1:31" x14ac:dyDescent="0.25">
      <c r="A127" s="1" t="s">
        <v>0</v>
      </c>
      <c r="B127" s="1" t="s">
        <v>957</v>
      </c>
      <c r="C127" s="2" t="s">
        <v>1003</v>
      </c>
      <c r="D127" s="1" t="s">
        <v>1006</v>
      </c>
      <c r="E127" s="1"/>
      <c r="F127" s="3">
        <v>343</v>
      </c>
      <c r="G127" s="3">
        <v>27</v>
      </c>
      <c r="H127" s="4">
        <v>168</v>
      </c>
      <c r="I127" s="3">
        <v>84</v>
      </c>
      <c r="J127" s="3">
        <v>84</v>
      </c>
      <c r="K127" s="3">
        <v>3</v>
      </c>
      <c r="L127" s="3">
        <f t="shared" si="8"/>
        <v>1.7857142857142856</v>
      </c>
      <c r="M127" s="3">
        <v>0</v>
      </c>
      <c r="N127" s="3">
        <f t="shared" si="9"/>
        <v>0</v>
      </c>
      <c r="O127" s="3">
        <v>0</v>
      </c>
      <c r="P127" s="15">
        <v>0</v>
      </c>
      <c r="Q127" s="22" t="s">
        <v>1348</v>
      </c>
      <c r="R127" s="85">
        <v>43785</v>
      </c>
      <c r="S127" s="88">
        <v>32.31</v>
      </c>
      <c r="T127" s="22"/>
      <c r="U127" s="22" t="s">
        <v>1348</v>
      </c>
      <c r="V127" s="22" t="s">
        <v>1348</v>
      </c>
      <c r="W127" s="22" t="s">
        <v>1348</v>
      </c>
      <c r="X127" s="22"/>
      <c r="Y127" s="22"/>
      <c r="Z127" s="22"/>
      <c r="AA127" s="22"/>
      <c r="AB127" s="22"/>
      <c r="AC127" s="22"/>
      <c r="AD127" s="22"/>
      <c r="AE127" s="22"/>
    </row>
    <row r="128" spans="1:31" x14ac:dyDescent="0.25">
      <c r="A128" s="1" t="s">
        <v>0</v>
      </c>
      <c r="B128" s="1" t="s">
        <v>957</v>
      </c>
      <c r="C128" s="2" t="s">
        <v>1003</v>
      </c>
      <c r="D128" s="1" t="s">
        <v>1007</v>
      </c>
      <c r="E128" s="1"/>
      <c r="F128" s="3">
        <v>4076</v>
      </c>
      <c r="G128" s="3">
        <v>606</v>
      </c>
      <c r="H128" s="4">
        <v>2833</v>
      </c>
      <c r="I128" s="3">
        <v>1441</v>
      </c>
      <c r="J128" s="3">
        <v>1392</v>
      </c>
      <c r="K128" s="3">
        <v>1036</v>
      </c>
      <c r="L128" s="3">
        <f t="shared" si="8"/>
        <v>36.569008118602184</v>
      </c>
      <c r="M128" s="3">
        <v>3</v>
      </c>
      <c r="N128" s="3">
        <f t="shared" si="9"/>
        <v>0.10589481115425345</v>
      </c>
      <c r="O128" s="3">
        <v>146</v>
      </c>
      <c r="P128" s="15">
        <v>0</v>
      </c>
      <c r="Q128" s="22" t="s">
        <v>1348</v>
      </c>
      <c r="R128" s="85">
        <v>43784</v>
      </c>
      <c r="S128" s="88">
        <v>10.65</v>
      </c>
      <c r="T128" s="22"/>
      <c r="U128" s="22" t="s">
        <v>1348</v>
      </c>
      <c r="V128" s="22" t="s">
        <v>1348</v>
      </c>
      <c r="W128" s="22" t="s">
        <v>1348</v>
      </c>
      <c r="X128" s="22"/>
      <c r="Y128" s="22"/>
      <c r="Z128" s="22"/>
      <c r="AA128" s="22"/>
      <c r="AB128" s="22"/>
      <c r="AC128" s="22"/>
      <c r="AD128" s="22"/>
      <c r="AE128" s="22"/>
    </row>
    <row r="129" spans="18:18" x14ac:dyDescent="0.25">
      <c r="R129" s="31"/>
    </row>
  </sheetData>
  <mergeCells count="3">
    <mergeCell ref="AD2:AE2"/>
    <mergeCell ref="M2:N2"/>
    <mergeCell ref="K2:L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1"/>
  <sheetViews>
    <sheetView workbookViewId="0">
      <pane xSplit="10" ySplit="4" topLeftCell="K5" activePane="bottomRight" state="frozen"/>
      <selection pane="topRight" activeCell="K1" sqref="K1"/>
      <selection pane="bottomLeft" activeCell="A5" sqref="A5"/>
      <selection pane="bottomRight" activeCell="Q14" sqref="Q14"/>
    </sheetView>
  </sheetViews>
  <sheetFormatPr defaultRowHeight="15" x14ac:dyDescent="0.25"/>
  <cols>
    <col min="3" max="3" width="17.42578125" customWidth="1"/>
    <col min="4" max="4" width="20.85546875" customWidth="1"/>
    <col min="12" max="12" width="14.85546875" customWidth="1"/>
    <col min="14" max="14" width="12.5703125" customWidth="1"/>
    <col min="18" max="18" width="10.42578125" style="99" bestFit="1" customWidth="1"/>
  </cols>
  <sheetData>
    <row r="1" spans="1:32" ht="15.75" x14ac:dyDescent="0.25">
      <c r="A1" s="23"/>
      <c r="B1" s="23"/>
      <c r="C1" s="24"/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11" t="s">
        <v>1327</v>
      </c>
      <c r="R1" s="94" t="s">
        <v>1327</v>
      </c>
      <c r="S1" s="11" t="s">
        <v>1328</v>
      </c>
      <c r="T1" s="12" t="s">
        <v>1329</v>
      </c>
      <c r="U1" s="11" t="s">
        <v>1329</v>
      </c>
      <c r="V1" s="11" t="s">
        <v>1329</v>
      </c>
      <c r="W1" s="11" t="s">
        <v>1329</v>
      </c>
      <c r="X1" s="11" t="s">
        <v>1329</v>
      </c>
      <c r="Y1" s="11" t="s">
        <v>1329</v>
      </c>
      <c r="Z1" s="13" t="s">
        <v>1330</v>
      </c>
      <c r="AA1" s="13" t="s">
        <v>1330</v>
      </c>
      <c r="AB1" s="13" t="s">
        <v>1330</v>
      </c>
      <c r="AC1" s="13" t="s">
        <v>1330</v>
      </c>
      <c r="AD1" s="13" t="s">
        <v>1330</v>
      </c>
      <c r="AE1" s="13" t="s">
        <v>1330</v>
      </c>
      <c r="AF1" s="22"/>
    </row>
    <row r="2" spans="1:32" ht="165" x14ac:dyDescent="0.25">
      <c r="A2" s="25" t="s">
        <v>1336</v>
      </c>
      <c r="B2" s="25" t="s">
        <v>1337</v>
      </c>
      <c r="C2" s="25" t="s">
        <v>1338</v>
      </c>
      <c r="D2" s="25" t="s">
        <v>1339</v>
      </c>
      <c r="E2" s="25" t="s">
        <v>1340</v>
      </c>
      <c r="F2" s="25" t="s">
        <v>1341</v>
      </c>
      <c r="G2" s="25" t="s">
        <v>1342</v>
      </c>
      <c r="H2" s="25" t="s">
        <v>1343</v>
      </c>
      <c r="I2" s="25" t="s">
        <v>1344</v>
      </c>
      <c r="J2" s="25" t="s">
        <v>1345</v>
      </c>
      <c r="K2" s="119" t="s">
        <v>1346</v>
      </c>
      <c r="L2" s="120"/>
      <c r="M2" s="119" t="s">
        <v>1347</v>
      </c>
      <c r="N2" s="120"/>
      <c r="O2" s="14" t="s">
        <v>1331</v>
      </c>
      <c r="P2" s="14" t="s">
        <v>1332</v>
      </c>
      <c r="Q2" s="6" t="s">
        <v>1307</v>
      </c>
      <c r="R2" s="95" t="s">
        <v>1308</v>
      </c>
      <c r="S2" s="6" t="s">
        <v>1309</v>
      </c>
      <c r="T2" s="7" t="s">
        <v>1310</v>
      </c>
      <c r="U2" s="6" t="s">
        <v>1311</v>
      </c>
      <c r="V2" s="7" t="s">
        <v>1312</v>
      </c>
      <c r="W2" s="6" t="s">
        <v>1313</v>
      </c>
      <c r="X2" s="6" t="s">
        <v>1314</v>
      </c>
      <c r="Y2" s="7" t="s">
        <v>1315</v>
      </c>
      <c r="Z2" s="7" t="s">
        <v>1316</v>
      </c>
      <c r="AA2" s="7" t="s">
        <v>1317</v>
      </c>
      <c r="AB2" s="7" t="s">
        <v>1318</v>
      </c>
      <c r="AC2" s="7" t="s">
        <v>1319</v>
      </c>
      <c r="AD2" s="121" t="s">
        <v>1320</v>
      </c>
      <c r="AE2" s="121"/>
      <c r="AF2" s="22"/>
    </row>
    <row r="3" spans="1:32" ht="31.5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8" t="s">
        <v>1333</v>
      </c>
      <c r="L3" s="8" t="s">
        <v>1334</v>
      </c>
      <c r="M3" s="8" t="s">
        <v>1333</v>
      </c>
      <c r="N3" s="8" t="s">
        <v>1334</v>
      </c>
      <c r="O3" s="14" t="s">
        <v>1335</v>
      </c>
      <c r="P3" s="14" t="s">
        <v>1335</v>
      </c>
      <c r="Q3" s="19" t="s">
        <v>1321</v>
      </c>
      <c r="R3" s="118" t="s">
        <v>1322</v>
      </c>
      <c r="S3" s="19" t="s">
        <v>1323</v>
      </c>
      <c r="T3" s="20" t="s">
        <v>1323</v>
      </c>
      <c r="U3" s="19" t="s">
        <v>1321</v>
      </c>
      <c r="V3" s="19" t="s">
        <v>1321</v>
      </c>
      <c r="W3" s="20" t="s">
        <v>1321</v>
      </c>
      <c r="X3" s="20" t="s">
        <v>1321</v>
      </c>
      <c r="Y3" s="20" t="s">
        <v>1323</v>
      </c>
      <c r="Z3" s="20" t="s">
        <v>1321</v>
      </c>
      <c r="AA3" s="20" t="s">
        <v>1321</v>
      </c>
      <c r="AB3" s="20" t="s">
        <v>1323</v>
      </c>
      <c r="AC3" s="19" t="s">
        <v>1324</v>
      </c>
      <c r="AD3" s="21" t="s">
        <v>1325</v>
      </c>
      <c r="AE3" s="21" t="s">
        <v>1326</v>
      </c>
      <c r="AF3" s="22"/>
    </row>
    <row r="4" spans="1:32" x14ac:dyDescent="0.25">
      <c r="A4" s="1" t="s">
        <v>0</v>
      </c>
      <c r="B4" s="1" t="s">
        <v>1113</v>
      </c>
      <c r="C4" s="2" t="s">
        <v>1117</v>
      </c>
      <c r="D4" s="1" t="s">
        <v>1116</v>
      </c>
      <c r="E4" s="1"/>
      <c r="F4" s="3">
        <v>365.17</v>
      </c>
      <c r="G4" s="3">
        <v>292</v>
      </c>
      <c r="H4" s="4">
        <v>1272</v>
      </c>
      <c r="I4" s="3">
        <v>607</v>
      </c>
      <c r="J4" s="3">
        <v>665</v>
      </c>
      <c r="K4" s="3">
        <v>288</v>
      </c>
      <c r="L4" s="3">
        <f t="shared" ref="L4:L35" si="0">(K4/H4)*100</f>
        <v>22.641509433962266</v>
      </c>
      <c r="M4" s="3">
        <v>316</v>
      </c>
      <c r="N4" s="3">
        <f t="shared" ref="N4:N35" si="1">(M4/H4)*100</f>
        <v>24.842767295597483</v>
      </c>
      <c r="O4" s="3">
        <v>0</v>
      </c>
      <c r="P4" s="15">
        <v>0</v>
      </c>
      <c r="Q4" s="22" t="s">
        <v>1348</v>
      </c>
      <c r="R4" s="102">
        <v>43878</v>
      </c>
      <c r="S4" s="67">
        <v>13.49</v>
      </c>
      <c r="T4" s="22"/>
      <c r="U4" s="22" t="s">
        <v>1348</v>
      </c>
      <c r="V4" s="22" t="s">
        <v>1348</v>
      </c>
      <c r="W4" s="22" t="s">
        <v>1348</v>
      </c>
      <c r="X4" s="22"/>
      <c r="Y4" s="22"/>
      <c r="Z4" s="22"/>
      <c r="AA4" s="22"/>
      <c r="AB4" s="22"/>
      <c r="AC4" s="22"/>
      <c r="AD4" s="22"/>
      <c r="AE4" s="22"/>
      <c r="AF4" s="22"/>
    </row>
    <row r="5" spans="1:32" x14ac:dyDescent="0.25">
      <c r="A5" s="1" t="s">
        <v>0</v>
      </c>
      <c r="B5" s="1" t="s">
        <v>1113</v>
      </c>
      <c r="C5" s="2" t="s">
        <v>1117</v>
      </c>
      <c r="D5" s="1" t="s">
        <v>1118</v>
      </c>
      <c r="E5" s="1"/>
      <c r="F5" s="3">
        <v>2102.62</v>
      </c>
      <c r="G5" s="3">
        <v>362</v>
      </c>
      <c r="H5" s="4">
        <v>1707</v>
      </c>
      <c r="I5" s="3">
        <v>827</v>
      </c>
      <c r="J5" s="3">
        <v>880</v>
      </c>
      <c r="K5" s="3">
        <v>523</v>
      </c>
      <c r="L5" s="3">
        <f t="shared" si="0"/>
        <v>30.638547158758055</v>
      </c>
      <c r="M5" s="3">
        <v>406</v>
      </c>
      <c r="N5" s="3">
        <f t="shared" si="1"/>
        <v>23.784417106033978</v>
      </c>
      <c r="O5" s="3">
        <v>99.15</v>
      </c>
      <c r="P5" s="15">
        <v>0</v>
      </c>
      <c r="Q5" s="22" t="s">
        <v>1348</v>
      </c>
      <c r="R5" s="102">
        <v>43879</v>
      </c>
      <c r="S5" s="67">
        <v>93.27</v>
      </c>
      <c r="T5" s="22"/>
      <c r="U5" s="22" t="s">
        <v>1348</v>
      </c>
      <c r="V5" s="22" t="s">
        <v>1348</v>
      </c>
      <c r="W5" s="22" t="s">
        <v>1348</v>
      </c>
      <c r="X5" s="22"/>
      <c r="Y5" s="22"/>
      <c r="Z5" s="22"/>
      <c r="AA5" s="22"/>
      <c r="AB5" s="22"/>
      <c r="AC5" s="22"/>
      <c r="AD5" s="22"/>
      <c r="AE5" s="22"/>
      <c r="AF5" s="22"/>
    </row>
    <row r="6" spans="1:32" x14ac:dyDescent="0.25">
      <c r="A6" s="1" t="s">
        <v>0</v>
      </c>
      <c r="B6" s="1" t="s">
        <v>1113</v>
      </c>
      <c r="C6" s="2" t="s">
        <v>1117</v>
      </c>
      <c r="D6" s="1" t="s">
        <v>1123</v>
      </c>
      <c r="E6" s="1"/>
      <c r="F6" s="3">
        <v>2419</v>
      </c>
      <c r="G6" s="3">
        <v>362</v>
      </c>
      <c r="H6" s="4">
        <v>1582</v>
      </c>
      <c r="I6" s="3">
        <v>741</v>
      </c>
      <c r="J6" s="3">
        <v>841</v>
      </c>
      <c r="K6" s="3">
        <v>210</v>
      </c>
      <c r="L6" s="3">
        <f t="shared" si="0"/>
        <v>13.274336283185843</v>
      </c>
      <c r="M6" s="3">
        <v>310</v>
      </c>
      <c r="N6" s="3">
        <f t="shared" si="1"/>
        <v>19.59544879898862</v>
      </c>
      <c r="O6" s="3">
        <v>308</v>
      </c>
      <c r="P6" s="15">
        <v>0</v>
      </c>
      <c r="Q6" s="22" t="s">
        <v>1348</v>
      </c>
      <c r="R6" s="102">
        <v>43877</v>
      </c>
      <c r="S6" s="67">
        <v>14.06</v>
      </c>
      <c r="T6" s="22"/>
      <c r="U6" s="22" t="s">
        <v>1348</v>
      </c>
      <c r="V6" s="22" t="s">
        <v>1348</v>
      </c>
      <c r="W6" s="22" t="s">
        <v>1348</v>
      </c>
      <c r="X6" s="22"/>
      <c r="Y6" s="22"/>
      <c r="Z6" s="22"/>
      <c r="AA6" s="22"/>
      <c r="AB6" s="22"/>
      <c r="AC6" s="22"/>
      <c r="AD6" s="22"/>
      <c r="AE6" s="22"/>
      <c r="AF6" s="22"/>
    </row>
    <row r="7" spans="1:32" x14ac:dyDescent="0.25">
      <c r="A7" s="1" t="s">
        <v>0</v>
      </c>
      <c r="B7" s="1" t="s">
        <v>1113</v>
      </c>
      <c r="C7" s="2" t="s">
        <v>1158</v>
      </c>
      <c r="D7" s="1" t="s">
        <v>728</v>
      </c>
      <c r="E7" s="1"/>
      <c r="F7" s="3">
        <v>438</v>
      </c>
      <c r="G7" s="3">
        <v>114</v>
      </c>
      <c r="H7" s="4">
        <v>605</v>
      </c>
      <c r="I7" s="3">
        <v>308</v>
      </c>
      <c r="J7" s="3">
        <v>297</v>
      </c>
      <c r="K7" s="3">
        <v>82</v>
      </c>
      <c r="L7" s="3">
        <f t="shared" si="0"/>
        <v>13.553719008264462</v>
      </c>
      <c r="M7" s="3">
        <v>20</v>
      </c>
      <c r="N7" s="3">
        <f t="shared" si="1"/>
        <v>3.3057851239669422</v>
      </c>
      <c r="O7" s="3">
        <v>66</v>
      </c>
      <c r="P7" s="15">
        <v>0</v>
      </c>
      <c r="Q7" s="22" t="s">
        <v>1348</v>
      </c>
      <c r="R7" s="102">
        <v>43787</v>
      </c>
      <c r="S7" s="67">
        <v>18.11</v>
      </c>
      <c r="T7" s="22"/>
      <c r="U7" s="22" t="s">
        <v>1348</v>
      </c>
      <c r="V7" s="22" t="s">
        <v>1348</v>
      </c>
      <c r="W7" s="22" t="s">
        <v>1348</v>
      </c>
      <c r="X7" s="22" t="s">
        <v>1348</v>
      </c>
      <c r="Y7" s="88">
        <v>3</v>
      </c>
      <c r="Z7" s="22"/>
      <c r="AA7" s="22"/>
      <c r="AB7" s="22"/>
      <c r="AC7" s="22"/>
      <c r="AD7" s="22"/>
      <c r="AE7" s="22"/>
      <c r="AF7" s="22"/>
    </row>
    <row r="8" spans="1:32" x14ac:dyDescent="0.25">
      <c r="A8" s="1" t="s">
        <v>0</v>
      </c>
      <c r="B8" s="1" t="s">
        <v>1113</v>
      </c>
      <c r="C8" s="2" t="s">
        <v>1158</v>
      </c>
      <c r="D8" s="1" t="s">
        <v>1159</v>
      </c>
      <c r="E8" s="1"/>
      <c r="F8" s="3">
        <v>2564</v>
      </c>
      <c r="G8" s="3">
        <v>943</v>
      </c>
      <c r="H8" s="4">
        <v>4325</v>
      </c>
      <c r="I8" s="3">
        <v>2199</v>
      </c>
      <c r="J8" s="3">
        <v>2126</v>
      </c>
      <c r="K8" s="3">
        <v>713</v>
      </c>
      <c r="L8" s="3">
        <f t="shared" si="0"/>
        <v>16.485549132947977</v>
      </c>
      <c r="M8" s="3">
        <v>1897</v>
      </c>
      <c r="N8" s="3">
        <f t="shared" si="1"/>
        <v>43.861271676300575</v>
      </c>
      <c r="O8" s="3">
        <v>376</v>
      </c>
      <c r="P8" s="15">
        <v>0</v>
      </c>
      <c r="Q8" s="22" t="s">
        <v>1348</v>
      </c>
      <c r="R8" s="102">
        <v>43792</v>
      </c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</row>
    <row r="9" spans="1:32" x14ac:dyDescent="0.25">
      <c r="A9" s="1" t="s">
        <v>0</v>
      </c>
      <c r="B9" s="1" t="s">
        <v>1113</v>
      </c>
      <c r="C9" s="2" t="s">
        <v>1161</v>
      </c>
      <c r="D9" s="1" t="s">
        <v>1160</v>
      </c>
      <c r="E9" s="1"/>
      <c r="F9" s="3">
        <v>886.49</v>
      </c>
      <c r="G9" s="3">
        <v>256</v>
      </c>
      <c r="H9" s="4">
        <v>1287</v>
      </c>
      <c r="I9" s="3">
        <v>663</v>
      </c>
      <c r="J9" s="3">
        <v>624</v>
      </c>
      <c r="K9" s="3">
        <v>252</v>
      </c>
      <c r="L9" s="3">
        <f t="shared" si="0"/>
        <v>19.58041958041958</v>
      </c>
      <c r="M9" s="3">
        <v>377</v>
      </c>
      <c r="N9" s="3">
        <f t="shared" si="1"/>
        <v>29.292929292929294</v>
      </c>
      <c r="O9" s="3">
        <v>23.76</v>
      </c>
      <c r="P9" s="15">
        <v>8.06</v>
      </c>
      <c r="Q9" s="22" t="s">
        <v>1348</v>
      </c>
      <c r="R9" s="102">
        <v>43792</v>
      </c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</row>
    <row r="10" spans="1:32" x14ac:dyDescent="0.25">
      <c r="A10" s="1" t="s">
        <v>0</v>
      </c>
      <c r="B10" s="1" t="s">
        <v>1113</v>
      </c>
      <c r="C10" s="2" t="s">
        <v>1161</v>
      </c>
      <c r="D10" s="1" t="s">
        <v>1164</v>
      </c>
      <c r="E10" s="1"/>
      <c r="F10" s="3">
        <v>935.05</v>
      </c>
      <c r="G10" s="3">
        <v>233</v>
      </c>
      <c r="H10" s="4">
        <v>1049</v>
      </c>
      <c r="I10" s="3">
        <v>500</v>
      </c>
      <c r="J10" s="3">
        <v>549</v>
      </c>
      <c r="K10" s="3">
        <v>241</v>
      </c>
      <c r="L10" s="3">
        <f t="shared" si="0"/>
        <v>22.974261201143946</v>
      </c>
      <c r="M10" s="3">
        <v>8</v>
      </c>
      <c r="N10" s="3">
        <f t="shared" si="1"/>
        <v>0.76263107721639656</v>
      </c>
      <c r="O10" s="3">
        <v>58.1</v>
      </c>
      <c r="P10" s="15">
        <v>0</v>
      </c>
      <c r="Q10" s="22" t="s">
        <v>1348</v>
      </c>
      <c r="R10" s="102">
        <v>43797</v>
      </c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</row>
    <row r="11" spans="1:32" x14ac:dyDescent="0.25">
      <c r="A11" s="1" t="s">
        <v>0</v>
      </c>
      <c r="B11" s="1" t="s">
        <v>1113</v>
      </c>
      <c r="C11" s="2" t="s">
        <v>1161</v>
      </c>
      <c r="D11" s="1" t="s">
        <v>362</v>
      </c>
      <c r="E11" s="1"/>
      <c r="F11" s="3">
        <v>440</v>
      </c>
      <c r="G11" s="3">
        <v>186</v>
      </c>
      <c r="H11" s="4">
        <v>796</v>
      </c>
      <c r="I11" s="3">
        <v>392</v>
      </c>
      <c r="J11" s="3">
        <v>404</v>
      </c>
      <c r="K11" s="3">
        <v>110</v>
      </c>
      <c r="L11" s="3">
        <f t="shared" si="0"/>
        <v>13.819095477386934</v>
      </c>
      <c r="M11" s="3">
        <v>43</v>
      </c>
      <c r="N11" s="3">
        <f t="shared" si="1"/>
        <v>5.4020100502512562</v>
      </c>
      <c r="O11" s="3">
        <v>0</v>
      </c>
      <c r="P11" s="15">
        <v>0</v>
      </c>
      <c r="Q11" s="22" t="s">
        <v>1348</v>
      </c>
      <c r="R11" s="102">
        <v>43796</v>
      </c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x14ac:dyDescent="0.25">
      <c r="A12" s="1" t="s">
        <v>0</v>
      </c>
      <c r="B12" s="1" t="s">
        <v>1113</v>
      </c>
      <c r="C12" s="2" t="s">
        <v>1161</v>
      </c>
      <c r="D12" s="1" t="s">
        <v>1165</v>
      </c>
      <c r="E12" s="1"/>
      <c r="F12" s="3">
        <v>218.82</v>
      </c>
      <c r="G12" s="3">
        <v>108</v>
      </c>
      <c r="H12" s="4">
        <v>566</v>
      </c>
      <c r="I12" s="3">
        <v>289</v>
      </c>
      <c r="J12" s="3">
        <v>277</v>
      </c>
      <c r="K12" s="3">
        <v>250</v>
      </c>
      <c r="L12" s="3">
        <f t="shared" si="0"/>
        <v>44.169611307420489</v>
      </c>
      <c r="M12" s="3">
        <v>191</v>
      </c>
      <c r="N12" s="3">
        <f t="shared" si="1"/>
        <v>33.745583038869256</v>
      </c>
      <c r="O12" s="3">
        <v>18.52</v>
      </c>
      <c r="P12" s="15">
        <v>0</v>
      </c>
      <c r="Q12" s="22" t="s">
        <v>1348</v>
      </c>
      <c r="R12" s="102">
        <v>43790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</row>
    <row r="13" spans="1:32" x14ac:dyDescent="0.25">
      <c r="A13" s="1" t="s">
        <v>0</v>
      </c>
      <c r="B13" s="1" t="s">
        <v>1113</v>
      </c>
      <c r="C13" s="2" t="s">
        <v>1185</v>
      </c>
      <c r="D13" s="1" t="s">
        <v>1184</v>
      </c>
      <c r="E13" s="1"/>
      <c r="F13" s="3">
        <v>566</v>
      </c>
      <c r="G13" s="3">
        <v>203</v>
      </c>
      <c r="H13" s="4">
        <v>732</v>
      </c>
      <c r="I13" s="3">
        <v>361</v>
      </c>
      <c r="J13" s="3">
        <v>371</v>
      </c>
      <c r="K13" s="3">
        <v>195</v>
      </c>
      <c r="L13" s="3">
        <f t="shared" si="0"/>
        <v>26.639344262295083</v>
      </c>
      <c r="M13" s="3">
        <v>122</v>
      </c>
      <c r="N13" s="3">
        <f t="shared" si="1"/>
        <v>16.666666666666664</v>
      </c>
      <c r="O13" s="3">
        <v>111</v>
      </c>
      <c r="P13" s="15">
        <v>0</v>
      </c>
      <c r="Q13" s="22" t="s">
        <v>1348</v>
      </c>
      <c r="R13" s="102">
        <v>43508</v>
      </c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</row>
    <row r="14" spans="1:32" x14ac:dyDescent="0.25">
      <c r="A14" s="1" t="s">
        <v>0</v>
      </c>
      <c r="B14" s="1" t="s">
        <v>1113</v>
      </c>
      <c r="C14" s="2" t="s">
        <v>1185</v>
      </c>
      <c r="D14" s="1" t="s">
        <v>1187</v>
      </c>
      <c r="E14" s="1"/>
      <c r="F14" s="3">
        <v>207</v>
      </c>
      <c r="G14" s="3">
        <v>96</v>
      </c>
      <c r="H14" s="4">
        <v>470</v>
      </c>
      <c r="I14" s="3">
        <v>203</v>
      </c>
      <c r="J14" s="3">
        <v>267</v>
      </c>
      <c r="K14" s="3">
        <v>64</v>
      </c>
      <c r="L14" s="3">
        <f t="shared" si="0"/>
        <v>13.617021276595745</v>
      </c>
      <c r="M14" s="3">
        <v>0</v>
      </c>
      <c r="N14" s="3">
        <f t="shared" si="1"/>
        <v>0</v>
      </c>
      <c r="O14" s="3">
        <v>0</v>
      </c>
      <c r="P14" s="15">
        <v>0</v>
      </c>
      <c r="Q14" s="22"/>
      <c r="R14" s="10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</row>
    <row r="15" spans="1:32" x14ac:dyDescent="0.25">
      <c r="A15" s="1" t="s">
        <v>0</v>
      </c>
      <c r="B15" s="1" t="s">
        <v>1113</v>
      </c>
      <c r="C15" s="2" t="s">
        <v>1185</v>
      </c>
      <c r="D15" s="1" t="s">
        <v>1188</v>
      </c>
      <c r="E15" s="1"/>
      <c r="F15" s="3">
        <v>438</v>
      </c>
      <c r="G15" s="3">
        <v>205</v>
      </c>
      <c r="H15" s="4">
        <v>873</v>
      </c>
      <c r="I15" s="3">
        <v>394</v>
      </c>
      <c r="J15" s="3">
        <v>479</v>
      </c>
      <c r="K15" s="3">
        <v>192</v>
      </c>
      <c r="L15" s="3">
        <f t="shared" si="0"/>
        <v>21.993127147766323</v>
      </c>
      <c r="M15" s="3">
        <v>104</v>
      </c>
      <c r="N15" s="3">
        <f t="shared" si="1"/>
        <v>11.912943871706757</v>
      </c>
      <c r="O15" s="3">
        <v>53</v>
      </c>
      <c r="P15" s="15">
        <v>0</v>
      </c>
      <c r="Q15" s="22" t="s">
        <v>1348</v>
      </c>
      <c r="R15" s="102">
        <v>43795</v>
      </c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</row>
    <row r="16" spans="1:32" x14ac:dyDescent="0.25">
      <c r="A16" s="1" t="s">
        <v>0</v>
      </c>
      <c r="B16" s="1" t="s">
        <v>1113</v>
      </c>
      <c r="C16" s="2" t="s">
        <v>1167</v>
      </c>
      <c r="D16" s="1" t="s">
        <v>1166</v>
      </c>
      <c r="E16" s="1"/>
      <c r="F16" s="3">
        <v>3401</v>
      </c>
      <c r="G16" s="3">
        <v>1184</v>
      </c>
      <c r="H16" s="4">
        <v>5858</v>
      </c>
      <c r="I16" s="3">
        <v>3013</v>
      </c>
      <c r="J16" s="3">
        <v>2845</v>
      </c>
      <c r="K16" s="3">
        <v>1194</v>
      </c>
      <c r="L16" s="3">
        <f t="shared" si="0"/>
        <v>20.382383065892796</v>
      </c>
      <c r="M16" s="3">
        <v>977</v>
      </c>
      <c r="N16" s="3">
        <f t="shared" si="1"/>
        <v>16.678047115056334</v>
      </c>
      <c r="O16" s="3">
        <v>230</v>
      </c>
      <c r="P16" s="15">
        <v>0</v>
      </c>
      <c r="Q16" s="22" t="s">
        <v>1348</v>
      </c>
      <c r="R16" s="102">
        <v>43796</v>
      </c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</row>
    <row r="17" spans="1:32" x14ac:dyDescent="0.25">
      <c r="A17" s="1" t="s">
        <v>0</v>
      </c>
      <c r="B17" s="1" t="s">
        <v>1113</v>
      </c>
      <c r="C17" s="2" t="s">
        <v>1132</v>
      </c>
      <c r="D17" s="1" t="s">
        <v>1131</v>
      </c>
      <c r="E17" s="1"/>
      <c r="F17" s="3">
        <v>1140</v>
      </c>
      <c r="G17" s="3">
        <v>438</v>
      </c>
      <c r="H17" s="4">
        <v>1893</v>
      </c>
      <c r="I17" s="3">
        <v>862</v>
      </c>
      <c r="J17" s="3">
        <v>1031</v>
      </c>
      <c r="K17" s="3">
        <v>412</v>
      </c>
      <c r="L17" s="3">
        <f t="shared" si="0"/>
        <v>21.764395139989436</v>
      </c>
      <c r="M17" s="3">
        <v>292</v>
      </c>
      <c r="N17" s="3">
        <f t="shared" si="1"/>
        <v>15.425250924458531</v>
      </c>
      <c r="O17" s="3">
        <v>60</v>
      </c>
      <c r="P17" s="15">
        <v>0</v>
      </c>
      <c r="Q17" s="22" t="s">
        <v>1348</v>
      </c>
      <c r="R17" s="102">
        <v>44106</v>
      </c>
      <c r="S17" s="67">
        <v>17.649999999999999</v>
      </c>
      <c r="T17" s="22"/>
      <c r="U17" s="22" t="s">
        <v>1348</v>
      </c>
      <c r="V17" s="22" t="s">
        <v>1348</v>
      </c>
      <c r="W17" s="22" t="s">
        <v>1348</v>
      </c>
      <c r="X17" s="22"/>
      <c r="Y17" s="22"/>
      <c r="Z17" s="22"/>
      <c r="AA17" s="22"/>
      <c r="AB17" s="22"/>
      <c r="AC17" s="22"/>
      <c r="AD17" s="22"/>
      <c r="AE17" s="22"/>
      <c r="AF17" s="22"/>
    </row>
    <row r="18" spans="1:32" x14ac:dyDescent="0.25">
      <c r="A18" s="1" t="s">
        <v>0</v>
      </c>
      <c r="B18" s="1" t="s">
        <v>1113</v>
      </c>
      <c r="C18" s="2" t="s">
        <v>1132</v>
      </c>
      <c r="D18" s="1" t="s">
        <v>1133</v>
      </c>
      <c r="E18" s="1"/>
      <c r="F18" s="3">
        <v>1014</v>
      </c>
      <c r="G18" s="3">
        <v>540</v>
      </c>
      <c r="H18" s="4">
        <v>2493</v>
      </c>
      <c r="I18" s="3">
        <v>1188</v>
      </c>
      <c r="J18" s="3">
        <v>1305</v>
      </c>
      <c r="K18" s="3">
        <v>545</v>
      </c>
      <c r="L18" s="3">
        <f t="shared" si="0"/>
        <v>21.86121139189731</v>
      </c>
      <c r="M18" s="3">
        <v>0</v>
      </c>
      <c r="N18" s="3">
        <f t="shared" si="1"/>
        <v>0</v>
      </c>
      <c r="O18" s="3">
        <v>190</v>
      </c>
      <c r="P18" s="15">
        <v>0</v>
      </c>
      <c r="Q18" s="22" t="s">
        <v>1348</v>
      </c>
      <c r="R18" s="102">
        <v>43874</v>
      </c>
      <c r="S18" s="67">
        <v>18.170000000000002</v>
      </c>
      <c r="T18" s="22"/>
      <c r="U18" s="22" t="s">
        <v>1348</v>
      </c>
      <c r="V18" s="22" t="s">
        <v>1348</v>
      </c>
      <c r="W18" s="22" t="s">
        <v>1348</v>
      </c>
      <c r="X18" s="22" t="s">
        <v>1348</v>
      </c>
      <c r="Y18" s="88">
        <v>7</v>
      </c>
      <c r="Z18" s="22"/>
      <c r="AA18" s="22"/>
      <c r="AB18" s="22"/>
      <c r="AC18" s="22"/>
      <c r="AD18" s="22"/>
      <c r="AE18" s="22"/>
      <c r="AF18" s="22"/>
    </row>
    <row r="19" spans="1:32" x14ac:dyDescent="0.25">
      <c r="A19" s="1" t="s">
        <v>0</v>
      </c>
      <c r="B19" s="1" t="s">
        <v>1113</v>
      </c>
      <c r="C19" s="2" t="s">
        <v>1180</v>
      </c>
      <c r="D19" s="1" t="s">
        <v>1179</v>
      </c>
      <c r="E19" s="1"/>
      <c r="F19" s="3">
        <v>2166.9</v>
      </c>
      <c r="G19" s="3">
        <v>835</v>
      </c>
      <c r="H19" s="4">
        <v>4070</v>
      </c>
      <c r="I19" s="3">
        <v>2009</v>
      </c>
      <c r="J19" s="3">
        <v>2061</v>
      </c>
      <c r="K19" s="3">
        <v>795</v>
      </c>
      <c r="L19" s="3">
        <f t="shared" si="0"/>
        <v>19.533169533169534</v>
      </c>
      <c r="M19" s="3">
        <v>373</v>
      </c>
      <c r="N19" s="3">
        <f t="shared" si="1"/>
        <v>9.1646191646191646</v>
      </c>
      <c r="O19" s="3">
        <v>113.95</v>
      </c>
      <c r="P19" s="15">
        <v>516.1</v>
      </c>
      <c r="Q19" s="22" t="s">
        <v>1348</v>
      </c>
      <c r="R19" s="102">
        <v>43798</v>
      </c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</row>
    <row r="20" spans="1:32" x14ac:dyDescent="0.25">
      <c r="A20" s="1" t="s">
        <v>0</v>
      </c>
      <c r="B20" s="1" t="s">
        <v>1113</v>
      </c>
      <c r="C20" s="2" t="s">
        <v>1148</v>
      </c>
      <c r="D20" s="1" t="s">
        <v>1147</v>
      </c>
      <c r="E20" s="1"/>
      <c r="F20" s="3">
        <v>1323</v>
      </c>
      <c r="G20" s="3">
        <v>86</v>
      </c>
      <c r="H20" s="4">
        <v>353</v>
      </c>
      <c r="I20" s="3">
        <v>158</v>
      </c>
      <c r="J20" s="3">
        <v>195</v>
      </c>
      <c r="K20" s="3">
        <v>5</v>
      </c>
      <c r="L20" s="3">
        <f t="shared" si="0"/>
        <v>1.41643059490085</v>
      </c>
      <c r="M20" s="3">
        <v>0</v>
      </c>
      <c r="N20" s="3">
        <f t="shared" si="1"/>
        <v>0</v>
      </c>
      <c r="O20" s="3">
        <v>100</v>
      </c>
      <c r="P20" s="15">
        <v>0</v>
      </c>
      <c r="Q20" s="22" t="s">
        <v>1348</v>
      </c>
      <c r="R20" s="102">
        <v>43477</v>
      </c>
      <c r="S20" s="67">
        <v>66.38</v>
      </c>
      <c r="T20" s="22"/>
      <c r="U20" s="22" t="s">
        <v>1348</v>
      </c>
      <c r="V20" s="22" t="s">
        <v>1348</v>
      </c>
      <c r="W20" s="22" t="s">
        <v>1348</v>
      </c>
      <c r="X20" s="22"/>
      <c r="Y20" s="22"/>
      <c r="Z20" s="22"/>
      <c r="AA20" s="22"/>
      <c r="AB20" s="22"/>
      <c r="AC20" s="22"/>
      <c r="AD20" s="22"/>
      <c r="AE20" s="22"/>
      <c r="AF20" s="22"/>
    </row>
    <row r="21" spans="1:32" x14ac:dyDescent="0.25">
      <c r="A21" s="1" t="s">
        <v>0</v>
      </c>
      <c r="B21" s="1" t="s">
        <v>1113</v>
      </c>
      <c r="C21" s="2" t="s">
        <v>1148</v>
      </c>
      <c r="D21" s="1" t="s">
        <v>1149</v>
      </c>
      <c r="E21" s="1"/>
      <c r="F21" s="3">
        <v>2313</v>
      </c>
      <c r="G21" s="3">
        <v>607</v>
      </c>
      <c r="H21" s="4">
        <v>2848</v>
      </c>
      <c r="I21" s="3">
        <v>1397</v>
      </c>
      <c r="J21" s="3">
        <v>1451</v>
      </c>
      <c r="K21" s="3">
        <v>727</v>
      </c>
      <c r="L21" s="3">
        <f t="shared" si="0"/>
        <v>25.526685393258425</v>
      </c>
      <c r="M21" s="3">
        <v>390</v>
      </c>
      <c r="N21" s="3">
        <f t="shared" si="1"/>
        <v>13.693820224719101</v>
      </c>
      <c r="O21" s="3">
        <v>232</v>
      </c>
      <c r="P21" s="15">
        <v>0</v>
      </c>
      <c r="Q21" s="22" t="s">
        <v>1348</v>
      </c>
      <c r="R21" s="102">
        <v>43477</v>
      </c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</row>
    <row r="22" spans="1:32" x14ac:dyDescent="0.25">
      <c r="A22" s="1" t="s">
        <v>0</v>
      </c>
      <c r="B22" s="1" t="s">
        <v>1113</v>
      </c>
      <c r="C22" s="2" t="s">
        <v>1115</v>
      </c>
      <c r="D22" s="1" t="s">
        <v>1114</v>
      </c>
      <c r="E22" s="1"/>
      <c r="F22" s="3">
        <v>5788</v>
      </c>
      <c r="G22" s="3">
        <v>1204</v>
      </c>
      <c r="H22" s="4">
        <v>5644</v>
      </c>
      <c r="I22" s="3">
        <v>2774</v>
      </c>
      <c r="J22" s="3">
        <v>2870</v>
      </c>
      <c r="K22" s="3">
        <v>744</v>
      </c>
      <c r="L22" s="3">
        <f t="shared" si="0"/>
        <v>13.182140326009922</v>
      </c>
      <c r="M22" s="3">
        <v>1262</v>
      </c>
      <c r="N22" s="3">
        <f t="shared" si="1"/>
        <v>22.360028348688875</v>
      </c>
      <c r="O22" s="3">
        <v>309</v>
      </c>
      <c r="P22" s="15">
        <v>0</v>
      </c>
      <c r="Q22" s="22" t="s">
        <v>1348</v>
      </c>
      <c r="R22" s="102">
        <v>43880</v>
      </c>
      <c r="S22" s="67">
        <v>35.07</v>
      </c>
      <c r="T22" s="22"/>
      <c r="U22" s="22" t="s">
        <v>1348</v>
      </c>
      <c r="V22" s="22" t="s">
        <v>1348</v>
      </c>
      <c r="W22" s="22" t="s">
        <v>1348</v>
      </c>
      <c r="X22" s="22" t="s">
        <v>1348</v>
      </c>
      <c r="Y22" s="88">
        <v>3</v>
      </c>
      <c r="Z22" s="22"/>
      <c r="AA22" s="22"/>
      <c r="AB22" s="22"/>
      <c r="AC22" s="22"/>
      <c r="AD22" s="22"/>
      <c r="AE22" s="22"/>
      <c r="AF22" s="22"/>
    </row>
    <row r="23" spans="1:32" x14ac:dyDescent="0.25">
      <c r="A23" s="1" t="s">
        <v>0</v>
      </c>
      <c r="B23" s="1" t="s">
        <v>1113</v>
      </c>
      <c r="C23" s="2" t="s">
        <v>1151</v>
      </c>
      <c r="D23" s="1" t="s">
        <v>1150</v>
      </c>
      <c r="E23" s="1"/>
      <c r="F23" s="3">
        <v>870</v>
      </c>
      <c r="G23" s="3">
        <v>173</v>
      </c>
      <c r="H23" s="4">
        <v>782</v>
      </c>
      <c r="I23" s="3">
        <v>357</v>
      </c>
      <c r="J23" s="3">
        <v>425</v>
      </c>
      <c r="K23" s="3">
        <v>220</v>
      </c>
      <c r="L23" s="3">
        <f t="shared" si="0"/>
        <v>28.132992327365731</v>
      </c>
      <c r="M23" s="3">
        <v>208</v>
      </c>
      <c r="N23" s="3">
        <f t="shared" si="1"/>
        <v>26.598465473145783</v>
      </c>
      <c r="O23" s="3">
        <v>55</v>
      </c>
      <c r="P23" s="15">
        <v>0</v>
      </c>
      <c r="Q23" s="22" t="s">
        <v>1348</v>
      </c>
      <c r="R23" s="102">
        <v>44193</v>
      </c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</row>
    <row r="24" spans="1:32" x14ac:dyDescent="0.25">
      <c r="A24" s="1" t="s">
        <v>0</v>
      </c>
      <c r="B24" s="1" t="s">
        <v>1113</v>
      </c>
      <c r="C24" s="2" t="s">
        <v>1151</v>
      </c>
      <c r="D24" s="1" t="s">
        <v>1152</v>
      </c>
      <c r="E24" s="1"/>
      <c r="F24" s="3">
        <v>1661</v>
      </c>
      <c r="G24" s="3">
        <v>228</v>
      </c>
      <c r="H24" s="4">
        <v>1012</v>
      </c>
      <c r="I24" s="3">
        <v>481</v>
      </c>
      <c r="J24" s="3">
        <v>531</v>
      </c>
      <c r="K24" s="3">
        <v>184</v>
      </c>
      <c r="L24" s="3">
        <f t="shared" si="0"/>
        <v>18.181818181818183</v>
      </c>
      <c r="M24" s="3">
        <v>7</v>
      </c>
      <c r="N24" s="3">
        <f t="shared" si="1"/>
        <v>0.69169960474308301</v>
      </c>
      <c r="O24" s="3">
        <v>69</v>
      </c>
      <c r="P24" s="15">
        <v>0</v>
      </c>
      <c r="Q24" s="22" t="s">
        <v>1348</v>
      </c>
      <c r="R24" s="102">
        <v>43904</v>
      </c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</row>
    <row r="25" spans="1:32" x14ac:dyDescent="0.25">
      <c r="A25" s="1" t="s">
        <v>0</v>
      </c>
      <c r="B25" s="1" t="s">
        <v>1113</v>
      </c>
      <c r="C25" s="2" t="s">
        <v>1151</v>
      </c>
      <c r="D25" s="1" t="s">
        <v>1153</v>
      </c>
      <c r="E25" s="1"/>
      <c r="F25" s="3">
        <v>635</v>
      </c>
      <c r="G25" s="3">
        <v>228</v>
      </c>
      <c r="H25" s="4">
        <v>902</v>
      </c>
      <c r="I25" s="3">
        <v>416</v>
      </c>
      <c r="J25" s="3">
        <v>486</v>
      </c>
      <c r="K25" s="3">
        <v>235</v>
      </c>
      <c r="L25" s="3">
        <f t="shared" si="0"/>
        <v>26.053215077605323</v>
      </c>
      <c r="M25" s="3">
        <v>0</v>
      </c>
      <c r="N25" s="3">
        <f t="shared" si="1"/>
        <v>0</v>
      </c>
      <c r="O25" s="3">
        <v>2</v>
      </c>
      <c r="P25" s="15">
        <v>0</v>
      </c>
      <c r="Q25" s="22"/>
      <c r="R25" s="97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</row>
    <row r="26" spans="1:32" x14ac:dyDescent="0.25">
      <c r="A26" s="1" t="s">
        <v>0</v>
      </c>
      <c r="B26" s="1" t="s">
        <v>1113</v>
      </c>
      <c r="C26" s="2" t="s">
        <v>1128</v>
      </c>
      <c r="D26" s="1" t="s">
        <v>1127</v>
      </c>
      <c r="E26" s="1"/>
      <c r="F26" s="3">
        <v>438.6</v>
      </c>
      <c r="G26" s="3">
        <v>110</v>
      </c>
      <c r="H26" s="4">
        <v>483</v>
      </c>
      <c r="I26" s="3">
        <v>237</v>
      </c>
      <c r="J26" s="3">
        <v>246</v>
      </c>
      <c r="K26" s="3">
        <v>135</v>
      </c>
      <c r="L26" s="3">
        <f t="shared" si="0"/>
        <v>27.950310559006208</v>
      </c>
      <c r="M26" s="3">
        <v>11</v>
      </c>
      <c r="N26" s="3">
        <f t="shared" si="1"/>
        <v>2.2774327122153206</v>
      </c>
      <c r="O26" s="3">
        <v>80</v>
      </c>
      <c r="P26" s="15">
        <v>0</v>
      </c>
      <c r="Q26" s="22" t="s">
        <v>1348</v>
      </c>
      <c r="R26" s="102">
        <v>43872</v>
      </c>
      <c r="S26" s="67">
        <v>16.32</v>
      </c>
      <c r="T26" s="22"/>
      <c r="U26" s="22" t="s">
        <v>1348</v>
      </c>
      <c r="V26" s="22" t="s">
        <v>1348</v>
      </c>
      <c r="W26" s="22" t="s">
        <v>1348</v>
      </c>
      <c r="X26" s="22"/>
      <c r="Y26" s="22"/>
      <c r="Z26" s="22"/>
      <c r="AA26" s="22"/>
      <c r="AB26" s="22"/>
      <c r="AC26" s="22"/>
      <c r="AD26" s="22"/>
      <c r="AE26" s="22"/>
      <c r="AF26" s="22"/>
    </row>
    <row r="27" spans="1:32" x14ac:dyDescent="0.25">
      <c r="A27" s="1" t="s">
        <v>0</v>
      </c>
      <c r="B27" s="1" t="s">
        <v>1113</v>
      </c>
      <c r="C27" s="2" t="s">
        <v>1128</v>
      </c>
      <c r="D27" s="1" t="s">
        <v>1129</v>
      </c>
      <c r="E27" s="1"/>
      <c r="F27" s="3">
        <v>1044</v>
      </c>
      <c r="G27" s="3">
        <v>384</v>
      </c>
      <c r="H27" s="4">
        <v>1816</v>
      </c>
      <c r="I27" s="3">
        <v>873</v>
      </c>
      <c r="J27" s="3">
        <v>943</v>
      </c>
      <c r="K27" s="3">
        <v>286</v>
      </c>
      <c r="L27" s="3">
        <f t="shared" si="0"/>
        <v>15.748898678414097</v>
      </c>
      <c r="M27" s="3">
        <v>488</v>
      </c>
      <c r="N27" s="3">
        <f t="shared" si="1"/>
        <v>26.872246696035241</v>
      </c>
      <c r="O27" s="3">
        <v>226</v>
      </c>
      <c r="P27" s="15">
        <v>0</v>
      </c>
      <c r="Q27" s="22" t="s">
        <v>1348</v>
      </c>
      <c r="R27" s="102">
        <v>43872</v>
      </c>
      <c r="S27" s="67">
        <v>113.32</v>
      </c>
      <c r="T27" s="22"/>
      <c r="U27" s="22" t="s">
        <v>1348</v>
      </c>
      <c r="V27" s="22" t="s">
        <v>1348</v>
      </c>
      <c r="W27" s="22" t="s">
        <v>1348</v>
      </c>
      <c r="X27" s="22"/>
      <c r="Y27" s="22"/>
      <c r="Z27" s="22"/>
      <c r="AA27" s="22"/>
      <c r="AB27" s="22"/>
      <c r="AC27" s="22"/>
      <c r="AD27" s="22"/>
      <c r="AE27" s="22"/>
      <c r="AF27" s="22"/>
    </row>
    <row r="28" spans="1:32" x14ac:dyDescent="0.25">
      <c r="A28" s="1" t="s">
        <v>0</v>
      </c>
      <c r="B28" s="1" t="s">
        <v>1113</v>
      </c>
      <c r="C28" s="2" t="s">
        <v>1128</v>
      </c>
      <c r="D28" s="1" t="s">
        <v>1130</v>
      </c>
      <c r="E28" s="1"/>
      <c r="F28" s="3">
        <v>473</v>
      </c>
      <c r="G28" s="3">
        <v>202</v>
      </c>
      <c r="H28" s="4">
        <v>909</v>
      </c>
      <c r="I28" s="3">
        <v>451</v>
      </c>
      <c r="J28" s="3">
        <v>458</v>
      </c>
      <c r="K28" s="3">
        <v>124</v>
      </c>
      <c r="L28" s="3">
        <f t="shared" si="0"/>
        <v>13.641364136413642</v>
      </c>
      <c r="M28" s="3">
        <v>106</v>
      </c>
      <c r="N28" s="3">
        <f t="shared" si="1"/>
        <v>11.66116611661166</v>
      </c>
      <c r="O28" s="3">
        <v>33</v>
      </c>
      <c r="P28" s="15">
        <v>0</v>
      </c>
      <c r="Q28" s="22" t="s">
        <v>1348</v>
      </c>
      <c r="R28" s="102">
        <v>43873</v>
      </c>
      <c r="S28" s="67">
        <v>13.33</v>
      </c>
      <c r="T28" s="22"/>
      <c r="U28" s="22" t="s">
        <v>1348</v>
      </c>
      <c r="V28" s="22" t="s">
        <v>1348</v>
      </c>
      <c r="W28" s="22" t="s">
        <v>1348</v>
      </c>
      <c r="X28" s="22"/>
      <c r="Y28" s="22"/>
      <c r="Z28" s="22"/>
      <c r="AA28" s="22"/>
      <c r="AB28" s="22"/>
      <c r="AC28" s="22"/>
      <c r="AD28" s="22"/>
      <c r="AE28" s="22"/>
      <c r="AF28" s="22"/>
    </row>
    <row r="29" spans="1:32" x14ac:dyDescent="0.25">
      <c r="A29" s="1" t="s">
        <v>0</v>
      </c>
      <c r="B29" s="1" t="s">
        <v>1113</v>
      </c>
      <c r="C29" s="2" t="s">
        <v>1120</v>
      </c>
      <c r="D29" s="1" t="s">
        <v>1119</v>
      </c>
      <c r="E29" s="1"/>
      <c r="F29" s="3">
        <v>1180</v>
      </c>
      <c r="G29" s="3">
        <v>518</v>
      </c>
      <c r="H29" s="4">
        <v>2337</v>
      </c>
      <c r="I29" s="3">
        <v>1164</v>
      </c>
      <c r="J29" s="3">
        <v>1173</v>
      </c>
      <c r="K29" s="3">
        <v>379</v>
      </c>
      <c r="L29" s="3">
        <f t="shared" si="0"/>
        <v>16.217372700042791</v>
      </c>
      <c r="M29" s="3">
        <v>112</v>
      </c>
      <c r="N29" s="3">
        <f t="shared" si="1"/>
        <v>4.7924689773213522</v>
      </c>
      <c r="O29" s="3">
        <v>77</v>
      </c>
      <c r="P29" s="15">
        <v>0</v>
      </c>
      <c r="Q29" s="22" t="s">
        <v>1348</v>
      </c>
      <c r="R29" s="102">
        <v>44066</v>
      </c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</row>
    <row r="30" spans="1:32" x14ac:dyDescent="0.25">
      <c r="A30" s="1" t="s">
        <v>0</v>
      </c>
      <c r="B30" s="1" t="s">
        <v>1113</v>
      </c>
      <c r="C30" s="2" t="s">
        <v>1120</v>
      </c>
      <c r="D30" s="1" t="s">
        <v>1126</v>
      </c>
      <c r="E30" s="1"/>
      <c r="F30" s="3">
        <v>969</v>
      </c>
      <c r="G30" s="3">
        <v>231</v>
      </c>
      <c r="H30" s="4">
        <v>1139</v>
      </c>
      <c r="I30" s="3">
        <v>590</v>
      </c>
      <c r="J30" s="3">
        <v>549</v>
      </c>
      <c r="K30" s="3">
        <v>58</v>
      </c>
      <c r="L30" s="3">
        <f t="shared" si="0"/>
        <v>5.0921861281826164</v>
      </c>
      <c r="M30" s="3">
        <v>204</v>
      </c>
      <c r="N30" s="3">
        <f t="shared" si="1"/>
        <v>17.910447761194028</v>
      </c>
      <c r="O30" s="3">
        <v>20</v>
      </c>
      <c r="P30" s="15">
        <v>0</v>
      </c>
      <c r="Q30" s="22" t="s">
        <v>1348</v>
      </c>
      <c r="R30" s="102">
        <v>44065</v>
      </c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</row>
    <row r="31" spans="1:32" x14ac:dyDescent="0.25">
      <c r="A31" s="1" t="s">
        <v>0</v>
      </c>
      <c r="B31" s="1" t="s">
        <v>1113</v>
      </c>
      <c r="C31" s="2" t="s">
        <v>1120</v>
      </c>
      <c r="D31" s="1" t="s">
        <v>633</v>
      </c>
      <c r="E31" s="1"/>
      <c r="F31" s="3">
        <v>305</v>
      </c>
      <c r="G31" s="3">
        <v>58</v>
      </c>
      <c r="H31" s="4">
        <v>708</v>
      </c>
      <c r="I31" s="3">
        <v>581</v>
      </c>
      <c r="J31" s="3">
        <v>127</v>
      </c>
      <c r="K31" s="3">
        <v>409</v>
      </c>
      <c r="L31" s="3">
        <f t="shared" si="0"/>
        <v>57.7683615819209</v>
      </c>
      <c r="M31" s="3">
        <v>62</v>
      </c>
      <c r="N31" s="3">
        <f t="shared" si="1"/>
        <v>8.7570621468926557</v>
      </c>
      <c r="O31" s="3">
        <v>60</v>
      </c>
      <c r="P31" s="15">
        <v>0</v>
      </c>
      <c r="Q31" s="22" t="s">
        <v>1348</v>
      </c>
      <c r="R31" s="102">
        <v>44067</v>
      </c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</row>
    <row r="32" spans="1:32" x14ac:dyDescent="0.25">
      <c r="A32" s="1" t="s">
        <v>0</v>
      </c>
      <c r="B32" s="1" t="s">
        <v>1113</v>
      </c>
      <c r="C32" s="2" t="s">
        <v>1157</v>
      </c>
      <c r="D32" s="1" t="s">
        <v>1156</v>
      </c>
      <c r="E32" s="1"/>
      <c r="F32" s="3">
        <v>3789</v>
      </c>
      <c r="G32" s="3">
        <v>1244</v>
      </c>
      <c r="H32" s="4">
        <v>5799</v>
      </c>
      <c r="I32" s="3">
        <v>2830</v>
      </c>
      <c r="J32" s="3">
        <v>2969</v>
      </c>
      <c r="K32" s="3">
        <v>1086</v>
      </c>
      <c r="L32" s="3">
        <f t="shared" si="0"/>
        <v>18.727366787377132</v>
      </c>
      <c r="M32" s="3">
        <v>1407</v>
      </c>
      <c r="N32" s="3">
        <f t="shared" si="1"/>
        <v>24.262803931712366</v>
      </c>
      <c r="O32" s="3">
        <v>77</v>
      </c>
      <c r="P32" s="15">
        <v>0</v>
      </c>
      <c r="Q32" s="22" t="s">
        <v>1348</v>
      </c>
      <c r="R32" s="102">
        <v>43793</v>
      </c>
      <c r="S32" s="67">
        <v>18.86</v>
      </c>
      <c r="T32" s="22"/>
      <c r="U32" s="22" t="s">
        <v>1348</v>
      </c>
      <c r="V32" s="22" t="s">
        <v>1348</v>
      </c>
      <c r="W32" s="22" t="s">
        <v>1348</v>
      </c>
      <c r="X32" s="22"/>
      <c r="Y32" s="22"/>
      <c r="Z32" s="22"/>
      <c r="AA32" s="22"/>
      <c r="AB32" s="22"/>
      <c r="AC32" s="22"/>
      <c r="AD32" s="22"/>
      <c r="AE32" s="22"/>
      <c r="AF32" s="22"/>
    </row>
    <row r="33" spans="1:32" x14ac:dyDescent="0.25">
      <c r="A33" s="1" t="s">
        <v>0</v>
      </c>
      <c r="B33" s="1" t="s">
        <v>1113</v>
      </c>
      <c r="C33" s="2" t="s">
        <v>1201</v>
      </c>
      <c r="D33" s="1" t="s">
        <v>1200</v>
      </c>
      <c r="E33" s="1"/>
      <c r="F33" s="3">
        <v>369</v>
      </c>
      <c r="G33" s="3">
        <v>262</v>
      </c>
      <c r="H33" s="4">
        <v>1286</v>
      </c>
      <c r="I33" s="3">
        <v>649</v>
      </c>
      <c r="J33" s="3">
        <v>637</v>
      </c>
      <c r="K33" s="3">
        <v>204</v>
      </c>
      <c r="L33" s="3">
        <f t="shared" si="0"/>
        <v>15.863141524105753</v>
      </c>
      <c r="M33" s="3">
        <v>473</v>
      </c>
      <c r="N33" s="3">
        <f t="shared" si="1"/>
        <v>36.780715396578536</v>
      </c>
      <c r="O33" s="3">
        <v>20</v>
      </c>
      <c r="P33" s="15">
        <v>0</v>
      </c>
      <c r="Q33" s="22" t="s">
        <v>1348</v>
      </c>
      <c r="R33" s="102">
        <v>44189</v>
      </c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</row>
    <row r="34" spans="1:32" x14ac:dyDescent="0.25">
      <c r="A34" s="1" t="s">
        <v>0</v>
      </c>
      <c r="B34" s="1" t="s">
        <v>1113</v>
      </c>
      <c r="C34" s="2" t="s">
        <v>1201</v>
      </c>
      <c r="D34" s="1" t="s">
        <v>1202</v>
      </c>
      <c r="E34" s="1"/>
      <c r="F34" s="3">
        <v>214</v>
      </c>
      <c r="G34" s="3">
        <v>74</v>
      </c>
      <c r="H34" s="4">
        <v>417</v>
      </c>
      <c r="I34" s="3">
        <v>228</v>
      </c>
      <c r="J34" s="3">
        <v>189</v>
      </c>
      <c r="K34" s="3">
        <v>190</v>
      </c>
      <c r="L34" s="3">
        <f t="shared" si="0"/>
        <v>45.563549160671464</v>
      </c>
      <c r="M34" s="3">
        <v>51</v>
      </c>
      <c r="N34" s="3">
        <f t="shared" si="1"/>
        <v>12.23021582733813</v>
      </c>
      <c r="O34" s="3">
        <v>15</v>
      </c>
      <c r="P34" s="15">
        <v>0</v>
      </c>
      <c r="Q34" s="22" t="s">
        <v>1348</v>
      </c>
      <c r="R34" s="102">
        <v>43673</v>
      </c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</row>
    <row r="35" spans="1:32" x14ac:dyDescent="0.25">
      <c r="A35" s="1" t="s">
        <v>0</v>
      </c>
      <c r="B35" s="1" t="s">
        <v>1113</v>
      </c>
      <c r="C35" s="2" t="s">
        <v>1201</v>
      </c>
      <c r="D35" s="1" t="s">
        <v>1203</v>
      </c>
      <c r="E35" s="1"/>
      <c r="F35" s="3">
        <v>208</v>
      </c>
      <c r="G35" s="3">
        <v>189</v>
      </c>
      <c r="H35" s="4">
        <v>856</v>
      </c>
      <c r="I35" s="3">
        <v>443</v>
      </c>
      <c r="J35" s="3">
        <v>413</v>
      </c>
      <c r="K35" s="3">
        <v>222</v>
      </c>
      <c r="L35" s="3">
        <f t="shared" si="0"/>
        <v>25.934579439252335</v>
      </c>
      <c r="M35" s="3">
        <v>88</v>
      </c>
      <c r="N35" s="3">
        <f t="shared" si="1"/>
        <v>10.2803738317757</v>
      </c>
      <c r="O35" s="3">
        <v>12</v>
      </c>
      <c r="P35" s="15">
        <v>0</v>
      </c>
      <c r="Q35" s="22" t="s">
        <v>1348</v>
      </c>
      <c r="R35" s="102">
        <v>43665</v>
      </c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</row>
    <row r="36" spans="1:32" x14ac:dyDescent="0.25">
      <c r="A36" s="1" t="s">
        <v>0</v>
      </c>
      <c r="B36" s="1" t="s">
        <v>1113</v>
      </c>
      <c r="C36" s="2" t="s">
        <v>1201</v>
      </c>
      <c r="D36" s="1" t="s">
        <v>1201</v>
      </c>
      <c r="E36" s="1"/>
      <c r="F36" s="3">
        <v>565</v>
      </c>
      <c r="G36" s="3">
        <v>351</v>
      </c>
      <c r="H36" s="4">
        <v>1820</v>
      </c>
      <c r="I36" s="3">
        <v>917</v>
      </c>
      <c r="J36" s="3">
        <v>903</v>
      </c>
      <c r="K36" s="3">
        <v>203</v>
      </c>
      <c r="L36" s="3">
        <f t="shared" ref="L36:L67" si="2">(K36/H36)*100</f>
        <v>11.153846153846155</v>
      </c>
      <c r="M36" s="3">
        <v>144</v>
      </c>
      <c r="N36" s="3">
        <f t="shared" ref="N36:N67" si="3">(M36/H36)*100</f>
        <v>7.9120879120879115</v>
      </c>
      <c r="O36" s="3">
        <v>99</v>
      </c>
      <c r="P36" s="15">
        <v>0</v>
      </c>
      <c r="Q36" s="22" t="s">
        <v>1348</v>
      </c>
      <c r="R36" s="102">
        <v>43745</v>
      </c>
      <c r="S36" s="67">
        <v>26.45</v>
      </c>
      <c r="T36" s="22"/>
      <c r="U36" s="22" t="s">
        <v>1348</v>
      </c>
      <c r="V36" s="22" t="s">
        <v>1348</v>
      </c>
      <c r="W36" s="22" t="s">
        <v>1348</v>
      </c>
      <c r="X36" s="22"/>
      <c r="Y36" s="22"/>
      <c r="Z36" s="22"/>
      <c r="AA36" s="22"/>
      <c r="AB36" s="22"/>
      <c r="AC36" s="22"/>
      <c r="AD36" s="22"/>
      <c r="AE36" s="22"/>
      <c r="AF36" s="22"/>
    </row>
    <row r="37" spans="1:32" x14ac:dyDescent="0.25">
      <c r="A37" s="1" t="s">
        <v>0</v>
      </c>
      <c r="B37" s="1" t="s">
        <v>1113</v>
      </c>
      <c r="C37" s="2" t="s">
        <v>1138</v>
      </c>
      <c r="D37" s="1" t="s">
        <v>1137</v>
      </c>
      <c r="E37" s="1"/>
      <c r="F37" s="3">
        <v>1033</v>
      </c>
      <c r="G37" s="3">
        <v>223</v>
      </c>
      <c r="H37" s="4">
        <v>1103</v>
      </c>
      <c r="I37" s="3">
        <v>531</v>
      </c>
      <c r="J37" s="3">
        <v>572</v>
      </c>
      <c r="K37" s="3">
        <v>277</v>
      </c>
      <c r="L37" s="3">
        <f t="shared" si="2"/>
        <v>25.113327289211242</v>
      </c>
      <c r="M37" s="3">
        <v>187</v>
      </c>
      <c r="N37" s="3">
        <f t="shared" si="3"/>
        <v>16.953762466001812</v>
      </c>
      <c r="O37" s="3">
        <v>4</v>
      </c>
      <c r="P37" s="15">
        <v>0</v>
      </c>
      <c r="Q37" s="22" t="s">
        <v>1348</v>
      </c>
      <c r="R37" s="102">
        <v>43903</v>
      </c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</row>
    <row r="38" spans="1:32" x14ac:dyDescent="0.25">
      <c r="A38" s="1" t="s">
        <v>0</v>
      </c>
      <c r="B38" s="1" t="s">
        <v>1113</v>
      </c>
      <c r="C38" s="2" t="s">
        <v>1138</v>
      </c>
      <c r="D38" s="1" t="s">
        <v>1139</v>
      </c>
      <c r="E38" s="1"/>
      <c r="F38" s="3">
        <v>1003.6</v>
      </c>
      <c r="G38" s="3">
        <v>338</v>
      </c>
      <c r="H38" s="4">
        <v>1791</v>
      </c>
      <c r="I38" s="3">
        <v>908</v>
      </c>
      <c r="J38" s="3">
        <v>883</v>
      </c>
      <c r="K38" s="3">
        <v>344</v>
      </c>
      <c r="L38" s="3">
        <f t="shared" si="2"/>
        <v>19.2071468453378</v>
      </c>
      <c r="M38" s="3">
        <v>687</v>
      </c>
      <c r="N38" s="3">
        <f t="shared" si="3"/>
        <v>38.358458961474035</v>
      </c>
      <c r="O38" s="3">
        <v>0</v>
      </c>
      <c r="P38" s="15">
        <v>0</v>
      </c>
      <c r="Q38" s="22" t="s">
        <v>1348</v>
      </c>
      <c r="R38" s="102">
        <v>43906</v>
      </c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</row>
    <row r="39" spans="1:32" x14ac:dyDescent="0.25">
      <c r="A39" s="1" t="s">
        <v>0</v>
      </c>
      <c r="B39" s="1" t="s">
        <v>1113</v>
      </c>
      <c r="C39" s="2" t="s">
        <v>1138</v>
      </c>
      <c r="D39" s="1" t="s">
        <v>102</v>
      </c>
      <c r="E39" s="1"/>
      <c r="F39" s="3">
        <v>1176.3900000000001</v>
      </c>
      <c r="G39" s="3">
        <v>361</v>
      </c>
      <c r="H39" s="4">
        <v>1681</v>
      </c>
      <c r="I39" s="3">
        <v>836</v>
      </c>
      <c r="J39" s="3">
        <v>845</v>
      </c>
      <c r="K39" s="3">
        <v>412</v>
      </c>
      <c r="L39" s="3">
        <f t="shared" si="2"/>
        <v>24.509220701963116</v>
      </c>
      <c r="M39" s="3">
        <v>507</v>
      </c>
      <c r="N39" s="3">
        <f t="shared" si="3"/>
        <v>30.160618679357526</v>
      </c>
      <c r="O39" s="3">
        <v>0</v>
      </c>
      <c r="P39" s="15">
        <v>0</v>
      </c>
      <c r="Q39" s="22" t="s">
        <v>1348</v>
      </c>
      <c r="R39" s="102">
        <v>43908</v>
      </c>
      <c r="S39" s="67">
        <v>11.83</v>
      </c>
      <c r="T39" s="22"/>
      <c r="U39" s="22" t="s">
        <v>1348</v>
      </c>
      <c r="V39" s="22" t="s">
        <v>1348</v>
      </c>
      <c r="W39" s="22" t="s">
        <v>1348</v>
      </c>
      <c r="X39" s="22"/>
      <c r="Y39" s="22"/>
      <c r="Z39" s="22"/>
      <c r="AA39" s="22"/>
      <c r="AB39" s="22"/>
      <c r="AC39" s="22"/>
      <c r="AD39" s="22"/>
      <c r="AE39" s="22"/>
      <c r="AF39" s="22"/>
    </row>
    <row r="40" spans="1:32" x14ac:dyDescent="0.25">
      <c r="A40" s="1" t="s">
        <v>0</v>
      </c>
      <c r="B40" s="1" t="s">
        <v>1113</v>
      </c>
      <c r="C40" s="2" t="s">
        <v>1138</v>
      </c>
      <c r="D40" s="1" t="s">
        <v>1140</v>
      </c>
      <c r="E40" s="1"/>
      <c r="F40" s="3">
        <v>1353.73</v>
      </c>
      <c r="G40" s="3">
        <v>464</v>
      </c>
      <c r="H40" s="4">
        <v>2417</v>
      </c>
      <c r="I40" s="3">
        <v>1206</v>
      </c>
      <c r="J40" s="3">
        <v>1211</v>
      </c>
      <c r="K40" s="3">
        <v>734</v>
      </c>
      <c r="L40" s="3">
        <f t="shared" si="2"/>
        <v>30.368225072403803</v>
      </c>
      <c r="M40" s="3">
        <v>812</v>
      </c>
      <c r="N40" s="3">
        <f t="shared" si="3"/>
        <v>33.595366156392217</v>
      </c>
      <c r="O40" s="3">
        <v>106</v>
      </c>
      <c r="P40" s="15">
        <v>0</v>
      </c>
      <c r="Q40" s="22" t="s">
        <v>1348</v>
      </c>
      <c r="R40" s="102">
        <v>43886</v>
      </c>
      <c r="S40" s="67">
        <v>100</v>
      </c>
      <c r="T40" s="22"/>
      <c r="U40" s="22" t="s">
        <v>1348</v>
      </c>
      <c r="V40" s="22" t="s">
        <v>1348</v>
      </c>
      <c r="W40" s="22" t="s">
        <v>1348</v>
      </c>
      <c r="X40" s="22"/>
      <c r="Y40" s="22"/>
      <c r="Z40" s="22"/>
      <c r="AA40" s="22"/>
      <c r="AB40" s="22"/>
      <c r="AC40" s="22"/>
      <c r="AD40" s="22"/>
      <c r="AE40" s="22"/>
      <c r="AF40" s="22"/>
    </row>
    <row r="41" spans="1:32" x14ac:dyDescent="0.25">
      <c r="A41" s="1" t="s">
        <v>0</v>
      </c>
      <c r="B41" s="1" t="s">
        <v>1113</v>
      </c>
      <c r="C41" s="2" t="s">
        <v>1205</v>
      </c>
      <c r="D41" s="1" t="s">
        <v>1204</v>
      </c>
      <c r="E41" s="1"/>
      <c r="F41" s="3">
        <v>1039</v>
      </c>
      <c r="G41" s="3">
        <v>987</v>
      </c>
      <c r="H41" s="4">
        <v>4697</v>
      </c>
      <c r="I41" s="3">
        <v>2364</v>
      </c>
      <c r="J41" s="3">
        <v>2333</v>
      </c>
      <c r="K41" s="3">
        <v>1379</v>
      </c>
      <c r="L41" s="3">
        <f t="shared" si="2"/>
        <v>29.359165424739196</v>
      </c>
      <c r="M41" s="3">
        <v>460</v>
      </c>
      <c r="N41" s="3">
        <f t="shared" si="3"/>
        <v>9.7934852033212678</v>
      </c>
      <c r="O41" s="3">
        <v>53</v>
      </c>
      <c r="P41" s="15">
        <v>133</v>
      </c>
      <c r="Q41" s="22" t="s">
        <v>1348</v>
      </c>
      <c r="R41" s="102">
        <v>43667</v>
      </c>
      <c r="S41" s="67">
        <v>45.29</v>
      </c>
      <c r="T41" s="22"/>
      <c r="U41" s="22" t="s">
        <v>1348</v>
      </c>
      <c r="V41" s="22" t="s">
        <v>1348</v>
      </c>
      <c r="W41" s="22" t="s">
        <v>1348</v>
      </c>
      <c r="X41" s="22"/>
      <c r="Y41" s="22"/>
      <c r="Z41" s="22"/>
      <c r="AA41" s="22"/>
      <c r="AB41" s="22"/>
      <c r="AC41" s="22"/>
      <c r="AD41" s="22"/>
      <c r="AE41" s="22"/>
      <c r="AF41" s="22"/>
    </row>
    <row r="42" spans="1:32" x14ac:dyDescent="0.25">
      <c r="A42" s="1" t="s">
        <v>0</v>
      </c>
      <c r="B42" s="1" t="s">
        <v>1113</v>
      </c>
      <c r="C42" s="2" t="s">
        <v>1144</v>
      </c>
      <c r="D42" s="1" t="s">
        <v>1143</v>
      </c>
      <c r="E42" s="1"/>
      <c r="F42" s="3">
        <v>842</v>
      </c>
      <c r="G42" s="3">
        <v>402</v>
      </c>
      <c r="H42" s="4">
        <v>1839</v>
      </c>
      <c r="I42" s="3">
        <v>915</v>
      </c>
      <c r="J42" s="3">
        <v>924</v>
      </c>
      <c r="K42" s="3">
        <v>479</v>
      </c>
      <c r="L42" s="3">
        <f t="shared" si="2"/>
        <v>26.046764545948886</v>
      </c>
      <c r="M42" s="3">
        <v>130</v>
      </c>
      <c r="N42" s="3">
        <f t="shared" si="3"/>
        <v>7.0690592713431215</v>
      </c>
      <c r="O42" s="3">
        <v>123</v>
      </c>
      <c r="P42" s="15">
        <v>0</v>
      </c>
      <c r="Q42" s="22" t="s">
        <v>1348</v>
      </c>
      <c r="R42" s="102">
        <v>43881</v>
      </c>
      <c r="S42" s="67">
        <v>175.16</v>
      </c>
      <c r="T42" s="22"/>
      <c r="U42" s="22" t="s">
        <v>1348</v>
      </c>
      <c r="V42" s="22" t="s">
        <v>1348</v>
      </c>
      <c r="W42" s="22" t="s">
        <v>1348</v>
      </c>
      <c r="X42" s="22"/>
      <c r="Y42" s="22"/>
      <c r="Z42" s="22"/>
      <c r="AA42" s="22"/>
      <c r="AB42" s="22"/>
      <c r="AC42" s="22"/>
      <c r="AD42" s="22"/>
      <c r="AE42" s="22"/>
      <c r="AF42" s="22"/>
    </row>
    <row r="43" spans="1:32" x14ac:dyDescent="0.25">
      <c r="A43" s="1" t="s">
        <v>0</v>
      </c>
      <c r="B43" s="1" t="s">
        <v>1113</v>
      </c>
      <c r="C43" s="2" t="s">
        <v>1144</v>
      </c>
      <c r="D43" s="1" t="s">
        <v>1145</v>
      </c>
      <c r="E43" s="1"/>
      <c r="F43" s="3">
        <v>596</v>
      </c>
      <c r="G43" s="3">
        <v>225</v>
      </c>
      <c r="H43" s="4">
        <v>1011</v>
      </c>
      <c r="I43" s="3">
        <v>477</v>
      </c>
      <c r="J43" s="3">
        <v>534</v>
      </c>
      <c r="K43" s="3">
        <v>276</v>
      </c>
      <c r="L43" s="3">
        <f t="shared" si="2"/>
        <v>27.299703264094955</v>
      </c>
      <c r="M43" s="3">
        <v>91</v>
      </c>
      <c r="N43" s="3">
        <f t="shared" si="3"/>
        <v>9.0009891196834815</v>
      </c>
      <c r="O43" s="3">
        <v>53</v>
      </c>
      <c r="P43" s="15">
        <v>0</v>
      </c>
      <c r="Q43" s="22" t="s">
        <v>1348</v>
      </c>
      <c r="R43" s="102">
        <v>43882</v>
      </c>
      <c r="S43" s="67">
        <v>19.52</v>
      </c>
      <c r="T43" s="22"/>
      <c r="U43" s="22" t="s">
        <v>1348</v>
      </c>
      <c r="V43" s="22" t="s">
        <v>1348</v>
      </c>
      <c r="W43" s="22" t="s">
        <v>1348</v>
      </c>
      <c r="X43" s="22"/>
      <c r="Y43" s="22"/>
      <c r="Z43" s="22"/>
      <c r="AA43" s="22"/>
      <c r="AB43" s="22"/>
      <c r="AC43" s="22"/>
      <c r="AD43" s="22"/>
      <c r="AE43" s="22"/>
      <c r="AF43" s="22"/>
    </row>
    <row r="44" spans="1:32" x14ac:dyDescent="0.25">
      <c r="A44" s="1" t="s">
        <v>0</v>
      </c>
      <c r="B44" s="1" t="s">
        <v>1113</v>
      </c>
      <c r="C44" s="2" t="s">
        <v>1144</v>
      </c>
      <c r="D44" s="1" t="s">
        <v>1146</v>
      </c>
      <c r="E44" s="1"/>
      <c r="F44" s="3">
        <v>590</v>
      </c>
      <c r="G44" s="3">
        <v>147</v>
      </c>
      <c r="H44" s="4">
        <v>670</v>
      </c>
      <c r="I44" s="3">
        <v>335</v>
      </c>
      <c r="J44" s="3">
        <v>335</v>
      </c>
      <c r="K44" s="3">
        <v>102</v>
      </c>
      <c r="L44" s="3">
        <f t="shared" si="2"/>
        <v>15.223880597014924</v>
      </c>
      <c r="M44" s="3">
        <v>167</v>
      </c>
      <c r="N44" s="3">
        <f t="shared" si="3"/>
        <v>24.925373134328357</v>
      </c>
      <c r="O44" s="3">
        <v>32</v>
      </c>
      <c r="P44" s="15">
        <v>0</v>
      </c>
      <c r="Q44" s="22" t="s">
        <v>1348</v>
      </c>
      <c r="R44" s="102">
        <v>43883</v>
      </c>
      <c r="S44" s="67">
        <v>21.69</v>
      </c>
      <c r="T44" s="22"/>
      <c r="U44" s="22" t="s">
        <v>1348</v>
      </c>
      <c r="V44" s="22" t="s">
        <v>1348</v>
      </c>
      <c r="W44" s="22" t="s">
        <v>1348</v>
      </c>
      <c r="X44" s="22"/>
      <c r="Y44" s="22"/>
      <c r="Z44" s="22"/>
      <c r="AA44" s="22"/>
      <c r="AB44" s="22"/>
      <c r="AC44" s="22"/>
      <c r="AD44" s="22"/>
      <c r="AE44" s="22"/>
      <c r="AF44" s="22"/>
    </row>
    <row r="45" spans="1:32" x14ac:dyDescent="0.25">
      <c r="A45" s="1" t="s">
        <v>0</v>
      </c>
      <c r="B45" s="1" t="s">
        <v>1113</v>
      </c>
      <c r="C45" s="2" t="s">
        <v>1169</v>
      </c>
      <c r="D45" s="1" t="s">
        <v>1168</v>
      </c>
      <c r="E45" s="1"/>
      <c r="F45" s="3">
        <v>2787.75</v>
      </c>
      <c r="G45" s="3">
        <v>1135</v>
      </c>
      <c r="H45" s="4">
        <v>5535</v>
      </c>
      <c r="I45" s="3">
        <v>2777</v>
      </c>
      <c r="J45" s="3">
        <v>2758</v>
      </c>
      <c r="K45" s="3">
        <v>1239</v>
      </c>
      <c r="L45" s="3">
        <f t="shared" si="2"/>
        <v>22.384823848238483</v>
      </c>
      <c r="M45" s="3">
        <v>431</v>
      </c>
      <c r="N45" s="3">
        <f t="shared" si="3"/>
        <v>7.7868112014453486</v>
      </c>
      <c r="O45" s="3">
        <v>159.1</v>
      </c>
      <c r="P45" s="15">
        <v>602</v>
      </c>
      <c r="Q45" s="22" t="s">
        <v>1348</v>
      </c>
      <c r="R45" s="102">
        <v>43799</v>
      </c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</row>
    <row r="46" spans="1:32" x14ac:dyDescent="0.25">
      <c r="A46" s="1" t="s">
        <v>0</v>
      </c>
      <c r="B46" s="1" t="s">
        <v>1113</v>
      </c>
      <c r="C46" s="2" t="s">
        <v>1197</v>
      </c>
      <c r="D46" s="1" t="s">
        <v>1196</v>
      </c>
      <c r="E46" s="1"/>
      <c r="F46" s="3">
        <v>2380</v>
      </c>
      <c r="G46" s="3">
        <v>653</v>
      </c>
      <c r="H46" s="4">
        <v>3077</v>
      </c>
      <c r="I46" s="3">
        <v>1527</v>
      </c>
      <c r="J46" s="3">
        <v>1550</v>
      </c>
      <c r="K46" s="3">
        <v>513</v>
      </c>
      <c r="L46" s="3">
        <f t="shared" si="2"/>
        <v>16.672083197920053</v>
      </c>
      <c r="M46" s="3">
        <v>172</v>
      </c>
      <c r="N46" s="3">
        <f t="shared" si="3"/>
        <v>5.5898602534936632</v>
      </c>
      <c r="O46" s="3">
        <v>64</v>
      </c>
      <c r="P46" s="15">
        <v>0</v>
      </c>
      <c r="Q46" s="22" t="s">
        <v>1348</v>
      </c>
      <c r="R46" s="102">
        <v>43663</v>
      </c>
      <c r="S46" s="67">
        <v>58.92</v>
      </c>
      <c r="T46" s="22"/>
      <c r="U46" s="22" t="s">
        <v>1348</v>
      </c>
      <c r="V46" s="22" t="s">
        <v>1348</v>
      </c>
      <c r="W46" s="22" t="s">
        <v>1348</v>
      </c>
      <c r="X46" s="22"/>
      <c r="Y46" s="22"/>
      <c r="Z46" s="22"/>
      <c r="AA46" s="22"/>
      <c r="AB46" s="22"/>
      <c r="AC46" s="22"/>
      <c r="AD46" s="22"/>
      <c r="AE46" s="22"/>
      <c r="AF46" s="22"/>
    </row>
    <row r="47" spans="1:32" x14ac:dyDescent="0.25">
      <c r="A47" s="1" t="s">
        <v>0</v>
      </c>
      <c r="B47" s="1" t="s">
        <v>1113</v>
      </c>
      <c r="C47" s="2" t="s">
        <v>1197</v>
      </c>
      <c r="D47" s="1" t="s">
        <v>1199</v>
      </c>
      <c r="E47" s="1"/>
      <c r="F47" s="3">
        <v>1804</v>
      </c>
      <c r="G47" s="3">
        <v>699</v>
      </c>
      <c r="H47" s="4">
        <v>3545</v>
      </c>
      <c r="I47" s="3">
        <v>1842</v>
      </c>
      <c r="J47" s="3">
        <v>1703</v>
      </c>
      <c r="K47" s="3">
        <v>948</v>
      </c>
      <c r="L47" s="3">
        <f t="shared" si="2"/>
        <v>26.741889985895629</v>
      </c>
      <c r="M47" s="3">
        <v>281</v>
      </c>
      <c r="N47" s="3">
        <f t="shared" si="3"/>
        <v>7.9266572637517632</v>
      </c>
      <c r="O47" s="3">
        <v>93</v>
      </c>
      <c r="P47" s="15">
        <v>247</v>
      </c>
      <c r="Q47" s="22" t="s">
        <v>1348</v>
      </c>
      <c r="R47" s="102">
        <v>43670</v>
      </c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</row>
    <row r="48" spans="1:32" x14ac:dyDescent="0.25">
      <c r="A48" s="1" t="s">
        <v>0</v>
      </c>
      <c r="B48" s="1" t="s">
        <v>1113</v>
      </c>
      <c r="C48" s="2" t="s">
        <v>1182</v>
      </c>
      <c r="D48" s="1" t="s">
        <v>1181</v>
      </c>
      <c r="E48" s="1"/>
      <c r="F48" s="2">
        <v>193</v>
      </c>
      <c r="G48" s="5"/>
      <c r="H48" s="4">
        <v>0</v>
      </c>
      <c r="I48" s="5"/>
      <c r="J48" s="5"/>
      <c r="K48" s="5"/>
      <c r="L48" s="3" t="e">
        <f t="shared" si="2"/>
        <v>#DIV/0!</v>
      </c>
      <c r="M48" s="5"/>
      <c r="N48" s="3" t="e">
        <f t="shared" si="3"/>
        <v>#DIV/0!</v>
      </c>
      <c r="O48" s="2">
        <v>0</v>
      </c>
      <c r="P48" s="18">
        <v>0</v>
      </c>
      <c r="Q48" s="22"/>
      <c r="R48" s="10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</row>
    <row r="49" spans="1:32" x14ac:dyDescent="0.25">
      <c r="A49" s="1" t="s">
        <v>0</v>
      </c>
      <c r="B49" s="1" t="s">
        <v>1113</v>
      </c>
      <c r="C49" s="2" t="s">
        <v>1182</v>
      </c>
      <c r="D49" s="1" t="s">
        <v>1183</v>
      </c>
      <c r="E49" s="1"/>
      <c r="F49" s="3">
        <v>1354</v>
      </c>
      <c r="G49" s="3">
        <v>651</v>
      </c>
      <c r="H49" s="4">
        <v>2771</v>
      </c>
      <c r="I49" s="3">
        <v>1339</v>
      </c>
      <c r="J49" s="3">
        <v>1432</v>
      </c>
      <c r="K49" s="3">
        <v>696</v>
      </c>
      <c r="L49" s="3">
        <f t="shared" si="2"/>
        <v>25.117286178274988</v>
      </c>
      <c r="M49" s="3">
        <v>427</v>
      </c>
      <c r="N49" s="3">
        <f t="shared" si="3"/>
        <v>15.409599422591121</v>
      </c>
      <c r="O49" s="3">
        <v>52</v>
      </c>
      <c r="P49" s="15">
        <v>0</v>
      </c>
      <c r="Q49" s="22" t="s">
        <v>1348</v>
      </c>
      <c r="R49" s="102">
        <v>43508</v>
      </c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</row>
    <row r="50" spans="1:32" x14ac:dyDescent="0.25">
      <c r="A50" s="1" t="s">
        <v>0</v>
      </c>
      <c r="B50" s="1" t="s">
        <v>1113</v>
      </c>
      <c r="C50" s="2" t="s">
        <v>1182</v>
      </c>
      <c r="D50" s="1" t="s">
        <v>1186</v>
      </c>
      <c r="E50" s="1"/>
      <c r="F50" s="3">
        <v>96</v>
      </c>
      <c r="G50" s="3">
        <v>57</v>
      </c>
      <c r="H50" s="4">
        <v>222</v>
      </c>
      <c r="I50" s="3">
        <v>99</v>
      </c>
      <c r="J50" s="3">
        <v>123</v>
      </c>
      <c r="K50" s="3">
        <v>25</v>
      </c>
      <c r="L50" s="3">
        <f t="shared" si="2"/>
        <v>11.261261261261261</v>
      </c>
      <c r="M50" s="3">
        <v>124</v>
      </c>
      <c r="N50" s="3">
        <f t="shared" si="3"/>
        <v>55.85585585585585</v>
      </c>
      <c r="O50" s="3">
        <v>1</v>
      </c>
      <c r="P50" s="15">
        <v>0</v>
      </c>
      <c r="Q50" s="22" t="s">
        <v>1348</v>
      </c>
      <c r="R50" s="102">
        <v>44189</v>
      </c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</row>
    <row r="51" spans="1:32" x14ac:dyDescent="0.25">
      <c r="A51" s="1" t="s">
        <v>0</v>
      </c>
      <c r="B51" s="1" t="s">
        <v>1113</v>
      </c>
      <c r="C51" s="2" t="s">
        <v>1142</v>
      </c>
      <c r="D51" s="1" t="s">
        <v>1141</v>
      </c>
      <c r="E51" s="1"/>
      <c r="F51" s="3">
        <v>3478</v>
      </c>
      <c r="G51" s="3">
        <v>1603</v>
      </c>
      <c r="H51" s="4">
        <v>7561</v>
      </c>
      <c r="I51" s="3">
        <v>3718</v>
      </c>
      <c r="J51" s="3">
        <v>3843</v>
      </c>
      <c r="K51" s="3">
        <v>1500</v>
      </c>
      <c r="L51" s="3">
        <f t="shared" si="2"/>
        <v>19.838645681788122</v>
      </c>
      <c r="M51" s="3">
        <v>503</v>
      </c>
      <c r="N51" s="3">
        <f t="shared" si="3"/>
        <v>6.65255918529295</v>
      </c>
      <c r="O51" s="3">
        <v>379</v>
      </c>
      <c r="P51" s="15">
        <v>26</v>
      </c>
      <c r="Q51" s="22" t="s">
        <v>1348</v>
      </c>
      <c r="R51" s="102">
        <v>44064</v>
      </c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</row>
    <row r="52" spans="1:32" x14ac:dyDescent="0.25">
      <c r="A52" s="1" t="s">
        <v>0</v>
      </c>
      <c r="B52" s="1" t="s">
        <v>1113</v>
      </c>
      <c r="C52" s="2" t="s">
        <v>1122</v>
      </c>
      <c r="D52" s="1" t="s">
        <v>1121</v>
      </c>
      <c r="E52" s="1"/>
      <c r="F52" s="3">
        <v>1563</v>
      </c>
      <c r="G52" s="3">
        <v>356</v>
      </c>
      <c r="H52" s="4">
        <v>1616</v>
      </c>
      <c r="I52" s="3">
        <v>840</v>
      </c>
      <c r="J52" s="3">
        <v>776</v>
      </c>
      <c r="K52" s="3">
        <v>238</v>
      </c>
      <c r="L52" s="3">
        <f t="shared" si="2"/>
        <v>14.727722772277227</v>
      </c>
      <c r="M52" s="3">
        <v>115</v>
      </c>
      <c r="N52" s="3">
        <f t="shared" si="3"/>
        <v>7.1163366336633658</v>
      </c>
      <c r="O52" s="3">
        <v>70</v>
      </c>
      <c r="P52" s="15">
        <v>0</v>
      </c>
      <c r="Q52" s="22" t="s">
        <v>1348</v>
      </c>
      <c r="R52" s="102">
        <v>43870</v>
      </c>
      <c r="S52" s="67">
        <v>1.07</v>
      </c>
      <c r="T52" s="22"/>
      <c r="U52" s="22" t="s">
        <v>1348</v>
      </c>
      <c r="V52" s="22" t="s">
        <v>1348</v>
      </c>
      <c r="W52" s="22" t="s">
        <v>1348</v>
      </c>
      <c r="X52" s="22"/>
      <c r="Y52" s="22"/>
      <c r="Z52" s="22"/>
      <c r="AA52" s="22"/>
      <c r="AB52" s="22"/>
      <c r="AC52" s="22"/>
      <c r="AD52" s="22"/>
      <c r="AE52" s="22"/>
      <c r="AF52" s="22"/>
    </row>
    <row r="53" spans="1:32" x14ac:dyDescent="0.25">
      <c r="A53" s="1" t="s">
        <v>0</v>
      </c>
      <c r="B53" s="1" t="s">
        <v>1113</v>
      </c>
      <c r="C53" s="2" t="s">
        <v>1122</v>
      </c>
      <c r="D53" s="1" t="s">
        <v>1124</v>
      </c>
      <c r="E53" s="1"/>
      <c r="F53" s="3">
        <v>1328</v>
      </c>
      <c r="G53" s="3">
        <v>357</v>
      </c>
      <c r="H53" s="4">
        <v>1472</v>
      </c>
      <c r="I53" s="3">
        <v>664</v>
      </c>
      <c r="J53" s="3">
        <v>808</v>
      </c>
      <c r="K53" s="3">
        <v>250</v>
      </c>
      <c r="L53" s="3">
        <f t="shared" si="2"/>
        <v>16.983695652173914</v>
      </c>
      <c r="M53" s="3">
        <v>252</v>
      </c>
      <c r="N53" s="3">
        <f t="shared" si="3"/>
        <v>17.119565217391305</v>
      </c>
      <c r="O53" s="3">
        <v>77</v>
      </c>
      <c r="P53" s="15">
        <v>0</v>
      </c>
      <c r="Q53" s="22" t="s">
        <v>1348</v>
      </c>
      <c r="R53" s="102">
        <v>43869</v>
      </c>
      <c r="S53" s="67">
        <v>15.94</v>
      </c>
      <c r="T53" s="22"/>
      <c r="U53" s="22" t="s">
        <v>1348</v>
      </c>
      <c r="V53" s="22" t="s">
        <v>1348</v>
      </c>
      <c r="W53" s="22" t="s">
        <v>1348</v>
      </c>
      <c r="X53" s="22"/>
      <c r="Y53" s="22"/>
      <c r="Z53" s="22"/>
      <c r="AA53" s="22"/>
      <c r="AB53" s="22"/>
      <c r="AC53" s="22"/>
      <c r="AD53" s="22"/>
      <c r="AE53" s="22"/>
      <c r="AF53" s="22"/>
    </row>
    <row r="54" spans="1:32" x14ac:dyDescent="0.25">
      <c r="A54" s="1" t="s">
        <v>0</v>
      </c>
      <c r="B54" s="1" t="s">
        <v>1113</v>
      </c>
      <c r="C54" s="2" t="s">
        <v>1122</v>
      </c>
      <c r="D54" s="1" t="s">
        <v>1125</v>
      </c>
      <c r="E54" s="1"/>
      <c r="F54" s="3">
        <v>1807</v>
      </c>
      <c r="G54" s="3">
        <v>380</v>
      </c>
      <c r="H54" s="4">
        <v>1707</v>
      </c>
      <c r="I54" s="3">
        <v>825</v>
      </c>
      <c r="J54" s="3">
        <v>882</v>
      </c>
      <c r="K54" s="3">
        <v>514</v>
      </c>
      <c r="L54" s="3">
        <f t="shared" si="2"/>
        <v>30.111306385471586</v>
      </c>
      <c r="M54" s="3">
        <v>336</v>
      </c>
      <c r="N54" s="3">
        <f t="shared" si="3"/>
        <v>19.68365553602812</v>
      </c>
      <c r="O54" s="3">
        <v>62</v>
      </c>
      <c r="P54" s="15">
        <v>0</v>
      </c>
      <c r="Q54" s="22" t="s">
        <v>1348</v>
      </c>
      <c r="R54" s="102">
        <v>43885</v>
      </c>
      <c r="S54" s="67">
        <v>34.82</v>
      </c>
      <c r="T54" s="22"/>
      <c r="U54" s="22" t="s">
        <v>1348</v>
      </c>
      <c r="V54" s="22" t="s">
        <v>1348</v>
      </c>
      <c r="W54" s="22" t="s">
        <v>1348</v>
      </c>
      <c r="X54" s="22"/>
      <c r="Y54" s="22"/>
      <c r="Z54" s="22"/>
      <c r="AA54" s="22"/>
      <c r="AB54" s="22"/>
      <c r="AC54" s="22"/>
      <c r="AD54" s="22"/>
      <c r="AE54" s="22"/>
      <c r="AF54" s="22"/>
    </row>
    <row r="55" spans="1:32" x14ac:dyDescent="0.25">
      <c r="A55" s="1" t="s">
        <v>0</v>
      </c>
      <c r="B55" s="1" t="s">
        <v>1113</v>
      </c>
      <c r="C55" s="2" t="s">
        <v>1174</v>
      </c>
      <c r="D55" s="1" t="s">
        <v>1173</v>
      </c>
      <c r="E55" s="1"/>
      <c r="F55" s="3">
        <v>1426</v>
      </c>
      <c r="G55" s="3">
        <v>388</v>
      </c>
      <c r="H55" s="4">
        <v>1870</v>
      </c>
      <c r="I55" s="3">
        <v>929</v>
      </c>
      <c r="J55" s="3">
        <v>941</v>
      </c>
      <c r="K55" s="3">
        <v>550</v>
      </c>
      <c r="L55" s="3">
        <f t="shared" si="2"/>
        <v>29.411764705882355</v>
      </c>
      <c r="M55" s="3">
        <v>129</v>
      </c>
      <c r="N55" s="3">
        <f t="shared" si="3"/>
        <v>6.8983957219251337</v>
      </c>
      <c r="O55" s="3">
        <v>163</v>
      </c>
      <c r="P55" s="15">
        <v>0</v>
      </c>
      <c r="Q55" s="22" t="s">
        <v>1348</v>
      </c>
      <c r="R55" s="102">
        <v>43788</v>
      </c>
      <c r="S55" s="67">
        <v>23.37</v>
      </c>
      <c r="T55" s="22"/>
      <c r="U55" s="22" t="s">
        <v>1348</v>
      </c>
      <c r="V55" s="22" t="s">
        <v>1348</v>
      </c>
      <c r="W55" s="22" t="s">
        <v>1348</v>
      </c>
      <c r="X55" s="22"/>
      <c r="Y55" s="22"/>
      <c r="Z55" s="22"/>
      <c r="AA55" s="22"/>
      <c r="AB55" s="22"/>
      <c r="AC55" s="22"/>
      <c r="AD55" s="22"/>
      <c r="AE55" s="22"/>
      <c r="AF55" s="22"/>
    </row>
    <row r="56" spans="1:32" x14ac:dyDescent="0.25">
      <c r="A56" s="1" t="s">
        <v>0</v>
      </c>
      <c r="B56" s="1" t="s">
        <v>1113</v>
      </c>
      <c r="C56" s="2" t="s">
        <v>1174</v>
      </c>
      <c r="D56" s="1" t="s">
        <v>1175</v>
      </c>
      <c r="E56" s="1"/>
      <c r="F56" s="3">
        <v>1788</v>
      </c>
      <c r="G56" s="3">
        <v>300</v>
      </c>
      <c r="H56" s="4">
        <v>1450</v>
      </c>
      <c r="I56" s="3">
        <v>726</v>
      </c>
      <c r="J56" s="3">
        <v>724</v>
      </c>
      <c r="K56" s="3">
        <v>345</v>
      </c>
      <c r="L56" s="3">
        <f t="shared" si="2"/>
        <v>23.793103448275861</v>
      </c>
      <c r="M56" s="3">
        <v>94</v>
      </c>
      <c r="N56" s="3">
        <f t="shared" si="3"/>
        <v>6.4827586206896548</v>
      </c>
      <c r="O56" s="3">
        <v>0</v>
      </c>
      <c r="P56" s="15">
        <v>0</v>
      </c>
      <c r="Q56" s="22" t="s">
        <v>1348</v>
      </c>
      <c r="R56" s="102">
        <v>43785</v>
      </c>
      <c r="S56" s="67">
        <v>26.09</v>
      </c>
      <c r="T56" s="22"/>
      <c r="U56" s="22" t="s">
        <v>1348</v>
      </c>
      <c r="V56" s="22" t="s">
        <v>1348</v>
      </c>
      <c r="W56" s="22" t="s">
        <v>1348</v>
      </c>
      <c r="X56" s="22"/>
      <c r="Y56" s="22"/>
      <c r="Z56" s="22"/>
      <c r="AA56" s="22"/>
      <c r="AB56" s="22"/>
      <c r="AC56" s="22"/>
      <c r="AD56" s="22"/>
      <c r="AE56" s="22"/>
      <c r="AF56" s="22"/>
    </row>
    <row r="57" spans="1:32" x14ac:dyDescent="0.25">
      <c r="A57" s="1" t="s">
        <v>0</v>
      </c>
      <c r="B57" s="1" t="s">
        <v>1113</v>
      </c>
      <c r="C57" s="2" t="s">
        <v>1174</v>
      </c>
      <c r="D57" s="1" t="s">
        <v>1198</v>
      </c>
      <c r="E57" s="1"/>
      <c r="F57" s="3">
        <v>1045</v>
      </c>
      <c r="G57" s="3">
        <v>254</v>
      </c>
      <c r="H57" s="4">
        <v>1093</v>
      </c>
      <c r="I57" s="3">
        <v>473</v>
      </c>
      <c r="J57" s="3">
        <v>620</v>
      </c>
      <c r="K57" s="3">
        <v>209</v>
      </c>
      <c r="L57" s="3">
        <f t="shared" si="2"/>
        <v>19.121683440073191</v>
      </c>
      <c r="M57" s="3">
        <v>100</v>
      </c>
      <c r="N57" s="3">
        <f t="shared" si="3"/>
        <v>9.149130832570906</v>
      </c>
      <c r="O57" s="3">
        <v>105</v>
      </c>
      <c r="P57" s="15">
        <v>0</v>
      </c>
      <c r="Q57" s="22" t="s">
        <v>1348</v>
      </c>
      <c r="R57" s="102">
        <v>43796</v>
      </c>
      <c r="S57" s="67">
        <v>11.42</v>
      </c>
      <c r="T57" s="22"/>
      <c r="U57" s="22" t="s">
        <v>1348</v>
      </c>
      <c r="V57" s="22" t="s">
        <v>1348</v>
      </c>
      <c r="W57" s="22" t="s">
        <v>1348</v>
      </c>
      <c r="X57" s="22"/>
      <c r="Y57" s="22"/>
      <c r="Z57" s="22"/>
      <c r="AA57" s="22"/>
      <c r="AB57" s="22"/>
      <c r="AC57" s="22"/>
      <c r="AD57" s="22"/>
      <c r="AE57" s="22"/>
      <c r="AF57" s="22"/>
    </row>
    <row r="58" spans="1:32" x14ac:dyDescent="0.25">
      <c r="A58" s="1" t="s">
        <v>0</v>
      </c>
      <c r="B58" s="1" t="s">
        <v>1113</v>
      </c>
      <c r="C58" s="2" t="s">
        <v>1163</v>
      </c>
      <c r="D58" s="1" t="s">
        <v>1162</v>
      </c>
      <c r="E58" s="1"/>
      <c r="F58" s="3">
        <v>1190.83</v>
      </c>
      <c r="G58" s="3">
        <v>847</v>
      </c>
      <c r="H58" s="4">
        <v>4260</v>
      </c>
      <c r="I58" s="3">
        <v>2209</v>
      </c>
      <c r="J58" s="3">
        <v>2051</v>
      </c>
      <c r="K58" s="3">
        <v>542</v>
      </c>
      <c r="L58" s="3">
        <f t="shared" si="2"/>
        <v>12.72300469483568</v>
      </c>
      <c r="M58" s="3">
        <v>891</v>
      </c>
      <c r="N58" s="3">
        <f t="shared" si="3"/>
        <v>20.91549295774648</v>
      </c>
      <c r="O58" s="3">
        <v>223.19</v>
      </c>
      <c r="P58" s="15">
        <v>0</v>
      </c>
      <c r="Q58" s="22" t="s">
        <v>1348</v>
      </c>
      <c r="R58" s="102">
        <v>43820</v>
      </c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</row>
    <row r="59" spans="1:32" x14ac:dyDescent="0.25">
      <c r="A59" s="1" t="s">
        <v>0</v>
      </c>
      <c r="B59" s="1" t="s">
        <v>1113</v>
      </c>
      <c r="C59" s="2" t="s">
        <v>1190</v>
      </c>
      <c r="D59" s="1" t="s">
        <v>1189</v>
      </c>
      <c r="E59" s="1"/>
      <c r="F59" s="3">
        <v>700.79</v>
      </c>
      <c r="G59" s="3">
        <v>285</v>
      </c>
      <c r="H59" s="4">
        <v>1224</v>
      </c>
      <c r="I59" s="3">
        <v>614</v>
      </c>
      <c r="J59" s="3">
        <v>610</v>
      </c>
      <c r="K59" s="3">
        <v>140</v>
      </c>
      <c r="L59" s="3">
        <f t="shared" si="2"/>
        <v>11.437908496732026</v>
      </c>
      <c r="M59" s="3">
        <v>875</v>
      </c>
      <c r="N59" s="3">
        <f t="shared" si="3"/>
        <v>71.486928104575171</v>
      </c>
      <c r="O59" s="3">
        <v>85.1</v>
      </c>
      <c r="P59" s="15">
        <v>0</v>
      </c>
      <c r="Q59" s="22" t="s">
        <v>1348</v>
      </c>
      <c r="R59" s="102">
        <v>43794</v>
      </c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</row>
    <row r="60" spans="1:32" x14ac:dyDescent="0.25">
      <c r="A60" s="1" t="s">
        <v>0</v>
      </c>
      <c r="B60" s="1" t="s">
        <v>1113</v>
      </c>
      <c r="C60" s="2" t="s">
        <v>1190</v>
      </c>
      <c r="D60" s="1" t="s">
        <v>1191</v>
      </c>
      <c r="E60" s="1"/>
      <c r="F60" s="3">
        <v>1569.7</v>
      </c>
      <c r="G60" s="3">
        <v>740</v>
      </c>
      <c r="H60" s="4">
        <v>3601</v>
      </c>
      <c r="I60" s="3">
        <v>1772</v>
      </c>
      <c r="J60" s="3">
        <v>1829</v>
      </c>
      <c r="K60" s="3">
        <v>630</v>
      </c>
      <c r="L60" s="3">
        <f t="shared" si="2"/>
        <v>17.49514023882255</v>
      </c>
      <c r="M60" s="3">
        <v>651</v>
      </c>
      <c r="N60" s="3">
        <f t="shared" si="3"/>
        <v>18.078311580116633</v>
      </c>
      <c r="O60" s="3">
        <v>110</v>
      </c>
      <c r="P60" s="15">
        <v>323.2</v>
      </c>
      <c r="Q60" s="22" t="s">
        <v>1348</v>
      </c>
      <c r="R60" s="102">
        <v>43794</v>
      </c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</row>
    <row r="61" spans="1:32" x14ac:dyDescent="0.25">
      <c r="A61" s="1" t="s">
        <v>0</v>
      </c>
      <c r="B61" s="1" t="s">
        <v>1113</v>
      </c>
      <c r="C61" s="2" t="s">
        <v>1135</v>
      </c>
      <c r="D61" s="1" t="s">
        <v>1134</v>
      </c>
      <c r="E61" s="1"/>
      <c r="F61" s="3">
        <v>3988</v>
      </c>
      <c r="G61" s="3">
        <v>1374</v>
      </c>
      <c r="H61" s="4">
        <v>6516</v>
      </c>
      <c r="I61" s="3">
        <v>3162</v>
      </c>
      <c r="J61" s="3">
        <v>3354</v>
      </c>
      <c r="K61" s="3">
        <v>1379</v>
      </c>
      <c r="L61" s="3">
        <f t="shared" si="2"/>
        <v>21.163290362185389</v>
      </c>
      <c r="M61" s="3">
        <v>1107</v>
      </c>
      <c r="N61" s="3">
        <f t="shared" si="3"/>
        <v>16.988950276243095</v>
      </c>
      <c r="O61" s="3">
        <v>208</v>
      </c>
      <c r="P61" s="15">
        <v>0</v>
      </c>
      <c r="Q61" s="22" t="s">
        <v>1348</v>
      </c>
      <c r="R61" s="102">
        <v>43875</v>
      </c>
      <c r="S61" s="67">
        <v>5.74</v>
      </c>
      <c r="T61" s="22"/>
      <c r="U61" s="22" t="s">
        <v>1348</v>
      </c>
      <c r="V61" s="22" t="s">
        <v>1348</v>
      </c>
      <c r="W61" s="22" t="s">
        <v>1348</v>
      </c>
      <c r="X61" s="22"/>
      <c r="Y61" s="22"/>
      <c r="Z61" s="22"/>
      <c r="AA61" s="22"/>
      <c r="AB61" s="22"/>
      <c r="AC61" s="22"/>
      <c r="AD61" s="22"/>
      <c r="AE61" s="22"/>
      <c r="AF61" s="22"/>
    </row>
    <row r="62" spans="1:32" x14ac:dyDescent="0.25">
      <c r="A62" s="1" t="s">
        <v>0</v>
      </c>
      <c r="B62" s="1" t="s">
        <v>1113</v>
      </c>
      <c r="C62" s="2" t="s">
        <v>1135</v>
      </c>
      <c r="D62" s="1" t="s">
        <v>1136</v>
      </c>
      <c r="E62" s="1"/>
      <c r="F62" s="2">
        <v>383</v>
      </c>
      <c r="G62" s="5"/>
      <c r="H62" s="4">
        <v>0</v>
      </c>
      <c r="I62" s="5"/>
      <c r="J62" s="5"/>
      <c r="K62" s="5"/>
      <c r="L62" s="3" t="e">
        <f t="shared" si="2"/>
        <v>#DIV/0!</v>
      </c>
      <c r="M62" s="5"/>
      <c r="N62" s="3" t="e">
        <f t="shared" si="3"/>
        <v>#DIV/0!</v>
      </c>
      <c r="O62" s="2">
        <v>0</v>
      </c>
      <c r="P62" s="18">
        <v>0</v>
      </c>
      <c r="Q62" s="22"/>
      <c r="R62" s="97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</row>
    <row r="63" spans="1:32" x14ac:dyDescent="0.25">
      <c r="A63" s="1" t="s">
        <v>0</v>
      </c>
      <c r="B63" s="1" t="s">
        <v>1113</v>
      </c>
      <c r="C63" s="2" t="s">
        <v>1177</v>
      </c>
      <c r="D63" s="1" t="s">
        <v>1176</v>
      </c>
      <c r="E63" s="1"/>
      <c r="F63" s="3">
        <v>367.37</v>
      </c>
      <c r="G63" s="3">
        <v>102</v>
      </c>
      <c r="H63" s="4">
        <v>486</v>
      </c>
      <c r="I63" s="3">
        <v>255</v>
      </c>
      <c r="J63" s="3">
        <v>231</v>
      </c>
      <c r="K63" s="3">
        <v>58</v>
      </c>
      <c r="L63" s="3">
        <f t="shared" si="2"/>
        <v>11.934156378600823</v>
      </c>
      <c r="M63" s="3">
        <v>18</v>
      </c>
      <c r="N63" s="3">
        <f t="shared" si="3"/>
        <v>3.7037037037037033</v>
      </c>
      <c r="O63" s="3">
        <v>38.799999999999997</v>
      </c>
      <c r="P63" s="15">
        <v>46.15</v>
      </c>
      <c r="Q63" s="22" t="s">
        <v>1348</v>
      </c>
      <c r="R63" s="102">
        <v>43821</v>
      </c>
      <c r="S63" s="67">
        <v>11.74</v>
      </c>
      <c r="T63" s="22"/>
      <c r="U63" s="22" t="s">
        <v>1348</v>
      </c>
      <c r="V63" s="22" t="s">
        <v>1348</v>
      </c>
      <c r="W63" s="22" t="s">
        <v>1348</v>
      </c>
      <c r="X63" s="22"/>
      <c r="Y63" s="22"/>
      <c r="Z63" s="22"/>
      <c r="AA63" s="22"/>
      <c r="AB63" s="22"/>
      <c r="AC63" s="22"/>
      <c r="AD63" s="22"/>
      <c r="AE63" s="22"/>
      <c r="AF63" s="22"/>
    </row>
    <row r="64" spans="1:32" x14ac:dyDescent="0.25">
      <c r="A64" s="1" t="s">
        <v>0</v>
      </c>
      <c r="B64" s="1" t="s">
        <v>1113</v>
      </c>
      <c r="C64" s="2" t="s">
        <v>1177</v>
      </c>
      <c r="D64" s="1" t="s">
        <v>1178</v>
      </c>
      <c r="E64" s="1"/>
      <c r="F64" s="3">
        <v>1221.53</v>
      </c>
      <c r="G64" s="3">
        <v>669</v>
      </c>
      <c r="H64" s="4">
        <v>3332</v>
      </c>
      <c r="I64" s="3">
        <v>1614</v>
      </c>
      <c r="J64" s="3">
        <v>1718</v>
      </c>
      <c r="K64" s="3">
        <v>602</v>
      </c>
      <c r="L64" s="3">
        <f t="shared" si="2"/>
        <v>18.067226890756302</v>
      </c>
      <c r="M64" s="3">
        <v>340</v>
      </c>
      <c r="N64" s="3">
        <f t="shared" si="3"/>
        <v>10.204081632653061</v>
      </c>
      <c r="O64" s="3">
        <v>178.22</v>
      </c>
      <c r="P64" s="15">
        <v>60.18</v>
      </c>
      <c r="Q64" s="22" t="s">
        <v>1348</v>
      </c>
      <c r="R64" s="102">
        <v>43789</v>
      </c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</row>
    <row r="65" spans="1:32" x14ac:dyDescent="0.25">
      <c r="A65" s="1" t="s">
        <v>0</v>
      </c>
      <c r="B65" s="1" t="s">
        <v>1113</v>
      </c>
      <c r="C65" s="2" t="s">
        <v>1177</v>
      </c>
      <c r="D65" s="1" t="s">
        <v>1195</v>
      </c>
      <c r="E65" s="1"/>
      <c r="F65" s="3">
        <v>1142.1400000000001</v>
      </c>
      <c r="G65" s="3">
        <v>678</v>
      </c>
      <c r="H65" s="4">
        <v>3359</v>
      </c>
      <c r="I65" s="3">
        <v>1694</v>
      </c>
      <c r="J65" s="3">
        <v>1665</v>
      </c>
      <c r="K65" s="3">
        <v>861</v>
      </c>
      <c r="L65" s="3">
        <f t="shared" si="2"/>
        <v>25.632628758559093</v>
      </c>
      <c r="M65" s="3">
        <v>545</v>
      </c>
      <c r="N65" s="3">
        <f t="shared" si="3"/>
        <v>16.225066984221495</v>
      </c>
      <c r="O65" s="3">
        <v>75</v>
      </c>
      <c r="P65" s="15">
        <v>2.4</v>
      </c>
      <c r="Q65" s="22"/>
      <c r="R65" s="97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</row>
    <row r="66" spans="1:32" x14ac:dyDescent="0.25">
      <c r="A66" s="1" t="s">
        <v>0</v>
      </c>
      <c r="B66" s="1" t="s">
        <v>1113</v>
      </c>
      <c r="C66" s="2" t="s">
        <v>1193</v>
      </c>
      <c r="D66" s="1" t="s">
        <v>1192</v>
      </c>
      <c r="E66" s="1"/>
      <c r="F66" s="3">
        <v>320.77999999999997</v>
      </c>
      <c r="G66" s="3">
        <v>287</v>
      </c>
      <c r="H66" s="4">
        <v>1207</v>
      </c>
      <c r="I66" s="3">
        <v>582</v>
      </c>
      <c r="J66" s="3">
        <v>625</v>
      </c>
      <c r="K66" s="3">
        <v>209</v>
      </c>
      <c r="L66" s="3">
        <f t="shared" si="2"/>
        <v>17.315658657829328</v>
      </c>
      <c r="M66" s="3">
        <v>8</v>
      </c>
      <c r="N66" s="3">
        <f t="shared" si="3"/>
        <v>0.6628003314001657</v>
      </c>
      <c r="O66" s="3">
        <v>106.32</v>
      </c>
      <c r="P66" s="15">
        <v>0</v>
      </c>
      <c r="Q66" s="22" t="s">
        <v>1348</v>
      </c>
      <c r="R66" s="102">
        <v>44193</v>
      </c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</row>
    <row r="67" spans="1:32" x14ac:dyDescent="0.25">
      <c r="A67" s="1" t="s">
        <v>0</v>
      </c>
      <c r="B67" s="1" t="s">
        <v>1113</v>
      </c>
      <c r="C67" s="2" t="s">
        <v>1193</v>
      </c>
      <c r="D67" s="1" t="s">
        <v>1194</v>
      </c>
      <c r="E67" s="1"/>
      <c r="F67" s="3">
        <v>187.85</v>
      </c>
      <c r="G67" s="3">
        <v>107</v>
      </c>
      <c r="H67" s="4">
        <v>461</v>
      </c>
      <c r="I67" s="3">
        <v>221</v>
      </c>
      <c r="J67" s="3">
        <v>240</v>
      </c>
      <c r="K67" s="3">
        <v>108</v>
      </c>
      <c r="L67" s="3">
        <f t="shared" si="2"/>
        <v>23.427331887201735</v>
      </c>
      <c r="M67" s="3">
        <v>41</v>
      </c>
      <c r="N67" s="3">
        <f t="shared" si="3"/>
        <v>8.8937093275488071</v>
      </c>
      <c r="O67" s="3">
        <v>0</v>
      </c>
      <c r="P67" s="15">
        <v>0</v>
      </c>
      <c r="Q67" s="22"/>
      <c r="R67" s="97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</row>
    <row r="68" spans="1:32" x14ac:dyDescent="0.25">
      <c r="A68" s="1" t="s">
        <v>0</v>
      </c>
      <c r="B68" s="1" t="s">
        <v>1113</v>
      </c>
      <c r="C68" s="2" t="s">
        <v>1193</v>
      </c>
      <c r="D68" s="1" t="s">
        <v>811</v>
      </c>
      <c r="E68" s="1"/>
      <c r="F68" s="3">
        <v>454.54</v>
      </c>
      <c r="G68" s="3">
        <v>394</v>
      </c>
      <c r="H68" s="4">
        <v>1977</v>
      </c>
      <c r="I68" s="3">
        <v>950</v>
      </c>
      <c r="J68" s="3">
        <v>1027</v>
      </c>
      <c r="K68" s="3">
        <v>358</v>
      </c>
      <c r="L68" s="3">
        <f t="shared" ref="L68:L99" si="4">(K68/H68)*100</f>
        <v>18.108244815376835</v>
      </c>
      <c r="M68" s="3">
        <v>81</v>
      </c>
      <c r="N68" s="3">
        <f t="shared" ref="N68:N99" si="5">(M68/H68)*100</f>
        <v>4.0971168437025796</v>
      </c>
      <c r="O68" s="3">
        <v>0</v>
      </c>
      <c r="P68" s="15">
        <v>0</v>
      </c>
      <c r="Q68" s="22" t="s">
        <v>1348</v>
      </c>
      <c r="R68" s="102">
        <v>43795</v>
      </c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</row>
    <row r="69" spans="1:32" x14ac:dyDescent="0.25">
      <c r="A69" s="1" t="s">
        <v>0</v>
      </c>
      <c r="B69" s="1" t="s">
        <v>1113</v>
      </c>
      <c r="C69" s="2" t="s">
        <v>1155</v>
      </c>
      <c r="D69" s="1" t="s">
        <v>1154</v>
      </c>
      <c r="E69" s="1"/>
      <c r="F69" s="3">
        <v>6307</v>
      </c>
      <c r="G69" s="3">
        <v>1717</v>
      </c>
      <c r="H69" s="4">
        <v>8075</v>
      </c>
      <c r="I69" s="3">
        <v>3949</v>
      </c>
      <c r="J69" s="3">
        <v>4126</v>
      </c>
      <c r="K69" s="3">
        <v>1404</v>
      </c>
      <c r="L69" s="3">
        <f t="shared" si="4"/>
        <v>17.38699690402477</v>
      </c>
      <c r="M69" s="3">
        <v>568</v>
      </c>
      <c r="N69" s="3">
        <f t="shared" si="5"/>
        <v>7.03405572755418</v>
      </c>
      <c r="O69" s="3">
        <v>140</v>
      </c>
      <c r="P69" s="15">
        <v>1240</v>
      </c>
      <c r="Q69" s="22" t="s">
        <v>1348</v>
      </c>
      <c r="R69" s="102">
        <v>43905</v>
      </c>
      <c r="S69" s="67">
        <v>24.72</v>
      </c>
      <c r="T69" s="22"/>
      <c r="U69" s="22" t="s">
        <v>1348</v>
      </c>
      <c r="V69" s="22" t="s">
        <v>1348</v>
      </c>
      <c r="W69" s="22" t="s">
        <v>1348</v>
      </c>
      <c r="X69" s="22"/>
      <c r="Y69" s="22"/>
      <c r="Z69" s="22"/>
      <c r="AA69" s="22"/>
      <c r="AB69" s="22"/>
      <c r="AC69" s="22"/>
      <c r="AD69" s="22"/>
      <c r="AE69" s="22"/>
      <c r="AF69" s="22"/>
    </row>
    <row r="70" spans="1:32" x14ac:dyDescent="0.25">
      <c r="A70" s="1" t="s">
        <v>0</v>
      </c>
      <c r="B70" s="1" t="s">
        <v>1113</v>
      </c>
      <c r="C70" s="2" t="s">
        <v>1171</v>
      </c>
      <c r="D70" s="1" t="s">
        <v>1170</v>
      </c>
      <c r="E70" s="1"/>
      <c r="F70" s="3">
        <v>2332</v>
      </c>
      <c r="G70" s="3">
        <v>522</v>
      </c>
      <c r="H70" s="4">
        <v>2330</v>
      </c>
      <c r="I70" s="3">
        <v>1177</v>
      </c>
      <c r="J70" s="3">
        <v>1153</v>
      </c>
      <c r="K70" s="3">
        <v>483</v>
      </c>
      <c r="L70" s="3">
        <f t="shared" si="4"/>
        <v>20.72961373390558</v>
      </c>
      <c r="M70" s="3">
        <v>338</v>
      </c>
      <c r="N70" s="3">
        <f t="shared" si="5"/>
        <v>14.506437768240342</v>
      </c>
      <c r="O70" s="3">
        <v>137</v>
      </c>
      <c r="P70" s="15">
        <v>122</v>
      </c>
      <c r="Q70" s="22" t="s">
        <v>1348</v>
      </c>
      <c r="R70" s="102">
        <v>44070</v>
      </c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</row>
    <row r="71" spans="1:32" x14ac:dyDescent="0.25">
      <c r="A71" s="1" t="s">
        <v>0</v>
      </c>
      <c r="B71" s="1" t="s">
        <v>1113</v>
      </c>
      <c r="C71" s="2" t="s">
        <v>1171</v>
      </c>
      <c r="D71" s="1" t="s">
        <v>1172</v>
      </c>
      <c r="E71" s="1"/>
      <c r="F71" s="3">
        <v>1862</v>
      </c>
      <c r="G71" s="3">
        <v>358</v>
      </c>
      <c r="H71" s="4">
        <v>1658</v>
      </c>
      <c r="I71" s="3">
        <v>861</v>
      </c>
      <c r="J71" s="3">
        <v>797</v>
      </c>
      <c r="K71" s="3">
        <v>450</v>
      </c>
      <c r="L71" s="3">
        <f t="shared" si="4"/>
        <v>27.141133896260556</v>
      </c>
      <c r="M71" s="3">
        <v>24</v>
      </c>
      <c r="N71" s="3">
        <f t="shared" si="5"/>
        <v>1.4475271411338964</v>
      </c>
      <c r="O71" s="3">
        <v>55</v>
      </c>
      <c r="P71" s="15">
        <v>0</v>
      </c>
      <c r="Q71" s="22" t="s">
        <v>1348</v>
      </c>
      <c r="R71" s="102">
        <v>44073</v>
      </c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</row>
  </sheetData>
  <mergeCells count="3">
    <mergeCell ref="AD2:AE2"/>
    <mergeCell ref="M2:N2"/>
    <mergeCell ref="K2:L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9"/>
  <sheetViews>
    <sheetView workbookViewId="0">
      <pane xSplit="10" ySplit="4" topLeftCell="K5" activePane="bottomRight" state="frozen"/>
      <selection pane="topRight" activeCell="K1" sqref="K1"/>
      <selection pane="bottomLeft" activeCell="A5" sqref="A5"/>
      <selection pane="bottomRight" activeCell="G2" sqref="G2"/>
    </sheetView>
  </sheetViews>
  <sheetFormatPr defaultRowHeight="15" x14ac:dyDescent="0.25"/>
  <cols>
    <col min="3" max="3" width="19.42578125" customWidth="1"/>
    <col min="4" max="5" width="15.42578125" customWidth="1"/>
    <col min="13" max="14" width="12.5703125" customWidth="1"/>
    <col min="18" max="18" width="11.5703125" style="99" customWidth="1"/>
  </cols>
  <sheetData>
    <row r="1" spans="1:31" ht="15.75" x14ac:dyDescent="0.25">
      <c r="A1" s="23"/>
      <c r="B1" s="23"/>
      <c r="C1" s="24"/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11" t="s">
        <v>1327</v>
      </c>
      <c r="R1" s="94" t="s">
        <v>1327</v>
      </c>
      <c r="S1" s="11" t="s">
        <v>1328</v>
      </c>
      <c r="T1" s="12" t="s">
        <v>1329</v>
      </c>
      <c r="U1" s="11" t="s">
        <v>1329</v>
      </c>
      <c r="V1" s="11" t="s">
        <v>1329</v>
      </c>
      <c r="W1" s="11" t="s">
        <v>1329</v>
      </c>
      <c r="X1" s="11" t="s">
        <v>1329</v>
      </c>
      <c r="Y1" s="11" t="s">
        <v>1329</v>
      </c>
      <c r="Z1" s="13" t="s">
        <v>1330</v>
      </c>
      <c r="AA1" s="13" t="s">
        <v>1330</v>
      </c>
      <c r="AB1" s="13" t="s">
        <v>1330</v>
      </c>
      <c r="AC1" s="13" t="s">
        <v>1330</v>
      </c>
      <c r="AD1" s="13" t="s">
        <v>1330</v>
      </c>
      <c r="AE1" s="13" t="s">
        <v>1330</v>
      </c>
    </row>
    <row r="2" spans="1:31" ht="165" x14ac:dyDescent="0.25">
      <c r="A2" s="25" t="s">
        <v>1336</v>
      </c>
      <c r="B2" s="25" t="s">
        <v>1337</v>
      </c>
      <c r="C2" s="25" t="s">
        <v>1338</v>
      </c>
      <c r="D2" s="25" t="s">
        <v>1339</v>
      </c>
      <c r="E2" s="25" t="s">
        <v>1340</v>
      </c>
      <c r="F2" s="25" t="s">
        <v>1341</v>
      </c>
      <c r="G2" s="25" t="s">
        <v>1342</v>
      </c>
      <c r="H2" s="25" t="s">
        <v>1343</v>
      </c>
      <c r="I2" s="25" t="s">
        <v>1344</v>
      </c>
      <c r="J2" s="25" t="s">
        <v>1345</v>
      </c>
      <c r="K2" s="119" t="s">
        <v>1346</v>
      </c>
      <c r="L2" s="120"/>
      <c r="M2" s="119" t="s">
        <v>1347</v>
      </c>
      <c r="N2" s="120"/>
      <c r="O2" s="14" t="s">
        <v>1331</v>
      </c>
      <c r="P2" s="14" t="s">
        <v>1332</v>
      </c>
      <c r="Q2" s="6" t="s">
        <v>1307</v>
      </c>
      <c r="R2" s="95" t="s">
        <v>1308</v>
      </c>
      <c r="S2" s="6" t="s">
        <v>1309</v>
      </c>
      <c r="T2" s="7" t="s">
        <v>1310</v>
      </c>
      <c r="U2" s="6" t="s">
        <v>1311</v>
      </c>
      <c r="V2" s="7" t="s">
        <v>1312</v>
      </c>
      <c r="W2" s="6" t="s">
        <v>1313</v>
      </c>
      <c r="X2" s="6" t="s">
        <v>1314</v>
      </c>
      <c r="Y2" s="7" t="s">
        <v>1315</v>
      </c>
      <c r="Z2" s="7" t="s">
        <v>1316</v>
      </c>
      <c r="AA2" s="7" t="s">
        <v>1317</v>
      </c>
      <c r="AB2" s="7" t="s">
        <v>1318</v>
      </c>
      <c r="AC2" s="7" t="s">
        <v>1319</v>
      </c>
      <c r="AD2" s="121" t="s">
        <v>1320</v>
      </c>
      <c r="AE2" s="121"/>
    </row>
    <row r="3" spans="1:31" ht="31.5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8" t="s">
        <v>1333</v>
      </c>
      <c r="L3" s="8" t="s">
        <v>1334</v>
      </c>
      <c r="M3" s="8" t="s">
        <v>1333</v>
      </c>
      <c r="N3" s="8" t="s">
        <v>1334</v>
      </c>
      <c r="O3" s="14" t="s">
        <v>1335</v>
      </c>
      <c r="P3" s="14" t="s">
        <v>1335</v>
      </c>
      <c r="Q3" s="16" t="s">
        <v>1321</v>
      </c>
      <c r="R3" s="95" t="s">
        <v>1322</v>
      </c>
      <c r="S3" s="8" t="s">
        <v>1323</v>
      </c>
      <c r="T3" s="9" t="s">
        <v>1323</v>
      </c>
      <c r="U3" s="8" t="s">
        <v>1321</v>
      </c>
      <c r="V3" s="8" t="s">
        <v>1321</v>
      </c>
      <c r="W3" s="9" t="s">
        <v>1321</v>
      </c>
      <c r="X3" s="9" t="s">
        <v>1321</v>
      </c>
      <c r="Y3" s="9" t="s">
        <v>1323</v>
      </c>
      <c r="Z3" s="9" t="s">
        <v>1321</v>
      </c>
      <c r="AA3" s="9" t="s">
        <v>1321</v>
      </c>
      <c r="AB3" s="9" t="s">
        <v>1323</v>
      </c>
      <c r="AC3" s="8" t="s">
        <v>1324</v>
      </c>
      <c r="AD3" s="84" t="s">
        <v>1325</v>
      </c>
      <c r="AE3" s="84" t="s">
        <v>1326</v>
      </c>
    </row>
    <row r="4" spans="1:31" x14ac:dyDescent="0.25">
      <c r="A4" s="1" t="s">
        <v>0</v>
      </c>
      <c r="B4" s="1" t="s">
        <v>1206</v>
      </c>
      <c r="C4" s="2" t="s">
        <v>1293</v>
      </c>
      <c r="D4" s="1" t="s">
        <v>1292</v>
      </c>
      <c r="E4" s="1"/>
      <c r="F4" s="3">
        <v>1333.69</v>
      </c>
      <c r="G4" s="3">
        <v>258</v>
      </c>
      <c r="H4" s="4">
        <v>1186</v>
      </c>
      <c r="I4" s="3">
        <v>602</v>
      </c>
      <c r="J4" s="3">
        <v>584</v>
      </c>
      <c r="K4" s="15">
        <v>212</v>
      </c>
      <c r="L4" s="17">
        <f t="shared" ref="L4:L35" si="0">(K4/H4)*100</f>
        <v>17.875210792580102</v>
      </c>
      <c r="M4" s="17">
        <v>336</v>
      </c>
      <c r="N4" s="17">
        <f t="shared" ref="N4:N35" si="1">(M4/H4)*100</f>
        <v>28.330522765598655</v>
      </c>
      <c r="O4" s="17">
        <v>94</v>
      </c>
      <c r="P4" s="17"/>
      <c r="Q4" s="22" t="s">
        <v>1354</v>
      </c>
      <c r="R4" s="102">
        <v>43880</v>
      </c>
      <c r="S4" s="114">
        <v>4.8899999999999997</v>
      </c>
      <c r="T4" s="22"/>
      <c r="U4" s="22" t="s">
        <v>1348</v>
      </c>
      <c r="V4" s="22" t="s">
        <v>1348</v>
      </c>
      <c r="W4" s="22" t="s">
        <v>1348</v>
      </c>
      <c r="X4" s="22"/>
      <c r="Y4" s="22"/>
      <c r="Z4" s="22"/>
      <c r="AA4" s="22"/>
      <c r="AB4" s="22"/>
      <c r="AC4" s="22"/>
      <c r="AD4" s="22"/>
      <c r="AE4" s="22"/>
    </row>
    <row r="5" spans="1:31" x14ac:dyDescent="0.25">
      <c r="A5" s="1" t="s">
        <v>0</v>
      </c>
      <c r="B5" s="1" t="s">
        <v>1206</v>
      </c>
      <c r="C5" s="2" t="s">
        <v>1293</v>
      </c>
      <c r="D5" s="1" t="s">
        <v>1294</v>
      </c>
      <c r="E5" s="1"/>
      <c r="F5" s="3">
        <v>1327.52</v>
      </c>
      <c r="G5" s="3">
        <v>454</v>
      </c>
      <c r="H5" s="4">
        <v>1893</v>
      </c>
      <c r="I5" s="3">
        <v>935</v>
      </c>
      <c r="J5" s="3">
        <v>958</v>
      </c>
      <c r="K5" s="15">
        <v>375</v>
      </c>
      <c r="L5" s="17">
        <f t="shared" si="0"/>
        <v>19.809825673534075</v>
      </c>
      <c r="M5" s="17">
        <v>100</v>
      </c>
      <c r="N5" s="17">
        <f t="shared" si="1"/>
        <v>5.2826201796090864</v>
      </c>
      <c r="O5" s="17">
        <v>17</v>
      </c>
      <c r="P5" s="17"/>
      <c r="Q5" s="22" t="s">
        <v>1354</v>
      </c>
      <c r="R5" s="102">
        <v>43879</v>
      </c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</row>
    <row r="6" spans="1:31" x14ac:dyDescent="0.25">
      <c r="A6" s="1" t="s">
        <v>0</v>
      </c>
      <c r="B6" s="1" t="s">
        <v>1206</v>
      </c>
      <c r="C6" s="2" t="s">
        <v>1293</v>
      </c>
      <c r="D6" s="1" t="s">
        <v>1304</v>
      </c>
      <c r="E6" s="1"/>
      <c r="F6" s="3">
        <v>693.34</v>
      </c>
      <c r="G6" s="3">
        <v>215</v>
      </c>
      <c r="H6" s="4">
        <v>974</v>
      </c>
      <c r="I6" s="3">
        <v>455</v>
      </c>
      <c r="J6" s="3">
        <v>519</v>
      </c>
      <c r="K6" s="15">
        <v>142</v>
      </c>
      <c r="L6" s="17">
        <f t="shared" si="0"/>
        <v>14.579055441478438</v>
      </c>
      <c r="M6" s="17">
        <v>146</v>
      </c>
      <c r="N6" s="17">
        <f t="shared" si="1"/>
        <v>14.989733059548255</v>
      </c>
      <c r="O6" s="17">
        <v>15</v>
      </c>
      <c r="P6" s="17"/>
      <c r="Q6" s="22" t="s">
        <v>1354</v>
      </c>
      <c r="R6" s="96">
        <v>43881</v>
      </c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</row>
    <row r="7" spans="1:31" x14ac:dyDescent="0.25">
      <c r="A7" s="1" t="s">
        <v>0</v>
      </c>
      <c r="B7" s="1" t="s">
        <v>1206</v>
      </c>
      <c r="C7" s="2" t="s">
        <v>1210</v>
      </c>
      <c r="D7" s="1" t="s">
        <v>1209</v>
      </c>
      <c r="E7" s="1"/>
      <c r="F7" s="3">
        <v>659</v>
      </c>
      <c r="G7" s="3">
        <v>79</v>
      </c>
      <c r="H7" s="4">
        <v>341</v>
      </c>
      <c r="I7" s="3">
        <v>157</v>
      </c>
      <c r="J7" s="3">
        <v>184</v>
      </c>
      <c r="K7" s="15">
        <v>83</v>
      </c>
      <c r="L7" s="17">
        <f t="shared" si="0"/>
        <v>24.340175953079179</v>
      </c>
      <c r="M7" s="17">
        <v>70</v>
      </c>
      <c r="N7" s="17">
        <f t="shared" si="1"/>
        <v>20.527859237536656</v>
      </c>
      <c r="O7" s="17">
        <v>134</v>
      </c>
      <c r="P7" s="17"/>
      <c r="Q7" s="22" t="s">
        <v>1354</v>
      </c>
      <c r="R7" s="102">
        <v>43816</v>
      </c>
      <c r="S7" s="114">
        <v>5.19</v>
      </c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</row>
    <row r="8" spans="1:31" x14ac:dyDescent="0.25">
      <c r="A8" s="1" t="s">
        <v>0</v>
      </c>
      <c r="B8" s="1" t="s">
        <v>1206</v>
      </c>
      <c r="C8" s="2" t="s">
        <v>1210</v>
      </c>
      <c r="D8" s="1" t="s">
        <v>1211</v>
      </c>
      <c r="E8" s="1"/>
      <c r="F8" s="3">
        <v>1199</v>
      </c>
      <c r="G8" s="3">
        <v>484</v>
      </c>
      <c r="H8" s="4">
        <v>2073</v>
      </c>
      <c r="I8" s="3">
        <v>933</v>
      </c>
      <c r="J8" s="3">
        <v>1140</v>
      </c>
      <c r="K8" s="15">
        <v>500</v>
      </c>
      <c r="L8" s="17">
        <f t="shared" si="0"/>
        <v>24.119633381572601</v>
      </c>
      <c r="M8" s="17">
        <v>0</v>
      </c>
      <c r="N8" s="17">
        <f t="shared" si="1"/>
        <v>0</v>
      </c>
      <c r="O8" s="17">
        <v>100</v>
      </c>
      <c r="P8" s="17"/>
      <c r="Q8" s="22" t="s">
        <v>1354</v>
      </c>
      <c r="R8" s="102">
        <v>43814</v>
      </c>
      <c r="S8" s="114">
        <v>5.1100000000000003</v>
      </c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</row>
    <row r="9" spans="1:31" x14ac:dyDescent="0.25">
      <c r="A9" s="1" t="s">
        <v>0</v>
      </c>
      <c r="B9" s="1" t="s">
        <v>1206</v>
      </c>
      <c r="C9" s="2" t="s">
        <v>1210</v>
      </c>
      <c r="D9" s="1" t="s">
        <v>1214</v>
      </c>
      <c r="E9" s="1"/>
      <c r="F9" s="3">
        <v>1155</v>
      </c>
      <c r="G9" s="3">
        <v>308</v>
      </c>
      <c r="H9" s="4">
        <v>1337</v>
      </c>
      <c r="I9" s="3">
        <v>652</v>
      </c>
      <c r="J9" s="3">
        <v>685</v>
      </c>
      <c r="K9" s="15">
        <v>333</v>
      </c>
      <c r="L9" s="17">
        <f t="shared" si="0"/>
        <v>24.906507105459987</v>
      </c>
      <c r="M9" s="17">
        <v>0</v>
      </c>
      <c r="N9" s="17">
        <f t="shared" si="1"/>
        <v>0</v>
      </c>
      <c r="O9" s="17">
        <v>86</v>
      </c>
      <c r="P9" s="17"/>
      <c r="Q9" s="22" t="s">
        <v>1354</v>
      </c>
      <c r="R9" s="102">
        <v>43811</v>
      </c>
      <c r="S9" s="114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</row>
    <row r="10" spans="1:31" x14ac:dyDescent="0.25">
      <c r="A10" s="1" t="s">
        <v>0</v>
      </c>
      <c r="B10" s="1" t="s">
        <v>1206</v>
      </c>
      <c r="C10" s="2" t="s">
        <v>1210</v>
      </c>
      <c r="D10" s="1" t="s">
        <v>1215</v>
      </c>
      <c r="E10" s="1"/>
      <c r="F10" s="3">
        <v>153</v>
      </c>
      <c r="G10" s="3">
        <v>201</v>
      </c>
      <c r="H10" s="4">
        <v>967</v>
      </c>
      <c r="I10" s="3">
        <v>505</v>
      </c>
      <c r="J10" s="3">
        <v>462</v>
      </c>
      <c r="K10" s="15">
        <v>358</v>
      </c>
      <c r="L10" s="17">
        <f t="shared" si="0"/>
        <v>37.021716649431227</v>
      </c>
      <c r="M10" s="17">
        <v>97</v>
      </c>
      <c r="N10" s="17">
        <f t="shared" si="1"/>
        <v>10.031023784901757</v>
      </c>
      <c r="O10" s="17">
        <v>0</v>
      </c>
      <c r="P10" s="17"/>
      <c r="Q10" s="22"/>
      <c r="R10" s="97"/>
      <c r="S10" s="114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</row>
    <row r="11" spans="1:31" x14ac:dyDescent="0.25">
      <c r="A11" s="1" t="s">
        <v>0</v>
      </c>
      <c r="B11" s="1" t="s">
        <v>1206</v>
      </c>
      <c r="C11" s="2" t="s">
        <v>603</v>
      </c>
      <c r="D11" s="1" t="s">
        <v>1285</v>
      </c>
      <c r="E11" s="1"/>
      <c r="F11" s="3">
        <v>1315</v>
      </c>
      <c r="G11" s="3">
        <v>298</v>
      </c>
      <c r="H11" s="4">
        <v>1491</v>
      </c>
      <c r="I11" s="3">
        <v>719</v>
      </c>
      <c r="J11" s="3">
        <v>772</v>
      </c>
      <c r="K11" s="15">
        <v>230</v>
      </c>
      <c r="L11" s="17">
        <f t="shared" si="0"/>
        <v>15.425888665325285</v>
      </c>
      <c r="M11" s="17">
        <v>0</v>
      </c>
      <c r="N11" s="17">
        <f t="shared" si="1"/>
        <v>0</v>
      </c>
      <c r="O11" s="17">
        <v>196</v>
      </c>
      <c r="P11" s="17"/>
      <c r="Q11" s="22"/>
      <c r="R11" s="97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x14ac:dyDescent="0.25">
      <c r="A12" s="1" t="s">
        <v>0</v>
      </c>
      <c r="B12" s="1" t="s">
        <v>1206</v>
      </c>
      <c r="C12" s="2" t="s">
        <v>1272</v>
      </c>
      <c r="D12" s="1" t="s">
        <v>1271</v>
      </c>
      <c r="E12" s="1"/>
      <c r="F12" s="3">
        <v>3474.24</v>
      </c>
      <c r="G12" s="3">
        <v>1246</v>
      </c>
      <c r="H12" s="4">
        <v>5759</v>
      </c>
      <c r="I12" s="3">
        <v>2892</v>
      </c>
      <c r="J12" s="3">
        <v>2867</v>
      </c>
      <c r="K12" s="15">
        <v>1171</v>
      </c>
      <c r="L12" s="17">
        <f t="shared" si="0"/>
        <v>20.333391213752389</v>
      </c>
      <c r="M12" s="17">
        <v>94</v>
      </c>
      <c r="N12" s="17">
        <f t="shared" si="1"/>
        <v>1.6322278173293976</v>
      </c>
      <c r="O12" s="17">
        <v>213.37</v>
      </c>
      <c r="P12" s="17"/>
      <c r="Q12" s="22" t="s">
        <v>1354</v>
      </c>
      <c r="R12" s="102">
        <v>43825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 spans="1:31" x14ac:dyDescent="0.25">
      <c r="A13" s="1" t="s">
        <v>0</v>
      </c>
      <c r="B13" s="1" t="s">
        <v>1206</v>
      </c>
      <c r="C13" s="2" t="s">
        <v>1272</v>
      </c>
      <c r="D13" s="1" t="s">
        <v>1273</v>
      </c>
      <c r="E13" s="1"/>
      <c r="F13" s="3">
        <v>199.98</v>
      </c>
      <c r="G13" s="3">
        <v>45</v>
      </c>
      <c r="H13" s="4">
        <v>196</v>
      </c>
      <c r="I13" s="3">
        <v>105</v>
      </c>
      <c r="J13" s="3">
        <v>91</v>
      </c>
      <c r="K13" s="15">
        <v>1</v>
      </c>
      <c r="L13" s="17">
        <f t="shared" si="0"/>
        <v>0.51020408163265307</v>
      </c>
      <c r="M13" s="17">
        <v>13</v>
      </c>
      <c r="N13" s="17">
        <f t="shared" si="1"/>
        <v>6.6326530612244898</v>
      </c>
      <c r="O13" s="17">
        <v>0</v>
      </c>
      <c r="P13" s="17"/>
      <c r="Q13" s="22"/>
      <c r="R13" s="96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1:31" x14ac:dyDescent="0.25">
      <c r="A14" s="1" t="s">
        <v>0</v>
      </c>
      <c r="B14" s="1" t="s">
        <v>1206</v>
      </c>
      <c r="C14" s="2" t="s">
        <v>1287</v>
      </c>
      <c r="D14" s="1" t="s">
        <v>1286</v>
      </c>
      <c r="E14" s="1"/>
      <c r="F14" s="3">
        <v>3831</v>
      </c>
      <c r="G14" s="3">
        <v>830</v>
      </c>
      <c r="H14" s="4">
        <v>3751</v>
      </c>
      <c r="I14" s="3">
        <v>1862</v>
      </c>
      <c r="J14" s="3">
        <v>1889</v>
      </c>
      <c r="K14" s="15">
        <v>605</v>
      </c>
      <c r="L14" s="17">
        <f t="shared" si="0"/>
        <v>16.129032258064516</v>
      </c>
      <c r="M14" s="17">
        <v>84</v>
      </c>
      <c r="N14" s="17">
        <f t="shared" si="1"/>
        <v>2.2394028259130896</v>
      </c>
      <c r="O14" s="17">
        <v>461</v>
      </c>
      <c r="P14" s="17"/>
      <c r="Q14" s="22" t="s">
        <v>1354</v>
      </c>
      <c r="R14" s="102">
        <v>43802</v>
      </c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1" x14ac:dyDescent="0.25">
      <c r="A15" s="1" t="s">
        <v>0</v>
      </c>
      <c r="B15" s="1" t="s">
        <v>1206</v>
      </c>
      <c r="C15" s="2" t="s">
        <v>1303</v>
      </c>
      <c r="D15" s="1" t="s">
        <v>1302</v>
      </c>
      <c r="E15" s="1"/>
      <c r="F15" s="3">
        <v>3444.69</v>
      </c>
      <c r="G15" s="3">
        <v>868</v>
      </c>
      <c r="H15" s="4">
        <v>4212</v>
      </c>
      <c r="I15" s="3">
        <v>2038</v>
      </c>
      <c r="J15" s="3">
        <v>2174</v>
      </c>
      <c r="K15" s="15">
        <v>892</v>
      </c>
      <c r="L15" s="17">
        <f t="shared" si="0"/>
        <v>21.177587844254511</v>
      </c>
      <c r="M15" s="17">
        <v>124</v>
      </c>
      <c r="N15" s="17">
        <f t="shared" si="1"/>
        <v>2.9439696106362776</v>
      </c>
      <c r="O15" s="17">
        <v>128.86000000000001</v>
      </c>
      <c r="P15" s="17"/>
      <c r="Q15" s="22" t="s">
        <v>1354</v>
      </c>
      <c r="R15" s="102">
        <v>44137</v>
      </c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 spans="1:31" x14ac:dyDescent="0.25">
      <c r="A16" s="1" t="s">
        <v>0</v>
      </c>
      <c r="B16" s="1" t="s">
        <v>1206</v>
      </c>
      <c r="C16" s="2" t="s">
        <v>1236</v>
      </c>
      <c r="D16" s="1" t="s">
        <v>1235</v>
      </c>
      <c r="E16" s="1"/>
      <c r="F16" s="3">
        <v>222.97</v>
      </c>
      <c r="G16" s="3">
        <v>58</v>
      </c>
      <c r="H16" s="4">
        <v>282</v>
      </c>
      <c r="I16" s="3">
        <v>151</v>
      </c>
      <c r="J16" s="3">
        <v>131</v>
      </c>
      <c r="K16" s="15">
        <v>108</v>
      </c>
      <c r="L16" s="17">
        <f t="shared" si="0"/>
        <v>38.297872340425535</v>
      </c>
      <c r="M16" s="17">
        <v>0</v>
      </c>
      <c r="N16" s="17">
        <f t="shared" si="1"/>
        <v>0</v>
      </c>
      <c r="O16" s="17">
        <v>27.35</v>
      </c>
      <c r="P16" s="17"/>
      <c r="Q16" s="22"/>
      <c r="R16" s="97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1:31" x14ac:dyDescent="0.25">
      <c r="A17" s="1" t="s">
        <v>0</v>
      </c>
      <c r="B17" s="1" t="s">
        <v>1206</v>
      </c>
      <c r="C17" s="2" t="s">
        <v>1236</v>
      </c>
      <c r="D17" s="1" t="s">
        <v>1238</v>
      </c>
      <c r="E17" s="1"/>
      <c r="F17" s="3">
        <v>1011.04</v>
      </c>
      <c r="G17" s="3">
        <v>404</v>
      </c>
      <c r="H17" s="4">
        <v>1817</v>
      </c>
      <c r="I17" s="3">
        <v>866</v>
      </c>
      <c r="J17" s="3">
        <v>951</v>
      </c>
      <c r="K17" s="15">
        <v>504</v>
      </c>
      <c r="L17" s="17">
        <f t="shared" si="0"/>
        <v>27.738029719317559</v>
      </c>
      <c r="M17" s="17">
        <v>1</v>
      </c>
      <c r="N17" s="17">
        <f t="shared" si="1"/>
        <v>5.5035773252614197E-2</v>
      </c>
      <c r="O17" s="17">
        <v>154.63999999999999</v>
      </c>
      <c r="P17" s="17"/>
      <c r="Q17" s="22"/>
      <c r="R17" s="97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 spans="1:31" x14ac:dyDescent="0.25">
      <c r="A18" s="1" t="s">
        <v>0</v>
      </c>
      <c r="B18" s="1" t="s">
        <v>1206</v>
      </c>
      <c r="C18" s="2" t="s">
        <v>1240</v>
      </c>
      <c r="D18" s="1" t="s">
        <v>1239</v>
      </c>
      <c r="E18" s="1"/>
      <c r="F18" s="3">
        <v>1363.41</v>
      </c>
      <c r="G18" s="3">
        <v>317</v>
      </c>
      <c r="H18" s="4">
        <v>1406</v>
      </c>
      <c r="I18" s="3">
        <v>724</v>
      </c>
      <c r="J18" s="3">
        <v>682</v>
      </c>
      <c r="K18" s="15">
        <v>276</v>
      </c>
      <c r="L18" s="17">
        <f t="shared" si="0"/>
        <v>19.630156472261735</v>
      </c>
      <c r="M18" s="17">
        <v>0</v>
      </c>
      <c r="N18" s="17">
        <f t="shared" si="1"/>
        <v>0</v>
      </c>
      <c r="O18" s="17">
        <v>110.95</v>
      </c>
      <c r="P18" s="17"/>
      <c r="Q18" s="22" t="s">
        <v>1354</v>
      </c>
      <c r="R18" s="96">
        <v>43823</v>
      </c>
      <c r="S18" s="114">
        <v>3.06</v>
      </c>
      <c r="T18" s="22"/>
      <c r="U18" s="22" t="s">
        <v>1348</v>
      </c>
      <c r="V18" s="22" t="s">
        <v>1348</v>
      </c>
      <c r="W18" s="22" t="s">
        <v>1348</v>
      </c>
      <c r="X18" s="22"/>
      <c r="Y18" s="22"/>
      <c r="Z18" s="22"/>
      <c r="AA18" s="22"/>
      <c r="AB18" s="22"/>
      <c r="AC18" s="22"/>
      <c r="AD18" s="22"/>
      <c r="AE18" s="22"/>
    </row>
    <row r="19" spans="1:31" x14ac:dyDescent="0.25">
      <c r="A19" s="1" t="s">
        <v>0</v>
      </c>
      <c r="B19" s="1" t="s">
        <v>1206</v>
      </c>
      <c r="C19" s="2" t="s">
        <v>1240</v>
      </c>
      <c r="D19" s="1" t="s">
        <v>1252</v>
      </c>
      <c r="E19" s="1"/>
      <c r="F19" s="3">
        <v>1183.93</v>
      </c>
      <c r="G19" s="3">
        <v>431</v>
      </c>
      <c r="H19" s="4">
        <v>2102</v>
      </c>
      <c r="I19" s="3">
        <v>1066</v>
      </c>
      <c r="J19" s="3">
        <v>1036</v>
      </c>
      <c r="K19" s="15">
        <v>563</v>
      </c>
      <c r="L19" s="17">
        <f t="shared" si="0"/>
        <v>26.784015223596576</v>
      </c>
      <c r="M19" s="17">
        <v>0</v>
      </c>
      <c r="N19" s="17">
        <f t="shared" si="1"/>
        <v>0</v>
      </c>
      <c r="O19" s="17">
        <v>122.8</v>
      </c>
      <c r="P19" s="17"/>
      <c r="Q19" s="22" t="s">
        <v>1354</v>
      </c>
      <c r="R19" s="96">
        <v>43822</v>
      </c>
      <c r="S19" s="114">
        <v>2.85</v>
      </c>
      <c r="T19" s="22"/>
      <c r="U19" s="22" t="s">
        <v>1348</v>
      </c>
      <c r="V19" s="22" t="s">
        <v>1348</v>
      </c>
      <c r="W19" s="22" t="s">
        <v>1348</v>
      </c>
      <c r="X19" s="22"/>
      <c r="Y19" s="22"/>
      <c r="Z19" s="22"/>
      <c r="AA19" s="22"/>
      <c r="AB19" s="22"/>
      <c r="AC19" s="22"/>
      <c r="AD19" s="22"/>
      <c r="AE19" s="22"/>
    </row>
    <row r="20" spans="1:31" x14ac:dyDescent="0.25">
      <c r="A20" s="1" t="s">
        <v>0</v>
      </c>
      <c r="B20" s="1" t="s">
        <v>1206</v>
      </c>
      <c r="C20" s="2" t="s">
        <v>1225</v>
      </c>
      <c r="D20" s="1" t="s">
        <v>1224</v>
      </c>
      <c r="E20" s="1"/>
      <c r="F20" s="3">
        <v>543</v>
      </c>
      <c r="G20" s="3">
        <v>255</v>
      </c>
      <c r="H20" s="4">
        <v>992</v>
      </c>
      <c r="I20" s="3">
        <v>480</v>
      </c>
      <c r="J20" s="3">
        <v>512</v>
      </c>
      <c r="K20" s="15">
        <v>360</v>
      </c>
      <c r="L20" s="17">
        <f t="shared" si="0"/>
        <v>36.29032258064516</v>
      </c>
      <c r="M20" s="17">
        <v>5</v>
      </c>
      <c r="N20" s="17">
        <f t="shared" si="1"/>
        <v>0.50403225806451613</v>
      </c>
      <c r="O20" s="17">
        <v>63</v>
      </c>
      <c r="P20" s="17"/>
      <c r="Q20" s="22" t="s">
        <v>1354</v>
      </c>
      <c r="R20" s="102">
        <v>43873</v>
      </c>
      <c r="S20" s="114">
        <v>38.729999999999997</v>
      </c>
      <c r="T20" s="22"/>
      <c r="U20" s="22" t="s">
        <v>1348</v>
      </c>
      <c r="V20" s="22" t="s">
        <v>1348</v>
      </c>
      <c r="W20" s="22" t="s">
        <v>1348</v>
      </c>
      <c r="X20" s="22"/>
      <c r="Y20" s="22"/>
      <c r="Z20" s="22"/>
      <c r="AA20" s="22"/>
      <c r="AB20" s="22"/>
      <c r="AC20" s="22"/>
      <c r="AD20" s="22"/>
      <c r="AE20" s="22"/>
    </row>
    <row r="21" spans="1:31" x14ac:dyDescent="0.25">
      <c r="A21" s="1" t="s">
        <v>0</v>
      </c>
      <c r="B21" s="1" t="s">
        <v>1206</v>
      </c>
      <c r="C21" s="2" t="s">
        <v>1225</v>
      </c>
      <c r="D21" s="1" t="s">
        <v>1226</v>
      </c>
      <c r="E21" s="1"/>
      <c r="F21" s="3">
        <v>154</v>
      </c>
      <c r="G21" s="3">
        <v>111</v>
      </c>
      <c r="H21" s="4">
        <v>615</v>
      </c>
      <c r="I21" s="3">
        <v>316</v>
      </c>
      <c r="J21" s="3">
        <v>299</v>
      </c>
      <c r="K21" s="15">
        <v>153</v>
      </c>
      <c r="L21" s="17">
        <f t="shared" si="0"/>
        <v>24.878048780487806</v>
      </c>
      <c r="M21" s="17">
        <v>62</v>
      </c>
      <c r="N21" s="17">
        <f t="shared" si="1"/>
        <v>10.081300813008131</v>
      </c>
      <c r="O21" s="17">
        <v>0</v>
      </c>
      <c r="P21" s="17"/>
      <c r="Q21" s="22"/>
      <c r="R21" s="97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1:31" x14ac:dyDescent="0.25">
      <c r="A22" s="1" t="s">
        <v>0</v>
      </c>
      <c r="B22" s="1" t="s">
        <v>1206</v>
      </c>
      <c r="C22" s="2" t="s">
        <v>1225</v>
      </c>
      <c r="D22" s="1" t="s">
        <v>1227</v>
      </c>
      <c r="E22" s="1"/>
      <c r="F22" s="3">
        <v>807</v>
      </c>
      <c r="G22" s="3">
        <v>100</v>
      </c>
      <c r="H22" s="4">
        <v>494</v>
      </c>
      <c r="I22" s="3">
        <v>257</v>
      </c>
      <c r="J22" s="3">
        <v>237</v>
      </c>
      <c r="K22" s="15">
        <v>360</v>
      </c>
      <c r="L22" s="17">
        <f t="shared" si="0"/>
        <v>72.874493927125499</v>
      </c>
      <c r="M22" s="17">
        <v>0</v>
      </c>
      <c r="N22" s="17">
        <f t="shared" si="1"/>
        <v>0</v>
      </c>
      <c r="O22" s="17">
        <v>0</v>
      </c>
      <c r="P22" s="17"/>
      <c r="Q22" s="22"/>
      <c r="R22" s="97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 spans="1:31" x14ac:dyDescent="0.25">
      <c r="A23" s="1" t="s">
        <v>0</v>
      </c>
      <c r="B23" s="1" t="s">
        <v>1206</v>
      </c>
      <c r="C23" s="2" t="s">
        <v>1225</v>
      </c>
      <c r="D23" s="1" t="s">
        <v>1228</v>
      </c>
      <c r="E23" s="1"/>
      <c r="F23" s="3">
        <v>331</v>
      </c>
      <c r="G23" s="3">
        <v>210</v>
      </c>
      <c r="H23" s="4">
        <v>921</v>
      </c>
      <c r="I23" s="3">
        <v>433</v>
      </c>
      <c r="J23" s="3">
        <v>488</v>
      </c>
      <c r="K23" s="15">
        <v>159</v>
      </c>
      <c r="L23" s="17">
        <f t="shared" si="0"/>
        <v>17.263843648208468</v>
      </c>
      <c r="M23" s="17">
        <v>2</v>
      </c>
      <c r="N23" s="17">
        <f t="shared" si="1"/>
        <v>0.21715526601520088</v>
      </c>
      <c r="O23" s="17">
        <v>45</v>
      </c>
      <c r="P23" s="17"/>
      <c r="Q23" s="22" t="s">
        <v>1354</v>
      </c>
      <c r="R23" s="102">
        <v>43875</v>
      </c>
      <c r="S23" s="114">
        <v>20.81</v>
      </c>
      <c r="T23" s="22"/>
      <c r="U23" s="22" t="s">
        <v>1348</v>
      </c>
      <c r="V23" s="22" t="s">
        <v>1348</v>
      </c>
      <c r="W23" s="22" t="s">
        <v>1348</v>
      </c>
      <c r="X23" s="22"/>
      <c r="Y23" s="22"/>
      <c r="Z23" s="22"/>
      <c r="AA23" s="22"/>
      <c r="AB23" s="22"/>
      <c r="AC23" s="22"/>
      <c r="AD23" s="22"/>
      <c r="AE23" s="22"/>
    </row>
    <row r="24" spans="1:31" x14ac:dyDescent="0.25">
      <c r="A24" s="1" t="s">
        <v>0</v>
      </c>
      <c r="B24" s="1" t="s">
        <v>1206</v>
      </c>
      <c r="C24" s="2" t="s">
        <v>1213</v>
      </c>
      <c r="D24" s="1" t="s">
        <v>1212</v>
      </c>
      <c r="E24" s="1"/>
      <c r="F24" s="3">
        <v>1003</v>
      </c>
      <c r="G24" s="3">
        <v>159</v>
      </c>
      <c r="H24" s="4">
        <v>701</v>
      </c>
      <c r="I24" s="3">
        <v>317</v>
      </c>
      <c r="J24" s="3">
        <v>384</v>
      </c>
      <c r="K24" s="15">
        <v>125</v>
      </c>
      <c r="L24" s="17">
        <f t="shared" si="0"/>
        <v>17.83166904422254</v>
      </c>
      <c r="M24" s="17">
        <v>0</v>
      </c>
      <c r="N24" s="17">
        <f t="shared" si="1"/>
        <v>0</v>
      </c>
      <c r="O24" s="17">
        <v>116</v>
      </c>
      <c r="P24" s="17"/>
      <c r="Q24" s="22" t="s">
        <v>1354</v>
      </c>
      <c r="R24" s="96">
        <v>43883</v>
      </c>
      <c r="S24" s="114">
        <v>5.15</v>
      </c>
      <c r="T24" s="22"/>
      <c r="U24" s="22" t="s">
        <v>1348</v>
      </c>
      <c r="V24" s="22" t="s">
        <v>1348</v>
      </c>
      <c r="W24" s="22" t="s">
        <v>1348</v>
      </c>
      <c r="X24" s="22"/>
      <c r="Y24" s="22"/>
      <c r="Z24" s="22"/>
      <c r="AA24" s="22"/>
      <c r="AB24" s="22"/>
      <c r="AC24" s="22"/>
      <c r="AD24" s="22"/>
      <c r="AE24" s="22"/>
    </row>
    <row r="25" spans="1:31" x14ac:dyDescent="0.25">
      <c r="A25" s="1" t="s">
        <v>0</v>
      </c>
      <c r="B25" s="1" t="s">
        <v>1206</v>
      </c>
      <c r="C25" s="2" t="s">
        <v>1213</v>
      </c>
      <c r="D25" s="1" t="s">
        <v>1216</v>
      </c>
      <c r="E25" s="1"/>
      <c r="F25" s="3">
        <v>1378</v>
      </c>
      <c r="G25" s="3">
        <v>294</v>
      </c>
      <c r="H25" s="4">
        <v>1274</v>
      </c>
      <c r="I25" s="3">
        <v>622</v>
      </c>
      <c r="J25" s="3">
        <v>652</v>
      </c>
      <c r="K25" s="15">
        <v>307</v>
      </c>
      <c r="L25" s="17">
        <f t="shared" si="0"/>
        <v>24.097331240188382</v>
      </c>
      <c r="M25" s="17">
        <v>50</v>
      </c>
      <c r="N25" s="17">
        <f t="shared" si="1"/>
        <v>3.9246467817896389</v>
      </c>
      <c r="O25" s="17">
        <v>29</v>
      </c>
      <c r="P25" s="17"/>
      <c r="Q25" s="22" t="s">
        <v>1354</v>
      </c>
      <c r="R25" s="96">
        <v>43879</v>
      </c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</row>
    <row r="26" spans="1:31" x14ac:dyDescent="0.25">
      <c r="A26" s="1" t="s">
        <v>0</v>
      </c>
      <c r="B26" s="1" t="s">
        <v>1206</v>
      </c>
      <c r="C26" s="2" t="s">
        <v>1213</v>
      </c>
      <c r="D26" s="1" t="s">
        <v>1217</v>
      </c>
      <c r="E26" s="1"/>
      <c r="F26" s="3">
        <v>219</v>
      </c>
      <c r="G26" s="3">
        <v>252</v>
      </c>
      <c r="H26" s="4">
        <v>1056</v>
      </c>
      <c r="I26" s="3">
        <v>487</v>
      </c>
      <c r="J26" s="3">
        <v>569</v>
      </c>
      <c r="K26" s="15">
        <v>155</v>
      </c>
      <c r="L26" s="17">
        <f t="shared" si="0"/>
        <v>14.678030303030305</v>
      </c>
      <c r="M26" s="17">
        <v>7</v>
      </c>
      <c r="N26" s="17">
        <f t="shared" si="1"/>
        <v>0.66287878787878785</v>
      </c>
      <c r="O26" s="17">
        <v>48</v>
      </c>
      <c r="P26" s="17"/>
      <c r="Q26" s="22" t="s">
        <v>1354</v>
      </c>
      <c r="R26" s="96">
        <v>43671</v>
      </c>
      <c r="S26" s="114">
        <v>5.35</v>
      </c>
      <c r="T26" s="22"/>
      <c r="U26" s="22" t="s">
        <v>1348</v>
      </c>
      <c r="V26" s="22" t="s">
        <v>1348</v>
      </c>
      <c r="W26" s="22" t="s">
        <v>1348</v>
      </c>
      <c r="X26" s="22"/>
      <c r="Y26" s="22"/>
      <c r="Z26" s="22"/>
      <c r="AA26" s="22"/>
      <c r="AB26" s="22"/>
      <c r="AC26" s="22"/>
      <c r="AD26" s="22"/>
      <c r="AE26" s="22"/>
    </row>
    <row r="27" spans="1:31" x14ac:dyDescent="0.25">
      <c r="A27" s="1" t="s">
        <v>0</v>
      </c>
      <c r="B27" s="1" t="s">
        <v>1206</v>
      </c>
      <c r="C27" s="2" t="s">
        <v>1213</v>
      </c>
      <c r="D27" s="1" t="s">
        <v>1234</v>
      </c>
      <c r="E27" s="1"/>
      <c r="F27" s="3">
        <v>1049</v>
      </c>
      <c r="G27" s="3">
        <v>53</v>
      </c>
      <c r="H27" s="4">
        <v>215</v>
      </c>
      <c r="I27" s="3">
        <v>92</v>
      </c>
      <c r="J27" s="3">
        <v>123</v>
      </c>
      <c r="K27" s="15">
        <v>27</v>
      </c>
      <c r="L27" s="17">
        <f t="shared" si="0"/>
        <v>12.558139534883722</v>
      </c>
      <c r="M27" s="17">
        <v>2</v>
      </c>
      <c r="N27" s="17">
        <f t="shared" si="1"/>
        <v>0.93023255813953487</v>
      </c>
      <c r="O27" s="17">
        <v>196</v>
      </c>
      <c r="P27" s="17"/>
      <c r="Q27" s="22" t="s">
        <v>1354</v>
      </c>
      <c r="R27" s="96">
        <v>43882</v>
      </c>
      <c r="S27" s="114">
        <v>4.88</v>
      </c>
      <c r="T27" s="22"/>
      <c r="U27" s="22" t="s">
        <v>1348</v>
      </c>
      <c r="V27" s="22" t="s">
        <v>1348</v>
      </c>
      <c r="W27" s="22" t="s">
        <v>1348</v>
      </c>
      <c r="X27" s="22"/>
      <c r="Y27" s="22"/>
      <c r="Z27" s="22"/>
      <c r="AA27" s="22"/>
      <c r="AB27" s="22"/>
      <c r="AC27" s="22"/>
      <c r="AD27" s="22"/>
      <c r="AE27" s="22"/>
    </row>
    <row r="28" spans="1:31" x14ac:dyDescent="0.25">
      <c r="A28" s="1" t="s">
        <v>0</v>
      </c>
      <c r="B28" s="1" t="s">
        <v>1206</v>
      </c>
      <c r="C28" s="2" t="s">
        <v>1275</v>
      </c>
      <c r="D28" s="1" t="s">
        <v>1274</v>
      </c>
      <c r="E28" s="1"/>
      <c r="F28" s="3">
        <v>1153.74</v>
      </c>
      <c r="G28" s="3">
        <v>279</v>
      </c>
      <c r="H28" s="4">
        <v>1470</v>
      </c>
      <c r="I28" s="3">
        <v>761</v>
      </c>
      <c r="J28" s="3">
        <v>709</v>
      </c>
      <c r="K28" s="15">
        <v>566</v>
      </c>
      <c r="L28" s="17">
        <f t="shared" si="0"/>
        <v>38.503401360544217</v>
      </c>
      <c r="M28" s="17">
        <v>16</v>
      </c>
      <c r="N28" s="17">
        <f t="shared" si="1"/>
        <v>1.0884353741496597</v>
      </c>
      <c r="O28" s="17">
        <v>3</v>
      </c>
      <c r="P28" s="17"/>
      <c r="Q28" s="22"/>
      <c r="R28" s="97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 spans="1:31" x14ac:dyDescent="0.25">
      <c r="A29" s="1" t="s">
        <v>0</v>
      </c>
      <c r="B29" s="1" t="s">
        <v>1206</v>
      </c>
      <c r="C29" s="2" t="s">
        <v>1275</v>
      </c>
      <c r="D29" s="1" t="s">
        <v>1276</v>
      </c>
      <c r="E29" s="1"/>
      <c r="F29" s="3">
        <v>769.18</v>
      </c>
      <c r="G29" s="3">
        <v>387</v>
      </c>
      <c r="H29" s="4">
        <v>1869</v>
      </c>
      <c r="I29" s="3">
        <v>924</v>
      </c>
      <c r="J29" s="3">
        <v>945</v>
      </c>
      <c r="K29" s="15">
        <v>429</v>
      </c>
      <c r="L29" s="17">
        <f t="shared" si="0"/>
        <v>22.953451043338685</v>
      </c>
      <c r="M29" s="17">
        <v>61</v>
      </c>
      <c r="N29" s="17">
        <f t="shared" si="1"/>
        <v>3.2637774210807922</v>
      </c>
      <c r="O29" s="17">
        <v>66</v>
      </c>
      <c r="P29" s="17"/>
      <c r="Q29" s="22" t="s">
        <v>1354</v>
      </c>
      <c r="R29" s="96">
        <v>43875</v>
      </c>
      <c r="S29" s="114">
        <v>4.2699999999999996</v>
      </c>
      <c r="T29" s="22"/>
      <c r="U29" s="22" t="s">
        <v>1348</v>
      </c>
      <c r="V29" s="22" t="s">
        <v>1348</v>
      </c>
      <c r="W29" s="22" t="s">
        <v>1348</v>
      </c>
      <c r="X29" s="22"/>
      <c r="Y29" s="22"/>
      <c r="Z29" s="22"/>
      <c r="AA29" s="22"/>
      <c r="AB29" s="22"/>
      <c r="AC29" s="22"/>
      <c r="AD29" s="22"/>
      <c r="AE29" s="22"/>
    </row>
    <row r="30" spans="1:31" x14ac:dyDescent="0.25">
      <c r="A30" s="1" t="s">
        <v>0</v>
      </c>
      <c r="B30" s="1" t="s">
        <v>1206</v>
      </c>
      <c r="C30" s="2" t="s">
        <v>1275</v>
      </c>
      <c r="D30" s="1" t="s">
        <v>1277</v>
      </c>
      <c r="E30" s="1"/>
      <c r="F30" s="3">
        <v>295.64999999999998</v>
      </c>
      <c r="G30" s="3">
        <v>91</v>
      </c>
      <c r="H30" s="4">
        <v>526</v>
      </c>
      <c r="I30" s="3">
        <v>276</v>
      </c>
      <c r="J30" s="3">
        <v>250</v>
      </c>
      <c r="K30" s="15">
        <v>5</v>
      </c>
      <c r="L30" s="17">
        <f t="shared" si="0"/>
        <v>0.95057034220532322</v>
      </c>
      <c r="M30" s="17">
        <v>0</v>
      </c>
      <c r="N30" s="17">
        <f t="shared" si="1"/>
        <v>0</v>
      </c>
      <c r="O30" s="17">
        <v>12</v>
      </c>
      <c r="P30" s="17"/>
      <c r="Q30" s="22" t="s">
        <v>1354</v>
      </c>
      <c r="R30" s="96">
        <v>43877</v>
      </c>
      <c r="S30" s="114">
        <v>2.74</v>
      </c>
      <c r="T30" s="22"/>
      <c r="U30" s="22" t="s">
        <v>1348</v>
      </c>
      <c r="V30" s="22" t="s">
        <v>1348</v>
      </c>
      <c r="W30" s="22" t="s">
        <v>1348</v>
      </c>
      <c r="X30" s="22"/>
      <c r="Y30" s="22"/>
      <c r="Z30" s="22"/>
      <c r="AA30" s="22"/>
      <c r="AB30" s="22"/>
      <c r="AC30" s="22"/>
      <c r="AD30" s="22"/>
      <c r="AE30" s="22"/>
    </row>
    <row r="31" spans="1:31" x14ac:dyDescent="0.25">
      <c r="A31" s="1" t="s">
        <v>0</v>
      </c>
      <c r="B31" s="1" t="s">
        <v>1206</v>
      </c>
      <c r="C31" s="2" t="s">
        <v>1275</v>
      </c>
      <c r="D31" s="1" t="s">
        <v>139</v>
      </c>
      <c r="E31" s="1"/>
      <c r="F31" s="3">
        <v>982.52</v>
      </c>
      <c r="G31" s="3">
        <v>325</v>
      </c>
      <c r="H31" s="4">
        <v>1835</v>
      </c>
      <c r="I31" s="3">
        <v>942</v>
      </c>
      <c r="J31" s="3">
        <v>893</v>
      </c>
      <c r="K31" s="15">
        <v>306</v>
      </c>
      <c r="L31" s="17">
        <f t="shared" si="0"/>
        <v>16.675749318801088</v>
      </c>
      <c r="M31" s="17">
        <v>7</v>
      </c>
      <c r="N31" s="17">
        <f t="shared" si="1"/>
        <v>0.38147138964577654</v>
      </c>
      <c r="O31" s="17">
        <v>55</v>
      </c>
      <c r="P31" s="17"/>
      <c r="Q31" s="22" t="s">
        <v>1354</v>
      </c>
      <c r="R31" s="96">
        <v>43878</v>
      </c>
      <c r="S31" s="114">
        <v>3.28</v>
      </c>
      <c r="T31" s="22"/>
      <c r="U31" s="22" t="s">
        <v>1348</v>
      </c>
      <c r="V31" s="22" t="s">
        <v>1348</v>
      </c>
      <c r="W31" s="22" t="s">
        <v>1348</v>
      </c>
      <c r="X31" s="22"/>
      <c r="Y31" s="22"/>
      <c r="Z31" s="22"/>
      <c r="AA31" s="22"/>
      <c r="AB31" s="22"/>
      <c r="AC31" s="22"/>
      <c r="AD31" s="22"/>
      <c r="AE31" s="22"/>
    </row>
    <row r="32" spans="1:31" x14ac:dyDescent="0.25">
      <c r="A32" s="1" t="s">
        <v>0</v>
      </c>
      <c r="B32" s="1" t="s">
        <v>1206</v>
      </c>
      <c r="C32" s="2" t="s">
        <v>1208</v>
      </c>
      <c r="D32" s="1" t="s">
        <v>1207</v>
      </c>
      <c r="E32" s="1"/>
      <c r="F32" s="3">
        <v>724</v>
      </c>
      <c r="G32" s="3">
        <v>490</v>
      </c>
      <c r="H32" s="4">
        <v>2025</v>
      </c>
      <c r="I32" s="3">
        <v>986</v>
      </c>
      <c r="J32" s="3">
        <v>1039</v>
      </c>
      <c r="K32" s="15">
        <v>322</v>
      </c>
      <c r="L32" s="17">
        <f t="shared" si="0"/>
        <v>15.901234567901234</v>
      </c>
      <c r="M32" s="17">
        <v>549</v>
      </c>
      <c r="N32" s="17">
        <f t="shared" si="1"/>
        <v>27.111111111111114</v>
      </c>
      <c r="O32" s="17">
        <v>140</v>
      </c>
      <c r="P32" s="17"/>
      <c r="Q32" s="22" t="s">
        <v>1354</v>
      </c>
      <c r="R32" s="96">
        <v>43819</v>
      </c>
      <c r="S32" s="114">
        <v>20.48</v>
      </c>
      <c r="T32" s="22"/>
      <c r="U32" s="22" t="s">
        <v>1348</v>
      </c>
      <c r="V32" s="22" t="s">
        <v>1348</v>
      </c>
      <c r="W32" s="22" t="s">
        <v>1348</v>
      </c>
      <c r="X32" s="22" t="s">
        <v>1348</v>
      </c>
      <c r="Y32" s="22">
        <v>9</v>
      </c>
      <c r="Z32" s="22"/>
      <c r="AA32" s="22"/>
      <c r="AB32" s="22"/>
      <c r="AC32" s="22"/>
      <c r="AD32" s="22"/>
      <c r="AE32" s="22"/>
    </row>
    <row r="33" spans="1:31" x14ac:dyDescent="0.25">
      <c r="A33" s="1" t="s">
        <v>0</v>
      </c>
      <c r="B33" s="1" t="s">
        <v>1206</v>
      </c>
      <c r="C33" s="2" t="s">
        <v>1208</v>
      </c>
      <c r="D33" s="1" t="s">
        <v>1288</v>
      </c>
      <c r="E33" s="1"/>
      <c r="F33" s="3">
        <v>618.65</v>
      </c>
      <c r="G33" s="3">
        <v>61</v>
      </c>
      <c r="H33" s="4">
        <v>318</v>
      </c>
      <c r="I33" s="3">
        <v>162</v>
      </c>
      <c r="J33" s="3">
        <v>156</v>
      </c>
      <c r="K33" s="15">
        <v>239</v>
      </c>
      <c r="L33" s="17">
        <f t="shared" si="0"/>
        <v>75.157232704402517</v>
      </c>
      <c r="M33" s="17">
        <v>1</v>
      </c>
      <c r="N33" s="17">
        <f t="shared" si="1"/>
        <v>0.31446540880503149</v>
      </c>
      <c r="O33" s="17">
        <v>0</v>
      </c>
      <c r="P33" s="17"/>
      <c r="Q33" s="22"/>
      <c r="R33" s="97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 spans="1:31" x14ac:dyDescent="0.25">
      <c r="A34" s="1" t="s">
        <v>0</v>
      </c>
      <c r="B34" s="1" t="s">
        <v>1206</v>
      </c>
      <c r="C34" s="2" t="s">
        <v>1208</v>
      </c>
      <c r="D34" s="1" t="s">
        <v>904</v>
      </c>
      <c r="E34" s="1"/>
      <c r="F34" s="3">
        <v>770.21</v>
      </c>
      <c r="G34" s="3">
        <v>113</v>
      </c>
      <c r="H34" s="4">
        <v>487</v>
      </c>
      <c r="I34" s="3">
        <v>237</v>
      </c>
      <c r="J34" s="3">
        <v>250</v>
      </c>
      <c r="K34" s="15">
        <v>122</v>
      </c>
      <c r="L34" s="17">
        <f t="shared" si="0"/>
        <v>25.051334702258725</v>
      </c>
      <c r="M34" s="17">
        <v>0</v>
      </c>
      <c r="N34" s="17">
        <f t="shared" si="1"/>
        <v>0</v>
      </c>
      <c r="O34" s="17">
        <v>44</v>
      </c>
      <c r="P34" s="17"/>
      <c r="Q34" s="22" t="s">
        <v>1354</v>
      </c>
      <c r="R34" s="96">
        <v>43823</v>
      </c>
      <c r="S34" s="114">
        <v>25.29</v>
      </c>
      <c r="T34" s="22"/>
      <c r="U34" s="22" t="s">
        <v>1348</v>
      </c>
      <c r="V34" s="22" t="s">
        <v>1348</v>
      </c>
      <c r="W34" s="22" t="s">
        <v>1348</v>
      </c>
      <c r="X34" s="22"/>
      <c r="Y34" s="22"/>
      <c r="Z34" s="22"/>
      <c r="AA34" s="22"/>
      <c r="AB34" s="22"/>
      <c r="AC34" s="22"/>
      <c r="AD34" s="22"/>
      <c r="AE34" s="22"/>
    </row>
    <row r="35" spans="1:31" x14ac:dyDescent="0.25">
      <c r="A35" s="1" t="s">
        <v>0</v>
      </c>
      <c r="B35" s="1" t="s">
        <v>1206</v>
      </c>
      <c r="C35" s="2" t="s">
        <v>1208</v>
      </c>
      <c r="D35" s="1" t="s">
        <v>1289</v>
      </c>
      <c r="E35" s="1"/>
      <c r="F35" s="3">
        <v>830.08</v>
      </c>
      <c r="G35" s="3">
        <v>143</v>
      </c>
      <c r="H35" s="4">
        <v>786</v>
      </c>
      <c r="I35" s="3">
        <v>404</v>
      </c>
      <c r="J35" s="3">
        <v>382</v>
      </c>
      <c r="K35" s="15">
        <v>174</v>
      </c>
      <c r="L35" s="17">
        <f t="shared" si="0"/>
        <v>22.137404580152673</v>
      </c>
      <c r="M35" s="17">
        <v>12</v>
      </c>
      <c r="N35" s="17">
        <f t="shared" si="1"/>
        <v>1.5267175572519083</v>
      </c>
      <c r="O35" s="17">
        <v>140</v>
      </c>
      <c r="P35" s="17"/>
      <c r="Q35" s="22" t="s">
        <v>1354</v>
      </c>
      <c r="R35" s="96">
        <v>43824</v>
      </c>
      <c r="S35" s="114">
        <v>2.56</v>
      </c>
      <c r="T35" s="22"/>
      <c r="U35" s="22" t="s">
        <v>1348</v>
      </c>
      <c r="V35" s="22" t="s">
        <v>1348</v>
      </c>
      <c r="W35" s="22" t="s">
        <v>1348</v>
      </c>
      <c r="X35" s="22"/>
      <c r="Y35" s="22"/>
      <c r="Z35" s="22"/>
      <c r="AA35" s="22"/>
      <c r="AB35" s="22"/>
      <c r="AC35" s="22"/>
      <c r="AD35" s="22"/>
      <c r="AE35" s="22"/>
    </row>
    <row r="36" spans="1:31" x14ac:dyDescent="0.25">
      <c r="A36" s="1" t="s">
        <v>0</v>
      </c>
      <c r="B36" s="1" t="s">
        <v>1206</v>
      </c>
      <c r="C36" s="2" t="s">
        <v>1242</v>
      </c>
      <c r="D36" s="1" t="s">
        <v>1241</v>
      </c>
      <c r="E36" s="1"/>
      <c r="F36" s="3">
        <v>2253</v>
      </c>
      <c r="G36" s="3">
        <v>862</v>
      </c>
      <c r="H36" s="4">
        <v>3547</v>
      </c>
      <c r="I36" s="3">
        <v>1682</v>
      </c>
      <c r="J36" s="3">
        <v>1865</v>
      </c>
      <c r="K36" s="15">
        <v>835</v>
      </c>
      <c r="L36" s="17">
        <f t="shared" ref="L36:L67" si="2">(K36/H36)*100</f>
        <v>23.541020580772486</v>
      </c>
      <c r="M36" s="17">
        <v>25</v>
      </c>
      <c r="N36" s="17">
        <f t="shared" ref="N36:N67" si="3">(M36/H36)*100</f>
        <v>0.7048209754722301</v>
      </c>
      <c r="O36" s="17">
        <v>322</v>
      </c>
      <c r="P36" s="17"/>
      <c r="Q36" s="22" t="s">
        <v>1354</v>
      </c>
      <c r="R36" s="96">
        <v>43824</v>
      </c>
      <c r="S36" s="114">
        <v>3.79</v>
      </c>
      <c r="T36" s="22"/>
      <c r="U36" s="22" t="s">
        <v>1348</v>
      </c>
      <c r="V36" s="22" t="s">
        <v>1348</v>
      </c>
      <c r="W36" s="22" t="s">
        <v>1348</v>
      </c>
      <c r="X36" s="22"/>
      <c r="Y36" s="22"/>
      <c r="Z36" s="22"/>
      <c r="AA36" s="22"/>
      <c r="AB36" s="22"/>
      <c r="AC36" s="22"/>
      <c r="AD36" s="22"/>
      <c r="AE36" s="22"/>
    </row>
    <row r="37" spans="1:31" x14ac:dyDescent="0.25">
      <c r="A37" s="1" t="s">
        <v>0</v>
      </c>
      <c r="B37" s="1" t="s">
        <v>1206</v>
      </c>
      <c r="C37" s="2" t="s">
        <v>1254</v>
      </c>
      <c r="D37" s="1" t="s">
        <v>1253</v>
      </c>
      <c r="E37" s="1"/>
      <c r="F37" s="3">
        <v>828</v>
      </c>
      <c r="G37" s="3">
        <v>386</v>
      </c>
      <c r="H37" s="4">
        <v>1654</v>
      </c>
      <c r="I37" s="3">
        <v>765</v>
      </c>
      <c r="J37" s="3">
        <v>889</v>
      </c>
      <c r="K37" s="15">
        <v>474</v>
      </c>
      <c r="L37" s="17">
        <f t="shared" si="2"/>
        <v>28.657799274486095</v>
      </c>
      <c r="M37" s="17">
        <v>7</v>
      </c>
      <c r="N37" s="17">
        <f t="shared" si="3"/>
        <v>0.42321644498186217</v>
      </c>
      <c r="O37" s="17">
        <v>75</v>
      </c>
      <c r="P37" s="17"/>
      <c r="Q37" s="22" t="s">
        <v>1354</v>
      </c>
      <c r="R37" s="96">
        <v>43818</v>
      </c>
      <c r="S37" s="114">
        <v>5.54</v>
      </c>
      <c r="T37" s="22"/>
      <c r="U37" s="22" t="s">
        <v>1348</v>
      </c>
      <c r="V37" s="22" t="s">
        <v>1348</v>
      </c>
      <c r="W37" s="22" t="s">
        <v>1348</v>
      </c>
      <c r="X37" s="22"/>
      <c r="Y37" s="22"/>
      <c r="Z37" s="22"/>
      <c r="AA37" s="22"/>
      <c r="AB37" s="22"/>
      <c r="AC37" s="22"/>
      <c r="AD37" s="22"/>
      <c r="AE37" s="22"/>
    </row>
    <row r="38" spans="1:31" x14ac:dyDescent="0.25">
      <c r="A38" s="1" t="s">
        <v>0</v>
      </c>
      <c r="B38" s="1" t="s">
        <v>1206</v>
      </c>
      <c r="C38" s="2" t="s">
        <v>1254</v>
      </c>
      <c r="D38" s="1" t="s">
        <v>1266</v>
      </c>
      <c r="E38" s="1"/>
      <c r="F38" s="3">
        <v>1082</v>
      </c>
      <c r="G38" s="3">
        <v>273</v>
      </c>
      <c r="H38" s="4">
        <v>1514</v>
      </c>
      <c r="I38" s="3">
        <v>768</v>
      </c>
      <c r="J38" s="3">
        <v>746</v>
      </c>
      <c r="K38" s="15">
        <v>282</v>
      </c>
      <c r="L38" s="17">
        <f t="shared" si="2"/>
        <v>18.626155878467635</v>
      </c>
      <c r="M38" s="17">
        <v>1</v>
      </c>
      <c r="N38" s="17">
        <f t="shared" si="3"/>
        <v>6.6050198150594458E-2</v>
      </c>
      <c r="O38" s="17">
        <v>40</v>
      </c>
      <c r="P38" s="17"/>
      <c r="Q38" s="22" t="s">
        <v>1354</v>
      </c>
      <c r="R38" s="96">
        <v>43820</v>
      </c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</row>
    <row r="39" spans="1:31" x14ac:dyDescent="0.25">
      <c r="A39" s="1" t="s">
        <v>0</v>
      </c>
      <c r="B39" s="1" t="s">
        <v>1206</v>
      </c>
      <c r="C39" s="2" t="s">
        <v>1254</v>
      </c>
      <c r="D39" s="1" t="s">
        <v>1267</v>
      </c>
      <c r="E39" s="1"/>
      <c r="F39" s="3">
        <v>580</v>
      </c>
      <c r="G39" s="3">
        <v>74</v>
      </c>
      <c r="H39" s="4">
        <v>318</v>
      </c>
      <c r="I39" s="3">
        <v>161</v>
      </c>
      <c r="J39" s="3">
        <v>157</v>
      </c>
      <c r="K39" s="15">
        <v>34</v>
      </c>
      <c r="L39" s="17">
        <f t="shared" si="2"/>
        <v>10.691823899371069</v>
      </c>
      <c r="M39" s="17">
        <v>0</v>
      </c>
      <c r="N39" s="17">
        <f t="shared" si="3"/>
        <v>0</v>
      </c>
      <c r="O39" s="17">
        <v>73</v>
      </c>
      <c r="P39" s="17"/>
      <c r="Q39" s="22" t="s">
        <v>1354</v>
      </c>
      <c r="R39" s="96">
        <v>43822</v>
      </c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31" x14ac:dyDescent="0.25">
      <c r="A40" s="1" t="s">
        <v>0</v>
      </c>
      <c r="B40" s="1" t="s">
        <v>1206</v>
      </c>
      <c r="C40" s="2" t="s">
        <v>1254</v>
      </c>
      <c r="D40" s="1" t="s">
        <v>1269</v>
      </c>
      <c r="E40" s="1"/>
      <c r="F40" s="3">
        <v>232</v>
      </c>
      <c r="G40" s="3">
        <v>134</v>
      </c>
      <c r="H40" s="4">
        <v>548</v>
      </c>
      <c r="I40" s="3">
        <v>279</v>
      </c>
      <c r="J40" s="3">
        <v>269</v>
      </c>
      <c r="K40" s="15">
        <v>221</v>
      </c>
      <c r="L40" s="17">
        <f t="shared" si="2"/>
        <v>40.32846715328467</v>
      </c>
      <c r="M40" s="17">
        <v>0</v>
      </c>
      <c r="N40" s="17">
        <f t="shared" si="3"/>
        <v>0</v>
      </c>
      <c r="O40" s="17">
        <v>38</v>
      </c>
      <c r="P40" s="17"/>
      <c r="Q40" s="22" t="s">
        <v>1354</v>
      </c>
      <c r="R40" s="96">
        <v>43821</v>
      </c>
      <c r="S40" s="114">
        <v>3.73</v>
      </c>
      <c r="T40" s="22"/>
      <c r="U40" s="22" t="s">
        <v>1348</v>
      </c>
      <c r="V40" s="22" t="s">
        <v>1348</v>
      </c>
      <c r="W40" s="22" t="s">
        <v>1348</v>
      </c>
      <c r="X40" s="22"/>
      <c r="Y40" s="22"/>
      <c r="Z40" s="22"/>
      <c r="AA40" s="22"/>
      <c r="AB40" s="22"/>
      <c r="AC40" s="22"/>
      <c r="AD40" s="22"/>
      <c r="AE40" s="22"/>
    </row>
    <row r="41" spans="1:31" x14ac:dyDescent="0.25">
      <c r="A41" s="1" t="s">
        <v>0</v>
      </c>
      <c r="B41" s="1" t="s">
        <v>1206</v>
      </c>
      <c r="C41" s="2" t="s">
        <v>1259</v>
      </c>
      <c r="D41" s="1" t="s">
        <v>1258</v>
      </c>
      <c r="E41" s="1"/>
      <c r="F41" s="3">
        <v>458.65</v>
      </c>
      <c r="G41" s="3">
        <v>168</v>
      </c>
      <c r="H41" s="4">
        <v>731</v>
      </c>
      <c r="I41" s="3">
        <v>350</v>
      </c>
      <c r="J41" s="3">
        <v>381</v>
      </c>
      <c r="K41" s="15">
        <v>180</v>
      </c>
      <c r="L41" s="17">
        <f t="shared" si="2"/>
        <v>24.623803009575923</v>
      </c>
      <c r="M41" s="17">
        <v>0</v>
      </c>
      <c r="N41" s="17">
        <f t="shared" si="3"/>
        <v>0</v>
      </c>
      <c r="O41" s="17">
        <v>40.58</v>
      </c>
      <c r="P41" s="17"/>
      <c r="Q41" s="22" t="s">
        <v>1354</v>
      </c>
      <c r="R41" s="102">
        <v>43805</v>
      </c>
      <c r="S41" s="114">
        <v>39.53</v>
      </c>
      <c r="T41" s="22"/>
      <c r="U41" s="22" t="s">
        <v>1348</v>
      </c>
      <c r="V41" s="22" t="s">
        <v>1348</v>
      </c>
      <c r="W41" s="22" t="s">
        <v>1348</v>
      </c>
      <c r="X41" s="22"/>
      <c r="Y41" s="22"/>
      <c r="Z41" s="22"/>
      <c r="AA41" s="22"/>
      <c r="AB41" s="22"/>
      <c r="AC41" s="22"/>
      <c r="AD41" s="22"/>
      <c r="AE41" s="22"/>
    </row>
    <row r="42" spans="1:31" x14ac:dyDescent="0.25">
      <c r="A42" s="1" t="s">
        <v>0</v>
      </c>
      <c r="B42" s="1" t="s">
        <v>1206</v>
      </c>
      <c r="C42" s="2" t="s">
        <v>1259</v>
      </c>
      <c r="D42" s="1" t="s">
        <v>1260</v>
      </c>
      <c r="E42" s="1"/>
      <c r="F42" s="3">
        <v>571.16999999999996</v>
      </c>
      <c r="G42" s="3">
        <v>162</v>
      </c>
      <c r="H42" s="4">
        <v>725</v>
      </c>
      <c r="I42" s="3">
        <v>360</v>
      </c>
      <c r="J42" s="3">
        <v>365</v>
      </c>
      <c r="K42" s="15">
        <v>165</v>
      </c>
      <c r="L42" s="17">
        <f t="shared" si="2"/>
        <v>22.758620689655174</v>
      </c>
      <c r="M42" s="17">
        <v>1</v>
      </c>
      <c r="N42" s="17">
        <f t="shared" si="3"/>
        <v>0.13793103448275862</v>
      </c>
      <c r="O42" s="17">
        <v>67.459999999999994</v>
      </c>
      <c r="P42" s="17"/>
      <c r="Q42" s="22" t="s">
        <v>1354</v>
      </c>
      <c r="R42" s="102">
        <v>43803</v>
      </c>
      <c r="S42" s="114">
        <v>33.28</v>
      </c>
      <c r="T42" s="22"/>
      <c r="U42" s="22" t="s">
        <v>1348</v>
      </c>
      <c r="V42" s="22" t="s">
        <v>1348</v>
      </c>
      <c r="W42" s="22" t="s">
        <v>1348</v>
      </c>
      <c r="X42" s="22"/>
      <c r="Y42" s="22"/>
      <c r="Z42" s="22"/>
      <c r="AA42" s="22"/>
      <c r="AB42" s="22"/>
      <c r="AC42" s="22"/>
      <c r="AD42" s="22"/>
      <c r="AE42" s="22"/>
    </row>
    <row r="43" spans="1:31" x14ac:dyDescent="0.25">
      <c r="A43" s="1" t="s">
        <v>0</v>
      </c>
      <c r="B43" s="1" t="s">
        <v>1206</v>
      </c>
      <c r="C43" s="2" t="s">
        <v>1259</v>
      </c>
      <c r="D43" s="1" t="s">
        <v>1261</v>
      </c>
      <c r="E43" s="1"/>
      <c r="F43" s="3">
        <v>690.51</v>
      </c>
      <c r="G43" s="3">
        <v>254</v>
      </c>
      <c r="H43" s="4">
        <v>1169</v>
      </c>
      <c r="I43" s="3">
        <v>611</v>
      </c>
      <c r="J43" s="3">
        <v>558</v>
      </c>
      <c r="K43" s="15">
        <v>360</v>
      </c>
      <c r="L43" s="17">
        <f t="shared" si="2"/>
        <v>30.795551753635586</v>
      </c>
      <c r="M43" s="17">
        <v>2</v>
      </c>
      <c r="N43" s="17">
        <f t="shared" si="3"/>
        <v>0.17108639863130881</v>
      </c>
      <c r="O43" s="17">
        <v>39.78</v>
      </c>
      <c r="P43" s="17"/>
      <c r="Q43" s="22" t="s">
        <v>1354</v>
      </c>
      <c r="R43" s="102">
        <v>43804</v>
      </c>
      <c r="S43" s="114">
        <v>18.95</v>
      </c>
      <c r="T43" s="22"/>
      <c r="U43" s="22" t="s">
        <v>1348</v>
      </c>
      <c r="V43" s="22" t="s">
        <v>1348</v>
      </c>
      <c r="W43" s="22" t="s">
        <v>1348</v>
      </c>
      <c r="X43" s="22"/>
      <c r="Y43" s="22"/>
      <c r="Z43" s="22"/>
      <c r="AA43" s="22"/>
      <c r="AB43" s="22"/>
      <c r="AC43" s="22"/>
      <c r="AD43" s="22"/>
      <c r="AE43" s="22"/>
    </row>
    <row r="44" spans="1:31" x14ac:dyDescent="0.25">
      <c r="A44" s="1" t="s">
        <v>0</v>
      </c>
      <c r="B44" s="1" t="s">
        <v>1206</v>
      </c>
      <c r="C44" s="2" t="s">
        <v>1223</v>
      </c>
      <c r="D44" s="1" t="s">
        <v>1222</v>
      </c>
      <c r="E44" s="1"/>
      <c r="F44" s="3">
        <v>2257</v>
      </c>
      <c r="G44" s="3">
        <v>1214</v>
      </c>
      <c r="H44" s="4">
        <v>5799</v>
      </c>
      <c r="I44" s="3">
        <v>2901</v>
      </c>
      <c r="J44" s="3">
        <v>2898</v>
      </c>
      <c r="K44" s="15">
        <v>1316</v>
      </c>
      <c r="L44" s="17">
        <f t="shared" si="2"/>
        <v>22.693567856526986</v>
      </c>
      <c r="M44" s="17">
        <v>136</v>
      </c>
      <c r="N44" s="17">
        <f t="shared" si="3"/>
        <v>2.3452319365407828</v>
      </c>
      <c r="O44" s="17">
        <v>198</v>
      </c>
      <c r="P44" s="17"/>
      <c r="Q44" s="22" t="s">
        <v>1354</v>
      </c>
      <c r="R44" s="102">
        <v>43802</v>
      </c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:31" x14ac:dyDescent="0.25">
      <c r="A45" s="1" t="s">
        <v>0</v>
      </c>
      <c r="B45" s="1" t="s">
        <v>1206</v>
      </c>
      <c r="C45" s="2" t="s">
        <v>1291</v>
      </c>
      <c r="D45" s="1" t="s">
        <v>1290</v>
      </c>
      <c r="E45" s="1"/>
      <c r="F45" s="3">
        <v>5611.03</v>
      </c>
      <c r="G45" s="3">
        <v>1458</v>
      </c>
      <c r="H45" s="4">
        <v>6800</v>
      </c>
      <c r="I45" s="3">
        <v>3402</v>
      </c>
      <c r="J45" s="3">
        <v>3398</v>
      </c>
      <c r="K45" s="15">
        <v>1640</v>
      </c>
      <c r="L45" s="17">
        <f t="shared" si="2"/>
        <v>24.117647058823529</v>
      </c>
      <c r="M45" s="17">
        <v>448</v>
      </c>
      <c r="N45" s="17">
        <f t="shared" si="3"/>
        <v>6.5882352941176476</v>
      </c>
      <c r="O45" s="17">
        <v>965.55</v>
      </c>
      <c r="P45" s="17"/>
      <c r="Q45" s="22" t="s">
        <v>1354</v>
      </c>
      <c r="R45" s="96">
        <v>43873</v>
      </c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 spans="1:31" x14ac:dyDescent="0.25">
      <c r="A46" s="1" t="s">
        <v>0</v>
      </c>
      <c r="B46" s="1" t="s">
        <v>1206</v>
      </c>
      <c r="C46" s="2" t="s">
        <v>1296</v>
      </c>
      <c r="D46" s="1" t="s">
        <v>1295</v>
      </c>
      <c r="E46" s="1"/>
      <c r="F46" s="3">
        <v>1589.38</v>
      </c>
      <c r="G46" s="3">
        <v>476</v>
      </c>
      <c r="H46" s="4">
        <v>2329</v>
      </c>
      <c r="I46" s="3">
        <v>1185</v>
      </c>
      <c r="J46" s="3">
        <v>1144</v>
      </c>
      <c r="K46" s="15">
        <v>434</v>
      </c>
      <c r="L46" s="17">
        <f t="shared" si="2"/>
        <v>18.634607127522543</v>
      </c>
      <c r="M46" s="17">
        <v>530</v>
      </c>
      <c r="N46" s="17">
        <f t="shared" si="3"/>
        <v>22.756547874624303</v>
      </c>
      <c r="O46" s="17">
        <v>184.2</v>
      </c>
      <c r="P46" s="17"/>
      <c r="Q46" s="22" t="s">
        <v>1354</v>
      </c>
      <c r="R46" s="96">
        <v>43878</v>
      </c>
      <c r="S46" s="114">
        <v>1.84</v>
      </c>
      <c r="T46" s="22"/>
      <c r="U46" s="22" t="s">
        <v>1348</v>
      </c>
      <c r="V46" s="22" t="s">
        <v>1348</v>
      </c>
      <c r="W46" s="22" t="s">
        <v>1348</v>
      </c>
      <c r="X46" s="22"/>
      <c r="Y46" s="22"/>
      <c r="Z46" s="22"/>
      <c r="AA46" s="22"/>
      <c r="AB46" s="22"/>
      <c r="AC46" s="22"/>
      <c r="AD46" s="22"/>
      <c r="AE46" s="22"/>
    </row>
    <row r="47" spans="1:31" x14ac:dyDescent="0.25">
      <c r="A47" s="1" t="s">
        <v>0</v>
      </c>
      <c r="B47" s="1" t="s">
        <v>1206</v>
      </c>
      <c r="C47" s="2" t="s">
        <v>1296</v>
      </c>
      <c r="D47" s="1" t="s">
        <v>1297</v>
      </c>
      <c r="E47" s="1"/>
      <c r="F47" s="3">
        <v>1857.48</v>
      </c>
      <c r="G47" s="3">
        <v>223</v>
      </c>
      <c r="H47" s="4">
        <v>1142</v>
      </c>
      <c r="I47" s="3">
        <v>596</v>
      </c>
      <c r="J47" s="3">
        <v>546</v>
      </c>
      <c r="K47" s="15">
        <v>158</v>
      </c>
      <c r="L47" s="17">
        <f t="shared" si="2"/>
        <v>13.835376532399298</v>
      </c>
      <c r="M47" s="17">
        <v>214</v>
      </c>
      <c r="N47" s="17">
        <f t="shared" si="3"/>
        <v>18.739054290718038</v>
      </c>
      <c r="O47" s="17">
        <v>219.06</v>
      </c>
      <c r="P47" s="17"/>
      <c r="Q47" s="22" t="s">
        <v>1354</v>
      </c>
      <c r="R47" s="96">
        <v>43879</v>
      </c>
      <c r="S47" s="114">
        <v>0</v>
      </c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 spans="1:31" x14ac:dyDescent="0.25">
      <c r="A48" s="1" t="s">
        <v>0</v>
      </c>
      <c r="B48" s="1" t="s">
        <v>1206</v>
      </c>
      <c r="C48" s="2" t="s">
        <v>1296</v>
      </c>
      <c r="D48" s="1" t="s">
        <v>1298</v>
      </c>
      <c r="E48" s="1"/>
      <c r="F48" s="3">
        <v>524.36</v>
      </c>
      <c r="G48" s="3">
        <v>71</v>
      </c>
      <c r="H48" s="4">
        <v>354</v>
      </c>
      <c r="I48" s="3">
        <v>188</v>
      </c>
      <c r="J48" s="3">
        <v>166</v>
      </c>
      <c r="K48" s="15">
        <v>99</v>
      </c>
      <c r="L48" s="17">
        <f t="shared" si="2"/>
        <v>27.966101694915253</v>
      </c>
      <c r="M48" s="17">
        <v>184</v>
      </c>
      <c r="N48" s="17">
        <f t="shared" si="3"/>
        <v>51.977401129943502</v>
      </c>
      <c r="O48" s="17">
        <v>39.71</v>
      </c>
      <c r="P48" s="17"/>
      <c r="Q48" s="22" t="s">
        <v>1354</v>
      </c>
      <c r="R48" s="96">
        <v>43881</v>
      </c>
      <c r="S48" s="114">
        <v>6.9</v>
      </c>
      <c r="T48" s="22"/>
      <c r="U48" s="22" t="s">
        <v>1348</v>
      </c>
      <c r="V48" s="22" t="s">
        <v>1348</v>
      </c>
      <c r="W48" s="22" t="s">
        <v>1348</v>
      </c>
      <c r="X48" s="22"/>
      <c r="Y48" s="22"/>
      <c r="Z48" s="22"/>
      <c r="AA48" s="22"/>
      <c r="AB48" s="22"/>
      <c r="AC48" s="22"/>
      <c r="AD48" s="22"/>
      <c r="AE48" s="22"/>
    </row>
    <row r="49" spans="1:31" x14ac:dyDescent="0.25">
      <c r="A49" s="1" t="s">
        <v>0</v>
      </c>
      <c r="B49" s="1" t="s">
        <v>1206</v>
      </c>
      <c r="C49" s="2" t="s">
        <v>1296</v>
      </c>
      <c r="D49" s="1" t="s">
        <v>1299</v>
      </c>
      <c r="E49" s="1"/>
      <c r="F49" s="3">
        <v>88.7</v>
      </c>
      <c r="G49" s="3">
        <v>25</v>
      </c>
      <c r="H49" s="4">
        <v>163</v>
      </c>
      <c r="I49" s="3">
        <v>87</v>
      </c>
      <c r="J49" s="3">
        <v>76</v>
      </c>
      <c r="K49" s="15">
        <v>0</v>
      </c>
      <c r="L49" s="17">
        <f t="shared" si="2"/>
        <v>0</v>
      </c>
      <c r="M49" s="17">
        <v>0</v>
      </c>
      <c r="N49" s="17">
        <f t="shared" si="3"/>
        <v>0</v>
      </c>
      <c r="O49" s="17">
        <v>4.8600000000000003</v>
      </c>
      <c r="P49" s="17"/>
      <c r="Q49" s="22" t="s">
        <v>1354</v>
      </c>
      <c r="R49" s="96">
        <v>43880</v>
      </c>
      <c r="S49" s="114">
        <v>6.19</v>
      </c>
      <c r="T49" s="22"/>
      <c r="U49" s="22" t="s">
        <v>1348</v>
      </c>
      <c r="V49" s="22" t="s">
        <v>1348</v>
      </c>
      <c r="W49" s="22" t="s">
        <v>1348</v>
      </c>
      <c r="X49" s="22"/>
      <c r="Y49" s="22"/>
      <c r="Z49" s="22"/>
      <c r="AA49" s="22"/>
      <c r="AB49" s="22"/>
      <c r="AC49" s="22"/>
      <c r="AD49" s="22"/>
      <c r="AE49" s="22"/>
    </row>
    <row r="50" spans="1:31" x14ac:dyDescent="0.25">
      <c r="A50" s="1" t="s">
        <v>0</v>
      </c>
      <c r="B50" s="1" t="s">
        <v>1206</v>
      </c>
      <c r="C50" s="2" t="s">
        <v>1250</v>
      </c>
      <c r="D50" s="1" t="s">
        <v>1249</v>
      </c>
      <c r="E50" s="1"/>
      <c r="F50" s="3">
        <v>449</v>
      </c>
      <c r="G50" s="3">
        <v>137</v>
      </c>
      <c r="H50" s="4">
        <v>578</v>
      </c>
      <c r="I50" s="3">
        <v>257</v>
      </c>
      <c r="J50" s="3">
        <v>321</v>
      </c>
      <c r="K50" s="15">
        <v>137</v>
      </c>
      <c r="L50" s="17">
        <f t="shared" si="2"/>
        <v>23.702422145328718</v>
      </c>
      <c r="M50" s="17">
        <v>0</v>
      </c>
      <c r="N50" s="17">
        <f t="shared" si="3"/>
        <v>0</v>
      </c>
      <c r="O50" s="17">
        <v>38</v>
      </c>
      <c r="P50" s="17"/>
      <c r="Q50" s="22" t="s">
        <v>1354</v>
      </c>
      <c r="R50" s="96">
        <v>43816</v>
      </c>
      <c r="S50" s="114">
        <v>3.26</v>
      </c>
      <c r="T50" s="22"/>
      <c r="U50" s="22" t="s">
        <v>1348</v>
      </c>
      <c r="V50" s="22" t="s">
        <v>1348</v>
      </c>
      <c r="W50" s="22" t="s">
        <v>1348</v>
      </c>
      <c r="X50" s="22"/>
      <c r="Y50" s="22"/>
      <c r="Z50" s="22"/>
      <c r="AA50" s="22"/>
      <c r="AB50" s="22"/>
      <c r="AC50" s="22"/>
      <c r="AD50" s="22"/>
      <c r="AE50" s="22"/>
    </row>
    <row r="51" spans="1:31" x14ac:dyDescent="0.25">
      <c r="A51" s="1" t="s">
        <v>0</v>
      </c>
      <c r="B51" s="1" t="s">
        <v>1206</v>
      </c>
      <c r="C51" s="2" t="s">
        <v>1250</v>
      </c>
      <c r="D51" s="1" t="s">
        <v>1251</v>
      </c>
      <c r="E51" s="1"/>
      <c r="F51" s="3">
        <v>548</v>
      </c>
      <c r="G51" s="3">
        <v>491</v>
      </c>
      <c r="H51" s="4">
        <v>1959</v>
      </c>
      <c r="I51" s="3">
        <v>950</v>
      </c>
      <c r="J51" s="3">
        <v>1009</v>
      </c>
      <c r="K51" s="15">
        <v>339</v>
      </c>
      <c r="L51" s="17">
        <f t="shared" si="2"/>
        <v>17.304747320061256</v>
      </c>
      <c r="M51" s="17">
        <v>53</v>
      </c>
      <c r="N51" s="17">
        <f t="shared" si="3"/>
        <v>2.7054619703930576</v>
      </c>
      <c r="O51" s="17">
        <v>5</v>
      </c>
      <c r="P51" s="17"/>
      <c r="Q51" s="22" t="s">
        <v>1354</v>
      </c>
      <c r="R51" s="96">
        <v>43815</v>
      </c>
      <c r="S51" s="114">
        <v>43.1</v>
      </c>
      <c r="T51" s="22"/>
      <c r="U51" s="22" t="s">
        <v>1348</v>
      </c>
      <c r="V51" s="22" t="s">
        <v>1348</v>
      </c>
      <c r="W51" s="22" t="s">
        <v>1348</v>
      </c>
      <c r="X51" s="22"/>
      <c r="Y51" s="22"/>
      <c r="Z51" s="22"/>
      <c r="AA51" s="22"/>
      <c r="AB51" s="22"/>
      <c r="AC51" s="22"/>
      <c r="AD51" s="22"/>
      <c r="AE51" s="22"/>
    </row>
    <row r="52" spans="1:31" x14ac:dyDescent="0.25">
      <c r="A52" s="1" t="s">
        <v>0</v>
      </c>
      <c r="B52" s="1" t="s">
        <v>1206</v>
      </c>
      <c r="C52" s="2" t="s">
        <v>1306</v>
      </c>
      <c r="D52" s="1" t="s">
        <v>1305</v>
      </c>
      <c r="E52" s="1"/>
      <c r="F52" s="3">
        <v>2125.73</v>
      </c>
      <c r="G52" s="3">
        <v>649</v>
      </c>
      <c r="H52" s="4">
        <v>3168</v>
      </c>
      <c r="I52" s="3">
        <v>1486</v>
      </c>
      <c r="J52" s="3">
        <v>1682</v>
      </c>
      <c r="K52" s="15">
        <v>587</v>
      </c>
      <c r="L52" s="17">
        <f t="shared" si="2"/>
        <v>18.529040404040405</v>
      </c>
      <c r="M52" s="17">
        <v>287</v>
      </c>
      <c r="N52" s="17">
        <f t="shared" si="3"/>
        <v>9.0593434343434343</v>
      </c>
      <c r="O52" s="17">
        <v>230.01</v>
      </c>
      <c r="P52" s="17"/>
      <c r="Q52" s="22"/>
      <c r="R52" s="97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  <row r="53" spans="1:31" x14ac:dyDescent="0.25">
      <c r="A53" s="1" t="s">
        <v>0</v>
      </c>
      <c r="B53" s="1" t="s">
        <v>1206</v>
      </c>
      <c r="C53" s="2" t="s">
        <v>1244</v>
      </c>
      <c r="D53" s="1" t="s">
        <v>1243</v>
      </c>
      <c r="E53" s="1"/>
      <c r="F53" s="3">
        <v>109</v>
      </c>
      <c r="G53" s="3">
        <v>39</v>
      </c>
      <c r="H53" s="4">
        <v>178</v>
      </c>
      <c r="I53" s="3">
        <v>82</v>
      </c>
      <c r="J53" s="3">
        <v>96</v>
      </c>
      <c r="K53" s="15">
        <v>56</v>
      </c>
      <c r="L53" s="17">
        <f t="shared" si="2"/>
        <v>31.460674157303369</v>
      </c>
      <c r="M53" s="17">
        <v>2</v>
      </c>
      <c r="N53" s="17">
        <f t="shared" si="3"/>
        <v>1.1235955056179776</v>
      </c>
      <c r="O53" s="17">
        <v>5</v>
      </c>
      <c r="P53" s="17"/>
      <c r="Q53" s="22" t="s">
        <v>1348</v>
      </c>
      <c r="R53" s="96">
        <v>43877</v>
      </c>
      <c r="S53" s="114">
        <v>15.21</v>
      </c>
      <c r="T53" s="22"/>
      <c r="U53" s="22" t="s">
        <v>1348</v>
      </c>
      <c r="V53" s="22" t="s">
        <v>1348</v>
      </c>
      <c r="W53" s="22" t="s">
        <v>1348</v>
      </c>
      <c r="X53" s="22"/>
      <c r="Y53" s="22"/>
      <c r="Z53" s="22"/>
      <c r="AA53" s="22"/>
      <c r="AB53" s="22"/>
      <c r="AC53" s="22"/>
      <c r="AD53" s="22"/>
      <c r="AE53" s="22"/>
    </row>
    <row r="54" spans="1:31" x14ac:dyDescent="0.25">
      <c r="A54" s="1" t="s">
        <v>0</v>
      </c>
      <c r="B54" s="1" t="s">
        <v>1206</v>
      </c>
      <c r="C54" s="2" t="s">
        <v>1244</v>
      </c>
      <c r="D54" s="1" t="s">
        <v>1245</v>
      </c>
      <c r="E54" s="1"/>
      <c r="F54" s="3">
        <v>876.98</v>
      </c>
      <c r="G54" s="3">
        <v>124</v>
      </c>
      <c r="H54" s="4">
        <v>642</v>
      </c>
      <c r="I54" s="3">
        <v>319</v>
      </c>
      <c r="J54" s="3">
        <v>323</v>
      </c>
      <c r="K54" s="15">
        <v>219</v>
      </c>
      <c r="L54" s="17">
        <f t="shared" si="2"/>
        <v>34.112149532710276</v>
      </c>
      <c r="M54" s="17">
        <v>30</v>
      </c>
      <c r="N54" s="17">
        <f t="shared" si="3"/>
        <v>4.6728971962616823</v>
      </c>
      <c r="O54" s="17">
        <v>0</v>
      </c>
      <c r="P54" s="17"/>
      <c r="Q54" s="22"/>
      <c r="R54" s="97"/>
      <c r="S54" s="114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 spans="1:31" x14ac:dyDescent="0.25">
      <c r="A55" s="1" t="s">
        <v>0</v>
      </c>
      <c r="B55" s="1" t="s">
        <v>1206</v>
      </c>
      <c r="C55" s="2" t="s">
        <v>1244</v>
      </c>
      <c r="D55" s="1" t="s">
        <v>1300</v>
      </c>
      <c r="E55" s="1"/>
      <c r="F55" s="3">
        <v>1210.76</v>
      </c>
      <c r="G55" s="3">
        <v>266</v>
      </c>
      <c r="H55" s="4">
        <v>1109</v>
      </c>
      <c r="I55" s="3">
        <v>522</v>
      </c>
      <c r="J55" s="3">
        <v>587</v>
      </c>
      <c r="K55" s="15">
        <v>268</v>
      </c>
      <c r="L55" s="17">
        <f t="shared" si="2"/>
        <v>24.165915238954014</v>
      </c>
      <c r="M55" s="17">
        <v>4</v>
      </c>
      <c r="N55" s="17">
        <f t="shared" si="3"/>
        <v>0.36068530207394045</v>
      </c>
      <c r="O55" s="17">
        <v>147.96</v>
      </c>
      <c r="P55" s="17"/>
      <c r="Q55" s="22" t="s">
        <v>1354</v>
      </c>
      <c r="R55" s="96">
        <v>43876</v>
      </c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 spans="1:31" x14ac:dyDescent="0.25">
      <c r="A56" s="1" t="s">
        <v>0</v>
      </c>
      <c r="B56" s="1" t="s">
        <v>1206</v>
      </c>
      <c r="C56" s="2" t="s">
        <v>1244</v>
      </c>
      <c r="D56" s="1" t="s">
        <v>1301</v>
      </c>
      <c r="E56" s="1"/>
      <c r="F56" s="3">
        <v>1564.82</v>
      </c>
      <c r="G56" s="3">
        <v>231</v>
      </c>
      <c r="H56" s="4">
        <v>1069</v>
      </c>
      <c r="I56" s="3">
        <v>520</v>
      </c>
      <c r="J56" s="3">
        <v>549</v>
      </c>
      <c r="K56" s="15">
        <v>182</v>
      </c>
      <c r="L56" s="17">
        <f t="shared" si="2"/>
        <v>17.025257249766138</v>
      </c>
      <c r="M56" s="17">
        <v>152</v>
      </c>
      <c r="N56" s="17">
        <f t="shared" si="3"/>
        <v>14.218896164639849</v>
      </c>
      <c r="O56" s="17">
        <v>85.85</v>
      </c>
      <c r="P56" s="17"/>
      <c r="Q56" s="22" t="s">
        <v>1354</v>
      </c>
      <c r="R56" s="102">
        <v>43875</v>
      </c>
      <c r="S56" s="114">
        <v>56.21</v>
      </c>
      <c r="T56" s="22"/>
      <c r="U56" s="22" t="s">
        <v>1348</v>
      </c>
      <c r="V56" s="22" t="s">
        <v>1348</v>
      </c>
      <c r="W56" s="22" t="s">
        <v>1348</v>
      </c>
      <c r="X56" s="22"/>
      <c r="Y56" s="22"/>
      <c r="Z56" s="22"/>
      <c r="AA56" s="22"/>
      <c r="AB56" s="22"/>
      <c r="AC56" s="22"/>
      <c r="AD56" s="22"/>
      <c r="AE56" s="22"/>
    </row>
    <row r="57" spans="1:31" x14ac:dyDescent="0.25">
      <c r="A57" s="1" t="s">
        <v>0</v>
      </c>
      <c r="B57" s="1" t="s">
        <v>1206</v>
      </c>
      <c r="C57" s="2" t="s">
        <v>1263</v>
      </c>
      <c r="D57" s="1" t="s">
        <v>1262</v>
      </c>
      <c r="E57" s="1"/>
      <c r="F57" s="3">
        <v>543</v>
      </c>
      <c r="G57" s="3">
        <v>369</v>
      </c>
      <c r="H57" s="4">
        <v>1603</v>
      </c>
      <c r="I57" s="3">
        <v>738</v>
      </c>
      <c r="J57" s="3">
        <v>865</v>
      </c>
      <c r="K57" s="15">
        <v>199</v>
      </c>
      <c r="L57" s="17">
        <f t="shared" si="2"/>
        <v>12.414223331253899</v>
      </c>
      <c r="M57" s="17">
        <v>0</v>
      </c>
      <c r="N57" s="17">
        <f t="shared" si="3"/>
        <v>0</v>
      </c>
      <c r="O57" s="17">
        <v>12</v>
      </c>
      <c r="P57" s="17"/>
      <c r="Q57" s="22" t="s">
        <v>1354</v>
      </c>
      <c r="R57" s="102">
        <v>44167</v>
      </c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</row>
    <row r="58" spans="1:31" x14ac:dyDescent="0.25">
      <c r="A58" s="1" t="s">
        <v>0</v>
      </c>
      <c r="B58" s="1" t="s">
        <v>1206</v>
      </c>
      <c r="C58" s="2" t="s">
        <v>1263</v>
      </c>
      <c r="D58" s="1" t="s">
        <v>1264</v>
      </c>
      <c r="E58" s="1"/>
      <c r="F58" s="3">
        <v>1373</v>
      </c>
      <c r="G58" s="3">
        <v>552</v>
      </c>
      <c r="H58" s="4">
        <v>2371</v>
      </c>
      <c r="I58" s="3">
        <v>1164</v>
      </c>
      <c r="J58" s="3">
        <v>1207</v>
      </c>
      <c r="K58" s="15">
        <v>478</v>
      </c>
      <c r="L58" s="17">
        <f t="shared" si="2"/>
        <v>20.160269928300295</v>
      </c>
      <c r="M58" s="17">
        <v>318</v>
      </c>
      <c r="N58" s="17">
        <f t="shared" si="3"/>
        <v>13.412062420919444</v>
      </c>
      <c r="O58" s="17">
        <v>117</v>
      </c>
      <c r="P58" s="17"/>
      <c r="Q58" s="22" t="s">
        <v>1354</v>
      </c>
      <c r="R58" s="96">
        <v>44185</v>
      </c>
      <c r="S58" s="114">
        <v>1.05</v>
      </c>
      <c r="T58" s="22"/>
      <c r="U58" s="22" t="s">
        <v>1348</v>
      </c>
      <c r="V58" s="22" t="s">
        <v>1348</v>
      </c>
      <c r="W58" s="22" t="s">
        <v>1348</v>
      </c>
      <c r="X58" s="22"/>
      <c r="Y58" s="22"/>
      <c r="Z58" s="22"/>
      <c r="AA58" s="22"/>
      <c r="AB58" s="22"/>
      <c r="AC58" s="22"/>
      <c r="AD58" s="22"/>
      <c r="AE58" s="22"/>
    </row>
    <row r="59" spans="1:31" x14ac:dyDescent="0.25">
      <c r="A59" s="1" t="s">
        <v>0</v>
      </c>
      <c r="B59" s="1" t="s">
        <v>1206</v>
      </c>
      <c r="C59" s="2" t="s">
        <v>1263</v>
      </c>
      <c r="D59" s="1" t="s">
        <v>1265</v>
      </c>
      <c r="E59" s="1"/>
      <c r="F59" s="3">
        <v>107</v>
      </c>
      <c r="G59" s="3">
        <v>40</v>
      </c>
      <c r="H59" s="4">
        <v>190</v>
      </c>
      <c r="I59" s="3">
        <v>92</v>
      </c>
      <c r="J59" s="3">
        <v>98</v>
      </c>
      <c r="K59" s="15">
        <v>0</v>
      </c>
      <c r="L59" s="17">
        <f t="shared" si="2"/>
        <v>0</v>
      </c>
      <c r="M59" s="17">
        <v>7</v>
      </c>
      <c r="N59" s="17">
        <f t="shared" si="3"/>
        <v>3.6842105263157889</v>
      </c>
      <c r="O59" s="17">
        <v>63</v>
      </c>
      <c r="P59" s="17"/>
      <c r="Q59" s="22" t="s">
        <v>1354</v>
      </c>
      <c r="R59" s="96">
        <v>43874</v>
      </c>
      <c r="S59" s="22">
        <v>3.93</v>
      </c>
      <c r="T59" s="22"/>
      <c r="U59" s="22" t="s">
        <v>1348</v>
      </c>
      <c r="V59" s="22" t="s">
        <v>1348</v>
      </c>
      <c r="W59" s="22" t="s">
        <v>1348</v>
      </c>
      <c r="X59" s="22"/>
      <c r="Y59" s="22"/>
      <c r="Z59" s="22"/>
      <c r="AA59" s="22"/>
      <c r="AB59" s="22"/>
      <c r="AC59" s="22"/>
      <c r="AD59" s="22"/>
      <c r="AE59" s="22"/>
    </row>
    <row r="60" spans="1:31" x14ac:dyDescent="0.25">
      <c r="A60" s="1" t="s">
        <v>0</v>
      </c>
      <c r="B60" s="1" t="s">
        <v>1206</v>
      </c>
      <c r="C60" s="2" t="s">
        <v>1263</v>
      </c>
      <c r="D60" s="1" t="s">
        <v>1268</v>
      </c>
      <c r="E60" s="1"/>
      <c r="F60" s="3">
        <v>275</v>
      </c>
      <c r="G60" s="3">
        <v>133</v>
      </c>
      <c r="H60" s="4">
        <v>686</v>
      </c>
      <c r="I60" s="3">
        <v>342</v>
      </c>
      <c r="J60" s="3">
        <v>344</v>
      </c>
      <c r="K60" s="15">
        <v>87</v>
      </c>
      <c r="L60" s="17">
        <f t="shared" si="2"/>
        <v>12.682215743440233</v>
      </c>
      <c r="M60" s="17">
        <v>0</v>
      </c>
      <c r="N60" s="17">
        <f t="shared" si="3"/>
        <v>0</v>
      </c>
      <c r="O60" s="17">
        <v>35</v>
      </c>
      <c r="P60" s="17"/>
      <c r="Q60" s="22" t="s">
        <v>1354</v>
      </c>
      <c r="R60" s="96">
        <v>43874</v>
      </c>
      <c r="S60" s="22">
        <v>1.85</v>
      </c>
      <c r="T60" s="22"/>
      <c r="U60" s="22" t="s">
        <v>1348</v>
      </c>
      <c r="V60" s="22" t="s">
        <v>1348</v>
      </c>
      <c r="W60" s="22" t="s">
        <v>1348</v>
      </c>
      <c r="X60" s="22"/>
      <c r="Y60" s="22"/>
      <c r="Z60" s="22"/>
      <c r="AA60" s="22"/>
      <c r="AB60" s="22"/>
      <c r="AC60" s="22"/>
      <c r="AD60" s="22"/>
      <c r="AE60" s="22"/>
    </row>
    <row r="61" spans="1:31" x14ac:dyDescent="0.25">
      <c r="A61" s="1" t="s">
        <v>0</v>
      </c>
      <c r="B61" s="1" t="s">
        <v>1206</v>
      </c>
      <c r="C61" s="2" t="s">
        <v>601</v>
      </c>
      <c r="D61" s="1" t="s">
        <v>1284</v>
      </c>
      <c r="E61" s="1"/>
      <c r="F61" s="3">
        <v>580</v>
      </c>
      <c r="G61" s="3">
        <v>260</v>
      </c>
      <c r="H61" s="4">
        <v>1051</v>
      </c>
      <c r="I61" s="3">
        <v>510</v>
      </c>
      <c r="J61" s="3">
        <v>541</v>
      </c>
      <c r="K61" s="15">
        <v>311</v>
      </c>
      <c r="L61" s="17">
        <f t="shared" si="2"/>
        <v>29.590865842055187</v>
      </c>
      <c r="M61" s="17">
        <v>0</v>
      </c>
      <c r="N61" s="17">
        <f t="shared" si="3"/>
        <v>0</v>
      </c>
      <c r="O61" s="17">
        <v>89</v>
      </c>
      <c r="P61" s="17"/>
      <c r="Q61" s="22"/>
      <c r="R61" s="96">
        <v>43814</v>
      </c>
      <c r="S61" s="22">
        <v>20.48</v>
      </c>
      <c r="T61" s="22"/>
      <c r="U61" s="22" t="s">
        <v>1348</v>
      </c>
      <c r="V61" s="22" t="s">
        <v>1348</v>
      </c>
      <c r="W61" s="22" t="s">
        <v>1348</v>
      </c>
      <c r="X61" s="22"/>
      <c r="Y61" s="22"/>
      <c r="Z61" s="22"/>
      <c r="AA61" s="22"/>
      <c r="AB61" s="22"/>
      <c r="AC61" s="22"/>
      <c r="AD61" s="22"/>
      <c r="AE61" s="22"/>
    </row>
    <row r="62" spans="1:31" x14ac:dyDescent="0.25">
      <c r="A62" s="1" t="s">
        <v>0</v>
      </c>
      <c r="B62" s="1" t="s">
        <v>1206</v>
      </c>
      <c r="C62" s="2" t="s">
        <v>1231</v>
      </c>
      <c r="D62" s="1" t="s">
        <v>1231</v>
      </c>
      <c r="E62" s="1"/>
      <c r="F62" s="3">
        <v>991.64</v>
      </c>
      <c r="G62" s="3">
        <v>421</v>
      </c>
      <c r="H62" s="4">
        <v>2416</v>
      </c>
      <c r="I62" s="3">
        <v>1250</v>
      </c>
      <c r="J62" s="3">
        <v>1166</v>
      </c>
      <c r="K62" s="15">
        <v>384</v>
      </c>
      <c r="L62" s="17">
        <f t="shared" si="2"/>
        <v>15.894039735099339</v>
      </c>
      <c r="M62" s="17">
        <v>0</v>
      </c>
      <c r="N62" s="17">
        <f t="shared" si="3"/>
        <v>0</v>
      </c>
      <c r="O62" s="17">
        <v>92</v>
      </c>
      <c r="P62" s="17"/>
      <c r="Q62" s="22"/>
      <c r="R62" s="97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 spans="1:31" x14ac:dyDescent="0.25">
      <c r="A63" s="1" t="s">
        <v>0</v>
      </c>
      <c r="B63" s="1" t="s">
        <v>1206</v>
      </c>
      <c r="C63" s="2" t="s">
        <v>1231</v>
      </c>
      <c r="D63" s="1" t="s">
        <v>1257</v>
      </c>
      <c r="E63" s="1"/>
      <c r="F63" s="3">
        <v>1229.08</v>
      </c>
      <c r="G63" s="3">
        <v>504</v>
      </c>
      <c r="H63" s="4">
        <v>2272</v>
      </c>
      <c r="I63" s="3">
        <v>1080</v>
      </c>
      <c r="J63" s="3">
        <v>1192</v>
      </c>
      <c r="K63" s="15">
        <v>564</v>
      </c>
      <c r="L63" s="17">
        <f t="shared" si="2"/>
        <v>24.823943661971832</v>
      </c>
      <c r="M63" s="17">
        <v>0</v>
      </c>
      <c r="N63" s="17">
        <f t="shared" si="3"/>
        <v>0</v>
      </c>
      <c r="O63" s="17">
        <v>122.47</v>
      </c>
      <c r="P63" s="17"/>
      <c r="Q63" s="22"/>
      <c r="R63" s="97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spans="1:31" x14ac:dyDescent="0.25">
      <c r="A64" s="1" t="s">
        <v>0</v>
      </c>
      <c r="B64" s="1" t="s">
        <v>1206</v>
      </c>
      <c r="C64" s="2" t="s">
        <v>1279</v>
      </c>
      <c r="D64" s="1" t="s">
        <v>1278</v>
      </c>
      <c r="E64" s="1"/>
      <c r="F64" s="3">
        <v>1412.96</v>
      </c>
      <c r="G64" s="3">
        <v>903</v>
      </c>
      <c r="H64" s="4">
        <v>4705</v>
      </c>
      <c r="I64" s="3">
        <v>2380</v>
      </c>
      <c r="J64" s="3">
        <v>2325</v>
      </c>
      <c r="K64" s="15">
        <v>1072</v>
      </c>
      <c r="L64" s="17">
        <f t="shared" si="2"/>
        <v>22.784272051009562</v>
      </c>
      <c r="M64" s="17">
        <v>74</v>
      </c>
      <c r="N64" s="17">
        <f t="shared" si="3"/>
        <v>1.5727948990435707</v>
      </c>
      <c r="O64" s="17">
        <v>65</v>
      </c>
      <c r="P64" s="17"/>
      <c r="Q64" s="22" t="s">
        <v>1354</v>
      </c>
      <c r="R64" s="96">
        <v>43819</v>
      </c>
      <c r="S64" s="114">
        <v>8.92</v>
      </c>
      <c r="T64" s="22"/>
      <c r="U64" s="22" t="s">
        <v>1348</v>
      </c>
      <c r="V64" s="22" t="s">
        <v>1348</v>
      </c>
      <c r="W64" s="22" t="s">
        <v>1348</v>
      </c>
      <c r="X64" s="22"/>
      <c r="Y64" s="22"/>
      <c r="Z64" s="22"/>
      <c r="AA64" s="22"/>
      <c r="AB64" s="22"/>
      <c r="AC64" s="22"/>
      <c r="AD64" s="22"/>
      <c r="AE64" s="22"/>
    </row>
    <row r="65" spans="1:31" x14ac:dyDescent="0.25">
      <c r="A65" s="1" t="s">
        <v>0</v>
      </c>
      <c r="B65" s="1" t="s">
        <v>1206</v>
      </c>
      <c r="C65" s="2" t="s">
        <v>1279</v>
      </c>
      <c r="D65" s="1" t="s">
        <v>1280</v>
      </c>
      <c r="E65" s="1"/>
      <c r="F65" s="3">
        <v>266.12</v>
      </c>
      <c r="G65" s="3">
        <v>161</v>
      </c>
      <c r="H65" s="4">
        <v>965</v>
      </c>
      <c r="I65" s="3">
        <v>480</v>
      </c>
      <c r="J65" s="3">
        <v>485</v>
      </c>
      <c r="K65" s="15">
        <v>278</v>
      </c>
      <c r="L65" s="17">
        <f t="shared" si="2"/>
        <v>28.808290155440414</v>
      </c>
      <c r="M65" s="17">
        <v>1</v>
      </c>
      <c r="N65" s="17">
        <f t="shared" si="3"/>
        <v>0.10362694300518134</v>
      </c>
      <c r="O65" s="17">
        <v>28</v>
      </c>
      <c r="P65" s="17"/>
      <c r="Q65" s="22" t="s">
        <v>1354</v>
      </c>
      <c r="R65" s="96">
        <v>43821</v>
      </c>
      <c r="S65" s="114">
        <v>4.13</v>
      </c>
      <c r="T65" s="22"/>
      <c r="U65" s="22" t="s">
        <v>1348</v>
      </c>
      <c r="V65" s="22" t="s">
        <v>1348</v>
      </c>
      <c r="W65" s="22" t="s">
        <v>1348</v>
      </c>
      <c r="X65" s="22"/>
      <c r="Y65" s="22"/>
      <c r="Z65" s="22"/>
      <c r="AA65" s="22"/>
      <c r="AB65" s="22"/>
      <c r="AC65" s="22"/>
      <c r="AD65" s="22"/>
      <c r="AE65" s="22"/>
    </row>
    <row r="66" spans="1:31" x14ac:dyDescent="0.25">
      <c r="A66" s="1" t="s">
        <v>0</v>
      </c>
      <c r="B66" s="1" t="s">
        <v>1206</v>
      </c>
      <c r="C66" s="2" t="s">
        <v>1247</v>
      </c>
      <c r="D66" s="1" t="s">
        <v>1246</v>
      </c>
      <c r="E66" s="1"/>
      <c r="F66" s="3">
        <v>187.16</v>
      </c>
      <c r="G66" s="3">
        <v>81</v>
      </c>
      <c r="H66" s="4">
        <v>351</v>
      </c>
      <c r="I66" s="3">
        <v>189</v>
      </c>
      <c r="J66" s="3">
        <v>162</v>
      </c>
      <c r="K66" s="15">
        <v>0</v>
      </c>
      <c r="L66" s="17">
        <f t="shared" si="2"/>
        <v>0</v>
      </c>
      <c r="M66" s="17">
        <v>13</v>
      </c>
      <c r="N66" s="17">
        <f t="shared" si="3"/>
        <v>3.7037037037037033</v>
      </c>
      <c r="O66" s="17">
        <v>47.08</v>
      </c>
      <c r="P66" s="17"/>
      <c r="Q66" s="22"/>
      <c r="R66" s="96">
        <v>43825</v>
      </c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spans="1:31" x14ac:dyDescent="0.25">
      <c r="A67" s="1" t="s">
        <v>0</v>
      </c>
      <c r="B67" s="1" t="s">
        <v>1206</v>
      </c>
      <c r="C67" s="2" t="s">
        <v>1247</v>
      </c>
      <c r="D67" s="1" t="s">
        <v>1248</v>
      </c>
      <c r="E67" s="1"/>
      <c r="F67" s="3">
        <v>1274.18</v>
      </c>
      <c r="G67" s="3">
        <v>306</v>
      </c>
      <c r="H67" s="4">
        <v>1312</v>
      </c>
      <c r="I67" s="3">
        <v>666</v>
      </c>
      <c r="J67" s="3">
        <v>646</v>
      </c>
      <c r="K67" s="15">
        <v>238</v>
      </c>
      <c r="L67" s="17">
        <f t="shared" si="2"/>
        <v>18.140243902439025</v>
      </c>
      <c r="M67" s="17">
        <v>312</v>
      </c>
      <c r="N67" s="17">
        <f t="shared" si="3"/>
        <v>23.780487804878049</v>
      </c>
      <c r="O67" s="17">
        <v>160.9</v>
      </c>
      <c r="P67" s="17"/>
      <c r="Q67" s="22" t="s">
        <v>1354</v>
      </c>
      <c r="R67" s="96">
        <v>43871</v>
      </c>
      <c r="S67" s="114">
        <v>12.79</v>
      </c>
      <c r="T67" s="22"/>
      <c r="U67" s="22" t="s">
        <v>1348</v>
      </c>
      <c r="V67" s="22" t="s">
        <v>1348</v>
      </c>
      <c r="W67" s="22" t="s">
        <v>1348</v>
      </c>
      <c r="X67" s="22"/>
      <c r="Y67" s="22"/>
      <c r="Z67" s="22"/>
      <c r="AA67" s="22"/>
      <c r="AB67" s="22"/>
      <c r="AC67" s="22"/>
      <c r="AD67" s="22"/>
      <c r="AE67" s="22"/>
    </row>
    <row r="68" spans="1:31" x14ac:dyDescent="0.25">
      <c r="A68" s="1" t="s">
        <v>0</v>
      </c>
      <c r="B68" s="1" t="s">
        <v>1206</v>
      </c>
      <c r="C68" s="2" t="s">
        <v>1247</v>
      </c>
      <c r="D68" s="1" t="s">
        <v>621</v>
      </c>
      <c r="E68" s="1"/>
      <c r="F68" s="3">
        <v>551.13</v>
      </c>
      <c r="G68" s="3">
        <v>141</v>
      </c>
      <c r="H68" s="4">
        <v>751</v>
      </c>
      <c r="I68" s="3">
        <v>411</v>
      </c>
      <c r="J68" s="3">
        <v>340</v>
      </c>
      <c r="K68" s="15">
        <v>134</v>
      </c>
      <c r="L68" s="17">
        <f t="shared" ref="L68:L79" si="4">(K68/H68)*100</f>
        <v>17.842876165113182</v>
      </c>
      <c r="M68" s="17">
        <v>95</v>
      </c>
      <c r="N68" s="17">
        <f t="shared" ref="N68:N79" si="5">(M68/H68)*100</f>
        <v>12.649800266311583</v>
      </c>
      <c r="O68" s="17">
        <v>124.08</v>
      </c>
      <c r="P68" s="17"/>
      <c r="Q68" s="22" t="s">
        <v>1354</v>
      </c>
      <c r="R68" s="96">
        <v>43869</v>
      </c>
      <c r="S68" s="114">
        <v>86.7</v>
      </c>
      <c r="T68" s="22"/>
      <c r="U68" s="22" t="s">
        <v>1348</v>
      </c>
      <c r="V68" s="22" t="s">
        <v>1348</v>
      </c>
      <c r="W68" s="22" t="s">
        <v>1348</v>
      </c>
      <c r="X68" s="22"/>
      <c r="Y68" s="22"/>
      <c r="Z68" s="22"/>
      <c r="AA68" s="22"/>
      <c r="AB68" s="22"/>
      <c r="AC68" s="22"/>
      <c r="AD68" s="22"/>
      <c r="AE68" s="22"/>
    </row>
    <row r="69" spans="1:31" x14ac:dyDescent="0.25">
      <c r="A69" s="1" t="s">
        <v>0</v>
      </c>
      <c r="B69" s="1" t="s">
        <v>1206</v>
      </c>
      <c r="C69" s="2" t="s">
        <v>1247</v>
      </c>
      <c r="D69" s="1" t="s">
        <v>1270</v>
      </c>
      <c r="E69" s="1"/>
      <c r="F69" s="3">
        <v>186.03</v>
      </c>
      <c r="G69" s="3">
        <v>151</v>
      </c>
      <c r="H69" s="4">
        <v>688</v>
      </c>
      <c r="I69" s="3">
        <v>334</v>
      </c>
      <c r="J69" s="3">
        <v>354</v>
      </c>
      <c r="K69" s="15">
        <v>185</v>
      </c>
      <c r="L69" s="17">
        <f t="shared" si="4"/>
        <v>26.889534883720927</v>
      </c>
      <c r="M69" s="17">
        <v>10</v>
      </c>
      <c r="N69" s="17">
        <f t="shared" si="5"/>
        <v>1.4534883720930232</v>
      </c>
      <c r="O69" s="17">
        <v>45.87</v>
      </c>
      <c r="P69" s="17"/>
      <c r="Q69" s="22" t="s">
        <v>1354</v>
      </c>
      <c r="R69" s="96">
        <v>43868</v>
      </c>
      <c r="S69" s="22">
        <v>50.75</v>
      </c>
      <c r="T69" s="22"/>
      <c r="U69" s="22" t="s">
        <v>1348</v>
      </c>
      <c r="V69" s="22" t="s">
        <v>1348</v>
      </c>
      <c r="W69" s="22" t="s">
        <v>1348</v>
      </c>
      <c r="X69" s="22"/>
      <c r="Y69" s="22"/>
      <c r="Z69" s="22"/>
      <c r="AA69" s="22"/>
      <c r="AB69" s="22"/>
      <c r="AC69" s="22"/>
      <c r="AD69" s="22"/>
      <c r="AE69" s="22"/>
    </row>
    <row r="70" spans="1:31" x14ac:dyDescent="0.25">
      <c r="A70" s="1" t="s">
        <v>0</v>
      </c>
      <c r="B70" s="1" t="s">
        <v>1206</v>
      </c>
      <c r="C70" s="2" t="s">
        <v>1233</v>
      </c>
      <c r="D70" s="1" t="s">
        <v>1232</v>
      </c>
      <c r="E70" s="1"/>
      <c r="F70" s="3">
        <v>947.36</v>
      </c>
      <c r="G70" s="3">
        <v>178</v>
      </c>
      <c r="H70" s="4">
        <v>722</v>
      </c>
      <c r="I70" s="3">
        <v>346</v>
      </c>
      <c r="J70" s="3">
        <v>376</v>
      </c>
      <c r="K70" s="15">
        <v>171</v>
      </c>
      <c r="L70" s="17">
        <f t="shared" si="4"/>
        <v>23.684210526315788</v>
      </c>
      <c r="M70" s="17">
        <v>0</v>
      </c>
      <c r="N70" s="17">
        <f t="shared" si="5"/>
        <v>0</v>
      </c>
      <c r="O70" s="17">
        <v>69.36</v>
      </c>
      <c r="P70" s="17"/>
      <c r="Q70" s="22"/>
      <c r="R70" s="96">
        <v>43815</v>
      </c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 spans="1:31" x14ac:dyDescent="0.25">
      <c r="A71" s="1" t="s">
        <v>0</v>
      </c>
      <c r="B71" s="1" t="s">
        <v>1206</v>
      </c>
      <c r="C71" s="2" t="s">
        <v>1233</v>
      </c>
      <c r="D71" s="1" t="s">
        <v>1237</v>
      </c>
      <c r="E71" s="1"/>
      <c r="F71" s="3">
        <v>840.41</v>
      </c>
      <c r="G71" s="3">
        <v>286</v>
      </c>
      <c r="H71" s="4">
        <v>1123</v>
      </c>
      <c r="I71" s="3">
        <v>535</v>
      </c>
      <c r="J71" s="3">
        <v>588</v>
      </c>
      <c r="K71" s="15">
        <v>286</v>
      </c>
      <c r="L71" s="17">
        <f t="shared" si="4"/>
        <v>25.467497773820124</v>
      </c>
      <c r="M71" s="17">
        <v>37</v>
      </c>
      <c r="N71" s="17">
        <f t="shared" si="5"/>
        <v>3.2947462154942118</v>
      </c>
      <c r="O71" s="17">
        <v>168</v>
      </c>
      <c r="P71" s="17"/>
      <c r="Q71" s="22"/>
      <c r="R71" s="96">
        <v>43812</v>
      </c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 spans="1:31" x14ac:dyDescent="0.25">
      <c r="A72" s="1" t="s">
        <v>0</v>
      </c>
      <c r="B72" s="1" t="s">
        <v>1206</v>
      </c>
      <c r="C72" s="2" t="s">
        <v>1233</v>
      </c>
      <c r="D72" s="1" t="s">
        <v>1255</v>
      </c>
      <c r="E72" s="1"/>
      <c r="F72" s="3">
        <v>554.59</v>
      </c>
      <c r="G72" s="3">
        <v>142</v>
      </c>
      <c r="H72" s="4">
        <v>582</v>
      </c>
      <c r="I72" s="3">
        <v>290</v>
      </c>
      <c r="J72" s="3">
        <v>292</v>
      </c>
      <c r="K72" s="15">
        <v>192</v>
      </c>
      <c r="L72" s="17">
        <f t="shared" si="4"/>
        <v>32.989690721649481</v>
      </c>
      <c r="M72" s="17">
        <v>0</v>
      </c>
      <c r="N72" s="17">
        <f t="shared" si="5"/>
        <v>0</v>
      </c>
      <c r="O72" s="17">
        <v>54</v>
      </c>
      <c r="P72" s="17"/>
      <c r="Q72" s="22" t="s">
        <v>1354</v>
      </c>
      <c r="R72" s="96">
        <v>43817</v>
      </c>
      <c r="S72" s="114">
        <v>6.43</v>
      </c>
      <c r="T72" s="22"/>
      <c r="U72" s="22" t="s">
        <v>1348</v>
      </c>
      <c r="V72" s="22" t="s">
        <v>1348</v>
      </c>
      <c r="W72" s="22" t="s">
        <v>1348</v>
      </c>
      <c r="X72" s="22"/>
      <c r="Y72" s="22"/>
      <c r="Z72" s="22"/>
      <c r="AA72" s="22"/>
      <c r="AB72" s="22"/>
      <c r="AC72" s="22"/>
      <c r="AD72" s="22"/>
      <c r="AE72" s="22"/>
    </row>
    <row r="73" spans="1:31" x14ac:dyDescent="0.25">
      <c r="A73" s="1" t="s">
        <v>0</v>
      </c>
      <c r="B73" s="1" t="s">
        <v>1206</v>
      </c>
      <c r="C73" s="2" t="s">
        <v>1233</v>
      </c>
      <c r="D73" s="1" t="s">
        <v>1256</v>
      </c>
      <c r="E73" s="1"/>
      <c r="F73" s="3">
        <v>120.68</v>
      </c>
      <c r="G73" s="3">
        <v>27</v>
      </c>
      <c r="H73" s="4">
        <v>122</v>
      </c>
      <c r="I73" s="3">
        <v>62</v>
      </c>
      <c r="J73" s="3">
        <v>60</v>
      </c>
      <c r="K73" s="15">
        <v>0</v>
      </c>
      <c r="L73" s="17">
        <f t="shared" si="4"/>
        <v>0</v>
      </c>
      <c r="M73" s="17">
        <v>0</v>
      </c>
      <c r="N73" s="17">
        <f t="shared" si="5"/>
        <v>0</v>
      </c>
      <c r="O73" s="17">
        <v>0</v>
      </c>
      <c r="P73" s="17"/>
      <c r="Q73" s="22"/>
      <c r="R73" s="96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 spans="1:31" x14ac:dyDescent="0.25">
      <c r="A74" s="1" t="s">
        <v>0</v>
      </c>
      <c r="B74" s="1" t="s">
        <v>1206</v>
      </c>
      <c r="C74" s="2" t="s">
        <v>1230</v>
      </c>
      <c r="D74" s="1" t="s">
        <v>1229</v>
      </c>
      <c r="E74" s="1"/>
      <c r="F74" s="3">
        <v>1212.98</v>
      </c>
      <c r="G74" s="3">
        <v>508</v>
      </c>
      <c r="H74" s="4">
        <v>2287</v>
      </c>
      <c r="I74" s="3">
        <v>1116</v>
      </c>
      <c r="J74" s="3">
        <v>1171</v>
      </c>
      <c r="K74" s="15">
        <v>409</v>
      </c>
      <c r="L74" s="17">
        <f t="shared" si="4"/>
        <v>17.883690424136422</v>
      </c>
      <c r="M74" s="17">
        <v>104</v>
      </c>
      <c r="N74" s="17">
        <f t="shared" si="5"/>
        <v>4.5474420638390907</v>
      </c>
      <c r="O74" s="17">
        <v>91.15</v>
      </c>
      <c r="P74" s="17"/>
      <c r="Q74" s="22" t="s">
        <v>1348</v>
      </c>
      <c r="R74" s="96">
        <v>43813</v>
      </c>
      <c r="S74" s="22">
        <v>43.66</v>
      </c>
      <c r="T74" s="22"/>
      <c r="U74" s="22" t="s">
        <v>1348</v>
      </c>
      <c r="V74" s="22" t="s">
        <v>1348</v>
      </c>
      <c r="W74" s="22" t="s">
        <v>1348</v>
      </c>
      <c r="X74" s="22"/>
      <c r="Y74" s="22"/>
      <c r="Z74" s="22"/>
      <c r="AA74" s="22"/>
      <c r="AB74" s="22"/>
      <c r="AC74" s="22"/>
      <c r="AD74" s="22"/>
      <c r="AE74" s="22"/>
    </row>
    <row r="75" spans="1:31" x14ac:dyDescent="0.25">
      <c r="A75" s="1" t="s">
        <v>0</v>
      </c>
      <c r="B75" s="1" t="s">
        <v>1206</v>
      </c>
      <c r="C75" s="2" t="s">
        <v>1282</v>
      </c>
      <c r="D75" s="1" t="s">
        <v>1281</v>
      </c>
      <c r="E75" s="1"/>
      <c r="F75" s="3">
        <v>1009.49</v>
      </c>
      <c r="G75" s="3">
        <v>392</v>
      </c>
      <c r="H75" s="4">
        <v>2152</v>
      </c>
      <c r="I75" s="3">
        <v>1119</v>
      </c>
      <c r="J75" s="3">
        <v>1033</v>
      </c>
      <c r="K75" s="15">
        <v>428</v>
      </c>
      <c r="L75" s="17">
        <f t="shared" si="4"/>
        <v>19.888475836431226</v>
      </c>
      <c r="M75" s="17">
        <v>38</v>
      </c>
      <c r="N75" s="17">
        <f t="shared" si="5"/>
        <v>1.7657992565055762</v>
      </c>
      <c r="O75" s="17">
        <v>79.349999999999994</v>
      </c>
      <c r="P75" s="17"/>
      <c r="Q75" s="22"/>
      <c r="R75" s="96">
        <v>43817</v>
      </c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 spans="1:31" x14ac:dyDescent="0.25">
      <c r="A76" s="1" t="s">
        <v>0</v>
      </c>
      <c r="B76" s="1" t="s">
        <v>1206</v>
      </c>
      <c r="C76" s="2" t="s">
        <v>1282</v>
      </c>
      <c r="D76" s="1" t="s">
        <v>1283</v>
      </c>
      <c r="E76" s="1"/>
      <c r="F76" s="3">
        <v>1018.83</v>
      </c>
      <c r="G76" s="3">
        <v>215</v>
      </c>
      <c r="H76" s="4">
        <v>1146</v>
      </c>
      <c r="I76" s="3">
        <v>582</v>
      </c>
      <c r="J76" s="3">
        <v>564</v>
      </c>
      <c r="K76" s="15">
        <v>280</v>
      </c>
      <c r="L76" s="17">
        <f t="shared" si="4"/>
        <v>24.43280977312391</v>
      </c>
      <c r="M76" s="17">
        <v>0</v>
      </c>
      <c r="N76" s="17">
        <f t="shared" si="5"/>
        <v>0</v>
      </c>
      <c r="O76" s="17">
        <v>43.62</v>
      </c>
      <c r="P76" s="17"/>
      <c r="Q76" s="22" t="s">
        <v>1348</v>
      </c>
      <c r="R76" s="96">
        <v>43818</v>
      </c>
      <c r="S76" s="22">
        <v>5.19</v>
      </c>
      <c r="T76" s="22"/>
      <c r="U76" s="22" t="s">
        <v>1348</v>
      </c>
      <c r="V76" s="22" t="s">
        <v>1348</v>
      </c>
      <c r="W76" s="22" t="s">
        <v>1348</v>
      </c>
      <c r="X76" s="22"/>
      <c r="Y76" s="22"/>
      <c r="Z76" s="22"/>
      <c r="AA76" s="22"/>
      <c r="AB76" s="22"/>
      <c r="AC76" s="22"/>
      <c r="AD76" s="22"/>
      <c r="AE76" s="22"/>
    </row>
    <row r="77" spans="1:31" x14ac:dyDescent="0.25">
      <c r="A77" s="1" t="s">
        <v>0</v>
      </c>
      <c r="B77" s="1" t="s">
        <v>1206</v>
      </c>
      <c r="C77" s="2" t="s">
        <v>1219</v>
      </c>
      <c r="D77" s="1" t="s">
        <v>1218</v>
      </c>
      <c r="E77" s="1"/>
      <c r="F77" s="3">
        <v>857.75</v>
      </c>
      <c r="G77" s="3">
        <v>294</v>
      </c>
      <c r="H77" s="4">
        <v>1227</v>
      </c>
      <c r="I77" s="3">
        <v>589</v>
      </c>
      <c r="J77" s="3">
        <v>638</v>
      </c>
      <c r="K77" s="15">
        <v>501</v>
      </c>
      <c r="L77" s="17">
        <f t="shared" si="4"/>
        <v>40.831295843520785</v>
      </c>
      <c r="M77" s="17">
        <v>5</v>
      </c>
      <c r="N77" s="17">
        <f t="shared" si="5"/>
        <v>0.40749796251018744</v>
      </c>
      <c r="O77" s="17">
        <v>202</v>
      </c>
      <c r="P77" s="17"/>
      <c r="Q77" s="22"/>
      <c r="R77" s="96">
        <v>43877</v>
      </c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</row>
    <row r="78" spans="1:31" x14ac:dyDescent="0.25">
      <c r="A78" s="1" t="s">
        <v>0</v>
      </c>
      <c r="B78" s="1" t="s">
        <v>1206</v>
      </c>
      <c r="C78" s="2" t="s">
        <v>1219</v>
      </c>
      <c r="D78" s="1" t="s">
        <v>1220</v>
      </c>
      <c r="E78" s="1"/>
      <c r="F78" s="3">
        <v>1266.4000000000001</v>
      </c>
      <c r="G78" s="3">
        <v>323</v>
      </c>
      <c r="H78" s="4">
        <v>1456</v>
      </c>
      <c r="I78" s="3">
        <v>686</v>
      </c>
      <c r="J78" s="3">
        <v>770</v>
      </c>
      <c r="K78" s="15">
        <v>331</v>
      </c>
      <c r="L78" s="17">
        <f t="shared" si="4"/>
        <v>22.733516483516482</v>
      </c>
      <c r="M78" s="17">
        <v>3</v>
      </c>
      <c r="N78" s="17">
        <f t="shared" si="5"/>
        <v>0.20604395604395606</v>
      </c>
      <c r="O78" s="17">
        <v>90</v>
      </c>
      <c r="P78" s="17"/>
      <c r="Q78" s="22"/>
      <c r="R78" s="97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 spans="1:31" x14ac:dyDescent="0.25">
      <c r="A79" s="1" t="s">
        <v>0</v>
      </c>
      <c r="B79" s="1" t="s">
        <v>1206</v>
      </c>
      <c r="C79" s="2" t="s">
        <v>1219</v>
      </c>
      <c r="D79" s="1" t="s">
        <v>1221</v>
      </c>
      <c r="E79" s="1"/>
      <c r="F79" s="3">
        <v>333.73</v>
      </c>
      <c r="G79" s="3">
        <v>22</v>
      </c>
      <c r="H79" s="4">
        <v>107</v>
      </c>
      <c r="I79" s="3">
        <v>60</v>
      </c>
      <c r="J79" s="3">
        <v>47</v>
      </c>
      <c r="K79" s="15">
        <v>0</v>
      </c>
      <c r="L79" s="17">
        <f t="shared" si="4"/>
        <v>0</v>
      </c>
      <c r="M79" s="17">
        <v>0</v>
      </c>
      <c r="N79" s="17">
        <f t="shared" si="5"/>
        <v>0</v>
      </c>
      <c r="O79" s="17">
        <v>53</v>
      </c>
      <c r="P79" s="17"/>
      <c r="Q79" s="22" t="s">
        <v>1348</v>
      </c>
      <c r="R79" s="96">
        <v>43676</v>
      </c>
      <c r="S79" s="114">
        <v>143.94999999999999</v>
      </c>
      <c r="T79" s="22"/>
      <c r="U79" s="22" t="s">
        <v>1348</v>
      </c>
      <c r="V79" s="22" t="s">
        <v>1348</v>
      </c>
      <c r="W79" s="22" t="s">
        <v>1348</v>
      </c>
      <c r="X79" s="22"/>
      <c r="Y79" s="22"/>
      <c r="Z79" s="22"/>
      <c r="AA79" s="22"/>
      <c r="AB79" s="22"/>
      <c r="AC79" s="22"/>
      <c r="AD79" s="22"/>
      <c r="AE79" s="22"/>
    </row>
  </sheetData>
  <mergeCells count="3">
    <mergeCell ref="K2:L2"/>
    <mergeCell ref="M2:N2"/>
    <mergeCell ref="AD2:A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DESURI </vt:lpstr>
      <vt:lpstr>BALI </vt:lpstr>
      <vt:lpstr>JAITARAN </vt:lpstr>
      <vt:lpstr>MARWAR JUNCTION </vt:lpstr>
      <vt:lpstr>PALI </vt:lpstr>
      <vt:lpstr>RAIPUR </vt:lpstr>
      <vt:lpstr>ROHAT </vt:lpstr>
      <vt:lpstr>SOJAT</vt:lpstr>
      <vt:lpstr>SUMERPUR </vt:lpstr>
      <vt:lpstr>RANI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JODHPUR</dc:creator>
  <cp:lastModifiedBy>fes</cp:lastModifiedBy>
  <dcterms:created xsi:type="dcterms:W3CDTF">2026-10-12T11:10:32Z</dcterms:created>
  <dcterms:modified xsi:type="dcterms:W3CDTF">2026-10-25T11:13:28Z</dcterms:modified>
</cp:coreProperties>
</file>