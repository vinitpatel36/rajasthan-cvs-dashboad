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AU" sheetId="1" state="visible" r:id="rId2"/>
    <sheet name="BALESAR" sheetId="2" state="visible" r:id="rId3"/>
    <sheet name="BAAP" sheetId="3" state="visible" r:id="rId4"/>
    <sheet name="BAPINI" sheetId="4" state="visible" r:id="rId5"/>
    <sheet name="BHOPALGARH" sheetId="5" state="visible" r:id="rId6"/>
    <sheet name="BILARA" sheetId="6" state="visible" r:id="rId7"/>
    <sheet name="CHAMU" sheetId="7" state="visible" r:id="rId8"/>
    <sheet name="DECHU" sheetId="8" state="visible" r:id="rId9"/>
    <sheet name="DHAWA" sheetId="9" state="visible" r:id="rId10"/>
    <sheet name="GHANTIYALI" sheetId="10" state="visible" r:id="rId11"/>
    <sheet name="KERU" sheetId="11" state="visible" r:id="rId12"/>
    <sheet name="LOHAWAT" sheetId="12" state="visible" r:id="rId13"/>
    <sheet name="LUNI" sheetId="13" state="visible" r:id="rId14"/>
    <sheet name="MANDOR" sheetId="14" state="visible" r:id="rId15"/>
    <sheet name="OSIAN" sheetId="15" state="visible" r:id="rId16"/>
    <sheet name="PEEPAD SAHAR" sheetId="16" state="visible" r:id="rId17"/>
    <sheet name="PHALODI" sheetId="17" state="visible" r:id="rId18"/>
    <sheet name="SEKHALA" sheetId="18" state="visible" r:id="rId19"/>
    <sheet name="BAWADI" sheetId="19" state="visible" r:id="rId20"/>
    <sheet name="TINWARI" sheetId="20" state="visible" r:id="rId21"/>
    <sheet name="SHERGARH " sheetId="21" state="visible" r:id="rId22"/>
  </sheets>
  <definedNames>
    <definedName function="false" hidden="true" localSheetId="3" name="_xlnm._FilterDatabase" vbProcedure="false">BAPINI!$A$2:$AE$65</definedName>
    <definedName function="false" hidden="true" localSheetId="18" name="_xlnm._FilterDatabase" vbProcedure="false">BAWADI!$A$2:$AH$134</definedName>
    <definedName function="false" hidden="false" localSheetId="0" name="_xlnm._FilterDatabase" vbProcedure="false">AAU!$A$2:$AF$2</definedName>
    <definedName function="false" hidden="false" localSheetId="1" name="_xlnm._FilterDatabase" vbProcedure="false">BALESAR!$A$1:$AF$121</definedName>
    <definedName function="false" hidden="false" localSheetId="4" name="_xlnm._FilterDatabase" vbProcedure="false">BHOPALGARH!$A$2:$AE$93</definedName>
    <definedName function="false" hidden="false" localSheetId="5" name="_xlnm._FilterDatabase" vbProcedure="false">BILARA!$A$2:$AF$114</definedName>
    <definedName function="false" hidden="false" localSheetId="6" name="_xlnm._FilterDatabase" vbProcedure="false">CHAMU!$A$2:$AF$102</definedName>
    <definedName function="false" hidden="false" localSheetId="7" name="_xlnm._FilterDatabase" vbProcedure="false">DECHU!$A$2:$AF$154</definedName>
    <definedName function="false" hidden="false" localSheetId="8" name="_xlnm._FilterDatabase" vbProcedure="false">DHAWA!$A$2:$AE$112</definedName>
    <definedName function="false" hidden="false" localSheetId="9" name="_xlnm._FilterDatabase" vbProcedure="false">GHANTIYALI!$A$2:$AF$97</definedName>
    <definedName function="false" hidden="false" localSheetId="10" name="_xlnm._FilterDatabase" vbProcedure="false">KERU!$A$1:$BA$77</definedName>
    <definedName function="false" hidden="false" localSheetId="11" name="_xlnm._FilterDatabase" vbProcedure="false">LOHAWAT!$A$1:$AV$133</definedName>
    <definedName function="false" hidden="false" localSheetId="12" name="_xlnm._FilterDatabase" vbProcedure="false">LUNI!$A$2:$AE$135</definedName>
    <definedName function="false" hidden="false" localSheetId="13" name="_xlnm._FilterDatabase" vbProcedure="false">MANDOR!$A$2:$AF$72</definedName>
    <definedName function="false" hidden="false" localSheetId="14" name="_xlnm._FilterDatabase" vbProcedure="false">OSIAN!$A$2:$AK$136</definedName>
    <definedName function="false" hidden="false" localSheetId="15" name="_xlnm._FilterDatabase" vbProcedure="false">'PEEPAD SAHAR'!$A$2:$AE$7</definedName>
    <definedName function="false" hidden="false" localSheetId="16" name="_xlnm._FilterDatabase" vbProcedure="false">PHALODI!$A$2:$AE$107</definedName>
    <definedName function="false" hidden="false" localSheetId="17" name="_xlnm._FilterDatabase" vbProcedure="false">SEKHALA!$A$2:$AE$88</definedName>
    <definedName function="false" hidden="false" localSheetId="19" name="_xlnm._FilterDatabase" vbProcedure="false">TINWARI!$A$2:$AF$96</definedName>
    <definedName function="false" hidden="false" localSheetId="20" name="_xlnm._FilterDatabase" vbProcedure="false">'SHERGARH '!$A$2:$xdf$98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T24" authorId="0">
      <text>
        <r>
          <rPr>
            <sz val="11"/>
            <color rgb="FF000000"/>
            <rFont val="Calibri"/>
            <family val="2"/>
            <charset val="1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ORAN 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T6" authorId="0">
      <text>
        <r>
          <rPr>
            <sz val="11"/>
            <color rgb="FF000000"/>
            <rFont val="Calibri"/>
            <family val="2"/>
            <charset val="1"/>
          </rPr>
          <t xml:space="preserve">Dell:
</t>
        </r>
        <r>
          <rPr>
            <sz val="9"/>
            <color rgb="FF000000"/>
            <rFont val="Tahoma"/>
            <family val="2"/>
            <charset val="1"/>
          </rPr>
          <t xml:space="preserve">NADI &amp; AGOR</t>
        </r>
      </text>
    </comment>
  </commentList>
</comments>
</file>

<file path=xl/sharedStrings.xml><?xml version="1.0" encoding="utf-8"?>
<sst xmlns="http://schemas.openxmlformats.org/spreadsheetml/2006/main" count="15593" uniqueCount="5112">
  <si>
    <t xml:space="preserve">P1/L1</t>
  </si>
  <si>
    <t xml:space="preserve">P1/L2</t>
  </si>
  <si>
    <t xml:space="preserve">P2/L2</t>
  </si>
  <si>
    <t xml:space="preserve">P3/L3</t>
  </si>
  <si>
    <t xml:space="preserve">District</t>
  </si>
  <si>
    <t xml:space="preserve">Block</t>
  </si>
  <si>
    <t xml:space="preserve">Panchayat</t>
  </si>
  <si>
    <t xml:space="preserve">Village</t>
  </si>
  <si>
    <t xml:space="preserve">CODE11</t>
  </si>
  <si>
    <t xml:space="preserve">Total Geographical Area</t>
  </si>
  <si>
    <t xml:space="preserve">Total Households</t>
  </si>
  <si>
    <t xml:space="preserve">Total Population</t>
  </si>
  <si>
    <t xml:space="preserve">Total male</t>
  </si>
  <si>
    <t xml:space="preserve">Total Female</t>
  </si>
  <si>
    <t xml:space="preserve">Total SC Population</t>
  </si>
  <si>
    <t xml:space="preserve">Total ST Population</t>
  </si>
  <si>
    <t xml:space="preserve">Permanent Pasture &amp; other Grazing Land Area</t>
  </si>
  <si>
    <t xml:space="preserve">Potential CFRR Area</t>
  </si>
  <si>
    <t xml:space="preserve">Resolution for CVS formation/ reorganisation</t>
  </si>
  <si>
    <t xml:space="preserve">CVS formed/ reorganised</t>
  </si>
  <si>
    <t xml:space="preserve">Application by CVS for Pastureland recognition (Resolution)</t>
  </si>
  <si>
    <t xml:space="preserve">Recognition of VI &amp; Tenure over Pasture land under 170 (1) (Sahmati Patra) </t>
  </si>
  <si>
    <t xml:space="preserve">Entry of Pasture land in Panchayat asset register</t>
  </si>
  <si>
    <t xml:space="preserve">Village specific bylaws for Pasture land</t>
  </si>
  <si>
    <t xml:space="preserve">Action taken for demarcation of Pasture land</t>
  </si>
  <si>
    <t xml:space="preserve">Action taken for removal of enchrochment of Pasture land</t>
  </si>
  <si>
    <t xml:space="preserve">Removal of encrochment from Pasture Land</t>
  </si>
  <si>
    <t xml:space="preserve">Ecorestoration Plan of Pasture land </t>
  </si>
  <si>
    <t xml:space="preserve">Ecorestoration work  integrated VBGMRG /VPGP /GPDP  </t>
  </si>
  <si>
    <t xml:space="preserve">Work done under VBGRAMG/ other Govt schemes</t>
  </si>
  <si>
    <t xml:space="preserve">Activities narration of work done under VBGRAMG/ Govt schemes </t>
  </si>
  <si>
    <t xml:space="preserve">GPS Co-ordinates</t>
  </si>
  <si>
    <t xml:space="preserve">Year </t>
  </si>
  <si>
    <t xml:space="preserve">No.</t>
  </si>
  <si>
    <t xml:space="preserve">%</t>
  </si>
  <si>
    <t xml:space="preserve">Hac</t>
  </si>
  <si>
    <t xml:space="preserve">Y/N</t>
  </si>
  <si>
    <t xml:space="preserve">Month/Year</t>
  </si>
  <si>
    <t xml:space="preserve">Ha</t>
  </si>
  <si>
    <t xml:space="preserve">Narration</t>
  </si>
  <si>
    <t xml:space="preserve">Latitude</t>
  </si>
  <si>
    <t xml:space="preserve">Longitude</t>
  </si>
  <si>
    <t xml:space="preserve">JODHPUR</t>
  </si>
  <si>
    <t xml:space="preserve">AAU</t>
  </si>
  <si>
    <t xml:space="preserve">Aau</t>
  </si>
  <si>
    <t xml:space="preserve">0811300567084306</t>
  </si>
  <si>
    <t xml:space="preserve">BARSINGON KA BAS</t>
  </si>
  <si>
    <t xml:space="preserve">Barsingon Ka Bas</t>
  </si>
  <si>
    <t xml:space="preserve">0811300567084320</t>
  </si>
  <si>
    <t xml:space="preserve">Y</t>
  </si>
  <si>
    <t xml:space="preserve">YES</t>
  </si>
  <si>
    <t xml:space="preserve">khasra no. 1884 me chaaragaha vikas karya</t>
  </si>
  <si>
    <t xml:space="preserve">2025-26</t>
  </si>
  <si>
    <t xml:space="preserve">Pabu Nagar</t>
  </si>
  <si>
    <t xml:space="preserve">0811300567084324</t>
  </si>
  <si>
    <t xml:space="preserve">bhomyaji talab khudai karya</t>
  </si>
  <si>
    <t xml:space="preserve">CHADI</t>
  </si>
  <si>
    <t xml:space="preserve">Chadi</t>
  </si>
  <si>
    <t xml:space="preserve">0811300567084290</t>
  </si>
  <si>
    <t xml:space="preserve">kh.no.1990 me charhagha vikas karye</t>
  </si>
  <si>
    <t xml:space="preserve">5159/pitra nadi Desilting karye</t>
  </si>
  <si>
    <t xml:space="preserve">Maghasar</t>
  </si>
  <si>
    <t xml:space="preserve">0811300567084291</t>
  </si>
  <si>
    <t xml:space="preserve">Maghasar oran me charhagha vikas karye</t>
  </si>
  <si>
    <t xml:space="preserve">Ramdeopura</t>
  </si>
  <si>
    <t xml:space="preserve">0811300567084294</t>
  </si>
  <si>
    <t xml:space="preserve">DENOK</t>
  </si>
  <si>
    <t xml:space="preserve">Denok</t>
  </si>
  <si>
    <t xml:space="preserve">0811300567084327</t>
  </si>
  <si>
    <t xml:space="preserve">KHASRA NOMBER 1015 ME MEDBANDI KARYA</t>
  </si>
  <si>
    <t xml:space="preserve">y</t>
  </si>
  <si>
    <t xml:space="preserve">खसरा न 261 व 271 में मेडबंदी कार्य</t>
  </si>
  <si>
    <t xml:space="preserve">पाबुसर ओरण में मेंडबंदी विकास कार्य</t>
  </si>
  <si>
    <t xml:space="preserve">Vishwakarma Nagar Denok</t>
  </si>
  <si>
    <t xml:space="preserve">0811300567084325</t>
  </si>
  <si>
    <t xml:space="preserve">GORCHIYA KA BERA</t>
  </si>
  <si>
    <t xml:space="preserve">Gorchiya Ka Bera</t>
  </si>
  <si>
    <t xml:space="preserve">0811300567084312</t>
  </si>
  <si>
    <t xml:space="preserve">Dudi Nagar @ Bhakti Nagar</t>
  </si>
  <si>
    <t xml:space="preserve">0811300567084310</t>
  </si>
  <si>
    <t xml:space="preserve">Nokhra Patawatan</t>
  </si>
  <si>
    <t xml:space="preserve">0811300567084305</t>
  </si>
  <si>
    <t xml:space="preserve">Bhomiyaji nadi khudai &amp; Badhai kary</t>
  </si>
  <si>
    <t xml:space="preserve">Govind Nagar</t>
  </si>
  <si>
    <t xml:space="preserve">0811300567084286</t>
  </si>
  <si>
    <t xml:space="preserve">Keshav Nagar</t>
  </si>
  <si>
    <t xml:space="preserve">0811300567084287</t>
  </si>
  <si>
    <t xml:space="preserve">Ganwai Nadi Utari Bhag khudai &amp; Badhai kary</t>
  </si>
  <si>
    <t xml:space="preserve">Deva nadi khudai kary</t>
  </si>
  <si>
    <t xml:space="preserve">0811300567084285</t>
  </si>
  <si>
    <t xml:space="preserve">Hazi Sagar</t>
  </si>
  <si>
    <t xml:space="preserve">0811300567084308</t>
  </si>
  <si>
    <t xml:space="preserve">खसरा नंबर 868 गोचर भूमि में मेडबन्दी निर्माण</t>
  </si>
  <si>
    <t xml:space="preserve">shera nadi khudai kary</t>
  </si>
  <si>
    <t xml:space="preserve">Khasra No.1231/9 Me Medbandi Nirman Karya</t>
  </si>
  <si>
    <t xml:space="preserve">खसरा नंबर 1231/47 गोचर भूमि में मेडबन्दी निर्माण</t>
  </si>
  <si>
    <t xml:space="preserve">Sri Ram Deo Nagar Aau</t>
  </si>
  <si>
    <t xml:space="preserve">0811300567084307</t>
  </si>
  <si>
    <t xml:space="preserve">INDON KA BAS</t>
  </si>
  <si>
    <t xml:space="preserve">Indon Ka Bas</t>
  </si>
  <si>
    <t xml:space="preserve">0811300567084323</t>
  </si>
  <si>
    <t xml:space="preserve">ख. न. 1163 में मेडबन्दी निर्माण कार्य</t>
  </si>
  <si>
    <t xml:space="preserve">ख. न. 1423 में मेडबन्दी निर्माण कार्य</t>
  </si>
  <si>
    <t xml:space="preserve">lakholai nadi purvi disha ki khudai v channel nirman karya</t>
  </si>
  <si>
    <t xml:space="preserve">Ramnagar Denok</t>
  </si>
  <si>
    <t xml:space="preserve">0811300567084322</t>
  </si>
  <si>
    <t xml:space="preserve">ISHRU</t>
  </si>
  <si>
    <t xml:space="preserve">Ishru</t>
  </si>
  <si>
    <t xml:space="preserve">0811300567084315</t>
  </si>
  <si>
    <t xml:space="preserve">Karni Nagar</t>
  </si>
  <si>
    <t xml:space="preserve">0811300567084314</t>
  </si>
  <si>
    <t xml:space="preserve">Santok Nagar</t>
  </si>
  <si>
    <t xml:space="preserve">0811300567084313</t>
  </si>
  <si>
    <t xml:space="preserve">KERLA</t>
  </si>
  <si>
    <t xml:space="preserve">Kerla</t>
  </si>
  <si>
    <t xml:space="preserve">0811300567084318</t>
  </si>
  <si>
    <t xml:space="preserve">KHASHRA NO 5 ME MED BABDI NIRMAN KARY</t>
  </si>
  <si>
    <t xml:space="preserve">khasra no 5 me chaaragaha vikas karya</t>
  </si>
  <si>
    <t xml:space="preserve">Dedolai nadi ke pas medbandi nirman kary khasara number 1</t>
  </si>
  <si>
    <t xml:space="preserve">kerla nada pashicham disha khudai karya</t>
  </si>
  <si>
    <t xml:space="preserve">Shera Nada Khudai Karya Kerla</t>
  </si>
  <si>
    <t xml:space="preserve">Tejasar</t>
  </si>
  <si>
    <t xml:space="preserve">0811300567084321</t>
  </si>
  <si>
    <t xml:space="preserve">KHASHRA NO 2042 ME MEDBANI VIKAS KARY</t>
  </si>
  <si>
    <t xml:space="preserve">KHARIYA</t>
  </si>
  <si>
    <t xml:space="preserve">Khariya</t>
  </si>
  <si>
    <t xml:space="preserve">0811300567084278</t>
  </si>
  <si>
    <t xml:space="preserve">Chauhano Ka Bera</t>
  </si>
  <si>
    <t xml:space="preserve">0811300567084282</t>
  </si>
  <si>
    <t xml:space="preserve">Vishnu Nagar</t>
  </si>
  <si>
    <t xml:space="preserve">0811300567084277</t>
  </si>
  <si>
    <t xml:space="preserve">Moti Nagar</t>
  </si>
  <si>
    <t xml:space="preserve">0811300567084280</t>
  </si>
  <si>
    <t xml:space="preserve">भेरू सागर नाडी खुदाई व बधाई कार्य खारिया</t>
  </si>
  <si>
    <t xml:space="preserve">Pratap Nagar</t>
  </si>
  <si>
    <t xml:space="preserve">0811300567084279</t>
  </si>
  <si>
    <t xml:space="preserve">karan talab khudai v vistar kareye</t>
  </si>
  <si>
    <t xml:space="preserve">MORIYA</t>
  </si>
  <si>
    <t xml:space="preserve">Moriya</t>
  </si>
  <si>
    <t xml:space="preserve">0811300567084244</t>
  </si>
  <si>
    <t xml:space="preserve">खसरा न 224 में चारागाह विकास कार्य मोरिया</t>
  </si>
  <si>
    <t xml:space="preserve">ख न 213 में मेडबंदी निर्माण कार्य</t>
  </si>
  <si>
    <t xml:space="preserve">ख न 417/247 में मेडबंदी निर्माण कार्य</t>
  </si>
  <si>
    <t xml:space="preserve">KHASAR NUMBER 271 ME MEDBANDI NIRMAN KARY</t>
  </si>
  <si>
    <t xml:space="preserve">KHASAR NUMBER 224 ME MEDBANDI NIRMAN KARY</t>
  </si>
  <si>
    <t xml:space="preserve">KHASAR NUMBER 225 ME MEDBANDI NIRMAN KARY</t>
  </si>
  <si>
    <t xml:space="preserve">Shiv Nagar</t>
  </si>
  <si>
    <t xml:space="preserve">0811300567084246</t>
  </si>
  <si>
    <t xml:space="preserve">Gaiya Nagar</t>
  </si>
  <si>
    <t xml:space="preserve">0811300567084247</t>
  </si>
  <si>
    <t xml:space="preserve">MUNJASAR</t>
  </si>
  <si>
    <t xml:space="preserve">Munjasar</t>
  </si>
  <si>
    <t xml:space="preserve">0811300567084331</t>
  </si>
  <si>
    <t xml:space="preserve">Yes</t>
  </si>
  <si>
    <t xml:space="preserve">ख. न. 306/29 मे मेड़बंदी का निर्माण कार्य</t>
  </si>
  <si>
    <t xml:space="preserve">ख. न. 41/3 मे मेड़बंदी का निर्माण कार्य, मुंजासर</t>
  </si>
  <si>
    <t xml:space="preserve">खेजड़ली नाड़ी खुदाई कार्य, मुंजसार</t>
  </si>
  <si>
    <t xml:space="preserve">जादूखा नाड़ी खुदाई कार्य, मुंजसार</t>
  </si>
  <si>
    <t xml:space="preserve">आंवलाई नाड़ी खुदाई कार्य, मुंजसार</t>
  </si>
  <si>
    <t xml:space="preserve">सुरकी नाडी खुदाई कार्य मुन्जासर</t>
  </si>
  <si>
    <t xml:space="preserve">332/330 मे पोधरोपण व चारागाह विकास कार्य, मुंजासर</t>
  </si>
  <si>
    <t xml:space="preserve">0811300567084330</t>
  </si>
  <si>
    <t xml:space="preserve">Manju Nagar</t>
  </si>
  <si>
    <t xml:space="preserve">0811300567084329</t>
  </si>
  <si>
    <t xml:space="preserve">गोगा नाडी खुदाई कार्य</t>
  </si>
  <si>
    <t xml:space="preserve">Bhom Nagar</t>
  </si>
  <si>
    <t xml:space="preserve">0811300567084328</t>
  </si>
  <si>
    <t xml:space="preserve">Thoriyo Ka Bera</t>
  </si>
  <si>
    <t xml:space="preserve">0811300567084245</t>
  </si>
  <si>
    <t xml:space="preserve">PALEENA</t>
  </si>
  <si>
    <t xml:space="preserve">Paleena</t>
  </si>
  <si>
    <t xml:space="preserve">0811300567084183</t>
  </si>
  <si>
    <t xml:space="preserve">ख न 312 मे पुनमचन्दर के घर के पास सार्वजनिक व़ चारागाह विकास कार्य</t>
  </si>
  <si>
    <t xml:space="preserve">रामदेवजी के मंदिर के पास वृक्षारोपण व चारागाह विकास कार्य पलीना</t>
  </si>
  <si>
    <t xml:space="preserve">ख.न. 367 में वृक्षारोपण व चारागाह विकास कार्य पलीना</t>
  </si>
  <si>
    <t xml:space="preserve">Rugnathpura</t>
  </si>
  <si>
    <t xml:space="preserve">0811300567084182</t>
  </si>
  <si>
    <t xml:space="preserve">Gaiyo Ki Dhani</t>
  </si>
  <si>
    <t xml:space="preserve">0811300567084181</t>
  </si>
  <si>
    <t xml:space="preserve">Baya Nagar</t>
  </si>
  <si>
    <t xml:space="preserve">0811300567084185</t>
  </si>
  <si>
    <t xml:space="preserve">Saathri Ki Dhaniya</t>
  </si>
  <si>
    <t xml:space="preserve">0811300567084186</t>
  </si>
  <si>
    <t xml:space="preserve">Devdo Ki Dhani</t>
  </si>
  <si>
    <t xml:space="preserve">0811300567084184</t>
  </si>
  <si>
    <t xml:space="preserve">RIDMALSAR</t>
  </si>
  <si>
    <t xml:space="preserve">Ridmalsar</t>
  </si>
  <si>
    <t xml:space="preserve">0811300567084284</t>
  </si>
  <si>
    <t xml:space="preserve">SEKHAWATO KI DHANI NADI KHUDAI KARY</t>
  </si>
  <si>
    <t xml:space="preserve">HIRA NADA KHUDAI KARY</t>
  </si>
  <si>
    <t xml:space="preserve">AAYALI NADI KHUDAI KARY</t>
  </si>
  <si>
    <t xml:space="preserve">RAMDEV NADI KHUDAI KARY</t>
  </si>
  <si>
    <t xml:space="preserve">Deep Nagar</t>
  </si>
  <si>
    <t xml:space="preserve">0811300567084289</t>
  </si>
  <si>
    <t xml:space="preserve">Dev Nagar</t>
  </si>
  <si>
    <t xml:space="preserve">0811300567084288</t>
  </si>
  <si>
    <t xml:space="preserve">Gosai Ji Ka Dhora</t>
  </si>
  <si>
    <t xml:space="preserve">0811300567084283</t>
  </si>
  <si>
    <t xml:space="preserve">Manasar</t>
  </si>
  <si>
    <t xml:space="preserve">0811300567084281</t>
  </si>
  <si>
    <t xml:space="preserve">SARANPURA</t>
  </si>
  <si>
    <t xml:space="preserve">Saranpur Aau</t>
  </si>
  <si>
    <t xml:space="preserve">0811300567084309</t>
  </si>
  <si>
    <t xml:space="preserve">Tenna Nadi</t>
  </si>
  <si>
    <t xml:space="preserve">0811300567084311</t>
  </si>
  <si>
    <t xml:space="preserve"> टेणा नाडी गाद निकासी व खुदाई कार्य</t>
  </si>
  <si>
    <t xml:space="preserve">SHREE LAXMANNAGAR</t>
  </si>
  <si>
    <t xml:space="preserve">Sri Lachhamannagar</t>
  </si>
  <si>
    <t xml:space="preserve">0811300567084299</t>
  </si>
  <si>
    <t xml:space="preserve">Samrathalpura</t>
  </si>
  <si>
    <t xml:space="preserve">0811300567084298</t>
  </si>
  <si>
    <t xml:space="preserve">Gosaipura</t>
  </si>
  <si>
    <t xml:space="preserve">0811300567084297</t>
  </si>
  <si>
    <t xml:space="preserve">Siyagnagar</t>
  </si>
  <si>
    <t xml:space="preserve">0811300567084300</t>
  </si>
  <si>
    <t xml:space="preserve">Vishnupura</t>
  </si>
  <si>
    <t xml:space="preserve">0811300567084301</t>
  </si>
  <si>
    <t xml:space="preserve">KHASARA NUMBER 410 ME BHUMI VIKAS EVM MEDBANDI KARY</t>
  </si>
  <si>
    <t xml:space="preserve">VISHANU NADI KHUDAI V VISTAR KARY</t>
  </si>
  <si>
    <t xml:space="preserve">SHRI KRISHANNAGAR</t>
  </si>
  <si>
    <t xml:space="preserve">Krishnanagar</t>
  </si>
  <si>
    <t xml:space="preserve">0811300567084293</t>
  </si>
  <si>
    <t xml:space="preserve">SHIYALA NADA PURV DISHA KHUDAI V BANDHAI KARY</t>
  </si>
  <si>
    <t xml:space="preserve">shiv nada khudai kary</t>
  </si>
  <si>
    <t xml:space="preserve">SHIV NADI PACHIM DISHA ME KHUDAI V BANDHAI KARY</t>
  </si>
  <si>
    <t xml:space="preserve">PARVTI NADI KHUDAI KARY</t>
  </si>
  <si>
    <t xml:space="preserve">Shri Ramnagar</t>
  </si>
  <si>
    <t xml:space="preserve">0811300567084292</t>
  </si>
  <si>
    <t xml:space="preserve">SIYOLNAGAR</t>
  </si>
  <si>
    <t xml:space="preserve">Siyolnagar</t>
  </si>
  <si>
    <t xml:space="preserve">0811300567084296</t>
  </si>
  <si>
    <t xml:space="preserve">ratdi oran m charhagha vikas karye</t>
  </si>
  <si>
    <t xml:space="preserve">Devi Nagar</t>
  </si>
  <si>
    <t xml:space="preserve">0811300567084295</t>
  </si>
  <si>
    <t xml:space="preserve">Suwap</t>
  </si>
  <si>
    <t xml:space="preserve">0811300567084317</t>
  </si>
  <si>
    <t xml:space="preserve">KARNI SAGAR TALAB KHUDAI V BANDHAI KARYA</t>
  </si>
  <si>
    <t xml:space="preserve">Fateh Nagar</t>
  </si>
  <si>
    <t xml:space="preserve">0811300567084316</t>
  </si>
  <si>
    <t xml:space="preserve">jesolai nadi khudai karya fathenagar</t>
  </si>
  <si>
    <t xml:space="preserve">Murlaai nadi khudai kary</t>
  </si>
  <si>
    <t xml:space="preserve">KAKRALA NADA KE PASHIM DISHA ME KHUDAI KARYA</t>
  </si>
  <si>
    <t xml:space="preserve">Udainagar</t>
  </si>
  <si>
    <t xml:space="preserve">0811300567084326</t>
  </si>
  <si>
    <t xml:space="preserve">खसरा न.236 गे.मु.ओरण की मेडबंदी निर्माण कार्य</t>
  </si>
  <si>
    <t xml:space="preserve">udaa nadi khudai kary</t>
  </si>
  <si>
    <t xml:space="preserve">GOVA NADI KE PURAV DISHA ME KHUDAI KRYA</t>
  </si>
  <si>
    <t xml:space="preserve">Jatisara</t>
  </si>
  <si>
    <t xml:space="preserve">0811300567084319</t>
  </si>
  <si>
    <t xml:space="preserve">BALESAR</t>
  </si>
  <si>
    <t xml:space="preserve">AGOLAI</t>
  </si>
  <si>
    <t xml:space="preserve">Agolai</t>
  </si>
  <si>
    <t xml:space="preserve">0811300571085527</t>
  </si>
  <si>
    <t xml:space="preserve">lal nada wala Charagah</t>
  </si>
  <si>
    <t xml:space="preserve">Teekamgarh</t>
  </si>
  <si>
    <t xml:space="preserve">0811300571085503</t>
  </si>
  <si>
    <t xml:space="preserve">SAMSHANGAT KE PASS NADI NIRMAN</t>
  </si>
  <si>
    <t xml:space="preserve">BALESAR DURGAWATA</t>
  </si>
  <si>
    <t xml:space="preserve">Balesar Durgawata</t>
  </si>
  <si>
    <t xml:space="preserve">0811300571085379</t>
  </si>
  <si>
    <t xml:space="preserve">BALESAR SATTA</t>
  </si>
  <si>
    <t xml:space="preserve">Balesar Satta</t>
  </si>
  <si>
    <t xml:space="preserve">0811300571085483</t>
  </si>
  <si>
    <t xml:space="preserve">BASTAWA</t>
  </si>
  <si>
    <t xml:space="preserve">Bastawa</t>
  </si>
  <si>
    <t xml:space="preserve">0811300571085337</t>
  </si>
  <si>
    <t xml:space="preserve">YES </t>
  </si>
  <si>
    <t xml:space="preserve">NAI NADI KHUDAI V BANDHAI KARYA DEVI MANDIR KE PASS BASTWA</t>
  </si>
  <si>
    <t xml:space="preserve">Navalgarh</t>
  </si>
  <si>
    <t xml:space="preserve">0811300571085336</t>
  </si>
  <si>
    <t xml:space="preserve">CHARAGAH NIRMAN KARYA NAVALGARH</t>
  </si>
  <si>
    <t xml:space="preserve">Bastawa Mataji</t>
  </si>
  <si>
    <t xml:space="preserve">0811300571085338</t>
  </si>
  <si>
    <t xml:space="preserve">अमान सागर खुदाई व बंधाई कार्य </t>
  </si>
  <si>
    <t xml:space="preserve">Sujan Nagar</t>
  </si>
  <si>
    <t xml:space="preserve">0811300571085324</t>
  </si>
  <si>
    <t xml:space="preserve">NADI KHUDAI KARY</t>
  </si>
  <si>
    <t xml:space="preserve">BAWARLI</t>
  </si>
  <si>
    <t xml:space="preserve">Bawarli</t>
  </si>
  <si>
    <t xml:space="preserve">0811300571085518</t>
  </si>
  <si>
    <t xml:space="preserve">SINALI NADI KHUDAI KARY  </t>
  </si>
  <si>
    <t xml:space="preserve">Ajeet Nagar</t>
  </si>
  <si>
    <t xml:space="preserve">0811300571085519</t>
  </si>
  <si>
    <t xml:space="preserve">Lunaopura</t>
  </si>
  <si>
    <t xml:space="preserve">0811300571085515</t>
  </si>
  <si>
    <t xml:space="preserve">BELWA KHATRIYA</t>
  </si>
  <si>
    <t xml:space="preserve">Belwa Khatriya</t>
  </si>
  <si>
    <t xml:space="preserve">0811300571085373</t>
  </si>
  <si>
    <t xml:space="preserve">BELWA RANAJI</t>
  </si>
  <si>
    <t xml:space="preserve">Belwa Ranaji</t>
  </si>
  <si>
    <t xml:space="preserve">0811300571085322</t>
  </si>
  <si>
    <t xml:space="preserve">KHASARA NO. 1643 CHARAGARH VIKAS 1 HKT</t>
  </si>
  <si>
    <t xml:space="preserve">Hemayant Nagar</t>
  </si>
  <si>
    <t xml:space="preserve">0811300571085320</t>
  </si>
  <si>
    <t xml:space="preserve">Chandawat Nagar</t>
  </si>
  <si>
    <t xml:space="preserve">0811300571085319</t>
  </si>
  <si>
    <t xml:space="preserve">Sangat Nagar</t>
  </si>
  <si>
    <t xml:space="preserve">0811300571085323</t>
  </si>
  <si>
    <t xml:space="preserve">BHATELAI PUROHITAN</t>
  </si>
  <si>
    <t xml:space="preserve">Bhatelai Purohitan</t>
  </si>
  <si>
    <t xml:space="preserve">0811300571085524</t>
  </si>
  <si>
    <t xml:space="preserve">Moondsar</t>
  </si>
  <si>
    <t xml:space="preserve">0811300571085523</t>
  </si>
  <si>
    <t xml:space="preserve">Bhatelai Charnan</t>
  </si>
  <si>
    <t xml:space="preserve">0811300571085522</t>
  </si>
  <si>
    <t xml:space="preserve">Tolesar Purohitan</t>
  </si>
  <si>
    <t xml:space="preserve">0811300571085521</t>
  </si>
  <si>
    <t xml:space="preserve">Bhandu Charnan</t>
  </si>
  <si>
    <t xml:space="preserve">Bhandoo Charnan</t>
  </si>
  <si>
    <t xml:space="preserve">0811300571085474</t>
  </si>
  <si>
    <t xml:space="preserve">चारागाह विकास कार्य </t>
  </si>
  <si>
    <t xml:space="preserve">Chakder</t>
  </si>
  <si>
    <t xml:space="preserve">0811300571085473</t>
  </si>
  <si>
    <t xml:space="preserve">रामदेव नाडा खुदाई कार्य</t>
  </si>
  <si>
    <t xml:space="preserve">BHANDU JATI</t>
  </si>
  <si>
    <t xml:space="preserve">Bhandoo Jati</t>
  </si>
  <si>
    <t xml:space="preserve">0811300571085476</t>
  </si>
  <si>
    <t xml:space="preserve">CHARAGAHA VIKAS KARY </t>
  </si>
  <si>
    <t xml:space="preserve">Kherajgarh</t>
  </si>
  <si>
    <t xml:space="preserve">0811300571085477</t>
  </si>
  <si>
    <t xml:space="preserve">काला भाखर नाडा गाद निकालने का कार्य</t>
  </si>
  <si>
    <t xml:space="preserve">नया नाडा खेराजगढ़ गाद निकालने का कार्य</t>
  </si>
  <si>
    <t xml:space="preserve">Karnisar</t>
  </si>
  <si>
    <t xml:space="preserve">0811300571085475</t>
  </si>
  <si>
    <t xml:space="preserve">लीनाथ नाडा खुदाई कार्य चकडेर</t>
  </si>
  <si>
    <t xml:space="preserve">BIRAI</t>
  </si>
  <si>
    <t xml:space="preserve">Birai</t>
  </si>
  <si>
    <t xml:space="preserve">0811300571085360</t>
  </si>
  <si>
    <t xml:space="preserve">Baba Ramdeo Nagar</t>
  </si>
  <si>
    <t xml:space="preserve">0811300571085361</t>
  </si>
  <si>
    <t xml:space="preserve">Hinglaj Nagar</t>
  </si>
  <si>
    <t xml:space="preserve">0811300571085362</t>
  </si>
  <si>
    <t xml:space="preserve">Motalji Ka Bas</t>
  </si>
  <si>
    <t xml:space="preserve">0811300571085359</t>
  </si>
  <si>
    <t xml:space="preserve">Dansingh Nagar</t>
  </si>
  <si>
    <t xml:space="preserve">0811300571085348</t>
  </si>
  <si>
    <t xml:space="preserve">Chanchalwa</t>
  </si>
  <si>
    <t xml:space="preserve">0811300571085356</t>
  </si>
  <si>
    <t xml:space="preserve">Islamnagar</t>
  </si>
  <si>
    <t xml:space="preserve">0811300571085357</t>
  </si>
  <si>
    <t xml:space="preserve">Rawatsar</t>
  </si>
  <si>
    <t xml:space="preserve">0811300571085358</t>
  </si>
  <si>
    <t xml:space="preserve">CHIRWAI</t>
  </si>
  <si>
    <t xml:space="preserve">Chirwai</t>
  </si>
  <si>
    <t xml:space="preserve">0811300571085332</t>
  </si>
  <si>
    <t xml:space="preserve">Paboo Nagar</t>
  </si>
  <si>
    <t xml:space="preserve">0811300571085331</t>
  </si>
  <si>
    <t xml:space="preserve">DEO NAGAR</t>
  </si>
  <si>
    <t xml:space="preserve">Deonagar</t>
  </si>
  <si>
    <t xml:space="preserve">0811300571085375</t>
  </si>
  <si>
    <t xml:space="preserve">ORAN BHUMI MEI MEDHBANDI V JHADI CUTTING KARYA</t>
  </si>
  <si>
    <t xml:space="preserve">Kerla Nagar</t>
  </si>
  <si>
    <t xml:space="preserve">0811300571085376</t>
  </si>
  <si>
    <t xml:space="preserve">Surya Nagar</t>
  </si>
  <si>
    <t xml:space="preserve">0811300571085377</t>
  </si>
  <si>
    <t xml:space="preserve">Jograj Nagar</t>
  </si>
  <si>
    <t xml:space="preserve">0811300571085378</t>
  </si>
  <si>
    <t xml:space="preserve">Devgarh</t>
  </si>
  <si>
    <t xml:space="preserve">Deogarh</t>
  </si>
  <si>
    <t xml:space="preserve">0811300571085504</t>
  </si>
  <si>
    <t xml:space="preserve">DHADI NADI KHUDAI V BANDHAI KARYA</t>
  </si>
  <si>
    <t xml:space="preserve">Rajabandh</t>
  </si>
  <si>
    <t xml:space="preserve">0811300571085347</t>
  </si>
  <si>
    <t xml:space="preserve">DISILTING OF BALI NADI (5136)</t>
  </si>
  <si>
    <t xml:space="preserve">Dabla Nagar</t>
  </si>
  <si>
    <t xml:space="preserve">0811300571085335</t>
  </si>
  <si>
    <t xml:space="preserve">केरली नाडी खुदाई व बंधाई कार्य डाबलानगर</t>
  </si>
  <si>
    <t xml:space="preserve">DHADHANIYA BHAYLA</t>
  </si>
  <si>
    <t xml:space="preserve">Dhadhaniya Bhayla</t>
  </si>
  <si>
    <t xml:space="preserve">0811300571085501</t>
  </si>
  <si>
    <t xml:space="preserve">CHARGARH VIKAS KARYA</t>
  </si>
  <si>
    <t xml:space="preserve">Godasar</t>
  </si>
  <si>
    <t xml:space="preserve">0811300571085500</t>
  </si>
  <si>
    <t xml:space="preserve">Paliwal Nagar</t>
  </si>
  <si>
    <t xml:space="preserve">0811300571085499</t>
  </si>
  <si>
    <t xml:space="preserve">जोगमाया नाडी खुदाई कार्य ढाढणिया भायला</t>
  </si>
  <si>
    <t xml:space="preserve">Narayan Nagar</t>
  </si>
  <si>
    <t xml:space="preserve">0811300571085498</t>
  </si>
  <si>
    <t xml:space="preserve">Khetasar</t>
  </si>
  <si>
    <t xml:space="preserve">0811300571085496</t>
  </si>
  <si>
    <t xml:space="preserve">0811300571085495</t>
  </si>
  <si>
    <t xml:space="preserve">DHADHANIYA SANSAN</t>
  </si>
  <si>
    <t xml:space="preserve">Dhadhaniya Sasan</t>
  </si>
  <si>
    <t xml:space="preserve">0811300571085493</t>
  </si>
  <si>
    <t xml:space="preserve">KHASARA NO. 429 KHODO KE TALAB KE PICHE V SAMSHAN KE PASS KARYA</t>
  </si>
  <si>
    <t xml:space="preserve">Hari Nagar</t>
  </si>
  <si>
    <t xml:space="preserve">0811300571085502</t>
  </si>
  <si>
    <t xml:space="preserve">Dhadhaniya Barda</t>
  </si>
  <si>
    <t xml:space="preserve">0811300571085505</t>
  </si>
  <si>
    <t xml:space="preserve">Jalam Nagar</t>
  </si>
  <si>
    <t xml:space="preserve">0811300571085492</t>
  </si>
  <si>
    <t xml:space="preserve">Doodabera</t>
  </si>
  <si>
    <t xml:space="preserve">0811300571085491</t>
  </si>
  <si>
    <t xml:space="preserve">Yes </t>
  </si>
  <si>
    <t xml:space="preserve">गोचर औरण में मदबंदी सीमांकन  कार्य</t>
  </si>
  <si>
    <t xml:space="preserve">Gudiyasar</t>
  </si>
  <si>
    <t xml:space="preserve">0811300571085497</t>
  </si>
  <si>
    <t xml:space="preserve">Harmat nagar</t>
  </si>
  <si>
    <t xml:space="preserve">0811300571085370</t>
  </si>
  <si>
    <t xml:space="preserve">DUGAR</t>
  </si>
  <si>
    <t xml:space="preserve">Dugar</t>
  </si>
  <si>
    <t xml:space="preserve">0811300571085526</t>
  </si>
  <si>
    <t xml:space="preserve">Surani</t>
  </si>
  <si>
    <t xml:space="preserve">0811300571085530</t>
  </si>
  <si>
    <t xml:space="preserve">0811300571085529</t>
  </si>
  <si>
    <t xml:space="preserve">Doodinagar</t>
  </si>
  <si>
    <t xml:space="preserve">0811300571085528</t>
  </si>
  <si>
    <t xml:space="preserve">Hanumangarh</t>
  </si>
  <si>
    <t xml:space="preserve">0811300571085525</t>
  </si>
  <si>
    <t xml:space="preserve">Gajnawas</t>
  </si>
  <si>
    <t xml:space="preserve">0811300571085516</t>
  </si>
  <si>
    <t xml:space="preserve">गलाबसिह नाडा खुदाई कार्य</t>
  </si>
  <si>
    <t xml:space="preserve">Basnimanna</t>
  </si>
  <si>
    <t xml:space="preserve">0811300571085517</t>
  </si>
  <si>
    <t xml:space="preserve">नाडा खुदाई कार्य</t>
  </si>
  <si>
    <t xml:space="preserve">GOPALSAR</t>
  </si>
  <si>
    <t xml:space="preserve">Gopalsar</t>
  </si>
  <si>
    <t xml:space="preserve">0811300571085339</t>
  </si>
  <si>
    <t xml:space="preserve">हरिओम नगर नाडी खुदाई व बंधाई कार्य</t>
  </si>
  <si>
    <t xml:space="preserve">Ramdevnagar</t>
  </si>
  <si>
    <t xml:space="preserve">0811300571085341</t>
  </si>
  <si>
    <t xml:space="preserve">MANA WALI NADI KHUDAI V BANDHAI KARYA</t>
  </si>
  <si>
    <t xml:space="preserve">Shaheed Megsingh Nagar</t>
  </si>
  <si>
    <t xml:space="preserve">0811300571085340</t>
  </si>
  <si>
    <t xml:space="preserve">JHUJHAR NADI KHUDAI AVM BANDHAI</t>
  </si>
  <si>
    <t xml:space="preserve">HARMATNAGAR</t>
  </si>
  <si>
    <t xml:space="preserve">Harmatnagar</t>
  </si>
  <si>
    <t xml:space="preserve">0811300571085494</t>
  </si>
  <si>
    <t xml:space="preserve">Bhangarh</t>
  </si>
  <si>
    <t xml:space="preserve">0811300571085508</t>
  </si>
  <si>
    <t xml:space="preserve">Mukansar</t>
  </si>
  <si>
    <t xml:space="preserve">0811300571085509</t>
  </si>
  <si>
    <t xml:space="preserve">Jiyabera</t>
  </si>
  <si>
    <t xml:space="preserve">0811300571085371</t>
  </si>
  <si>
    <t xml:space="preserve">JAITSAR</t>
  </si>
  <si>
    <t xml:space="preserve">Jetsar</t>
  </si>
  <si>
    <t xml:space="preserve">0811300571085480</t>
  </si>
  <si>
    <t xml:space="preserve">Jaitsar</t>
  </si>
  <si>
    <t xml:space="preserve">Himmat Nagar</t>
  </si>
  <si>
    <t xml:space="preserve">0811300571085485</t>
  </si>
  <si>
    <t xml:space="preserve">Jeevraj Nagar</t>
  </si>
  <si>
    <t xml:space="preserve">0811300571085486</t>
  </si>
  <si>
    <t xml:space="preserve">Saheed PepSingh nagar</t>
  </si>
  <si>
    <t xml:space="preserve">0811300571085484</t>
  </si>
  <si>
    <t xml:space="preserve">Jalandhar Nagar</t>
  </si>
  <si>
    <t xml:space="preserve">0811300571085478</t>
  </si>
  <si>
    <t xml:space="preserve">Prithviraj Nagar</t>
  </si>
  <si>
    <t xml:space="preserve">0811300571085481</t>
  </si>
  <si>
    <t xml:space="preserve">Amrit Nagar</t>
  </si>
  <si>
    <t xml:space="preserve">0811300571085479</t>
  </si>
  <si>
    <t xml:space="preserve">Ummed Nagar</t>
  </si>
  <si>
    <t xml:space="preserve">0811300571085482</t>
  </si>
  <si>
    <t xml:space="preserve">JEEYABERI</t>
  </si>
  <si>
    <t xml:space="preserve">Jeeyaberi</t>
  </si>
  <si>
    <t xml:space="preserve">0811300571085513</t>
  </si>
  <si>
    <t xml:space="preserve">Nawalsar</t>
  </si>
  <si>
    <t xml:space="preserve">0811300571085512</t>
  </si>
  <si>
    <t xml:space="preserve">Hanumanpura</t>
  </si>
  <si>
    <t xml:space="preserve">0811300571085368</t>
  </si>
  <si>
    <t xml:space="preserve">Jakharsar</t>
  </si>
  <si>
    <t xml:space="preserve">0811300571085363</t>
  </si>
  <si>
    <t xml:space="preserve">Gadroop Nagar</t>
  </si>
  <si>
    <t xml:space="preserve">0811300571085364</t>
  </si>
  <si>
    <t xml:space="preserve">Jinjinyala kalan</t>
  </si>
  <si>
    <t xml:space="preserve">Jinjinwala kalan</t>
  </si>
  <si>
    <t xml:space="preserve">0811300571085345</t>
  </si>
  <si>
    <t xml:space="preserve">नयी नाडी गवारियों की ढाणी के पास खुदाई व बंधाई कार्य</t>
  </si>
  <si>
    <t xml:space="preserve">Jinjinwala Govinda</t>
  </si>
  <si>
    <t xml:space="preserve">0811300571085365</t>
  </si>
  <si>
    <t xml:space="preserve">Gangasar</t>
  </si>
  <si>
    <t xml:space="preserve">0811300571085344</t>
  </si>
  <si>
    <t xml:space="preserve">Kanasar</t>
  </si>
  <si>
    <t xml:space="preserve">0811300571085366</t>
  </si>
  <si>
    <t xml:space="preserve"> भूमि समतलीकरण एवं पौघारोपण कार्य कानासर</t>
  </si>
  <si>
    <t xml:space="preserve">Hariom Nagar</t>
  </si>
  <si>
    <t xml:space="preserve">0811300571085343</t>
  </si>
  <si>
    <t xml:space="preserve">Chimangarh</t>
  </si>
  <si>
    <t xml:space="preserve">0811300571085346</t>
  </si>
  <si>
    <t xml:space="preserve">JUDIYA</t>
  </si>
  <si>
    <t xml:space="preserve">Judiya</t>
  </si>
  <si>
    <t xml:space="preserve">0811300571085490</t>
  </si>
  <si>
    <t xml:space="preserve">KHARIBERI</t>
  </si>
  <si>
    <t xml:space="preserve">Khari Beri</t>
  </si>
  <si>
    <t xml:space="preserve">0811300571085489</t>
  </si>
  <si>
    <t xml:space="preserve">Mehji Nagar</t>
  </si>
  <si>
    <t xml:space="preserve">0811300571085488</t>
  </si>
  <si>
    <t xml:space="preserve">Chauthpura</t>
  </si>
  <si>
    <t xml:space="preserve">0811300571085487</t>
  </si>
  <si>
    <t xml:space="preserve">KHUDIYALA</t>
  </si>
  <si>
    <t xml:space="preserve">Khudiyala</t>
  </si>
  <si>
    <t xml:space="preserve">0811300571085333</t>
  </si>
  <si>
    <t xml:space="preserve">Vijay Nagar</t>
  </si>
  <si>
    <t xml:space="preserve">0811300571085349</t>
  </si>
  <si>
    <t xml:space="preserve">KONARI</t>
  </si>
  <si>
    <t xml:space="preserve">Konari</t>
  </si>
  <si>
    <t xml:space="preserve">0811300571085514</t>
  </si>
  <si>
    <t xml:space="preserve">सार्व0 तालाब कोनरी खुदाई व बंधाई कार्य</t>
  </si>
  <si>
    <t xml:space="preserve">Hariyana</t>
  </si>
  <si>
    <t xml:space="preserve">0811300571085511</t>
  </si>
  <si>
    <t xml:space="preserve">DIPATIYA NADI KHUDAI V BANDHAI KARYA</t>
  </si>
  <si>
    <t xml:space="preserve">Tolesar Charnan</t>
  </si>
  <si>
    <t xml:space="preserve">0811300571085520</t>
  </si>
  <si>
    <t xml:space="preserve">Pema nada khudai bandhai kary</t>
  </si>
  <si>
    <t xml:space="preserve">KUI INDA</t>
  </si>
  <si>
    <t xml:space="preserve">Kui Inda</t>
  </si>
  <si>
    <t xml:space="preserve">0811300571085381</t>
  </si>
  <si>
    <t xml:space="preserve">Sati Mata Nagar</t>
  </si>
  <si>
    <t xml:space="preserve">0811300571085380</t>
  </si>
  <si>
    <t xml:space="preserve">Kui Jodha</t>
  </si>
  <si>
    <t xml:space="preserve">0811300571085382</t>
  </si>
  <si>
    <t xml:space="preserve">NIMBON KA GAON</t>
  </si>
  <si>
    <t xml:space="preserve">Nimbon Ka Gaon</t>
  </si>
  <si>
    <t xml:space="preserve">0811300571085342</t>
  </si>
  <si>
    <t xml:space="preserve">Ghariyala</t>
  </si>
  <si>
    <t xml:space="preserve">0811300571085369</t>
  </si>
  <si>
    <t xml:space="preserve">Suweri Sansan</t>
  </si>
  <si>
    <t xml:space="preserve">0811300571085367</t>
  </si>
  <si>
    <t xml:space="preserve">RAWALGARH</t>
  </si>
  <si>
    <t xml:space="preserve">Rawalgarh</t>
  </si>
  <si>
    <t xml:space="preserve">0811300571085374</t>
  </si>
  <si>
    <t xml:space="preserve">Rajgarh</t>
  </si>
  <si>
    <t xml:space="preserve">0811300571085372</t>
  </si>
  <si>
    <t xml:space="preserve">Manoharsingh Nagar</t>
  </si>
  <si>
    <t xml:space="preserve">0811300571085321</t>
  </si>
  <si>
    <t xml:space="preserve">Udaisar</t>
  </si>
  <si>
    <t xml:space="preserve">0811300571085506</t>
  </si>
  <si>
    <t xml:space="preserve">JALA NADA KHUDHA V BANDHAI KARYA</t>
  </si>
  <si>
    <t xml:space="preserve">Gokul Nagar</t>
  </si>
  <si>
    <t xml:space="preserve">0811300571085507</t>
  </si>
  <si>
    <t xml:space="preserve">Pannisar</t>
  </si>
  <si>
    <t xml:space="preserve">0811300571085510</t>
  </si>
  <si>
    <t xml:space="preserve">0811300571085334</t>
  </si>
  <si>
    <t xml:space="preserve">UTAMBAR</t>
  </si>
  <si>
    <t xml:space="preserve">Utambar</t>
  </si>
  <si>
    <t xml:space="preserve">0811300571085352</t>
  </si>
  <si>
    <t xml:space="preserve">Hanuman Nagar</t>
  </si>
  <si>
    <t xml:space="preserve">0811300571085351</t>
  </si>
  <si>
    <t xml:space="preserve">Ramnagar</t>
  </si>
  <si>
    <t xml:space="preserve">0811300571085355</t>
  </si>
  <si>
    <t xml:space="preserve">Bheroo Nagar</t>
  </si>
  <si>
    <t xml:space="preserve">0811300571085354</t>
  </si>
  <si>
    <t xml:space="preserve">Anop Singh Nagar</t>
  </si>
  <si>
    <t xml:space="preserve">0811300571085353</t>
  </si>
  <si>
    <t xml:space="preserve">Shaheed Ganpat Singh Nagar</t>
  </si>
  <si>
    <t xml:space="preserve">0811300571085350</t>
  </si>
  <si>
    <t xml:space="preserve">BAP</t>
  </si>
  <si>
    <t xml:space="preserve">0</t>
  </si>
  <si>
    <t xml:space="preserve">Sri Ram Nagar</t>
  </si>
  <si>
    <t xml:space="preserve">0811300567084117</t>
  </si>
  <si>
    <t xml:space="preserve">Akhadhana</t>
  </si>
  <si>
    <t xml:space="preserve">0811300567084013</t>
  </si>
  <si>
    <t xml:space="preserve">Sanguri</t>
  </si>
  <si>
    <t xml:space="preserve">0811300567084080</t>
  </si>
  <si>
    <t xml:space="preserve">0811300567084014</t>
  </si>
  <si>
    <t xml:space="preserve">Bagtawar Nagar</t>
  </si>
  <si>
    <t xml:space="preserve">0811300567084015</t>
  </si>
  <si>
    <t xml:space="preserve">Harisingh Nagar</t>
  </si>
  <si>
    <t xml:space="preserve">0811300567084016</t>
  </si>
  <si>
    <t xml:space="preserve">BADI SID</t>
  </si>
  <si>
    <t xml:space="preserve">Badi Sid</t>
  </si>
  <si>
    <t xml:space="preserve">0811300567084030</t>
  </si>
  <si>
    <t xml:space="preserve">RAVASARIYA NADI DI SILTING KARY BADI SID</t>
  </si>
  <si>
    <t xml:space="preserve">barsinga nadi khudai karya badi</t>
  </si>
  <si>
    <t xml:space="preserve">Naya Gaon</t>
  </si>
  <si>
    <t xml:space="preserve">0811300567084040</t>
  </si>
  <si>
    <t xml:space="preserve">GAWAI NADI DSILTING KARYA NAYA GAON</t>
  </si>
  <si>
    <t xml:space="preserve">Gadna</t>
  </si>
  <si>
    <t xml:space="preserve">0811300567084028</t>
  </si>
  <si>
    <t xml:space="preserve">Baori Barsinga</t>
  </si>
  <si>
    <t xml:space="preserve">0811300567084029</t>
  </si>
  <si>
    <t xml:space="preserve">RATDI NADI KHUDAI BANDHAI KARY BAWRIBARSINGA</t>
  </si>
  <si>
    <t xml:space="preserve">चरागाह विकास कार्य खंन 116 बावडी बरसिंहा</t>
  </si>
  <si>
    <t xml:space="preserve">Ranjeet Nagar</t>
  </si>
  <si>
    <t xml:space="preserve">0811300567084032</t>
  </si>
  <si>
    <t xml:space="preserve">Jambheswar Nagar-II</t>
  </si>
  <si>
    <t xml:space="preserve">0811300567084031</t>
  </si>
  <si>
    <t xml:space="preserve">Bap</t>
  </si>
  <si>
    <t xml:space="preserve">0811300567084024</t>
  </si>
  <si>
    <t xml:space="preserve">BAROO</t>
  </si>
  <si>
    <t xml:space="preserve">Baroo</t>
  </si>
  <si>
    <t xml:space="preserve">0811300567083971</t>
  </si>
  <si>
    <t xml:space="preserve">k no 1156 me podharopan kary baru</t>
  </si>
  <si>
    <t xml:space="preserve">khasra no 1150 me oran bhumi ki medbandi karye</t>
  </si>
  <si>
    <t xml:space="preserve">Arjunpura nadi khudi karye</t>
  </si>
  <si>
    <t xml:space="preserve">Khashra no 1156 me oran bhumi me medband</t>
  </si>
  <si>
    <t xml:space="preserve">Rola</t>
  </si>
  <si>
    <t xml:space="preserve">0811300567083970</t>
  </si>
  <si>
    <t xml:space="preserve">ROLA NAADI MODAL TAALAB KHUDAI KARY</t>
  </si>
  <si>
    <t xml:space="preserve">Bhadla</t>
  </si>
  <si>
    <t xml:space="preserve">Bhadlachuhron Ki Basti</t>
  </si>
  <si>
    <t xml:space="preserve">0811300567083964</t>
  </si>
  <si>
    <t xml:space="preserve">Ajeri</t>
  </si>
  <si>
    <t xml:space="preserve">0811300567083966</t>
  </si>
  <si>
    <t xml:space="preserve">Bhakhariya</t>
  </si>
  <si>
    <t xml:space="preserve">0811300567084078</t>
  </si>
  <si>
    <t xml:space="preserve">15-08-2025</t>
  </si>
  <si>
    <t xml:space="preserve">Janupura</t>
  </si>
  <si>
    <t xml:space="preserve">0811300567084079</t>
  </si>
  <si>
    <t xml:space="preserve">Bagji Ka Paar</t>
  </si>
  <si>
    <t xml:space="preserve">0811300567084084</t>
  </si>
  <si>
    <t xml:space="preserve">Tanot Basti</t>
  </si>
  <si>
    <t xml:space="preserve">0811300567084081</t>
  </si>
  <si>
    <t xml:space="preserve">Jaisingh Nagar</t>
  </si>
  <si>
    <t xml:space="preserve">0811300567084077</t>
  </si>
  <si>
    <t xml:space="preserve">CHARNAI</t>
  </si>
  <si>
    <t xml:space="preserve">Charnai</t>
  </si>
  <si>
    <t xml:space="preserve">0811300567084111</t>
  </si>
  <si>
    <t xml:space="preserve">GHINOLI NADI KHUDAI V BANDHAI KARY</t>
  </si>
  <si>
    <t xml:space="preserve">Sherpura</t>
  </si>
  <si>
    <t xml:space="preserve">0811300567084109</t>
  </si>
  <si>
    <t xml:space="preserve">Lukkupura @ Asraf Nagar</t>
  </si>
  <si>
    <t xml:space="preserve">0811300567084112</t>
  </si>
  <si>
    <t xml:space="preserve">HANEEF NADA KHUDAI KARYA LUKUPURA</t>
  </si>
  <si>
    <t xml:space="preserve">Hasampura</t>
  </si>
  <si>
    <t xml:space="preserve">0811300567084110</t>
  </si>
  <si>
    <t xml:space="preserve">DEDASARI</t>
  </si>
  <si>
    <t xml:space="preserve">Dedasari</t>
  </si>
  <si>
    <t xml:space="preserve">0811300567083979</t>
  </si>
  <si>
    <t xml:space="preserve">aalam ki nadi khudai v agour safai karye</t>
  </si>
  <si>
    <t xml:space="preserve">gawai talab dedasri me d silting v agour evm paal sudhikaran karye</t>
  </si>
  <si>
    <t xml:space="preserve">Nijamdin Ki Basti</t>
  </si>
  <si>
    <t xml:space="preserve">0811300567083980</t>
  </si>
  <si>
    <t xml:space="preserve">Ismile Khan Ki Dhani</t>
  </si>
  <si>
    <t xml:space="preserve">0811300567083982</t>
  </si>
  <si>
    <t xml:space="preserve">Kushalaram Ki Basti</t>
  </si>
  <si>
    <t xml:space="preserve">0811300567083981</t>
  </si>
  <si>
    <t xml:space="preserve">Kamardin Ki Basti</t>
  </si>
  <si>
    <t xml:space="preserve">0811300567083967</t>
  </si>
  <si>
    <t xml:space="preserve">Sumrani Mangaliyon Ki Basti</t>
  </si>
  <si>
    <t xml:space="preserve">0811300567083969</t>
  </si>
  <si>
    <t xml:space="preserve">Degawari</t>
  </si>
  <si>
    <t xml:space="preserve">0811300567084067</t>
  </si>
  <si>
    <t xml:space="preserve">82,47</t>
  </si>
  <si>
    <t xml:space="preserve">khasara no 91/78 me charagah bhumi ki medbandi kary</t>
  </si>
  <si>
    <t xml:space="preserve">Siwandi</t>
  </si>
  <si>
    <t xml:space="preserve">0811300567084108</t>
  </si>
  <si>
    <t xml:space="preserve">Bagda</t>
  </si>
  <si>
    <t xml:space="preserve">0811300567084068</t>
  </si>
  <si>
    <t xml:space="preserve">Mangal Nagar</t>
  </si>
  <si>
    <t xml:space="preserve">0811300567084066</t>
  </si>
  <si>
    <t xml:space="preserve">Dholiya</t>
  </si>
  <si>
    <t xml:space="preserve">0811300567083977</t>
  </si>
  <si>
    <t xml:space="preserve">Durjani.</t>
  </si>
  <si>
    <t xml:space="preserve">0811300567084005</t>
  </si>
  <si>
    <t xml:space="preserve">Khetusar</t>
  </si>
  <si>
    <t xml:space="preserve">0811300567083978</t>
  </si>
  <si>
    <t xml:space="preserve">DOONGRI KALAN</t>
  </si>
  <si>
    <t xml:space="preserve">Karninagar</t>
  </si>
  <si>
    <t xml:space="preserve">0811300567084033</t>
  </si>
  <si>
    <t xml:space="preserve">GHATOR</t>
  </si>
  <si>
    <t xml:space="preserve">Ghator</t>
  </si>
  <si>
    <t xml:space="preserve">0811300567083994</t>
  </si>
  <si>
    <t xml:space="preserve">Ramjanpura</t>
  </si>
  <si>
    <t xml:space="preserve">0811300567084018</t>
  </si>
  <si>
    <t xml:space="preserve">Bari Dhani</t>
  </si>
  <si>
    <t xml:space="preserve">0811300567084021</t>
  </si>
  <si>
    <t xml:space="preserve">Hanvant Nagar</t>
  </si>
  <si>
    <t xml:space="preserve">0811300567084019</t>
  </si>
  <si>
    <t xml:space="preserve">Mahadeopura</t>
  </si>
  <si>
    <t xml:space="preserve">0811300567083993</t>
  </si>
  <si>
    <t xml:space="preserve">Hindalgol</t>
  </si>
  <si>
    <t xml:space="preserve">0811300567084100</t>
  </si>
  <si>
    <t xml:space="preserve">jaimala</t>
  </si>
  <si>
    <t xml:space="preserve">Jaimala</t>
  </si>
  <si>
    <t xml:space="preserve">0811300567084086</t>
  </si>
  <si>
    <t xml:space="preserve">0811300567084085</t>
  </si>
  <si>
    <t xml:space="preserve">0811300567084083</t>
  </si>
  <si>
    <t xml:space="preserve">Bhoj Nagar</t>
  </si>
  <si>
    <t xml:space="preserve">0811300567084082</t>
  </si>
  <si>
    <t xml:space="preserve">Jaitrasar</t>
  </si>
  <si>
    <t xml:space="preserve">0811300567084026</t>
  </si>
  <si>
    <t xml:space="preserve">Bohranada</t>
  </si>
  <si>
    <t xml:space="preserve">0811300567084025</t>
  </si>
  <si>
    <t xml:space="preserve">ख न 969/1 में गोचर भूमि की मेड़बंदी कार्य</t>
  </si>
  <si>
    <t xml:space="preserve">ख न 969/23 में गोचर भूमि की मेड़बंदी कार्य</t>
  </si>
  <si>
    <t xml:space="preserve">Andasar.</t>
  </si>
  <si>
    <t xml:space="preserve">0811300567084027</t>
  </si>
  <si>
    <t xml:space="preserve">Sindhipura</t>
  </si>
  <si>
    <t xml:space="preserve">0811300567084041</t>
  </si>
  <si>
    <t xml:space="preserve">JAMBA</t>
  </si>
  <si>
    <t xml:space="preserve">Jamba</t>
  </si>
  <si>
    <t xml:space="preserve">0811300567084113</t>
  </si>
  <si>
    <t xml:space="preserve">Khashra no 211 agoure bhumi jamba me podharopan karye</t>
  </si>
  <si>
    <t xml:space="preserve">K no 447/230 ke bhumi per medbandi kary jamba</t>
  </si>
  <si>
    <t xml:space="preserve"> k no 342 ki bhumi par madbandi karye jamba</t>
  </si>
  <si>
    <t xml:space="preserve">Bilhoji Nagar</t>
  </si>
  <si>
    <t xml:space="preserve">0811300567084114</t>
  </si>
  <si>
    <t xml:space="preserve">Jamba Dhani</t>
  </si>
  <si>
    <t xml:space="preserve">0811300567084116</t>
  </si>
  <si>
    <t xml:space="preserve">Ridmalnagar</t>
  </si>
  <si>
    <t xml:space="preserve">0811300567084115</t>
  </si>
  <si>
    <t xml:space="preserve">JOR</t>
  </si>
  <si>
    <t xml:space="preserve">Jor</t>
  </si>
  <si>
    <t xml:space="preserve">0811300567084102</t>
  </si>
  <si>
    <t xml:space="preserve">Hazi Nagar</t>
  </si>
  <si>
    <t xml:space="preserve">0811300567084105</t>
  </si>
  <si>
    <t xml:space="preserve">KALYANSINGH KI SID</t>
  </si>
  <si>
    <t xml:space="preserve">Kalyan Singh Ki Sid</t>
  </si>
  <si>
    <t xml:space="preserve">0811300567084043</t>
  </si>
  <si>
    <t xml:space="preserve">VRAKSHAROPAN KARY KHA NO 23 KA SID</t>
  </si>
  <si>
    <t xml:space="preserve">Ambadkar Nagar</t>
  </si>
  <si>
    <t xml:space="preserve">0811300567084058</t>
  </si>
  <si>
    <t xml:space="preserve">Malamsingh Ki Sid</t>
  </si>
  <si>
    <t xml:space="preserve">0811300567084044</t>
  </si>
  <si>
    <t xml:space="preserve">चारागाह विकास कार्य ख.न.14 में</t>
  </si>
  <si>
    <t xml:space="preserve">VRAKSHAROPAN KARYA KHA NO 14 MALAMSINGH KI SID</t>
  </si>
  <si>
    <t xml:space="preserve">Gura</t>
  </si>
  <si>
    <t xml:space="preserve">0811300567084039</t>
  </si>
  <si>
    <t xml:space="preserve">KANASAR</t>
  </si>
  <si>
    <t xml:space="preserve">0811300567083985</t>
  </si>
  <si>
    <t xml:space="preserve">k no 983 me medbandi karye kanasar</t>
  </si>
  <si>
    <t xml:space="preserve">kanasar oran nadi khudai kary</t>
  </si>
  <si>
    <t xml:space="preserve">Sri Mandroop Nagar</t>
  </si>
  <si>
    <t xml:space="preserve">0811300567083986</t>
  </si>
  <si>
    <t xml:space="preserve">Likhmasar</t>
  </si>
  <si>
    <t xml:space="preserve">0811300567083987</t>
  </si>
  <si>
    <t xml:space="preserve">AJU NADA KHUDAI KARY V BANDHAI</t>
  </si>
  <si>
    <t xml:space="preserve">0811300567083988</t>
  </si>
  <si>
    <t xml:space="preserve">KANSINGH SEER</t>
  </si>
  <si>
    <t xml:space="preserve">Kansingh Ki Seer</t>
  </si>
  <si>
    <t xml:space="preserve">0811300567084035</t>
  </si>
  <si>
    <t xml:space="preserve">BHESNAADA KHUDAI KARAY K SID</t>
  </si>
  <si>
    <t xml:space="preserve">5177|sujeri model talab me disilting and chanel va agoure sfai karye</t>
  </si>
  <si>
    <t xml:space="preserve">SIVILIYA NADI KHUDAI KARY KA SID</t>
  </si>
  <si>
    <t xml:space="preserve">SIJANADA KHUDAI KARY KA SID</t>
  </si>
  <si>
    <t xml:space="preserve">PACHANI NADI KHUDAI KARY KA SID</t>
  </si>
  <si>
    <t xml:space="preserve">panchani naadi khudai kary utar disha ka sid</t>
  </si>
  <si>
    <t xml:space="preserve">gavai talab khudai kary amar singh ki dhaani ka sid</t>
  </si>
  <si>
    <t xml:space="preserve">bhaisdi naadi khudai kary dakshin disha kesheri jeti</t>
  </si>
  <si>
    <t xml:space="preserve">GAVAI MODEL TALAAB AMARSINGH KI DHANIYA</t>
  </si>
  <si>
    <t xml:space="preserve">GANWAI NADI JHYLANI NADI KHUDAI KARY KA SID</t>
  </si>
  <si>
    <t xml:space="preserve">Kishnari Jeti</t>
  </si>
  <si>
    <t xml:space="preserve">0811300567084036</t>
  </si>
  <si>
    <t xml:space="preserve">GAWAI NADI KHUDAI KARY KISHNERI JAITI</t>
  </si>
  <si>
    <t xml:space="preserve">KHEERWA</t>
  </si>
  <si>
    <t xml:space="preserve">Kheerwa</t>
  </si>
  <si>
    <t xml:space="preserve">0811300567084071</t>
  </si>
  <si>
    <t xml:space="preserve">BORLI NADI KHUDAI KARYA</t>
  </si>
  <si>
    <t xml:space="preserve">K NO 89 M GOCHAR BHUMI KI MEDBNADI KARYE</t>
  </si>
  <si>
    <t xml:space="preserve">Bai talab agour safai v paal sudhikaran karye</t>
  </si>
  <si>
    <t xml:space="preserve">Duda Nagar</t>
  </si>
  <si>
    <t xml:space="preserve">0811300567084101</t>
  </si>
  <si>
    <t xml:space="preserve">Badhaura</t>
  </si>
  <si>
    <t xml:space="preserve">0811300567084072</t>
  </si>
  <si>
    <t xml:space="preserve">5627|Gavai nadi khudai bandhai kary badhaura</t>
  </si>
  <si>
    <t xml:space="preserve">Sultan Nagar</t>
  </si>
  <si>
    <t xml:space="preserve">0811300567084070</t>
  </si>
  <si>
    <t xml:space="preserve">MULANI NADI KHUDAI BANDHAI KARY</t>
  </si>
  <si>
    <t xml:space="preserve">Sindhi Pura</t>
  </si>
  <si>
    <t xml:space="preserve">0811300567084022</t>
  </si>
  <si>
    <t xml:space="preserve">Bhojon Ki Bap Chak No1-2</t>
  </si>
  <si>
    <t xml:space="preserve">0811300567084023</t>
  </si>
  <si>
    <t xml:space="preserve">Mulani nadi agour safai v pal sudhikaran karye</t>
  </si>
  <si>
    <t xml:space="preserve">Khidrat</t>
  </si>
  <si>
    <t xml:space="preserve">0811300567084034</t>
  </si>
  <si>
    <t xml:space="preserve">MODAL TALAB DAKCHIN BHAG KHUDAI KARIY KHIDRAT</t>
  </si>
  <si>
    <t xml:space="preserve">Kshsra no 753 me nadi khudai v agour safai karye</t>
  </si>
  <si>
    <t xml:space="preserve">Khashra no 858 me nadi khudai v agour safai karye</t>
  </si>
  <si>
    <t xml:space="preserve">Bhomji Ka Gaon</t>
  </si>
  <si>
    <t xml:space="preserve">0811300567084038</t>
  </si>
  <si>
    <t xml:space="preserve">Krishan Nagar Kalan</t>
  </si>
  <si>
    <t xml:space="preserve">0811300567084119</t>
  </si>
  <si>
    <t xml:space="preserve">Thakriya Nada</t>
  </si>
  <si>
    <t xml:space="preserve">0811300567084118</t>
  </si>
  <si>
    <t xml:space="preserve">MODEL TALAAB KHUDAI BANDHAI THAKRIYA NADA</t>
  </si>
  <si>
    <t xml:space="preserve">Deolijal</t>
  </si>
  <si>
    <t xml:space="preserve">0811300567084120</t>
  </si>
  <si>
    <t xml:space="preserve">Kaushal Nagar</t>
  </si>
  <si>
    <t xml:space="preserve">0811300567084121</t>
  </si>
  <si>
    <t xml:space="preserve">Sheirani Nagar</t>
  </si>
  <si>
    <t xml:space="preserve">0811300567084122</t>
  </si>
  <si>
    <t xml:space="preserve">Ganesh Nagar</t>
  </si>
  <si>
    <t xml:space="preserve">0811300567084054</t>
  </si>
  <si>
    <t xml:space="preserve">GAWAI NADI GANESHNAGAR</t>
  </si>
  <si>
    <t xml:space="preserve">KOMALDAS NADA KHUDAI KARYA</t>
  </si>
  <si>
    <t xml:space="preserve">Visansar</t>
  </si>
  <si>
    <t xml:space="preserve">0811300567084053</t>
  </si>
  <si>
    <t xml:space="preserve">Bhoja Nagar</t>
  </si>
  <si>
    <t xml:space="preserve">0811300567084099</t>
  </si>
  <si>
    <t xml:space="preserve">Meethariya</t>
  </si>
  <si>
    <t xml:space="preserve">0811300567084051</t>
  </si>
  <si>
    <t xml:space="preserve">सोहनलाव तालाब खुदाई कार्य मिठडिया</t>
  </si>
  <si>
    <t xml:space="preserve">पबुनाडा खुदाई व बंधाई कार्य मिठडिया</t>
  </si>
  <si>
    <t xml:space="preserve">PIRA NADI (JASA NADI ) KHUDAYI ND BANDHAYI KARY</t>
  </si>
  <si>
    <t xml:space="preserve">Jambh Nagar</t>
  </si>
  <si>
    <t xml:space="preserve">0811300567084049</t>
  </si>
  <si>
    <t xml:space="preserve">Mayakor</t>
  </si>
  <si>
    <t xml:space="preserve">0811300567084050</t>
  </si>
  <si>
    <t xml:space="preserve">जरखी नाडी खुदाई व बंधाई कार्य मायाकोर</t>
  </si>
  <si>
    <t xml:space="preserve">गवाई नाडी खुदाई व बंधाई मायाकोर</t>
  </si>
  <si>
    <t xml:space="preserve">Meharam Nagar</t>
  </si>
  <si>
    <t xml:space="preserve">0811300567084063</t>
  </si>
  <si>
    <t xml:space="preserve">Saranpura</t>
  </si>
  <si>
    <t xml:space="preserve">0811300567084062</t>
  </si>
  <si>
    <t xml:space="preserve">Mandor</t>
  </si>
  <si>
    <t xml:space="preserve">0811300567084064</t>
  </si>
  <si>
    <t xml:space="preserve">MANDOR NADI KHUDAI KARY</t>
  </si>
  <si>
    <t xml:space="preserve">Navneetpura</t>
  </si>
  <si>
    <t xml:space="preserve">0811300567084065</t>
  </si>
  <si>
    <t xml:space="preserve">Ekalthali</t>
  </si>
  <si>
    <t xml:space="preserve">0811300567084042</t>
  </si>
  <si>
    <t xml:space="preserve">Modkiya</t>
  </si>
  <si>
    <t xml:space="preserve">0811300567084000</t>
  </si>
  <si>
    <t xml:space="preserve">Mandpura</t>
  </si>
  <si>
    <t xml:space="preserve">0811300567084001</t>
  </si>
  <si>
    <t xml:space="preserve">Panna Sagar</t>
  </si>
  <si>
    <t xml:space="preserve">0811300567084002</t>
  </si>
  <si>
    <t xml:space="preserve">Khakhuri</t>
  </si>
  <si>
    <t xml:space="preserve">0811300567083996</t>
  </si>
  <si>
    <t xml:space="preserve">Newa</t>
  </si>
  <si>
    <t xml:space="preserve">0811300567083962</t>
  </si>
  <si>
    <t xml:space="preserve">NEWA GOCHAR BHUMI KHASRA NUMBER 519 ME MEDBANDI KARY</t>
  </si>
  <si>
    <t xml:space="preserve">NEWA GOCHAR BHUMI KHASRA N 560 ME MEDBANDI KARY</t>
  </si>
  <si>
    <t xml:space="preserve">NEWA GOCHAR BHUMI KHA N 144 ME MEDBANDI KARY</t>
  </si>
  <si>
    <t xml:space="preserve">Jorawar Nagar</t>
  </si>
  <si>
    <t xml:space="preserve">0811300567083984</t>
  </si>
  <si>
    <t xml:space="preserve">0811300567083963</t>
  </si>
  <si>
    <t xml:space="preserve">NOORE KI BURJ</t>
  </si>
  <si>
    <t xml:space="preserve">Noore Ki Burj</t>
  </si>
  <si>
    <t xml:space="preserve">0811300567083983</t>
  </si>
  <si>
    <t xml:space="preserve">G.P. NURE KI BHURJ KE K.NO. 338 ME CHARAGAH VIKASH KARYE</t>
  </si>
  <si>
    <t xml:space="preserve">SURAB NADA KHUDAI KARYA NURE KI BHURJ</t>
  </si>
  <si>
    <t xml:space="preserve">Kalu Kha Ki Dhani</t>
  </si>
  <si>
    <t xml:space="preserve">0811300567083965</t>
  </si>
  <si>
    <t xml:space="preserve">RANERI</t>
  </si>
  <si>
    <t xml:space="preserve">Raneri</t>
  </si>
  <si>
    <t xml:space="preserve">0811300567084009</t>
  </si>
  <si>
    <t xml:space="preserve">Jambhshakti Nagar</t>
  </si>
  <si>
    <t xml:space="preserve">0811300567084011</t>
  </si>
  <si>
    <t xml:space="preserve">Rampura</t>
  </si>
  <si>
    <t xml:space="preserve">0811300567084012</t>
  </si>
  <si>
    <t xml:space="preserve">Deoli Nagar</t>
  </si>
  <si>
    <t xml:space="preserve">0811300567084010</t>
  </si>
  <si>
    <t xml:space="preserve">Amarpura</t>
  </si>
  <si>
    <t xml:space="preserve">0811300567083997</t>
  </si>
  <si>
    <t xml:space="preserve">Rawra</t>
  </si>
  <si>
    <t xml:space="preserve">0811300567083995</t>
  </si>
  <si>
    <t xml:space="preserve">KHASRA SANKHYA 290 ME VARKSHAROPAN KARY</t>
  </si>
  <si>
    <t xml:space="preserve"> khashra no 247 me medbandi vikash karye</t>
  </si>
  <si>
    <t xml:space="preserve">Kesharpura</t>
  </si>
  <si>
    <t xml:space="preserve">0811300567084017</t>
  </si>
  <si>
    <t xml:space="preserve">Bheemji Ka Gaon</t>
  </si>
  <si>
    <t xml:space="preserve">0811300567084020</t>
  </si>
  <si>
    <t xml:space="preserve">Mandli</t>
  </si>
  <si>
    <t xml:space="preserve">0811300567083989</t>
  </si>
  <si>
    <t xml:space="preserve">SANWARA GAON</t>
  </si>
  <si>
    <t xml:space="preserve">Sanwara Gaon</t>
  </si>
  <si>
    <t xml:space="preserve">0811300567083990</t>
  </si>
  <si>
    <t xml:space="preserve">Lumbaniya</t>
  </si>
  <si>
    <t xml:space="preserve">0811300567083992</t>
  </si>
  <si>
    <t xml:space="preserve">Manchitiya</t>
  </si>
  <si>
    <t xml:space="preserve">0811300567083991</t>
  </si>
  <si>
    <t xml:space="preserve">SHEKHASAR</t>
  </si>
  <si>
    <t xml:space="preserve">Shekhasar</t>
  </si>
  <si>
    <t xml:space="preserve">0811300567084074</t>
  </si>
  <si>
    <t xml:space="preserve">Shivnath Nagar</t>
  </si>
  <si>
    <t xml:space="preserve">0811300567084075</t>
  </si>
  <si>
    <t xml:space="preserve">Bandheri</t>
  </si>
  <si>
    <t xml:space="preserve">0811300567084076</t>
  </si>
  <si>
    <t xml:space="preserve">Sonanda</t>
  </si>
  <si>
    <t xml:space="preserve">0811300567084073</t>
  </si>
  <si>
    <t xml:space="preserve">SHREE SURPURA</t>
  </si>
  <si>
    <t xml:space="preserve">Sri Rampura</t>
  </si>
  <si>
    <t xml:space="preserve">0811300567084059</t>
  </si>
  <si>
    <t xml:space="preserve">Kalraba Bera</t>
  </si>
  <si>
    <t xml:space="preserve">0811300567084060</t>
  </si>
  <si>
    <t xml:space="preserve">Surpura</t>
  </si>
  <si>
    <t xml:space="preserve">0811300567084061</t>
  </si>
  <si>
    <t xml:space="preserve">Bajrang Nagar</t>
  </si>
  <si>
    <t xml:space="preserve">0811300567084057</t>
  </si>
  <si>
    <t xml:space="preserve">Thoriyasar</t>
  </si>
  <si>
    <t xml:space="preserve">0811300567084056</t>
  </si>
  <si>
    <t xml:space="preserve">Ramcheema Nada</t>
  </si>
  <si>
    <t xml:space="preserve">0811300567084055</t>
  </si>
  <si>
    <t xml:space="preserve">Sodadara</t>
  </si>
  <si>
    <t xml:space="preserve">0811300567084047</t>
  </si>
  <si>
    <t xml:space="preserve">KHASRA SA 888 ME CHARAI BHUMI KI MEDBANDI KARY</t>
  </si>
  <si>
    <t xml:space="preserve">Simrathal</t>
  </si>
  <si>
    <t xml:space="preserve">0811300567084046</t>
  </si>
  <si>
    <t xml:space="preserve">Shivnagar</t>
  </si>
  <si>
    <t xml:space="preserve">0811300567084045</t>
  </si>
  <si>
    <t xml:space="preserve">Anjanisar</t>
  </si>
  <si>
    <t xml:space="preserve">0811300567084037</t>
  </si>
  <si>
    <t xml:space="preserve">MULA NADA DISLTING KARY SHRI SHAKTI NAGAR</t>
  </si>
  <si>
    <t xml:space="preserve">Sonalpura</t>
  </si>
  <si>
    <t xml:space="preserve">0811300567084008</t>
  </si>
  <si>
    <t xml:space="preserve">DHIRTRI NADI KHUDAI KARYA PADMET NAGAR</t>
  </si>
  <si>
    <t xml:space="preserve">ISHARKI NADI KHUDAI &amp; BANDHAI KARYA</t>
  </si>
  <si>
    <t xml:space="preserve">Jharasar</t>
  </si>
  <si>
    <t xml:space="preserve">0811300567084006</t>
  </si>
  <si>
    <t xml:space="preserve">BUDHARI NADI KHUDAI V BADHAI KARYA JHADASAR</t>
  </si>
  <si>
    <t xml:space="preserve">Padmet Nagar</t>
  </si>
  <si>
    <t xml:space="preserve">0811300567084007</t>
  </si>
  <si>
    <t xml:space="preserve">Ahopnagar</t>
  </si>
  <si>
    <t xml:space="preserve">0811300567083998</t>
  </si>
  <si>
    <t xml:space="preserve">0811300567083999</t>
  </si>
  <si>
    <t xml:space="preserve">GAVAI NADI RAMNAGAR KHUDAI KARYA</t>
  </si>
  <si>
    <t xml:space="preserve">TEKRA</t>
  </si>
  <si>
    <t xml:space="preserve">Tekra</t>
  </si>
  <si>
    <t xml:space="preserve">0811300567083974</t>
  </si>
  <si>
    <t xml:space="preserve">Varsharopan Karay 3.5 hec k no 627 me tekra</t>
  </si>
  <si>
    <t xml:space="preserve">AAI MATA NADI KHUDAI KARY TEKRA EV AAGOR SAFAI</t>
  </si>
  <si>
    <t xml:space="preserve">Kalusingh Nagar</t>
  </si>
  <si>
    <t xml:space="preserve">0811300567083975</t>
  </si>
  <si>
    <t xml:space="preserve">Bombepura</t>
  </si>
  <si>
    <t xml:space="preserve">0811300567083976</t>
  </si>
  <si>
    <t xml:space="preserve">Masala</t>
  </si>
  <si>
    <t xml:space="preserve">0811300567083972</t>
  </si>
  <si>
    <t xml:space="preserve">93,16</t>
  </si>
  <si>
    <t xml:space="preserve">khshra no 628 me charai bhumi me medbandi karye</t>
  </si>
  <si>
    <t xml:space="preserve">TEPOO</t>
  </si>
  <si>
    <t xml:space="preserve">Jodhani @ Tepoo</t>
  </si>
  <si>
    <t xml:space="preserve">0811300567084003</t>
  </si>
  <si>
    <t xml:space="preserve">CHHAJAYA NADI JODHANI KHUDAI BANDHAI KARYA</t>
  </si>
  <si>
    <t xml:space="preserve">Kanasi Moti</t>
  </si>
  <si>
    <t xml:space="preserve">0811300567084004</t>
  </si>
  <si>
    <t xml:space="preserve">PADMERI NADI KANASIMOTI KHUDAI KARYA</t>
  </si>
  <si>
    <t xml:space="preserve">Durgani</t>
  </si>
  <si>
    <t xml:space="preserve">0811300567083968</t>
  </si>
  <si>
    <t xml:space="preserve">tawarki naadi khudai bandhai kary durgani</t>
  </si>
  <si>
    <t xml:space="preserve">Udat</t>
  </si>
  <si>
    <t xml:space="preserve">0811300567084048</t>
  </si>
  <si>
    <t xml:space="preserve">हललाई नाडी खुदाई एवं बंधाई कार्य</t>
  </si>
  <si>
    <t xml:space="preserve">RAVARIYA NADI KHUDAI KARYA UDAT</t>
  </si>
  <si>
    <t xml:space="preserve">केरला नाडी खुदाई एवं बंधाई कार्य</t>
  </si>
  <si>
    <t xml:space="preserve">BAPINI</t>
  </si>
  <si>
    <t xml:space="preserve">Bapini</t>
  </si>
  <si>
    <t xml:space="preserve">0811300568084508</t>
  </si>
  <si>
    <t xml:space="preserve">ख.न.813 में चारागाह निर्माण कार्य</t>
  </si>
  <si>
    <t xml:space="preserve">pabu nada khudai kary bapini</t>
  </si>
  <si>
    <t xml:space="preserve">Malolai nadi khudai kary</t>
  </si>
  <si>
    <t xml:space="preserve">SODIYALI NADI PASHICHAM DISHA KHUDAI KARYA</t>
  </si>
  <si>
    <t xml:space="preserve"> MALSHIV NADI UTAR DISHA KHUDAI KARYA</t>
  </si>
  <si>
    <t xml:space="preserve">Bapini Khurd</t>
  </si>
  <si>
    <t xml:space="preserve">0811300568084509</t>
  </si>
  <si>
    <t xml:space="preserve"> RUKMA NADA KHUDAI NADAV</t>
  </si>
  <si>
    <t xml:space="preserve">BEDU</t>
  </si>
  <si>
    <t xml:space="preserve">Bedoo</t>
  </si>
  <si>
    <t xml:space="preserve">0811300568084503</t>
  </si>
  <si>
    <t xml:space="preserve">DHARMAN NADI PURV DISHA KHUDAI KARYA</t>
  </si>
  <si>
    <t xml:space="preserve">ULALPEER NADI PURV DISHA KHUDAI KARYA</t>
  </si>
  <si>
    <t xml:space="preserve">PABU NADA PURV DISHA KHUDAI KARYA</t>
  </si>
  <si>
    <t xml:space="preserve">SATI MAA NADI KHUDAI KARYA BEDU</t>
  </si>
  <si>
    <t xml:space="preserve">HADBU NADA PURV DISHA KHUDAI KARYA</t>
  </si>
  <si>
    <t xml:space="preserve">MEHA NADA PURV DISHA KHUDAI KARYA</t>
  </si>
  <si>
    <t xml:space="preserve">RATDI NADI DAKSHIN DISHA KHUDAI KARYA</t>
  </si>
  <si>
    <t xml:space="preserve">Bedu Kalannn</t>
  </si>
  <si>
    <t xml:space="preserve">Bedoo Kalan</t>
  </si>
  <si>
    <t xml:space="preserve">0811300568084502</t>
  </si>
  <si>
    <t xml:space="preserve">MURLAI NADI KE PAS NAI NADI DAKSHIN DISHA KHUDAI KARYA</t>
  </si>
  <si>
    <t xml:space="preserve">AAMBAALAI NADI PURV DISHA KHUDAI KARYA</t>
  </si>
  <si>
    <t xml:space="preserve">HANUMAN NADA KHUDAI KARYA</t>
  </si>
  <si>
    <t xml:space="preserve">Unawara</t>
  </si>
  <si>
    <t xml:space="preserve">0811300568084501</t>
  </si>
  <si>
    <t xml:space="preserve">KHASHRA NO. 62 ME METBANDI KARYA</t>
  </si>
  <si>
    <t xml:space="preserve">UNAWADI NADI PURV DISA KHUDAI KARYA</t>
  </si>
  <si>
    <t xml:space="preserve">Bhanda</t>
  </si>
  <si>
    <t xml:space="preserve">0811300568084504</t>
  </si>
  <si>
    <t xml:space="preserve">20-06-2025</t>
  </si>
  <si>
    <t xml:space="preserve"> NAGA NADA PURV DISHA KHUDAI KARYA</t>
  </si>
  <si>
    <t xml:space="preserve">Mepan</t>
  </si>
  <si>
    <t xml:space="preserve">0811300568084505</t>
  </si>
  <si>
    <t xml:space="preserve">MEFOLAI NADI KHUDAI V BANDHAI KARYA MEFA</t>
  </si>
  <si>
    <t xml:space="preserve">Meha Nagar</t>
  </si>
  <si>
    <t xml:space="preserve">0811300568084532</t>
  </si>
  <si>
    <t xml:space="preserve">JAKHAN</t>
  </si>
  <si>
    <t xml:space="preserve">Jakhan</t>
  </si>
  <si>
    <t xml:space="preserve">0811300568084519</t>
  </si>
  <si>
    <t xml:space="preserve"> </t>
  </si>
  <si>
    <t xml:space="preserve">Jaton Ki Dhani Hadman Sagar</t>
  </si>
  <si>
    <t xml:space="preserve">Jaton Ki Dhani (Hadman Sagar)</t>
  </si>
  <si>
    <t xml:space="preserve">0811300568084527</t>
  </si>
  <si>
    <t xml:space="preserve">KISHNA NADA KHUDAI KARYA</t>
  </si>
  <si>
    <t xml:space="preserve">Sanwata</t>
  </si>
  <si>
    <t xml:space="preserve">0811300568084530</t>
  </si>
  <si>
    <t xml:space="preserve"> NAYA NADA PURV DISHA KHUDAI KARYA</t>
  </si>
  <si>
    <t xml:space="preserve">HARKA NADA KHUDAI V BANDHAI KARYA</t>
  </si>
  <si>
    <t xml:space="preserve">Kapooriya</t>
  </si>
  <si>
    <t xml:space="preserve">0811300568084523</t>
  </si>
  <si>
    <t xml:space="preserve">GRAM KAPURIYA KHASRA NUMBER 111 GER MUMKIN AANGOR ME MEDBANDI KARY</t>
  </si>
  <si>
    <t xml:space="preserve">GRAM KAPURIYA KHASRA NUMBER 271 GER MUMKIN AAGOR KI MEDBANDI KARY</t>
  </si>
  <si>
    <t xml:space="preserve">GRAM PANCHYAT KAPURIYA KE KHASRA NUMBER 365/2 KI MEDBANDI KARY</t>
  </si>
  <si>
    <t xml:space="preserve">Karwan</t>
  </si>
  <si>
    <t xml:space="preserve">0811300568084506</t>
  </si>
  <si>
    <t xml:space="preserve">26-02-2024</t>
  </si>
  <si>
    <t xml:space="preserve">KHASRA NO 251 ME METBANDI NIRMAN KARYA</t>
  </si>
  <si>
    <t xml:space="preserve">KERLI NADI PURV DISHA KHUDAI KARYA</t>
  </si>
  <si>
    <t xml:space="preserve">Narsingh Nagar</t>
  </si>
  <si>
    <t xml:space="preserve">0811300568084507</t>
  </si>
  <si>
    <t xml:space="preserve">BORDI VALA NADA KHUDAI KARYA NAHARSINGH NAGAR</t>
  </si>
  <si>
    <t xml:space="preserve">MATORA</t>
  </si>
  <si>
    <t xml:space="preserve">Matora</t>
  </si>
  <si>
    <t xml:space="preserve">0811300568084528</t>
  </si>
  <si>
    <t xml:space="preserve">0811300568084529</t>
  </si>
  <si>
    <t xml:space="preserve">kh.no.257 me charhagha vikas karye</t>
  </si>
  <si>
    <t xml:space="preserve">Motaniya Nagar</t>
  </si>
  <si>
    <t xml:space="preserve">0811300568084525</t>
  </si>
  <si>
    <t xml:space="preserve">motaniya nagar jambheshvar naya nada khudai kary v bandhai kary</t>
  </si>
  <si>
    <t xml:space="preserve">kankarala nada purv disha me khuadai va bandhai kary v bandhai kary</t>
  </si>
  <si>
    <t xml:space="preserve">Lakheta</t>
  </si>
  <si>
    <t xml:space="preserve">0811300568084526</t>
  </si>
  <si>
    <t xml:space="preserve">NIMBON KA TALAB</t>
  </si>
  <si>
    <t xml:space="preserve">Nimbonka Talab</t>
  </si>
  <si>
    <t xml:space="preserve">0811300568084531</t>
  </si>
  <si>
    <t xml:space="preserve">RAIKA NADI UTAR DISHA KHUDAI KARYA</t>
  </si>
  <si>
    <t xml:space="preserve">Karangar Nagar</t>
  </si>
  <si>
    <t xml:space="preserve">0811300568084533</t>
  </si>
  <si>
    <t xml:space="preserve">Ompura</t>
  </si>
  <si>
    <t xml:space="preserve">0811300568084511</t>
  </si>
  <si>
    <t xml:space="preserve">Saraswati Nagar</t>
  </si>
  <si>
    <t xml:space="preserve">0811300568084510</t>
  </si>
  <si>
    <t xml:space="preserve">PARASALA</t>
  </si>
  <si>
    <t xml:space="preserve">Parasala</t>
  </si>
  <si>
    <t xml:space="preserve">0811300568084602</t>
  </si>
  <si>
    <t xml:space="preserve">kh.no.1064 me charhagha vikas karye</t>
  </si>
  <si>
    <t xml:space="preserve">Peethasar</t>
  </si>
  <si>
    <t xml:space="preserve">0811300568084512</t>
  </si>
  <si>
    <t xml:space="preserve">POONASAR</t>
  </si>
  <si>
    <t xml:space="preserve">Poonasar</t>
  </si>
  <si>
    <t xml:space="preserve">0811300568084514</t>
  </si>
  <si>
    <t xml:space="preserve">Muknasar</t>
  </si>
  <si>
    <t xml:space="preserve">0811300568084513</t>
  </si>
  <si>
    <t xml:space="preserve">Punasar Khurd</t>
  </si>
  <si>
    <t xml:space="preserve">Poonasar Khurd</t>
  </si>
  <si>
    <t xml:space="preserve">0811300568084517</t>
  </si>
  <si>
    <t xml:space="preserve">Jaiwasar</t>
  </si>
  <si>
    <t xml:space="preserve">0811300568084515</t>
  </si>
  <si>
    <t xml:space="preserve">RAIMALWARA</t>
  </si>
  <si>
    <t xml:space="preserve">Raimalwara</t>
  </si>
  <si>
    <t xml:space="preserve">0811300568084524</t>
  </si>
  <si>
    <t xml:space="preserve">Kh.no.724 me charhagha vikas karye</t>
  </si>
  <si>
    <t xml:space="preserve">KHASRA NO 803 ME METBANDI NIRMAN KARYA</t>
  </si>
  <si>
    <t xml:space="preserve">KHASRA NO 782 ME METBANDI NIRMAN KARYA</t>
  </si>
  <si>
    <t xml:space="preserve">KHASRA NO 776 ME METBANDI NIRMAN KARYA</t>
  </si>
  <si>
    <t xml:space="preserve">KHASRA NO 724 ME METBANDI NIRMAN KARYA</t>
  </si>
  <si>
    <t xml:space="preserve">Vishvakarma Nagar</t>
  </si>
  <si>
    <t xml:space="preserve">0811300568084516</t>
  </si>
  <si>
    <t xml:space="preserve">20-11-2024</t>
  </si>
  <si>
    <t xml:space="preserve"> KHARSA NUMBER 625 ME PURV BHAG ME MEDBANDI KARY VISHVKARMA NAGAR</t>
  </si>
  <si>
    <t xml:space="preserve">KHASRA NO 625 ME VISVKARMA NAGAR MANDIR KE PAS CHARAGAHA VIKAS KARYA</t>
  </si>
  <si>
    <t xml:space="preserve">Kherla Nagar</t>
  </si>
  <si>
    <t xml:space="preserve">0811300568084518</t>
  </si>
  <si>
    <t xml:space="preserve">KHASRA NUMBER 191 KI MEDBANDI KARY KHERLA NAGAR</t>
  </si>
  <si>
    <t xml:space="preserve">Ecorestoration work  integratedVMGNREGY/BGMRG/PMKSY /VPGP /GPDP  </t>
  </si>
  <si>
    <t xml:space="preserve">Work done under VBGRAMG/PMKSY other Govt schemes</t>
  </si>
  <si>
    <t xml:space="preserve">(Y/N)</t>
  </si>
  <si>
    <t xml:space="preserve">BHOPALGARH</t>
  </si>
  <si>
    <t xml:space="preserve">ARTIYA KALAN</t>
  </si>
  <si>
    <t xml:space="preserve">Artiya Kalan</t>
  </si>
  <si>
    <t xml:space="preserve">0811300569084864</t>
  </si>
  <si>
    <t xml:space="preserve">Bandra</t>
  </si>
  <si>
    <t xml:space="preserve">0811300569084816</t>
  </si>
  <si>
    <t xml:space="preserve">Y </t>
  </si>
  <si>
    <t xml:space="preserve">Artiya Khurd</t>
  </si>
  <si>
    <t xml:space="preserve">0811300569084860</t>
  </si>
  <si>
    <t xml:space="preserve">ASOP</t>
  </si>
  <si>
    <t xml:space="preserve">Asop</t>
  </si>
  <si>
    <t xml:space="preserve">0811300569084742</t>
  </si>
  <si>
    <t xml:space="preserve">BAGORIYAN</t>
  </si>
  <si>
    <t xml:space="preserve">Bagoriya</t>
  </si>
  <si>
    <t xml:space="preserve">0811300569084823</t>
  </si>
  <si>
    <t xml:space="preserve">Burchha</t>
  </si>
  <si>
    <t xml:space="preserve">0811300569084824</t>
  </si>
  <si>
    <t xml:space="preserve">Sukhdeo Nagar</t>
  </si>
  <si>
    <t xml:space="preserve">0811300569084825</t>
  </si>
  <si>
    <t xml:space="preserve">SUKHDEV NAGAR TALAB KHUDAI KARYA</t>
  </si>
  <si>
    <t xml:space="preserve">BARNI KHURD</t>
  </si>
  <si>
    <t xml:space="preserve">Barni Khurd</t>
  </si>
  <si>
    <t xml:space="preserve">0811300569084783</t>
  </si>
  <si>
    <t xml:space="preserve">BASNI HARISINGH</t>
  </si>
  <si>
    <t xml:space="preserve">Basni Harisingh</t>
  </si>
  <si>
    <t xml:space="preserve">0811300569084740</t>
  </si>
  <si>
    <t xml:space="preserve">Kukrda</t>
  </si>
  <si>
    <t xml:space="preserve">0811300569084741</t>
  </si>
  <si>
    <t xml:space="preserve">Suwana</t>
  </si>
  <si>
    <t xml:space="preserve">0811300569084739</t>
  </si>
  <si>
    <t xml:space="preserve">Basni Theda</t>
  </si>
  <si>
    <t xml:space="preserve">0811300569084789</t>
  </si>
  <si>
    <t xml:space="preserve">Dayalu Nagar</t>
  </si>
  <si>
    <t xml:space="preserve">0811300569084822</t>
  </si>
  <si>
    <t xml:space="preserve">Basni Cholawatan</t>
  </si>
  <si>
    <t xml:space="preserve">0811300569084790</t>
  </si>
  <si>
    <t xml:space="preserve">Basni Jasawatan</t>
  </si>
  <si>
    <t xml:space="preserve">0811300569084791</t>
  </si>
  <si>
    <t xml:space="preserve">Bholaram Nagar</t>
  </si>
  <si>
    <t xml:space="preserve">0811300569084788</t>
  </si>
  <si>
    <t xml:space="preserve">BEERANI</t>
  </si>
  <si>
    <t xml:space="preserve">Birani</t>
  </si>
  <si>
    <t xml:space="preserve">0811300569084796</t>
  </si>
  <si>
    <t xml:space="preserve">Chatri nadi Model talab nirman kariy</t>
  </si>
  <si>
    <t xml:space="preserve">26.62 </t>
  </si>
  <si>
    <t xml:space="preserve"> Khasra No 235 me Chapri Nadi ke Pass Charagha Vikas Kariya</t>
  </si>
  <si>
    <t xml:space="preserve">26.59 </t>
  </si>
  <si>
    <t xml:space="preserve">CHAPRI NADI DAKSHIN DISHA ME KHUDAI KARYA</t>
  </si>
  <si>
    <t xml:space="preserve">Kalawas</t>
  </si>
  <si>
    <t xml:space="preserve">0811300569084797</t>
  </si>
  <si>
    <t xml:space="preserve">TIRUKI NADI UTAR DAKSHIN DISHA ME KHUDAI KARYA</t>
  </si>
  <si>
    <t xml:space="preserve">KERLI NADI UTAR DISHA ME KHUDAI KARYA</t>
  </si>
  <si>
    <t xml:space="preserve">Bhopalgarh</t>
  </si>
  <si>
    <t xml:space="preserve">0811300569084787</t>
  </si>
  <si>
    <t xml:space="preserve">BURKIYA</t>
  </si>
  <si>
    <t xml:space="preserve">Budkiya</t>
  </si>
  <si>
    <t xml:space="preserve">0811300569084870</t>
  </si>
  <si>
    <t xml:space="preserve">0811300569084871</t>
  </si>
  <si>
    <t xml:space="preserve">Chhapla</t>
  </si>
  <si>
    <t xml:space="preserve">0811300569084829</t>
  </si>
  <si>
    <t xml:space="preserve">Chhapala Gavai Nadi Ki Daxhin Desha Me Khudhai Kariya.</t>
  </si>
  <si>
    <t xml:space="preserve">Ram Nagar</t>
  </si>
  <si>
    <t xml:space="preserve">0811300569084828</t>
  </si>
  <si>
    <t xml:space="preserve">GATI NADI MODEL TALAB VA KHUDAI KARYA</t>
  </si>
  <si>
    <t xml:space="preserve">0811300569084832</t>
  </si>
  <si>
    <t xml:space="preserve">Nimbadiya Nada Khudhai Kariya.</t>
  </si>
  <si>
    <t xml:space="preserve">DEWATRA</t>
  </si>
  <si>
    <t xml:space="preserve">Dewatra</t>
  </si>
  <si>
    <t xml:space="preserve">0811300569084866</t>
  </si>
  <si>
    <t xml:space="preserve">Dhandhora</t>
  </si>
  <si>
    <t xml:space="preserve">0811300569084735</t>
  </si>
  <si>
    <t xml:space="preserve">YES.</t>
  </si>
  <si>
    <t xml:space="preserve">Asanda</t>
  </si>
  <si>
    <t xml:space="preserve">0811300569084737</t>
  </si>
  <si>
    <t xml:space="preserve">Lawari</t>
  </si>
  <si>
    <t xml:space="preserve">0811300569084745</t>
  </si>
  <si>
    <t xml:space="preserve">Dodiyal</t>
  </si>
  <si>
    <t xml:space="preserve">0811300569084733</t>
  </si>
  <si>
    <t xml:space="preserve">Dhoru</t>
  </si>
  <si>
    <t xml:space="preserve">0811300569084821</t>
  </si>
  <si>
    <t xml:space="preserve">Gaderi</t>
  </si>
  <si>
    <t xml:space="preserve">0811300569084771</t>
  </si>
  <si>
    <t xml:space="preserve">Tejpura</t>
  </si>
  <si>
    <t xml:space="preserve">0811300569084770</t>
  </si>
  <si>
    <t xml:space="preserve">GAJSINGHPURA</t>
  </si>
  <si>
    <t xml:space="preserve">Gajsinghpura</t>
  </si>
  <si>
    <t xml:space="preserve">0811300569084738</t>
  </si>
  <si>
    <t xml:space="preserve">SIYANDI NADI KE PURV UATAR DISA ME KHUDAI KARYA</t>
  </si>
  <si>
    <t xml:space="preserve">AALA NADI KHUDAI KARYA</t>
  </si>
  <si>
    <t xml:space="preserve">KHATUNDA NADA KHUDAI KARYA</t>
  </si>
  <si>
    <t xml:space="preserve">GARASANI</t>
  </si>
  <si>
    <t xml:space="preserve">Garasani</t>
  </si>
  <si>
    <t xml:space="preserve">0811300569084781</t>
  </si>
  <si>
    <t xml:space="preserve">Govindpura</t>
  </si>
  <si>
    <t xml:space="preserve">0811300569084780</t>
  </si>
  <si>
    <t xml:space="preserve">Hingoli</t>
  </si>
  <si>
    <t xml:space="preserve">0811300569084774</t>
  </si>
  <si>
    <t xml:space="preserve">Bharatkai Nadi Khudhai &amp; Aad Bandhai Kariya,</t>
  </si>
  <si>
    <t xml:space="preserve">बुधा नाडा मॉडल तालाब निर्माण कार्य</t>
  </si>
  <si>
    <t xml:space="preserve">Sekhniyawas</t>
  </si>
  <si>
    <t xml:space="preserve">0811300569084776</t>
  </si>
  <si>
    <t xml:space="preserve">Sukhlaw Nagar</t>
  </si>
  <si>
    <t xml:space="preserve">0811300569084775</t>
  </si>
  <si>
    <t xml:space="preserve">सुखलाव नगर नाडी का मॉडल तालाब निर्माण कार्य।</t>
  </si>
  <si>
    <t xml:space="preserve">HIRADESAR</t>
  </si>
  <si>
    <t xml:space="preserve">Hiradesar</t>
  </si>
  <si>
    <t xml:space="preserve">0811300569084819</t>
  </si>
  <si>
    <t xml:space="preserve">Tambariya Khurd</t>
  </si>
  <si>
    <t xml:space="preserve">0811300569084817</t>
  </si>
  <si>
    <t xml:space="preserve">Tambariya Kalan</t>
  </si>
  <si>
    <t xml:space="preserve">0811300569084818</t>
  </si>
  <si>
    <t xml:space="preserve">Sopda</t>
  </si>
  <si>
    <t xml:space="preserve">0811300569084820</t>
  </si>
  <si>
    <t xml:space="preserve">Jhalamaliya</t>
  </si>
  <si>
    <t xml:space="preserve">0811300569084865</t>
  </si>
  <si>
    <t xml:space="preserve">MAKNDA NADA POORV DISHA KHUDAI KARY</t>
  </si>
  <si>
    <t xml:space="preserve">PABU NADA KHUDAI KARY</t>
  </si>
  <si>
    <t xml:space="preserve">Godawas</t>
  </si>
  <si>
    <t xml:space="preserve">0811300569084867</t>
  </si>
  <si>
    <t xml:space="preserve">SCHOOL K PICHE WALA NADI NIRMAN</t>
  </si>
  <si>
    <t xml:space="preserve">KHERI SALWA</t>
  </si>
  <si>
    <t xml:space="preserve">Kheri Salwa</t>
  </si>
  <si>
    <t xml:space="preserve">0811300569084874</t>
  </si>
  <si>
    <t xml:space="preserve">Khedi Khurd</t>
  </si>
  <si>
    <t xml:space="preserve">0811300569084873</t>
  </si>
  <si>
    <t xml:space="preserve">Kheri Charna</t>
  </si>
  <si>
    <t xml:space="preserve">0811300569084875</t>
  </si>
  <si>
    <t xml:space="preserve">Ashapur</t>
  </si>
  <si>
    <t xml:space="preserve">0811300569084876</t>
  </si>
  <si>
    <t xml:space="preserve">Khedi Kalan</t>
  </si>
  <si>
    <t xml:space="preserve">0811300569084872</t>
  </si>
  <si>
    <t xml:space="preserve">Kumbhara</t>
  </si>
  <si>
    <t xml:space="preserve">0811300569084777</t>
  </si>
  <si>
    <t xml:space="preserve">Basni Sandawa</t>
  </si>
  <si>
    <t xml:space="preserve">0811300569084786</t>
  </si>
  <si>
    <t xml:space="preserve">Barni Kalan</t>
  </si>
  <si>
    <t xml:space="preserve">0811300569084778</t>
  </si>
  <si>
    <t xml:space="preserve">KURI</t>
  </si>
  <si>
    <t xml:space="preserve">Kuri</t>
  </si>
  <si>
    <t xml:space="preserve">0811300569084859</t>
  </si>
  <si>
    <t xml:space="preserve">MANGERIYA</t>
  </si>
  <si>
    <t xml:space="preserve">Mangeriya</t>
  </si>
  <si>
    <t xml:space="preserve">0811300569084734</t>
  </si>
  <si>
    <t xml:space="preserve">Nandiya Prabhawati</t>
  </si>
  <si>
    <t xml:space="preserve">0811300569084869</t>
  </si>
  <si>
    <t xml:space="preserve">Sunari Nadi Khudai Karya</t>
  </si>
  <si>
    <t xml:space="preserve">0811300569084868</t>
  </si>
  <si>
    <t xml:space="preserve">Gogariya Nada Ke Purav Disha Me Khudai Karya</t>
  </si>
  <si>
    <t xml:space="preserve">NARSAR</t>
  </si>
  <si>
    <t xml:space="preserve">Narsar</t>
  </si>
  <si>
    <t xml:space="preserve">0811300569084785</t>
  </si>
  <si>
    <t xml:space="preserve">0811300569084784</t>
  </si>
  <si>
    <t xml:space="preserve">PALRI RANAWATA</t>
  </si>
  <si>
    <t xml:space="preserve">Palri Ranawata</t>
  </si>
  <si>
    <t xml:space="preserve">0811300569084747</t>
  </si>
  <si>
    <t xml:space="preserve">Imartiya Nada ke uttar paschim disha me khudai karya</t>
  </si>
  <si>
    <t xml:space="preserve">Nar Talab ka Model Talab Khudai Karya</t>
  </si>
  <si>
    <t xml:space="preserve">26.77 </t>
  </si>
  <si>
    <t xml:space="preserve">Todiyana</t>
  </si>
  <si>
    <t xml:space="preserve">0811300569084749</t>
  </si>
  <si>
    <t xml:space="preserve">Pepli Nadi ka Model Talab Khudai Nirman Karya</t>
  </si>
  <si>
    <t xml:space="preserve">Nagalwas</t>
  </si>
  <si>
    <t xml:space="preserve">0811300569084748</t>
  </si>
  <si>
    <t xml:space="preserve">chhila nadi khudai karya v medbandi karya</t>
  </si>
  <si>
    <t xml:space="preserve">Devnarainpur</t>
  </si>
  <si>
    <t xml:space="preserve">0811300569084746</t>
  </si>
  <si>
    <t xml:space="preserve">DEVNADA KE DAKSHIN V PASCHIM BHAG ME KHUDAI KARYA</t>
  </si>
  <si>
    <t xml:space="preserve">RAJLANI</t>
  </si>
  <si>
    <t xml:space="preserve">Rajlani</t>
  </si>
  <si>
    <t xml:space="preserve">0811300569084831</t>
  </si>
  <si>
    <t xml:space="preserve">0811300569084830</t>
  </si>
  <si>
    <t xml:space="preserve">RAMPURA</t>
  </si>
  <si>
    <t xml:space="preserve">0811300569084779</t>
  </si>
  <si>
    <t xml:space="preserve">unadiya nada khudae kariya</t>
  </si>
  <si>
    <t xml:space="preserve">Ramsagar Nadi Ki Dakshin Bhag Me Khudai kariya.</t>
  </si>
  <si>
    <t xml:space="preserve">Darmi</t>
  </si>
  <si>
    <t xml:space="preserve">0811300569084782</t>
  </si>
  <si>
    <t xml:space="preserve">RAROD</t>
  </si>
  <si>
    <t xml:space="preserve">Rarod</t>
  </si>
  <si>
    <t xml:space="preserve">0811300569084743</t>
  </si>
  <si>
    <t xml:space="preserve">खसरा न-1052-1055-1056 चाराग्राह विकाश कार्य</t>
  </si>
  <si>
    <t xml:space="preserve">Gavai Nadi khudai or chanal nirman karya</t>
  </si>
  <si>
    <t xml:space="preserve">Gopal Nagar</t>
  </si>
  <si>
    <t xml:space="preserve">0811300569084744</t>
  </si>
  <si>
    <t xml:space="preserve">Khetolaie Nadi ki Dakshin Purv Disha me Khudai Karya</t>
  </si>
  <si>
    <t xml:space="preserve">RUDIA</t>
  </si>
  <si>
    <t xml:space="preserve">Rudiya</t>
  </si>
  <si>
    <t xml:space="preserve">0811300569084795</t>
  </si>
  <si>
    <t xml:space="preserve"> KHASARA NO 551 ME CHARAGHA VIKAS KARIYA</t>
  </si>
  <si>
    <t xml:space="preserve">SUNDA NADA KI PURV PASCHIM DISHA ME KHUDAI KARYE</t>
  </si>
  <si>
    <t xml:space="preserve">Sainda nada ki purv v paschim disha me khudai karye</t>
  </si>
  <si>
    <t xml:space="preserve">Mindoli</t>
  </si>
  <si>
    <t xml:space="preserve">0811300569084768</t>
  </si>
  <si>
    <t xml:space="preserve">Bhasod nada ke dhakshin disha me khudai karye</t>
  </si>
  <si>
    <t xml:space="preserve">SURPURAKHURD</t>
  </si>
  <si>
    <t xml:space="preserve">Surpura Khurd</t>
  </si>
  <si>
    <t xml:space="preserve">0811300569084772</t>
  </si>
  <si>
    <t xml:space="preserve">Bhanwariya Nagar</t>
  </si>
  <si>
    <t xml:space="preserve">0811300569084773</t>
  </si>
  <si>
    <t xml:space="preserve">USTRA</t>
  </si>
  <si>
    <t xml:space="preserve">Ustra</t>
  </si>
  <si>
    <t xml:space="preserve">0811300569084793</t>
  </si>
  <si>
    <t xml:space="preserve">Ustra Takri Ke Padd Kanwarji Valla Nada Khudai</t>
  </si>
  <si>
    <t xml:space="preserve"> gochar bhumi par charagah vikas karya</t>
  </si>
  <si>
    <t xml:space="preserve">Bhairu Nagar</t>
  </si>
  <si>
    <t xml:space="preserve">0811300569084792</t>
  </si>
  <si>
    <t xml:space="preserve">Khasra No 1121 Me Model Talab Nirman Karya</t>
  </si>
  <si>
    <t xml:space="preserve">Saran Nagar</t>
  </si>
  <si>
    <t xml:space="preserve">0811300569084794</t>
  </si>
  <si>
    <t xml:space="preserve">Mandli Charna</t>
  </si>
  <si>
    <t xml:space="preserve">0811300569084769</t>
  </si>
  <si>
    <t xml:space="preserve">Modi Nadi Khudaee kary</t>
  </si>
  <si>
    <t xml:space="preserve">YEAR</t>
  </si>
  <si>
    <t xml:space="preserve">No</t>
  </si>
  <si>
    <t xml:space="preserve">BILARA</t>
  </si>
  <si>
    <t xml:space="preserve">BALA</t>
  </si>
  <si>
    <t xml:space="preserve">Bala</t>
  </si>
  <si>
    <t xml:space="preserve">0811300573085787</t>
  </si>
  <si>
    <t xml:space="preserve">ग्राम बाला में गोचर भूमि में चारागाह विकास कार्य</t>
  </si>
  <si>
    <t xml:space="preserve">Bagawasiya</t>
  </si>
  <si>
    <t xml:space="preserve">0811300573085786</t>
  </si>
  <si>
    <t xml:space="preserve">Matwalon Ki Dhani</t>
  </si>
  <si>
    <t xml:space="preserve">0811300573085788</t>
  </si>
  <si>
    <t xml:space="preserve">Kanawasiya</t>
  </si>
  <si>
    <t xml:space="preserve">0811300573085772</t>
  </si>
  <si>
    <t xml:space="preserve">BARNA</t>
  </si>
  <si>
    <t xml:space="preserve">Barna</t>
  </si>
  <si>
    <t xml:space="preserve">0811300573085803</t>
  </si>
  <si>
    <t xml:space="preserve">Beejasani</t>
  </si>
  <si>
    <t xml:space="preserve">0811300573085796</t>
  </si>
  <si>
    <t xml:space="preserve">मोडल तालाब निर्माण कार्य बिजासनी</t>
  </si>
  <si>
    <t xml:space="preserve">2026-27</t>
  </si>
  <si>
    <t xml:space="preserve">ख.न.72 गे.मु.गोचर में आई जी तालाब खुदाई कार्य</t>
  </si>
  <si>
    <t xml:space="preserve">Jelwa</t>
  </si>
  <si>
    <t xml:space="preserve">0811300573085798</t>
  </si>
  <si>
    <t xml:space="preserve">Bari Kalan</t>
  </si>
  <si>
    <t xml:space="preserve">0811300573085795</t>
  </si>
  <si>
    <t xml:space="preserve">Bari Khurd</t>
  </si>
  <si>
    <t xml:space="preserve">0811300573085793</t>
  </si>
  <si>
    <t xml:space="preserve">Ram Nagar Kalan</t>
  </si>
  <si>
    <t xml:space="preserve">0811300573085794</t>
  </si>
  <si>
    <t xml:space="preserve">BEENJWARIYA</t>
  </si>
  <si>
    <t xml:space="preserve">Beenjwariya</t>
  </si>
  <si>
    <t xml:space="preserve">0811300573085801</t>
  </si>
  <si>
    <t xml:space="preserve">चारागाह में वृक्षारोपण कार्य</t>
  </si>
  <si>
    <t xml:space="preserve">खसरा न.104 में भेरू नाडी खुदाई कार्य</t>
  </si>
  <si>
    <t xml:space="preserve">बचनाडा खुदाई कार्य (पश्चिम दिशा)सुरक्षा दीवार</t>
  </si>
  <si>
    <t xml:space="preserve">छापर नाडी खुदाई कार्य</t>
  </si>
  <si>
    <t xml:space="preserve">काटिया नाडा खुदाई कार्य</t>
  </si>
  <si>
    <t xml:space="preserve">हिंगोटिया नाडा खुदाई कार्य</t>
  </si>
  <si>
    <t xml:space="preserve">झुंझार नाडा खुदाई कार्य</t>
  </si>
  <si>
    <t xml:space="preserve">Harsh</t>
  </si>
  <si>
    <t xml:space="preserve">0811300573085802</t>
  </si>
  <si>
    <t xml:space="preserve">BHAVI</t>
  </si>
  <si>
    <t xml:space="preserve">Bhavi</t>
  </si>
  <si>
    <t xml:space="preserve">0811300573085770</t>
  </si>
  <si>
    <t xml:space="preserve">चारागाह विकास कार्यख. न. 925 में</t>
  </si>
  <si>
    <t xml:space="preserve">गोचर भूमि में  विकास कार्य </t>
  </si>
  <si>
    <t xml:space="preserve">Binawas</t>
  </si>
  <si>
    <t xml:space="preserve">0811300573085741</t>
  </si>
  <si>
    <t xml:space="preserve"> खसरा नंबर 387 गैर मुमकिन गौचर मे चारागाह विकास कार्य</t>
  </si>
  <si>
    <t xml:space="preserve">पीली नाडी खुदाई कार्य बीनावास</t>
  </si>
  <si>
    <t xml:space="preserve">चरखा नाडी खुदाई कार्य बीनावास</t>
  </si>
  <si>
    <t xml:space="preserve">CHANDELAO</t>
  </si>
  <si>
    <t xml:space="preserve">Chandelao</t>
  </si>
  <si>
    <t xml:space="preserve">0811300573085743</t>
  </si>
  <si>
    <t xml:space="preserve">ग्राम चान्देलाव में गोचर भूमि में चारागाह विकास कार्य</t>
  </si>
  <si>
    <t xml:space="preserve">ग्राम चान्देलाव में 442/441 गोचर भूमि की मेडबंदी झाड़ी व विलायती बबूल कटाई कार्य</t>
  </si>
  <si>
    <t xml:space="preserve">ग्राम चांदेलाव में ख.न.३० में गे.मु.नाडी की मेडबंदी व् खुदाई कार्य</t>
  </si>
  <si>
    <t xml:space="preserve">Vishnu Dhani</t>
  </si>
  <si>
    <t xml:space="preserve">0811300573085742</t>
  </si>
  <si>
    <t xml:space="preserve">ग्राम विष्णु की ढाणी में चारागाह विकास कार्य</t>
  </si>
  <si>
    <t xml:space="preserve">GHANAMAGRA</t>
  </si>
  <si>
    <t xml:space="preserve">Ghanamagra</t>
  </si>
  <si>
    <t xml:space="preserve">0811300573085753</t>
  </si>
  <si>
    <t xml:space="preserve">Birawas</t>
  </si>
  <si>
    <t xml:space="preserve">0811300573085769</t>
  </si>
  <si>
    <t xml:space="preserve">HARIYA DHANA</t>
  </si>
  <si>
    <t xml:space="preserve">Hariya Dhana</t>
  </si>
  <si>
    <t xml:space="preserve">0811300573085717</t>
  </si>
  <si>
    <t xml:space="preserve"> गौचर भूमि ख. न. 564 में चारागाह विकास कार्य व वृक्षारोपण कार्य</t>
  </si>
  <si>
    <t xml:space="preserve">पिपली नाडा का दक्षिण पूर्व दिशा में खुदाई कार्य</t>
  </si>
  <si>
    <t xml:space="preserve">धंदलाई नाडा दक्षिण पूर्व दिशा में खुदाई कार्य</t>
  </si>
  <si>
    <t xml:space="preserve">0811300573085719</t>
  </si>
  <si>
    <t xml:space="preserve">टोंका वाला नाडा दक्षिण पूर्व दिशा में खुदाई कार्य</t>
  </si>
  <si>
    <t xml:space="preserve">Khojanagar</t>
  </si>
  <si>
    <t xml:space="preserve">0811300573085718</t>
  </si>
  <si>
    <t xml:space="preserve">भूतिया नाडा का उत्तर पूर्व भाग खुदाई कार्य</t>
  </si>
  <si>
    <t xml:space="preserve">HARIYADA</t>
  </si>
  <si>
    <t xml:space="preserve">Hariyada</t>
  </si>
  <si>
    <t xml:space="preserve">0811300573085782</t>
  </si>
  <si>
    <t xml:space="preserve">ग्राम खुटलिया में गोचर भूमि में चारागाह विकास कार्य</t>
  </si>
  <si>
    <t xml:space="preserve">खसरा नं 185 में उतर पश्चिम दिशा में नाडी खुदाई कार्य</t>
  </si>
  <si>
    <t xml:space="preserve">गिरी नाडा खुदाई कार्य व आड निर्माण कार्य</t>
  </si>
  <si>
    <t xml:space="preserve">गोचर भूमि खूंटलिया मे नई नाड़ी खुदाई कार्य खूंटलिया</t>
  </si>
  <si>
    <t xml:space="preserve">पड़सला खुर्द की तरफ गोचर भूमि विकास कार्य</t>
  </si>
  <si>
    <t xml:space="preserve">Khuntaliya</t>
  </si>
  <si>
    <t xml:space="preserve">0811300573085783</t>
  </si>
  <si>
    <t xml:space="preserve">Holpur Khurd</t>
  </si>
  <si>
    <t xml:space="preserve">0811300573085785</t>
  </si>
  <si>
    <t xml:space="preserve">Hungaon Kalan</t>
  </si>
  <si>
    <t xml:space="preserve">0811300573085780</t>
  </si>
  <si>
    <t xml:space="preserve">हूँणगाँव कला में सरकारी जमीन पर नाडी निर्माण</t>
  </si>
  <si>
    <t xml:space="preserve">हूणगाँव कला मॉडल तालाब की खुदाई व् झाड़ी कटाई कार्य</t>
  </si>
  <si>
    <t xml:space="preserve">Hungaon Khurd</t>
  </si>
  <si>
    <t xml:space="preserve">0811300573085779</t>
  </si>
  <si>
    <t xml:space="preserve">मुर्डिया नाडा खुदाई कार्य हुणगाँव खुर्द</t>
  </si>
  <si>
    <t xml:space="preserve">Holpur Kalan</t>
  </si>
  <si>
    <t xml:space="preserve">0811300573085781</t>
  </si>
  <si>
    <t xml:space="preserve">होलपुर कला खसरा नंबर 156 मे नई नडी खुदाई कार्य</t>
  </si>
  <si>
    <t xml:space="preserve">Jaswantpura</t>
  </si>
  <si>
    <t xml:space="preserve">0811300573085768</t>
  </si>
  <si>
    <t xml:space="preserve">yes</t>
  </si>
  <si>
    <t xml:space="preserve">Rampuriya</t>
  </si>
  <si>
    <t xml:space="preserve">0811300573085762</t>
  </si>
  <si>
    <t xml:space="preserve">PIPALI KHUDAI KARY </t>
  </si>
  <si>
    <t xml:space="preserve">Banjara</t>
  </si>
  <si>
    <t xml:space="preserve">0811300573085761</t>
  </si>
  <si>
    <t xml:space="preserve">Nadi kudai kary </t>
  </si>
  <si>
    <t xml:space="preserve">JETIWAS</t>
  </si>
  <si>
    <t xml:space="preserve">Jetiwas</t>
  </si>
  <si>
    <t xml:space="preserve">0811300573085797</t>
  </si>
  <si>
    <t xml:space="preserve">खसरा नम्बर 764 जैतीवास में गैर मुमकिन गोचर भूमि विकास कार्य</t>
  </si>
  <si>
    <t xml:space="preserve">JHAK</t>
  </si>
  <si>
    <t xml:space="preserve">Jhak</t>
  </si>
  <si>
    <t xml:space="preserve">0811300573085759</t>
  </si>
  <si>
    <t xml:space="preserve">ग्राम झाक मे खसरा नंबर 96 मे चारागाह विकास कार्य</t>
  </si>
  <si>
    <t xml:space="preserve">रामतालई नाडी पश्चिम दिशा खुदाई</t>
  </si>
  <si>
    <t xml:space="preserve">जिम रावत जी नाडा पूर्व दिशा नाड़ी खुदाई कार्य</t>
  </si>
  <si>
    <t xml:space="preserve"> गवाई तालाब पश्चिम दिशा नाड़ी खुदाई कार्य</t>
  </si>
  <si>
    <t xml:space="preserve">Maraja Nagar</t>
  </si>
  <si>
    <t xml:space="preserve">0811300573085758</t>
  </si>
  <si>
    <t xml:space="preserve">नाड़ा खुदाई कार्य </t>
  </si>
  <si>
    <t xml:space="preserve">Kanwariya Nagar</t>
  </si>
  <si>
    <t xml:space="preserve">0811300573085757</t>
  </si>
  <si>
    <t xml:space="preserve">ग्राम कवरिया नगर मे उत्तर दिशा तालाब खुदाई कार्य</t>
  </si>
  <si>
    <t xml:space="preserve">Murkasni</t>
  </si>
  <si>
    <t xml:space="preserve">0811300573085756</t>
  </si>
  <si>
    <t xml:space="preserve">ओटन नाडी उत्तर दिशा खुदाई कार्य व गाद निकलाई कार्य</t>
  </si>
  <si>
    <t xml:space="preserve">ग्राम मुरकासनी मे गवाई नाड़ी खुदाई कार्य</t>
  </si>
  <si>
    <t xml:space="preserve">डाबुड़ी नाड़ी पश्चिम दिशा नाड़ी खुदाई कार्य</t>
  </si>
  <si>
    <t xml:space="preserve">KALAUNA</t>
  </si>
  <si>
    <t xml:space="preserve">Kalauna</t>
  </si>
  <si>
    <t xml:space="preserve">0811300573085763</t>
  </si>
  <si>
    <t xml:space="preserve">ग्राम कलाउना में गोचर भूमि में चारागाह विकास कार्य (प्रथम चरण)</t>
  </si>
  <si>
    <t xml:space="preserve">KAPARDA</t>
  </si>
  <si>
    <t xml:space="preserve">Kaparda</t>
  </si>
  <si>
    <t xml:space="preserve">0811300573085745</t>
  </si>
  <si>
    <t xml:space="preserve">अमीर खां/ सुल्तान खां के खेत से हाजी खां के खेत तक ख. न. 323 में चारागाह विकास कार्य</t>
  </si>
  <si>
    <t xml:space="preserve">कापरेटीव गोदाम से हाजी खां/ दाउद खां के खेत तक ख.न.323 में चारागाह विकास कार्य</t>
  </si>
  <si>
    <t xml:space="preserve">लाल सिंह/ चंद्र सिंह के खेत से नेशनल हाईवे 112 तक चारागाह विकास कार्य</t>
  </si>
  <si>
    <t xml:space="preserve">0811300573085748</t>
  </si>
  <si>
    <t xml:space="preserve">Jambanagar</t>
  </si>
  <si>
    <t xml:space="preserve">0811300573085747</t>
  </si>
  <si>
    <t xml:space="preserve">Sayarpura</t>
  </si>
  <si>
    <t xml:space="preserve">0811300573085746</t>
  </si>
  <si>
    <t xml:space="preserve">Basni Kaparda</t>
  </si>
  <si>
    <t xml:space="preserve">0811300573085738</t>
  </si>
  <si>
    <t xml:space="preserve">KHARIYA MEETHAPUR</t>
  </si>
  <si>
    <t xml:space="preserve">Khariya Meethapur</t>
  </si>
  <si>
    <t xml:space="preserve">0811300573085799</t>
  </si>
  <si>
    <t xml:space="preserve">ग्राम पंचायत खारिया मिठापुर में ख. न. 1559 में चारागाह विकास कार्य</t>
  </si>
  <si>
    <t xml:space="preserve">0811300573085800</t>
  </si>
  <si>
    <t xml:space="preserve">KHEJARLA</t>
  </si>
  <si>
    <t xml:space="preserve">Khejarla</t>
  </si>
  <si>
    <t xml:space="preserve">0811300573085754</t>
  </si>
  <si>
    <t xml:space="preserve">ग्राम पंचायत खेजडला मे खसरा नंबर 318 मे चारागाह विकास कार्य</t>
  </si>
  <si>
    <t xml:space="preserve">खसरा न.1001 में मेडबंदी व झाड़ी कटाई कार्य</t>
  </si>
  <si>
    <t xml:space="preserve">खसरा न.725 में मेडबंदी व झाड़ी कटाई कार्य</t>
  </si>
  <si>
    <t xml:space="preserve">ख.न.316/3 में वृक्षारोपण कार्य</t>
  </si>
  <si>
    <t xml:space="preserve">खसरा न.880 में मेडबंदी व झाड़ी कटाई कार्य</t>
  </si>
  <si>
    <t xml:space="preserve">ख न 163 में मेडबन्दी व झाडी कटिंग कार्य</t>
  </si>
  <si>
    <t xml:space="preserve">LAMBA</t>
  </si>
  <si>
    <t xml:space="preserve">Lamba</t>
  </si>
  <si>
    <t xml:space="preserve">0811300573085771</t>
  </si>
  <si>
    <t xml:space="preserve">केला नाडा खुदाई कार्य पूर्व दिशा में लाम्बा</t>
  </si>
  <si>
    <t xml:space="preserve">गुस्साई आगोर में नाडी खुदाई कार्य पश्चिम दिशा में लाम्बा</t>
  </si>
  <si>
    <t xml:space="preserve">खसरा नंबर 737 में नाडी खुदाई कार्य ग्राम लाम्बा</t>
  </si>
  <si>
    <t xml:space="preserve">MALKOSNI</t>
  </si>
  <si>
    <t xml:space="preserve">Malkosani</t>
  </si>
  <si>
    <t xml:space="preserve">0811300573085791</t>
  </si>
  <si>
    <t xml:space="preserve">छापरिया नाडा उत्तर दिशा खुदाई कार्य</t>
  </si>
  <si>
    <t xml:space="preserve">मठ नाडी खुदाई कार्य</t>
  </si>
  <si>
    <t xml:space="preserve">भांबीनाड़ी खुदाई कार्य मालकोसनी</t>
  </si>
  <si>
    <t xml:space="preserve">पिपलिया नाड़ा खुदाई कार्य मालकोसनी</t>
  </si>
  <si>
    <t xml:space="preserve">OLVI</t>
  </si>
  <si>
    <t xml:space="preserve">Olvi</t>
  </si>
  <si>
    <t xml:space="preserve">0811300573085774</t>
  </si>
  <si>
    <t xml:space="preserve">ओलवि गोचर की मेड बंदी</t>
  </si>
  <si>
    <t xml:space="preserve">Anand Nagar</t>
  </si>
  <si>
    <t xml:space="preserve">0811300573085775</t>
  </si>
  <si>
    <t xml:space="preserve">आनंद नगर की गोचर भूमि में नार नाडी खुदाई कार्य</t>
  </si>
  <si>
    <t xml:space="preserve">26.16 </t>
  </si>
  <si>
    <t xml:space="preserve">Rampuriya Bhatiyan</t>
  </si>
  <si>
    <t xml:space="preserve">0811300573085776</t>
  </si>
  <si>
    <t xml:space="preserve">आगोर में नई नाडी खुदाई कार्य</t>
  </si>
  <si>
    <t xml:space="preserve">PADASALA KALAN</t>
  </si>
  <si>
    <t xml:space="preserve">Padasala Kalan</t>
  </si>
  <si>
    <t xml:space="preserve">0811300573085789</t>
  </si>
  <si>
    <t xml:space="preserve">Padasala Khurd</t>
  </si>
  <si>
    <t xml:space="preserve">0811300573085784</t>
  </si>
  <si>
    <t xml:space="preserve">Goojrawas</t>
  </si>
  <si>
    <t xml:space="preserve">0811300573085790</t>
  </si>
  <si>
    <t xml:space="preserve">PATELNAGAR</t>
  </si>
  <si>
    <t xml:space="preserve">Patel Nagar</t>
  </si>
  <si>
    <t xml:space="preserve">0811300573085716</t>
  </si>
  <si>
    <t xml:space="preserve">रातानाडा पूर्वी भाग खुदाई कार्य</t>
  </si>
  <si>
    <t xml:space="preserve">डाबड़ी नाडी पश्चिम भाग खुदाई कार्य</t>
  </si>
  <si>
    <t xml:space="preserve">डोली नाड़ी घाट व खुदाई कार्य पटेलनगर</t>
  </si>
  <si>
    <t xml:space="preserve">PICHIYAK</t>
  </si>
  <si>
    <t xml:space="preserve">Pichiyak</t>
  </si>
  <si>
    <t xml:space="preserve">0811300573085766</t>
  </si>
  <si>
    <t xml:space="preserve">Jhurli</t>
  </si>
  <si>
    <t xml:space="preserve">0811300573085792</t>
  </si>
  <si>
    <t xml:space="preserve">Bandh Jaswantsagar</t>
  </si>
  <si>
    <t xml:space="preserve">0811300573085767</t>
  </si>
  <si>
    <t xml:space="preserve">RAMASANI</t>
  </si>
  <si>
    <t xml:space="preserve">Ramasani</t>
  </si>
  <si>
    <t xml:space="preserve">0811300573085778</t>
  </si>
  <si>
    <t xml:space="preserve">रेवंडा नाडा खुदाई व आगोर में बबुल कटाई कार्य</t>
  </si>
  <si>
    <t xml:space="preserve">0811300573085777</t>
  </si>
  <si>
    <t xml:space="preserve">सिंह नाडा खुदाई व बबूल कटाई कार्य</t>
  </si>
  <si>
    <t xml:space="preserve">26.2 </t>
  </si>
  <si>
    <t xml:space="preserve">RANSIGAON</t>
  </si>
  <si>
    <t xml:space="preserve">Ransi Gaon</t>
  </si>
  <si>
    <t xml:space="preserve">0811300573085721</t>
  </si>
  <si>
    <t xml:space="preserve">RAWAR</t>
  </si>
  <si>
    <t xml:space="preserve">Rawar</t>
  </si>
  <si>
    <t xml:space="preserve">0811300573085773</t>
  </si>
  <si>
    <t xml:space="preserve">रातिया नाड़ा खुदाई कार्य</t>
  </si>
  <si>
    <t xml:space="preserve">देवकिशन जी नाडा खुदाई कार्य</t>
  </si>
  <si>
    <t xml:space="preserve">खेराड़ी नाडी पूर्वी भाग खुदाई कार्य व आड बधाई कार्य</t>
  </si>
  <si>
    <t xml:space="preserve">SAMBARIYA</t>
  </si>
  <si>
    <t xml:space="preserve">Sambariya</t>
  </si>
  <si>
    <t xml:space="preserve">0811300573085755</t>
  </si>
  <si>
    <t xml:space="preserve">चारागाह विकास कार्य संभाडिया</t>
  </si>
  <si>
    <t xml:space="preserve">Bhagasani</t>
  </si>
  <si>
    <t xml:space="preserve">0811300573085760</t>
  </si>
  <si>
    <t xml:space="preserve">दण्ड नाडी खुदाई,सुरक्षादीवार व घाट निर्माण कार्य</t>
  </si>
  <si>
    <t xml:space="preserve">Sindhi Nagar</t>
  </si>
  <si>
    <t xml:space="preserve">0811300573085744</t>
  </si>
  <si>
    <t xml:space="preserve">ग्राम सिन्धीनगर में खारडा तालाब की पाल एवं आगोर में पोधारोपन का कार्य एवं तारबंदी निर्माण कार्य</t>
  </si>
  <si>
    <t xml:space="preserve">धोला नाडा उत्तरी दिशा खुदाई कार्य</t>
  </si>
  <si>
    <t xml:space="preserve">मॉडल तालाब में आगोर में मेडबंदी व प्लांटेरम</t>
  </si>
  <si>
    <t xml:space="preserve">धोलानाडा दक्षिण दिशा खुदाई , घाट निर्माण व सुरक्षा दिवार निर्माण कार्य सिन्धीनगर</t>
  </si>
  <si>
    <t xml:space="preserve">UDALIYAWAS</t>
  </si>
  <si>
    <t xml:space="preserve">Udaliyawas</t>
  </si>
  <si>
    <t xml:space="preserve">0811300573085765</t>
  </si>
  <si>
    <t xml:space="preserve">Kooparawas</t>
  </si>
  <si>
    <t xml:space="preserve">0811300573085764</t>
  </si>
  <si>
    <t xml:space="preserve">Bilara (M)</t>
  </si>
  <si>
    <t xml:space="preserve">0811300573800546</t>
  </si>
  <si>
    <t xml:space="preserve">CHAMU</t>
  </si>
  <si>
    <t xml:space="preserve">BANON KA BAS</t>
  </si>
  <si>
    <t xml:space="preserve">Banon Ka Bas</t>
  </si>
  <si>
    <t xml:space="preserve">0811300571085077</t>
  </si>
  <si>
    <t xml:space="preserve">nadi KHUDAI KARY</t>
  </si>
  <si>
    <t xml:space="preserve">Sadulnagar</t>
  </si>
  <si>
    <t xml:space="preserve">0811300571085073</t>
  </si>
  <si>
    <t xml:space="preserve">GumanSingh Nagar</t>
  </si>
  <si>
    <t xml:space="preserve">0811300571085075</t>
  </si>
  <si>
    <t xml:space="preserve">0811300571085076</t>
  </si>
  <si>
    <t xml:space="preserve">Hari Om Nagar</t>
  </si>
  <si>
    <t xml:space="preserve">0811300571085078</t>
  </si>
  <si>
    <t xml:space="preserve">Mahadeo Nagar</t>
  </si>
  <si>
    <t xml:space="preserve">0811300571085079</t>
  </si>
  <si>
    <t xml:space="preserve">Man Singh Nagar</t>
  </si>
  <si>
    <t xml:space="preserve">0811300571085074</t>
  </si>
  <si>
    <t xml:space="preserve">Junader</t>
  </si>
  <si>
    <t xml:space="preserve">0811300571085085</t>
  </si>
  <si>
    <t xml:space="preserve">Bhaloo Ratangarh</t>
  </si>
  <si>
    <t xml:space="preserve">0811300571085233</t>
  </si>
  <si>
    <t xml:space="preserve">नरिग सागर खुदाई बंधाई कार्य</t>
  </si>
  <si>
    <t xml:space="preserve">26.61 </t>
  </si>
  <si>
    <t xml:space="preserve">0811300571085234</t>
  </si>
  <si>
    <t xml:space="preserve">Bhaloo Kumbaniya</t>
  </si>
  <si>
    <t xml:space="preserve">0811300571085231</t>
  </si>
  <si>
    <t xml:space="preserve">Tejsingh Nagar</t>
  </si>
  <si>
    <t xml:space="preserve">0811300571085232</t>
  </si>
  <si>
    <t xml:space="preserve">Punawat Nagar</t>
  </si>
  <si>
    <t xml:space="preserve">0811300571085230</t>
  </si>
  <si>
    <t xml:space="preserve">Shri Karani Nagar</t>
  </si>
  <si>
    <t xml:space="preserve">0811300571085228</t>
  </si>
  <si>
    <t xml:space="preserve">Chamu</t>
  </si>
  <si>
    <t xml:space="preserve">0811300571085222</t>
  </si>
  <si>
    <t xml:space="preserve">ruplai nadi khudai karya</t>
  </si>
  <si>
    <t xml:space="preserve">Ranji Sagar</t>
  </si>
  <si>
    <t xml:space="preserve">0811300571085224</t>
  </si>
  <si>
    <t xml:space="preserve">DERIYA</t>
  </si>
  <si>
    <t xml:space="preserve">Deriya</t>
  </si>
  <si>
    <t xml:space="preserve">0811300571085328</t>
  </si>
  <si>
    <t xml:space="preserve">डेरिया में चारागाह विकास कार्य</t>
  </si>
  <si>
    <t xml:space="preserve">daya bhag bhursagar nadi khudai v bandhai kary</t>
  </si>
  <si>
    <t xml:space="preserve">कालका देवी नाड़ी खुदाई व बंधाई कार्य</t>
  </si>
  <si>
    <t xml:space="preserve">DAYA BHAG ADRASH NADA KHUDAI V BHANDAI KARIYE</t>
  </si>
  <si>
    <t xml:space="preserve">नइ नाड़ी पिपलिया खुदाई एव बंधाई कार्य</t>
  </si>
  <si>
    <t xml:space="preserve">Moti Singh Nagar</t>
  </si>
  <si>
    <t xml:space="preserve">0811300571085330</t>
  </si>
  <si>
    <t xml:space="preserve">DEWANIYA</t>
  </si>
  <si>
    <t xml:space="preserve">Dewaniya</t>
  </si>
  <si>
    <t xml:space="preserve">0811300571085100</t>
  </si>
  <si>
    <t xml:space="preserve"> naganaray mandir ke pas vriksharopan kary</t>
  </si>
  <si>
    <t xml:space="preserve">0811300571085101</t>
  </si>
  <si>
    <t xml:space="preserve">Baldev Nagar</t>
  </si>
  <si>
    <t xml:space="preserve">0811300571085099</t>
  </si>
  <si>
    <t xml:space="preserve">Berdo Ka Bas</t>
  </si>
  <si>
    <t xml:space="preserve">0811300571085098</t>
  </si>
  <si>
    <t xml:space="preserve">DEWATOO</t>
  </si>
  <si>
    <t xml:space="preserve">Dewatoo</t>
  </si>
  <si>
    <t xml:space="preserve">0811300571085251</t>
  </si>
  <si>
    <t xml:space="preserve">शिवनाथ नाडी खुदाई व बंधाई कार्य</t>
  </si>
  <si>
    <t xml:space="preserve">Bhadasar</t>
  </si>
  <si>
    <t xml:space="preserve">0811300571085247</t>
  </si>
  <si>
    <t xml:space="preserve">0811300571085248</t>
  </si>
  <si>
    <t xml:space="preserve">Pujraj Nagar</t>
  </si>
  <si>
    <t xml:space="preserve">0811300571085249</t>
  </si>
  <si>
    <t xml:space="preserve">Laxmangarh</t>
  </si>
  <si>
    <t xml:space="preserve">0811300571085246</t>
  </si>
  <si>
    <t xml:space="preserve">Jogidas Nagar</t>
  </si>
  <si>
    <t xml:space="preserve">0811300571085250</t>
  </si>
  <si>
    <t xml:space="preserve">Ramchandrani Nagar</t>
  </si>
  <si>
    <t xml:space="preserve">0811300571085255</t>
  </si>
  <si>
    <t xml:space="preserve">Vijay Singh Nagar</t>
  </si>
  <si>
    <t xml:space="preserve">0811300571085254</t>
  </si>
  <si>
    <t xml:space="preserve">Chavnd Sagar</t>
  </si>
  <si>
    <t xml:space="preserve">0811300571085253</t>
  </si>
  <si>
    <t xml:space="preserve">Modsingh Nagar</t>
  </si>
  <si>
    <t xml:space="preserve">0811300571085252</t>
  </si>
  <si>
    <t xml:space="preserve">चारागाह विकास कार्य मोडसिंह नगर देवातू</t>
  </si>
  <si>
    <t xml:space="preserve">Barnau</t>
  </si>
  <si>
    <t xml:space="preserve">0811300571085097</t>
  </si>
  <si>
    <t xml:space="preserve">gram panchayat baarnau me nrega yojna se charagah vikas karya</t>
  </si>
  <si>
    <t xml:space="preserve">चिचड़ली नाड़ी की गाद निकालना कार्य</t>
  </si>
  <si>
    <t xml:space="preserve">0811300571085095</t>
  </si>
  <si>
    <t xml:space="preserve">Kesariya Kanwar Nagar</t>
  </si>
  <si>
    <t xml:space="preserve">0811300571085094</t>
  </si>
  <si>
    <t xml:space="preserve">GILAKOR</t>
  </si>
  <si>
    <t xml:space="preserve">Gilakor</t>
  </si>
  <si>
    <t xml:space="preserve">0811300571085068</t>
  </si>
  <si>
    <t xml:space="preserve">CHARAGAH VIKAS KARY </t>
  </si>
  <si>
    <t xml:space="preserve">Ramu Nagar</t>
  </si>
  <si>
    <t xml:space="preserve">0811300571085065</t>
  </si>
  <si>
    <t xml:space="preserve">Sultansingh Nagar</t>
  </si>
  <si>
    <t xml:space="preserve">0811300571085069</t>
  </si>
  <si>
    <t xml:space="preserve">Raghunath Singh Nagar</t>
  </si>
  <si>
    <t xml:space="preserve">0811300571085066</t>
  </si>
  <si>
    <t xml:space="preserve">0811300571085067</t>
  </si>
  <si>
    <t xml:space="preserve">NADI KHUDAI KARY  </t>
  </si>
  <si>
    <t xml:space="preserve">GODELAI</t>
  </si>
  <si>
    <t xml:space="preserve">Godelai</t>
  </si>
  <si>
    <t xml:space="preserve">0811300571085205</t>
  </si>
  <si>
    <t xml:space="preserve">Godelai nadi khudayi BANDHAI karya left side</t>
  </si>
  <si>
    <t xml:space="preserve">BHUREWALA NADA KI KHUDAYI BANDHAI KARYA LEFT SIDE</t>
  </si>
  <si>
    <t xml:space="preserve">0811300571085206</t>
  </si>
  <si>
    <t xml:space="preserve">Babu Nagar</t>
  </si>
  <si>
    <t xml:space="preserve">0811300571085207</t>
  </si>
  <si>
    <t xml:space="preserve">BHOMIYAJI NADI KHUDHAI EVM BHANDHAI KARYA</t>
  </si>
  <si>
    <t xml:space="preserve">Bagata Nagar</t>
  </si>
  <si>
    <t xml:space="preserve">0811300571085209</t>
  </si>
  <si>
    <t xml:space="preserve">Gopalpura</t>
  </si>
  <si>
    <t xml:space="preserve">0811300571085087</t>
  </si>
  <si>
    <t xml:space="preserve">DUBONI BAYA BHAG NADI KHUDHAI V BANDHI KARIYEGOPALPURA</t>
  </si>
  <si>
    <t xml:space="preserve">Kansingh Nagar</t>
  </si>
  <si>
    <t xml:space="preserve">0811300571085091</t>
  </si>
  <si>
    <t xml:space="preserve">KARLAI NADA KHUDAI </t>
  </si>
  <si>
    <t xml:space="preserve">Karlai Nagar</t>
  </si>
  <si>
    <t xml:space="preserve">0811300571085086</t>
  </si>
  <si>
    <t xml:space="preserve">BAH NADI KHUDAI KARY </t>
  </si>
  <si>
    <t xml:space="preserve">Mejal Nagar</t>
  </si>
  <si>
    <t xml:space="preserve">0811300571085080</t>
  </si>
  <si>
    <t xml:space="preserve">BHOM SAGAR NADA </t>
  </si>
  <si>
    <t xml:space="preserve">0811300571085090</t>
  </si>
  <si>
    <t xml:space="preserve">0811300571085089</t>
  </si>
  <si>
    <t xml:space="preserve">muktiya nada daya bhag khudai v bandhai kary</t>
  </si>
  <si>
    <t xml:space="preserve">0811300571085088</t>
  </si>
  <si>
    <t xml:space="preserve">LODTA ACHLAWATA</t>
  </si>
  <si>
    <t xml:space="preserve">Lodta Achlawata</t>
  </si>
  <si>
    <t xml:space="preserve">0811300571085103</t>
  </si>
  <si>
    <t xml:space="preserve">खसरा संख्या 51/2 में चारागाह विकास कार्य </t>
  </si>
  <si>
    <t xml:space="preserve">0811300571085102</t>
  </si>
  <si>
    <t xml:space="preserve">rewat naya nada khudai karya </t>
  </si>
  <si>
    <t xml:space="preserve">Lodta Haridasota</t>
  </si>
  <si>
    <t xml:space="preserve">0811300571085104</t>
  </si>
  <si>
    <t xml:space="preserve">`</t>
  </si>
  <si>
    <t xml:space="preserve">gram panchayat lodta haridasota me nrega yojna se charagah vikas karya</t>
  </si>
  <si>
    <t xml:space="preserve">Khadingsar</t>
  </si>
  <si>
    <t xml:space="preserve">0811300571085105</t>
  </si>
  <si>
    <t xml:space="preserve">Kalani Nagar</t>
  </si>
  <si>
    <t xml:space="preserve">0811300571085106</t>
  </si>
  <si>
    <t xml:space="preserve">Ma Sati Nagar</t>
  </si>
  <si>
    <t xml:space="preserve">0811300571085214</t>
  </si>
  <si>
    <t xml:space="preserve">नई नाड़ी खुदाई कार्य</t>
  </si>
  <si>
    <t xml:space="preserve">Baghsagar</t>
  </si>
  <si>
    <t xml:space="preserve">0811300571085221</t>
  </si>
  <si>
    <t xml:space="preserve">0811300571085217</t>
  </si>
  <si>
    <t xml:space="preserve">Sayab Nagar</t>
  </si>
  <si>
    <t xml:space="preserve">0811300571085216</t>
  </si>
  <si>
    <t xml:space="preserve">NATHADAU</t>
  </si>
  <si>
    <t xml:space="preserve">Nathdau</t>
  </si>
  <si>
    <t xml:space="preserve">0811300571085084</t>
  </si>
  <si>
    <t xml:space="preserve">खरतानाडा गैर मुमकिन ओरण में समतलीकरण चारागाह विकास मेडबंदी कार्य</t>
  </si>
  <si>
    <t xml:space="preserve">Chain Singh Nagar</t>
  </si>
  <si>
    <t xml:space="preserve">0811300571085093</t>
  </si>
  <si>
    <t xml:space="preserve">Roopnagar</t>
  </si>
  <si>
    <t xml:space="preserve">0811300571085092</t>
  </si>
  <si>
    <t xml:space="preserve">Amar Nagar</t>
  </si>
  <si>
    <t xml:space="preserve">0811300571085083</t>
  </si>
  <si>
    <t xml:space="preserve">Ramdev Nagar</t>
  </si>
  <si>
    <t xml:space="preserve">0811300571085082</t>
  </si>
  <si>
    <t xml:space="preserve">Babu Singh Nagar</t>
  </si>
  <si>
    <t xml:space="preserve">0811300571085081</t>
  </si>
  <si>
    <t xml:space="preserve">Panditon Ka Bas</t>
  </si>
  <si>
    <t xml:space="preserve">0811300571085211</t>
  </si>
  <si>
    <t xml:space="preserve">Hanuman Sagar</t>
  </si>
  <si>
    <t xml:space="preserve">0811300571085096</t>
  </si>
  <si>
    <t xml:space="preserve">Beega Dev Nagar</t>
  </si>
  <si>
    <t xml:space="preserve">0811300571085212</t>
  </si>
  <si>
    <t xml:space="preserve">PRAHLADPURA</t>
  </si>
  <si>
    <t xml:space="preserve">Prahladpura</t>
  </si>
  <si>
    <t xml:space="preserve">0811300571085215</t>
  </si>
  <si>
    <t xml:space="preserve">चारागाह विकास कार्य प्रहलादपुरा</t>
  </si>
  <si>
    <t xml:space="preserve">Mooleji Ka Bera</t>
  </si>
  <si>
    <t xml:space="preserve">0811300571085213</t>
  </si>
  <si>
    <t xml:space="preserve">केरली नाडी की दाया भाग खुदाई एवं गाद निकलाई</t>
  </si>
  <si>
    <t xml:space="preserve">RAJSAGAR</t>
  </si>
  <si>
    <t xml:space="preserve">Rajsagar</t>
  </si>
  <si>
    <t xml:space="preserve">0811300571085218</t>
  </si>
  <si>
    <t xml:space="preserve">Moti Sagar</t>
  </si>
  <si>
    <t xml:space="preserve">0811300571085219</t>
  </si>
  <si>
    <t xml:space="preserve">Hari Sagar</t>
  </si>
  <si>
    <t xml:space="preserve">0811300571085223</t>
  </si>
  <si>
    <t xml:space="preserve">Sajjansagar</t>
  </si>
  <si>
    <t xml:space="preserve">0811300571085220</t>
  </si>
  <si>
    <t xml:space="preserve">BASNI NADI KHUDAI KARIYE UTRI BHAG SAJANSAGAR</t>
  </si>
  <si>
    <t xml:space="preserve">Ramsar</t>
  </si>
  <si>
    <t xml:space="preserve">0811300571085203</t>
  </si>
  <si>
    <t xml:space="preserve">स्वामी नाड़ी बंधाई व गाद निकालना</t>
  </si>
  <si>
    <t xml:space="preserve">Lal Nagar</t>
  </si>
  <si>
    <t xml:space="preserve">0811300571085208</t>
  </si>
  <si>
    <t xml:space="preserve">Tilan Nagar</t>
  </si>
  <si>
    <t xml:space="preserve">0811300571085210</t>
  </si>
  <si>
    <t xml:space="preserve">Ramsingh Nagar</t>
  </si>
  <si>
    <t xml:space="preserve">0811300571085325</t>
  </si>
  <si>
    <t xml:space="preserve">Dungargarh</t>
  </si>
  <si>
    <t xml:space="preserve">0811300571085237</t>
  </si>
  <si>
    <t xml:space="preserve">Meriya</t>
  </si>
  <si>
    <t xml:space="preserve">0811300571085326</t>
  </si>
  <si>
    <t xml:space="preserve">Budhsingh Nagar</t>
  </si>
  <si>
    <t xml:space="preserve">0811300571085329</t>
  </si>
  <si>
    <t xml:space="preserve">Anopsingh Nagar</t>
  </si>
  <si>
    <t xml:space="preserve">0811300571085327</t>
  </si>
  <si>
    <t xml:space="preserve">SUKHMANDLA</t>
  </si>
  <si>
    <t xml:space="preserve">Sukhmandla</t>
  </si>
  <si>
    <t xml:space="preserve">0811300571085071</t>
  </si>
  <si>
    <t xml:space="preserve">gavai nadi modal talab ke purvi bhag me khudai anvm bandhai kary</t>
  </si>
  <si>
    <t xml:space="preserve">Karansinghnagar</t>
  </si>
  <si>
    <t xml:space="preserve">0811300571085070</t>
  </si>
  <si>
    <t xml:space="preserve">Shri Ram Nagar</t>
  </si>
  <si>
    <t xml:space="preserve">0811300571085072</t>
  </si>
  <si>
    <t xml:space="preserve">Thadiya</t>
  </si>
  <si>
    <t xml:space="preserve">0811300571085063</t>
  </si>
  <si>
    <t xml:space="preserve"> gram panchayat thadiya me charagah vikas karya</t>
  </si>
  <si>
    <t xml:space="preserve">Bhagwan Sagar</t>
  </si>
  <si>
    <t xml:space="preserve">0811300571085064</t>
  </si>
  <si>
    <t xml:space="preserve">Jambheswar Nagar</t>
  </si>
  <si>
    <t xml:space="preserve">0811300571085062</t>
  </si>
  <si>
    <t xml:space="preserve"> jambhesar modal talab khudai karya</t>
  </si>
  <si>
    <t xml:space="preserve">Sang Singh Nagar</t>
  </si>
  <si>
    <t xml:space="preserve">0811300571085061</t>
  </si>
  <si>
    <t xml:space="preserve">YEAR </t>
  </si>
  <si>
    <t xml:space="preserve">DECHU</t>
  </si>
  <si>
    <t xml:space="preserve">Aasarlai</t>
  </si>
  <si>
    <t xml:space="preserve">Asarlai</t>
  </si>
  <si>
    <t xml:space="preserve">0811300571085120</t>
  </si>
  <si>
    <t xml:space="preserve">चारागाह विकास कार्य आसरलाई</t>
  </si>
  <si>
    <t xml:space="preserve">Panne Singh Nagar</t>
  </si>
  <si>
    <t xml:space="preserve">0811300571085125</t>
  </si>
  <si>
    <t xml:space="preserve">Daulatgoga Nagar</t>
  </si>
  <si>
    <t xml:space="preserve">0811300571085124</t>
  </si>
  <si>
    <t xml:space="preserve">दौलत नाडी खुदाई कार्य दौलत गोगानगर</t>
  </si>
  <si>
    <t xml:space="preserve">Punasar</t>
  </si>
  <si>
    <t xml:space="preserve">0811300571085121</t>
  </si>
  <si>
    <t xml:space="preserve">Bhoorsingh Nagar</t>
  </si>
  <si>
    <t xml:space="preserve">0811300571085119</t>
  </si>
  <si>
    <t xml:space="preserve">0811300571085114</t>
  </si>
  <si>
    <t xml:space="preserve">Shiv Nath Singh Nagar</t>
  </si>
  <si>
    <t xml:space="preserve">0811300571085123</t>
  </si>
  <si>
    <t xml:space="preserve">Kalu Singh Nagar</t>
  </si>
  <si>
    <t xml:space="preserve">0811300571085122</t>
  </si>
  <si>
    <t xml:space="preserve">Bheewsagar</t>
  </si>
  <si>
    <t xml:space="preserve">0811300571085032</t>
  </si>
  <si>
    <t xml:space="preserve">गवाई नाडी पूर्व दिशा खुदाई कार्य</t>
  </si>
  <si>
    <t xml:space="preserve">रावतसर नाडी पश्चिम दिशा खुदाई कार्य</t>
  </si>
  <si>
    <t xml:space="preserve">पनासर नाडी खुदाई कार्य</t>
  </si>
  <si>
    <t xml:space="preserve">Vishan Nagar</t>
  </si>
  <si>
    <t xml:space="preserve">0811300571085035</t>
  </si>
  <si>
    <t xml:space="preserve">Hem Nagar</t>
  </si>
  <si>
    <t xml:space="preserve">0811300571085034</t>
  </si>
  <si>
    <t xml:space="preserve">Kesargarh</t>
  </si>
  <si>
    <t xml:space="preserve">0811300571085033</t>
  </si>
  <si>
    <t xml:space="preserve">Roop Nagar</t>
  </si>
  <si>
    <t xml:space="preserve">0811300571085030</t>
  </si>
  <si>
    <t xml:space="preserve">Ranasar</t>
  </si>
  <si>
    <t xml:space="preserve">0811300571085031</t>
  </si>
  <si>
    <t xml:space="preserve">राणासर नाडी खुदाई कार्य</t>
  </si>
  <si>
    <t xml:space="preserve">नई नाडी पश्चिम दिशा खुदाई कार्य</t>
  </si>
  <si>
    <t xml:space="preserve">BHOJAKOR</t>
  </si>
  <si>
    <t xml:space="preserve">Bhoja Kor</t>
  </si>
  <si>
    <t xml:space="preserve">0811300567084417</t>
  </si>
  <si>
    <t xml:space="preserve">राजस्व गाँव भोजाकोर में नई नाडी खुदाई कार्य</t>
  </si>
  <si>
    <t xml:space="preserve">किशनाणी नाड़ी खुदाई कार्य भोजाकोर</t>
  </si>
  <si>
    <t xml:space="preserve">Deiramangar</t>
  </si>
  <si>
    <t xml:space="preserve">0811300567084420</t>
  </si>
  <si>
    <t xml:space="preserve">नई नाड़ी खुदाई कार्य देराम नगर</t>
  </si>
  <si>
    <t xml:space="preserve">Burkiya</t>
  </si>
  <si>
    <t xml:space="preserve">0811300571085042</t>
  </si>
  <si>
    <t xml:space="preserve">माॅडल तालाब निर्माण बुडकिया</t>
  </si>
  <si>
    <t xml:space="preserve">Lubhansar</t>
  </si>
  <si>
    <t xml:space="preserve">0811300571085126</t>
  </si>
  <si>
    <t xml:space="preserve">Meghasar</t>
  </si>
  <si>
    <t xml:space="preserve">0811300571085040</t>
  </si>
  <si>
    <t xml:space="preserve">Dholasar</t>
  </si>
  <si>
    <t xml:space="preserve">0811300571085129</t>
  </si>
  <si>
    <t xml:space="preserve">माॅडल तालाब धोलासर</t>
  </si>
  <si>
    <t xml:space="preserve">Sirada</t>
  </si>
  <si>
    <t xml:space="preserve">0811300571085128</t>
  </si>
  <si>
    <t xml:space="preserve">सिराड़ा नाडी की गाद निकालना</t>
  </si>
  <si>
    <t xml:space="preserve">Bakasar</t>
  </si>
  <si>
    <t xml:space="preserve">0811300571085041</t>
  </si>
  <si>
    <t xml:space="preserve">CHANDSAMA</t>
  </si>
  <si>
    <t xml:space="preserve">Chand Sama</t>
  </si>
  <si>
    <t xml:space="preserve">0811300571085027</t>
  </si>
  <si>
    <t xml:space="preserve">रणजीत नाडा खुदाई कार्य</t>
  </si>
  <si>
    <t xml:space="preserve">पाबूजी नवीन नाडी खुदाई कार्य</t>
  </si>
  <si>
    <t xml:space="preserve">सती माता नवीन नाडी खुदाई कार्य</t>
  </si>
  <si>
    <t xml:space="preserve">पाबूजी नाडी खुदाई कार्य</t>
  </si>
  <si>
    <t xml:space="preserve">राव चिड़िया थान के पास नवीन नाडी खुदाई कार्य चांदसमा</t>
  </si>
  <si>
    <t xml:space="preserve">Sadulpura</t>
  </si>
  <si>
    <t xml:space="preserve">0811300571085026</t>
  </si>
  <si>
    <t xml:space="preserve">CHORDIYA</t>
  </si>
  <si>
    <t xml:space="preserve">Chordiya</t>
  </si>
  <si>
    <t xml:space="preserve">0811300571085179</t>
  </si>
  <si>
    <t xml:space="preserve">ग्राम पंचायत चोरड़िया में चरागाह विकास कार्य</t>
  </si>
  <si>
    <t xml:space="preserve">केरली नाडी मॉडल तालाब निर्माण कार्य</t>
  </si>
  <si>
    <t xml:space="preserve">Khetsingh Nagar</t>
  </si>
  <si>
    <t xml:space="preserve">0811300571085187</t>
  </si>
  <si>
    <t xml:space="preserve">मेहताब नाड़ी खुदाई कार्य</t>
  </si>
  <si>
    <t xml:space="preserve">संपत नाडा खुदाई कार्य</t>
  </si>
  <si>
    <t xml:space="preserve">Sagat Nagar</t>
  </si>
  <si>
    <t xml:space="preserve">0811300571085180</t>
  </si>
  <si>
    <t xml:space="preserve">ढेलाई नाडी खुदाई कार्य</t>
  </si>
  <si>
    <t xml:space="preserve">Dechoo</t>
  </si>
  <si>
    <t xml:space="preserve">0811300571085116</t>
  </si>
  <si>
    <t xml:space="preserve">DHARABAGHPURANA</t>
  </si>
  <si>
    <t xml:space="preserve">Dhara Bagapuran</t>
  </si>
  <si>
    <t xml:space="preserve">0811300567084407</t>
  </si>
  <si>
    <t xml:space="preserve">Satasar</t>
  </si>
  <si>
    <t xml:space="preserve">0811300567084408</t>
  </si>
  <si>
    <t xml:space="preserve">Prem Nagar</t>
  </si>
  <si>
    <t xml:space="preserve">0811300567084409</t>
  </si>
  <si>
    <t xml:space="preserve">Moharsar</t>
  </si>
  <si>
    <t xml:space="preserve">0811300567084406</t>
  </si>
  <si>
    <t xml:space="preserve">Bhayyon Ki Dhani</t>
  </si>
  <si>
    <t xml:space="preserve">0811300567084405</t>
  </si>
  <si>
    <t xml:space="preserve">Fatehgarh</t>
  </si>
  <si>
    <t xml:space="preserve">0811300571085115</t>
  </si>
  <si>
    <t xml:space="preserve">Lalsar</t>
  </si>
  <si>
    <t xml:space="preserve">0811300571085060</t>
  </si>
  <si>
    <t xml:space="preserve">0811300571085044</t>
  </si>
  <si>
    <t xml:space="preserve">Sanwalon Ki Dhani</t>
  </si>
  <si>
    <t xml:space="preserve">0811300571085029</t>
  </si>
  <si>
    <t xml:space="preserve">बिजलाई नाडी खुदाई गाद निकालना</t>
  </si>
  <si>
    <t xml:space="preserve">Jawaharpura</t>
  </si>
  <si>
    <t xml:space="preserve">0811300571085043</t>
  </si>
  <si>
    <t xml:space="preserve">जीवलाई नाडी खुदाई एवं गाद निकालना कार्य</t>
  </si>
  <si>
    <t xml:space="preserve">GUMANPURA</t>
  </si>
  <si>
    <t xml:space="preserve">Gumanpura</t>
  </si>
  <si>
    <t xml:space="preserve">0811300571085058</t>
  </si>
  <si>
    <t xml:space="preserve">माता नाडा गुमानपुरा खुदाई कार्य</t>
  </si>
  <si>
    <t xml:space="preserve">गवाई नाडी खुदाई कार्य</t>
  </si>
  <si>
    <t xml:space="preserve">Bheekh Nagar</t>
  </si>
  <si>
    <t xml:space="preserve">0811300571085117</t>
  </si>
  <si>
    <t xml:space="preserve">Anad Nagar</t>
  </si>
  <si>
    <t xml:space="preserve">0811300571085059</t>
  </si>
  <si>
    <t xml:space="preserve">Amana nada aandanagar khudai kary</t>
  </si>
  <si>
    <t xml:space="preserve">0811300571085167</t>
  </si>
  <si>
    <t xml:space="preserve">0811300571085170</t>
  </si>
  <si>
    <t xml:space="preserve">Anopgarh</t>
  </si>
  <si>
    <t xml:space="preserve">0811300571085168</t>
  </si>
  <si>
    <t xml:space="preserve">Chandsar</t>
  </si>
  <si>
    <t xml:space="preserve">0811300571085175</t>
  </si>
  <si>
    <t xml:space="preserve">Biramsingh Nagar</t>
  </si>
  <si>
    <t xml:space="preserve">0811300571085176</t>
  </si>
  <si>
    <t xml:space="preserve">JETHANIYA</t>
  </si>
  <si>
    <t xml:space="preserve">Jethaniya</t>
  </si>
  <si>
    <t xml:space="preserve">0811300571085131</t>
  </si>
  <si>
    <t xml:space="preserve">गवाई नाडी खुदाई कार्य गाद निकालना जेठानिया</t>
  </si>
  <si>
    <t xml:space="preserve">नई नाडी खुदाई व गाद निकालना</t>
  </si>
  <si>
    <t xml:space="preserve">0811300571085132</t>
  </si>
  <si>
    <t xml:space="preserve">राव बलुजी नया नाडा खुदाई कार्य</t>
  </si>
  <si>
    <t xml:space="preserve">0811300571085133</t>
  </si>
  <si>
    <t xml:space="preserve">KALAU</t>
  </si>
  <si>
    <t xml:space="preserve">Kalau</t>
  </si>
  <si>
    <t xml:space="preserve">0811300571085036</t>
  </si>
  <si>
    <t xml:space="preserve">0811300571085037</t>
  </si>
  <si>
    <t xml:space="preserve">0811300571085038</t>
  </si>
  <si>
    <t xml:space="preserve">Nayasara</t>
  </si>
  <si>
    <t xml:space="preserve">0811300571085039</t>
  </si>
  <si>
    <t xml:space="preserve">Kanodiya MahaSingh</t>
  </si>
  <si>
    <t xml:space="preserve">Kanodiya Mahasingh</t>
  </si>
  <si>
    <t xml:space="preserve">0811300571085136</t>
  </si>
  <si>
    <t xml:space="preserve">Ramsagar</t>
  </si>
  <si>
    <t xml:space="preserve">0811300571085137</t>
  </si>
  <si>
    <t xml:space="preserve">Laxman Nagar</t>
  </si>
  <si>
    <t xml:space="preserve">0811300571085134</t>
  </si>
  <si>
    <t xml:space="preserve">0811300571085135</t>
  </si>
  <si>
    <t xml:space="preserve">KHERA BAGORIYA</t>
  </si>
  <si>
    <t xml:space="preserve">Khera Bagoriya</t>
  </si>
  <si>
    <t xml:space="preserve">0811300567084394</t>
  </si>
  <si>
    <t xml:space="preserve">Sodho Ka Mandal</t>
  </si>
  <si>
    <t xml:space="preserve">0811300567084397</t>
  </si>
  <si>
    <t xml:space="preserve">Dediya</t>
  </si>
  <si>
    <t xml:space="preserve">0811300567084393</t>
  </si>
  <si>
    <t xml:space="preserve">Khetsagar</t>
  </si>
  <si>
    <t xml:space="preserve">0811300571085130</t>
  </si>
  <si>
    <t xml:space="preserve">ताम्बली नाडी गाद निकालना खुदाई कार्य</t>
  </si>
  <si>
    <t xml:space="preserve">Shivsagar</t>
  </si>
  <si>
    <t xml:space="preserve">0811300571085177</t>
  </si>
  <si>
    <t xml:space="preserve">नई नाडी गाद निकालना खुदाई कार्य</t>
  </si>
  <si>
    <t xml:space="preserve">Balasar</t>
  </si>
  <si>
    <t xml:space="preserve">0811300571085127</t>
  </si>
  <si>
    <t xml:space="preserve">khiyasariya</t>
  </si>
  <si>
    <t xml:space="preserve">Khiyasariya</t>
  </si>
  <si>
    <t xml:space="preserve">0811300571085185</t>
  </si>
  <si>
    <t xml:space="preserve">मदासर नाडी खुदाई कार्य</t>
  </si>
  <si>
    <t xml:space="preserve">Banesingh Nagar</t>
  </si>
  <si>
    <t xml:space="preserve">0811300571085186</t>
  </si>
  <si>
    <t xml:space="preserve">केरला नाडा खुदाई कार्य</t>
  </si>
  <si>
    <t xml:space="preserve">Kalyan Singh Nagar</t>
  </si>
  <si>
    <t xml:space="preserve">0811300571085183</t>
  </si>
  <si>
    <t xml:space="preserve">Gokulsingh Nagar</t>
  </si>
  <si>
    <t xml:space="preserve">0811300571085181</t>
  </si>
  <si>
    <t xml:space="preserve">Motisingh Nagar</t>
  </si>
  <si>
    <t xml:space="preserve">0811300571085184</t>
  </si>
  <si>
    <t xml:space="preserve">ठुठलाई नाडी खुदाई कार्य </t>
  </si>
  <si>
    <t xml:space="preserve">Nayabera</t>
  </si>
  <si>
    <t xml:space="preserve">0811300571085182</t>
  </si>
  <si>
    <t xml:space="preserve">Bhujbali nadi khudhai karya</t>
  </si>
  <si>
    <t xml:space="preserve">KOLOOPABUJI</t>
  </si>
  <si>
    <t xml:space="preserve">Koloo Pabuji</t>
  </si>
  <si>
    <t xml:space="preserve">0811300567084403</t>
  </si>
  <si>
    <t xml:space="preserve">रातडी नाड़ी खुदाई व गाद निकलना कार्य</t>
  </si>
  <si>
    <t xml:space="preserve">नवीन नाडी खुदाई कार्य</t>
  </si>
  <si>
    <t xml:space="preserve">बीझा नाडा खुदाई कार्य</t>
  </si>
  <si>
    <t xml:space="preserve">भीलोलाई नाडी खुदाई कार्य</t>
  </si>
  <si>
    <t xml:space="preserve">उडलाई नाडी खुदाई कार्य</t>
  </si>
  <si>
    <t xml:space="preserve">Dhaneshwar Nagar Purohitan</t>
  </si>
  <si>
    <t xml:space="preserve">0811300567084404</t>
  </si>
  <si>
    <t xml:space="preserve">Paboo Chhawara</t>
  </si>
  <si>
    <t xml:space="preserve">0811300567084375</t>
  </si>
  <si>
    <t xml:space="preserve">Kolu Nimbayat</t>
  </si>
  <si>
    <t xml:space="preserve">Kolu Nimbavata</t>
  </si>
  <si>
    <t xml:space="preserve">0811300567084399</t>
  </si>
  <si>
    <t xml:space="preserve">गोसाई नाडी के पास चारागाह विकास कार्य</t>
  </si>
  <si>
    <t xml:space="preserve">Sri Krishan Nagar</t>
  </si>
  <si>
    <t xml:space="preserve">0811300567084401</t>
  </si>
  <si>
    <t xml:space="preserve">नागाणाराय नाडी को मॉडल निर्माण कार्य</t>
  </si>
  <si>
    <t xml:space="preserve">KOLU RATHORA</t>
  </si>
  <si>
    <t xml:space="preserve">Kolu Rathoron</t>
  </si>
  <si>
    <t xml:space="preserve">0811300567084402</t>
  </si>
  <si>
    <t xml:space="preserve">चारागाह विकास कार्य खसरा न. 2 कोलू राठोडा</t>
  </si>
  <si>
    <t xml:space="preserve">खसरा नं. 2 में नई नाडी खुदाई कार्य</t>
  </si>
  <si>
    <t xml:space="preserve">Rode Ji Ki Dhani</t>
  </si>
  <si>
    <t xml:space="preserve">0811300567084400</t>
  </si>
  <si>
    <t xml:space="preserve">बाबा रामदेव नाडा खुदाई कार्य रोडे जी की ढाणी</t>
  </si>
  <si>
    <t xml:space="preserve">KUSHLAWA</t>
  </si>
  <si>
    <t xml:space="preserve">Kushlawa</t>
  </si>
  <si>
    <t xml:space="preserve">0811300567084413</t>
  </si>
  <si>
    <t xml:space="preserve">Champawat Nagar</t>
  </si>
  <si>
    <t xml:space="preserve">0811300567084414</t>
  </si>
  <si>
    <t xml:space="preserve">Pabusar</t>
  </si>
  <si>
    <t xml:space="preserve">0811300567084412</t>
  </si>
  <si>
    <t xml:space="preserve">Vishnu Pura</t>
  </si>
  <si>
    <t xml:space="preserve">0811300567084411</t>
  </si>
  <si>
    <t xml:space="preserve">Baba Ramdeo Nagari</t>
  </si>
  <si>
    <t xml:space="preserve">0811300567084410</t>
  </si>
  <si>
    <t xml:space="preserve">Lalpura</t>
  </si>
  <si>
    <t xml:space="preserve">0811300571085025</t>
  </si>
  <si>
    <t xml:space="preserve">Rawatgarh</t>
  </si>
  <si>
    <t xml:space="preserve">0811300571085028</t>
  </si>
  <si>
    <t xml:space="preserve">Jalpuri</t>
  </si>
  <si>
    <t xml:space="preserve">0811300571085024</t>
  </si>
  <si>
    <t xml:space="preserve">Madla Khurd</t>
  </si>
  <si>
    <t xml:space="preserve">0811300567084398</t>
  </si>
  <si>
    <t xml:space="preserve">गवाई नाडी 2 खुदाई व गाद निकालना</t>
  </si>
  <si>
    <t xml:space="preserve">MANDLAKALAN</t>
  </si>
  <si>
    <t xml:space="preserve">Madla Kalan</t>
  </si>
  <si>
    <t xml:space="preserve">0811300567084396</t>
  </si>
  <si>
    <t xml:space="preserve">मंडला कला गवाई नाडी I से गाद निकालना</t>
  </si>
  <si>
    <t xml:space="preserve">मंडला कला गवाई नाडी II से गाद निकालना</t>
  </si>
  <si>
    <t xml:space="preserve">नई नाडी खुदाई कार्य मंडला कला</t>
  </si>
  <si>
    <t xml:space="preserve">Masjid ki Dhani</t>
  </si>
  <si>
    <t xml:space="preserve">Masjid Wali Dhani</t>
  </si>
  <si>
    <t xml:space="preserve">0811300567084433</t>
  </si>
  <si>
    <t xml:space="preserve">Jangu Nagar</t>
  </si>
  <si>
    <t xml:space="preserve">0811300567084432</t>
  </si>
  <si>
    <t xml:space="preserve">Padampur</t>
  </si>
  <si>
    <t xml:space="preserve">0811300571085164</t>
  </si>
  <si>
    <t xml:space="preserve">Premsar</t>
  </si>
  <si>
    <t xml:space="preserve">0811300571085166</t>
  </si>
  <si>
    <t xml:space="preserve">Magasar</t>
  </si>
  <si>
    <t xml:space="preserve">0811300571085165</t>
  </si>
  <si>
    <t xml:space="preserve">Bhonasar.</t>
  </si>
  <si>
    <t xml:space="preserve">0811300571085169</t>
  </si>
  <si>
    <t xml:space="preserve">Badarsar</t>
  </si>
  <si>
    <t xml:space="preserve">0811300571085174</t>
  </si>
  <si>
    <t xml:space="preserve">बादरसर ओरणिया नाडी खुदाई व गाद निकालना</t>
  </si>
  <si>
    <t xml:space="preserve">PEELWA</t>
  </si>
  <si>
    <t xml:space="preserve">Peelwa</t>
  </si>
  <si>
    <t xml:space="preserve">0811300567084424</t>
  </si>
  <si>
    <t xml:space="preserve">0811300567084395</t>
  </si>
  <si>
    <t xml:space="preserve">RAWATNAGAR</t>
  </si>
  <si>
    <t xml:space="preserve">Rawat Nagar</t>
  </si>
  <si>
    <t xml:space="preserve">0811300567084422</t>
  </si>
  <si>
    <t xml:space="preserve">28-06-2023</t>
  </si>
  <si>
    <t xml:space="preserve">NA</t>
  </si>
  <si>
    <t xml:space="preserve">Sri Mahadeo Nagar</t>
  </si>
  <si>
    <t xml:space="preserve">0811300567084421</t>
  </si>
  <si>
    <t xml:space="preserve">Ram Sagar</t>
  </si>
  <si>
    <t xml:space="preserve">0811300567084423</t>
  </si>
  <si>
    <t xml:space="preserve">खसरा सं. 2377 रामसागर में पौधारोपण कार्य</t>
  </si>
  <si>
    <t xml:space="preserve">Himat Nagar</t>
  </si>
  <si>
    <t xml:space="preserve">0811300567084425</t>
  </si>
  <si>
    <t xml:space="preserve">Ridmal Nagar</t>
  </si>
  <si>
    <t xml:space="preserve">0811300567084418</t>
  </si>
  <si>
    <t xml:space="preserve">पहलाई नाडी खुदाई एवं गाद निकलना</t>
  </si>
  <si>
    <t xml:space="preserve">0811300567084416</t>
  </si>
  <si>
    <t xml:space="preserve">0811300567084419</t>
  </si>
  <si>
    <t xml:space="preserve">Deo Nagar</t>
  </si>
  <si>
    <t xml:space="preserve">0811300567084415</t>
  </si>
  <si>
    <t xml:space="preserve">Sagra</t>
  </si>
  <si>
    <t xml:space="preserve">0811300571085054</t>
  </si>
  <si>
    <t xml:space="preserve">खसरा संख्या 390 में चरागाह विकास एवं वृक्षारोपण कार्य</t>
  </si>
  <si>
    <t xml:space="preserve">कान्हा नाडी खुदाई व बंधाई कार्य सगरा</t>
  </si>
  <si>
    <t xml:space="preserve">Dhan Sagar</t>
  </si>
  <si>
    <t xml:space="preserve">0811300571085118</t>
  </si>
  <si>
    <t xml:space="preserve">धनानाडी खुदाई व बंधाई कार्य</t>
  </si>
  <si>
    <t xml:space="preserve">साभडला नाडी खुदाई व बंधाई कार्य धनसागर</t>
  </si>
  <si>
    <t xml:space="preserve">Paboosar</t>
  </si>
  <si>
    <t xml:space="preserve">0811300571085052</t>
  </si>
  <si>
    <t xml:space="preserve">Mahesh Das Nagar</t>
  </si>
  <si>
    <t xml:space="preserve">0811300571085056</t>
  </si>
  <si>
    <t xml:space="preserve">Ranjeetgarh</t>
  </si>
  <si>
    <t xml:space="preserve">0811300571085055</t>
  </si>
  <si>
    <t xml:space="preserve">Ramdeo Nagar</t>
  </si>
  <si>
    <t xml:space="preserve">0811300571085057</t>
  </si>
  <si>
    <t xml:space="preserve">SETRAWA</t>
  </si>
  <si>
    <t xml:space="preserve">Setrawa</t>
  </si>
  <si>
    <t xml:space="preserve">0811300571085276</t>
  </si>
  <si>
    <t xml:space="preserve">चारागाह विकास कार्य वृक्षारोपण कार्य सेतरावा</t>
  </si>
  <si>
    <t xml:space="preserve">HARIYALI NADI KHUDAI KARYA V GADH NIAKALANA</t>
  </si>
  <si>
    <t xml:space="preserve">पाबू ओरणिया नाडी खुदाई कार्य</t>
  </si>
  <si>
    <t xml:space="preserve">गवाई नाडी खुदाई कार्य व गाद निकालना</t>
  </si>
  <si>
    <t xml:space="preserve">Pratapgarh</t>
  </si>
  <si>
    <t xml:space="preserve">0811300571085178</t>
  </si>
  <si>
    <t xml:space="preserve">Shivpura</t>
  </si>
  <si>
    <t xml:space="preserve">0811300571085046</t>
  </si>
  <si>
    <t xml:space="preserve">Morya Nagar</t>
  </si>
  <si>
    <t xml:space="preserve">0811300571085053</t>
  </si>
  <si>
    <t xml:space="preserve">Vishvakrma Nagar</t>
  </si>
  <si>
    <t xml:space="preserve">0811300571085047</t>
  </si>
  <si>
    <t xml:space="preserve">Anandpura</t>
  </si>
  <si>
    <t xml:space="preserve">0811300571085045</t>
  </si>
  <si>
    <t xml:space="preserve">UTWALIYA</t>
  </si>
  <si>
    <t xml:space="preserve">Utwaliya</t>
  </si>
  <si>
    <t xml:space="preserve">0811300571085048</t>
  </si>
  <si>
    <t xml:space="preserve">Lichman Nagar</t>
  </si>
  <si>
    <t xml:space="preserve">0811300571085051</t>
  </si>
  <si>
    <t xml:space="preserve">Nagsinghpura</t>
  </si>
  <si>
    <t xml:space="preserve">0811300571085049</t>
  </si>
  <si>
    <t xml:space="preserve">0811300571085050</t>
  </si>
  <si>
    <t xml:space="preserve">Viramdeograh</t>
  </si>
  <si>
    <t xml:space="preserve">ढढी नाडी खुदाई कार्य विरमदेवगढ</t>
  </si>
  <si>
    <t xml:space="preserve">bijali naadi khudai karye</t>
  </si>
  <si>
    <t xml:space="preserve">नयी नाडी खुदाई कार्य</t>
  </si>
  <si>
    <t xml:space="preserve">Khet Nagar</t>
  </si>
  <si>
    <t xml:space="preserve">0811300571085275</t>
  </si>
  <si>
    <t xml:space="preserve">Ram Singh Pura</t>
  </si>
  <si>
    <t xml:space="preserve">0811300571085272</t>
  </si>
  <si>
    <t xml:space="preserve">Khanori</t>
  </si>
  <si>
    <t xml:space="preserve">0811300571085271</t>
  </si>
  <si>
    <t xml:space="preserve">Total Male</t>
  </si>
  <si>
    <t xml:space="preserve">DHAWA</t>
  </si>
  <si>
    <t xml:space="preserve">BARLA NAGAR</t>
  </si>
  <si>
    <t xml:space="preserve">Badla Nagar</t>
  </si>
  <si>
    <t xml:space="preserve">0811300572085567</t>
  </si>
  <si>
    <t xml:space="preserve">GHADAWAI NADI KHUDAI AVM DI-SALTING KARY 2021-22</t>
  </si>
  <si>
    <t xml:space="preserve">BANIYA NADA KHUDAI KARY</t>
  </si>
  <si>
    <t xml:space="preserve">0811300572085559</t>
  </si>
  <si>
    <t xml:space="preserve">Kerli</t>
  </si>
  <si>
    <t xml:space="preserve">0811300572085564</t>
  </si>
  <si>
    <t xml:space="preserve">Radnagar</t>
  </si>
  <si>
    <t xml:space="preserve">0811300572085566</t>
  </si>
  <si>
    <t xml:space="preserve">THUTHALA NADA KHUDAI KAARAY</t>
  </si>
  <si>
    <t xml:space="preserve">Kadumbanada</t>
  </si>
  <si>
    <t xml:space="preserve">0811300572085565</t>
  </si>
  <si>
    <t xml:space="preserve">KADUMBA NAADA AAD KHUDAI KAARAY</t>
  </si>
  <si>
    <t xml:space="preserve">BARLIYAN</t>
  </si>
  <si>
    <t xml:space="preserve">Barliyan</t>
  </si>
  <si>
    <t xml:space="preserve">0811300572085617</t>
  </si>
  <si>
    <t xml:space="preserve">INDROKANADA D SILTING OR KHUDAI WORK</t>
  </si>
  <si>
    <t xml:space="preserve">UNAVADI NADI KE AAGOR KI KHAI PHESING</t>
  </si>
  <si>
    <t xml:space="preserve">Chak Barliya</t>
  </si>
  <si>
    <t xml:space="preserve">0811300572085619</t>
  </si>
  <si>
    <t xml:space="preserve">Mukanpura</t>
  </si>
  <si>
    <t xml:space="preserve">0811300572085618</t>
  </si>
  <si>
    <t xml:space="preserve">0811300572085616</t>
  </si>
  <si>
    <t xml:space="preserve">KARNI NAGAR TALAB D SILTING OR KHUDAI WORK</t>
  </si>
  <si>
    <t xml:space="preserve">Bhandoo Khurd</t>
  </si>
  <si>
    <t xml:space="preserve">0811300572085621</t>
  </si>
  <si>
    <t xml:space="preserve">BAYA NADA DE SELTING AND KHUDAI KARY</t>
  </si>
  <si>
    <t xml:space="preserve">MUDIYA NADA DE SELTING AND KHUDAI KARY</t>
  </si>
  <si>
    <t xml:space="preserve">0811300572085622</t>
  </si>
  <si>
    <t xml:space="preserve">Basni Jhoonthan</t>
  </si>
  <si>
    <t xml:space="preserve">0811300572085623</t>
  </si>
  <si>
    <t xml:space="preserve">:BASNI JHUTHA TALAB D SILTING OR KHUDAI WORK</t>
  </si>
  <si>
    <t xml:space="preserve">GOPALNADA D SILTING OR KHUDAI WORK</t>
  </si>
  <si>
    <t xml:space="preserve">BHANDU KALAN</t>
  </si>
  <si>
    <t xml:space="preserve">Bhandoo Kalan</t>
  </si>
  <si>
    <t xml:space="preserve">0811300572085549</t>
  </si>
  <si>
    <t xml:space="preserve">भाण्‍डूकलां औरण मोरिया टांका मे चारागाह ि‍विकास कार्य </t>
  </si>
  <si>
    <t xml:space="preserve">Thumbali</t>
  </si>
  <si>
    <t xml:space="preserve">0811300572085620</t>
  </si>
  <si>
    <t xml:space="preserve">thumbali nadi khudai or disilding karay</t>
  </si>
  <si>
    <t xml:space="preserve">Jatiyasani</t>
  </si>
  <si>
    <t xml:space="preserve">0811300572085553</t>
  </si>
  <si>
    <t xml:space="preserve">Rohila Bhandoo</t>
  </si>
  <si>
    <t xml:space="preserve">0811300572085552</t>
  </si>
  <si>
    <t xml:space="preserve">Katarda</t>
  </si>
  <si>
    <t xml:space="preserve">0811300572085551</t>
  </si>
  <si>
    <t xml:space="preserve">Chali</t>
  </si>
  <si>
    <t xml:space="preserve">0811300572085600</t>
  </si>
  <si>
    <t xml:space="preserve">Sewala</t>
  </si>
  <si>
    <t xml:space="preserve">0811300572085599</t>
  </si>
  <si>
    <t xml:space="preserve">Dhabecho Ka Gaon</t>
  </si>
  <si>
    <t xml:space="preserve">0811300572085594</t>
  </si>
  <si>
    <t xml:space="preserve">CHICHARLI</t>
  </si>
  <si>
    <t xml:space="preserve">Chicharli</t>
  </si>
  <si>
    <t xml:space="preserve">0811300572085582</t>
  </si>
  <si>
    <t xml:space="preserve">गंवाई तालाब चिचडली के पीछे चारागाह निर्माण कार्य खसरा नं. 103</t>
  </si>
  <si>
    <t xml:space="preserve">GAVAI TALAB CHICHARLI KHUDAI KARY</t>
  </si>
  <si>
    <t xml:space="preserve">Purkhawas</t>
  </si>
  <si>
    <t xml:space="preserve">0811300572085583</t>
  </si>
  <si>
    <t xml:space="preserve">BAMNIYA NADA KHUDAI KARY</t>
  </si>
  <si>
    <t xml:space="preserve">Daipara Khichiyan</t>
  </si>
  <si>
    <t xml:space="preserve">0811300572085602</t>
  </si>
  <si>
    <t xml:space="preserve">RAMANADA KHACHARA NO 241 KHUDHAI KARYE</t>
  </si>
  <si>
    <t xml:space="preserve">RATA NADA KHUDAI BANDHAI KARY 2022-23</t>
  </si>
  <si>
    <t xml:space="preserve">Dhawa I</t>
  </si>
  <si>
    <t xml:space="preserve">0811300572085593</t>
  </si>
  <si>
    <t xml:space="preserve">Nadi Khudai Badhai Va Disildrig</t>
  </si>
  <si>
    <t xml:space="preserve">Naadee Khudaee Badhaee Va Disildrig</t>
  </si>
  <si>
    <t xml:space="preserve">Nimbali Nadi Khudai Badhai Va Disildrig </t>
  </si>
  <si>
    <t xml:space="preserve">Dhawa Il</t>
  </si>
  <si>
    <t xml:space="preserve">0811300572085601</t>
  </si>
  <si>
    <t xml:space="preserve">DOLI</t>
  </si>
  <si>
    <t xml:space="preserve">Doli</t>
  </si>
  <si>
    <t xml:space="preserve">0811300572085534</t>
  </si>
  <si>
    <t xml:space="preserve">0811300572085533</t>
  </si>
  <si>
    <t xml:space="preserve">Bujhawar</t>
  </si>
  <si>
    <t xml:space="preserve">0811300572085532</t>
  </si>
  <si>
    <t xml:space="preserve">FEECH</t>
  </si>
  <si>
    <t xml:space="preserve">Feench</t>
  </si>
  <si>
    <t xml:space="preserve">0811300572085629</t>
  </si>
  <si>
    <t xml:space="preserve">Raika nada khudai v bandhai kary</t>
  </si>
  <si>
    <t xml:space="preserve">Hirarnadi khudai v Bandhai karya</t>
  </si>
  <si>
    <t xml:space="preserve">Bhatiyanada Khudai v Bandhai karya</t>
  </si>
  <si>
    <t xml:space="preserve">Hamir Nagar</t>
  </si>
  <si>
    <t xml:space="preserve">0811300572085631</t>
  </si>
  <si>
    <t xml:space="preserve"> Nimbali Nadi Khudai Va Badhai Kary Hamir Nagar</t>
  </si>
  <si>
    <t xml:space="preserve">0811300572085630</t>
  </si>
  <si>
    <t xml:space="preserve">Hingola Rana Nagar</t>
  </si>
  <si>
    <t xml:space="preserve">Rana Nagar</t>
  </si>
  <si>
    <t xml:space="preserve">0811300572085578</t>
  </si>
  <si>
    <t xml:space="preserve">RANA NADA D SILTING KARY V POJ NIRMAN</t>
  </si>
  <si>
    <t xml:space="preserve">Hingola</t>
  </si>
  <si>
    <t xml:space="preserve">0811300572085580</t>
  </si>
  <si>
    <t xml:space="preserve">CHANDLAI NADI MODEL TALAB NIRMAN KARY</t>
  </si>
  <si>
    <t xml:space="preserve">KURALI NADI MODAL TALAB NIRMAN KARY</t>
  </si>
  <si>
    <t xml:space="preserve">Chirai Nagar</t>
  </si>
  <si>
    <t xml:space="preserve">0811300572085579</t>
  </si>
  <si>
    <t xml:space="preserve">Imam Nagar Rabariya</t>
  </si>
  <si>
    <t xml:space="preserve">Imam Nagar</t>
  </si>
  <si>
    <t xml:space="preserve">0811300572085574</t>
  </si>
  <si>
    <t xml:space="preserve">Meran Nagar</t>
  </si>
  <si>
    <t xml:space="preserve">0811300572085577</t>
  </si>
  <si>
    <t xml:space="preserve">Rabariya</t>
  </si>
  <si>
    <t xml:space="preserve">0811300572085573</t>
  </si>
  <si>
    <t xml:space="preserve">Ganvai talab rabadiya me ghaat nirman</t>
  </si>
  <si>
    <t xml:space="preserve">0811300572085575</t>
  </si>
  <si>
    <t xml:space="preserve">shahi srowar ko model talab bnana</t>
  </si>
  <si>
    <t xml:space="preserve">Sherani Nagar</t>
  </si>
  <si>
    <t xml:space="preserve">0811300572085576</t>
  </si>
  <si>
    <t xml:space="preserve">JANADESAR</t>
  </si>
  <si>
    <t xml:space="preserve">Janadesar</t>
  </si>
  <si>
    <t xml:space="preserve">0811300572085570</t>
  </si>
  <si>
    <t xml:space="preserve">Sawan Nagar</t>
  </si>
  <si>
    <t xml:space="preserve">0811300572085581</t>
  </si>
  <si>
    <t xml:space="preserve">Gulab Sagar</t>
  </si>
  <si>
    <t xml:space="preserve">0811300572085568</t>
  </si>
  <si>
    <t xml:space="preserve">Pabu Nara</t>
  </si>
  <si>
    <t xml:space="preserve">0811300572085569</t>
  </si>
  <si>
    <t xml:space="preserve">Khejara Nara</t>
  </si>
  <si>
    <t xml:space="preserve">0811300572085571</t>
  </si>
  <si>
    <t xml:space="preserve">Mehramnagar</t>
  </si>
  <si>
    <t xml:space="preserve">0811300572085572</t>
  </si>
  <si>
    <t xml:space="preserve">CHHAYA NADI ME POJ NIRMAN V PECHING OR KHUDAI BANDHAI KARY</t>
  </si>
  <si>
    <t xml:space="preserve">JHANWAR</t>
  </si>
  <si>
    <t xml:space="preserve">Jhanwar</t>
  </si>
  <si>
    <t xml:space="preserve">0811300572085562</t>
  </si>
  <si>
    <t xml:space="preserve">PATELAWAS GHADVAAI NADI DISILTING KAARAY</t>
  </si>
  <si>
    <t xml:space="preserve">Delumba</t>
  </si>
  <si>
    <t xml:space="preserve">0811300572085558</t>
  </si>
  <si>
    <t xml:space="preserve">Dhund</t>
  </si>
  <si>
    <t xml:space="preserve">0811300572085560</t>
  </si>
  <si>
    <t xml:space="preserve">Dhana Vishnoi</t>
  </si>
  <si>
    <t xml:space="preserve">0811300572085563</t>
  </si>
  <si>
    <t xml:space="preserve">DHANA VISHNIOYAN DISILTING KAARAY</t>
  </si>
  <si>
    <t xml:space="preserve">Nimbli</t>
  </si>
  <si>
    <t xml:space="preserve">0811300572085561</t>
  </si>
  <si>
    <t xml:space="preserve">fasaniyanada khudai bandai karya</t>
  </si>
  <si>
    <t xml:space="preserve">KALIJAL</t>
  </si>
  <si>
    <t xml:space="preserve">Kalijal</t>
  </si>
  <si>
    <t xml:space="preserve">0811300572085632</t>
  </si>
  <si>
    <t xml:space="preserve">BHADARIYA NADA KHUDAI BANDHAI KARY</t>
  </si>
  <si>
    <t xml:space="preserve">Pannesingh Nagar</t>
  </si>
  <si>
    <t xml:space="preserve">0811300572085634</t>
  </si>
  <si>
    <t xml:space="preserve">GAWAI NADI DISILTING KARY</t>
  </si>
  <si>
    <t xml:space="preserve">Melawas</t>
  </si>
  <si>
    <t xml:space="preserve">0811300572085633</t>
  </si>
  <si>
    <t xml:space="preserve">0811300572085612</t>
  </si>
  <si>
    <t xml:space="preserve">Loonawas Jatan</t>
  </si>
  <si>
    <t xml:space="preserve">0811300572085613</t>
  </si>
  <si>
    <t xml:space="preserve">26.-02-2024</t>
  </si>
  <si>
    <t xml:space="preserve">Shivgaon</t>
  </si>
  <si>
    <t xml:space="preserve">0811300572085615</t>
  </si>
  <si>
    <t xml:space="preserve">GRAM SHIV GAV ME MEGHASAR TALAB DISILTING KHUDAI KARY</t>
  </si>
  <si>
    <t xml:space="preserve">KHUDALA</t>
  </si>
  <si>
    <t xml:space="preserve">Khudala</t>
  </si>
  <si>
    <t xml:space="preserve">0811300572085554</t>
  </si>
  <si>
    <t xml:space="preserve">balaji nadi khudia v bandhi karya </t>
  </si>
  <si>
    <t xml:space="preserve">Khatawas</t>
  </si>
  <si>
    <t xml:space="preserve">0811300572085588</t>
  </si>
  <si>
    <t xml:space="preserve">NADI KI AAD KHUDAI V GAIR MUMKIN ORAN KI SAAF SAFAI AVM MEDBANDHI NIRMAN KARY V APROCH</t>
  </si>
  <si>
    <t xml:space="preserve">Surta Nagar</t>
  </si>
  <si>
    <t xml:space="preserve">0811300572085555</t>
  </si>
  <si>
    <t xml:space="preserve">LOONAWASKALAN</t>
  </si>
  <si>
    <t xml:space="preserve">Loonawas Kalan</t>
  </si>
  <si>
    <t xml:space="preserve">0811300572085614</t>
  </si>
  <si>
    <t xml:space="preserve">Gelawas</t>
  </si>
  <si>
    <t xml:space="preserve">0811300572085598</t>
  </si>
  <si>
    <t xml:space="preserve">Loonawas Khurd</t>
  </si>
  <si>
    <t xml:space="preserve">0811300572085595</t>
  </si>
  <si>
    <t xml:space="preserve">JIYA NADI D SILTING AND KHUDAI KARY</t>
  </si>
  <si>
    <t xml:space="preserve">Dolanada</t>
  </si>
  <si>
    <t xml:space="preserve">0811300572085596</t>
  </si>
  <si>
    <t xml:space="preserve">dola nada khudhai kariy
</t>
  </si>
  <si>
    <t xml:space="preserve">Loonawas Charna</t>
  </si>
  <si>
    <t xml:space="preserve">0811300572085597</t>
  </si>
  <si>
    <t xml:space="preserve">:Mudiya nada ki khudai v disilting kary</t>
  </si>
  <si>
    <t xml:space="preserve">LOONAWASKHARA</t>
  </si>
  <si>
    <t xml:space="preserve">Jogiyasani</t>
  </si>
  <si>
    <t xml:space="preserve">0811300572085586</t>
  </si>
  <si>
    <t xml:space="preserve">JOGIYASANI ME KANKARIYALI NADI KI AAD KHUDAI V GAIR MUMKIN AAGOR KI SAAF SAFAI V MEDBANDHI KA KARY</t>
  </si>
  <si>
    <t xml:space="preserve">Beota</t>
  </si>
  <si>
    <t xml:space="preserve">0811300572085587</t>
  </si>
  <si>
    <t xml:space="preserve">BEVTA ME SITLAI NADI KI AAD KHUDAI V GAIR MUMKIN AAGOR KI SAAF SAFAI V MEDBANDHI KA KARY KHASRA 68</t>
  </si>
  <si>
    <t xml:space="preserve">Shitlai nadi khudai kary bevta</t>
  </si>
  <si>
    <t xml:space="preserve">Priyaron Ki Dhani</t>
  </si>
  <si>
    <t xml:space="preserve">0811300572085584</t>
  </si>
  <si>
    <t xml:space="preserve">Loonawas Khara</t>
  </si>
  <si>
    <t xml:space="preserve">0811300572085556</t>
  </si>
  <si>
    <t xml:space="preserve">LUNAWAS KHARA ME PATAR NADI KI AAD KHUDAI V GAIR MUMKIN AAGOR KI SAAF SAFAI V MEDBANDHI KA KARY</t>
  </si>
  <si>
    <t xml:space="preserve">Vishnu Ki Dhani</t>
  </si>
  <si>
    <t xml:space="preserve">0811300572085557</t>
  </si>
  <si>
    <t xml:space="preserve">Melba</t>
  </si>
  <si>
    <t xml:space="preserve">0811300572085591</t>
  </si>
  <si>
    <t xml:space="preserve">Nibali Nadi Khudai Badhai Va Dislting May Ghat Nirman Kary</t>
  </si>
  <si>
    <t xml:space="preserve">Nadi Khudai Badhai Va Dislting May Ghat Nirman Kary</t>
  </si>
  <si>
    <t xml:space="preserve">Rajeshwar Nagar</t>
  </si>
  <si>
    <t xml:space="preserve">0811300572085592</t>
  </si>
  <si>
    <t xml:space="preserve">Piprali</t>
  </si>
  <si>
    <t xml:space="preserve">0811300572085590</t>
  </si>
  <si>
    <t xml:space="preserve">Rabariyan</t>
  </si>
  <si>
    <t xml:space="preserve">0811300572085589</t>
  </si>
  <si>
    <t xml:space="preserve">Modathali</t>
  </si>
  <si>
    <t xml:space="preserve">0811300572085585</t>
  </si>
  <si>
    <t xml:space="preserve">NARNADI</t>
  </si>
  <si>
    <t xml:space="preserve">Narnadi</t>
  </si>
  <si>
    <t xml:space="preserve">0811300572085550</t>
  </si>
  <si>
    <t xml:space="preserve">Navi nadi khudai med bandhai vah safai karya</t>
  </si>
  <si>
    <t xml:space="preserve">Kharda Bhandoo</t>
  </si>
  <si>
    <t xml:space="preserve">0811300572085548</t>
  </si>
  <si>
    <t xml:space="preserve">PEEPARLI</t>
  </si>
  <si>
    <t xml:space="preserve">Peeparli</t>
  </si>
  <si>
    <t xml:space="preserve">0811300572085642</t>
  </si>
  <si>
    <t xml:space="preserve">गौचर भूमि में चारागाह विकास कार्य </t>
  </si>
  <si>
    <t xml:space="preserve">Lolasani</t>
  </si>
  <si>
    <t xml:space="preserve">0811300572085648</t>
  </si>
  <si>
    <t xml:space="preserve">Tajaliya</t>
  </si>
  <si>
    <t xml:space="preserve">0811300572085641</t>
  </si>
  <si>
    <t xml:space="preserve">नाडा खुदाई बंधाई कार्य</t>
  </si>
  <si>
    <t xml:space="preserve">Rohichan Khurd</t>
  </si>
  <si>
    <t xml:space="preserve">0811300572085640</t>
  </si>
  <si>
    <t xml:space="preserve">छपी नाडी औरण भूमि में चारागाह विकास कार्य</t>
  </si>
  <si>
    <t xml:space="preserve">Arniyala</t>
  </si>
  <si>
    <t xml:space="preserve">0811300572085639</t>
  </si>
  <si>
    <t xml:space="preserve">ROHICHAKALAN</t>
  </si>
  <si>
    <t xml:space="preserve">Rohichan Kalan</t>
  </si>
  <si>
    <t xml:space="preserve">0811300572085637</t>
  </si>
  <si>
    <t xml:space="preserve">गवई तालाब का ओरण </t>
  </si>
  <si>
    <t xml:space="preserve">Sampat Nagar</t>
  </si>
  <si>
    <t xml:space="preserve">0811300572085638</t>
  </si>
  <si>
    <t xml:space="preserve">rohichi nadi</t>
  </si>
  <si>
    <t xml:space="preserve">Samrathal Nagar</t>
  </si>
  <si>
    <t xml:space="preserve">0811300572085636</t>
  </si>
  <si>
    <t xml:space="preserve">DOPALIYA NADA</t>
  </si>
  <si>
    <t xml:space="preserve">Krishna Nagar</t>
  </si>
  <si>
    <t xml:space="preserve">0811300572085635</t>
  </si>
  <si>
    <t xml:space="preserve">BAD WALA NADA </t>
  </si>
  <si>
    <t xml:space="preserve">Sinli</t>
  </si>
  <si>
    <t xml:space="preserve">0811300572085611</t>
  </si>
  <si>
    <t xml:space="preserve">Joka nada khudai v disilting kary khasra no. 15</t>
  </si>
  <si>
    <t xml:space="preserve">SUBDAND</t>
  </si>
  <si>
    <t xml:space="preserve">Subdand</t>
  </si>
  <si>
    <t xml:space="preserve">0811300572085610</t>
  </si>
  <si>
    <t xml:space="preserve">sadiyanada khudai v dislting karya senai</t>
  </si>
  <si>
    <t xml:space="preserve">JODNADA ME DI-SILTING KAARY ME KHUDAI KARAYA</t>
  </si>
  <si>
    <t xml:space="preserve">Kagnada</t>
  </si>
  <si>
    <t xml:space="preserve">0811300572085608</t>
  </si>
  <si>
    <t xml:space="preserve">Senai</t>
  </si>
  <si>
    <t xml:space="preserve">0811300572085603</t>
  </si>
  <si>
    <t xml:space="preserve">2O.2585</t>
  </si>
  <si>
    <t xml:space="preserve">Mahadev Nagar</t>
  </si>
  <si>
    <t xml:space="preserve">0811300572085609</t>
  </si>
  <si>
    <t xml:space="preserve">Nainasar</t>
  </si>
  <si>
    <t xml:space="preserve">0811300572085607</t>
  </si>
  <si>
    <t xml:space="preserve">Uttesar</t>
  </si>
  <si>
    <t xml:space="preserve">0811300572085606</t>
  </si>
  <si>
    <t xml:space="preserve">SAJADA NADA KHUDAI V D SALTING KARY</t>
  </si>
  <si>
    <t xml:space="preserve">Magrasar</t>
  </si>
  <si>
    <t xml:space="preserve">0811300572085605</t>
  </si>
  <si>
    <t xml:space="preserve">Dadasar</t>
  </si>
  <si>
    <t xml:space="preserve">0811300572085604</t>
  </si>
  <si>
    <t xml:space="preserve">GHANTIYALI</t>
  </si>
  <si>
    <t xml:space="preserve">Ajasar</t>
  </si>
  <si>
    <t xml:space="preserve">0811300567084274</t>
  </si>
  <si>
    <t xml:space="preserve">0811300567084275</t>
  </si>
  <si>
    <t xml:space="preserve">Sutharanada</t>
  </si>
  <si>
    <t xml:space="preserve">0811300567084266</t>
  </si>
  <si>
    <t xml:space="preserve">Mataji Ki Doli</t>
  </si>
  <si>
    <t xml:space="preserve">0811300567084268</t>
  </si>
  <si>
    <t xml:space="preserve">Asolai</t>
  </si>
  <si>
    <t xml:space="preserve">0811300567084175</t>
  </si>
  <si>
    <t xml:space="preserve">Khenchado Ki Dhani</t>
  </si>
  <si>
    <t xml:space="preserve">0811300567084177</t>
  </si>
  <si>
    <t xml:space="preserve">0811300567084176</t>
  </si>
  <si>
    <t xml:space="preserve">Jawar Nada</t>
  </si>
  <si>
    <t xml:space="preserve">0811300567084174</t>
  </si>
  <si>
    <t xml:space="preserve">Baba Ka Dhora</t>
  </si>
  <si>
    <t xml:space="preserve">0811300567084132</t>
  </si>
  <si>
    <t xml:space="preserve">Bannesinghpura</t>
  </si>
  <si>
    <t xml:space="preserve">0811300567084133</t>
  </si>
  <si>
    <t xml:space="preserve">Matol</t>
  </si>
  <si>
    <t xml:space="preserve">0811300567084130</t>
  </si>
  <si>
    <t xml:space="preserve">Matol Tanka</t>
  </si>
  <si>
    <t xml:space="preserve">0811300567084129</t>
  </si>
  <si>
    <t xml:space="preserve">Banswara Nagar</t>
  </si>
  <si>
    <t xml:space="preserve">0811300567084154</t>
  </si>
  <si>
    <t xml:space="preserve">Dhhatar walo ki dhani</t>
  </si>
  <si>
    <t xml:space="preserve">0811300567084255</t>
  </si>
  <si>
    <t xml:space="preserve">Barjasar</t>
  </si>
  <si>
    <t xml:space="preserve">0811300567084252</t>
  </si>
  <si>
    <t xml:space="preserve">rajsv gaanv barjasar ke khasra no128 me podharopan kary</t>
  </si>
  <si>
    <t xml:space="preserve">KHASRA NUMBAR 103 ME MEDBANDI KA KARY</t>
  </si>
  <si>
    <t xml:space="preserve">KHASRA NUMBAR 106 ME MEDBANDI KA KARY</t>
  </si>
  <si>
    <t xml:space="preserve">Rajeev Nagar</t>
  </si>
  <si>
    <t xml:space="preserve">0811300567084254</t>
  </si>
  <si>
    <t xml:space="preserve">BHIYANSAR</t>
  </si>
  <si>
    <t xml:space="preserve">Bheeyasar</t>
  </si>
  <si>
    <t xml:space="preserve">0811300567084155</t>
  </si>
  <si>
    <t xml:space="preserve">खसरा न. 1051 में  पोधारोपण कार्य</t>
  </si>
  <si>
    <t xml:space="preserve">Subhash Nagar</t>
  </si>
  <si>
    <t xml:space="preserve">0811300567084157</t>
  </si>
  <si>
    <t xml:space="preserve">BHOJASAR</t>
  </si>
  <si>
    <t xml:space="preserve">Bhojasar</t>
  </si>
  <si>
    <t xml:space="preserve">0811300567084260</t>
  </si>
  <si>
    <t xml:space="preserve">ख.न. 596/1 में मेडबंदी निर्माण कार्य</t>
  </si>
  <si>
    <t xml:space="preserve">ग्राम भोजासर में खसरा न 596 में मेडबंदी का कार्य</t>
  </si>
  <si>
    <t xml:space="preserve">0811300567084259</t>
  </si>
  <si>
    <t xml:space="preserve">Kalirananagar</t>
  </si>
  <si>
    <t xml:space="preserve">0811300567084261</t>
  </si>
  <si>
    <t xml:space="preserve">Chhatarwalon Ka Gaon</t>
  </si>
  <si>
    <t xml:space="preserve">0811300567084262</t>
  </si>
  <si>
    <t xml:space="preserve">BOOGADI</t>
  </si>
  <si>
    <t xml:space="preserve">Boogdi</t>
  </si>
  <si>
    <t xml:space="preserve">0811300567084269</t>
  </si>
  <si>
    <t xml:space="preserve">KHASRA NUMBAR 429 ME MEDBANDI KA KARY</t>
  </si>
  <si>
    <t xml:space="preserve">CHAKHU</t>
  </si>
  <si>
    <t xml:space="preserve">Chakhu</t>
  </si>
  <si>
    <t xml:space="preserve">0811300567084131</t>
  </si>
  <si>
    <t xml:space="preserve">0811300567084134</t>
  </si>
  <si>
    <t xml:space="preserve">Khengasar</t>
  </si>
  <si>
    <t xml:space="preserve">0811300567084135</t>
  </si>
  <si>
    <t xml:space="preserve">KHASRA NUMBAR 661 ME MEDBANDI KA KARY</t>
  </si>
  <si>
    <t xml:space="preserve">CHAMPASAR</t>
  </si>
  <si>
    <t xml:space="preserve">Champasar</t>
  </si>
  <si>
    <t xml:space="preserve">0811300567084273</t>
  </si>
  <si>
    <t xml:space="preserve">THAKRAI NADI KHUDAI V BANDHAI KARAY</t>
  </si>
  <si>
    <t xml:space="preserve">CHEEMANA</t>
  </si>
  <si>
    <t xml:space="preserve">Cheemana</t>
  </si>
  <si>
    <t xml:space="preserve">0811300567084142</t>
  </si>
  <si>
    <t xml:space="preserve">CHIMANI NADI MODAL TALAB NIRMAN KARYA</t>
  </si>
  <si>
    <t xml:space="preserve">Chhitarbera</t>
  </si>
  <si>
    <t xml:space="preserve">Chhitar Bera</t>
  </si>
  <si>
    <t xml:space="preserve">0811300567084257</t>
  </si>
  <si>
    <t xml:space="preserve">Chainpura Kalan</t>
  </si>
  <si>
    <t xml:space="preserve">0811300567084256</t>
  </si>
  <si>
    <t xml:space="preserve">Dadu Dayal Nagar</t>
  </si>
  <si>
    <t xml:space="preserve">0811300567084272</t>
  </si>
  <si>
    <t xml:space="preserve">Sajan Nagar</t>
  </si>
  <si>
    <t xml:space="preserve">0811300567084271</t>
  </si>
  <si>
    <t xml:space="preserve">Shyam Nagar</t>
  </si>
  <si>
    <t xml:space="preserve">0811300567084270</t>
  </si>
  <si>
    <t xml:space="preserve">Dhadharwala</t>
  </si>
  <si>
    <t xml:space="preserve">0811300567084143</t>
  </si>
  <si>
    <t xml:space="preserve">SARLI NADI ME DISALDING KARY</t>
  </si>
  <si>
    <t xml:space="preserve">Kodiyanada</t>
  </si>
  <si>
    <t xml:space="preserve">0811300567084144</t>
  </si>
  <si>
    <t xml:space="preserve">Chhila Nadi</t>
  </si>
  <si>
    <t xml:space="preserve">0811300567084145</t>
  </si>
  <si>
    <t xml:space="preserve">Gandi Sagar</t>
  </si>
  <si>
    <t xml:space="preserve">Gandhi Sagar</t>
  </si>
  <si>
    <t xml:space="preserve">0811300567084159</t>
  </si>
  <si>
    <t xml:space="preserve">Sai Nagar</t>
  </si>
  <si>
    <t xml:space="preserve">0811300567084153</t>
  </si>
  <si>
    <t xml:space="preserve">Bhagwan Nagar</t>
  </si>
  <si>
    <t xml:space="preserve">0811300567084160</t>
  </si>
  <si>
    <t xml:space="preserve">Godana</t>
  </si>
  <si>
    <t xml:space="preserve">0811300567084158</t>
  </si>
  <si>
    <t xml:space="preserve">KHASRA NUMBAR 215 ME MEDBANDI KA KARY</t>
  </si>
  <si>
    <t xml:space="preserve">KHASRA NUMBAR 188 ME MEDBANDI KA KARY</t>
  </si>
  <si>
    <t xml:space="preserve">Ghantiyali</t>
  </si>
  <si>
    <t xml:space="preserve">0811300567084149</t>
  </si>
  <si>
    <t xml:space="preserve">RAWALI NADI KHUDAI KARY</t>
  </si>
  <si>
    <t xml:space="preserve">MASJID KI NADI KHUDAI GAD NIKLAI KARY</t>
  </si>
  <si>
    <t xml:space="preserve">khasra no 259 me vraksharopan kary ghantiyali</t>
  </si>
  <si>
    <t xml:space="preserve">JAISALA</t>
  </si>
  <si>
    <t xml:space="preserve">Jaisala</t>
  </si>
  <si>
    <t xml:space="preserve">0811300567084264</t>
  </si>
  <si>
    <t xml:space="preserve">khasra no 356 me podha ropan karya</t>
  </si>
  <si>
    <t xml:space="preserve">KALI DHOLI NADI KHUDAI BANDHAI KARYA</t>
  </si>
  <si>
    <t xml:space="preserve">Jambh Sagar</t>
  </si>
  <si>
    <t xml:space="preserve">0811300567084156</t>
  </si>
  <si>
    <t xml:space="preserve">KHASRA NUMBAR 160 ME MEDBANDI KA KARY</t>
  </si>
  <si>
    <t xml:space="preserve">Vishvkarma Nagar</t>
  </si>
  <si>
    <t xml:space="preserve">0811300567084253</t>
  </si>
  <si>
    <t xml:space="preserve">KELANSAR</t>
  </si>
  <si>
    <t xml:space="preserve">Kelansar</t>
  </si>
  <si>
    <t xml:space="preserve">0811300567084265</t>
  </si>
  <si>
    <t xml:space="preserve">15-082025</t>
  </si>
  <si>
    <t xml:space="preserve">KHASRA NUMBAR 397 ME MEDBANDI KA KARY</t>
  </si>
  <si>
    <t xml:space="preserve">KHASRA NUMBAR 478 ME MEDBANDI KA KARY</t>
  </si>
  <si>
    <t xml:space="preserve">KALI NADI KHUDAI KARY</t>
  </si>
  <si>
    <t xml:space="preserve">SURTA NADA KHUDAI KARY</t>
  </si>
  <si>
    <t xml:space="preserve">BHILO KI NADI KHUDAI KARY</t>
  </si>
  <si>
    <t xml:space="preserve">Jaldara</t>
  </si>
  <si>
    <t xml:space="preserve">0811300567084146</t>
  </si>
  <si>
    <t xml:space="preserve">Khajoosar</t>
  </si>
  <si>
    <t xml:space="preserve">0811300567084152</t>
  </si>
  <si>
    <t xml:space="preserve">Khasra Sankhiya 2 Me Podharopan Vikas Kary Nirman</t>
  </si>
  <si>
    <t xml:space="preserve">Khariya Kansingh</t>
  </si>
  <si>
    <t xml:space="preserve">0811300567084150</t>
  </si>
  <si>
    <t xml:space="preserve">0811300567084147</t>
  </si>
  <si>
    <t xml:space="preserve">LUNA</t>
  </si>
  <si>
    <t xml:space="preserve">Luna</t>
  </si>
  <si>
    <t xml:space="preserve">0811300567084052</t>
  </si>
  <si>
    <t xml:space="preserve">Khasra Sankhiya 302/294 Charagah Bhumi Me Podharopan Kary</t>
  </si>
  <si>
    <t xml:space="preserve">Maneora</t>
  </si>
  <si>
    <t xml:space="preserve">0811300567084276</t>
  </si>
  <si>
    <t xml:space="preserve">Mohar Nagar</t>
  </si>
  <si>
    <t xml:space="preserve">0811300567084258</t>
  </si>
  <si>
    <t xml:space="preserve">MEDBANDI NIRMAN KARY KH NU 596</t>
  </si>
  <si>
    <t xml:space="preserve">MEDBANDI NIRMAN KARY KHATA NU 267</t>
  </si>
  <si>
    <t xml:space="preserve">Narayanpura</t>
  </si>
  <si>
    <t xml:space="preserve">0811300567084125</t>
  </si>
  <si>
    <t xml:space="preserve">Ganeshpura</t>
  </si>
  <si>
    <t xml:space="preserve">0811300567084123</t>
  </si>
  <si>
    <t xml:space="preserve">Pabupura</t>
  </si>
  <si>
    <t xml:space="preserve">0811300567084124</t>
  </si>
  <si>
    <t xml:space="preserve">Shiv Sagar</t>
  </si>
  <si>
    <t xml:space="preserve">0811300567084126</t>
  </si>
  <si>
    <t xml:space="preserve">Kalathal</t>
  </si>
  <si>
    <t xml:space="preserve">0811300567084128</t>
  </si>
  <si>
    <t xml:space="preserve">Chheelasar</t>
  </si>
  <si>
    <t xml:space="preserve">0811300567084127</t>
  </si>
  <si>
    <t xml:space="preserve">Hanuman Sagar (No Gp)</t>
  </si>
  <si>
    <t xml:space="preserve">0811300567084136</t>
  </si>
  <si>
    <t xml:space="preserve">NOKHRA BHATIYAN</t>
  </si>
  <si>
    <t xml:space="preserve">Nokhra Bhatiyan</t>
  </si>
  <si>
    <t xml:space="preserve">0811300567084304</t>
  </si>
  <si>
    <t xml:space="preserve">Nokhra Godara</t>
  </si>
  <si>
    <t xml:space="preserve">0811300567084302</t>
  </si>
  <si>
    <t xml:space="preserve">Nokhra Charnan</t>
  </si>
  <si>
    <t xml:space="preserve">0811300567084303</t>
  </si>
  <si>
    <t xml:space="preserve">PARIYAL</t>
  </si>
  <si>
    <t xml:space="preserve">Pariyal</t>
  </si>
  <si>
    <t xml:space="preserve">0811300567084178</t>
  </si>
  <si>
    <t xml:space="preserve">Rajsveg Gav Padiyal Ke Khasra Sankhiya 546 Me Warksaropan Kary</t>
  </si>
  <si>
    <t xml:space="preserve">Dhaksene Dhani Ranisar</t>
  </si>
  <si>
    <t xml:space="preserve">0811300567084251</t>
  </si>
  <si>
    <t xml:space="preserve">0811300567084248</t>
  </si>
  <si>
    <t xml:space="preserve">Khavo Ki Dhani Ranisar</t>
  </si>
  <si>
    <t xml:space="preserve">0811300567084249</t>
  </si>
  <si>
    <t xml:space="preserve">Ranisar</t>
  </si>
  <si>
    <t xml:space="preserve">0811300567084250</t>
  </si>
  <si>
    <t xml:space="preserve">RADKAPURA</t>
  </si>
  <si>
    <t xml:space="preserve">Radka Pura</t>
  </si>
  <si>
    <t xml:space="preserve">0811300567084172</t>
  </si>
  <si>
    <t xml:space="preserve">0811300567084180</t>
  </si>
  <si>
    <t xml:space="preserve">धोलिया नाडा खुदाई</t>
  </si>
  <si>
    <t xml:space="preserve">Karani Pura</t>
  </si>
  <si>
    <t xml:space="preserve">0811300567084179</t>
  </si>
  <si>
    <t xml:space="preserve">Udhav Nagar</t>
  </si>
  <si>
    <t xml:space="preserve">0811300567084171</t>
  </si>
  <si>
    <t xml:space="preserve">Viram Nagar</t>
  </si>
  <si>
    <t xml:space="preserve">0811300567084173</t>
  </si>
  <si>
    <t xml:space="preserve">BIRANIYO KI NADI KHUDAI KARY</t>
  </si>
  <si>
    <t xml:space="preserve">ROHINA</t>
  </si>
  <si>
    <t xml:space="preserve">Rohina</t>
  </si>
  <si>
    <t xml:space="preserve">0811300567084267</t>
  </si>
  <si>
    <t xml:space="preserve">GANGANADA MODAL TALAB KHUDAI V BADHAI KARY</t>
  </si>
  <si>
    <t xml:space="preserve">Sajnaniyon Ki Dhani</t>
  </si>
  <si>
    <t xml:space="preserve">0811300567084151</t>
  </si>
  <si>
    <t xml:space="preserve">Kuknon Ki Dhani</t>
  </si>
  <si>
    <t xml:space="preserve">0811300567084263</t>
  </si>
  <si>
    <t xml:space="preserve">0811300567084148</t>
  </si>
  <si>
    <t xml:space="preserve">0811300567084139</t>
  </si>
  <si>
    <t xml:space="preserve">0811300567084137</t>
  </si>
  <si>
    <t xml:space="preserve">Lumbasar</t>
  </si>
  <si>
    <t xml:space="preserve">0811300567084138</t>
  </si>
  <si>
    <t xml:space="preserve">oran wali nadi khudai bandhai kary</t>
  </si>
  <si>
    <t xml:space="preserve">Kishanpura</t>
  </si>
  <si>
    <t xml:space="preserve">0811300567084140</t>
  </si>
  <si>
    <t xml:space="preserve">Arandiyan</t>
  </si>
  <si>
    <t xml:space="preserve">0811300567084141</t>
  </si>
  <si>
    <t xml:space="preserve">KERU</t>
  </si>
  <si>
    <t xml:space="preserve">bambor darjiyan</t>
  </si>
  <si>
    <t xml:space="preserve">Bambor Darjiyan</t>
  </si>
  <si>
    <t xml:space="preserve">0811300570084951</t>
  </si>
  <si>
    <t xml:space="preserve">Bambor Purohitan</t>
  </si>
  <si>
    <t xml:space="preserve">0811300570084952</t>
  </si>
  <si>
    <t xml:space="preserve">Jasnath Nagar</t>
  </si>
  <si>
    <t xml:space="preserve">0811300570084949</t>
  </si>
  <si>
    <t xml:space="preserve">Purakhpur</t>
  </si>
  <si>
    <t xml:space="preserve">0811300570084948</t>
  </si>
  <si>
    <t xml:space="preserve">नया नाडा खुदाई व बंधाई कार्य</t>
  </si>
  <si>
    <t xml:space="preserve">Legon Ki Dhani</t>
  </si>
  <si>
    <t xml:space="preserve">0811300570084950</t>
  </si>
  <si>
    <t xml:space="preserve">भीलानाडा खुदाई व बधाई कार्य</t>
  </si>
  <si>
    <t xml:space="preserve">Barli</t>
  </si>
  <si>
    <t xml:space="preserve">0811300570084940</t>
  </si>
  <si>
    <t xml:space="preserve">खसरा नंबर 5 से नीमडा नाड़ी तक चैनल निर्माण कार्य</t>
  </si>
  <si>
    <t xml:space="preserve">खंदेडा नाडी खुदाई कार्य एवं पाल बंधाई कार्य</t>
  </si>
  <si>
    <t xml:space="preserve">Golasani</t>
  </si>
  <si>
    <t xml:space="preserve">0811300570084938</t>
  </si>
  <si>
    <t xml:space="preserve">BERU</t>
  </si>
  <si>
    <t xml:space="preserve">Beroo</t>
  </si>
  <si>
    <t xml:space="preserve">0811300570084892</t>
  </si>
  <si>
    <t xml:space="preserve">Dedipa Nada</t>
  </si>
  <si>
    <t xml:space="preserve">0811300570084891</t>
  </si>
  <si>
    <t xml:space="preserve">देदीपानाडा नाडी खुदाई कार्य</t>
  </si>
  <si>
    <t xml:space="preserve">आगोलाई नाडी के आगोर की मेङबंदी कार्य</t>
  </si>
  <si>
    <t xml:space="preserve">शहरी नाडी मे पानी आवक हेतु चैनल निर्माण</t>
  </si>
  <si>
    <t xml:space="preserve">SHIV NAGAR </t>
  </si>
  <si>
    <t xml:space="preserve">SAHARI NAGAR </t>
  </si>
  <si>
    <t xml:space="preserve">Chawanda</t>
  </si>
  <si>
    <t xml:space="preserve">0811300570084889</t>
  </si>
  <si>
    <t xml:space="preserve">डेलाई नाडी डिसलिटिग खुदाई कार्य बासनी सेफा</t>
  </si>
  <si>
    <t xml:space="preserve">ममोड़ी नाडी खुदाई कार्य </t>
  </si>
  <si>
    <t xml:space="preserve">कपूरिया नाडा खुदाई कार्य</t>
  </si>
  <si>
    <t xml:space="preserve">Basni Sepha</t>
  </si>
  <si>
    <t xml:space="preserve">0811300570084886</t>
  </si>
  <si>
    <t xml:space="preserve">चंदो की नाढ़ी खुदही कराह बासनीसेफ़ा</t>
  </si>
  <si>
    <t xml:space="preserve">CHOKHA</t>
  </si>
  <si>
    <t xml:space="preserve">Chaukhan</t>
  </si>
  <si>
    <t xml:space="preserve">0811300570084964</t>
  </si>
  <si>
    <t xml:space="preserve">Barli Ner</t>
  </si>
  <si>
    <t xml:space="preserve">0811300570084939</t>
  </si>
  <si>
    <t xml:space="preserve">Daijar</t>
  </si>
  <si>
    <t xml:space="preserve">0811300570084931</t>
  </si>
  <si>
    <t xml:space="preserve">कपुरडी नाडी उतरी भाग खुदाई कार्य</t>
  </si>
  <si>
    <t xml:space="preserve">Basni Karwar</t>
  </si>
  <si>
    <t xml:space="preserve">0811300570084898</t>
  </si>
  <si>
    <t xml:space="preserve">जुजार नाडी चैनल निर्माण कार्य</t>
  </si>
  <si>
    <t xml:space="preserve">Basni Lachhan</t>
  </si>
  <si>
    <t xml:space="preserve">0811300570084899</t>
  </si>
  <si>
    <t xml:space="preserve">कानानाडा खुदाई कार्य</t>
  </si>
  <si>
    <t xml:space="preserve">Ghantiyala</t>
  </si>
  <si>
    <t xml:space="preserve">0811300570084887</t>
  </si>
  <si>
    <t xml:space="preserve">छतपिपली नाडी खुदाई व‌‌‌ सौंदर्यीकरण कार्य</t>
  </si>
  <si>
    <t xml:space="preserve">पिपरला नाड़ी खुदाई कार्य</t>
  </si>
  <si>
    <t xml:space="preserve">बांगडाव तालब खुदाई कार्य</t>
  </si>
  <si>
    <t xml:space="preserve">ग्राम घंटियाला के खसरा नंबर 184 में चैनल नहर निर्माण व मेडबंदी कार्य</t>
  </si>
  <si>
    <t xml:space="preserve">Hemnagar Pooniyon Ki Pyau</t>
  </si>
  <si>
    <t xml:space="preserve">Pooniyon Ki Pyau</t>
  </si>
  <si>
    <t xml:space="preserve">0811300570084954</t>
  </si>
  <si>
    <t xml:space="preserve">खसरा नंबर 235 तोलाघर नाडा तक चैनल निर्माण कार्य</t>
  </si>
  <si>
    <t xml:space="preserve"> बालाजी नाडा खुदाई कार्य पुनिय‍ों की प्याऊ</t>
  </si>
  <si>
    <t xml:space="preserve">बालाजी नाडा खुदाई कार्य</t>
  </si>
  <si>
    <t xml:space="preserve">0811300570084955</t>
  </si>
  <si>
    <t xml:space="preserve">पिपलाई तालाब खुदाई कार्य हेमनगर</t>
  </si>
  <si>
    <t xml:space="preserve">Meglasiya</t>
  </si>
  <si>
    <t xml:space="preserve">0811300570084947</t>
  </si>
  <si>
    <t xml:space="preserve">खसरा संख्या 137/1 वृक्षारोपण कार्य</t>
  </si>
  <si>
    <t xml:space="preserve">INDROKA</t>
  </si>
  <si>
    <t xml:space="preserve">Indroka</t>
  </si>
  <si>
    <t xml:space="preserve">0811300570084894</t>
  </si>
  <si>
    <t xml:space="preserve">JOLIYALI</t>
  </si>
  <si>
    <t xml:space="preserve">Joliyali</t>
  </si>
  <si>
    <t xml:space="preserve">0811300570084953</t>
  </si>
  <si>
    <t xml:space="preserve">जम्बेश्ववर नाडा खुदाई कार्य</t>
  </si>
  <si>
    <t xml:space="preserve">Karani</t>
  </si>
  <si>
    <t xml:space="preserve">0811300570084956</t>
  </si>
  <si>
    <t xml:space="preserve">Daon Ki Dhani</t>
  </si>
  <si>
    <t xml:space="preserve">0811300570084961</t>
  </si>
  <si>
    <t xml:space="preserve">Naron Ki Dhani</t>
  </si>
  <si>
    <t xml:space="preserve">0811300570084959</t>
  </si>
  <si>
    <t xml:space="preserve">KARWAR</t>
  </si>
  <si>
    <t xml:space="preserve">Karwar</t>
  </si>
  <si>
    <t xml:space="preserve">0811300570084900</t>
  </si>
  <si>
    <t xml:space="preserve">ग्राम करवड में चारागाह विकास कार्य</t>
  </si>
  <si>
    <t xml:space="preserve">Desooriya Vishnoiyan</t>
  </si>
  <si>
    <t xml:space="preserve">0811300570084930</t>
  </si>
  <si>
    <t xml:space="preserve">खारची नाडी खुदाई कार्य</t>
  </si>
  <si>
    <t xml:space="preserve">महादेव नाडी खुदाई कार्य</t>
  </si>
  <si>
    <t xml:space="preserve">Desooriya Kharolan</t>
  </si>
  <si>
    <t xml:space="preserve">0811300570084929</t>
  </si>
  <si>
    <t xml:space="preserve">बाया नाड़ी खुदाई कार्य</t>
  </si>
  <si>
    <t xml:space="preserve">Gharab</t>
  </si>
  <si>
    <t xml:space="preserve">0811300570084902</t>
  </si>
  <si>
    <t xml:space="preserve">Jheepasani</t>
  </si>
  <si>
    <t xml:space="preserve">0811300570084901</t>
  </si>
  <si>
    <t xml:space="preserve">KEROO</t>
  </si>
  <si>
    <t xml:space="preserve">Keroo</t>
  </si>
  <si>
    <t xml:space="preserve">0811300570084941</t>
  </si>
  <si>
    <t xml:space="preserve">Mula nadha oran bhumi ki madh bandi kariya </t>
  </si>
  <si>
    <t xml:space="preserve">Navoda nada oran bhumi ki madh bandhi kariya</t>
  </si>
  <si>
    <t xml:space="preserve">LORDI DAIJAGARA</t>
  </si>
  <si>
    <t xml:space="preserve">Lordi Daijagra</t>
  </si>
  <si>
    <t xml:space="preserve">0811300570084957</t>
  </si>
  <si>
    <t xml:space="preserve">Lordi Doliya</t>
  </si>
  <si>
    <t xml:space="preserve">0811300570084958</t>
  </si>
  <si>
    <t xml:space="preserve">Mahadev Nagar Undera</t>
  </si>
  <si>
    <t xml:space="preserve">Mahadeonagar Undera</t>
  </si>
  <si>
    <t xml:space="preserve">0811300570084943</t>
  </si>
  <si>
    <t xml:space="preserve">उन्देडा नाड़ी ओरण भूमि की मेड़बंदी कार्य</t>
  </si>
  <si>
    <t xml:space="preserve">नापली नाडी ओरणभूमि की मेड बंदी का कार्य</t>
  </si>
  <si>
    <t xml:space="preserve">पलाया नाडा खुदाई कार्य</t>
  </si>
  <si>
    <t xml:space="preserve">Bhagtasani</t>
  </si>
  <si>
    <t xml:space="preserve">0811300570084944</t>
  </si>
  <si>
    <t xml:space="preserve">Shiv Sarnon Ki Dhani</t>
  </si>
  <si>
    <t xml:space="preserve">0811300570084942</t>
  </si>
  <si>
    <t xml:space="preserve">Manai</t>
  </si>
  <si>
    <t xml:space="preserve">0811300570084895</t>
  </si>
  <si>
    <t xml:space="preserve">ग्राम मणाई में भूमि विकास कार्य खसरा नंबर 59</t>
  </si>
  <si>
    <t xml:space="preserve">Khokhari</t>
  </si>
  <si>
    <t xml:space="preserve">0811300570084893</t>
  </si>
  <si>
    <t xml:space="preserve">MANAKLAO</t>
  </si>
  <si>
    <t xml:space="preserve">Manaklao</t>
  </si>
  <si>
    <t xml:space="preserve">0811300570084897</t>
  </si>
  <si>
    <t xml:space="preserve">गोचर विकस कार्य खसरा न 308, माणकलाव</t>
  </si>
  <si>
    <t xml:space="preserve">निंबला नाडा उत्तरी भाग खुदाई कार्य</t>
  </si>
  <si>
    <t xml:space="preserve">सेखाला नाडा खुदाई कार्य</t>
  </si>
  <si>
    <t xml:space="preserve">NARWA KHICHIYA</t>
  </si>
  <si>
    <t xml:space="preserve">Narwa Khichiyan</t>
  </si>
  <si>
    <t xml:space="preserve">0811300570084896</t>
  </si>
  <si>
    <t xml:space="preserve">Jakharo Ki Dhani</t>
  </si>
  <si>
    <t xml:space="preserve">0811300570084937</t>
  </si>
  <si>
    <t xml:space="preserve">Palri Mangliya</t>
  </si>
  <si>
    <t xml:space="preserve">Palri Mangaliya</t>
  </si>
  <si>
    <t xml:space="preserve">0811300570084935</t>
  </si>
  <si>
    <t xml:space="preserve">Veer Teja Nagar</t>
  </si>
  <si>
    <t xml:space="preserve">0811300570084936</t>
  </si>
  <si>
    <t xml:space="preserve">Palri Panwara</t>
  </si>
  <si>
    <t xml:space="preserve">0811300570084933</t>
  </si>
  <si>
    <t xml:space="preserve">Bhirkali</t>
  </si>
  <si>
    <t xml:space="preserve">0811300570084934</t>
  </si>
  <si>
    <t xml:space="preserve">Palri Khichiyan</t>
  </si>
  <si>
    <t xml:space="preserve">0811300570084932</t>
  </si>
  <si>
    <t xml:space="preserve">पालडी खिचिया में चारागाह विकास कार्य</t>
  </si>
  <si>
    <t xml:space="preserve">POPAWAS</t>
  </si>
  <si>
    <t xml:space="preserve">Popawas</t>
  </si>
  <si>
    <t xml:space="preserve">0811300570084945</t>
  </si>
  <si>
    <t xml:space="preserve">Rajwa</t>
  </si>
  <si>
    <t xml:space="preserve">0811300570084946</t>
  </si>
  <si>
    <t xml:space="preserve">Sirodi</t>
  </si>
  <si>
    <t xml:space="preserve">0811300570084888</t>
  </si>
  <si>
    <t xml:space="preserve">ROHILAKALAN</t>
  </si>
  <si>
    <t xml:space="preserve">Rohila Kalan</t>
  </si>
  <si>
    <t xml:space="preserve">0811300570084960</t>
  </si>
  <si>
    <t xml:space="preserve">Rohila Khurd</t>
  </si>
  <si>
    <t xml:space="preserve">0811300570084962</t>
  </si>
  <si>
    <t xml:space="preserve">Mokalawas</t>
  </si>
  <si>
    <t xml:space="preserve">0811300570084963</t>
  </si>
  <si>
    <t xml:space="preserve">SALORI</t>
  </si>
  <si>
    <t xml:space="preserve">Salori</t>
  </si>
  <si>
    <t xml:space="preserve">0811300570084890</t>
  </si>
  <si>
    <t xml:space="preserve">ग्राम सालोड़ी मे ख॰ न॰ 88 मे चारागाह विकास</t>
  </si>
  <si>
    <t xml:space="preserve">बेगी नाड़ी उतरी बाग की खुदाई कार्य</t>
  </si>
  <si>
    <t xml:space="preserve">ग्राम सालोङी में खसरा नंबर 88 में चैनल निर्माण कार्य</t>
  </si>
  <si>
    <t xml:space="preserve">LOHAWAT</t>
  </si>
  <si>
    <t xml:space="preserve">AMLA</t>
  </si>
  <si>
    <t xml:space="preserve">Amla</t>
  </si>
  <si>
    <t xml:space="preserve">0811300567084232</t>
  </si>
  <si>
    <t xml:space="preserve">Rohida Nagar</t>
  </si>
  <si>
    <t xml:space="preserve">0811300567084233</t>
  </si>
  <si>
    <t xml:space="preserve">Bedon Ka Bera</t>
  </si>
  <si>
    <t xml:space="preserve">0811300568084535</t>
  </si>
  <si>
    <t xml:space="preserve">ख न 341 में चारागाह विकास कार्य, बेन्दों का बेरा</t>
  </si>
  <si>
    <t xml:space="preserve">Radiya Bera</t>
  </si>
  <si>
    <t xml:space="preserve">0811300568084534</t>
  </si>
  <si>
    <t xml:space="preserve">KARAN GIRI NADI KHUDAI KARY </t>
  </si>
  <si>
    <t xml:space="preserve">Bhajan Nagar</t>
  </si>
  <si>
    <t xml:space="preserve">0811300567084339</t>
  </si>
  <si>
    <t xml:space="preserve"> जम्भेश्वर नाडा खुदाई कार्य</t>
  </si>
  <si>
    <t xml:space="preserve">Singdasar</t>
  </si>
  <si>
    <t xml:space="preserve">0811300567084342</t>
  </si>
  <si>
    <t xml:space="preserve">Thata Nagar</t>
  </si>
  <si>
    <t xml:space="preserve">0811300567084341</t>
  </si>
  <si>
    <t xml:space="preserve">BHEEKAMKOR</t>
  </si>
  <si>
    <t xml:space="preserve">Bheekam Kor</t>
  </si>
  <si>
    <t xml:space="preserve">0811300568084556</t>
  </si>
  <si>
    <t xml:space="preserve">गवई नाडी डीस्टीलिंग कार्य </t>
  </si>
  <si>
    <t xml:space="preserve">Shri Ramdev Nagar</t>
  </si>
  <si>
    <t xml:space="preserve">0811300568084549</t>
  </si>
  <si>
    <t xml:space="preserve">BHEENYARIYA</t>
  </si>
  <si>
    <t xml:space="preserve">Bheeyadiya</t>
  </si>
  <si>
    <t xml:space="preserve">0811300568084553</t>
  </si>
  <si>
    <t xml:space="preserve">Jambh sagar wali Gouchar</t>
  </si>
  <si>
    <t xml:space="preserve">Sri Sangiyaji Nagar</t>
  </si>
  <si>
    <t xml:space="preserve">0811300568084554</t>
  </si>
  <si>
    <t xml:space="preserve">Mahadev Nagar (Morali Bari)</t>
  </si>
  <si>
    <t xml:space="preserve">0811300568084555</t>
  </si>
  <si>
    <t xml:space="preserve">NITLAI NADI </t>
  </si>
  <si>
    <t xml:space="preserve">CHAINPURA</t>
  </si>
  <si>
    <t xml:space="preserve">Chainpura</t>
  </si>
  <si>
    <t xml:space="preserve">0811300567084243</t>
  </si>
  <si>
    <t xml:space="preserve">मगरा नाडी खुदाई कार्य</t>
  </si>
  <si>
    <t xml:space="preserve">Rahimpura</t>
  </si>
  <si>
    <t xml:space="preserve">0811300567084241</t>
  </si>
  <si>
    <t xml:space="preserve">बाबा नाडी खुदाई व बधाई कार्य</t>
  </si>
  <si>
    <t xml:space="preserve">Chhaino Ki Dhani</t>
  </si>
  <si>
    <t xml:space="preserve">0811300567084242</t>
  </si>
  <si>
    <t xml:space="preserve">हेमसागर नाडी खुदाई कार्य</t>
  </si>
  <si>
    <t xml:space="preserve">Chandanpura urf Chikni Nari</t>
  </si>
  <si>
    <t xml:space="preserve">Chikni Nari</t>
  </si>
  <si>
    <t xml:space="preserve">0811300567084440</t>
  </si>
  <si>
    <t xml:space="preserve">स्वामी नाडा खुदाई कार्य</t>
  </si>
  <si>
    <t xml:space="preserve">Madrup Nagar</t>
  </si>
  <si>
    <t xml:space="preserve">0811300567084437</t>
  </si>
  <si>
    <t xml:space="preserve">Sukh Sagar</t>
  </si>
  <si>
    <t xml:space="preserve">0811300567084441</t>
  </si>
  <si>
    <t xml:space="preserve">0811300567084442</t>
  </si>
  <si>
    <t xml:space="preserve">Chandra Nagar</t>
  </si>
  <si>
    <t xml:space="preserve">0811300567084340</t>
  </si>
  <si>
    <t xml:space="preserve">CHHEELA</t>
  </si>
  <si>
    <t xml:space="preserve">Chheela</t>
  </si>
  <si>
    <t xml:space="preserve">0811300567084358</t>
  </si>
  <si>
    <t xml:space="preserve">चारागाह विकास कार्य, छीला</t>
  </si>
  <si>
    <t xml:space="preserve">Tulsi Ram Nagar</t>
  </si>
  <si>
    <t xml:space="preserve">0811300567084360</t>
  </si>
  <si>
    <t xml:space="preserve">Shera Ram Nagar</t>
  </si>
  <si>
    <t xml:space="preserve">0811300567084359</t>
  </si>
  <si>
    <t xml:space="preserve">DAYAKOR</t>
  </si>
  <si>
    <t xml:space="preserve">Daya Kor</t>
  </si>
  <si>
    <t xml:space="preserve">0811300567084436</t>
  </si>
  <si>
    <t xml:space="preserve">सुथार नाड़ा खुदाई कार्य</t>
  </si>
  <si>
    <t xml:space="preserve">Chatala Nagar</t>
  </si>
  <si>
    <t xml:space="preserve">0811300567084435</t>
  </si>
  <si>
    <t xml:space="preserve">मानसागर नाड़ी खुदाई कार्य</t>
  </si>
  <si>
    <t xml:space="preserve">Baba Nagar</t>
  </si>
  <si>
    <t xml:space="preserve">0811300567084434</t>
  </si>
  <si>
    <t xml:space="preserve">Deriyon Ki Dhani</t>
  </si>
  <si>
    <t xml:space="preserve">0811300567084361</t>
  </si>
  <si>
    <t xml:space="preserve">Sihar Roopawaton Ki Dhani</t>
  </si>
  <si>
    <t xml:space="preserve">0811300567084363</t>
  </si>
  <si>
    <t xml:space="preserve">Dalji Ki Dhani</t>
  </si>
  <si>
    <t xml:space="preserve">0811300567084364</t>
  </si>
  <si>
    <t xml:space="preserve">DHELANA</t>
  </si>
  <si>
    <t xml:space="preserve">Dhelana</t>
  </si>
  <si>
    <t xml:space="preserve">0811300567084461</t>
  </si>
  <si>
    <t xml:space="preserve">फतलाई नाढ़ी खुदाई कार्य ढेलाणा</t>
  </si>
  <si>
    <t xml:space="preserve">आईनाथ तालाब डीस्ल्टिंग कार्य</t>
  </si>
  <si>
    <t xml:space="preserve">बंदा नाड़ी खुदाई कार्य ढ़ेलाणा</t>
  </si>
  <si>
    <t xml:space="preserve">DHOLASAR</t>
  </si>
  <si>
    <t xml:space="preserve">0811300567084198</t>
  </si>
  <si>
    <t xml:space="preserve">15-11-2025</t>
  </si>
  <si>
    <t xml:space="preserve"> चारागाह विकास कार्य ख न 69 धोलासर</t>
  </si>
  <si>
    <t xml:space="preserve">Mahirshi Gotam Nagar</t>
  </si>
  <si>
    <t xml:space="preserve">0811300567084197</t>
  </si>
  <si>
    <t xml:space="preserve">Laxmanpura</t>
  </si>
  <si>
    <t xml:space="preserve">0811300567084196</t>
  </si>
  <si>
    <t xml:space="preserve">FATEHSAGAR</t>
  </si>
  <si>
    <t xml:space="preserve">Fateh Sagar</t>
  </si>
  <si>
    <t xml:space="preserve">0811300567084431</t>
  </si>
  <si>
    <t xml:space="preserve">Deepawat Nagar</t>
  </si>
  <si>
    <t xml:space="preserve">0811300567084426</t>
  </si>
  <si>
    <t xml:space="preserve">Hemraj Nagar</t>
  </si>
  <si>
    <t xml:space="preserve">0811300567084427</t>
  </si>
  <si>
    <t xml:space="preserve">Bagdawat Nagar</t>
  </si>
  <si>
    <t xml:space="preserve">0811300567084428</t>
  </si>
  <si>
    <t xml:space="preserve">Pipaliya Nagar</t>
  </si>
  <si>
    <t xml:space="preserve">0811300567084430</t>
  </si>
  <si>
    <t xml:space="preserve">Indra Nagar</t>
  </si>
  <si>
    <t xml:space="preserve">0811300567084429</t>
  </si>
  <si>
    <t xml:space="preserve">HANSADESH</t>
  </si>
  <si>
    <t xml:space="preserve">Hansa Desh</t>
  </si>
  <si>
    <t xml:space="preserve">0811300567084338</t>
  </si>
  <si>
    <t xml:space="preserve">Jagramsar</t>
  </si>
  <si>
    <t xml:space="preserve">0811300567084337</t>
  </si>
  <si>
    <t xml:space="preserve">0811300568084551</t>
  </si>
  <si>
    <t xml:space="preserve">0811300568084552</t>
  </si>
  <si>
    <t xml:space="preserve">sarani nadi </t>
  </si>
  <si>
    <t xml:space="preserve">Karwaniyon Ki Dhani</t>
  </si>
  <si>
    <t xml:space="preserve">0811300568084550</t>
  </si>
  <si>
    <t xml:space="preserve">yes </t>
  </si>
  <si>
    <t xml:space="preserve">Heera Moti Nagar Tej Nagar</t>
  </si>
  <si>
    <t xml:space="preserve">Heera Moti Nagar</t>
  </si>
  <si>
    <t xml:space="preserve">0811300567084449</t>
  </si>
  <si>
    <t xml:space="preserve">हीराणीयों की चाट में नाड़ी खुदाई कार्य हीरामोती नगर</t>
  </si>
  <si>
    <t xml:space="preserve">0811300567084362</t>
  </si>
  <si>
    <t xml:space="preserve">Tej Nagar</t>
  </si>
  <si>
    <t xml:space="preserve">0811300567084446</t>
  </si>
  <si>
    <t xml:space="preserve">Chutar Nagar</t>
  </si>
  <si>
    <t xml:space="preserve">0811300567084445</t>
  </si>
  <si>
    <t xml:space="preserve">Beegasar</t>
  </si>
  <si>
    <t xml:space="preserve">0811300567084455</t>
  </si>
  <si>
    <t xml:space="preserve">Indon ki Dhani-II</t>
  </si>
  <si>
    <t xml:space="preserve">Indon Ki Dhani -Ii</t>
  </si>
  <si>
    <t xml:space="preserve">0811300568084547</t>
  </si>
  <si>
    <t xml:space="preserve">ख न 947 में चारागाह विकास कार्य इन्दो की ढाणी द्वितीय</t>
  </si>
  <si>
    <t xml:space="preserve">Indon Ki Dhani</t>
  </si>
  <si>
    <t xml:space="preserve">0811300568084548</t>
  </si>
  <si>
    <t xml:space="preserve">Khanu Ki Dhani (Krishan Nagar)</t>
  </si>
  <si>
    <t xml:space="preserve">0811300568084544</t>
  </si>
  <si>
    <t xml:space="preserve">JAGUBANO KI DHANI</t>
  </si>
  <si>
    <t xml:space="preserve">Jagu Bana Ki Dhani</t>
  </si>
  <si>
    <t xml:space="preserve">0811300567084373</t>
  </si>
  <si>
    <t xml:space="preserve">Dhokal Nagar</t>
  </si>
  <si>
    <t xml:space="preserve">0811300567084372</t>
  </si>
  <si>
    <t xml:space="preserve">Laxmi Nagar</t>
  </si>
  <si>
    <t xml:space="preserve">0811300567084368</t>
  </si>
  <si>
    <t xml:space="preserve">Jhardeji Ki Bhakri</t>
  </si>
  <si>
    <t xml:space="preserve">0811300567084374</t>
  </si>
  <si>
    <t xml:space="preserve">Dumaderi(Khanpur)</t>
  </si>
  <si>
    <t xml:space="preserve">0811300567084367</t>
  </si>
  <si>
    <t xml:space="preserve">137 में चारागाह विकास कार्य, </t>
  </si>
  <si>
    <t xml:space="preserve">JALORA</t>
  </si>
  <si>
    <t xml:space="preserve">Jalora</t>
  </si>
  <si>
    <t xml:space="preserve">0811300567084370</t>
  </si>
  <si>
    <t xml:space="preserve">Sunda Nagar</t>
  </si>
  <si>
    <t xml:space="preserve">0811300567084371</t>
  </si>
  <si>
    <t xml:space="preserve">Tikaram Paliwal Nagar</t>
  </si>
  <si>
    <t xml:space="preserve">0811300567084369</t>
  </si>
  <si>
    <t xml:space="preserve">Ghamner</t>
  </si>
  <si>
    <t xml:space="preserve">0811300567084366</t>
  </si>
  <si>
    <t xml:space="preserve">Megwalon Ki Dhani</t>
  </si>
  <si>
    <t xml:space="preserve">0811300567084365</t>
  </si>
  <si>
    <t xml:space="preserve">JAMBESHWARNAGAR</t>
  </si>
  <si>
    <t xml:space="preserve">Shri Jammeshwar Nagar</t>
  </si>
  <si>
    <t xml:space="preserve">0811300567084343</t>
  </si>
  <si>
    <t xml:space="preserve"> चरागाह विकास कार्य </t>
  </si>
  <si>
    <t xml:space="preserve">Shivpuri</t>
  </si>
  <si>
    <t xml:space="preserve">0811300567084344</t>
  </si>
  <si>
    <t xml:space="preserve">मतवाली नाडी वाला चरागाह विकास कार्य </t>
  </si>
  <si>
    <t xml:space="preserve">Jeriya</t>
  </si>
  <si>
    <t xml:space="preserve">0811300568084500</t>
  </si>
  <si>
    <t xml:space="preserve">चारागाह विकास कार्य, ख न जेरिया</t>
  </si>
  <si>
    <t xml:space="preserve">ख स 68 मे मेडबंदी कार्य जेरिया</t>
  </si>
  <si>
    <t xml:space="preserve">Dharam Sagar</t>
  </si>
  <si>
    <t xml:space="preserve">0811300568084496</t>
  </si>
  <si>
    <t xml:space="preserve">Jangusar</t>
  </si>
  <si>
    <t xml:space="preserve">0811300568084497</t>
  </si>
  <si>
    <t xml:space="preserve">Chain Sagar</t>
  </si>
  <si>
    <t xml:space="preserve">0811300568084499</t>
  </si>
  <si>
    <t xml:space="preserve">ख स 36 मे मेडबंदी कार्य चैनसागर</t>
  </si>
  <si>
    <t xml:space="preserve">Kali Mali</t>
  </si>
  <si>
    <t xml:space="preserve">0811300567084234</t>
  </si>
  <si>
    <t xml:space="preserve">Netaji Nagar</t>
  </si>
  <si>
    <t xml:space="preserve">0811300567084235</t>
  </si>
  <si>
    <t xml:space="preserve">Kerlanada</t>
  </si>
  <si>
    <t xml:space="preserve">0811300568084545</t>
  </si>
  <si>
    <t xml:space="preserve">नाडा खुदाई कार्य,</t>
  </si>
  <si>
    <t xml:space="preserve">Kasba Nagar</t>
  </si>
  <si>
    <t xml:space="preserve">0811300568084546</t>
  </si>
  <si>
    <t xml:space="preserve">LOHAWAT JATABAS</t>
  </si>
  <si>
    <t xml:space="preserve">Lohawat Jatahwas</t>
  </si>
  <si>
    <t xml:space="preserve">0811300567084450</t>
  </si>
  <si>
    <t xml:space="preserve">ख न 615 में चारागाह विकास कार्य, लोहावट जाटावास</t>
  </si>
  <si>
    <t xml:space="preserve">0811300567084453</t>
  </si>
  <si>
    <t xml:space="preserve">Vishwakarma Nagar</t>
  </si>
  <si>
    <t xml:space="preserve">0811300567084451</t>
  </si>
  <si>
    <t xml:space="preserve">Pulaniyon Ki Dhani</t>
  </si>
  <si>
    <t xml:space="preserve">0811300567084444</t>
  </si>
  <si>
    <t xml:space="preserve">Pabdo Ki Dhani Likhamsar</t>
  </si>
  <si>
    <t xml:space="preserve">0811300567084454</t>
  </si>
  <si>
    <t xml:space="preserve">CHAMAN NADI KHUDAI KARY </t>
  </si>
  <si>
    <t xml:space="preserve">Pashchimi Dhani</t>
  </si>
  <si>
    <t xml:space="preserve">0811300567084443</t>
  </si>
  <si>
    <t xml:space="preserve">NARSINGA NADI KHUDAI </t>
  </si>
  <si>
    <t xml:space="preserve">0811300567084452</t>
  </si>
  <si>
    <t xml:space="preserve">SWAMI JI KI NADI </t>
  </si>
  <si>
    <t xml:space="preserve">Deraj Nagar</t>
  </si>
  <si>
    <t xml:space="preserve">0811300567084354</t>
  </si>
  <si>
    <t xml:space="preserve">LOHAWAT VISHNAWAS</t>
  </si>
  <si>
    <t xml:space="preserve">Lohawat Bisnawas</t>
  </si>
  <si>
    <t xml:space="preserve">0811300567084346</t>
  </si>
  <si>
    <t xml:space="preserve">Manpura Lohawat</t>
  </si>
  <si>
    <t xml:space="preserve">0811300567084457</t>
  </si>
  <si>
    <t xml:space="preserve">Sri Lumbaramnagar Lohawat</t>
  </si>
  <si>
    <t xml:space="preserve">0811300567084345</t>
  </si>
  <si>
    <t xml:space="preserve">Magra</t>
  </si>
  <si>
    <t xml:space="preserve">0811300567084456</t>
  </si>
  <si>
    <t xml:space="preserve">MOOLRAJ</t>
  </si>
  <si>
    <t xml:space="preserve">Moolraj</t>
  </si>
  <si>
    <t xml:space="preserve">0811300567084336</t>
  </si>
  <si>
    <t xml:space="preserve">Sawalnagar Lohawat</t>
  </si>
  <si>
    <t xml:space="preserve">0811300567084350</t>
  </si>
  <si>
    <t xml:space="preserve">NAUSAR</t>
  </si>
  <si>
    <t xml:space="preserve">Nausar</t>
  </si>
  <si>
    <t xml:space="preserve">0811300568084538</t>
  </si>
  <si>
    <t xml:space="preserve">ख.न.996 में चारागाह विकास कार्य नोसर</t>
  </si>
  <si>
    <t xml:space="preserve">Karvasro Ki Dhani</t>
  </si>
  <si>
    <t xml:space="preserve">0811300568084537</t>
  </si>
  <si>
    <t xml:space="preserve">Bananiyon Ki Dhani</t>
  </si>
  <si>
    <t xml:space="preserve">0811300568084536</t>
  </si>
  <si>
    <t xml:space="preserve">Puniyon Ki Dhani</t>
  </si>
  <si>
    <t xml:space="preserve">0811300568084539</t>
  </si>
  <si>
    <t xml:space="preserve">Eramon Ki Dhani</t>
  </si>
  <si>
    <t xml:space="preserve">0811300568084540</t>
  </si>
  <si>
    <t xml:space="preserve">NAYABERA</t>
  </si>
  <si>
    <t xml:space="preserve">Naya Bera</t>
  </si>
  <si>
    <t xml:space="preserve">0811300567084335</t>
  </si>
  <si>
    <t xml:space="preserve">खसरा न 361 में चारागाह विकास कार्य, नयाबेरा</t>
  </si>
  <si>
    <t xml:space="preserve">Bheem Sagar</t>
  </si>
  <si>
    <t xml:space="preserve">0811300567084334</t>
  </si>
  <si>
    <t xml:space="preserve"> खसरा न. 527 में चारागाह विकास कार्य भिमसागर</t>
  </si>
  <si>
    <t xml:space="preserve">0811300567084332</t>
  </si>
  <si>
    <t xml:space="preserve">Sarnada</t>
  </si>
  <si>
    <t xml:space="preserve">0811300567084333</t>
  </si>
  <si>
    <t xml:space="preserve">Swami Ji Ki Dhani</t>
  </si>
  <si>
    <t xml:space="preserve">0811300567084240</t>
  </si>
  <si>
    <t xml:space="preserve">Pali-2</t>
  </si>
  <si>
    <t xml:space="preserve">Pali-Ii</t>
  </si>
  <si>
    <t xml:space="preserve">0811300568084494</t>
  </si>
  <si>
    <t xml:space="preserve">ख.न.1112 में चारागाह विकास कार्य पल्ली दितीय</t>
  </si>
  <si>
    <t xml:space="preserve">PALLI</t>
  </si>
  <si>
    <t xml:space="preserve">Palli</t>
  </si>
  <si>
    <t xml:space="preserve">0811300568084498</t>
  </si>
  <si>
    <t xml:space="preserve">Balaji Nagar</t>
  </si>
  <si>
    <t xml:space="preserve">0811300568084495</t>
  </si>
  <si>
    <t xml:space="preserve">Palli-I</t>
  </si>
  <si>
    <t xml:space="preserve">Pali- I</t>
  </si>
  <si>
    <t xml:space="preserve">0811300568084491</t>
  </si>
  <si>
    <t xml:space="preserve">:ख न 116 में चारागाह विकास कार्य, पल्लीे प्रथम</t>
  </si>
  <si>
    <t xml:space="preserve">Pabunagar</t>
  </si>
  <si>
    <t xml:space="preserve">0811300568084493</t>
  </si>
  <si>
    <t xml:space="preserve">ख न 995 में चारागाह विकास कार्य बापुनगर</t>
  </si>
  <si>
    <t xml:space="preserve">Kandawasra Nagar</t>
  </si>
  <si>
    <t xml:space="preserve">0811300568084490</t>
  </si>
  <si>
    <t xml:space="preserve">ख न 933 में चारागाह विकास कार्य</t>
  </si>
  <si>
    <t xml:space="preserve">Budh Nagar</t>
  </si>
  <si>
    <t xml:space="preserve">0811300568084492</t>
  </si>
  <si>
    <t xml:space="preserve">0811300567084236</t>
  </si>
  <si>
    <t xml:space="preserve">चारागाह विकास कार्य</t>
  </si>
  <si>
    <t xml:space="preserve">Sawal Nagar</t>
  </si>
  <si>
    <t xml:space="preserve">0811300567084237</t>
  </si>
  <si>
    <t xml:space="preserve">Kalyanpura</t>
  </si>
  <si>
    <t xml:space="preserve">0811300567084238</t>
  </si>
  <si>
    <t xml:space="preserve">ROOPANA JAITANA</t>
  </si>
  <si>
    <t xml:space="preserve">Roopana Jaitana</t>
  </si>
  <si>
    <t xml:space="preserve">0811300567084353</t>
  </si>
  <si>
    <t xml:space="preserve">Ghamadaniyon Ki Dhani</t>
  </si>
  <si>
    <t xml:space="preserve">0811300567084447</t>
  </si>
  <si>
    <t xml:space="preserve">0811300567084448</t>
  </si>
  <si>
    <t xml:space="preserve">0811300567084357</t>
  </si>
  <si>
    <t xml:space="preserve">Karmana Nagar</t>
  </si>
  <si>
    <t xml:space="preserve">0811300567084356</t>
  </si>
  <si>
    <t xml:space="preserve">करमाणा नगर के खसरा न 246/3 मे चारागाह विकास कार्य</t>
  </si>
  <si>
    <t xml:space="preserve">Maha Sati Nagar</t>
  </si>
  <si>
    <t xml:space="preserve">0811300567084355</t>
  </si>
  <si>
    <t xml:space="preserve">SADARI</t>
  </si>
  <si>
    <t xml:space="preserve">Sadri</t>
  </si>
  <si>
    <t xml:space="preserve">0811300567084458</t>
  </si>
  <si>
    <t xml:space="preserve">बालाजी नाडी डिस्लिटिंग कार्य, सदरी</t>
  </si>
  <si>
    <t xml:space="preserve">मेगवालो नाडा डिसल्टिंग कार्य सदरी</t>
  </si>
  <si>
    <t xml:space="preserve">हनुमान नाडा डिसिल्टिंग कार्य</t>
  </si>
  <si>
    <t xml:space="preserve">Rajala</t>
  </si>
  <si>
    <t xml:space="preserve">0811300567084438</t>
  </si>
  <si>
    <t xml:space="preserve">महादेव नाडा डिसिल्टिंग कार्य</t>
  </si>
  <si>
    <t xml:space="preserve">Sadri Khurd</t>
  </si>
  <si>
    <t xml:space="preserve">0811300567084460</t>
  </si>
  <si>
    <t xml:space="preserve">Sahid Gopal Nagar</t>
  </si>
  <si>
    <t xml:space="preserve">0811300567084439</t>
  </si>
  <si>
    <t xml:space="preserve">0811300567084459</t>
  </si>
  <si>
    <t xml:space="preserve">SAITANSINGH NAGAR</t>
  </si>
  <si>
    <t xml:space="preserve">Shaitan Singh Nagar</t>
  </si>
  <si>
    <t xml:space="preserve">0811300567084239</t>
  </si>
  <si>
    <t xml:space="preserve">चारागाह विकास कार्य ख न 144 शैतानसिंह नगर</t>
  </si>
  <si>
    <t xml:space="preserve">0811300567084349</t>
  </si>
  <si>
    <t xml:space="preserve">Neda Nagar Lohawat</t>
  </si>
  <si>
    <t xml:space="preserve">0811300567084347</t>
  </si>
  <si>
    <t xml:space="preserve">ROOPLAI NADI KHUDAI </t>
  </si>
  <si>
    <t xml:space="preserve">Sabalsar Lohawat</t>
  </si>
  <si>
    <t xml:space="preserve">0811300567084348</t>
  </si>
  <si>
    <t xml:space="preserve">Dhakanagar Lohawat</t>
  </si>
  <si>
    <t xml:space="preserve">0811300567084352</t>
  </si>
  <si>
    <t xml:space="preserve">Dabar</t>
  </si>
  <si>
    <t xml:space="preserve">0811300567084351</t>
  </si>
  <si>
    <t xml:space="preserve">LUNI</t>
  </si>
  <si>
    <t xml:space="preserve">0811300572085677</t>
  </si>
  <si>
    <t xml:space="preserve">Basni Baghela</t>
  </si>
  <si>
    <t xml:space="preserve">0811300572085539</t>
  </si>
  <si>
    <t xml:space="preserve">0811300572085680</t>
  </si>
  <si>
    <t xml:space="preserve">BHACHARNA</t>
  </si>
  <si>
    <t xml:space="preserve">Bhacharna</t>
  </si>
  <si>
    <t xml:space="preserve">0811300572085649</t>
  </si>
  <si>
    <t xml:space="preserve">CHARAGAAH VIKAS KARY</t>
  </si>
  <si>
    <t xml:space="preserve">bandiya nada khudai karya aaw disting</t>
  </si>
  <si>
    <t xml:space="preserve">DHEDI NADI KHUDAI</t>
  </si>
  <si>
    <t xml:space="preserve">SEWALI NADI KHUDAI</t>
  </si>
  <si>
    <t xml:space="preserve">JOGMAYA NADI KHUDAI</t>
  </si>
  <si>
    <t xml:space="preserve">Bhakri</t>
  </si>
  <si>
    <t xml:space="preserve">0811300572085657</t>
  </si>
  <si>
    <t xml:space="preserve">Doodiya</t>
  </si>
  <si>
    <t xml:space="preserve">0811300572085656</t>
  </si>
  <si>
    <t xml:space="preserve">Janguwas</t>
  </si>
  <si>
    <t xml:space="preserve">0811300572085650</t>
  </si>
  <si>
    <t xml:space="preserve">BHATINDA</t>
  </si>
  <si>
    <t xml:space="preserve">Bhatinda</t>
  </si>
  <si>
    <t xml:space="preserve">0811300570085017</t>
  </si>
  <si>
    <t xml:space="preserve">Pabupura Bhatan</t>
  </si>
  <si>
    <t xml:space="preserve">0811300570085019</t>
  </si>
  <si>
    <t xml:space="preserve">BIRAMI</t>
  </si>
  <si>
    <t xml:space="preserve">Birami</t>
  </si>
  <si>
    <t xml:space="preserve">0811300570085005</t>
  </si>
  <si>
    <t xml:space="preserve">Peethasani</t>
  </si>
  <si>
    <t xml:space="preserve">0811300570085006</t>
  </si>
  <si>
    <t xml:space="preserve">Birdawas</t>
  </si>
  <si>
    <t xml:space="preserve">0811300570085009</t>
  </si>
  <si>
    <t xml:space="preserve">Miyasani</t>
  </si>
  <si>
    <t xml:space="preserve">0811300570085010</t>
  </si>
  <si>
    <t xml:space="preserve">BORANADA</t>
  </si>
  <si>
    <t xml:space="preserve">Boranada</t>
  </si>
  <si>
    <t xml:space="preserve">0811300572085536</t>
  </si>
  <si>
    <t xml:space="preserve">मॉडल चरागाह विकास कार्य ख न २३ GP BORANADA</t>
  </si>
  <si>
    <t xml:space="preserve">BODA NADI KHUDAI KARY</t>
  </si>
  <si>
    <t xml:space="preserve">Basni Silawata</t>
  </si>
  <si>
    <t xml:space="preserve">0811300572085535</t>
  </si>
  <si>
    <t xml:space="preserve">DHANDHIYA</t>
  </si>
  <si>
    <t xml:space="preserve">Dhandhiya</t>
  </si>
  <si>
    <t xml:space="preserve">0811300572085663</t>
  </si>
  <si>
    <t xml:space="preserve">Kherali nadi disilting kary</t>
  </si>
  <si>
    <t xml:space="preserve">DEDI NADI TALAB KHUDAI KARYA</t>
  </si>
  <si>
    <t xml:space="preserve">GAWAI TALAB KHUDAI</t>
  </si>
  <si>
    <t xml:space="preserve">Rendari</t>
  </si>
  <si>
    <t xml:space="preserve">0811300572085660</t>
  </si>
  <si>
    <t xml:space="preserve">Mama nadi khudai kary</t>
  </si>
  <si>
    <t xml:space="preserve">Vishawas</t>
  </si>
  <si>
    <t xml:space="preserve">0811300572085661</t>
  </si>
  <si>
    <t xml:space="preserve">0811300572085662</t>
  </si>
  <si>
    <t xml:space="preserve">0811300572085664</t>
  </si>
  <si>
    <t xml:space="preserve">Deopura</t>
  </si>
  <si>
    <t xml:space="preserve">0811300572085665</t>
  </si>
  <si>
    <t xml:space="preserve">Dhigana</t>
  </si>
  <si>
    <t xml:space="preserve">0811300572085690</t>
  </si>
  <si>
    <t xml:space="preserve">charagaah vikas kary dhiganaa khasara no. 183</t>
  </si>
  <si>
    <t xml:space="preserve">ganvai talab dhingan ko modal talab ke roop me viksit karane hetu</t>
  </si>
  <si>
    <t xml:space="preserve">Raj Nagar</t>
  </si>
  <si>
    <t xml:space="preserve">0811300572085694</t>
  </si>
  <si>
    <t xml:space="preserve">0811300572085695</t>
  </si>
  <si>
    <t xml:space="preserve">Pabupura Kumharan</t>
  </si>
  <si>
    <t xml:space="preserve">0811300572085692</t>
  </si>
  <si>
    <t xml:space="preserve">Rajpuriya</t>
  </si>
  <si>
    <t xml:space="preserve">0811300572085691</t>
  </si>
  <si>
    <t xml:space="preserve">DHUNDHARA</t>
  </si>
  <si>
    <t xml:space="preserve">Dhundhara</t>
  </si>
  <si>
    <t xml:space="preserve">0811300572085645</t>
  </si>
  <si>
    <t xml:space="preserve">Sant Likhmaram Nagar</t>
  </si>
  <si>
    <t xml:space="preserve">0811300572085646</t>
  </si>
  <si>
    <t xml:space="preserve">Lakharthumb</t>
  </si>
  <si>
    <t xml:space="preserve">0811300572085647</t>
  </si>
  <si>
    <t xml:space="preserve">Sant Devaram Nagar</t>
  </si>
  <si>
    <t xml:space="preserve">0811300572085644</t>
  </si>
  <si>
    <t xml:space="preserve">Ramgarh</t>
  </si>
  <si>
    <t xml:space="preserve">0811300572085643</t>
  </si>
  <si>
    <t xml:space="preserve">Gangana</t>
  </si>
  <si>
    <t xml:space="preserve">0811300572085531</t>
  </si>
  <si>
    <t xml:space="preserve">GURAVISHNOIYAN</t>
  </si>
  <si>
    <t xml:space="preserve">Gura Vishnoiyan</t>
  </si>
  <si>
    <t xml:space="preserve">0811300572085679</t>
  </si>
  <si>
    <t xml:space="preserve">गुडा विश्नोइया ख न 713 मे चारागाह विकास कार्य</t>
  </si>
  <si>
    <t xml:space="preserve">guda vishnoiyan mein bada talab va phidar nimarn kary</t>
  </si>
  <si>
    <t xml:space="preserve">guda vishnoiyan mein pitha nada khudai</t>
  </si>
  <si>
    <t xml:space="preserve"> guda vishnoiya me lataliya nada disilting karya</t>
  </si>
  <si>
    <t xml:space="preserve">guda vishnoeeyaan mein sinalaanaada khudaee</t>
  </si>
  <si>
    <t xml:space="preserve">Gurha Vishnoi Raikan</t>
  </si>
  <si>
    <t xml:space="preserve">0811300572085678</t>
  </si>
  <si>
    <t xml:space="preserve">guda raikan mein banna nadi khudai </t>
  </si>
  <si>
    <t xml:space="preserve">JHALAMAND</t>
  </si>
  <si>
    <t xml:space="preserve">Jhalamand</t>
  </si>
  <si>
    <t xml:space="preserve">0811300570084966</t>
  </si>
  <si>
    <t xml:space="preserve">kakani</t>
  </si>
  <si>
    <t xml:space="preserve">Kakani</t>
  </si>
  <si>
    <t xml:space="preserve">0811300572085672</t>
  </si>
  <si>
    <t xml:space="preserve">CHARAGAH VIKAS KARY KAKANI KHASRA NO. 449/01</t>
  </si>
  <si>
    <t xml:space="preserve">JOG NADI DISILTING KARAY</t>
  </si>
  <si>
    <t xml:space="preserve">Doli Kalani</t>
  </si>
  <si>
    <t xml:space="preserve">0811300572085669</t>
  </si>
  <si>
    <t xml:space="preserve">Nimbala</t>
  </si>
  <si>
    <t xml:space="preserve">0811300572085670</t>
  </si>
  <si>
    <t xml:space="preserve">Jambheshwar Nagar</t>
  </si>
  <si>
    <t xml:space="preserve">0811300572085675</t>
  </si>
  <si>
    <t xml:space="preserve">KAKELAO</t>
  </si>
  <si>
    <t xml:space="preserve">Kakelao</t>
  </si>
  <si>
    <t xml:space="preserve">0811300570085003</t>
  </si>
  <si>
    <t xml:space="preserve">Basni Charna</t>
  </si>
  <si>
    <t xml:space="preserve">0811300570085004</t>
  </si>
  <si>
    <t xml:space="preserve">KHARABERAPUROHITAN</t>
  </si>
  <si>
    <t xml:space="preserve">Khara Bera Purohitan</t>
  </si>
  <si>
    <t xml:space="preserve">0811300572085671</t>
  </si>
  <si>
    <t xml:space="preserve">sarani nadi khudai </t>
  </si>
  <si>
    <t xml:space="preserve">Khara Bera Bheemawata</t>
  </si>
  <si>
    <t xml:space="preserve">0811300572085693</t>
  </si>
  <si>
    <t xml:space="preserve">girayali naadi khudai</t>
  </si>
  <si>
    <t xml:space="preserve">Kharda Randheer</t>
  </si>
  <si>
    <t xml:space="preserve">0811300570084973</t>
  </si>
  <si>
    <t xml:space="preserve">KHEJARLIKALAN</t>
  </si>
  <si>
    <t xml:space="preserve">Khejarli Kalan</t>
  </si>
  <si>
    <t xml:space="preserve">0811300572085681</t>
  </si>
  <si>
    <t xml:space="preserve">Charagaah vikas kary</t>
  </si>
  <si>
    <t xml:space="preserve"> ि‍हिगोनिया नाडा डी ि‍सिलटींग कार्य</t>
  </si>
  <si>
    <t xml:space="preserve">kabadiya nada disilting kary v jhadi kating kary</t>
  </si>
  <si>
    <t xml:space="preserve">Khejarli Khurd</t>
  </si>
  <si>
    <t xml:space="preserve">0811300572085689</t>
  </si>
  <si>
    <t xml:space="preserve"> रामूड़ी नाड़ी खुदाई कार्य</t>
  </si>
  <si>
    <t xml:space="preserve">Sangasani</t>
  </si>
  <si>
    <t xml:space="preserve">0811300572085684</t>
  </si>
  <si>
    <t xml:space="preserve">सजाडा नाड़ा खुदाई कार्य</t>
  </si>
  <si>
    <t xml:space="preserve">0811300572085683</t>
  </si>
  <si>
    <t xml:space="preserve">खारकी नाड़ी खुदाई कार्य</t>
  </si>
  <si>
    <t xml:space="preserve">Kuri Bhagtasani</t>
  </si>
  <si>
    <t xml:space="preserve">Kuri Bhagtasani (CT)</t>
  </si>
  <si>
    <t xml:space="preserve">0811300570085022</t>
  </si>
  <si>
    <t xml:space="preserve">LOLAWAS</t>
  </si>
  <si>
    <t xml:space="preserve">Lolawas</t>
  </si>
  <si>
    <t xml:space="preserve">0811300570085016</t>
  </si>
  <si>
    <t xml:space="preserve">KERALA NADA LOLAWAS KI KHDAI KA KARY</t>
  </si>
  <si>
    <t xml:space="preserve">Moklasani</t>
  </si>
  <si>
    <t xml:space="preserve">0811300570085018</t>
  </si>
  <si>
    <t xml:space="preserve">YAS</t>
  </si>
  <si>
    <t xml:space="preserve">GRAM MOKLASANI KE GAWAI TALAB KO MODAL TALAB KE RUP ME VIKSIT KARNA</t>
  </si>
  <si>
    <t xml:space="preserve">Moretuka</t>
  </si>
  <si>
    <t xml:space="preserve">0811300570085015</t>
  </si>
  <si>
    <t xml:space="preserve">Gram Lolawas mei gochar bhoomi mei bher ki naadi khudai karya</t>
  </si>
  <si>
    <t xml:space="preserve">CHIDIYA NADA KHUDAI V DESILTING KARY MORTUKA KHASARA NO 27</t>
  </si>
  <si>
    <t xml:space="preserve">MODI JOSHIYAN</t>
  </si>
  <si>
    <t xml:space="preserve">Mori Joshiyan</t>
  </si>
  <si>
    <t xml:space="preserve">0811300572085698</t>
  </si>
  <si>
    <t xml:space="preserve">JAWADA NANDA KHUDAI KARY</t>
  </si>
  <si>
    <t xml:space="preserve">NIMBALI NANDI KHUDAI KARY</t>
  </si>
  <si>
    <t xml:space="preserve">चम्पा नाडी खुदाई व पाल बंधाई कार्य</t>
  </si>
  <si>
    <t xml:space="preserve">Mori Sothran</t>
  </si>
  <si>
    <t xml:space="preserve">0811300572085697</t>
  </si>
  <si>
    <t xml:space="preserve">Baniyawas</t>
  </si>
  <si>
    <t xml:space="preserve">0811300572085696</t>
  </si>
  <si>
    <t xml:space="preserve">Peshawas</t>
  </si>
  <si>
    <t xml:space="preserve">0811300572085688</t>
  </si>
  <si>
    <t xml:space="preserve">MOGRAKALAN</t>
  </si>
  <si>
    <t xml:space="preserve">Mogra Kalan</t>
  </si>
  <si>
    <t xml:space="preserve">0811300572085540</t>
  </si>
  <si>
    <t xml:space="preserve">CHARAGAAH VIKAS KARY MOGRA KALAN 273</t>
  </si>
  <si>
    <t xml:space="preserve">CHARAGAAH VIKAS KARY MOGRA KALA. 279</t>
  </si>
  <si>
    <t xml:space="preserve">Shri Rajeshwar Nagar</t>
  </si>
  <si>
    <t xml:space="preserve">0811300572085674</t>
  </si>
  <si>
    <t xml:space="preserve">Dhila nada khudai kary</t>
  </si>
  <si>
    <t xml:space="preserve">Shekhanada</t>
  </si>
  <si>
    <t xml:space="preserve">0811300572085541</t>
  </si>
  <si>
    <t xml:space="preserve">SAKHANADA KUDAI KARY</t>
  </si>
  <si>
    <t xml:space="preserve">Mogra Khurd</t>
  </si>
  <si>
    <t xml:space="preserve">0811300572085676</t>
  </si>
  <si>
    <t xml:space="preserve">JARA NADI KUDAHI OR JADI KATTING</t>
  </si>
  <si>
    <t xml:space="preserve">Sajada nada khudai kary</t>
  </si>
  <si>
    <t xml:space="preserve">NANDWAN</t>
  </si>
  <si>
    <t xml:space="preserve">Nandwan</t>
  </si>
  <si>
    <t xml:space="preserve">0811300572085545</t>
  </si>
  <si>
    <t xml:space="preserve">Chawan</t>
  </si>
  <si>
    <t xml:space="preserve">0811300572085666</t>
  </si>
  <si>
    <t xml:space="preserve">Heer Khera</t>
  </si>
  <si>
    <t xml:space="preserve">0811300572085546</t>
  </si>
  <si>
    <t xml:space="preserve">Chawaron Ki Dhani</t>
  </si>
  <si>
    <t xml:space="preserve">0811300572085547</t>
  </si>
  <si>
    <t xml:space="preserve">Naya Sajara Khurd</t>
  </si>
  <si>
    <t xml:space="preserve">0811300572085687</t>
  </si>
  <si>
    <t xml:space="preserve">Sajara</t>
  </si>
  <si>
    <t xml:space="preserve">0811300572085699</t>
  </si>
  <si>
    <t xml:space="preserve">ढिण्ड नाडी माडल तालाब विकास कार्य</t>
  </si>
  <si>
    <t xml:space="preserve">Naya Sajara</t>
  </si>
  <si>
    <t xml:space="preserve">0811300572085700</t>
  </si>
  <si>
    <t xml:space="preserve">Gujrawas Kalan</t>
  </si>
  <si>
    <t xml:space="preserve">0811300572085686</t>
  </si>
  <si>
    <t xml:space="preserve">Singasani</t>
  </si>
  <si>
    <t xml:space="preserve">0811300572085685</t>
  </si>
  <si>
    <t xml:space="preserve">PAL</t>
  </si>
  <si>
    <t xml:space="preserve">Pal Village (OG) WARD NO.-0066 (Rural MDDS CODE:085023)</t>
  </si>
  <si>
    <t xml:space="preserve">0811300570085023</t>
  </si>
  <si>
    <t xml:space="preserve">Dheenani Ki Dhani</t>
  </si>
  <si>
    <t xml:space="preserve">0811300570084965</t>
  </si>
  <si>
    <t xml:space="preserve">PALASANI</t>
  </si>
  <si>
    <t xml:space="preserve">Palasani</t>
  </si>
  <si>
    <t xml:space="preserve">0811300570085012</t>
  </si>
  <si>
    <t xml:space="preserve">Goliya</t>
  </si>
  <si>
    <t xml:space="preserve">0811300570085007</t>
  </si>
  <si>
    <t xml:space="preserve">Khari Kalan</t>
  </si>
  <si>
    <t xml:space="preserve">0811300570085014</t>
  </si>
  <si>
    <t xml:space="preserve">Sewalon Ki Dhani</t>
  </si>
  <si>
    <t xml:space="preserve">0811300570085008</t>
  </si>
  <si>
    <t xml:space="preserve">Khari Khurd</t>
  </si>
  <si>
    <t xml:space="preserve">0811300570085013</t>
  </si>
  <si>
    <t xml:space="preserve">PHITKASNI</t>
  </si>
  <si>
    <t xml:space="preserve">Phitkasni</t>
  </si>
  <si>
    <t xml:space="preserve">0811300570084967</t>
  </si>
  <si>
    <t xml:space="preserve">choti kerli khudai v pal bandai dislting kary </t>
  </si>
  <si>
    <t xml:space="preserve">Badi kerli Nadi khudai v bhadhi Distinying kary </t>
  </si>
  <si>
    <t xml:space="preserve">Birasani</t>
  </si>
  <si>
    <t xml:space="preserve">0811300572085682</t>
  </si>
  <si>
    <t xml:space="preserve">Gavai Nadi Khudai v Bandhai disliting kary</t>
  </si>
  <si>
    <t xml:space="preserve">Rasidan</t>
  </si>
  <si>
    <t xml:space="preserve">0811300570084968</t>
  </si>
  <si>
    <t xml:space="preserve">खसरा न 119 मे चारागाह विकास कार्य</t>
  </si>
  <si>
    <t xml:space="preserve">SALAWAS</t>
  </si>
  <si>
    <t xml:space="preserve">Salawas</t>
  </si>
  <si>
    <t xml:space="preserve">0811300572085544</t>
  </si>
  <si>
    <t xml:space="preserve">निम्बालि नाडी खुदाई एवं डिसिल्टिंग कार्य</t>
  </si>
  <si>
    <t xml:space="preserve">Tibi Nadi Khudai v Disilting Karya</t>
  </si>
  <si>
    <t xml:space="preserve">Kishanasar</t>
  </si>
  <si>
    <t xml:space="preserve">0811300572085543</t>
  </si>
  <si>
    <t xml:space="preserve">Salawas Rly.Station</t>
  </si>
  <si>
    <t xml:space="preserve">0811300572085542</t>
  </si>
  <si>
    <t xml:space="preserve">SANGARIYA</t>
  </si>
  <si>
    <t xml:space="preserve">Sangariya (CT)</t>
  </si>
  <si>
    <t xml:space="preserve">0811300570085021</t>
  </si>
  <si>
    <t xml:space="preserve">Sar</t>
  </si>
  <si>
    <t xml:space="preserve">0811300572085626</t>
  </si>
  <si>
    <t xml:space="preserve">SAR NYA TALAB KHUDAI </t>
  </si>
  <si>
    <t xml:space="preserve">MODAL TALAB SAR </t>
  </si>
  <si>
    <t xml:space="preserve">Rajor</t>
  </si>
  <si>
    <t xml:space="preserve">0811300572085667</t>
  </si>
  <si>
    <t xml:space="preserve">TIHADI NADI KHUDAI</t>
  </si>
  <si>
    <t xml:space="preserve">Sardargarh</t>
  </si>
  <si>
    <t xml:space="preserve">0811300572085624</t>
  </si>
  <si>
    <t xml:space="preserve">Nimbalasar</t>
  </si>
  <si>
    <t xml:space="preserve">0811300572085625</t>
  </si>
  <si>
    <t xml:space="preserve">SEWALA NADA DESALTING V KHUDAI KARY</t>
  </si>
  <si>
    <t xml:space="preserve">SARECHA</t>
  </si>
  <si>
    <t xml:space="preserve">Sarechan</t>
  </si>
  <si>
    <t xml:space="preserve">0811300572085627</t>
  </si>
  <si>
    <t xml:space="preserve">:ग्राम सरेचा ख न 469 गैर मुमकिन गोचर मे से 10 बीधा भुमि पर चारागार ि‍विकास कार्य सरेचां</t>
  </si>
  <si>
    <t xml:space="preserve">गाम बासनी झुठा ख न 88 /2 गैर मुमकिन गोचर मे चारागाह ि‍विकास कार्य</t>
  </si>
  <si>
    <t xml:space="preserve">Khera Sarecha</t>
  </si>
  <si>
    <t xml:space="preserve">0811300572085628</t>
  </si>
  <si>
    <t xml:space="preserve">SATLANA</t>
  </si>
  <si>
    <t xml:space="preserve">Satlana</t>
  </si>
  <si>
    <t xml:space="preserve">0811300572085654</t>
  </si>
  <si>
    <t xml:space="preserve">JARAKHADA NADA KHUDAI</t>
  </si>
  <si>
    <t xml:space="preserve">KARYAA NADA KHUDAI</t>
  </si>
  <si>
    <t xml:space="preserve">Chainpura Bhatan</t>
  </si>
  <si>
    <t xml:space="preserve">0811300572085658</t>
  </si>
  <si>
    <t xml:space="preserve">Karniyali</t>
  </si>
  <si>
    <t xml:space="preserve">0811300572085659</t>
  </si>
  <si>
    <t xml:space="preserve">amratiya nada khudai</t>
  </si>
  <si>
    <t xml:space="preserve">SAJADA NADA KHUDAI</t>
  </si>
  <si>
    <t xml:space="preserve">HINGANIYA NADA KHUDAI</t>
  </si>
  <si>
    <t xml:space="preserve">DAND NADI KHUDAI</t>
  </si>
  <si>
    <t xml:space="preserve">Krishna Khera</t>
  </si>
  <si>
    <t xml:space="preserve">0811300572085655</t>
  </si>
  <si>
    <t xml:space="preserve">gawai talab khudai avm desalting kary </t>
  </si>
  <si>
    <t xml:space="preserve">Goliya Magra</t>
  </si>
  <si>
    <t xml:space="preserve">0811300572085651</t>
  </si>
  <si>
    <t xml:space="preserve">gvai talab khudai</t>
  </si>
  <si>
    <t xml:space="preserve">Mori</t>
  </si>
  <si>
    <t xml:space="preserve">0811300572085652</t>
  </si>
  <si>
    <t xml:space="preserve">GAWAI TALAB KHUDAI V MODAL KARY </t>
  </si>
  <si>
    <t xml:space="preserve">Madhopura</t>
  </si>
  <si>
    <t xml:space="preserve">0811300572085653</t>
  </si>
  <si>
    <t xml:space="preserve">teeliya nada khudai</t>
  </si>
  <si>
    <t xml:space="preserve">gawai talab madhopura desalting kary </t>
  </si>
  <si>
    <t xml:space="preserve">SHIKARPURA</t>
  </si>
  <si>
    <t xml:space="preserve">Shikarpura</t>
  </si>
  <si>
    <t xml:space="preserve">0811300572085668</t>
  </si>
  <si>
    <t xml:space="preserve">Charagaah vikas kary shikarpura khasara no. 396</t>
  </si>
  <si>
    <t xml:space="preserve">Sewala Nagar</t>
  </si>
  <si>
    <t xml:space="preserve">0811300572085673</t>
  </si>
  <si>
    <t xml:space="preserve">tanawara</t>
  </si>
  <si>
    <t xml:space="preserve">Tanawara</t>
  </si>
  <si>
    <t xml:space="preserve">0811300572085537</t>
  </si>
  <si>
    <t xml:space="preserve">Bhakrasani</t>
  </si>
  <si>
    <t xml:space="preserve">0811300572085538</t>
  </si>
  <si>
    <t xml:space="preserve">MANDOR</t>
  </si>
  <si>
    <t xml:space="preserve">Akthali</t>
  </si>
  <si>
    <t xml:space="preserve">0811300570084986</t>
  </si>
  <si>
    <t xml:space="preserve">Sooraj Basni</t>
  </si>
  <si>
    <t xml:space="preserve">0811300570084985</t>
  </si>
  <si>
    <t xml:space="preserve">Jajiwal Jakharan</t>
  </si>
  <si>
    <t xml:space="preserve">0811300570084920</t>
  </si>
  <si>
    <t xml:space="preserve">BANAR</t>
  </si>
  <si>
    <t xml:space="preserve">Banar</t>
  </si>
  <si>
    <t xml:space="preserve">0811300570084980</t>
  </si>
  <si>
    <t xml:space="preserve">Jajiwal Kutri</t>
  </si>
  <si>
    <t xml:space="preserve">0811300570084981</t>
  </si>
  <si>
    <t xml:space="preserve">BAWARLA</t>
  </si>
  <si>
    <t xml:space="preserve">Bawarla</t>
  </si>
  <si>
    <t xml:space="preserve">0811300570084990</t>
  </si>
  <si>
    <t xml:space="preserve">0811300570084991</t>
  </si>
  <si>
    <t xml:space="preserve">0811300570084989</t>
  </si>
  <si>
    <t xml:space="preserve">BISALPUR</t>
  </si>
  <si>
    <t xml:space="preserve">Bisalpur</t>
  </si>
  <si>
    <t xml:space="preserve">0811300570085000</t>
  </si>
  <si>
    <t xml:space="preserve">चटलिया नाडा खुदाई डिसिल्टिंग कार्य</t>
  </si>
  <si>
    <t xml:space="preserve">Dhayalon Ki Dhani</t>
  </si>
  <si>
    <t xml:space="preserve">0811300570084997</t>
  </si>
  <si>
    <t xml:space="preserve">0811300570084908</t>
  </si>
  <si>
    <t xml:space="preserve">Jajiwal Sribalaji</t>
  </si>
  <si>
    <t xml:space="preserve">0811300570084918</t>
  </si>
  <si>
    <t xml:space="preserve">DAIKARA</t>
  </si>
  <si>
    <t xml:space="preserve">Daikara</t>
  </si>
  <si>
    <t xml:space="preserve">0811300570084904</t>
  </si>
  <si>
    <t xml:space="preserve">256,24</t>
  </si>
  <si>
    <t xml:space="preserve">गवाई तालाब खुदाई कार्य</t>
  </si>
  <si>
    <t xml:space="preserve">नोखा नाड़ी खुदाई कार्य</t>
  </si>
  <si>
    <t xml:space="preserve">नवोडी नाडी खुदाई कार्य दईकडा</t>
  </si>
  <si>
    <t xml:space="preserve">केरली नाड़ी खुदाई कार्य</t>
  </si>
  <si>
    <t xml:space="preserve">Dawcha Pyau</t>
  </si>
  <si>
    <t xml:space="preserve">0811300570084907</t>
  </si>
  <si>
    <t xml:space="preserve">लिलिया नाडा खुदाई व बंधाई कार्य</t>
  </si>
  <si>
    <t xml:space="preserve">खतलाई नाडी खुदाई व बंधाई कार्य</t>
  </si>
  <si>
    <t xml:space="preserve">DANGIYAWAS</t>
  </si>
  <si>
    <t xml:space="preserve">Dangiyawas</t>
  </si>
  <si>
    <t xml:space="preserve">0811300570084996</t>
  </si>
  <si>
    <t xml:space="preserve">Dantiwara</t>
  </si>
  <si>
    <t xml:space="preserve">0811300570084998</t>
  </si>
  <si>
    <t xml:space="preserve">Bhaton Ki Dhani</t>
  </si>
  <si>
    <t xml:space="preserve">0811300570084999</t>
  </si>
  <si>
    <t xml:space="preserve">Gujrawas</t>
  </si>
  <si>
    <t xml:space="preserve">Gujrawas Khurd</t>
  </si>
  <si>
    <t xml:space="preserve">0811300570084923</t>
  </si>
  <si>
    <t xml:space="preserve">Bora Was</t>
  </si>
  <si>
    <t xml:space="preserve">0811300570084921</t>
  </si>
  <si>
    <t xml:space="preserve">Jajiwal Gehlota</t>
  </si>
  <si>
    <t xml:space="preserve">0811300570084914</t>
  </si>
  <si>
    <t xml:space="preserve">चारागाह विकास कार्य जाजीवाल गेहलोता</t>
  </si>
  <si>
    <t xml:space="preserve">Jajiwal Brahmana</t>
  </si>
  <si>
    <t xml:space="preserve">0811300570084922</t>
  </si>
  <si>
    <t xml:space="preserve">Balakua</t>
  </si>
  <si>
    <t xml:space="preserve">0811300570084926</t>
  </si>
  <si>
    <t xml:space="preserve">गवाई नाङी खुदाई कार्य</t>
  </si>
  <si>
    <t xml:space="preserve">JAJIWAL KALAN</t>
  </si>
  <si>
    <t xml:space="preserve">Jajiwal Kalan</t>
  </si>
  <si>
    <t xml:space="preserve">0811300570084983</t>
  </si>
  <si>
    <t xml:space="preserve">Jajiwal Bhandariya</t>
  </si>
  <si>
    <t xml:space="preserve">0811300570084919</t>
  </si>
  <si>
    <t xml:space="preserve">Jajiwal Godara</t>
  </si>
  <si>
    <t xml:space="preserve">0811300570084912</t>
  </si>
  <si>
    <t xml:space="preserve">Jajiwal Khichiyan</t>
  </si>
  <si>
    <t xml:space="preserve">0811300570084915</t>
  </si>
  <si>
    <t xml:space="preserve">मचनाडिया खुदाई कार्य</t>
  </si>
  <si>
    <t xml:space="preserve">Jajiwal Kakrala</t>
  </si>
  <si>
    <t xml:space="preserve">0811300570084916</t>
  </si>
  <si>
    <t xml:space="preserve">जाजीवाल ककराला में गांव की नाडी खुदाई कार्य</t>
  </si>
  <si>
    <t xml:space="preserve">Jajiwal Dhandhala</t>
  </si>
  <si>
    <t xml:space="preserve">0811300570084917</t>
  </si>
  <si>
    <t xml:space="preserve">जाजीवाल धांधला में गवाई नाडी खुदाई कायृ</t>
  </si>
  <si>
    <t xml:space="preserve">Jajiwal Vishnoiyan</t>
  </si>
  <si>
    <t xml:space="preserve">0811300570084984</t>
  </si>
  <si>
    <t xml:space="preserve">25-11-1015</t>
  </si>
  <si>
    <t xml:space="preserve">अमरदडी नाडी के पास गोचर में वृक्षारोपण जा.विश्नोइयां</t>
  </si>
  <si>
    <t xml:space="preserve">नई नाडी में पानी को आवक बढाने हेतु चैनल निर्माण कार्य</t>
  </si>
  <si>
    <t xml:space="preserve">बालाजी नाडी में पानी का आवक बढाने हेतु चैनल निर्माण का</t>
  </si>
  <si>
    <t xml:space="preserve">Vishnoiyon Ki Dhani</t>
  </si>
  <si>
    <t xml:space="preserve">0811300570084982</t>
  </si>
  <si>
    <t xml:space="preserve">JALELI DAIKARA</t>
  </si>
  <si>
    <t xml:space="preserve">Jaleli Daikara</t>
  </si>
  <si>
    <t xml:space="preserve">0811300570084911</t>
  </si>
  <si>
    <t xml:space="preserve">पौधारोपण कार्य जालेली दईकडा खसरा नं. 382/6</t>
  </si>
  <si>
    <t xml:space="preserve">Gram Jalely me khasara no.67 me vraksharopan karya</t>
  </si>
  <si>
    <t xml:space="preserve">JALELI FAUJDARA</t>
  </si>
  <si>
    <t xml:space="preserve">Jaleli Faujdaran</t>
  </si>
  <si>
    <t xml:space="preserve">0811300570084993</t>
  </si>
  <si>
    <t xml:space="preserve">Kanawas Ka Pana</t>
  </si>
  <si>
    <t xml:space="preserve">0811300570084969</t>
  </si>
  <si>
    <t xml:space="preserve">Basni Nikooban</t>
  </si>
  <si>
    <t xml:space="preserve">0811300570084970</t>
  </si>
  <si>
    <t xml:space="preserve">KHATIYASANI</t>
  </si>
  <si>
    <t xml:space="preserve">Khatiyasani</t>
  </si>
  <si>
    <t xml:space="preserve">0811300570084988</t>
  </si>
  <si>
    <t xml:space="preserve">0811300570084987</t>
  </si>
  <si>
    <t xml:space="preserve">Khokhariya</t>
  </si>
  <si>
    <t xml:space="preserve">Khokharia</t>
  </si>
  <si>
    <t xml:space="preserve">0811300570084978</t>
  </si>
  <si>
    <t xml:space="preserve">Kukanda</t>
  </si>
  <si>
    <t xml:space="preserve">0811300570084910</t>
  </si>
  <si>
    <t xml:space="preserve">LORDI PANDIT JI</t>
  </si>
  <si>
    <t xml:space="preserve">Lordi-Pandit Ji</t>
  </si>
  <si>
    <t xml:space="preserve">0811300570084927</t>
  </si>
  <si>
    <t xml:space="preserve">रावलिया नाड़ी में पानी की आवक को बढ़ाने के लिए चैनल निर्माण कार्य</t>
  </si>
  <si>
    <t xml:space="preserve">Ralawas</t>
  </si>
  <si>
    <t xml:space="preserve">0811300570084928</t>
  </si>
  <si>
    <t xml:space="preserve">कम्भेर नाडी खुदाई कार्य</t>
  </si>
  <si>
    <t xml:space="preserve">NANDRA KALAN</t>
  </si>
  <si>
    <t xml:space="preserve">Nandara Kalan</t>
  </si>
  <si>
    <t xml:space="preserve">0811300570084976</t>
  </si>
  <si>
    <t xml:space="preserve">Siriyade Gaon</t>
  </si>
  <si>
    <t xml:space="preserve">0811300570084975</t>
  </si>
  <si>
    <t xml:space="preserve">Nandri</t>
  </si>
  <si>
    <t xml:space="preserve">Nandri (CT)</t>
  </si>
  <si>
    <t xml:space="preserve">0811300570085020</t>
  </si>
  <si>
    <t xml:space="preserve">PEETHAWAS</t>
  </si>
  <si>
    <t xml:space="preserve">Peethawas</t>
  </si>
  <si>
    <t xml:space="preserve">0811300570085002</t>
  </si>
  <si>
    <t xml:space="preserve">मिरगिया नाडा उतरी भाग खुदाई कार्य</t>
  </si>
  <si>
    <t xml:space="preserve">Jatiyawas</t>
  </si>
  <si>
    <t xml:space="preserve">0811300570085001</t>
  </si>
  <si>
    <t xml:space="preserve">Doliya</t>
  </si>
  <si>
    <t xml:space="preserve">0811300570084995</t>
  </si>
  <si>
    <t xml:space="preserve">डोलिया नाडी दक्षिण भाग खुदाई कार्य</t>
  </si>
  <si>
    <t xml:space="preserve">Jaleli Champawatan</t>
  </si>
  <si>
    <t xml:space="preserve">0811300570084994</t>
  </si>
  <si>
    <t xml:space="preserve">Roodkali</t>
  </si>
  <si>
    <t xml:space="preserve">0811300570085011</t>
  </si>
  <si>
    <t xml:space="preserve">SALWAKALAN</t>
  </si>
  <si>
    <t xml:space="preserve">Salwa Kalan</t>
  </si>
  <si>
    <t xml:space="preserve">0811300570084906</t>
  </si>
  <si>
    <t xml:space="preserve">0811300570084909</t>
  </si>
  <si>
    <t xml:space="preserve">Karwali Dhani</t>
  </si>
  <si>
    <t xml:space="preserve">0811300570084905</t>
  </si>
  <si>
    <t xml:space="preserve">Soder Ki Dhani</t>
  </si>
  <si>
    <t xml:space="preserve">0811300570084977</t>
  </si>
  <si>
    <t xml:space="preserve">सोडेर तालाब में पानी कीआवक बढ़ाने हेतु चैनल निर्माण</t>
  </si>
  <si>
    <t xml:space="preserve">Deoliya</t>
  </si>
  <si>
    <t xml:space="preserve">0811300570084992</t>
  </si>
  <si>
    <t xml:space="preserve">Nandra-Khurd</t>
  </si>
  <si>
    <t xml:space="preserve">0811300570084979</t>
  </si>
  <si>
    <t xml:space="preserve">SURPURA</t>
  </si>
  <si>
    <t xml:space="preserve">0811300570084925</t>
  </si>
  <si>
    <t xml:space="preserve">दडिंया तालाब खुदाई कायृ</t>
  </si>
  <si>
    <t xml:space="preserve">Anganwa</t>
  </si>
  <si>
    <t xml:space="preserve">0811300570084924</t>
  </si>
  <si>
    <t xml:space="preserve">Thabukra</t>
  </si>
  <si>
    <t xml:space="preserve">0811300570084903</t>
  </si>
  <si>
    <t xml:space="preserve">खेतलाई नाडी खुदाई कार्य</t>
  </si>
  <si>
    <t xml:space="preserve">Jajiwal Bhatiyan</t>
  </si>
  <si>
    <t xml:space="preserve">0811300570084913</t>
  </si>
  <si>
    <t xml:space="preserve">बियाण्डा नाडा बाया भाग जिर्णोद्वार व विस्तार कार्य</t>
  </si>
  <si>
    <t xml:space="preserve">Uchiyarda</t>
  </si>
  <si>
    <t xml:space="preserve">0811300570084974</t>
  </si>
  <si>
    <t xml:space="preserve">वृक्षारोपण कार्य खसरा संख्या 17 दायां भाग उचियारड़ा</t>
  </si>
  <si>
    <t xml:space="preserve">Basni Bedan</t>
  </si>
  <si>
    <t xml:space="preserve">0811300570084971</t>
  </si>
  <si>
    <t xml:space="preserve">Alakhdara</t>
  </si>
  <si>
    <t xml:space="preserve">0811300570084972</t>
  </si>
  <si>
    <t xml:space="preserve">OSIAN</t>
  </si>
  <si>
    <t xml:space="preserve">BAITHWASIYAN</t>
  </si>
  <si>
    <t xml:space="preserve">Baithwasiya</t>
  </si>
  <si>
    <t xml:space="preserve">0811300568084604</t>
  </si>
  <si>
    <t xml:space="preserve">Sri Karnipura</t>
  </si>
  <si>
    <t xml:space="preserve">0811300568084605</t>
  </si>
  <si>
    <t xml:space="preserve">Bhabhuon Ki Dhani</t>
  </si>
  <si>
    <t xml:space="preserve">0811300568084606</t>
  </si>
  <si>
    <t xml:space="preserve">BARA KHURD</t>
  </si>
  <si>
    <t xml:space="preserve">Bara Khurd</t>
  </si>
  <si>
    <t xml:space="preserve">0811300568084625</t>
  </si>
  <si>
    <t xml:space="preserve">सोनलाई नाडी में डीसील्टींग कार्य बारा खुर्द</t>
  </si>
  <si>
    <t xml:space="preserve">चिचोली नाडी खुदाई कार्य</t>
  </si>
  <si>
    <t xml:space="preserve">Bara Kalan</t>
  </si>
  <si>
    <t xml:space="preserve">0811300568084626</t>
  </si>
  <si>
    <t xml:space="preserve">सिंहल नाडी खुदाई कार्य</t>
  </si>
  <si>
    <t xml:space="preserve">रायपाल मोडल तालाब निर्माण कार्य</t>
  </si>
  <si>
    <t xml:space="preserve">BARASALOO KALAN</t>
  </si>
  <si>
    <t xml:space="preserve">Barsaloo Kalan</t>
  </si>
  <si>
    <t xml:space="preserve">0811300568084521</t>
  </si>
  <si>
    <t xml:space="preserve">Barsaloo Khurd</t>
  </si>
  <si>
    <t xml:space="preserve">0811300568084522</t>
  </si>
  <si>
    <t xml:space="preserve">0811300568084520</t>
  </si>
  <si>
    <t xml:space="preserve">BERDON KA BAS</t>
  </si>
  <si>
    <t xml:space="preserve">Berdon Ka Bas</t>
  </si>
  <si>
    <t xml:space="preserve">0811300568084564</t>
  </si>
  <si>
    <t xml:space="preserve">लछाणिया नाडा खुदाई व बंधाई कार्य</t>
  </si>
  <si>
    <t xml:space="preserve">बालरा नाडा खुदाई कार्य</t>
  </si>
  <si>
    <t xml:space="preserve">BHAIRU SAGAR</t>
  </si>
  <si>
    <t xml:space="preserve">Bhairu Sagar</t>
  </si>
  <si>
    <t xml:space="preserve">0811300568084599</t>
  </si>
  <si>
    <t xml:space="preserve">0811300568084598</t>
  </si>
  <si>
    <t xml:space="preserve">Bhawani Singh Nagar</t>
  </si>
  <si>
    <t xml:space="preserve">0811300568084596</t>
  </si>
  <si>
    <t xml:space="preserve">जागणीया नाडा खुदाई व चैनल निमार्ण</t>
  </si>
  <si>
    <t xml:space="preserve">केरला नाडा खुदाई व बन्धाई कार्य</t>
  </si>
  <si>
    <t xml:space="preserve">Asha Pura</t>
  </si>
  <si>
    <t xml:space="preserve">0811300568084600</t>
  </si>
  <si>
    <t xml:space="preserve">भिखोलाई नाडी खुदाई एवं बंधाई कार्य</t>
  </si>
  <si>
    <t xml:space="preserve">खेजलड़ी नाडी खुदाई कार्य</t>
  </si>
  <si>
    <t xml:space="preserve">Relagarh</t>
  </si>
  <si>
    <t xml:space="preserve">0811300568084597</t>
  </si>
  <si>
    <t xml:space="preserve">Haripura</t>
  </si>
  <si>
    <t xml:space="preserve">0811300568084601</t>
  </si>
  <si>
    <t xml:space="preserve">रुपनियाल नाडी खुदाई व बंधाई कार्य</t>
  </si>
  <si>
    <t xml:space="preserve">Bhakhari</t>
  </si>
  <si>
    <t xml:space="preserve">Bhakhri</t>
  </si>
  <si>
    <t xml:space="preserve">0811300568084488</t>
  </si>
  <si>
    <t xml:space="preserve">0811300568084469</t>
  </si>
  <si>
    <t xml:space="preserve">Veer Durgadas Nagar</t>
  </si>
  <si>
    <t xml:space="preserve">0811300568084486</t>
  </si>
  <si>
    <t xml:space="preserve">Barthal</t>
  </si>
  <si>
    <t xml:space="preserve">0811300568084487</t>
  </si>
  <si>
    <t xml:space="preserve">0811300568084484</t>
  </si>
  <si>
    <t xml:space="preserve">Bhakhri Dhani</t>
  </si>
  <si>
    <t xml:space="preserve">0811300568084489</t>
  </si>
  <si>
    <t xml:space="preserve">Bhakhron Ki Dhani</t>
  </si>
  <si>
    <t xml:space="preserve">0811300568084608</t>
  </si>
  <si>
    <t xml:space="preserve">Jasnathpura</t>
  </si>
  <si>
    <t xml:space="preserve">0811300568084609</t>
  </si>
  <si>
    <t xml:space="preserve">Ewalo Ka Dhora</t>
  </si>
  <si>
    <t xml:space="preserve">0811300568084610</t>
  </si>
  <si>
    <t xml:space="preserve">BHER</t>
  </si>
  <si>
    <t xml:space="preserve">Bher</t>
  </si>
  <si>
    <t xml:space="preserve">0811300568084462</t>
  </si>
  <si>
    <t xml:space="preserve">ख न 771 में चारागाह विकास एवं वृक्षारोपण कार्य</t>
  </si>
  <si>
    <t xml:space="preserve">0811300568084463</t>
  </si>
  <si>
    <t xml:space="preserve">Nimbla</t>
  </si>
  <si>
    <t xml:space="preserve">0811300568084464</t>
  </si>
  <si>
    <t xml:space="preserve">Rawal Nagar</t>
  </si>
  <si>
    <t xml:space="preserve">0811300568084465</t>
  </si>
  <si>
    <t xml:space="preserve">0811300568084467</t>
  </si>
  <si>
    <t xml:space="preserve">0811300568084466</t>
  </si>
  <si>
    <t xml:space="preserve">BHIMSAGAR</t>
  </si>
  <si>
    <t xml:space="preserve">Bhimsagar</t>
  </si>
  <si>
    <t xml:space="preserve">0811300568084482</t>
  </si>
  <si>
    <t xml:space="preserve">Peepasar Nagar</t>
  </si>
  <si>
    <t xml:space="preserve">0811300568084483</t>
  </si>
  <si>
    <t xml:space="preserve">CHANDRAKH</t>
  </si>
  <si>
    <t xml:space="preserve">Chandrakh</t>
  </si>
  <si>
    <t xml:space="preserve">0811300568084624</t>
  </si>
  <si>
    <t xml:space="preserve">ग्राम चाँदरख बिजलीघर के पास चारागाह विकास कार्य</t>
  </si>
  <si>
    <t xml:space="preserve">कागाणा औरण में चारागाह विकास कार्य</t>
  </si>
  <si>
    <t xml:space="preserve">Narinadi</t>
  </si>
  <si>
    <t xml:space="preserve">0811300568084623</t>
  </si>
  <si>
    <t xml:space="preserve">Nari nadi gochar bhumi vikas kary</t>
  </si>
  <si>
    <t xml:space="preserve">Dabari</t>
  </si>
  <si>
    <t xml:space="preserve">Dabri</t>
  </si>
  <si>
    <t xml:space="preserve">0811300568084563</t>
  </si>
  <si>
    <t xml:space="preserve">Dhunariyan</t>
  </si>
  <si>
    <t xml:space="preserve">Dhunariya</t>
  </si>
  <si>
    <t xml:space="preserve">0811300568084629</t>
  </si>
  <si>
    <t xml:space="preserve">पीडियारा नाडा खुदाई कार्य</t>
  </si>
  <si>
    <t xml:space="preserve">शनेश्वर नाडा खुदाई कार्य</t>
  </si>
  <si>
    <t xml:space="preserve">0811300568084628</t>
  </si>
  <si>
    <t xml:space="preserve">Begriya</t>
  </si>
  <si>
    <t xml:space="preserve">0811300568084627</t>
  </si>
  <si>
    <t xml:space="preserve">थोरी नाडा खुदाई कार्य</t>
  </si>
  <si>
    <t xml:space="preserve">बाया नाडा खुदाई एव बंधाई कार्य</t>
  </si>
  <si>
    <t xml:space="preserve">EKALKHORI</t>
  </si>
  <si>
    <t xml:space="preserve">Ekalkhori</t>
  </si>
  <si>
    <t xml:space="preserve">0811300568084568</t>
  </si>
  <si>
    <t xml:space="preserve">0811300568084565</t>
  </si>
  <si>
    <t xml:space="preserve">0811300568084566</t>
  </si>
  <si>
    <t xml:space="preserve">Gingala</t>
  </si>
  <si>
    <t xml:space="preserve">Geengala</t>
  </si>
  <si>
    <t xml:space="preserve">0811300568084622</t>
  </si>
  <si>
    <t xml:space="preserve">Hadman Sagar</t>
  </si>
  <si>
    <t xml:space="preserve">0811300568084616</t>
  </si>
  <si>
    <t xml:space="preserve">रामोलाई नाडी मॉडल तालाब निर्माण कार्य</t>
  </si>
  <si>
    <t xml:space="preserve">जेठा नाडा खुदाई कार्य</t>
  </si>
  <si>
    <t xml:space="preserve">Hadman Nagar</t>
  </si>
  <si>
    <t xml:space="preserve">0811300568084470</t>
  </si>
  <si>
    <t xml:space="preserve">1134/886 में चारागाह विकास कार्य</t>
  </si>
  <si>
    <t xml:space="preserve">0811300568084485</t>
  </si>
  <si>
    <t xml:space="preserve">Rewantsingh Nagar</t>
  </si>
  <si>
    <t xml:space="preserve">0811300568084468</t>
  </si>
  <si>
    <t xml:space="preserve">HARLAYA</t>
  </si>
  <si>
    <t xml:space="preserve">Harlaya</t>
  </si>
  <si>
    <t xml:space="preserve">0811300568084541</t>
  </si>
  <si>
    <t xml:space="preserve">समलाई नाडी खुदाई एवं बंधाई कार्य</t>
  </si>
  <si>
    <t xml:space="preserve">Nathawat Nagar</t>
  </si>
  <si>
    <t xml:space="preserve">0811300568084543</t>
  </si>
  <si>
    <t xml:space="preserve">Baba Ramdeonagar</t>
  </si>
  <si>
    <t xml:space="preserve">0811300568084481</t>
  </si>
  <si>
    <t xml:space="preserve">गवाई नाडी मॉडल तालाब खुदाई व बंधाई कार्य</t>
  </si>
  <si>
    <t xml:space="preserve">0811300568084542</t>
  </si>
  <si>
    <t xml:space="preserve">Jatipura Mukam Simrathnagar</t>
  </si>
  <si>
    <t xml:space="preserve">Simrath Nagar</t>
  </si>
  <si>
    <t xml:space="preserve">0811300568084593</t>
  </si>
  <si>
    <t xml:space="preserve">0811300568084590</t>
  </si>
  <si>
    <t xml:space="preserve">Bigmi</t>
  </si>
  <si>
    <t xml:space="preserve">0811300568084634</t>
  </si>
  <si>
    <t xml:space="preserve">Jatipura</t>
  </si>
  <si>
    <t xml:space="preserve">0811300568084591</t>
  </si>
  <si>
    <t xml:space="preserve">Khabra Kalan</t>
  </si>
  <si>
    <t xml:space="preserve">0811300568084580</t>
  </si>
  <si>
    <t xml:space="preserve">Beh Charnan</t>
  </si>
  <si>
    <t xml:space="preserve">0811300568084581</t>
  </si>
  <si>
    <t xml:space="preserve">0811300568084582</t>
  </si>
  <si>
    <t xml:space="preserve">KHABRA KHURD</t>
  </si>
  <si>
    <t xml:space="preserve">Khabra Khurd</t>
  </si>
  <si>
    <t xml:space="preserve">0811300568084558</t>
  </si>
  <si>
    <t xml:space="preserve">Khagar Ki Dhani</t>
  </si>
  <si>
    <t xml:space="preserve">0811300568084561</t>
  </si>
  <si>
    <t xml:space="preserve">0811300568084560</t>
  </si>
  <si>
    <t xml:space="preserve">Kharda Maiwasa</t>
  </si>
  <si>
    <t xml:space="preserve">Kharda Mewasa</t>
  </si>
  <si>
    <t xml:space="preserve">0811300568084674</t>
  </si>
  <si>
    <t xml:space="preserve">Mewasa</t>
  </si>
  <si>
    <t xml:space="preserve">0811300568084675</t>
  </si>
  <si>
    <t xml:space="preserve">KHETASAR</t>
  </si>
  <si>
    <t xml:space="preserve">0811300568084587</t>
  </si>
  <si>
    <t xml:space="preserve">खसरा न 26 में चारागाह विकास कार्य</t>
  </si>
  <si>
    <t xml:space="preserve">Vishnu Nagar (Khetasar)</t>
  </si>
  <si>
    <t xml:space="preserve">0811300568084588</t>
  </si>
  <si>
    <t xml:space="preserve">Jasnathnagar</t>
  </si>
  <si>
    <t xml:space="preserve">0811300568084586</t>
  </si>
  <si>
    <t xml:space="preserve">KHINDAKOR</t>
  </si>
  <si>
    <t xml:space="preserve">Khindakor</t>
  </si>
  <si>
    <t xml:space="preserve">0811300568084612</t>
  </si>
  <si>
    <t xml:space="preserve">Magra Nagar</t>
  </si>
  <si>
    <t xml:space="preserve">0811300568084614</t>
  </si>
  <si>
    <t xml:space="preserve">खन 156 में चारागाह विकास कार्य</t>
  </si>
  <si>
    <t xml:space="preserve">Haniya</t>
  </si>
  <si>
    <t xml:space="preserve">0811300568084613</t>
  </si>
  <si>
    <t xml:space="preserve">5199 हवलाई नाडी खुदाई कार्य उतर</t>
  </si>
  <si>
    <t xml:space="preserve">चोयला नाडा खुदाई कार्य</t>
  </si>
  <si>
    <t xml:space="preserve">Deoraj Nagar</t>
  </si>
  <si>
    <t xml:space="preserve">0811300568084611</t>
  </si>
  <si>
    <t xml:space="preserve">पिपलिया नाडी खुदाई कार्य</t>
  </si>
  <si>
    <t xml:space="preserve">KINJARI</t>
  </si>
  <si>
    <t xml:space="preserve">Kinjari</t>
  </si>
  <si>
    <t xml:space="preserve">0811300568084617</t>
  </si>
  <si>
    <t xml:space="preserve">नई लाबन्द नाडी खुदाई कार्य</t>
  </si>
  <si>
    <t xml:space="preserve">गवाई नाडी खुदाई व धाट निर्माण कार्य</t>
  </si>
  <si>
    <t xml:space="preserve">Sili</t>
  </si>
  <si>
    <t xml:space="preserve">0811300568084619</t>
  </si>
  <si>
    <t xml:space="preserve">हिमलाई नाडी खुदाई कार्य</t>
  </si>
  <si>
    <t xml:space="preserve">Khabaniya</t>
  </si>
  <si>
    <t xml:space="preserve">0811300568084618</t>
  </si>
  <si>
    <t xml:space="preserve">मेधवंशी नाडी खुदाई कार्य</t>
  </si>
  <si>
    <t xml:space="preserve">NEVRA</t>
  </si>
  <si>
    <t xml:space="preserve">Newra</t>
  </si>
  <si>
    <t xml:space="preserve">0811300568084631</t>
  </si>
  <si>
    <t xml:space="preserve">0811300568084632</t>
  </si>
  <si>
    <t xml:space="preserve"> खसरा नंबर 1285 में चाराग्राहा विकास कार्य</t>
  </si>
  <si>
    <t xml:space="preserve">Teja Nagar</t>
  </si>
  <si>
    <t xml:space="preserve">0811300568084630</t>
  </si>
  <si>
    <t xml:space="preserve">NEVRA ROAD</t>
  </si>
  <si>
    <t xml:space="preserve">Newra Road</t>
  </si>
  <si>
    <t xml:space="preserve">0811300568084633</t>
  </si>
  <si>
    <t xml:space="preserve">नेवरा रोड़ खसरा न. 733 व 1614 में चारागाह विकास कार्य</t>
  </si>
  <si>
    <t xml:space="preserve">कलशिया नाडा मोडल तालाब खुदाई एवं बंधाई कार्य</t>
  </si>
  <si>
    <t xml:space="preserve">गोगा नाडा खुदाई एव बन्धाई कार्य</t>
  </si>
  <si>
    <t xml:space="preserve">नई नाडी खुदाई पार्ट द्वितीय</t>
  </si>
  <si>
    <t xml:space="preserve">Osian</t>
  </si>
  <si>
    <t xml:space="preserve">0811300568084595</t>
  </si>
  <si>
    <t xml:space="preserve">खसरा नं 1542 में वृक्षारोपण कार्य</t>
  </si>
  <si>
    <t xml:space="preserve">लोलायत नाडी खुदाई कार्य</t>
  </si>
  <si>
    <t xml:space="preserve">Pratapnagar</t>
  </si>
  <si>
    <t xml:space="preserve">0811300568084592</t>
  </si>
  <si>
    <t xml:space="preserve">आशानाडा खुदाई व् बंधाई कार्य</t>
  </si>
  <si>
    <t xml:space="preserve">Basni</t>
  </si>
  <si>
    <t xml:space="preserve">0811300568084594</t>
  </si>
  <si>
    <t xml:space="preserve">Pandit Ji ki Dhani</t>
  </si>
  <si>
    <t xml:space="preserve">Panditji Ki Dhani</t>
  </si>
  <si>
    <t xml:space="preserve">0811300568084603</t>
  </si>
  <si>
    <t xml:space="preserve">चारागाह विकास कार्य दौलजी भाखरी</t>
  </si>
  <si>
    <t xml:space="preserve">0811300568084571</t>
  </si>
  <si>
    <t xml:space="preserve">0811300568084559</t>
  </si>
  <si>
    <t xml:space="preserve">0811300568084557</t>
  </si>
  <si>
    <t xml:space="preserve">Samrathalnagar</t>
  </si>
  <si>
    <t xml:space="preserve">0811300568084570</t>
  </si>
  <si>
    <t xml:space="preserve">Jhariya</t>
  </si>
  <si>
    <t xml:space="preserve">0811300568084572</t>
  </si>
  <si>
    <t xml:space="preserve">चारागाह विकास कार्य खसरा न. 236 </t>
  </si>
  <si>
    <t xml:space="preserve">0811300568084569</t>
  </si>
  <si>
    <t xml:space="preserve">SAMRAU</t>
  </si>
  <si>
    <t xml:space="preserve">Samrau</t>
  </si>
  <si>
    <t xml:space="preserve">0811300568084472</t>
  </si>
  <si>
    <t xml:space="preserve">हरकी नाडी खुदाई कार्य</t>
  </si>
  <si>
    <t xml:space="preserve">construction of charagah khasra no 1043/530</t>
  </si>
  <si>
    <t xml:space="preserve">Nimbli Bera</t>
  </si>
  <si>
    <t xml:space="preserve">0811300568084477</t>
  </si>
  <si>
    <t xml:space="preserve">Bhaduon Ki Dhani</t>
  </si>
  <si>
    <t xml:space="preserve">0811300568084478</t>
  </si>
  <si>
    <t xml:space="preserve">बेहनाडी खुदाई व बंधाई कार्य</t>
  </si>
  <si>
    <t xml:space="preserve">Lal Sagar</t>
  </si>
  <si>
    <t xml:space="preserve">0811300568084479</t>
  </si>
  <si>
    <t xml:space="preserve">हरबुडा नाडा खुदाई व बन्धाई कार्य</t>
  </si>
  <si>
    <t xml:space="preserve">रामसरीया नाडा खुदाई व बन्धाई कार्य</t>
  </si>
  <si>
    <t xml:space="preserve">Ishwar Nagar</t>
  </si>
  <si>
    <t xml:space="preserve">0811300568084474</t>
  </si>
  <si>
    <t xml:space="preserve">P S Nagar</t>
  </si>
  <si>
    <t xml:space="preserve">0811300568084480</t>
  </si>
  <si>
    <t xml:space="preserve">0811300568084473</t>
  </si>
  <si>
    <t xml:space="preserve">सोढा नाडा खुदाई कार्य</t>
  </si>
  <si>
    <t xml:space="preserve">0811300568084471</t>
  </si>
  <si>
    <t xml:space="preserve">0811300568084475</t>
  </si>
  <si>
    <t xml:space="preserve">construction of Earthen bund for community khasra no 952/706</t>
  </si>
  <si>
    <t xml:space="preserve">Jakhro Ki Dhani</t>
  </si>
  <si>
    <t xml:space="preserve">0811300568084476</t>
  </si>
  <si>
    <t xml:space="preserve">Sirmandi</t>
  </si>
  <si>
    <t xml:space="preserve">0811300568084585</t>
  </si>
  <si>
    <t xml:space="preserve">चम्पलाई नाडी खुदाई कार्य</t>
  </si>
  <si>
    <t xml:space="preserve">बंदिया नाडा में खुदाई व बंधाई कार्य</t>
  </si>
  <si>
    <t xml:space="preserve">ढंढी नाडी खुदाई कार्य</t>
  </si>
  <si>
    <t xml:space="preserve">0811300568084583</t>
  </si>
  <si>
    <t xml:space="preserve">रातिया नाडा खुदाई कार्य</t>
  </si>
  <si>
    <t xml:space="preserve">Sri Ramdeo Nagar</t>
  </si>
  <si>
    <t xml:space="preserve">0811300568084584</t>
  </si>
  <si>
    <t xml:space="preserve">TAPOO</t>
  </si>
  <si>
    <t xml:space="preserve">Tapoo</t>
  </si>
  <si>
    <t xml:space="preserve">0811300568084615</t>
  </si>
  <si>
    <t xml:space="preserve">ग्राम तापू में खसरा न. 454/3 में चारागाह विकास कार्य</t>
  </si>
  <si>
    <t xml:space="preserve">नतलाई नाडी खुदाई </t>
  </si>
  <si>
    <t xml:space="preserve">बिणिया नाडी खुदाई कार्य</t>
  </si>
  <si>
    <t xml:space="preserve">खसरा नम्बर 472 मे व्रक्षारोपण एव टांका निर्माण कार्य</t>
  </si>
  <si>
    <t xml:space="preserve">धोलिया नाडा खुदाई कार्य</t>
  </si>
  <si>
    <t xml:space="preserve">THOB</t>
  </si>
  <si>
    <t xml:space="preserve">Thob</t>
  </si>
  <si>
    <t xml:space="preserve">0811300568084607</t>
  </si>
  <si>
    <t xml:space="preserve">ढढ नाडी खुदाई व बधाई कार्य</t>
  </si>
  <si>
    <t xml:space="preserve">पादरिया नाडी खुदाई कार्य</t>
  </si>
  <si>
    <t xml:space="preserve"> नाडा खुदाई कार्य</t>
  </si>
  <si>
    <t xml:space="preserve">बंधिया नाडा के पास नया नाडा खुदाई कार्य</t>
  </si>
  <si>
    <t xml:space="preserve">PEEPAD SAHAR</t>
  </si>
  <si>
    <t xml:space="preserve">0811300569084852</t>
  </si>
  <si>
    <t xml:space="preserve">BARA KALAN</t>
  </si>
  <si>
    <t xml:space="preserve">0811300569084879</t>
  </si>
  <si>
    <t xml:space="preserve">0811300569084880</t>
  </si>
  <si>
    <t xml:space="preserve">Benan</t>
  </si>
  <si>
    <t xml:space="preserve">0811300573085736</t>
  </si>
  <si>
    <t xml:space="preserve">Jairoop Nagar</t>
  </si>
  <si>
    <t xml:space="preserve">0811300573085735</t>
  </si>
  <si>
    <t xml:space="preserve">BHUNDANA</t>
  </si>
  <si>
    <t xml:space="preserve">Bhundana</t>
  </si>
  <si>
    <t xml:space="preserve">0811300569084858</t>
  </si>
  <si>
    <t xml:space="preserve">घड्वाई नाडी पूर्व दिशा खुदाई कार्य</t>
  </si>
  <si>
    <t xml:space="preserve">महादेव जी की डोली पूर्व दिशा खुदाई कार्य</t>
  </si>
  <si>
    <t xml:space="preserve">BOROONDA</t>
  </si>
  <si>
    <t xml:space="preserve">Boroonda</t>
  </si>
  <si>
    <t xml:space="preserve">0811300573085714</t>
  </si>
  <si>
    <t xml:space="preserve">0811300573085715</t>
  </si>
  <si>
    <t xml:space="preserve">0811300573085713</t>
  </si>
  <si>
    <t xml:space="preserve">BOYAL</t>
  </si>
  <si>
    <t xml:space="preserve">Boyal</t>
  </si>
  <si>
    <t xml:space="preserve">0811300573085750</t>
  </si>
  <si>
    <t xml:space="preserve">भागुण्डिया नाडा खुदाई कार्य</t>
  </si>
  <si>
    <t xml:space="preserve">खारलाई नाडी उत्‍तर भाग खुदाई कार्य</t>
  </si>
  <si>
    <t xml:space="preserve">चाटिया नाडा खुदाई कार्य</t>
  </si>
  <si>
    <t xml:space="preserve">रातानाडा खुदाई कार्य बोयल</t>
  </si>
  <si>
    <t xml:space="preserve">कमेडिया नाडा खुदाई कार्य</t>
  </si>
  <si>
    <t xml:space="preserve">Raiya Nagar</t>
  </si>
  <si>
    <t xml:space="preserve">0811300573085749</t>
  </si>
  <si>
    <t xml:space="preserve">BUCHKALA</t>
  </si>
  <si>
    <t xml:space="preserve">Buchkalan</t>
  </si>
  <si>
    <t xml:space="preserve">0811300573085733</t>
  </si>
  <si>
    <t xml:space="preserve">0811300573085734</t>
  </si>
  <si>
    <t xml:space="preserve">भेरूसागर नाडा खुदाई कार्य</t>
  </si>
  <si>
    <t xml:space="preserve">Bankaliya</t>
  </si>
  <si>
    <t xml:space="preserve">0811300573085732</t>
  </si>
  <si>
    <t xml:space="preserve">:बीचला नाडा खुदाई कार्य</t>
  </si>
  <si>
    <t xml:space="preserve">CHAUKRI KALAN</t>
  </si>
  <si>
    <t xml:space="preserve">Chaukri Kalan</t>
  </si>
  <si>
    <t xml:space="preserve">0811300569084846</t>
  </si>
  <si>
    <t xml:space="preserve">ग्राम चौकड़ी कल्ला नया नाडा मॉडल तालाब विकास कार्य</t>
  </si>
  <si>
    <t xml:space="preserve">ग्राम चौकड़ी कल्ला खसरा नम्बर 383 में सुजा नाडा खुदाई कार्य</t>
  </si>
  <si>
    <t xml:space="preserve">ग्राम चौकड़ी कल्ला खसरा नम्बर 308 में गोपी नाडी खुदाई कार्य</t>
  </si>
  <si>
    <t xml:space="preserve">ग्राम चौकड़ी कल्ला खसरा नम्बर 390 पीपलिया नाडा में खुदाई कार्य</t>
  </si>
  <si>
    <t xml:space="preserve">Mirasiya</t>
  </si>
  <si>
    <t xml:space="preserve">0811300569084847</t>
  </si>
  <si>
    <t xml:space="preserve">राजस्‍व ग्राम मेरासिया में देवलिया नाडा खुदाई कार्य।</t>
  </si>
  <si>
    <t xml:space="preserve">CHIRDHANI</t>
  </si>
  <si>
    <t xml:space="preserve">Chirdhani</t>
  </si>
  <si>
    <t xml:space="preserve">0811300573085728</t>
  </si>
  <si>
    <t xml:space="preserve">गेपर नाडा खुदाई व् पाल बंधाई कार्य</t>
  </si>
  <si>
    <t xml:space="preserve">चारागाह भूमि अमरक्षडी में नाडा खुदाई व पाल बधाई कार्य</t>
  </si>
  <si>
    <t xml:space="preserve">परलाई नाडी खुदाई कार्य ग्राम पंचायत ि‍चिरढाणी</t>
  </si>
  <si>
    <t xml:space="preserve">Jani Nagar</t>
  </si>
  <si>
    <t xml:space="preserve">0811300573085727</t>
  </si>
  <si>
    <t xml:space="preserve">CHODHA</t>
  </si>
  <si>
    <t xml:space="preserve">Chodha</t>
  </si>
  <si>
    <t xml:space="preserve">0811300573085739</t>
  </si>
  <si>
    <t xml:space="preserve">खसरा नम्‍बर 767 में गौचर की मेडबन्‍दी कार्य बेनण।</t>
  </si>
  <si>
    <t xml:space="preserve">भेरनाडा खुदाई कार्य।</t>
  </si>
  <si>
    <t xml:space="preserve">गुढली नाडी खुदाई कार्य बेनण।</t>
  </si>
  <si>
    <t xml:space="preserve">0811300573085737</t>
  </si>
  <si>
    <t xml:space="preserve">विष्‍णुनगर गांवाई नाडी खुदाई</t>
  </si>
  <si>
    <t xml:space="preserve">0811300573085740</t>
  </si>
  <si>
    <t xml:space="preserve">हाडी नाडा खुदाई कार्य</t>
  </si>
  <si>
    <t xml:space="preserve">Jaspali</t>
  </si>
  <si>
    <t xml:space="preserve">0811300573085730</t>
  </si>
  <si>
    <t xml:space="preserve">Jawasiya</t>
  </si>
  <si>
    <t xml:space="preserve">0811300573085702</t>
  </si>
  <si>
    <t xml:space="preserve">ख न 130 में राम नाडी खुदाई कार्य</t>
  </si>
  <si>
    <t xml:space="preserve">ग्राम जवासिया में जोगेश्वर नाडी खुदाई कार्य</t>
  </si>
  <si>
    <t xml:space="preserve">Bagarki</t>
  </si>
  <si>
    <t xml:space="preserve">0811300573085701</t>
  </si>
  <si>
    <t xml:space="preserve">Kangal</t>
  </si>
  <si>
    <t xml:space="preserve">0811300569084856</t>
  </si>
  <si>
    <t xml:space="preserve">आगौर में मेड़बंदी व वृक्षारोपण कार्य कागल </t>
  </si>
  <si>
    <t xml:space="preserve">Dudi Nagar</t>
  </si>
  <si>
    <t xml:space="preserve">0811300569084857</t>
  </si>
  <si>
    <t xml:space="preserve">Sargiya Kalan</t>
  </si>
  <si>
    <t xml:space="preserve">0811300569084855</t>
  </si>
  <si>
    <t xml:space="preserve">धरून्‍डी नाडी खुदाई कार्य पश्‍चिम भाग सरगिया कला।</t>
  </si>
  <si>
    <t xml:space="preserve">Sargiya Khurd</t>
  </si>
  <si>
    <t xml:space="preserve">0811300569084854</t>
  </si>
  <si>
    <t xml:space="preserve">खुडिया नाडी खुदाई कार्य।</t>
  </si>
  <si>
    <t xml:space="preserve">KHANGATA</t>
  </si>
  <si>
    <t xml:space="preserve">Khangata</t>
  </si>
  <si>
    <t xml:space="preserve">0811300569084848</t>
  </si>
  <si>
    <t xml:space="preserve">Khariya Anawas</t>
  </si>
  <si>
    <t xml:space="preserve">0811300573085724</t>
  </si>
  <si>
    <t xml:space="preserve">देवलीया नाडा चारा ग़ह विकास कार्य</t>
  </si>
  <si>
    <t xml:space="preserve">:ग्राम खारिया अनावास में डंठ नाडी खुदाई कार्य</t>
  </si>
  <si>
    <t xml:space="preserve">ग्राम अनावास में कलवाणिया की ढाणी नाडीीखुदाई व सौर्न्‍यकरण कार्य।</t>
  </si>
  <si>
    <t xml:space="preserve">Roonakiya</t>
  </si>
  <si>
    <t xml:space="preserve">0811300573085726</t>
  </si>
  <si>
    <t xml:space="preserve">धावड़ा नाडा खुदाई व गाद निकालने कार्य रूणकिया</t>
  </si>
  <si>
    <t xml:space="preserve">ग्राम रूणकिया में उगणी नाडी खुदाई कार्य </t>
  </si>
  <si>
    <t xml:space="preserve">Anawas</t>
  </si>
  <si>
    <t xml:space="preserve">0811300573085725</t>
  </si>
  <si>
    <t xml:space="preserve">ग्राम अनावास में गवाई नाडी खुदाई व सौन्‍दर्यकरण कार्य</t>
  </si>
  <si>
    <t xml:space="preserve">KHARIYA KHANGAR</t>
  </si>
  <si>
    <t xml:space="preserve">Khariya Khangar</t>
  </si>
  <si>
    <t xml:space="preserve">0811300569084835</t>
  </si>
  <si>
    <t xml:space="preserve">खाती नाडा खुदाई व घाट निर्माण कार्य</t>
  </si>
  <si>
    <t xml:space="preserve">0811300569084834</t>
  </si>
  <si>
    <t xml:space="preserve">Devnagar</t>
  </si>
  <si>
    <t xml:space="preserve">0811300569084836</t>
  </si>
  <si>
    <t xml:space="preserve">मोडी नाडी खुदाई कार्य देवनगर</t>
  </si>
  <si>
    <t xml:space="preserve">केरिया नाडा खुदाई कार्य देवनगर</t>
  </si>
  <si>
    <t xml:space="preserve">Basni Buddha</t>
  </si>
  <si>
    <t xml:space="preserve">0811300569084827</t>
  </si>
  <si>
    <t xml:space="preserve">Dhadhesri</t>
  </si>
  <si>
    <t xml:space="preserve">0811300569084833</t>
  </si>
  <si>
    <t xml:space="preserve">ढढेसरी तालाब खुदाई</t>
  </si>
  <si>
    <t xml:space="preserve">KHWASPURA</t>
  </si>
  <si>
    <t xml:space="preserve">Khawaspura</t>
  </si>
  <si>
    <t xml:space="preserve">0811300569084842</t>
  </si>
  <si>
    <t xml:space="preserve">0811300569084841</t>
  </si>
  <si>
    <t xml:space="preserve">Ghodawat</t>
  </si>
  <si>
    <t xml:space="preserve">0811300569084843</t>
  </si>
  <si>
    <t xml:space="preserve">Mad Puriya</t>
  </si>
  <si>
    <t xml:space="preserve">0811300569084840</t>
  </si>
  <si>
    <t xml:space="preserve">KOSANA</t>
  </si>
  <si>
    <t xml:space="preserve">Kosana</t>
  </si>
  <si>
    <t xml:space="preserve">0811300569084850</t>
  </si>
  <si>
    <t xml:space="preserve">Shri Krishana Nagar</t>
  </si>
  <si>
    <t xml:space="preserve">0811300569084851</t>
  </si>
  <si>
    <t xml:space="preserve">0811300569084849</t>
  </si>
  <si>
    <t xml:space="preserve">KUR</t>
  </si>
  <si>
    <t xml:space="preserve">Kur</t>
  </si>
  <si>
    <t xml:space="preserve">0811300569084884</t>
  </si>
  <si>
    <t xml:space="preserve">ग्राम कुड़ नेडकी नाडी खुदाई कार्य</t>
  </si>
  <si>
    <t xml:space="preserve">लाखेटा नाडा खुदाई कार्य</t>
  </si>
  <si>
    <t xml:space="preserve">0811300569084885</t>
  </si>
  <si>
    <t xml:space="preserve">खाेखरिया गांवाई नाडी खुदाई कार्य</t>
  </si>
  <si>
    <t xml:space="preserve">Hinganiya</t>
  </si>
  <si>
    <t xml:space="preserve">0811300569084883</t>
  </si>
  <si>
    <t xml:space="preserve">हिंगाणिया गांवाई नाडी खुदाई कार्य </t>
  </si>
  <si>
    <t xml:space="preserve">MADLIYA</t>
  </si>
  <si>
    <t xml:space="preserve">Madliya</t>
  </si>
  <si>
    <t xml:space="preserve">0811300573085710</t>
  </si>
  <si>
    <t xml:space="preserve">गैर मुमकिन आगौर में नाडी खुदाई कार्य
</t>
  </si>
  <si>
    <t xml:space="preserve">ख न 665 गौचर भूमि में नाडा खुदाई कार्य</t>
  </si>
  <si>
    <t xml:space="preserve">ख स 737/1 गोचर भूमी में नाडी खुदाई कार्य</t>
  </si>
  <si>
    <t xml:space="preserve">MALAR</t>
  </si>
  <si>
    <t xml:space="preserve">Malar</t>
  </si>
  <si>
    <t xml:space="preserve">0811300569084862</t>
  </si>
  <si>
    <t xml:space="preserve">ग्राम मलार में आकिया नाडा खुदाई व आड खुदाई का कार्य</t>
  </si>
  <si>
    <t xml:space="preserve">इन्‍दोकिया नाडा खुदाई कार्य</t>
  </si>
  <si>
    <t xml:space="preserve">0811300569084861</t>
  </si>
  <si>
    <t xml:space="preserve">ग्राम विष्णु नगर में खेजडिया नाडा मेडबन्दीं, व़क्षारोपण व सौन्द्र्यकरण कार्य</t>
  </si>
  <si>
    <t xml:space="preserve">MALAWAS</t>
  </si>
  <si>
    <t xml:space="preserve">Malawas</t>
  </si>
  <si>
    <t xml:space="preserve">0811300573085709</t>
  </si>
  <si>
    <t xml:space="preserve">अमीडा का नाडा खुदाई पूर्व दिशा</t>
  </si>
  <si>
    <t xml:space="preserve">गंवाई तालाब आगारे में मेडबन्‍दी व वक्षारोपण कार्य</t>
  </si>
  <si>
    <t xml:space="preserve">0811300573085711</t>
  </si>
  <si>
    <t xml:space="preserve">नया नाडा व घाट पेंचिग कार्य लवारी</t>
  </si>
  <si>
    <t xml:space="preserve">NANAN</t>
  </si>
  <si>
    <t xml:space="preserve">Nanan</t>
  </si>
  <si>
    <t xml:space="preserve">0811300573085706</t>
  </si>
  <si>
    <t xml:space="preserve">Khudecha</t>
  </si>
  <si>
    <t xml:space="preserve">0811300573085705</t>
  </si>
  <si>
    <t xml:space="preserve">Jaliwara Kalan</t>
  </si>
  <si>
    <t xml:space="preserve">0811300573085707</t>
  </si>
  <si>
    <t xml:space="preserve">Jaliwara Khurd</t>
  </si>
  <si>
    <t xml:space="preserve">0811300573085708</t>
  </si>
  <si>
    <t xml:space="preserve">PALRI SIDHA</t>
  </si>
  <si>
    <t xml:space="preserve">Palri Siddha</t>
  </si>
  <si>
    <t xml:space="preserve">0811300569084839</t>
  </si>
  <si>
    <t xml:space="preserve">Basni Khariya</t>
  </si>
  <si>
    <t xml:space="preserve">0811300569084838</t>
  </si>
  <si>
    <t xml:space="preserve">Jasnagar</t>
  </si>
  <si>
    <t xml:space="preserve">0811300569084837</t>
  </si>
  <si>
    <t xml:space="preserve">RAMDAWAS KALAN</t>
  </si>
  <si>
    <t xml:space="preserve">Ramrawas Kalan</t>
  </si>
  <si>
    <t xml:space="preserve">0811300569084882</t>
  </si>
  <si>
    <t xml:space="preserve">ग्राम रामडावास कला कोराली नाडी आगौर के धोरा बंधाई कार्य।</t>
  </si>
  <si>
    <t xml:space="preserve">मशनिया नाडा खुदाई व गाद निकलना कार्य</t>
  </si>
  <si>
    <t xml:space="preserve">कोइण्‍डा नाडा आगौर की मेडबन्‍दी कार्य</t>
  </si>
  <si>
    <t xml:space="preserve">Ramrawas Khurd</t>
  </si>
  <si>
    <t xml:space="preserve">0811300569084881</t>
  </si>
  <si>
    <t xml:space="preserve">देवली नाडी आगौर को मेडबंदी कार्य</t>
  </si>
  <si>
    <t xml:space="preserve">निम्बली नाडी खुदाई कार्य</t>
  </si>
  <si>
    <t xml:space="preserve">RATKURIA</t>
  </si>
  <si>
    <t xml:space="preserve">Ratkuria</t>
  </si>
  <si>
    <t xml:space="preserve">0811300569084826</t>
  </si>
  <si>
    <t xml:space="preserve">ख न 179 में बांकली नाडी खुदाई कार्य</t>
  </si>
  <si>
    <t xml:space="preserve">खसरा न 1902 खातीयों वाली नाडी खुदाई कार्य</t>
  </si>
  <si>
    <t xml:space="preserve">खसरा नम्‍बर 357 में सेवरो वाली नाडी महादेव भाकर में खुदाई कार्य</t>
  </si>
  <si>
    <t xml:space="preserve">RAWNIYANA</t>
  </si>
  <si>
    <t xml:space="preserve">Rawniyana</t>
  </si>
  <si>
    <t xml:space="preserve">0811300573085723</t>
  </si>
  <si>
    <t xml:space="preserve">Theengla Nagar</t>
  </si>
  <si>
    <t xml:space="preserve">0811300573085722</t>
  </si>
  <si>
    <t xml:space="preserve">RIYAN</t>
  </si>
  <si>
    <t xml:space="preserve">Riyan</t>
  </si>
  <si>
    <t xml:space="preserve">0811300573085731</t>
  </si>
  <si>
    <t xml:space="preserve">हवलदार नाडा खुदाई एवं सुरक्षा दिवार निर्माण कार्य</t>
  </si>
  <si>
    <t xml:space="preserve">लवारिया नाडा रिनोवेसन कार्य</t>
  </si>
  <si>
    <t xml:space="preserve">SALWAKHURD</t>
  </si>
  <si>
    <t xml:space="preserve">Salwakhurd</t>
  </si>
  <si>
    <t xml:space="preserve">0811300569084877</t>
  </si>
  <si>
    <t xml:space="preserve">Nathu Nagar</t>
  </si>
  <si>
    <t xml:space="preserve">0811300569084878</t>
  </si>
  <si>
    <t xml:space="preserve">SATHEEN</t>
  </si>
  <si>
    <t xml:space="preserve">Satheen</t>
  </si>
  <si>
    <t xml:space="preserve">0811300569084853</t>
  </si>
  <si>
    <t xml:space="preserve">केरिया नाडा खुदाई कार्य</t>
  </si>
  <si>
    <t xml:space="preserve">इण्‍डा नाडा खुदाई व मॉडल नाडा निर्माण कार्य</t>
  </si>
  <si>
    <t xml:space="preserve">Shekhnagar</t>
  </si>
  <si>
    <t xml:space="preserve">0811300569084863</t>
  </si>
  <si>
    <t xml:space="preserve">SILARI</t>
  </si>
  <si>
    <t xml:space="preserve">Silari</t>
  </si>
  <si>
    <t xml:space="preserve">0811300573085751</t>
  </si>
  <si>
    <t xml:space="preserve">गंवाई तालाब सौन्‍दीकरण व पौधारोपण कार्य सिलारी</t>
  </si>
  <si>
    <t xml:space="preserve">Jalkhan</t>
  </si>
  <si>
    <t xml:space="preserve">0811300573085729</t>
  </si>
  <si>
    <t xml:space="preserve">रूडाई नाडी में घाट सुरक्षा दिवार और खुदाई</t>
  </si>
  <si>
    <t xml:space="preserve">SINDHIPURA</t>
  </si>
  <si>
    <t xml:space="preserve">0811300573085704</t>
  </si>
  <si>
    <t xml:space="preserve">भानिया नाडा खुदाई कार्य</t>
  </si>
  <si>
    <t xml:space="preserve">तालाब की दाणी के पास नाडी खुदाई कार्य</t>
  </si>
  <si>
    <t xml:space="preserve">कमाईण नाडी के दक्षिणी दिशा में खुदाई कार्य</t>
  </si>
  <si>
    <t xml:space="preserve">हजारी बा के भेरे के पीछे नाडी खुदाई कार्य</t>
  </si>
  <si>
    <t xml:space="preserve">Jalupura</t>
  </si>
  <si>
    <t xml:space="preserve">0811300573085703</t>
  </si>
  <si>
    <t xml:space="preserve">Siyara</t>
  </si>
  <si>
    <t xml:space="preserve">0811300569084845</t>
  </si>
  <si>
    <t xml:space="preserve">Chaukri Khurd</t>
  </si>
  <si>
    <t xml:space="preserve">0811300569084844</t>
  </si>
  <si>
    <t xml:space="preserve">Sowaniya</t>
  </si>
  <si>
    <t xml:space="preserve">0811300573085720</t>
  </si>
  <si>
    <t xml:space="preserve">खसरा न 105 में मोडी मगरा नाडी खुदाई कार्य</t>
  </si>
  <si>
    <t xml:space="preserve">Gadhsooriya</t>
  </si>
  <si>
    <t xml:space="preserve">0811300573085712</t>
  </si>
  <si>
    <t xml:space="preserve">ख 150 में नई नाड़ी निर्माण कार्य</t>
  </si>
  <si>
    <t xml:space="preserve">TILWASANI</t>
  </si>
  <si>
    <t xml:space="preserve">Tilwasani</t>
  </si>
  <si>
    <t xml:space="preserve">0811300573085752</t>
  </si>
  <si>
    <t xml:space="preserve">ग्राम तिलवासनी में ख न 212 में चाराग्रह विकास कार्य।</t>
  </si>
  <si>
    <t xml:space="preserve">संडावडा खुदाई व गाद निकाल कार्य</t>
  </si>
  <si>
    <t xml:space="preserve">चचनाडा खुदाई व गाद निकालने कार्य</t>
  </si>
  <si>
    <t xml:space="preserve">Pipar City (M)</t>
  </si>
  <si>
    <t xml:space="preserve">0811300573800545</t>
  </si>
  <si>
    <t xml:space="preserve">PHALODI</t>
  </si>
  <si>
    <t xml:space="preserve">Phalodi (Rural)</t>
  </si>
  <si>
    <t xml:space="preserve">0811300567084201</t>
  </si>
  <si>
    <t xml:space="preserve">BAMNOO</t>
  </si>
  <si>
    <t xml:space="preserve">Bamnoo</t>
  </si>
  <si>
    <t xml:space="preserve">0811300567084386</t>
  </si>
  <si>
    <t xml:space="preserve">ग्राम बामणु में खसरा नंबर 132 में चरागाह विकास कार्य</t>
  </si>
  <si>
    <t xml:space="preserve">पीली छतरी वाली नाड़ी मॉडल तालाब निर्माण कार्य</t>
  </si>
  <si>
    <t xml:space="preserve">Sri Pabusar</t>
  </si>
  <si>
    <t xml:space="preserve">0811300567084387</t>
  </si>
  <si>
    <t xml:space="preserve">ग्राम श्री पाबूसर में खसरा नंबर 111 में चरागाह विकास कार्य</t>
  </si>
  <si>
    <t xml:space="preserve">Bamnoo Khurd</t>
  </si>
  <si>
    <t xml:space="preserve">0811300567084385</t>
  </si>
  <si>
    <t xml:space="preserve">Mananavar</t>
  </si>
  <si>
    <t xml:space="preserve">0811300567084384</t>
  </si>
  <si>
    <t xml:space="preserve">Prithviraj Singh Nagar</t>
  </si>
  <si>
    <t xml:space="preserve">0811300567084380</t>
  </si>
  <si>
    <t xml:space="preserve">Baori Khurd</t>
  </si>
  <si>
    <t xml:space="preserve">0811300567084094</t>
  </si>
  <si>
    <t xml:space="preserve">0811300567084096</t>
  </si>
  <si>
    <t xml:space="preserve">0811300567084097</t>
  </si>
  <si>
    <t xml:space="preserve">Aaseji Nagar</t>
  </si>
  <si>
    <t xml:space="preserve">0811300567084095</t>
  </si>
  <si>
    <t xml:space="preserve">BAORIKALAN</t>
  </si>
  <si>
    <t xml:space="preserve">Baori Kalan</t>
  </si>
  <si>
    <t xml:space="preserve">0811300567084098</t>
  </si>
  <si>
    <t xml:space="preserve">Bapinee</t>
  </si>
  <si>
    <t xml:space="preserve">0811300567084229</t>
  </si>
  <si>
    <t xml:space="preserve">रातडी नाडी खुदाई</t>
  </si>
  <si>
    <t xml:space="preserve">Dedisara</t>
  </si>
  <si>
    <t xml:space="preserve">0811300567084231</t>
  </si>
  <si>
    <t xml:space="preserve">ग्राम देदिसरा में चारागाह विकास कार्य</t>
  </si>
  <si>
    <t xml:space="preserve">Beethari</t>
  </si>
  <si>
    <t xml:space="preserve">Beethri</t>
  </si>
  <si>
    <t xml:space="preserve">0811300567084220</t>
  </si>
  <si>
    <t xml:space="preserve">मेगा नाडी खुदाई कार्य</t>
  </si>
  <si>
    <t xml:space="preserve">Beingti Khurd</t>
  </si>
  <si>
    <t xml:space="preserve">Begti Khurd</t>
  </si>
  <si>
    <t xml:space="preserve">0811300567084211</t>
  </si>
  <si>
    <t xml:space="preserve">BENGTI KALAN</t>
  </si>
  <si>
    <t xml:space="preserve">Begti Kalan</t>
  </si>
  <si>
    <t xml:space="preserve">0811300567084092</t>
  </si>
  <si>
    <t xml:space="preserve">Daya Sagar</t>
  </si>
  <si>
    <t xml:space="preserve">0811300567084217</t>
  </si>
  <si>
    <t xml:space="preserve">Matol Chak</t>
  </si>
  <si>
    <t xml:space="preserve">0811300567084383</t>
  </si>
  <si>
    <t xml:space="preserve">MEERA NADA KHUDAI</t>
  </si>
  <si>
    <t xml:space="preserve">Sanwatsar</t>
  </si>
  <si>
    <t xml:space="preserve">0811300567084212</t>
  </si>
  <si>
    <t xml:space="preserve">DHADHOO</t>
  </si>
  <si>
    <t xml:space="preserve">Dhadho</t>
  </si>
  <si>
    <t xml:space="preserve">0811300567084392</t>
  </si>
  <si>
    <t xml:space="preserve">नाड़ी खुदाई का कार्य</t>
  </si>
  <si>
    <t xml:space="preserve">Vishnoi Chak</t>
  </si>
  <si>
    <t xml:space="preserve">0811300567084390</t>
  </si>
  <si>
    <t xml:space="preserve">Kelan Nagar</t>
  </si>
  <si>
    <t xml:space="preserve">0811300567084391</t>
  </si>
  <si>
    <t xml:space="preserve">khsra number 733 me nadi khudai ka karya</t>
  </si>
  <si>
    <t xml:space="preserve">Umani Nagar</t>
  </si>
  <si>
    <t xml:space="preserve">0811300567084389</t>
  </si>
  <si>
    <t xml:space="preserve">Bhadu Nagar</t>
  </si>
  <si>
    <t xml:space="preserve">0811300567084388</t>
  </si>
  <si>
    <t xml:space="preserve">Eka Bhatiyan</t>
  </si>
  <si>
    <t xml:space="preserve">0811300567084224</t>
  </si>
  <si>
    <t xml:space="preserve">JHUNJAR JI NADI KHUDAI DAYA BHAG</t>
  </si>
  <si>
    <t xml:space="preserve">0811300567084223</t>
  </si>
  <si>
    <t xml:space="preserve">HOPARDI</t>
  </si>
  <si>
    <t xml:space="preserve">Hopardi</t>
  </si>
  <si>
    <t xml:space="preserve">0811300567084218</t>
  </si>
  <si>
    <t xml:space="preserve">GAWAI NADI KHUDAI V BANDHAI KARY</t>
  </si>
  <si>
    <t xml:space="preserve">Jagriya</t>
  </si>
  <si>
    <t xml:space="preserve">Jagariya</t>
  </si>
  <si>
    <t xml:space="preserve">0811300567084203</t>
  </si>
  <si>
    <t xml:space="preserve">Gopa</t>
  </si>
  <si>
    <t xml:space="preserve">0811300567084207</t>
  </si>
  <si>
    <t xml:space="preserve">Bhojka</t>
  </si>
  <si>
    <t xml:space="preserve">0811300567084205</t>
  </si>
  <si>
    <t xml:space="preserve">Jambeshvar Nagari</t>
  </si>
  <si>
    <t xml:space="preserve">0811300567084163</t>
  </si>
  <si>
    <t xml:space="preserve">Gandhi Nagar</t>
  </si>
  <si>
    <t xml:space="preserve">0811300567084166</t>
  </si>
  <si>
    <t xml:space="preserve">0811300567084165</t>
  </si>
  <si>
    <t xml:space="preserve">Saheed Mohanram Nagar</t>
  </si>
  <si>
    <t xml:space="preserve">0811300567084164</t>
  </si>
  <si>
    <t xml:space="preserve">Samlani Nagar</t>
  </si>
  <si>
    <t xml:space="preserve">0811300567084168</t>
  </si>
  <si>
    <t xml:space="preserve">Raika Bagh</t>
  </si>
  <si>
    <t xml:space="preserve">0811300567084162</t>
  </si>
  <si>
    <t xml:space="preserve">Junejo Ki Dhani</t>
  </si>
  <si>
    <t xml:space="preserve">0811300567084230</t>
  </si>
  <si>
    <t xml:space="preserve">LAKHA NADI BAYA BHAG KHUDAI KARYA</t>
  </si>
  <si>
    <t xml:space="preserve">Kalra</t>
  </si>
  <si>
    <t xml:space="preserve">Kalran</t>
  </si>
  <si>
    <t xml:space="preserve">0811300567084219</t>
  </si>
  <si>
    <t xml:space="preserve">KHARA</t>
  </si>
  <si>
    <t xml:space="preserve">Khara</t>
  </si>
  <si>
    <t xml:space="preserve">0811300567084213</t>
  </si>
  <si>
    <t xml:space="preserve">बिदाई नाडी खुदाई </t>
  </si>
  <si>
    <t xml:space="preserve">नई नाडी खुदाई </t>
  </si>
  <si>
    <t xml:space="preserve">0811300567084089</t>
  </si>
  <si>
    <t xml:space="preserve">भुवानी नाडी खुदाई</t>
  </si>
  <si>
    <t xml:space="preserve">गुगयाई नाडी खुदाई</t>
  </si>
  <si>
    <t xml:space="preserve">नाडी खुदाई कार्य</t>
  </si>
  <si>
    <t xml:space="preserve">0811300567084090</t>
  </si>
  <si>
    <t xml:space="preserve">Shimala</t>
  </si>
  <si>
    <t xml:space="preserve">0811300567084091</t>
  </si>
  <si>
    <t xml:space="preserve">KHEECHAN</t>
  </si>
  <si>
    <t xml:space="preserve">Kheechan</t>
  </si>
  <si>
    <t xml:space="preserve">0811300567084200</t>
  </si>
  <si>
    <t xml:space="preserve">खसरा नंबर ३३० में नइ नाडी खुदाई कार्य</t>
  </si>
  <si>
    <t xml:space="preserve">खसरा नंबर 330 में चारागाह विकास कार्य</t>
  </si>
  <si>
    <t xml:space="preserve">Kundal</t>
  </si>
  <si>
    <t xml:space="preserve">0811300567084210</t>
  </si>
  <si>
    <t xml:space="preserve">खसरा नंबर 153 व् 154 कुण्डल चारागाह विकास कार्य</t>
  </si>
  <si>
    <t xml:space="preserve">Sadawata</t>
  </si>
  <si>
    <t xml:space="preserve">0811300567084206</t>
  </si>
  <si>
    <t xml:space="preserve">Bagga</t>
  </si>
  <si>
    <t xml:space="preserve">0811300567084204</t>
  </si>
  <si>
    <t xml:space="preserve">LORDIYAN</t>
  </si>
  <si>
    <t xml:space="preserve">Lordiyan</t>
  </si>
  <si>
    <t xml:space="preserve">0811300567084227</t>
  </si>
  <si>
    <t xml:space="preserve">Kacholiya Nada</t>
  </si>
  <si>
    <t xml:space="preserve">0811300567084226</t>
  </si>
  <si>
    <t xml:space="preserve">Kotecho Ki Dhani</t>
  </si>
  <si>
    <t xml:space="preserve">0811300567084228</t>
  </si>
  <si>
    <t xml:space="preserve">Gajja</t>
  </si>
  <si>
    <t xml:space="preserve">0811300567084225</t>
  </si>
  <si>
    <t xml:space="preserve">0811300567084104</t>
  </si>
  <si>
    <t xml:space="preserve">खसरा नंबर 146 में चारागाह विकास कार्य</t>
  </si>
  <si>
    <t xml:space="preserve">bhaiya nadi khudai </t>
  </si>
  <si>
    <t xml:space="preserve"> NADI KHUDAI KARY</t>
  </si>
  <si>
    <t xml:space="preserve">KRISHNA NADI KHUDAI </t>
  </si>
  <si>
    <t xml:space="preserve">Godarli</t>
  </si>
  <si>
    <t xml:space="preserve">0811300567084106</t>
  </si>
  <si>
    <t xml:space="preserve">GODRALI NADI GAD NIKLAY KARAY</t>
  </si>
  <si>
    <t xml:space="preserve">DADONIYO KI NADI KHUDAI </t>
  </si>
  <si>
    <t xml:space="preserve">Siyamali</t>
  </si>
  <si>
    <t xml:space="preserve">0811300567084103</t>
  </si>
  <si>
    <t xml:space="preserve">Maya Koriya</t>
  </si>
  <si>
    <t xml:space="preserve">0811300567084208</t>
  </si>
  <si>
    <t xml:space="preserve">Kapdisar</t>
  </si>
  <si>
    <t xml:space="preserve">0811300567084209</t>
  </si>
  <si>
    <t xml:space="preserve">Lokayat</t>
  </si>
  <si>
    <t xml:space="preserve">0811300567084093</t>
  </si>
  <si>
    <t xml:space="preserve">Mohra</t>
  </si>
  <si>
    <t xml:space="preserve">0811300567084202</t>
  </si>
  <si>
    <t xml:space="preserve">NAI NADI UTTAR DISHA KHUDAI</t>
  </si>
  <si>
    <t xml:space="preserve">MOKHERI</t>
  </si>
  <si>
    <t xml:space="preserve">Mokheri</t>
  </si>
  <si>
    <t xml:space="preserve">0811300567084221</t>
  </si>
  <si>
    <t xml:space="preserve">harmatdi nadi khudai</t>
  </si>
  <si>
    <t xml:space="preserve">Meer Nagar</t>
  </si>
  <si>
    <t xml:space="preserve">0811300567084376</t>
  </si>
  <si>
    <t xml:space="preserve">0811300567084222</t>
  </si>
  <si>
    <t xml:space="preserve">MOTAI</t>
  </si>
  <si>
    <t xml:space="preserve">Motai</t>
  </si>
  <si>
    <t xml:space="preserve">0811300567084167</t>
  </si>
  <si>
    <t xml:space="preserve">Chiri</t>
  </si>
  <si>
    <t xml:space="preserve">0811300567084187</t>
  </si>
  <si>
    <t xml:space="preserve">Sanwal Nagar</t>
  </si>
  <si>
    <t xml:space="preserve">0811300567084170</t>
  </si>
  <si>
    <t xml:space="preserve">Shiv Nagar Kalan</t>
  </si>
  <si>
    <t xml:space="preserve">0811300567084169</t>
  </si>
  <si>
    <t xml:space="preserve">0811300567084161</t>
  </si>
  <si>
    <t xml:space="preserve">NANEU</t>
  </si>
  <si>
    <t xml:space="preserve">Naneu</t>
  </si>
  <si>
    <t xml:space="preserve">0811300567084189</t>
  </si>
  <si>
    <t xml:space="preserve">Kanasariya</t>
  </si>
  <si>
    <t xml:space="preserve">0811300567084199</t>
  </si>
  <si>
    <t xml:space="preserve">कानासरिया में गोचर भूमि में चारागाह विकास कार्य</t>
  </si>
  <si>
    <t xml:space="preserve">GAWAI NADI UTTAR GHAT KHUDAI BANDHAI KANASARIYA</t>
  </si>
  <si>
    <t xml:space="preserve">Hazipura</t>
  </si>
  <si>
    <t xml:space="preserve">0811300567084191</t>
  </si>
  <si>
    <t xml:space="preserve">Bhatiyon Ki Dhani</t>
  </si>
  <si>
    <t xml:space="preserve">0811300567084190</t>
  </si>
  <si>
    <t xml:space="preserve">Reen</t>
  </si>
  <si>
    <t xml:space="preserve">0811300567084069</t>
  </si>
  <si>
    <t xml:space="preserve">Nath Ka Magra</t>
  </si>
  <si>
    <t xml:space="preserve">0811300567084107</t>
  </si>
  <si>
    <t xml:space="preserve">sinhra</t>
  </si>
  <si>
    <t xml:space="preserve">Sinhra</t>
  </si>
  <si>
    <t xml:space="preserve">0811300567084087</t>
  </si>
  <si>
    <t xml:space="preserve">KHASRA NO 22 CHARAGAH VIKAS KARY SIHDA</t>
  </si>
  <si>
    <t xml:space="preserve">CHATALIYA NADI KHUDAI KARY SIHRA</t>
  </si>
  <si>
    <t xml:space="preserve">mehdas nadi khudai and bandhai kary sihra</t>
  </si>
  <si>
    <t xml:space="preserve">Narayan Hari</t>
  </si>
  <si>
    <t xml:space="preserve">0811300567084088</t>
  </si>
  <si>
    <t xml:space="preserve">GAWAI NADI KHUDAI KARY</t>
  </si>
  <si>
    <t xml:space="preserve">Jesairi</t>
  </si>
  <si>
    <t xml:space="preserve">0811300567083973</t>
  </si>
  <si>
    <t xml:space="preserve">SANWREEJ</t>
  </si>
  <si>
    <t xml:space="preserve">Sanwreej</t>
  </si>
  <si>
    <t xml:space="preserve">0811300567084378</t>
  </si>
  <si>
    <t xml:space="preserve">0811300567084377</t>
  </si>
  <si>
    <t xml:space="preserve">Udaniyon Ki Dhani</t>
  </si>
  <si>
    <t xml:space="preserve">0811300567084379</t>
  </si>
  <si>
    <t xml:space="preserve">Ram Shakti Nagar</t>
  </si>
  <si>
    <t xml:space="preserve">0811300567084381</t>
  </si>
  <si>
    <t xml:space="preserve">ratadi naadi daya bhag khudai karye</t>
  </si>
  <si>
    <t xml:space="preserve">Andaira Nada</t>
  </si>
  <si>
    <t xml:space="preserve">0811300567084382</t>
  </si>
  <si>
    <t xml:space="preserve">अनदरा नाडा खुदाई</t>
  </si>
  <si>
    <t xml:space="preserve">Ugrask</t>
  </si>
  <si>
    <t xml:space="preserve">Ugras</t>
  </si>
  <si>
    <t xml:space="preserve">0811300567084216</t>
  </si>
  <si>
    <t xml:space="preserve">खसरा नंबर 279 में चारागाह विकास कार्य</t>
  </si>
  <si>
    <t xml:space="preserve">PATERI NADI KHUDAI KARY</t>
  </si>
  <si>
    <t xml:space="preserve">नागणेची नाडी खुुदाई बंंधाई कार्य</t>
  </si>
  <si>
    <t xml:space="preserve">Nagnechinagar</t>
  </si>
  <si>
    <t xml:space="preserve">0811300567084215</t>
  </si>
  <si>
    <t xml:space="preserve">0811300567084214</t>
  </si>
  <si>
    <t xml:space="preserve">vijay nagar</t>
  </si>
  <si>
    <t xml:space="preserve">0811300567084195</t>
  </si>
  <si>
    <t xml:space="preserve">Salasar</t>
  </si>
  <si>
    <t xml:space="preserve">0811300567084192</t>
  </si>
  <si>
    <t xml:space="preserve">Kishan Nagar</t>
  </si>
  <si>
    <t xml:space="preserve">0811300567084193</t>
  </si>
  <si>
    <t xml:space="preserve">Shakti Nagar</t>
  </si>
  <si>
    <t xml:space="preserve">0811300567084194</t>
  </si>
  <si>
    <t xml:space="preserve">Siwandi Nadi</t>
  </si>
  <si>
    <t xml:space="preserve">0811300567084188</t>
  </si>
  <si>
    <t xml:space="preserve">Phalodi (M + OG)</t>
  </si>
  <si>
    <t xml:space="preserve">0811300567800543</t>
  </si>
  <si>
    <t xml:space="preserve">SEKHALA</t>
  </si>
  <si>
    <t xml:space="preserve">Megatgarh</t>
  </si>
  <si>
    <t xml:space="preserve">0811300571085313</t>
  </si>
  <si>
    <t xml:space="preserve">Thabarmsar</t>
  </si>
  <si>
    <t xml:space="preserve">0811300571085269</t>
  </si>
  <si>
    <t xml:space="preserve">Baori</t>
  </si>
  <si>
    <t xml:space="preserve">0811300571085301</t>
  </si>
  <si>
    <t xml:space="preserve">खसरा संख्या 1142 में चारागाह विकास कार्य</t>
  </si>
  <si>
    <t xml:space="preserve">Dhokalsar</t>
  </si>
  <si>
    <t xml:space="preserve">0811300571085302</t>
  </si>
  <si>
    <t xml:space="preserve">नई कालका नाड़ी खुदाई व बंधाई कार्य</t>
  </si>
  <si>
    <t xml:space="preserve">अमृत सरोवर गोदेलाई पशिमी भाग में खुदाई व गाद निकलना धोकलसर</t>
  </si>
  <si>
    <t xml:space="preserve">Gaje Singh Nagar</t>
  </si>
  <si>
    <t xml:space="preserve">0811300571085266</t>
  </si>
  <si>
    <t xml:space="preserve">Bhatner Nagar</t>
  </si>
  <si>
    <t xml:space="preserve">0811300571085265</t>
  </si>
  <si>
    <t xml:space="preserve">Biramgarh</t>
  </si>
  <si>
    <t xml:space="preserve">0811300571085188</t>
  </si>
  <si>
    <t xml:space="preserve">दही नाडा दक्षिण भाग में खुदाई व बंधाई कार्य</t>
  </si>
  <si>
    <t xml:space="preserve">BHALOO ANOPGARH</t>
  </si>
  <si>
    <t xml:space="preserve">Bhaloo Anopgarh</t>
  </si>
  <si>
    <t xml:space="preserve">0811300571085225</t>
  </si>
  <si>
    <t xml:space="preserve">shahid jor singh nadi khudai karya jor singh nagar</t>
  </si>
  <si>
    <t xml:space="preserve">Saheed Jorsingh Nagar</t>
  </si>
  <si>
    <t xml:space="preserve">0811300571085245</t>
  </si>
  <si>
    <t xml:space="preserve">नई नाडी खुदाई कार्य शहीद जोर सिंह नगर</t>
  </si>
  <si>
    <t xml:space="preserve">Kachhab Nagar</t>
  </si>
  <si>
    <t xml:space="preserve">0811300571085229</t>
  </si>
  <si>
    <t xml:space="preserve">जम्भेश्वर तालाब खुदाई कार्य काछब नगर</t>
  </si>
  <si>
    <t xml:space="preserve">Jogsar</t>
  </si>
  <si>
    <t xml:space="preserve">0811300571085227</t>
  </si>
  <si>
    <t xml:space="preserve">जंवाई नाडी खुदाई कार्य भालू जोगसर</t>
  </si>
  <si>
    <t xml:space="preserve">Inkeshwar Nagar</t>
  </si>
  <si>
    <t xml:space="preserve">0811300571085226</t>
  </si>
  <si>
    <t xml:space="preserve">Roonairea</t>
  </si>
  <si>
    <t xml:space="preserve">0811300571085204</t>
  </si>
  <si>
    <t xml:space="preserve">BHALOO LAXMANGARH</t>
  </si>
  <si>
    <t xml:space="preserve">Bhaloo Laxmangarh</t>
  </si>
  <si>
    <t xml:space="preserve">0811300571085235</t>
  </si>
  <si>
    <t xml:space="preserve">Aai Mata Nadi Kudhai Bandhai Kary </t>
  </si>
  <si>
    <t xml:space="preserve">Bhalookalan</t>
  </si>
  <si>
    <t xml:space="preserve">0811300571085238</t>
  </si>
  <si>
    <t xml:space="preserve">Bhaloo Udainagar</t>
  </si>
  <si>
    <t xml:space="preserve">0811300571085239</t>
  </si>
  <si>
    <t xml:space="preserve">Bhaloo Sher Nagar</t>
  </si>
  <si>
    <t xml:space="preserve">0811300571085236</t>
  </si>
  <si>
    <t xml:space="preserve">BHALOORAJWA</t>
  </si>
  <si>
    <t xml:space="preserve">Bhaloo Rajwa</t>
  </si>
  <si>
    <t xml:space="preserve">0811300571085241</t>
  </si>
  <si>
    <t xml:space="preserve">0811300571085240</t>
  </si>
  <si>
    <t xml:space="preserve">Bhalu Mahadev Nagar</t>
  </si>
  <si>
    <t xml:space="preserve">0811300571085242</t>
  </si>
  <si>
    <t xml:space="preserve">Bhalu Deonagar</t>
  </si>
  <si>
    <t xml:space="preserve">0811300571085243</t>
  </si>
  <si>
    <t xml:space="preserve">Bhaloo Jawaharpura</t>
  </si>
  <si>
    <t xml:space="preserve">0811300571085244</t>
  </si>
  <si>
    <t xml:space="preserve">Dedha Chak 3</t>
  </si>
  <si>
    <t xml:space="preserve">Dedha Chak Iii</t>
  </si>
  <si>
    <t xml:space="preserve">0811300571085200</t>
  </si>
  <si>
    <t xml:space="preserve">Veeramgarh</t>
  </si>
  <si>
    <t xml:space="preserve">0811300571085267</t>
  </si>
  <si>
    <t xml:space="preserve">Hapasar</t>
  </si>
  <si>
    <t xml:space="preserve">0811300571085270</t>
  </si>
  <si>
    <t xml:space="preserve">Chhatargarh Hapa</t>
  </si>
  <si>
    <t xml:space="preserve">0811300571085268</t>
  </si>
  <si>
    <t xml:space="preserve">Dedha Chak Ii</t>
  </si>
  <si>
    <t xml:space="preserve">0811300571085198</t>
  </si>
  <si>
    <t xml:space="preserve">Dungarpura</t>
  </si>
  <si>
    <t xml:space="preserve">0811300571085201</t>
  </si>
  <si>
    <t xml:space="preserve">डूंगरपूरा नाड़ी खुदाई व बंधाई कार्य</t>
  </si>
  <si>
    <t xml:space="preserve">Hukam Singh Nagar</t>
  </si>
  <si>
    <t xml:space="preserve">0811300571085202</t>
  </si>
  <si>
    <t xml:space="preserve">DERA</t>
  </si>
  <si>
    <t xml:space="preserve">Dera</t>
  </si>
  <si>
    <t xml:space="preserve">0811300571085257</t>
  </si>
  <si>
    <t xml:space="preserve">191 में चारागाह विकास कार्य</t>
  </si>
  <si>
    <t xml:space="preserve">Premnagar</t>
  </si>
  <si>
    <t xml:space="preserve">0811300571085259</t>
  </si>
  <si>
    <t xml:space="preserve">हापादादा नाड़ी पश्चिम भाग खुदाई कार्य</t>
  </si>
  <si>
    <t xml:space="preserve">Hanwant Nagar</t>
  </si>
  <si>
    <t xml:space="preserve">0811300571085256</t>
  </si>
  <si>
    <t xml:space="preserve">kalka maa nadi khudai kary</t>
  </si>
  <si>
    <t xml:space="preserve">Metisar</t>
  </si>
  <si>
    <t xml:space="preserve">0811300571085258</t>
  </si>
  <si>
    <t xml:space="preserve">डंडी नाडी से गाद निकालने का कार्य</t>
  </si>
  <si>
    <t xml:space="preserve">Guman Singh Nagar</t>
  </si>
  <si>
    <t xml:space="preserve">0811300571085197</t>
  </si>
  <si>
    <t xml:space="preserve">खेजड़ीयाली नाड़ी खुदाई कार्य</t>
  </si>
  <si>
    <t xml:space="preserve">Alidas Nagar</t>
  </si>
  <si>
    <t xml:space="preserve">0811300571085195</t>
  </si>
  <si>
    <t xml:space="preserve">GREVAL </t>
  </si>
  <si>
    <t xml:space="preserve">Madasar</t>
  </si>
  <si>
    <t xml:space="preserve">0811300571085196</t>
  </si>
  <si>
    <t xml:space="preserve">DHEERPURA</t>
  </si>
  <si>
    <t xml:space="preserve">Dheerpura</t>
  </si>
  <si>
    <t xml:space="preserve">0811300571085311</t>
  </si>
  <si>
    <t xml:space="preserve">Mehtab Nagar</t>
  </si>
  <si>
    <t xml:space="preserve">0811300571085312</t>
  </si>
  <si>
    <t xml:space="preserve">Mehamgarh</t>
  </si>
  <si>
    <t xml:space="preserve">0811300571085310</t>
  </si>
  <si>
    <t xml:space="preserve">SHERGARH</t>
  </si>
  <si>
    <t xml:space="preserve">GARA</t>
  </si>
  <si>
    <t xml:space="preserve">Gara</t>
  </si>
  <si>
    <t xml:space="preserve">0811300571085389</t>
  </si>
  <si>
    <t xml:space="preserve">चारागाह विकास कार्य गडा</t>
  </si>
  <si>
    <t xml:space="preserve">Ratanpura</t>
  </si>
  <si>
    <t xml:space="preserve">0811300571085393</t>
  </si>
  <si>
    <t xml:space="preserve">Abhaygarh</t>
  </si>
  <si>
    <t xml:space="preserve">0811300571085274</t>
  </si>
  <si>
    <t xml:space="preserve">Gogadeo Garh</t>
  </si>
  <si>
    <t xml:space="preserve">0811300571085263</t>
  </si>
  <si>
    <t xml:space="preserve">चारागाह विकास कार्य गोगादेवगढ़</t>
  </si>
  <si>
    <t xml:space="preserve">0811300571085317</t>
  </si>
  <si>
    <t xml:space="preserve">Ajeetgarh</t>
  </si>
  <si>
    <t xml:space="preserve">0811300571085264</t>
  </si>
  <si>
    <t xml:space="preserve">Jawahar Nagar</t>
  </si>
  <si>
    <t xml:space="preserve">0811300571085387</t>
  </si>
  <si>
    <t xml:space="preserve">charagaha vikash karya</t>
  </si>
  <si>
    <t xml:space="preserve">0811300571085308</t>
  </si>
  <si>
    <t xml:space="preserve">0811300571085309</t>
  </si>
  <si>
    <t xml:space="preserve">Khirja Asha</t>
  </si>
  <si>
    <t xml:space="preserve">Khirjan Asha</t>
  </si>
  <si>
    <t xml:space="preserve">0811300571085430</t>
  </si>
  <si>
    <t xml:space="preserve">खसरा संख्या 550 में चारागाह विकास कार्य</t>
  </si>
  <si>
    <t xml:space="preserve">Dalpatnagar</t>
  </si>
  <si>
    <t xml:space="preserve">0811300571085429</t>
  </si>
  <si>
    <t xml:space="preserve">KHIRJA KHAS</t>
  </si>
  <si>
    <t xml:space="preserve">Khirjan Khas</t>
  </si>
  <si>
    <t xml:space="preserve">0811300571085385</t>
  </si>
  <si>
    <t xml:space="preserve">खसरा नंबर 820 में चारागाह विकास कार्य</t>
  </si>
  <si>
    <t xml:space="preserve">Mangalsingh Nagar</t>
  </si>
  <si>
    <t xml:space="preserve">0811300571085384</t>
  </si>
  <si>
    <t xml:space="preserve">N</t>
  </si>
  <si>
    <t xml:space="preserve">Uttamsingh Nagar</t>
  </si>
  <si>
    <t xml:space="preserve">0811300571085386</t>
  </si>
  <si>
    <t xml:space="preserve">KHIRJA TIBNA</t>
  </si>
  <si>
    <t xml:space="preserve">Khirjan Tibna</t>
  </si>
  <si>
    <t xml:space="preserve">0811300571085432</t>
  </si>
  <si>
    <t xml:space="preserve"> 11/01/2022</t>
  </si>
  <si>
    <t xml:space="preserve">चारागाह विकास कार्य खिरजाभोजा</t>
  </si>
  <si>
    <t xml:space="preserve">Timbari</t>
  </si>
  <si>
    <t xml:space="preserve">0811300571085433</t>
  </si>
  <si>
    <t xml:space="preserve">RATA NADA KHUDAI KARY </t>
  </si>
  <si>
    <t xml:space="preserve">Khirjan Fatehsingh</t>
  </si>
  <si>
    <t xml:space="preserve">0811300571085383</t>
  </si>
  <si>
    <t xml:space="preserve">Khirjan Bhoja</t>
  </si>
  <si>
    <t xml:space="preserve">0811300571085431</t>
  </si>
  <si>
    <t xml:space="preserve">KANODIYA PUROHITAN</t>
  </si>
  <si>
    <t xml:space="preserve">Kanodiya Purohitan</t>
  </si>
  <si>
    <t xml:space="preserve">0811300571085108</t>
  </si>
  <si>
    <t xml:space="preserve">चारागाह विकास कार्य छातरसिंह नगर</t>
  </si>
  <si>
    <t xml:space="preserve">Hastinapura</t>
  </si>
  <si>
    <t xml:space="preserve">0811300571085110</t>
  </si>
  <si>
    <t xml:space="preserve">जोणेदर नाडी खुदाई व गाद निकालना कार्य</t>
  </si>
  <si>
    <t xml:space="preserve">Kheteswar Nagar</t>
  </si>
  <si>
    <t xml:space="preserve">0811300571085109</t>
  </si>
  <si>
    <t xml:space="preserve">Premsingh Nagar</t>
  </si>
  <si>
    <t xml:space="preserve">0811300571085107</t>
  </si>
  <si>
    <t xml:space="preserve">Chhatarsingh Nagar</t>
  </si>
  <si>
    <t xml:space="preserve">0811300571085111</t>
  </si>
  <si>
    <t xml:space="preserve">Ratneshwar</t>
  </si>
  <si>
    <t xml:space="preserve">0811300571085112</t>
  </si>
  <si>
    <t xml:space="preserve">गुणाई नाड़ी खुदाई व बंधाई कार्य</t>
  </si>
  <si>
    <t xml:space="preserve">Tikamsingh Nagar</t>
  </si>
  <si>
    <t xml:space="preserve">0811300571085113</t>
  </si>
  <si>
    <t xml:space="preserve">Ketoo Hema</t>
  </si>
  <si>
    <t xml:space="preserve">Ketoo Hama</t>
  </si>
  <si>
    <t xml:space="preserve">0811300571085314</t>
  </si>
  <si>
    <t xml:space="preserve">Hathesingh Nagar</t>
  </si>
  <si>
    <t xml:space="preserve">0811300571085315</t>
  </si>
  <si>
    <t xml:space="preserve">0811300571085304</t>
  </si>
  <si>
    <t xml:space="preserve">KETOOKALAN</t>
  </si>
  <si>
    <t xml:space="preserve">Ketoo Kalan</t>
  </si>
  <si>
    <t xml:space="preserve">0811300571085318</t>
  </si>
  <si>
    <t xml:space="preserve">Sabalgarh</t>
  </si>
  <si>
    <t xml:space="preserve">0811300571085316</t>
  </si>
  <si>
    <t xml:space="preserve">KETUMADA</t>
  </si>
  <si>
    <t xml:space="preserve">Ketoomada</t>
  </si>
  <si>
    <t xml:space="preserve">0811300571085307</t>
  </si>
  <si>
    <t xml:space="preserve">Jethu Singh Nagar</t>
  </si>
  <si>
    <t xml:space="preserve">0811300571085305</t>
  </si>
  <si>
    <t xml:space="preserve">Salasar Nagar</t>
  </si>
  <si>
    <t xml:space="preserve">0811300571085260</t>
  </si>
  <si>
    <t xml:space="preserve">0811300571085306</t>
  </si>
  <si>
    <t xml:space="preserve">0811300571085261</t>
  </si>
  <si>
    <t xml:space="preserve">Ketoo Manawata</t>
  </si>
  <si>
    <t xml:space="preserve">0811300571085262</t>
  </si>
  <si>
    <t xml:space="preserve">Lawaran</t>
  </si>
  <si>
    <t xml:space="preserve">0811300571085191</t>
  </si>
  <si>
    <t xml:space="preserve">Shivsar</t>
  </si>
  <si>
    <t xml:space="preserve">0811300571085189</t>
  </si>
  <si>
    <t xml:space="preserve">Rewatsingh Nagar</t>
  </si>
  <si>
    <t xml:space="preserve">0811300571085193</t>
  </si>
  <si>
    <t xml:space="preserve">Ummedgarh</t>
  </si>
  <si>
    <t xml:space="preserve">0811300571085194</t>
  </si>
  <si>
    <t xml:space="preserve">Gosai Nagar</t>
  </si>
  <si>
    <t xml:space="preserve">0811300571085190</t>
  </si>
  <si>
    <t xml:space="preserve">Dedha Chak I</t>
  </si>
  <si>
    <t xml:space="preserve">0811300571085199</t>
  </si>
  <si>
    <t xml:space="preserve">Gokalsar</t>
  </si>
  <si>
    <t xml:space="preserve">0811300571085192</t>
  </si>
  <si>
    <t xml:space="preserve">SHEKHALA</t>
  </si>
  <si>
    <t xml:space="preserve">Shekhala</t>
  </si>
  <si>
    <t xml:space="preserve">0811300571085303</t>
  </si>
  <si>
    <t xml:space="preserve">खसरा संख्या 637 में चारागाह विकास कार्य</t>
  </si>
  <si>
    <t xml:space="preserve">BAWADI</t>
  </si>
  <si>
    <t xml:space="preserve">ANWANA</t>
  </si>
  <si>
    <t xml:space="preserve">Anwana</t>
  </si>
  <si>
    <t xml:space="preserve">0811300568084692</t>
  </si>
  <si>
    <t xml:space="preserve">Daukiyon Ki Dhani</t>
  </si>
  <si>
    <t xml:space="preserve">0811300568084694</t>
  </si>
  <si>
    <t xml:space="preserve">Jagdamba Nagar</t>
  </si>
  <si>
    <t xml:space="preserve">0811300568084693</t>
  </si>
  <si>
    <t xml:space="preserve">BAORI</t>
  </si>
  <si>
    <t xml:space="preserve">0811300569084756</t>
  </si>
  <si>
    <t xml:space="preserve">0811300569084755</t>
  </si>
  <si>
    <t xml:space="preserve">BHAWAD</t>
  </si>
  <si>
    <t xml:space="preserve">Bhawad</t>
  </si>
  <si>
    <t xml:space="preserve">0811300568084721</t>
  </si>
  <si>
    <t xml:space="preserve">चारागाह विकास कार्य ख. न. 90</t>
  </si>
  <si>
    <t xml:space="preserve">Khasra Number 220 ki Medbandi Karya Bhawad</t>
  </si>
  <si>
    <t xml:space="preserve">Khasra Number 62 ki Medbandi Karya Bhawad</t>
  </si>
  <si>
    <t xml:space="preserve">BHAWAD ME BHAIHNADA KHUDAI V GAD NIKLAI KRAYA</t>
  </si>
  <si>
    <t xml:space="preserve">GRAM BHAWAD ME GAWAI NADI KHUDAI V AAD BANDAI KARYA</t>
  </si>
  <si>
    <t xml:space="preserve">BHAKRI NADI KHUDAI VA GAD NIKALNE KA KARY</t>
  </si>
  <si>
    <t xml:space="preserve">0811300568084723</t>
  </si>
  <si>
    <t xml:space="preserve">Khasra Number 90 ki Medbandi Karya Khari Khurd</t>
  </si>
  <si>
    <t xml:space="preserve">KHARI KHURD KHA.NO. 90 ME PABU NADA KHUDAI V GAD NIKALAI KARYA</t>
  </si>
  <si>
    <t xml:space="preserve">DEVTA KI DHANI ME NARA NADA KUDAI V GAD NIKLAI KARYA</t>
  </si>
  <si>
    <t xml:space="preserve">KERIYA NADA KHUDAI VA GAD NIKALNE KA KARY</t>
  </si>
  <si>
    <t xml:space="preserve">0811300569084798</t>
  </si>
  <si>
    <t xml:space="preserve">BORVI KHURD</t>
  </si>
  <si>
    <t xml:space="preserve">Borvi Khurd</t>
  </si>
  <si>
    <t xml:space="preserve">0811300569084811</t>
  </si>
  <si>
    <t xml:space="preserve">KHASRA NO. 35 CHARAGAH VIKAS KARY </t>
  </si>
  <si>
    <t xml:space="preserve">Surpura Kalan</t>
  </si>
  <si>
    <t xml:space="preserve">0811300569084805</t>
  </si>
  <si>
    <t xml:space="preserve">KHASRA NO. 165/2 ME GOCHAR MEDBANDI KARY </t>
  </si>
  <si>
    <t xml:space="preserve">Borvi Kalan</t>
  </si>
  <si>
    <t xml:space="preserve">0811300569084806</t>
  </si>
  <si>
    <t xml:space="preserve">KERLI NADI AAGOR ME MEDBANDI KARY BORVI KALAN</t>
  </si>
  <si>
    <t xml:space="preserve">BUCHETI</t>
  </si>
  <si>
    <t xml:space="preserve">Bucheti</t>
  </si>
  <si>
    <t xml:space="preserve">0811300569084815</t>
  </si>
  <si>
    <t xml:space="preserve">KACHOLIYA NADA KHUDAI</t>
  </si>
  <si>
    <t xml:space="preserve">BHOMIYAJI STHAN KE PAS NAI NADI KHUDAI</t>
  </si>
  <si>
    <t xml:space="preserve">KANARIYA NADA KHUDAI V</t>
  </si>
  <si>
    <t xml:space="preserve">DANWARA</t>
  </si>
  <si>
    <t xml:space="preserve">Danwara</t>
  </si>
  <si>
    <t xml:space="preserve">0811300568084677</t>
  </si>
  <si>
    <t xml:space="preserve">GAWAI NADI KO MODAL TALAB KE ROOP ME VIKSIT KRNE KA KARY</t>
  </si>
  <si>
    <t xml:space="preserve">GOSAI JI BHAKRI WALI NADI KHUDAI &amp; PAL BANDHAI KARY</t>
  </si>
  <si>
    <t xml:space="preserve">Basni Danwara</t>
  </si>
  <si>
    <t xml:space="preserve">0811300568084676</t>
  </si>
  <si>
    <t xml:space="preserve">BALI VALI NADI KHUDAI &amp; BANDHAI KARY</t>
  </si>
  <si>
    <t xml:space="preserve">Dhanari Khurd</t>
  </si>
  <si>
    <t xml:space="preserve">0811300569084727</t>
  </si>
  <si>
    <t xml:space="preserve">रामसरोवर नाडी की खुदाई व पाल बंधाई का कार्य</t>
  </si>
  <si>
    <t xml:space="preserve">luna nada ki khudai anvm pal bandhai kary chindiya</t>
  </si>
  <si>
    <t xml:space="preserve">Chhindiya</t>
  </si>
  <si>
    <t xml:space="preserve">0811300569084729</t>
  </si>
  <si>
    <t xml:space="preserve">Ganpatsingh Nagar</t>
  </si>
  <si>
    <t xml:space="preserve">0811300569084726</t>
  </si>
  <si>
    <t xml:space="preserve">Mornawara</t>
  </si>
  <si>
    <t xml:space="preserve">0811300569084728</t>
  </si>
  <si>
    <t xml:space="preserve">DHANNARI KALAN</t>
  </si>
  <si>
    <t xml:space="preserve">Dhanari Kalan</t>
  </si>
  <si>
    <t xml:space="preserve">0811300568084688</t>
  </si>
  <si>
    <t xml:space="preserve">Bhari Nagar</t>
  </si>
  <si>
    <t xml:space="preserve">0811300568084689</t>
  </si>
  <si>
    <t xml:space="preserve">GANGANI</t>
  </si>
  <si>
    <t xml:space="preserve">Gangani</t>
  </si>
  <si>
    <t xml:space="preserve">0811300569084804</t>
  </si>
  <si>
    <t xml:space="preserve">devandi nadi khudai v pal bandhai</t>
  </si>
  <si>
    <t xml:space="preserve">बडली नाडी खुदाई व पाल बंधाई कार्य</t>
  </si>
  <si>
    <t xml:space="preserve">Nawanagariya</t>
  </si>
  <si>
    <t xml:space="preserve">0811300569084803</t>
  </si>
  <si>
    <t xml:space="preserve">gocher bhumi medbandi navanagariya</t>
  </si>
  <si>
    <t xml:space="preserve">0811300569084802</t>
  </si>
  <si>
    <t xml:space="preserve">Hardani</t>
  </si>
  <si>
    <t xml:space="preserve">0811300568084691</t>
  </si>
  <si>
    <t xml:space="preserve">बावलिया नाडी खुदाई एव गाद निकलने का कार्य</t>
  </si>
  <si>
    <t xml:space="preserve">तिहाडी नाडी खुदाई व पाल बधाई कार्य</t>
  </si>
  <si>
    <t xml:space="preserve">कुंडली नाड़ी खुदाई वा पल बंधाई कार्य</t>
  </si>
  <si>
    <t xml:space="preserve">देदिया नाड़ी खुदाई वा पल बंधाई कार्य</t>
  </si>
  <si>
    <t xml:space="preserve">Ratikundi Nadi khudai evm Pal Bandhai Karya</t>
  </si>
  <si>
    <t xml:space="preserve">Retiyo Nadi khudai evm Pal Bandhai Karya</t>
  </si>
  <si>
    <t xml:space="preserve">HATUNDI</t>
  </si>
  <si>
    <t xml:space="preserve">Hatundi</t>
  </si>
  <si>
    <t xml:space="preserve">0811300568084621</t>
  </si>
  <si>
    <t xml:space="preserve">Basni Tarda</t>
  </si>
  <si>
    <t xml:space="preserve">0811300568084620</t>
  </si>
  <si>
    <t xml:space="preserve">Jaitiyawas</t>
  </si>
  <si>
    <t xml:space="preserve">0811300568084681</t>
  </si>
  <si>
    <t xml:space="preserve">0811300568084682</t>
  </si>
  <si>
    <t xml:space="preserve">0811300568084683</t>
  </si>
  <si>
    <t xml:space="preserve">JOINTRA</t>
  </si>
  <si>
    <t xml:space="preserve">Jointara</t>
  </si>
  <si>
    <t xml:space="preserve">0811300569084764</t>
  </si>
  <si>
    <t xml:space="preserve">NO</t>
  </si>
  <si>
    <t xml:space="preserve">Krishana Nagar</t>
  </si>
  <si>
    <t xml:space="preserve">0811300569084765</t>
  </si>
  <si>
    <t xml:space="preserve">Panton ki Basani</t>
  </si>
  <si>
    <t xml:space="preserve">0811300569084760</t>
  </si>
  <si>
    <t xml:space="preserve">Sanwat Kua Khurd</t>
  </si>
  <si>
    <t xml:space="preserve">0811300569084758</t>
  </si>
  <si>
    <t xml:space="preserve">Bhat Koriya</t>
  </si>
  <si>
    <t xml:space="preserve">0811300569084759</t>
  </si>
  <si>
    <t xml:space="preserve">JUR</t>
  </si>
  <si>
    <t xml:space="preserve">Jur</t>
  </si>
  <si>
    <t xml:space="preserve">0811300568084699</t>
  </si>
  <si>
    <t xml:space="preserve">0811300568084724</t>
  </si>
  <si>
    <t xml:space="preserve">KAJNAU KALLAN</t>
  </si>
  <si>
    <t xml:space="preserve">Kajnau Kalan</t>
  </si>
  <si>
    <t xml:space="preserve">0811300569084750</t>
  </si>
  <si>
    <t xml:space="preserve">Chataliya</t>
  </si>
  <si>
    <t xml:space="preserve">0811300569084736</t>
  </si>
  <si>
    <t xml:space="preserve">KASHTI</t>
  </si>
  <si>
    <t xml:space="preserve">Kashti</t>
  </si>
  <si>
    <t xml:space="preserve">0811300569084799</t>
  </si>
  <si>
    <t xml:space="preserve">GOCHAR MEDBANDI KAR KHA.NO. 989/8</t>
  </si>
  <si>
    <t xml:space="preserve">GOCHAR MEDBANDI KAR KHA.NO. 989/7</t>
  </si>
  <si>
    <t xml:space="preserve">सेवकी रोड काली भाकरी के पास गोचर की मेड़बन्दी</t>
  </si>
  <si>
    <t xml:space="preserve">दुहली नाड़ी खुदाई व पाल बंधाई कार्य</t>
  </si>
  <si>
    <t xml:space="preserve">GAVAI TALAB KASTIPAL BANDHAI V GAD NIKALNE KA KARY</t>
  </si>
  <si>
    <t xml:space="preserve">KELAWA KALAN</t>
  </si>
  <si>
    <t xml:space="preserve">Kelawa Kalan</t>
  </si>
  <si>
    <t xml:space="preserve">0811300568084697</t>
  </si>
  <si>
    <t xml:space="preserve">Swami Umagiri ji Ki Dhani</t>
  </si>
  <si>
    <t xml:space="preserve">0811300568084696</t>
  </si>
  <si>
    <t xml:space="preserve">Guru Jambheswar Nagar</t>
  </si>
  <si>
    <t xml:space="preserve">0811300568084698</t>
  </si>
  <si>
    <t xml:space="preserve">Kelawa Khurd</t>
  </si>
  <si>
    <t xml:space="preserve">0811300568084695</t>
  </si>
  <si>
    <t xml:space="preserve">KHERAPA</t>
  </si>
  <si>
    <t xml:space="preserve">Kherapa</t>
  </si>
  <si>
    <t xml:space="preserve">0811300569084751</t>
  </si>
  <si>
    <t xml:space="preserve">KHASRA NO 648/537 GOCHAR BHUMI MAI NAI NADI KA NIRMAN KARY</t>
  </si>
  <si>
    <t xml:space="preserve">Gochar bhumi ki medbandi kary</t>
  </si>
  <si>
    <t xml:space="preserve">Ram Sagar Nada Gath Nikalne ka kary</t>
  </si>
  <si>
    <t xml:space="preserve">LAWERA KALAN</t>
  </si>
  <si>
    <t xml:space="preserve">Lawera Kalan</t>
  </si>
  <si>
    <t xml:space="preserve">0811300569084753</t>
  </si>
  <si>
    <t xml:space="preserve">Ishwar Mahadev Nagar</t>
  </si>
  <si>
    <t xml:space="preserve">0811300569084752</t>
  </si>
  <si>
    <t xml:space="preserve">Kajnau Khurd</t>
  </si>
  <si>
    <t xml:space="preserve">0811300569084731</t>
  </si>
  <si>
    <t xml:space="preserve">LAWERA KHURD</t>
  </si>
  <si>
    <t xml:space="preserve">Lawera Khurd</t>
  </si>
  <si>
    <t xml:space="preserve">0811300569084763</t>
  </si>
  <si>
    <t xml:space="preserve">Buriyon Ki Basni</t>
  </si>
  <si>
    <t xml:space="preserve">0811300569084761</t>
  </si>
  <si>
    <t xml:space="preserve">Nimbariya</t>
  </si>
  <si>
    <t xml:space="preserve">0811300569084762</t>
  </si>
  <si>
    <t xml:space="preserve">Mailana</t>
  </si>
  <si>
    <t xml:space="preserve">0811300569084766</t>
  </si>
  <si>
    <t xml:space="preserve">DEVASIYO KI RATDI NADI KI KHUDAI KARY</t>
  </si>
  <si>
    <t xml:space="preserve">RAVO KI RATADI NADI KHUDAI KARY</t>
  </si>
  <si>
    <t xml:space="preserve">Jubarkiya Nada Mitti khudhai kary</t>
  </si>
  <si>
    <t xml:space="preserve">0811300569084767</t>
  </si>
  <si>
    <t xml:space="preserve">Hingana Nada Mitti Khudhai av Pal Bandhai kary</t>
  </si>
  <si>
    <t xml:space="preserve">Mansagar</t>
  </si>
  <si>
    <t xml:space="preserve">0811300568084679</t>
  </si>
  <si>
    <t xml:space="preserve">0811300568084678</t>
  </si>
  <si>
    <t xml:space="preserve">Nandiya Jajra</t>
  </si>
  <si>
    <t xml:space="preserve">0811300568084690</t>
  </si>
  <si>
    <t xml:space="preserve">Pabu Nadi Khudai &amp; Pal bandhai kary</t>
  </si>
  <si>
    <t xml:space="preserve">Juglai Nadi Mitti Khudai v Pal bandhai kart</t>
  </si>
  <si>
    <t xml:space="preserve">NANDIYA KALAN</t>
  </si>
  <si>
    <t xml:space="preserve">Nandiya Kalan</t>
  </si>
  <si>
    <t xml:space="preserve">0811300568084684</t>
  </si>
  <si>
    <t xml:space="preserve">चरागाह विकास कार्य खं न.489/22</t>
  </si>
  <si>
    <t xml:space="preserve">चारागाह विकास कार्य खसरा नम्बर 441</t>
  </si>
  <si>
    <t xml:space="preserve">khasra no 431 me new nadi nirman kary</t>
  </si>
  <si>
    <t xml:space="preserve">odlai nadi ko model talab banane ka kary</t>
  </si>
  <si>
    <t xml:space="preserve">kalyan sagar ko model talab banane ka kary</t>
  </si>
  <si>
    <t xml:space="preserve">Meghvalo ev macharo ki dhani ke pass nai nadi nirman kary</t>
  </si>
  <si>
    <t xml:space="preserve">NANDIYA KHURD</t>
  </si>
  <si>
    <t xml:space="preserve">Nandiya Khurd</t>
  </si>
  <si>
    <t xml:space="preserve">0811300568084686</t>
  </si>
  <si>
    <t xml:space="preserve">Chindri</t>
  </si>
  <si>
    <t xml:space="preserve">0811300568084687</t>
  </si>
  <si>
    <t xml:space="preserve">NETRA</t>
  </si>
  <si>
    <t xml:space="preserve">Netra</t>
  </si>
  <si>
    <t xml:space="preserve">0811300569084800</t>
  </si>
  <si>
    <t xml:space="preserve">khasra no 1006 ger mumkin aagor ki medbandi karye</t>
  </si>
  <si>
    <t xml:space="preserve">khasra no 653 ger mumkin aagor ki medbandi karye</t>
  </si>
  <si>
    <t xml:space="preserve">Surta nada ME aad Khudai karey</t>
  </si>
  <si>
    <t xml:space="preserve">bhotiya nada me gad nikalana kareye</t>
  </si>
  <si>
    <t xml:space="preserve">Roopsar</t>
  </si>
  <si>
    <t xml:space="preserve">0811300569084801</t>
  </si>
  <si>
    <t xml:space="preserve">Puniyon Ki Basni</t>
  </si>
  <si>
    <t xml:space="preserve">0811300569084754</t>
  </si>
  <si>
    <t xml:space="preserve">POONIYA KI BASNI NADI KO MODAL TALAB ME VIKSHIT KARNA</t>
  </si>
  <si>
    <t xml:space="preserve">:khasra no. 2964 me nai nadi khudai karya</t>
  </si>
  <si>
    <t xml:space="preserve">khadr khali nadi khudai v pal Bandhai karya</t>
  </si>
  <si>
    <t xml:space="preserve">Sanwat Kua Kalan</t>
  </si>
  <si>
    <t xml:space="preserve">0811300569084757</t>
  </si>
  <si>
    <t xml:space="preserve">sanvatkua kalan Hanuman Singh ka nada khudai v pal Bandhai karya</t>
  </si>
  <si>
    <t xml:space="preserve">junkiya nada khudai v pal bandhai v jadi katting karya</t>
  </si>
  <si>
    <t xml:space="preserve">indo ki nadi khudai karya sanvatkua</t>
  </si>
  <si>
    <t xml:space="preserve">Sevki Kalan</t>
  </si>
  <si>
    <t xml:space="preserve">0811300569084809</t>
  </si>
  <si>
    <t xml:space="preserve">Seva Gaon</t>
  </si>
  <si>
    <t xml:space="preserve">0811300569084808</t>
  </si>
  <si>
    <t xml:space="preserve">Sevki Khurd</t>
  </si>
  <si>
    <t xml:space="preserve">0811300569084810</t>
  </si>
  <si>
    <t xml:space="preserve">Changawara Khurd</t>
  </si>
  <si>
    <t xml:space="preserve">0811300569084812</t>
  </si>
  <si>
    <t xml:space="preserve">Changawara Kalan</t>
  </si>
  <si>
    <t xml:space="preserve">0811300569084813</t>
  </si>
  <si>
    <t xml:space="preserve">Changawara Charana</t>
  </si>
  <si>
    <t xml:space="preserve">0811300569084814</t>
  </si>
  <si>
    <t xml:space="preserve">Lunawas</t>
  </si>
  <si>
    <t xml:space="preserve">0811300569084807</t>
  </si>
  <si>
    <t xml:space="preserve">SOYLA</t>
  </si>
  <si>
    <t xml:space="preserve">Soyla</t>
  </si>
  <si>
    <t xml:space="preserve">0811300569084732</t>
  </si>
  <si>
    <t xml:space="preserve">KHSARA NO. 554 AANGOUR KI MEDHBANDHI KARYA</t>
  </si>
  <si>
    <t xml:space="preserve">खसरा न.308 गैर मुमकीन गोचर भूमि की मेडबंधी कार्य</t>
  </si>
  <si>
    <t xml:space="preserve">खसरा न.156/2 गैर मुमकीन गोचर भूमि की मेडबंधी कार्य</t>
  </si>
  <si>
    <t xml:space="preserve">खसरा न.493 गैर मुमकीन ओरण भूमि की मेडबंधी कार्य</t>
  </si>
  <si>
    <t xml:space="preserve">ghadai nadi ko modal talab ke roop me viksit karne ka kary</t>
  </si>
  <si>
    <t xml:space="preserve">Umadesar</t>
  </si>
  <si>
    <t xml:space="preserve">0811300568084685</t>
  </si>
  <si>
    <t xml:space="preserve">MOYALA NADA KHUDAI </t>
  </si>
  <si>
    <t xml:space="preserve">Raikoriya</t>
  </si>
  <si>
    <t xml:space="preserve">0811300568084680</t>
  </si>
  <si>
    <t xml:space="preserve">SELAVI NADI SE GAAD NIKALANE KA KARY </t>
  </si>
  <si>
    <t xml:space="preserve">UMMEDNAGAR</t>
  </si>
  <si>
    <t xml:space="preserve">Ummednagar</t>
  </si>
  <si>
    <t xml:space="preserve">0811300568084719</t>
  </si>
  <si>
    <t xml:space="preserve">Sant Kriparam Nagar</t>
  </si>
  <si>
    <t xml:space="preserve">0811300568084720</t>
  </si>
  <si>
    <t xml:space="preserve">VINAYAKPURA</t>
  </si>
  <si>
    <t xml:space="preserve">Vinayakpura</t>
  </si>
  <si>
    <t xml:space="preserve">0811300568084722</t>
  </si>
  <si>
    <t xml:space="preserve">Khasra Number 3 ki Medbandi karaya ujliya</t>
  </si>
  <si>
    <t xml:space="preserve">Khasra Number 223 ki Medbandi Karya Vinayakpura</t>
  </si>
  <si>
    <t xml:space="preserve">khasra no 223/1 ki medbandi kary Vinayakpura</t>
  </si>
  <si>
    <t xml:space="preserve">सफी नाडी खुदाई व गाद निकालाई</t>
  </si>
  <si>
    <t xml:space="preserve">KHA.NO.3 ME NADI KHUDAI V GAD NIKLAI KARY</t>
  </si>
  <si>
    <t xml:space="preserve">VINAYAKPURA ME PUNIYA NADI KHUDAI V GAD NIKLAI KARYA KHASARA NO 222</t>
  </si>
  <si>
    <t xml:space="preserve">VINAYAKPURA ME JAMBHA NADA KHUDAI V GAD NIKLAI KARYA</t>
  </si>
  <si>
    <t xml:space="preserve">Vinayakpura me Rojdi Nadi Khudai Karya</t>
  </si>
  <si>
    <t xml:space="preserve">VINAYAKPURA ME BOLA KI DHANI NADI KHUDAI V GAD NIKLAI KARYA</t>
  </si>
  <si>
    <t xml:space="preserve">Ujaliya</t>
  </si>
  <si>
    <t xml:space="preserve">0811300568084718</t>
  </si>
  <si>
    <t xml:space="preserve">UJALIYA ME PABUNADA KHUDAI V GAD NIKLAI KARYA KHASARA NO 51</t>
  </si>
  <si>
    <t xml:space="preserve">Ujaliya me demanada khudai kary</t>
  </si>
  <si>
    <t xml:space="preserve">TINWARI</t>
  </si>
  <si>
    <t xml:space="preserve">Bada Kotecha</t>
  </si>
  <si>
    <t xml:space="preserve">Bara Kotecha</t>
  </si>
  <si>
    <t xml:space="preserve">0811300568084666</t>
  </si>
  <si>
    <t xml:space="preserve">Bari</t>
  </si>
  <si>
    <t xml:space="preserve">0811300568084665</t>
  </si>
  <si>
    <t xml:space="preserve">Bara Kotecha Khurd</t>
  </si>
  <si>
    <t xml:space="preserve">0811300568084667</t>
  </si>
  <si>
    <t xml:space="preserve">Ger mumkin oran kh. no 16 me charagah vikas karye</t>
  </si>
  <si>
    <t xml:space="preserve">BALARWA</t>
  </si>
  <si>
    <t xml:space="preserve">Balarwa</t>
  </si>
  <si>
    <t xml:space="preserve">0811300568084705</t>
  </si>
  <si>
    <t xml:space="preserve">Nageshwar Nagar</t>
  </si>
  <si>
    <t xml:space="preserve">0811300568084707</t>
  </si>
  <si>
    <t xml:space="preserve">Chain Sing Nagar</t>
  </si>
  <si>
    <t xml:space="preserve">0811300568084706</t>
  </si>
  <si>
    <t xml:space="preserve">Jugat Sing Nagar</t>
  </si>
  <si>
    <t xml:space="preserve">0811300568084704</t>
  </si>
  <si>
    <t xml:space="preserve">BANA KA BAS</t>
  </si>
  <si>
    <t xml:space="preserve">Bana Ka Bas</t>
  </si>
  <si>
    <t xml:space="preserve">0811300568084579</t>
  </si>
  <si>
    <t xml:space="preserve">Veerteja Nagar</t>
  </si>
  <si>
    <t xml:space="preserve">0811300568084578</t>
  </si>
  <si>
    <t xml:space="preserve">BARLA BASNI</t>
  </si>
  <si>
    <t xml:space="preserve">Barla Basni</t>
  </si>
  <si>
    <t xml:space="preserve">0811300568084640</t>
  </si>
  <si>
    <t xml:space="preserve">charagah vikas kary</t>
  </si>
  <si>
    <t xml:space="preserve">NAI NAADI JOGIDAAS JI KE NADI KHUDAI </t>
  </si>
  <si>
    <t xml:space="preserve">Bassi Nagar</t>
  </si>
  <si>
    <t xml:space="preserve">0811300568084641</t>
  </si>
  <si>
    <t xml:space="preserve">charagah vikas kary bassi nagar</t>
  </si>
  <si>
    <t xml:space="preserve">Nadi Khudai Kariye Bassi Nagar</t>
  </si>
  <si>
    <t xml:space="preserve">Beenj Wariya</t>
  </si>
  <si>
    <t xml:space="preserve">0811300568084709</t>
  </si>
  <si>
    <t xml:space="preserve">BABA RAMDEV NADI KHUDAI KARYA</t>
  </si>
  <si>
    <t xml:space="preserve">Khavadi Nadi Khudai Kariye</t>
  </si>
  <si>
    <t xml:space="preserve">0811300568084708</t>
  </si>
  <si>
    <t xml:space="preserve">Bhom baba nadi khudai kariye</t>
  </si>
  <si>
    <t xml:space="preserve">Bhainser Chawandiyali</t>
  </si>
  <si>
    <t xml:space="preserve">0811300568084701</t>
  </si>
  <si>
    <t xml:space="preserve">Gavai Nadi Khudai Kariye</t>
  </si>
  <si>
    <t xml:space="preserve">charagah vikas bhensar chavandiyali</t>
  </si>
  <si>
    <t xml:space="preserve">Kiramsariya Khurd</t>
  </si>
  <si>
    <t xml:space="preserve">0811300568084672</t>
  </si>
  <si>
    <t xml:space="preserve">BHKTIYA NADI KHUDAI KARY</t>
  </si>
  <si>
    <t xml:space="preserve">Jogmaya Nadi Khudai Kariye</t>
  </si>
  <si>
    <t xml:space="preserve">BHAISER KOTWALI</t>
  </si>
  <si>
    <t xml:space="preserve">Bhainser Kotwali</t>
  </si>
  <si>
    <t xml:space="preserve">0811300568084702</t>
  </si>
  <si>
    <t xml:space="preserve">Kanasar Nadi Khudai Kariye</t>
  </si>
  <si>
    <t xml:space="preserve">Bhomiyaji Ke Than Ke Pas Bhomiyaji Talab Khudai Kariye</t>
  </si>
  <si>
    <t xml:space="preserve">Bhainser Kootri</t>
  </si>
  <si>
    <t xml:space="preserve">0811300568084703</t>
  </si>
  <si>
    <t xml:space="preserve">KOYLANI NADI KHUDAI GAAD NIKALNE V PAL BANDAI KARY</t>
  </si>
  <si>
    <t xml:space="preserve">Gochar Jamin Me Hukmav Nadi Khudai Kariye</t>
  </si>
  <si>
    <t xml:space="preserve">Chandaliya</t>
  </si>
  <si>
    <t xml:space="preserve">0811300568084645</t>
  </si>
  <si>
    <t xml:space="preserve">CHAUPASANI CHARNAN</t>
  </si>
  <si>
    <t xml:space="preserve">Chaupasani Charnan</t>
  </si>
  <si>
    <t xml:space="preserve">0811300568084713</t>
  </si>
  <si>
    <t xml:space="preserve">Kotra</t>
  </si>
  <si>
    <t xml:space="preserve">0811300568084712</t>
  </si>
  <si>
    <t xml:space="preserve">CHERAI</t>
  </si>
  <si>
    <t xml:space="preserve">Cherai</t>
  </si>
  <si>
    <t xml:space="preserve">0811300568084576</t>
  </si>
  <si>
    <t xml:space="preserve">charagah avm varaksharopan kary cherai khasra</t>
  </si>
  <si>
    <t xml:space="preserve">Taja nadi khudai karya</t>
  </si>
  <si>
    <t xml:space="preserve">Hariom Nada Khudai Kairiye</t>
  </si>
  <si>
    <t xml:space="preserve">Mudlai Nadi Me Se Gad Nikalne Ka Kariye</t>
  </si>
  <si>
    <t xml:space="preserve">Dholiaya Nagar</t>
  </si>
  <si>
    <t xml:space="preserve">Dholiya Nagar</t>
  </si>
  <si>
    <t xml:space="preserve">0811300568084589</t>
  </si>
  <si>
    <t xml:space="preserve">KHETANADA KHUDAAI KAARYA DAKSHIN DISHA</t>
  </si>
  <si>
    <t xml:space="preserve">सीमानाड़ा खुदाई कार्य</t>
  </si>
  <si>
    <t xml:space="preserve">Sou &amp; Bhambhoon Ki Dhaniyan</t>
  </si>
  <si>
    <t xml:space="preserve">0811300568084638</t>
  </si>
  <si>
    <t xml:space="preserve">Prem Sagar</t>
  </si>
  <si>
    <t xml:space="preserve">0811300568084636</t>
  </si>
  <si>
    <t xml:space="preserve">सिमरथीया नाडा खुदाई कार्य</t>
  </si>
  <si>
    <t xml:space="preserve">0811300568084637</t>
  </si>
  <si>
    <t xml:space="preserve">नई रामदेव नाड़ी खुदाई कार्य हस्तिनापुर</t>
  </si>
  <si>
    <t xml:space="preserve">GANGADI</t>
  </si>
  <si>
    <t xml:space="preserve">Gagari</t>
  </si>
  <si>
    <t xml:space="preserve">0811300568084650</t>
  </si>
  <si>
    <t xml:space="preserve">27-08-2025</t>
  </si>
  <si>
    <t xml:space="preserve">Khaklaai Naadi Khudhi Karya</t>
  </si>
  <si>
    <t xml:space="preserve">BHAGWANI NAADI KHUDAI KARY</t>
  </si>
  <si>
    <t xml:space="preserve">Taaj Nagar</t>
  </si>
  <si>
    <t xml:space="preserve">0811300568084651</t>
  </si>
  <si>
    <t xml:space="preserve">Ghevara</t>
  </si>
  <si>
    <t xml:space="preserve">0811300568084642</t>
  </si>
  <si>
    <t xml:space="preserve">Shri Gopal Karshin Gosala Ghewara Ke Pas Podharopan kariye Vriskunj Nirman Kariye</t>
  </si>
  <si>
    <t xml:space="preserve"> Khasara No 445 Ger Mumkin Gochar Gori Shankar Gosala Ke Pas Vriskunj Nirman Kariye</t>
  </si>
  <si>
    <t xml:space="preserve">Shri Ram Nadi Khudai Kariye</t>
  </si>
  <si>
    <t xml:space="preserve"> Thakur Ji Nadi Khudai Kariye</t>
  </si>
  <si>
    <t xml:space="preserve">Gopasariya</t>
  </si>
  <si>
    <t xml:space="preserve">0811300568084635</t>
  </si>
  <si>
    <t xml:space="preserve">Jasnath Bari</t>
  </si>
  <si>
    <t xml:space="preserve">0811300568084646</t>
  </si>
  <si>
    <t xml:space="preserve">0811300568084648</t>
  </si>
  <si>
    <t xml:space="preserve">Laxmi Narayan Nagar</t>
  </si>
  <si>
    <t xml:space="preserve">0811300568084647</t>
  </si>
  <si>
    <t xml:space="preserve">JELOO</t>
  </si>
  <si>
    <t xml:space="preserve">Jeloo</t>
  </si>
  <si>
    <t xml:space="preserve">0811300568084725</t>
  </si>
  <si>
    <t xml:space="preserve">Gochar Bhumi Me Medbandi Va Podharopan Ka Kariye</t>
  </si>
  <si>
    <t xml:space="preserve">Sujan natha dhuna ke pass naadi kudai evm bandai karya</t>
  </si>
  <si>
    <t xml:space="preserve">Lala Nadi Khudai Va Badhai Kariye</t>
  </si>
  <si>
    <t xml:space="preserve">Gosai Nada Khudai Avm Badhai Kariye</t>
  </si>
  <si>
    <t xml:space="preserve">0811300568084653</t>
  </si>
  <si>
    <t xml:space="preserve">Bijariya Bavri</t>
  </si>
  <si>
    <t xml:space="preserve">0811300568084652</t>
  </si>
  <si>
    <t xml:space="preserve">Jasma Nadi Khudai Va Badhahi Karye</t>
  </si>
  <si>
    <t xml:space="preserve">0811300568084673</t>
  </si>
  <si>
    <t xml:space="preserve">charagha vikas karya</t>
  </si>
  <si>
    <t xml:space="preserve">Khudiyala Me Hada Dhandi Nadi Khudai Kariye</t>
  </si>
  <si>
    <t xml:space="preserve">Kiram Sariya Kalan</t>
  </si>
  <si>
    <t xml:space="preserve">0811300568084700</t>
  </si>
  <si>
    <t xml:space="preserve">kiramsariya magra me naadi khudai kary</t>
  </si>
  <si>
    <t xml:space="preserve">0811300568084574</t>
  </si>
  <si>
    <t xml:space="preserve">Daukiyon Ka Bas</t>
  </si>
  <si>
    <t xml:space="preserve">0811300568084575</t>
  </si>
  <si>
    <t xml:space="preserve">Arjundeo Nagar</t>
  </si>
  <si>
    <t xml:space="preserve">0811300568084573</t>
  </si>
  <si>
    <t xml:space="preserve">MALOONGAN</t>
  </si>
  <si>
    <t xml:space="preserve">Maloonga</t>
  </si>
  <si>
    <t xml:space="preserve">0811300568084664</t>
  </si>
  <si>
    <t xml:space="preserve">Khivsingh Nagar</t>
  </si>
  <si>
    <t xml:space="preserve">0811300568084663</t>
  </si>
  <si>
    <t xml:space="preserve">Sant Sri Nimbaram Nagar</t>
  </si>
  <si>
    <t xml:space="preserve">0811300568084654</t>
  </si>
  <si>
    <t xml:space="preserve">Digari</t>
  </si>
  <si>
    <t xml:space="preserve">0811300568084655</t>
  </si>
  <si>
    <t xml:space="preserve">Mandiyai Kalan</t>
  </si>
  <si>
    <t xml:space="preserve">0811300568084670</t>
  </si>
  <si>
    <t xml:space="preserve">Nadi Khudai Kariye Madiyai Kallan</t>
  </si>
  <si>
    <t xml:space="preserve">Bhala Basni</t>
  </si>
  <si>
    <t xml:space="preserve">0811300568084639</t>
  </si>
  <si>
    <t xml:space="preserve">SIMA NADA KHUDAI KARYA</t>
  </si>
  <si>
    <t xml:space="preserve">MANDIYAI KHURD</t>
  </si>
  <si>
    <t xml:space="preserve">Mandiyai Khurd</t>
  </si>
  <si>
    <t xml:space="preserve">0811300568084669</t>
  </si>
  <si>
    <t xml:space="preserve">15-08-2024</t>
  </si>
  <si>
    <t xml:space="preserve">चरागाह विकास एवं व़क्षारोपण कार्य</t>
  </si>
  <si>
    <t xml:space="preserve">Mahadev Nada Khudai Kariye Madiyai Khurd</t>
  </si>
  <si>
    <t xml:space="preserve">Ratanada Khudai Kariye Madiyai Khurd</t>
  </si>
  <si>
    <t xml:space="preserve">RINIYA </t>
  </si>
  <si>
    <t xml:space="preserve">Ramusagar Nada Khudai Kariye Riniya</t>
  </si>
  <si>
    <t xml:space="preserve">MATHANIYA</t>
  </si>
  <si>
    <t xml:space="preserve">Mathaniya</t>
  </si>
  <si>
    <t xml:space="preserve">0811300568084714</t>
  </si>
  <si>
    <t xml:space="preserve">Mino Ki Dhani</t>
  </si>
  <si>
    <t xml:space="preserve">Meeno Ki Dhani</t>
  </si>
  <si>
    <t xml:space="preserve">0811300568084567</t>
  </si>
  <si>
    <t xml:space="preserve">PANCHLAKHURD</t>
  </si>
  <si>
    <t xml:space="preserve">Panchla Khurd</t>
  </si>
  <si>
    <t xml:space="preserve">0811300568084649</t>
  </si>
  <si>
    <t xml:space="preserve">Savalani Nadi Khudai Karya</t>
  </si>
  <si>
    <t xml:space="preserve">Rajasani</t>
  </si>
  <si>
    <t xml:space="preserve">0811300568084711</t>
  </si>
  <si>
    <t xml:space="preserve">Ramdeora Rajasani</t>
  </si>
  <si>
    <t xml:space="preserve">0811300568084710</t>
  </si>
  <si>
    <t xml:space="preserve">0811300568084562</t>
  </si>
  <si>
    <t xml:space="preserve">Pokar nada khudai kary</t>
  </si>
  <si>
    <t xml:space="preserve">Baba Nada Khudai Karye</t>
  </si>
  <si>
    <t xml:space="preserve">Barawas</t>
  </si>
  <si>
    <t xml:space="preserve">0811300568084577</t>
  </si>
  <si>
    <t xml:space="preserve">Aawala Talab Khudai Kariye</t>
  </si>
  <si>
    <t xml:space="preserve">आलिया नाड़ी खुदाई कार्य</t>
  </si>
  <si>
    <t xml:space="preserve">RAMPURA BHATIYAN</t>
  </si>
  <si>
    <t xml:space="preserve">Rampura Bhatiya</t>
  </si>
  <si>
    <t xml:space="preserve">0811300568084715</t>
  </si>
  <si>
    <t xml:space="preserve">Devliya Nadi Bhomiyaji Ka Than Khudai Karye Jadi Katting Karye</t>
  </si>
  <si>
    <t xml:space="preserve">SANTORA KHURD</t>
  </si>
  <si>
    <t xml:space="preserve">Santora Khurd</t>
  </si>
  <si>
    <t xml:space="preserve">0811300568084657</t>
  </si>
  <si>
    <t xml:space="preserve">Nai Nadi Santora Khurd Chorahe Ke Pas Khudai Kariye</t>
  </si>
  <si>
    <t xml:space="preserve">Basni Bhatiyan</t>
  </si>
  <si>
    <t xml:space="preserve">0811300568084662</t>
  </si>
  <si>
    <t xml:space="preserve">Santora Kalan</t>
  </si>
  <si>
    <t xml:space="preserve">0811300568084658</t>
  </si>
  <si>
    <t xml:space="preserve">Nerwa Charnan</t>
  </si>
  <si>
    <t xml:space="preserve">0811300568084661</t>
  </si>
  <si>
    <t xml:space="preserve">Veer Teja Ji Nagar</t>
  </si>
  <si>
    <t xml:space="preserve">0811300568084660</t>
  </si>
  <si>
    <t xml:space="preserve">Doli Nerwa</t>
  </si>
  <si>
    <t xml:space="preserve">0811300568084659</t>
  </si>
  <si>
    <t xml:space="preserve">0811300568084656</t>
  </si>
  <si>
    <t xml:space="preserve">0811300568084643</t>
  </si>
  <si>
    <t xml:space="preserve">Bhukero Ki Dhani</t>
  </si>
  <si>
    <t xml:space="preserve">0811300568084644</t>
  </si>
  <si>
    <t xml:space="preserve">Sindhiyon Ki Dhani</t>
  </si>
  <si>
    <t xml:space="preserve">0811300568084716</t>
  </si>
  <si>
    <t xml:space="preserve">0811300568084717</t>
  </si>
  <si>
    <t xml:space="preserve">Tiwari</t>
  </si>
  <si>
    <t xml:space="preserve">0811300568084668</t>
  </si>
  <si>
    <t xml:space="preserve">Bapu Nagar</t>
  </si>
  <si>
    <t xml:space="preserve">Bapunagar</t>
  </si>
  <si>
    <t xml:space="preserve">0811300571085277</t>
  </si>
  <si>
    <t xml:space="preserve"> नई नाडी ख.न.160 मे गाद निकालना कार्य</t>
  </si>
  <si>
    <t xml:space="preserve">Suryodainagar</t>
  </si>
  <si>
    <t xml:space="preserve">0811300571085273</t>
  </si>
  <si>
    <t xml:space="preserve">s</t>
  </si>
  <si>
    <t xml:space="preserve">BHOMSAGAR</t>
  </si>
  <si>
    <t xml:space="preserve">Bhom Sagar</t>
  </si>
  <si>
    <t xml:space="preserve">0811300571085417</t>
  </si>
  <si>
    <t xml:space="preserve">आईनाथ नाडा मे गाद निकालने का कार्य</t>
  </si>
  <si>
    <t xml:space="preserve">Hinkuri</t>
  </si>
  <si>
    <t xml:space="preserve">0811300571085418</t>
  </si>
  <si>
    <t xml:space="preserve">हिंकुडी नयी नाडी में गाद निकालने का कार्य</t>
  </si>
  <si>
    <t xml:space="preserve">BHOONGRA</t>
  </si>
  <si>
    <t xml:space="preserve">Bhoongra</t>
  </si>
  <si>
    <t xml:space="preserve">0811300571085395</t>
  </si>
  <si>
    <t xml:space="preserve">चारागाह विकाश कार्य </t>
  </si>
  <si>
    <t xml:space="preserve">गवाई नाडी गाद निकालना कार्य</t>
  </si>
  <si>
    <t xml:space="preserve">शिवलाल नाडी खुदाई कार्य</t>
  </si>
  <si>
    <t xml:space="preserve">आम्बा नाडी गाद निकालना कार्य</t>
  </si>
  <si>
    <t xml:space="preserve">भुंगरी नाडी गाद निकालने गाद निकालने का कार्य</t>
  </si>
  <si>
    <t xml:space="preserve">Jognagar</t>
  </si>
  <si>
    <t xml:space="preserve">0811300571085419</t>
  </si>
  <si>
    <t xml:space="preserve">0811300571085398</t>
  </si>
  <si>
    <t xml:space="preserve">Bahadurgarh</t>
  </si>
  <si>
    <t xml:space="preserve">0811300571085394</t>
  </si>
  <si>
    <t xml:space="preserve">Balanagar</t>
  </si>
  <si>
    <t xml:space="preserve">0811300571085396</t>
  </si>
  <si>
    <t xml:space="preserve">CHABA</t>
  </si>
  <si>
    <t xml:space="preserve">Chaba</t>
  </si>
  <si>
    <t xml:space="preserve">0811300571085414</t>
  </si>
  <si>
    <t xml:space="preserve">Telasar</t>
  </si>
  <si>
    <t xml:space="preserve">0811300571085415</t>
  </si>
  <si>
    <t xml:space="preserve">CHUTARPURA</t>
  </si>
  <si>
    <t xml:space="preserve">Chutarpura</t>
  </si>
  <si>
    <t xml:space="preserve">0811300571085281</t>
  </si>
  <si>
    <t xml:space="preserve">Mamatgarh</t>
  </si>
  <si>
    <t xml:space="preserve">0811300571085285</t>
  </si>
  <si>
    <t xml:space="preserve">Bahadur Nagar</t>
  </si>
  <si>
    <t xml:space="preserve">0811300571085284</t>
  </si>
  <si>
    <t xml:space="preserve">Aasoonagar</t>
  </si>
  <si>
    <t xml:space="preserve">0811300571085282</t>
  </si>
  <si>
    <t xml:space="preserve">Ratansar</t>
  </si>
  <si>
    <t xml:space="preserve">0811300571085283</t>
  </si>
  <si>
    <t xml:space="preserve">Narsinghpura</t>
  </si>
  <si>
    <t xml:space="preserve">0811300571085280</t>
  </si>
  <si>
    <t xml:space="preserve">DASANIYA</t>
  </si>
  <si>
    <t xml:space="preserve">Dasaniyan</t>
  </si>
  <si>
    <t xml:space="preserve">0811300571085140</t>
  </si>
  <si>
    <t xml:space="preserve">0811300571085141</t>
  </si>
  <si>
    <t xml:space="preserve">Amrasar</t>
  </si>
  <si>
    <t xml:space="preserve">0811300571085146</t>
  </si>
  <si>
    <t xml:space="preserve">Dade Ki Beri</t>
  </si>
  <si>
    <t xml:space="preserve">0811300571085143</t>
  </si>
  <si>
    <t xml:space="preserve">0811300571085142</t>
  </si>
  <si>
    <t xml:space="preserve">Udasar</t>
  </si>
  <si>
    <t xml:space="preserve">0811300571085139</t>
  </si>
  <si>
    <t xml:space="preserve">Santosh Nathpura</t>
  </si>
  <si>
    <t xml:space="preserve">0811300571085138</t>
  </si>
  <si>
    <t xml:space="preserve">DEORAJGARH</t>
  </si>
  <si>
    <t xml:space="preserve">Deorajgarh</t>
  </si>
  <si>
    <t xml:space="preserve">0811300571085296</t>
  </si>
  <si>
    <t xml:space="preserve">पाबू नाड़ी गोगाजाल देवराजगढ़</t>
  </si>
  <si>
    <t xml:space="preserve">Sohansingh Nagar</t>
  </si>
  <si>
    <t xml:space="preserve">0811300571085294</t>
  </si>
  <si>
    <t xml:space="preserve">0811300571085295</t>
  </si>
  <si>
    <t xml:space="preserve">0811300571085297</t>
  </si>
  <si>
    <t xml:space="preserve">Pratap Sagar</t>
  </si>
  <si>
    <t xml:space="preserve">0811300571085392</t>
  </si>
  <si>
    <t xml:space="preserve">Devigarh</t>
  </si>
  <si>
    <t xml:space="preserve">0811300571085457</t>
  </si>
  <si>
    <t xml:space="preserve">Simrathpura</t>
  </si>
  <si>
    <t xml:space="preserve">0811300571085458</t>
  </si>
  <si>
    <t xml:space="preserve">Sohangarh</t>
  </si>
  <si>
    <t xml:space="preserve">0811300571085459</t>
  </si>
  <si>
    <t xml:space="preserve">Shri Ranusingh Nagar</t>
  </si>
  <si>
    <t xml:space="preserve">0811300571085460</t>
  </si>
  <si>
    <t xml:space="preserve">0811300571085461</t>
  </si>
  <si>
    <t xml:space="preserve">Gajesinghnagar</t>
  </si>
  <si>
    <t xml:space="preserve">0811300571085400</t>
  </si>
  <si>
    <t xml:space="preserve">नई नाड़ी निर्माण कार्य गजेसिंह नगर</t>
  </si>
  <si>
    <t xml:space="preserve">Premsagar</t>
  </si>
  <si>
    <t xml:space="preserve">0811300571085399</t>
  </si>
  <si>
    <t xml:space="preserve">Rajendra Nagar</t>
  </si>
  <si>
    <t xml:space="preserve">0811300571085397</t>
  </si>
  <si>
    <t xml:space="preserve">Jhubar Ka Than</t>
  </si>
  <si>
    <t xml:space="preserve">0811300571085289</t>
  </si>
  <si>
    <t xml:space="preserve">Genangarh</t>
  </si>
  <si>
    <t xml:space="preserve">0811300571085411</t>
  </si>
  <si>
    <t xml:space="preserve">Daulatsingh Nagar</t>
  </si>
  <si>
    <t xml:space="preserve">0811300571085416</t>
  </si>
  <si>
    <t xml:space="preserve">Jamda Laxmangarh</t>
  </si>
  <si>
    <t xml:space="preserve">0811300571085408</t>
  </si>
  <si>
    <t xml:space="preserve">0811300571085409</t>
  </si>
  <si>
    <t xml:space="preserve">Durg Singh Nagar</t>
  </si>
  <si>
    <t xml:space="preserve">0811300571085410</t>
  </si>
  <si>
    <t xml:space="preserve">Jamda Nagar</t>
  </si>
  <si>
    <t xml:space="preserve">0811300571085413</t>
  </si>
  <si>
    <t xml:space="preserve">GUMANSINGHPURA</t>
  </si>
  <si>
    <t xml:space="preserve">Gumansinghpura</t>
  </si>
  <si>
    <t xml:space="preserve">0811300571085403</t>
  </si>
  <si>
    <t xml:space="preserve">हवादेवी नाडा खुदाई कार्य गुमानसिंहपुरा</t>
  </si>
  <si>
    <t xml:space="preserve">Bhopal Nagar</t>
  </si>
  <si>
    <t xml:space="preserve">0811300571085406</t>
  </si>
  <si>
    <t xml:space="preserve">0811300571085405</t>
  </si>
  <si>
    <t xml:space="preserve">Nathusingh Nagar</t>
  </si>
  <si>
    <t xml:space="preserve">0811300571085404</t>
  </si>
  <si>
    <t xml:space="preserve">आनदं नाडा खुदाई कार्य नाथुसिंहनगर</t>
  </si>
  <si>
    <t xml:space="preserve">Ratangarh</t>
  </si>
  <si>
    <t xml:space="preserve">0811300571085407</t>
  </si>
  <si>
    <t xml:space="preserve">लाखा नाडा खुदाई कार्य रतनगढ</t>
  </si>
  <si>
    <t xml:space="preserve">Hanawant Nagar</t>
  </si>
  <si>
    <t xml:space="preserve">0811300571085462</t>
  </si>
  <si>
    <t xml:space="preserve">गंगा भारती नाडी खुदाई कार्य</t>
  </si>
  <si>
    <t xml:space="preserve">Jatawas</t>
  </si>
  <si>
    <t xml:space="preserve">0811300571085463</t>
  </si>
  <si>
    <t xml:space="preserve">BUDHANADI KHUDAI KARY</t>
  </si>
  <si>
    <t xml:space="preserve">Ranchodsingh Nagar</t>
  </si>
  <si>
    <t xml:space="preserve">0811300571085464</t>
  </si>
  <si>
    <t xml:space="preserve">Birad Nagar</t>
  </si>
  <si>
    <t xml:space="preserve">0811300571085436</t>
  </si>
  <si>
    <t xml:space="preserve">कालकी नाडी खुदाई कार्य</t>
  </si>
  <si>
    <t xml:space="preserve">Mallinath Nagar</t>
  </si>
  <si>
    <t xml:space="preserve">0811300571085437</t>
  </si>
  <si>
    <t xml:space="preserve">मेगा नाडी गाद निकालने का कार्य</t>
  </si>
  <si>
    <t xml:space="preserve">HIMMATPURA</t>
  </si>
  <si>
    <t xml:space="preserve">Himmatpura</t>
  </si>
  <si>
    <t xml:space="preserve">0811300571085423</t>
  </si>
  <si>
    <t xml:space="preserve">Saidpura</t>
  </si>
  <si>
    <t xml:space="preserve">0811300571085448</t>
  </si>
  <si>
    <t xml:space="preserve">Dugarpura</t>
  </si>
  <si>
    <t xml:space="preserve">0811300571085447</t>
  </si>
  <si>
    <t xml:space="preserve">0811300571085420</t>
  </si>
  <si>
    <t xml:space="preserve">Khum Nagar</t>
  </si>
  <si>
    <t xml:space="preserve">0811300571085421</t>
  </si>
  <si>
    <t xml:space="preserve">Kishor Nagar</t>
  </si>
  <si>
    <t xml:space="preserve">0811300571085157</t>
  </si>
  <si>
    <t xml:space="preserve">Ramdhan Garh</t>
  </si>
  <si>
    <t xml:space="preserve">0811300571085155</t>
  </si>
  <si>
    <t xml:space="preserve">Shambhugarh</t>
  </si>
  <si>
    <t xml:space="preserve">0811300571085159</t>
  </si>
  <si>
    <t xml:space="preserve">0811300571085158</t>
  </si>
  <si>
    <t xml:space="preserve">Uraj Nagar</t>
  </si>
  <si>
    <t xml:space="preserve">0811300571085160</t>
  </si>
  <si>
    <t xml:space="preserve">Pannasar</t>
  </si>
  <si>
    <t xml:space="preserve">0811300571085161</t>
  </si>
  <si>
    <t xml:space="preserve">पन्‍नासर नाडी खुदाई कार्य</t>
  </si>
  <si>
    <t xml:space="preserve">Lumbansar</t>
  </si>
  <si>
    <t xml:space="preserve">0811300571085286</t>
  </si>
  <si>
    <t xml:space="preserve">Khemasar</t>
  </si>
  <si>
    <t xml:space="preserve">0811300571085287</t>
  </si>
  <si>
    <t xml:space="preserve">0811300571085412</t>
  </si>
  <si>
    <t xml:space="preserve">Meerpura</t>
  </si>
  <si>
    <t xml:space="preserve">0811300571085449</t>
  </si>
  <si>
    <t xml:space="preserve">CHONIYA NADI KHUDAI KARY </t>
  </si>
  <si>
    <t xml:space="preserve">Veerampura</t>
  </si>
  <si>
    <t xml:space="preserve">0811300571085450</t>
  </si>
  <si>
    <t xml:space="preserve">TAIYABA NADI KHUDAI KARY </t>
  </si>
  <si>
    <t xml:space="preserve">Dhoom Sagar</t>
  </si>
  <si>
    <t xml:space="preserve">0811300571085451</t>
  </si>
  <si>
    <t xml:space="preserve">धुमा नाड़ी खुदाई कार्य धूमसागर</t>
  </si>
  <si>
    <t xml:space="preserve">Hanif Sagar</t>
  </si>
  <si>
    <t xml:space="preserve">0811300571085446</t>
  </si>
  <si>
    <t xml:space="preserve">डोली नाडा खुदाई कार्य</t>
  </si>
  <si>
    <t xml:space="preserve">Naharsinghnagar</t>
  </si>
  <si>
    <t xml:space="preserve">Naharsingh Nagar</t>
  </si>
  <si>
    <t xml:space="preserve">0811300571085427</t>
  </si>
  <si>
    <t xml:space="preserve">नरा नाडा ग़ाद निकालना कार्य नाहरसिह नगर</t>
  </si>
  <si>
    <t xml:space="preserve">Nathasar</t>
  </si>
  <si>
    <t xml:space="preserve">0811300571085435</t>
  </si>
  <si>
    <t xml:space="preserve">PABUSAR</t>
  </si>
  <si>
    <t xml:space="preserve">0811300571085149</t>
  </si>
  <si>
    <t xml:space="preserve">चारागाह विकास कार्य पाबूसर</t>
  </si>
  <si>
    <t xml:space="preserve">Bagiram Nagar</t>
  </si>
  <si>
    <t xml:space="preserve">0811300571085152</t>
  </si>
  <si>
    <t xml:space="preserve">0811300571085153</t>
  </si>
  <si>
    <t xml:space="preserve">Anandsar</t>
  </si>
  <si>
    <t xml:space="preserve">0811300571085151</t>
  </si>
  <si>
    <t xml:space="preserve">Raidhanpura</t>
  </si>
  <si>
    <t xml:space="preserve">0811300571085154</t>
  </si>
  <si>
    <t xml:space="preserve">नई नाडी गाद निकालने का कार्य रायधनपुरा</t>
  </si>
  <si>
    <t xml:space="preserve">Padamgarh</t>
  </si>
  <si>
    <t xml:space="preserve">0811300571085278</t>
  </si>
  <si>
    <t xml:space="preserve">गवाई गोचर में चारागाह विकास कार्य</t>
  </si>
  <si>
    <t xml:space="preserve">Kerala</t>
  </si>
  <si>
    <t xml:space="preserve">0811300571085279</t>
  </si>
  <si>
    <t xml:space="preserve">केरली नाडी खुदाई कार्य</t>
  </si>
  <si>
    <t xml:space="preserve">Pugaliya</t>
  </si>
  <si>
    <t xml:space="preserve">0811300571085171</t>
  </si>
  <si>
    <t xml:space="preserve">चारागाह विकास कार्य पुगलिया</t>
  </si>
  <si>
    <t xml:space="preserve">Badargarh</t>
  </si>
  <si>
    <t xml:space="preserve">0811300571085172</t>
  </si>
  <si>
    <t xml:space="preserve">0811300571085173</t>
  </si>
  <si>
    <t xml:space="preserve">RAISAR</t>
  </si>
  <si>
    <t xml:space="preserve">Raisar</t>
  </si>
  <si>
    <t xml:space="preserve">0811300571085390</t>
  </si>
  <si>
    <t xml:space="preserve">Ranjitgarh</t>
  </si>
  <si>
    <t xml:space="preserve">0811300571085391</t>
  </si>
  <si>
    <t xml:space="preserve">0811300571085425</t>
  </si>
  <si>
    <t xml:space="preserve">Chauthgarh</t>
  </si>
  <si>
    <t xml:space="preserve">0811300571085442</t>
  </si>
  <si>
    <t xml:space="preserve">Bhomsagar</t>
  </si>
  <si>
    <t xml:space="preserve">0811300571085443</t>
  </si>
  <si>
    <t xml:space="preserve">Mohangarh</t>
  </si>
  <si>
    <t xml:space="preserve">0811300571085424</t>
  </si>
  <si>
    <t xml:space="preserve">मामाजी नाडा खुदाई कार्य</t>
  </si>
  <si>
    <t xml:space="preserve">0811300571085422</t>
  </si>
  <si>
    <t xml:space="preserve">नागाणाराय नाडा खुदाई कार्य</t>
  </si>
  <si>
    <t xml:space="preserve">Paboogarh</t>
  </si>
  <si>
    <t xml:space="preserve">0811300571085440</t>
  </si>
  <si>
    <t xml:space="preserve">Hemawas</t>
  </si>
  <si>
    <t xml:space="preserve">0811300571085402</t>
  </si>
  <si>
    <t xml:space="preserve">0811300571085426</t>
  </si>
  <si>
    <t xml:space="preserve">Ranjeetnagar</t>
  </si>
  <si>
    <t xml:space="preserve">0811300571085401</t>
  </si>
  <si>
    <t xml:space="preserve">0811300571085147</t>
  </si>
  <si>
    <t xml:space="preserve">0811300571085150</t>
  </si>
  <si>
    <t xml:space="preserve">0811300571085148</t>
  </si>
  <si>
    <t xml:space="preserve">Lakhasar</t>
  </si>
  <si>
    <t xml:space="preserve">0811300571085145</t>
  </si>
  <si>
    <t xml:space="preserve">Santoshnagar</t>
  </si>
  <si>
    <t xml:space="preserve">0811300571085144</t>
  </si>
  <si>
    <t xml:space="preserve">SABARSAR</t>
  </si>
  <si>
    <t xml:space="preserve">Sabarsar</t>
  </si>
  <si>
    <t xml:space="preserve">0811300571085455</t>
  </si>
  <si>
    <t xml:space="preserve">साबरसर नाडी खुदाई कार्य</t>
  </si>
  <si>
    <t xml:space="preserve">0811300571085454</t>
  </si>
  <si>
    <t xml:space="preserve">Islampura</t>
  </si>
  <si>
    <t xml:space="preserve">0811300571085453</t>
  </si>
  <si>
    <t xml:space="preserve">0811300571085456</t>
  </si>
  <si>
    <t xml:space="preserve">Hemsagar</t>
  </si>
  <si>
    <t xml:space="preserve">0811300571085452</t>
  </si>
  <si>
    <t xml:space="preserve">SAI</t>
  </si>
  <si>
    <t xml:space="preserve">Sai</t>
  </si>
  <si>
    <t xml:space="preserve">0811300571085441</t>
  </si>
  <si>
    <t xml:space="preserve">Sang Singh Pura</t>
  </si>
  <si>
    <t xml:space="preserve">0811300571085445</t>
  </si>
  <si>
    <t xml:space="preserve">0811300571085444</t>
  </si>
  <si>
    <t xml:space="preserve">Shergarh</t>
  </si>
  <si>
    <t xml:space="preserve">0811300571085439</t>
  </si>
  <si>
    <t xml:space="preserve">चारागाह विकास कार्य शेरगढ़</t>
  </si>
  <si>
    <t xml:space="preserve">Kasu Ram Nagar</t>
  </si>
  <si>
    <t xml:space="preserve">0811300571085438</t>
  </si>
  <si>
    <t xml:space="preserve">SIYANDA</t>
  </si>
  <si>
    <t xml:space="preserve">Siyanda</t>
  </si>
  <si>
    <t xml:space="preserve">0811300571085465</t>
  </si>
  <si>
    <t xml:space="preserve">0811300571085466</t>
  </si>
  <si>
    <t xml:space="preserve">SOINTARA</t>
  </si>
  <si>
    <t xml:space="preserve">Sointara</t>
  </si>
  <si>
    <t xml:space="preserve">0811300571085472</t>
  </si>
  <si>
    <t xml:space="preserve">मल्लीनाथ नाडी खुदाई कार्य</t>
  </si>
  <si>
    <t xml:space="preserve">Raghunath Pura</t>
  </si>
  <si>
    <t xml:space="preserve">0811300571085470</t>
  </si>
  <si>
    <t xml:space="preserve">Veeram Pura</t>
  </si>
  <si>
    <t xml:space="preserve">0811300571085469</t>
  </si>
  <si>
    <t xml:space="preserve">Bhernagar</t>
  </si>
  <si>
    <t xml:space="preserve">0811300571085468</t>
  </si>
  <si>
    <t xml:space="preserve">भेरनगर नाडी खुदाई कार्य</t>
  </si>
  <si>
    <t xml:space="preserve">Jaisingh Pura</t>
  </si>
  <si>
    <t xml:space="preserve">0811300571085471</t>
  </si>
  <si>
    <t xml:space="preserve">Amar Pura</t>
  </si>
  <si>
    <t xml:space="preserve">0811300571085467</t>
  </si>
  <si>
    <t xml:space="preserve">अमरपूरा नाडी खुदाई कार्य</t>
  </si>
  <si>
    <t xml:space="preserve">SOLKIYA TLA</t>
  </si>
  <si>
    <t xml:space="preserve">Solkiya Tala</t>
  </si>
  <si>
    <t xml:space="preserve">0811300571085300</t>
  </si>
  <si>
    <t xml:space="preserve">रावतडियो के थान के पास नाडी मे गाद निकालना कार्य</t>
  </si>
  <si>
    <t xml:space="preserve">गान्धी नाडी मे गाद निकालना कार्य</t>
  </si>
  <si>
    <t xml:space="preserve">गवाई नाडी मे गाद निकालना कार्य</t>
  </si>
  <si>
    <t xml:space="preserve">भारमल जाटो की नाडी मे गाद निकालना कार्य</t>
  </si>
  <si>
    <t xml:space="preserve">लक्ष्मण नाडी खुदाई कार्य</t>
  </si>
  <si>
    <t xml:space="preserve">गवाई गोचर मे नाडी खुदाई कार्य</t>
  </si>
  <si>
    <t xml:space="preserve">मालण माता नाडी मे गाद निकालना कार्य</t>
  </si>
  <si>
    <t xml:space="preserve">Lalsingh Nagar</t>
  </si>
  <si>
    <t xml:space="preserve">0811300571085299</t>
  </si>
  <si>
    <t xml:space="preserve">जवाहरसिंह नाडी खुदाई कार्य लालसिंह नगर</t>
  </si>
  <si>
    <t xml:space="preserve">शीतल भारती नाडी खुदाई कार्य</t>
  </si>
  <si>
    <t xml:space="preserve">Merajsingh Nagar</t>
  </si>
  <si>
    <t xml:space="preserve">0811300571085298</t>
  </si>
  <si>
    <t xml:space="preserve">SOMESAR</t>
  </si>
  <si>
    <t xml:space="preserve">Somesar</t>
  </si>
  <si>
    <t xml:space="preserve">0811300571085163</t>
  </si>
  <si>
    <t xml:space="preserve">चारागाह विकास कार्य सोमेसर</t>
  </si>
  <si>
    <t xml:space="preserve">Bhonasar</t>
  </si>
  <si>
    <t xml:space="preserve">0811300571085162</t>
  </si>
  <si>
    <t xml:space="preserve">SUWALIYA</t>
  </si>
  <si>
    <t xml:space="preserve">Suwaliya</t>
  </si>
  <si>
    <t xml:space="preserve">0811300571085292</t>
  </si>
  <si>
    <t xml:space="preserve">नई नाडी खुदाई व बंधाई कार्य</t>
  </si>
  <si>
    <t xml:space="preserve">वन सवर्धन सुवालिया </t>
  </si>
  <si>
    <t xml:space="preserve">कालुसर नाडी खुदाई कार्य</t>
  </si>
  <si>
    <t xml:space="preserve">शिवसागर नाडी गाद निकालना कार्य</t>
  </si>
  <si>
    <t xml:space="preserve">हनुमान सागर नाडी खुदाई कार्य</t>
  </si>
  <si>
    <t xml:space="preserve">स्वामीजी की नाडी खुदाई कार्य</t>
  </si>
  <si>
    <t xml:space="preserve">रामसर नाडी गाद निकालना कार्य</t>
  </si>
  <si>
    <t xml:space="preserve">0811300571085291</t>
  </si>
  <si>
    <t xml:space="preserve">Bhairusingh Nagar</t>
  </si>
  <si>
    <t xml:space="preserve">0811300571085290</t>
  </si>
  <si>
    <t xml:space="preserve">0811300571085293</t>
  </si>
  <si>
    <t xml:space="preserve">TENA</t>
  </si>
  <si>
    <t xml:space="preserve">Tena</t>
  </si>
  <si>
    <t xml:space="preserve">0811300571085434</t>
  </si>
  <si>
    <t xml:space="preserve">Chainsingh Nagar</t>
  </si>
  <si>
    <t xml:space="preserve">0811300571085428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</si>
</sst>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;[RED]0.0"/>
    <numFmt numFmtId="166" formatCode="0"/>
    <numFmt numFmtId="167" formatCode="dd/mm/yyyy"/>
    <numFmt numFmtId="168" formatCode="0;[RED]0"/>
    <numFmt numFmtId="169" formatCode="0.00000"/>
    <numFmt numFmtId="170" formatCode="General"/>
    <numFmt numFmtId="171" formatCode="mm/yy"/>
    <numFmt numFmtId="172" formatCode="dd/mmm"/>
  </numFmts>
  <fonts count="4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color rgb="FF000000"/>
      <name val="Verdana"/>
      <family val="2"/>
      <charset val="1"/>
    </font>
    <font>
      <sz val="12"/>
      <color rgb="FF212529"/>
      <name val="Segoe UI"/>
      <family val="2"/>
      <charset val="1"/>
    </font>
    <font>
      <sz val="12"/>
      <color rgb="FF000000"/>
      <name val="Times New Roman"/>
      <family val="1"/>
      <charset val="1"/>
    </font>
    <font>
      <sz val="11"/>
      <color rgb="FF00B05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2"/>
      <color rgb="FF333333"/>
      <name val="Verdana"/>
      <family val="2"/>
      <charset val="1"/>
    </font>
    <font>
      <sz val="9"/>
      <color rgb="FF000000"/>
      <name val="Tahoma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8"/>
      <color rgb="FF000000"/>
      <name val="Verdana"/>
      <family val="2"/>
      <charset val="1"/>
    </font>
    <font>
      <sz val="9"/>
      <color rgb="FF000000"/>
      <name val="Verdana"/>
      <family val="2"/>
      <charset val="1"/>
    </font>
    <font>
      <b val="true"/>
      <sz val="14"/>
      <color rgb="FF00B05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2"/>
      <color rgb="FF000000"/>
      <name val="Tahoma"/>
      <family val="2"/>
      <charset val="1"/>
    </font>
    <font>
      <u val="single"/>
      <sz val="12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"/>
    </font>
    <font>
      <sz val="14"/>
      <color rgb="FF212529"/>
      <name val="Segoe UI"/>
      <family val="2"/>
      <charset val="1"/>
    </font>
    <font>
      <sz val="14"/>
      <color rgb="FF333333"/>
      <name val="Verdana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8"/>
      <color rgb="FF333333"/>
      <name val="Verdana"/>
      <family val="2"/>
      <charset val="1"/>
    </font>
    <font>
      <sz val="12"/>
      <color rgb="FF333333"/>
      <name val="Inherit"/>
      <family val="0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6"/>
      <color rgb="FF000000"/>
      <name val="Times New Roman"/>
      <family val="1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C6D9F1"/>
      </patternFill>
    </fill>
    <fill>
      <patternFill patternType="solid">
        <fgColor rgb="FFC6D9F1"/>
        <bgColor rgb="FFB7DEE8"/>
      </patternFill>
    </fill>
    <fill>
      <patternFill patternType="solid">
        <fgColor rgb="FFFDEADA"/>
        <bgColor rgb="FFF2F2F2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93CDDD"/>
        <bgColor rgb="FFB9CDE5"/>
      </patternFill>
    </fill>
    <fill>
      <patternFill patternType="solid">
        <fgColor rgb="FFB9CDE5"/>
        <bgColor rgb="FFC6D9F1"/>
      </patternFill>
    </fill>
    <fill>
      <patternFill patternType="solid">
        <fgColor rgb="FFD9D9D9"/>
        <bgColor rgb="FFDDD9C3"/>
      </patternFill>
    </fill>
    <fill>
      <patternFill patternType="solid">
        <fgColor rgb="FFD7E4BD"/>
        <bgColor rgb="FFDDD9C3"/>
      </patternFill>
    </fill>
    <fill>
      <patternFill patternType="solid">
        <fgColor rgb="FF558ED5"/>
        <bgColor rgb="FF4F81BD"/>
      </patternFill>
    </fill>
    <fill>
      <patternFill patternType="solid">
        <fgColor rgb="FFFCD5B5"/>
        <bgColor rgb="FFFFC7CE"/>
      </patternFill>
    </fill>
    <fill>
      <patternFill patternType="solid">
        <fgColor rgb="FF4F81BD"/>
        <bgColor rgb="FF558ED5"/>
      </patternFill>
    </fill>
    <fill>
      <patternFill patternType="solid">
        <fgColor rgb="FFDCE6F2"/>
        <bgColor rgb="FFD9D9D9"/>
      </patternFill>
    </fill>
    <fill>
      <patternFill patternType="solid">
        <fgColor rgb="FFF2DCDB"/>
        <bgColor rgb="FFFDEADA"/>
      </patternFill>
    </fill>
    <fill>
      <patternFill patternType="solid">
        <fgColor rgb="FFF2F2F2"/>
        <bgColor rgb="FFFDEADA"/>
      </patternFill>
    </fill>
    <fill>
      <patternFill patternType="solid">
        <fgColor rgb="FFDDD9C3"/>
        <bgColor rgb="FFD9D9D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0" fillId="2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0" fillId="11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1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4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1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8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7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3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8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1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9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5" fillId="11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1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1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" xfId="21"/>
    <cellStyle name="*unknown*" xfId="20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9CDE5"/>
      <rgbColor rgb="FF558ED5"/>
      <rgbColor rgb="FFB7DEE8"/>
      <rgbColor rgb="FF993366"/>
      <rgbColor rgb="FFFDEADA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D7E4BD"/>
      <rgbColor rgb="FFF2DCDB"/>
      <rgbColor rgb="FF93CDDD"/>
      <rgbColor rgb="FFFFC7CE"/>
      <rgbColor rgb="FFD9D9D9"/>
      <rgbColor rgb="FFFCD5B5"/>
      <rgbColor rgb="FF3366FF"/>
      <rgbColor rgb="FF33CCCC"/>
      <rgbColor rgb="FF92D050"/>
      <rgbColor rgb="FFFFC000"/>
      <rgbColor rgb="FFFF9900"/>
      <rgbColor rgb="FFFF6600"/>
      <rgbColor rgb="FF4F81BD"/>
      <rgbColor rgb="FFDDD9C3"/>
      <rgbColor rgb="FF003366"/>
      <rgbColor rgb="FF00B050"/>
      <rgbColor rgb="FF003300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nregastrep.nic.in/Netnrega/work_register_dtl.aspx?lflag=eng&amp;state_code=27&amp;panchayat_name=Nandiya+Prabhawati&amp;Panchayat_Code=2715003107&amp;fin_year=2020-2021&amp;work_code=2715003107%2FWC%2F112908430520&amp;state_name=RAJASTHAN&amp;district_name=JODHPUR&amp;block_name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nregastrep.nic.in/Netnrega/work_register_dtl.aspx?lflag=eng&amp;state_code=27&amp;panchayat_name=&#2332;&#2375;&#2340;&#2367;&#2357;&#2366;&#2360;&amp;Panchayat_Code=2715004115&amp;fin_year=2020-2021&amp;work_code=2715004115%2FLD%2F112908389232&amp;state_name=RAJASTHAN&amp;district_name=JODHPUR&amp;block_name=BILADA&amp;dt_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nregastrep.nic.in/Netnrega/work_register_dtl.aspx?lflag=eng&amp;state_code=27&amp;panchayat_name=&#2360;&#2367;&#2354;&#2366;&#2352;&#2368;&amp;Panchayat_Code=2715004136&amp;fin_year=2020-2021&amp;work_code=2715004136%2FWC%2F112908356999&amp;state_name=RAJASTHAN&amp;district_name=JODHPUR&amp;block_name=Pipad+Shaha" TargetMode="External"/><Relationship Id="rId2" Type="http://schemas.openxmlformats.org/officeDocument/2006/relationships/hyperlink" Target="https://nregastrep.nic.in/Netnrega/work_register_dtl.aspx?lflag=eng&amp;state_code=27&amp;panchayat_name=&#2360;&#2367;&#2354;&#2366;&#2352;&#2368;&amp;Panchayat_Code=2715004136&amp;fin_year=2020-2021&amp;work_code=2715004136%2FWC%2F112908344504&amp;state_name=RAJASTHAN&amp;district_name=JODHPUR&amp;block_name=Pipad+Shaha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mnregaweb2.nic.in/netnrega/work_register_dtl.aspx?lflag=eng&amp;state_code=27&amp;panchayat_name=&#2360;&#2375;&#2326;&#2366;&#2354;&#2366;&amp;Panchayat_Code=2715001032&amp;fin_year=2020-2021&amp;work_code=2715001032%2FDP%2F112908417329&amp;state_name=RAJASTHAN&amp;district_name=JODHPUR&amp;block_name=Sekhala&amp;dt_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F10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4" ySplit="2" topLeftCell="Y3" activePane="bottomRight" state="frozen"/>
      <selection pane="topLeft" activeCell="A1" activeCellId="0" sqref="A1"/>
      <selection pane="topRight" activeCell="Y1" activeCellId="0" sqref="Y1"/>
      <selection pane="bottomLeft" activeCell="A3" activeCellId="0" sqref="A3"/>
      <selection pane="bottomRight" activeCell="Z8" activeCellId="0" sqref="Z8"/>
    </sheetView>
  </sheetViews>
  <sheetFormatPr defaultColWidth="9.14453125" defaultRowHeight="15.75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10.57"/>
    <col collapsed="false" customWidth="true" hidden="false" outlineLevel="0" max="3" min="3" style="2" width="21.71"/>
    <col collapsed="false" customWidth="true" hidden="false" outlineLevel="0" max="4" min="4" style="2" width="22.28"/>
    <col collapsed="false" customWidth="true" hidden="false" outlineLevel="0" max="5" min="5" style="1" width="21.28"/>
    <col collapsed="false" customWidth="true" hidden="false" outlineLevel="0" max="6" min="6" style="1" width="18.85"/>
    <col collapsed="false" customWidth="true" hidden="false" outlineLevel="0" max="7" min="7" style="1" width="15.85"/>
    <col collapsed="false" customWidth="true" hidden="false" outlineLevel="0" max="8" min="8" style="1" width="14.71"/>
    <col collapsed="false" customWidth="true" hidden="false" outlineLevel="0" max="9" min="9" style="1" width="9.57"/>
    <col collapsed="false" customWidth="true" hidden="false" outlineLevel="0" max="10" min="10" style="1" width="10.57"/>
    <col collapsed="false" customWidth="true" hidden="false" outlineLevel="0" max="11" min="11" style="1" width="14.71"/>
    <col collapsed="false" customWidth="true" hidden="false" outlineLevel="0" max="12" min="12" style="1" width="11.57"/>
    <col collapsed="false" customWidth="true" hidden="false" outlineLevel="0" max="13" min="13" style="1" width="13.57"/>
    <col collapsed="false" customWidth="true" hidden="false" outlineLevel="0" max="14" min="14" style="1" width="11.43"/>
    <col collapsed="false" customWidth="true" hidden="false" outlineLevel="0" max="15" min="15" style="1" width="13.28"/>
    <col collapsed="false" customWidth="true" hidden="false" outlineLevel="0" max="16" min="16" style="1" width="10.14"/>
    <col collapsed="false" customWidth="true" hidden="false" outlineLevel="0" max="17" min="17" style="1" width="11.71"/>
    <col collapsed="false" customWidth="true" hidden="false" outlineLevel="0" max="18" min="18" style="1" width="12.71"/>
    <col collapsed="false" customWidth="true" hidden="false" outlineLevel="0" max="19" min="19" style="1" width="13.85"/>
    <col collapsed="false" customWidth="true" hidden="false" outlineLevel="0" max="20" min="20" style="1" width="13"/>
    <col collapsed="false" customWidth="true" hidden="false" outlineLevel="0" max="21" min="21" style="1" width="13.14"/>
    <col collapsed="false" customWidth="true" hidden="false" outlineLevel="0" max="22" min="22" style="1" width="10.14"/>
    <col collapsed="false" customWidth="true" hidden="false" outlineLevel="0" max="23" min="23" style="1" width="13.43"/>
    <col collapsed="false" customWidth="true" hidden="false" outlineLevel="0" max="24" min="24" style="1" width="13.85"/>
    <col collapsed="false" customWidth="true" hidden="false" outlineLevel="0" max="25" min="25" style="1" width="14.14"/>
    <col collapsed="false" customWidth="true" hidden="false" outlineLevel="0" max="28" min="26" style="1" width="12"/>
    <col collapsed="false" customWidth="true" hidden="false" outlineLevel="0" max="29" min="29" style="1" width="45.85"/>
    <col collapsed="false" customWidth="true" hidden="false" outlineLevel="0" max="30" min="30" style="1" width="11.85"/>
    <col collapsed="false" customWidth="true" hidden="false" outlineLevel="0" max="31" min="31" style="1" width="14.28"/>
    <col collapsed="false" customWidth="true" hidden="false" outlineLevel="0" max="32" min="32" style="1" width="14.43"/>
    <col collapsed="false" customWidth="false" hidden="false" outlineLevel="0" max="1024" min="33" style="1" width="9.14"/>
  </cols>
  <sheetData>
    <row r="1" customFormat="false" ht="15.75" hidden="false" customHeight="false" outlineLevel="0" collapsed="false">
      <c r="Q1" s="3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5" t="s">
        <v>3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</row>
    <row r="2" s="13" customFormat="true" ht="10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9" t="s">
        <v>18</v>
      </c>
      <c r="R2" s="9" t="s">
        <v>19</v>
      </c>
      <c r="S2" s="9" t="s">
        <v>20</v>
      </c>
      <c r="T2" s="10" t="s">
        <v>21</v>
      </c>
      <c r="U2" s="9" t="s">
        <v>22</v>
      </c>
      <c r="V2" s="10" t="s">
        <v>23</v>
      </c>
      <c r="W2" s="9" t="s">
        <v>24</v>
      </c>
      <c r="X2" s="9" t="s">
        <v>25</v>
      </c>
      <c r="Y2" s="10" t="s">
        <v>26</v>
      </c>
      <c r="Z2" s="10" t="s">
        <v>27</v>
      </c>
      <c r="AA2" s="10" t="s">
        <v>28</v>
      </c>
      <c r="AB2" s="10" t="s">
        <v>29</v>
      </c>
      <c r="AC2" s="10" t="s">
        <v>30</v>
      </c>
      <c r="AD2" s="11" t="s">
        <v>31</v>
      </c>
      <c r="AE2" s="11"/>
      <c r="AF2" s="12" t="s">
        <v>32</v>
      </c>
    </row>
    <row r="3" s="13" customFormat="true" ht="43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14" t="s">
        <v>33</v>
      </c>
      <c r="L3" s="14" t="s">
        <v>34</v>
      </c>
      <c r="M3" s="14" t="s">
        <v>33</v>
      </c>
      <c r="N3" s="14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36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12"/>
    </row>
    <row r="4" customFormat="false" ht="15.75" hidden="false" customHeight="false" outlineLevel="0" collapsed="false">
      <c r="A4" s="16" t="s">
        <v>42</v>
      </c>
      <c r="B4" s="16" t="s">
        <v>43</v>
      </c>
      <c r="C4" s="17" t="s">
        <v>43</v>
      </c>
      <c r="D4" s="18" t="s">
        <v>44</v>
      </c>
      <c r="E4" s="16" t="s">
        <v>45</v>
      </c>
      <c r="F4" s="16" t="n">
        <v>2923</v>
      </c>
      <c r="G4" s="16" t="n">
        <v>636</v>
      </c>
      <c r="H4" s="16" t="n">
        <v>4129</v>
      </c>
      <c r="I4" s="16" t="n">
        <v>2142</v>
      </c>
      <c r="J4" s="16" t="n">
        <v>1987</v>
      </c>
      <c r="K4" s="16" t="n">
        <v>941</v>
      </c>
      <c r="L4" s="19" t="n">
        <f aca="false">(K4/H4)*100</f>
        <v>22.7900217970453</v>
      </c>
      <c r="M4" s="16" t="n">
        <v>754</v>
      </c>
      <c r="N4" s="19" t="n">
        <f aca="false">(M4/H4)*100</f>
        <v>18.2610801646888</v>
      </c>
      <c r="O4" s="16" t="n">
        <v>112</v>
      </c>
      <c r="P4" s="16" t="n">
        <v>0</v>
      </c>
      <c r="Q4" s="20"/>
      <c r="R4" s="21"/>
      <c r="S4" s="16"/>
      <c r="T4" s="20"/>
      <c r="U4" s="20"/>
      <c r="V4" s="16"/>
      <c r="W4" s="16"/>
      <c r="X4" s="16"/>
      <c r="Y4" s="16"/>
      <c r="Z4" s="16"/>
      <c r="AA4" s="21"/>
      <c r="AB4" s="21"/>
      <c r="AC4" s="22"/>
      <c r="AD4" s="23"/>
      <c r="AE4" s="20"/>
      <c r="AF4" s="20"/>
    </row>
    <row r="5" customFormat="false" ht="17.25" hidden="false" customHeight="false" outlineLevel="0" collapsed="false">
      <c r="A5" s="16" t="s">
        <v>42</v>
      </c>
      <c r="B5" s="16" t="s">
        <v>43</v>
      </c>
      <c r="C5" s="17" t="s">
        <v>46</v>
      </c>
      <c r="D5" s="18" t="s">
        <v>47</v>
      </c>
      <c r="E5" s="16" t="s">
        <v>48</v>
      </c>
      <c r="F5" s="16" t="n">
        <v>2767</v>
      </c>
      <c r="G5" s="16" t="n">
        <v>328</v>
      </c>
      <c r="H5" s="16" t="n">
        <v>1973</v>
      </c>
      <c r="I5" s="16" t="n">
        <v>1036</v>
      </c>
      <c r="J5" s="16" t="n">
        <v>937</v>
      </c>
      <c r="K5" s="16" t="n">
        <v>277</v>
      </c>
      <c r="L5" s="19" t="n">
        <f aca="false">(K5/H5)*100</f>
        <v>14.0395337050177</v>
      </c>
      <c r="M5" s="16" t="n">
        <v>309</v>
      </c>
      <c r="N5" s="19" t="n">
        <f aca="false">(M5/H5)*100</f>
        <v>15.6614292954891</v>
      </c>
      <c r="O5" s="16" t="n">
        <v>1085</v>
      </c>
      <c r="P5" s="16" t="n">
        <v>0</v>
      </c>
      <c r="Q5" s="24" t="s">
        <v>49</v>
      </c>
      <c r="R5" s="25" t="n">
        <v>45797</v>
      </c>
      <c r="S5" s="16"/>
      <c r="T5" s="24" t="n">
        <v>199.88</v>
      </c>
      <c r="U5" s="20"/>
      <c r="V5" s="16"/>
      <c r="W5" s="16"/>
      <c r="X5" s="16"/>
      <c r="Y5" s="16"/>
      <c r="Z5" s="16"/>
      <c r="AA5" s="26" t="s">
        <v>50</v>
      </c>
      <c r="AB5" s="26" t="n">
        <v>5</v>
      </c>
      <c r="AC5" s="27" t="s">
        <v>51</v>
      </c>
      <c r="AD5" s="24" t="n">
        <v>27.088985</v>
      </c>
      <c r="AE5" s="24" t="n">
        <v>72.780677</v>
      </c>
      <c r="AF5" s="20" t="s">
        <v>52</v>
      </c>
    </row>
    <row r="6" customFormat="false" ht="17.25" hidden="false" customHeight="false" outlineLevel="0" collapsed="false">
      <c r="A6" s="16" t="s">
        <v>42</v>
      </c>
      <c r="B6" s="16" t="s">
        <v>43</v>
      </c>
      <c r="C6" s="17" t="s">
        <v>46</v>
      </c>
      <c r="D6" s="28" t="s">
        <v>53</v>
      </c>
      <c r="E6" s="16" t="s">
        <v>54</v>
      </c>
      <c r="F6" s="16" t="n">
        <v>1151</v>
      </c>
      <c r="G6" s="16" t="n">
        <v>120</v>
      </c>
      <c r="H6" s="16" t="n">
        <v>817</v>
      </c>
      <c r="I6" s="16" t="n">
        <v>462</v>
      </c>
      <c r="J6" s="16" t="n">
        <v>355</v>
      </c>
      <c r="K6" s="16" t="n">
        <v>0</v>
      </c>
      <c r="L6" s="19" t="n">
        <f aca="false">(K6/H6)*100</f>
        <v>0</v>
      </c>
      <c r="M6" s="16" t="n">
        <v>182</v>
      </c>
      <c r="N6" s="19" t="n">
        <f aca="false">(M6/H6)*100</f>
        <v>22.2766217870257</v>
      </c>
      <c r="O6" s="16" t="n">
        <v>48</v>
      </c>
      <c r="P6" s="16" t="n">
        <v>0</v>
      </c>
      <c r="Q6" s="24" t="s">
        <v>49</v>
      </c>
      <c r="R6" s="25" t="n">
        <v>45797</v>
      </c>
      <c r="S6" s="16"/>
      <c r="T6" s="24" t="n">
        <v>47.57</v>
      </c>
      <c r="U6" s="20"/>
      <c r="V6" s="16"/>
      <c r="W6" s="16"/>
      <c r="X6" s="16"/>
      <c r="Y6" s="16"/>
      <c r="Z6" s="16"/>
      <c r="AA6" s="26" t="s">
        <v>50</v>
      </c>
      <c r="AB6" s="26" t="n">
        <v>25</v>
      </c>
      <c r="AC6" s="29" t="s">
        <v>55</v>
      </c>
      <c r="AD6" s="24" t="n">
        <v>27.121812</v>
      </c>
      <c r="AE6" s="24" t="n">
        <v>72.769309</v>
      </c>
      <c r="AF6" s="20" t="s">
        <v>52</v>
      </c>
    </row>
    <row r="7" customFormat="false" ht="17.25" hidden="false" customHeight="false" outlineLevel="0" collapsed="false">
      <c r="A7" s="16" t="s">
        <v>42</v>
      </c>
      <c r="B7" s="16" t="s">
        <v>43</v>
      </c>
      <c r="C7" s="17" t="s">
        <v>56</v>
      </c>
      <c r="D7" s="18" t="s">
        <v>57</v>
      </c>
      <c r="E7" s="16" t="s">
        <v>58</v>
      </c>
      <c r="F7" s="16" t="n">
        <v>1851</v>
      </c>
      <c r="G7" s="16" t="n">
        <v>619</v>
      </c>
      <c r="H7" s="16" t="n">
        <v>3499</v>
      </c>
      <c r="I7" s="16" t="n">
        <v>1823</v>
      </c>
      <c r="J7" s="16" t="n">
        <v>1676</v>
      </c>
      <c r="K7" s="16" t="n">
        <v>625</v>
      </c>
      <c r="L7" s="19" t="n">
        <f aca="false">(K7/H7)*100</f>
        <v>17.8622463561017</v>
      </c>
      <c r="M7" s="16" t="n">
        <v>386</v>
      </c>
      <c r="N7" s="19" t="n">
        <f aca="false">(M7/H7)*100</f>
        <v>11.0317233495284</v>
      </c>
      <c r="O7" s="16" t="n">
        <v>56</v>
      </c>
      <c r="P7" s="16" t="n">
        <v>0</v>
      </c>
      <c r="Q7" s="24" t="s">
        <v>49</v>
      </c>
      <c r="R7" s="25" t="n">
        <v>45935</v>
      </c>
      <c r="S7" s="16"/>
      <c r="T7" s="24" t="n">
        <v>0</v>
      </c>
      <c r="U7" s="20"/>
      <c r="V7" s="16"/>
      <c r="W7" s="16"/>
      <c r="X7" s="16"/>
      <c r="Y7" s="16"/>
      <c r="Z7" s="16"/>
      <c r="AA7" s="26" t="s">
        <v>50</v>
      </c>
      <c r="AB7" s="26" t="n">
        <v>5</v>
      </c>
      <c r="AC7" s="27" t="s">
        <v>59</v>
      </c>
      <c r="AD7" s="24" t="n">
        <v>27.129698</v>
      </c>
      <c r="AE7" s="24" t="n">
        <v>73.035509</v>
      </c>
      <c r="AF7" s="20" t="s">
        <v>52</v>
      </c>
    </row>
    <row r="8" customFormat="false" ht="17.25" hidden="false" customHeight="false" outlineLevel="0" collapsed="false">
      <c r="A8" s="16"/>
      <c r="B8" s="16"/>
      <c r="C8" s="17"/>
      <c r="D8" s="18"/>
      <c r="E8" s="16"/>
      <c r="F8" s="16"/>
      <c r="G8" s="16"/>
      <c r="H8" s="16"/>
      <c r="I8" s="16"/>
      <c r="J8" s="16"/>
      <c r="K8" s="16"/>
      <c r="L8" s="19"/>
      <c r="M8" s="16"/>
      <c r="N8" s="19"/>
      <c r="O8" s="16"/>
      <c r="P8" s="16"/>
      <c r="Q8" s="30" t="s">
        <v>49</v>
      </c>
      <c r="R8" s="31" t="n">
        <v>45935</v>
      </c>
      <c r="S8" s="16"/>
      <c r="T8" s="30"/>
      <c r="U8" s="20"/>
      <c r="V8" s="16"/>
      <c r="W8" s="16"/>
      <c r="X8" s="16"/>
      <c r="Y8" s="16"/>
      <c r="Z8" s="16"/>
      <c r="AA8" s="32" t="s">
        <v>50</v>
      </c>
      <c r="AB8" s="32" t="n">
        <v>10</v>
      </c>
      <c r="AC8" s="33" t="s">
        <v>60</v>
      </c>
      <c r="AD8" s="30" t="n">
        <v>27.13135</v>
      </c>
      <c r="AE8" s="30" t="n">
        <v>73.031101</v>
      </c>
      <c r="AF8" s="20" t="s">
        <v>52</v>
      </c>
    </row>
    <row r="9" customFormat="false" ht="17.25" hidden="false" customHeight="false" outlineLevel="0" collapsed="false">
      <c r="A9" s="16" t="s">
        <v>42</v>
      </c>
      <c r="B9" s="16" t="s">
        <v>43</v>
      </c>
      <c r="C9" s="17" t="s">
        <v>56</v>
      </c>
      <c r="D9" s="28" t="s">
        <v>61</v>
      </c>
      <c r="E9" s="16" t="s">
        <v>62</v>
      </c>
      <c r="F9" s="16" t="n">
        <v>702</v>
      </c>
      <c r="G9" s="16" t="n">
        <v>145</v>
      </c>
      <c r="H9" s="16" t="n">
        <v>978</v>
      </c>
      <c r="I9" s="16" t="n">
        <v>509</v>
      </c>
      <c r="J9" s="16" t="n">
        <v>469</v>
      </c>
      <c r="K9" s="16" t="n">
        <v>0</v>
      </c>
      <c r="L9" s="19" t="n">
        <f aca="false">(K9/H9)*100</f>
        <v>0</v>
      </c>
      <c r="M9" s="16" t="n">
        <v>0</v>
      </c>
      <c r="N9" s="19" t="n">
        <f aca="false">(M9/H9)*100</f>
        <v>0</v>
      </c>
      <c r="O9" s="16" t="n">
        <v>41</v>
      </c>
      <c r="P9" s="16" t="n">
        <v>0</v>
      </c>
      <c r="Q9" s="24" t="s">
        <v>49</v>
      </c>
      <c r="R9" s="25" t="n">
        <v>45935</v>
      </c>
      <c r="S9" s="16"/>
      <c r="T9" s="24" t="n">
        <v>0</v>
      </c>
      <c r="U9" s="20"/>
      <c r="V9" s="16"/>
      <c r="W9" s="16"/>
      <c r="X9" s="16"/>
      <c r="Y9" s="16"/>
      <c r="Z9" s="16"/>
      <c r="AA9" s="26" t="s">
        <v>50</v>
      </c>
      <c r="AB9" s="26" t="n">
        <v>5</v>
      </c>
      <c r="AC9" s="27" t="s">
        <v>63</v>
      </c>
      <c r="AD9" s="24" t="n">
        <v>27.117439</v>
      </c>
      <c r="AE9" s="24" t="n">
        <v>73.040365</v>
      </c>
      <c r="AF9" s="20" t="s">
        <v>52</v>
      </c>
    </row>
    <row r="10" customFormat="false" ht="17.25" hidden="false" customHeight="false" outlineLevel="0" collapsed="false">
      <c r="A10" s="16" t="s">
        <v>42</v>
      </c>
      <c r="B10" s="16" t="s">
        <v>43</v>
      </c>
      <c r="C10" s="17" t="s">
        <v>56</v>
      </c>
      <c r="D10" s="28" t="s">
        <v>64</v>
      </c>
      <c r="E10" s="16" t="s">
        <v>65</v>
      </c>
      <c r="F10" s="16" t="n">
        <v>971</v>
      </c>
      <c r="G10" s="16" t="n">
        <v>102</v>
      </c>
      <c r="H10" s="16" t="n">
        <v>808</v>
      </c>
      <c r="I10" s="16" t="n">
        <v>429</v>
      </c>
      <c r="J10" s="16" t="n">
        <v>379</v>
      </c>
      <c r="K10" s="16" t="n">
        <v>18</v>
      </c>
      <c r="L10" s="19" t="n">
        <f aca="false">(K10/H10)*100</f>
        <v>2.22772277227723</v>
      </c>
      <c r="M10" s="16" t="n">
        <v>0</v>
      </c>
      <c r="N10" s="19" t="n">
        <f aca="false">(M10/H10)*100</f>
        <v>0</v>
      </c>
      <c r="O10" s="16" t="n">
        <v>67</v>
      </c>
      <c r="P10" s="16" t="n">
        <v>0</v>
      </c>
      <c r="Q10" s="24" t="s">
        <v>49</v>
      </c>
      <c r="R10" s="34" t="n">
        <v>45935</v>
      </c>
      <c r="S10" s="16"/>
      <c r="T10" s="20" t="n">
        <v>400</v>
      </c>
      <c r="U10" s="20"/>
      <c r="V10" s="16"/>
      <c r="W10" s="16"/>
      <c r="X10" s="16"/>
      <c r="Y10" s="16"/>
      <c r="Z10" s="16"/>
      <c r="AA10" s="26" t="s">
        <v>50</v>
      </c>
      <c r="AB10" s="21" t="n">
        <v>0</v>
      </c>
      <c r="AC10" s="35"/>
      <c r="AD10" s="20"/>
      <c r="AE10" s="20"/>
      <c r="AF10" s="20" t="s">
        <v>52</v>
      </c>
    </row>
    <row r="11" customFormat="false" ht="15.75" hidden="false" customHeight="false" outlineLevel="0" collapsed="false">
      <c r="A11" s="16" t="s">
        <v>42</v>
      </c>
      <c r="B11" s="16" t="s">
        <v>43</v>
      </c>
      <c r="C11" s="17" t="s">
        <v>66</v>
      </c>
      <c r="D11" s="18" t="s">
        <v>67</v>
      </c>
      <c r="E11" s="16" t="s">
        <v>68</v>
      </c>
      <c r="F11" s="16" t="n">
        <v>3307</v>
      </c>
      <c r="G11" s="16" t="n">
        <v>639</v>
      </c>
      <c r="H11" s="16" t="n">
        <v>3924</v>
      </c>
      <c r="I11" s="16" t="n">
        <v>2098</v>
      </c>
      <c r="J11" s="16" t="n">
        <v>1826</v>
      </c>
      <c r="K11" s="16" t="n">
        <v>503</v>
      </c>
      <c r="L11" s="19" t="n">
        <f aca="false">(K11/H11)*100</f>
        <v>12.8185524974516</v>
      </c>
      <c r="M11" s="16" t="n">
        <v>3</v>
      </c>
      <c r="N11" s="19" t="n">
        <f aca="false">(M11/H11)*100</f>
        <v>0.0764525993883792</v>
      </c>
      <c r="O11" s="16" t="n">
        <v>256</v>
      </c>
      <c r="P11" s="16" t="n">
        <v>0</v>
      </c>
      <c r="Q11" s="24" t="s">
        <v>49</v>
      </c>
      <c r="R11" s="34" t="n">
        <v>45976</v>
      </c>
      <c r="S11" s="16"/>
      <c r="T11" s="20" t="n">
        <v>0</v>
      </c>
      <c r="U11" s="20"/>
      <c r="V11" s="16"/>
      <c r="W11" s="16"/>
      <c r="X11" s="16"/>
      <c r="Y11" s="16"/>
      <c r="Z11" s="16"/>
      <c r="AA11" s="26" t="s">
        <v>50</v>
      </c>
      <c r="AB11" s="21" t="n">
        <v>29</v>
      </c>
      <c r="AC11" s="36" t="s">
        <v>69</v>
      </c>
      <c r="AD11" s="37" t="n">
        <v>27.145511</v>
      </c>
      <c r="AE11" s="37" t="n">
        <v>72.711083</v>
      </c>
      <c r="AF11" s="20" t="s">
        <v>52</v>
      </c>
    </row>
    <row r="12" customFormat="false" ht="15.75" hidden="false" customHeight="false" outlineLevel="0" collapsed="false">
      <c r="A12" s="16"/>
      <c r="B12" s="16"/>
      <c r="C12" s="17"/>
      <c r="D12" s="18"/>
      <c r="E12" s="16"/>
      <c r="F12" s="16"/>
      <c r="G12" s="16"/>
      <c r="H12" s="16"/>
      <c r="I12" s="16"/>
      <c r="J12" s="16"/>
      <c r="K12" s="16"/>
      <c r="L12" s="19"/>
      <c r="M12" s="16"/>
      <c r="N12" s="19"/>
      <c r="O12" s="16"/>
      <c r="P12" s="16"/>
      <c r="Q12" s="38" t="s">
        <v>70</v>
      </c>
      <c r="R12" s="39"/>
      <c r="S12" s="16"/>
      <c r="T12" s="38"/>
      <c r="U12" s="20"/>
      <c r="V12" s="16"/>
      <c r="W12" s="16"/>
      <c r="X12" s="16"/>
      <c r="Y12" s="16"/>
      <c r="Z12" s="16"/>
      <c r="AA12" s="40"/>
      <c r="AB12" s="40" t="n">
        <v>12</v>
      </c>
      <c r="AC12" s="41" t="s">
        <v>71</v>
      </c>
      <c r="AD12" s="38" t="n">
        <v>27.142584</v>
      </c>
      <c r="AE12" s="38" t="n">
        <v>72.713254</v>
      </c>
      <c r="AF12" s="20" t="s">
        <v>52</v>
      </c>
    </row>
    <row r="13" customFormat="false" ht="15.75" hidden="false" customHeight="false" outlineLevel="0" collapsed="false">
      <c r="A13" s="16"/>
      <c r="B13" s="16"/>
      <c r="C13" s="17"/>
      <c r="D13" s="18"/>
      <c r="E13" s="16"/>
      <c r="F13" s="16"/>
      <c r="G13" s="16"/>
      <c r="H13" s="16"/>
      <c r="I13" s="16"/>
      <c r="J13" s="16"/>
      <c r="K13" s="16"/>
      <c r="L13" s="19"/>
      <c r="M13" s="16"/>
      <c r="N13" s="19"/>
      <c r="O13" s="16"/>
      <c r="P13" s="16"/>
      <c r="Q13" s="38" t="s">
        <v>70</v>
      </c>
      <c r="R13" s="39"/>
      <c r="S13" s="16"/>
      <c r="T13" s="38"/>
      <c r="U13" s="20"/>
      <c r="V13" s="16"/>
      <c r="W13" s="16"/>
      <c r="X13" s="16"/>
      <c r="Y13" s="16"/>
      <c r="Z13" s="16"/>
      <c r="AA13" s="40"/>
      <c r="AB13" s="40" t="n">
        <v>5</v>
      </c>
      <c r="AC13" s="41" t="s">
        <v>72</v>
      </c>
      <c r="AD13" s="38" t="n">
        <v>27.142562</v>
      </c>
      <c r="AE13" s="38" t="n">
        <v>72.715648</v>
      </c>
      <c r="AF13" s="20" t="s">
        <v>52</v>
      </c>
    </row>
    <row r="14" customFormat="false" ht="31.5" hidden="false" customHeight="false" outlineLevel="0" collapsed="false">
      <c r="A14" s="16" t="s">
        <v>42</v>
      </c>
      <c r="B14" s="16" t="s">
        <v>43</v>
      </c>
      <c r="C14" s="17" t="s">
        <v>66</v>
      </c>
      <c r="D14" s="28" t="s">
        <v>73</v>
      </c>
      <c r="E14" s="16" t="s">
        <v>74</v>
      </c>
      <c r="F14" s="16" t="n">
        <v>533</v>
      </c>
      <c r="G14" s="16" t="n">
        <v>89</v>
      </c>
      <c r="H14" s="16" t="n">
        <v>560</v>
      </c>
      <c r="I14" s="16" t="n">
        <v>299</v>
      </c>
      <c r="J14" s="16" t="n">
        <v>261</v>
      </c>
      <c r="K14" s="16" t="n">
        <v>122</v>
      </c>
      <c r="L14" s="19" t="n">
        <f aca="false">(K14/H14)*100</f>
        <v>21.7857142857143</v>
      </c>
      <c r="M14" s="16" t="n">
        <v>0</v>
      </c>
      <c r="N14" s="19" t="n">
        <f aca="false">(M14/H14)*100</f>
        <v>0</v>
      </c>
      <c r="O14" s="16" t="n">
        <v>3</v>
      </c>
      <c r="P14" s="16" t="n">
        <v>0</v>
      </c>
      <c r="Q14" s="24" t="s">
        <v>49</v>
      </c>
      <c r="R14" s="34" t="n">
        <v>45976</v>
      </c>
      <c r="S14" s="16"/>
      <c r="T14" s="20" t="n">
        <v>0</v>
      </c>
      <c r="U14" s="20"/>
      <c r="V14" s="16"/>
      <c r="W14" s="16"/>
      <c r="X14" s="16"/>
      <c r="Y14" s="16"/>
      <c r="Z14" s="16"/>
      <c r="AA14" s="26" t="s">
        <v>50</v>
      </c>
      <c r="AB14" s="21"/>
      <c r="AC14" s="36"/>
      <c r="AD14" s="20"/>
      <c r="AE14" s="20"/>
      <c r="AF14" s="20" t="s">
        <v>52</v>
      </c>
    </row>
    <row r="15" customFormat="false" ht="15.75" hidden="false" customHeight="false" outlineLevel="0" collapsed="false">
      <c r="A15" s="16" t="s">
        <v>42</v>
      </c>
      <c r="B15" s="16" t="s">
        <v>43</v>
      </c>
      <c r="C15" s="17" t="s">
        <v>75</v>
      </c>
      <c r="D15" s="18" t="s">
        <v>76</v>
      </c>
      <c r="E15" s="16" t="s">
        <v>77</v>
      </c>
      <c r="F15" s="16" t="n">
        <v>2352.92</v>
      </c>
      <c r="G15" s="16" t="n">
        <v>231</v>
      </c>
      <c r="H15" s="16" t="n">
        <v>1636</v>
      </c>
      <c r="I15" s="16" t="n">
        <v>863</v>
      </c>
      <c r="J15" s="16" t="n">
        <v>773</v>
      </c>
      <c r="K15" s="16" t="n">
        <v>28</v>
      </c>
      <c r="L15" s="19" t="n">
        <f aca="false">(K15/H15)*100</f>
        <v>1.71149144254279</v>
      </c>
      <c r="M15" s="16" t="n">
        <v>0</v>
      </c>
      <c r="N15" s="19" t="n">
        <f aca="false">(M15/H15)*100</f>
        <v>0</v>
      </c>
      <c r="O15" s="16" t="n">
        <v>0</v>
      </c>
      <c r="P15" s="16" t="n">
        <v>0</v>
      </c>
      <c r="Q15" s="24" t="s">
        <v>49</v>
      </c>
      <c r="R15" s="34" t="n">
        <v>45976</v>
      </c>
      <c r="S15" s="16"/>
      <c r="T15" s="20" t="n">
        <v>0</v>
      </c>
      <c r="U15" s="20"/>
      <c r="V15" s="16"/>
      <c r="W15" s="16"/>
      <c r="X15" s="16"/>
      <c r="Y15" s="16"/>
      <c r="Z15" s="16"/>
      <c r="AA15" s="26" t="s">
        <v>50</v>
      </c>
      <c r="AB15" s="21"/>
      <c r="AC15" s="20"/>
      <c r="AD15" s="20"/>
      <c r="AE15" s="20"/>
      <c r="AF15" s="20" t="s">
        <v>52</v>
      </c>
    </row>
    <row r="16" customFormat="false" ht="31.5" hidden="false" customHeight="false" outlineLevel="0" collapsed="false">
      <c r="A16" s="16" t="s">
        <v>42</v>
      </c>
      <c r="B16" s="16" t="s">
        <v>43</v>
      </c>
      <c r="C16" s="17" t="s">
        <v>75</v>
      </c>
      <c r="D16" s="28" t="s">
        <v>78</v>
      </c>
      <c r="E16" s="16" t="s">
        <v>79</v>
      </c>
      <c r="F16" s="16" t="n">
        <v>1193.7</v>
      </c>
      <c r="G16" s="16" t="n">
        <v>99</v>
      </c>
      <c r="H16" s="16" t="n">
        <v>701</v>
      </c>
      <c r="I16" s="16" t="n">
        <v>352</v>
      </c>
      <c r="J16" s="16" t="n">
        <v>349</v>
      </c>
      <c r="K16" s="16" t="n">
        <v>40</v>
      </c>
      <c r="L16" s="19" t="n">
        <f aca="false">(K16/H16)*100</f>
        <v>5.70613409415121</v>
      </c>
      <c r="M16" s="16" t="n">
        <v>0</v>
      </c>
      <c r="N16" s="19" t="n">
        <f aca="false">(M16/H16)*100</f>
        <v>0</v>
      </c>
      <c r="O16" s="16" t="n">
        <v>0</v>
      </c>
      <c r="P16" s="16" t="n">
        <v>0</v>
      </c>
      <c r="Q16" s="24" t="s">
        <v>49</v>
      </c>
      <c r="R16" s="34" t="n">
        <v>45976</v>
      </c>
      <c r="S16" s="16"/>
      <c r="T16" s="20" t="n">
        <v>0</v>
      </c>
      <c r="U16" s="20"/>
      <c r="V16" s="16"/>
      <c r="W16" s="16"/>
      <c r="X16" s="16"/>
      <c r="Y16" s="16"/>
      <c r="Z16" s="16"/>
      <c r="AA16" s="26" t="s">
        <v>50</v>
      </c>
      <c r="AB16" s="21"/>
      <c r="AC16" s="36"/>
      <c r="AD16" s="20"/>
      <c r="AE16" s="20"/>
      <c r="AF16" s="20" t="s">
        <v>52</v>
      </c>
    </row>
    <row r="17" customFormat="false" ht="15.75" hidden="false" customHeight="false" outlineLevel="0" collapsed="false">
      <c r="A17" s="16" t="s">
        <v>42</v>
      </c>
      <c r="B17" s="16" t="s">
        <v>43</v>
      </c>
      <c r="C17" s="17" t="s">
        <v>75</v>
      </c>
      <c r="D17" s="28" t="s">
        <v>80</v>
      </c>
      <c r="E17" s="16" t="s">
        <v>81</v>
      </c>
      <c r="F17" s="16" t="n">
        <v>943.04</v>
      </c>
      <c r="G17" s="16" t="n">
        <v>50</v>
      </c>
      <c r="H17" s="16" t="n">
        <v>328</v>
      </c>
      <c r="I17" s="16" t="n">
        <v>171</v>
      </c>
      <c r="J17" s="16" t="n">
        <v>157</v>
      </c>
      <c r="K17" s="16" t="n">
        <v>32</v>
      </c>
      <c r="L17" s="19" t="n">
        <f aca="false">(K17/H17)*100</f>
        <v>9.75609756097561</v>
      </c>
      <c r="M17" s="16" t="n">
        <v>0</v>
      </c>
      <c r="N17" s="19" t="n">
        <f aca="false">(M17/H17)*100</f>
        <v>0</v>
      </c>
      <c r="O17" s="16" t="n">
        <v>17.75</v>
      </c>
      <c r="P17" s="16" t="n">
        <v>0</v>
      </c>
      <c r="Q17" s="24" t="s">
        <v>49</v>
      </c>
      <c r="R17" s="34" t="n">
        <v>45976</v>
      </c>
      <c r="S17" s="16"/>
      <c r="T17" s="20" t="n">
        <v>16.05</v>
      </c>
      <c r="U17" s="20"/>
      <c r="V17" s="16"/>
      <c r="W17" s="16"/>
      <c r="X17" s="16"/>
      <c r="Y17" s="16"/>
      <c r="Z17" s="16"/>
      <c r="AA17" s="26" t="s">
        <v>50</v>
      </c>
      <c r="AB17" s="21" t="n">
        <v>10</v>
      </c>
      <c r="AC17" s="36" t="s">
        <v>82</v>
      </c>
      <c r="AD17" s="20"/>
      <c r="AE17" s="20"/>
      <c r="AF17" s="20" t="s">
        <v>52</v>
      </c>
    </row>
    <row r="18" customFormat="false" ht="15.75" hidden="false" customHeight="false" outlineLevel="0" collapsed="false">
      <c r="A18" s="16" t="s">
        <v>42</v>
      </c>
      <c r="B18" s="16" t="s">
        <v>43</v>
      </c>
      <c r="C18" s="17" t="s">
        <v>83</v>
      </c>
      <c r="D18" s="18" t="s">
        <v>83</v>
      </c>
      <c r="E18" s="16" t="s">
        <v>84</v>
      </c>
      <c r="F18" s="16" t="n">
        <v>491</v>
      </c>
      <c r="G18" s="16" t="n">
        <v>124</v>
      </c>
      <c r="H18" s="16" t="n">
        <v>1049</v>
      </c>
      <c r="I18" s="16" t="n">
        <v>551</v>
      </c>
      <c r="J18" s="16" t="n">
        <v>498</v>
      </c>
      <c r="K18" s="16" t="n">
        <v>38</v>
      </c>
      <c r="L18" s="19" t="n">
        <f aca="false">(K18/H18)*100</f>
        <v>3.62249761677788</v>
      </c>
      <c r="M18" s="16" t="n">
        <v>1</v>
      </c>
      <c r="N18" s="19" t="n">
        <f aca="false">(M18/H18)*100</f>
        <v>0.0953288846520496</v>
      </c>
      <c r="O18" s="16" t="n">
        <v>17</v>
      </c>
      <c r="P18" s="16" t="n">
        <v>0</v>
      </c>
      <c r="Q18" s="24" t="s">
        <v>49</v>
      </c>
      <c r="R18" s="34" t="n">
        <v>45976</v>
      </c>
      <c r="S18" s="16"/>
      <c r="T18" s="20" t="n">
        <v>1.13</v>
      </c>
      <c r="U18" s="20"/>
      <c r="V18" s="16"/>
      <c r="W18" s="16"/>
      <c r="X18" s="16"/>
      <c r="Y18" s="16"/>
      <c r="Z18" s="16"/>
      <c r="AA18" s="26" t="s">
        <v>50</v>
      </c>
      <c r="AB18" s="21"/>
      <c r="AC18" s="36"/>
      <c r="AD18" s="20"/>
      <c r="AE18" s="20"/>
      <c r="AF18" s="20" t="s">
        <v>52</v>
      </c>
    </row>
    <row r="19" customFormat="false" ht="15.75" hidden="false" customHeight="false" outlineLevel="0" collapsed="false">
      <c r="A19" s="16" t="s">
        <v>42</v>
      </c>
      <c r="B19" s="16" t="s">
        <v>43</v>
      </c>
      <c r="C19" s="17" t="s">
        <v>83</v>
      </c>
      <c r="D19" s="28" t="s">
        <v>85</v>
      </c>
      <c r="E19" s="16" t="s">
        <v>86</v>
      </c>
      <c r="F19" s="16" t="n">
        <v>605</v>
      </c>
      <c r="G19" s="16" t="n">
        <v>95</v>
      </c>
      <c r="H19" s="16" t="n">
        <v>595</v>
      </c>
      <c r="I19" s="16" t="n">
        <v>297</v>
      </c>
      <c r="J19" s="16" t="n">
        <v>298</v>
      </c>
      <c r="K19" s="16" t="n">
        <v>313</v>
      </c>
      <c r="L19" s="19" t="n">
        <f aca="false">(K19/H19)*100</f>
        <v>52.6050420168067</v>
      </c>
      <c r="M19" s="16" t="n">
        <v>0</v>
      </c>
      <c r="N19" s="19" t="n">
        <f aca="false">(M19/H19)*100</f>
        <v>0</v>
      </c>
      <c r="O19" s="16" t="n">
        <v>15</v>
      </c>
      <c r="P19" s="16" t="n">
        <v>0</v>
      </c>
      <c r="Q19" s="24" t="s">
        <v>49</v>
      </c>
      <c r="R19" s="34" t="n">
        <v>45976</v>
      </c>
      <c r="S19" s="16"/>
      <c r="T19" s="20" t="n">
        <v>35.73</v>
      </c>
      <c r="U19" s="20"/>
      <c r="V19" s="16"/>
      <c r="W19" s="16"/>
      <c r="X19" s="16"/>
      <c r="Y19" s="16"/>
      <c r="Z19" s="16"/>
      <c r="AA19" s="26" t="s">
        <v>50</v>
      </c>
      <c r="AB19" s="21" t="n">
        <v>15</v>
      </c>
      <c r="AC19" s="36" t="s">
        <v>87</v>
      </c>
      <c r="AD19" s="20" t="n">
        <v>27.196255</v>
      </c>
      <c r="AE19" s="20" t="n">
        <v>73.086517</v>
      </c>
      <c r="AF19" s="20" t="s">
        <v>52</v>
      </c>
    </row>
    <row r="20" customFormat="false" ht="15.75" hidden="false" customHeight="false" outlineLevel="0" collapsed="false">
      <c r="A20" s="16"/>
      <c r="B20" s="16"/>
      <c r="C20" s="17"/>
      <c r="D20" s="28"/>
      <c r="E20" s="16"/>
      <c r="F20" s="16"/>
      <c r="G20" s="16"/>
      <c r="H20" s="16"/>
      <c r="I20" s="16"/>
      <c r="J20" s="16"/>
      <c r="K20" s="16"/>
      <c r="L20" s="19"/>
      <c r="M20" s="16"/>
      <c r="N20" s="19"/>
      <c r="O20" s="16"/>
      <c r="P20" s="16"/>
      <c r="Q20" s="30"/>
      <c r="R20" s="31"/>
      <c r="S20" s="16"/>
      <c r="T20" s="30"/>
      <c r="U20" s="20"/>
      <c r="V20" s="16"/>
      <c r="W20" s="16"/>
      <c r="X20" s="16"/>
      <c r="Y20" s="16"/>
      <c r="Z20" s="16"/>
      <c r="AA20" s="32" t="s">
        <v>50</v>
      </c>
      <c r="AB20" s="32" t="n">
        <v>15</v>
      </c>
      <c r="AC20" s="42" t="s">
        <v>88</v>
      </c>
      <c r="AD20" s="30" t="n">
        <v>27.198521</v>
      </c>
      <c r="AE20" s="30" t="n">
        <v>73086753</v>
      </c>
      <c r="AF20" s="20" t="s">
        <v>52</v>
      </c>
    </row>
    <row r="21" customFormat="false" ht="15.75" hidden="false" customHeight="false" outlineLevel="0" collapsed="false">
      <c r="A21" s="16" t="s">
        <v>42</v>
      </c>
      <c r="B21" s="16" t="s">
        <v>43</v>
      </c>
      <c r="C21" s="17" t="s">
        <v>83</v>
      </c>
      <c r="D21" s="28" t="s">
        <v>53</v>
      </c>
      <c r="E21" s="16" t="s">
        <v>89</v>
      </c>
      <c r="F21" s="16" t="n">
        <v>923</v>
      </c>
      <c r="G21" s="16" t="n">
        <v>160</v>
      </c>
      <c r="H21" s="16" t="n">
        <v>1166</v>
      </c>
      <c r="I21" s="16" t="n">
        <v>615</v>
      </c>
      <c r="J21" s="16" t="n">
        <v>551</v>
      </c>
      <c r="K21" s="16" t="n">
        <v>321</v>
      </c>
      <c r="L21" s="19" t="n">
        <f aca="false">(K21/H21)*100</f>
        <v>27.5300171526587</v>
      </c>
      <c r="M21" s="16" t="n">
        <v>0</v>
      </c>
      <c r="N21" s="19" t="n">
        <f aca="false">(M21/H21)*100</f>
        <v>0</v>
      </c>
      <c r="O21" s="16" t="n">
        <v>21</v>
      </c>
      <c r="P21" s="16" t="n">
        <v>0</v>
      </c>
      <c r="Q21" s="24" t="s">
        <v>49</v>
      </c>
      <c r="R21" s="34" t="n">
        <v>45976</v>
      </c>
      <c r="S21" s="16"/>
      <c r="T21" s="20" t="n">
        <v>0</v>
      </c>
      <c r="U21" s="20"/>
      <c r="V21" s="16"/>
      <c r="W21" s="16"/>
      <c r="X21" s="16"/>
      <c r="Y21" s="16"/>
      <c r="Z21" s="16"/>
      <c r="AA21" s="26" t="s">
        <v>50</v>
      </c>
      <c r="AB21" s="21"/>
      <c r="AC21" s="36"/>
      <c r="AD21" s="20"/>
      <c r="AE21" s="20"/>
      <c r="AF21" s="20" t="s">
        <v>52</v>
      </c>
    </row>
    <row r="22" customFormat="false" ht="15.75" hidden="false" customHeight="false" outlineLevel="0" collapsed="false">
      <c r="A22" s="16" t="s">
        <v>42</v>
      </c>
      <c r="B22" s="16" t="s">
        <v>43</v>
      </c>
      <c r="C22" s="17" t="s">
        <v>90</v>
      </c>
      <c r="D22" s="18" t="s">
        <v>90</v>
      </c>
      <c r="E22" s="16" t="s">
        <v>91</v>
      </c>
      <c r="F22" s="16" t="n">
        <v>2094.03</v>
      </c>
      <c r="G22" s="16" t="n">
        <v>342</v>
      </c>
      <c r="H22" s="16" t="n">
        <v>1840</v>
      </c>
      <c r="I22" s="16" t="n">
        <v>944</v>
      </c>
      <c r="J22" s="16" t="n">
        <v>896</v>
      </c>
      <c r="K22" s="16" t="n">
        <v>16</v>
      </c>
      <c r="L22" s="19" t="n">
        <f aca="false">(K22/H22)*100</f>
        <v>0.869565217391304</v>
      </c>
      <c r="M22" s="16" t="n">
        <v>0</v>
      </c>
      <c r="N22" s="19" t="n">
        <f aca="false">(M22/H22)*100</f>
        <v>0</v>
      </c>
      <c r="O22" s="16" t="n">
        <v>67.84</v>
      </c>
      <c r="P22" s="16" t="n">
        <v>0</v>
      </c>
      <c r="Q22" s="24" t="s">
        <v>49</v>
      </c>
      <c r="R22" s="34" t="n">
        <v>45976</v>
      </c>
      <c r="S22" s="16"/>
      <c r="T22" s="20" t="n">
        <v>116.39</v>
      </c>
      <c r="U22" s="20"/>
      <c r="V22" s="16"/>
      <c r="W22" s="16"/>
      <c r="X22" s="16"/>
      <c r="Y22" s="16"/>
      <c r="Z22" s="16"/>
      <c r="AA22" s="26" t="s">
        <v>50</v>
      </c>
      <c r="AB22" s="21" t="n">
        <v>8</v>
      </c>
      <c r="AC22" s="36" t="s">
        <v>92</v>
      </c>
      <c r="AD22" s="20" t="n">
        <v>27.099766</v>
      </c>
      <c r="AE22" s="20" t="n">
        <v>72.863222</v>
      </c>
      <c r="AF22" s="20" t="s">
        <v>52</v>
      </c>
    </row>
    <row r="23" customFormat="false" ht="15.75" hidden="false" customHeight="false" outlineLevel="0" collapsed="false">
      <c r="A23" s="16"/>
      <c r="B23" s="16"/>
      <c r="C23" s="17"/>
      <c r="D23" s="18"/>
      <c r="E23" s="16"/>
      <c r="F23" s="16"/>
      <c r="G23" s="16"/>
      <c r="H23" s="16"/>
      <c r="I23" s="16"/>
      <c r="J23" s="16"/>
      <c r="K23" s="16"/>
      <c r="L23" s="19"/>
      <c r="M23" s="16"/>
      <c r="N23" s="19"/>
      <c r="O23" s="16"/>
      <c r="P23" s="16"/>
      <c r="Q23" s="30"/>
      <c r="R23" s="31"/>
      <c r="S23" s="16"/>
      <c r="T23" s="30"/>
      <c r="U23" s="20"/>
      <c r="V23" s="16"/>
      <c r="W23" s="16"/>
      <c r="X23" s="16"/>
      <c r="Y23" s="16"/>
      <c r="Z23" s="16"/>
      <c r="AA23" s="32" t="s">
        <v>50</v>
      </c>
      <c r="AB23" s="32" t="n">
        <v>18</v>
      </c>
      <c r="AC23" s="42" t="s">
        <v>93</v>
      </c>
      <c r="AD23" s="30" t="n">
        <v>27.112617</v>
      </c>
      <c r="AE23" s="30" t="n">
        <v>72.868502</v>
      </c>
      <c r="AF23" s="20" t="s">
        <v>52</v>
      </c>
    </row>
    <row r="24" customFormat="false" ht="15.75" hidden="false" customHeight="false" outlineLevel="0" collapsed="false">
      <c r="A24" s="16"/>
      <c r="B24" s="16"/>
      <c r="C24" s="17"/>
      <c r="D24" s="18"/>
      <c r="E24" s="16"/>
      <c r="F24" s="16"/>
      <c r="G24" s="16"/>
      <c r="H24" s="16"/>
      <c r="I24" s="16"/>
      <c r="J24" s="16"/>
      <c r="K24" s="16"/>
      <c r="L24" s="19"/>
      <c r="M24" s="16"/>
      <c r="N24" s="19"/>
      <c r="O24" s="16"/>
      <c r="P24" s="16"/>
      <c r="Q24" s="30"/>
      <c r="R24" s="31"/>
      <c r="S24" s="16"/>
      <c r="T24" s="30"/>
      <c r="U24" s="20"/>
      <c r="V24" s="16"/>
      <c r="W24" s="16"/>
      <c r="X24" s="16"/>
      <c r="Y24" s="16"/>
      <c r="Z24" s="16"/>
      <c r="AA24" s="32" t="s">
        <v>50</v>
      </c>
      <c r="AB24" s="32" t="n">
        <v>5</v>
      </c>
      <c r="AC24" s="42" t="s">
        <v>94</v>
      </c>
      <c r="AD24" s="30" t="n">
        <v>27.112518</v>
      </c>
      <c r="AE24" s="30" t="n">
        <v>72.86254</v>
      </c>
      <c r="AF24" s="20" t="s">
        <v>52</v>
      </c>
    </row>
    <row r="25" customFormat="false" ht="31.5" hidden="false" customHeight="false" outlineLevel="0" collapsed="false">
      <c r="A25" s="16"/>
      <c r="B25" s="16"/>
      <c r="C25" s="17"/>
      <c r="D25" s="18"/>
      <c r="E25" s="16"/>
      <c r="F25" s="16"/>
      <c r="G25" s="16"/>
      <c r="H25" s="16"/>
      <c r="I25" s="16"/>
      <c r="J25" s="16"/>
      <c r="K25" s="16"/>
      <c r="L25" s="19"/>
      <c r="M25" s="16"/>
      <c r="N25" s="19"/>
      <c r="O25" s="16"/>
      <c r="P25" s="16"/>
      <c r="Q25" s="30"/>
      <c r="R25" s="31"/>
      <c r="S25" s="16"/>
      <c r="T25" s="30"/>
      <c r="U25" s="20"/>
      <c r="V25" s="16"/>
      <c r="W25" s="16"/>
      <c r="X25" s="16"/>
      <c r="Y25" s="16"/>
      <c r="Z25" s="16"/>
      <c r="AA25" s="32" t="s">
        <v>50</v>
      </c>
      <c r="AB25" s="32" t="n">
        <v>5</v>
      </c>
      <c r="AC25" s="42" t="s">
        <v>95</v>
      </c>
      <c r="AD25" s="30" t="n">
        <v>27.10951</v>
      </c>
      <c r="AE25" s="30" t="n">
        <v>72.864561</v>
      </c>
      <c r="AF25" s="20" t="s">
        <v>52</v>
      </c>
    </row>
    <row r="26" customFormat="false" ht="31.5" hidden="false" customHeight="false" outlineLevel="0" collapsed="false">
      <c r="A26" s="16" t="s">
        <v>42</v>
      </c>
      <c r="B26" s="16" t="s">
        <v>43</v>
      </c>
      <c r="C26" s="17" t="s">
        <v>90</v>
      </c>
      <c r="D26" s="28" t="s">
        <v>96</v>
      </c>
      <c r="E26" s="16" t="s">
        <v>97</v>
      </c>
      <c r="F26" s="16" t="n">
        <v>1437</v>
      </c>
      <c r="G26" s="16" t="n">
        <v>324</v>
      </c>
      <c r="H26" s="16" t="n">
        <v>1797</v>
      </c>
      <c r="I26" s="16" t="n">
        <v>956</v>
      </c>
      <c r="J26" s="16" t="n">
        <v>841</v>
      </c>
      <c r="K26" s="16" t="n">
        <v>186</v>
      </c>
      <c r="L26" s="19" t="n">
        <f aca="false">(K26/H26)*100</f>
        <v>10.3505843071786</v>
      </c>
      <c r="M26" s="16" t="n">
        <v>7</v>
      </c>
      <c r="N26" s="19" t="n">
        <f aca="false">(M26/H26)*100</f>
        <v>0.389538119087368</v>
      </c>
      <c r="O26" s="16" t="n">
        <v>0</v>
      </c>
      <c r="P26" s="16" t="n">
        <v>0</v>
      </c>
      <c r="Q26" s="24" t="s">
        <v>49</v>
      </c>
      <c r="R26" s="34" t="n">
        <v>45976</v>
      </c>
      <c r="S26" s="16"/>
      <c r="T26" s="20" t="n">
        <v>0.15</v>
      </c>
      <c r="U26" s="20"/>
      <c r="V26" s="16"/>
      <c r="W26" s="16"/>
      <c r="X26" s="16"/>
      <c r="Y26" s="16"/>
      <c r="Z26" s="16"/>
      <c r="AA26" s="26" t="s">
        <v>50</v>
      </c>
      <c r="AB26" s="21"/>
      <c r="AC26" s="36"/>
      <c r="AD26" s="20"/>
      <c r="AE26" s="20"/>
      <c r="AF26" s="20" t="s">
        <v>52</v>
      </c>
    </row>
    <row r="27" customFormat="false" ht="15.75" hidden="false" customHeight="false" outlineLevel="0" collapsed="false">
      <c r="A27" s="16" t="s">
        <v>42</v>
      </c>
      <c r="B27" s="16" t="s">
        <v>43</v>
      </c>
      <c r="C27" s="17" t="s">
        <v>98</v>
      </c>
      <c r="D27" s="18" t="s">
        <v>99</v>
      </c>
      <c r="E27" s="16" t="s">
        <v>100</v>
      </c>
      <c r="F27" s="16" t="n">
        <v>3721</v>
      </c>
      <c r="G27" s="16" t="n">
        <v>389</v>
      </c>
      <c r="H27" s="16" t="n">
        <v>2378</v>
      </c>
      <c r="I27" s="16" t="n">
        <v>1266</v>
      </c>
      <c r="J27" s="16" t="n">
        <v>1112</v>
      </c>
      <c r="K27" s="16" t="n">
        <v>635</v>
      </c>
      <c r="L27" s="19" t="n">
        <f aca="false">(K27/H27)*100</f>
        <v>26.7031118587048</v>
      </c>
      <c r="M27" s="16" t="n">
        <v>125</v>
      </c>
      <c r="N27" s="19" t="n">
        <f aca="false">(M27/H27)*100</f>
        <v>5.2565180824222</v>
      </c>
      <c r="O27" s="16" t="n">
        <v>364</v>
      </c>
      <c r="P27" s="16" t="n">
        <v>0</v>
      </c>
      <c r="Q27" s="24" t="s">
        <v>49</v>
      </c>
      <c r="R27" s="34" t="n">
        <v>45976</v>
      </c>
      <c r="S27" s="16"/>
      <c r="T27" s="20" t="n">
        <v>0.97</v>
      </c>
      <c r="U27" s="20"/>
      <c r="V27" s="16"/>
      <c r="W27" s="16"/>
      <c r="X27" s="16"/>
      <c r="Y27" s="16"/>
      <c r="Z27" s="16"/>
      <c r="AA27" s="26" t="s">
        <v>50</v>
      </c>
      <c r="AB27" s="21" t="n">
        <v>6</v>
      </c>
      <c r="AC27" s="36" t="s">
        <v>101</v>
      </c>
      <c r="AD27" s="20" t="n">
        <v>27.087273</v>
      </c>
      <c r="AE27" s="20" t="n">
        <v>72.699377</v>
      </c>
      <c r="AF27" s="20" t="s">
        <v>52</v>
      </c>
    </row>
    <row r="28" customFormat="false" ht="15.75" hidden="false" customHeight="false" outlineLevel="0" collapsed="false">
      <c r="A28" s="16"/>
      <c r="B28" s="16"/>
      <c r="C28" s="17"/>
      <c r="D28" s="18"/>
      <c r="E28" s="16"/>
      <c r="F28" s="16"/>
      <c r="G28" s="16"/>
      <c r="H28" s="16"/>
      <c r="I28" s="16"/>
      <c r="J28" s="16"/>
      <c r="K28" s="16"/>
      <c r="L28" s="19"/>
      <c r="M28" s="16"/>
      <c r="N28" s="19"/>
      <c r="O28" s="16"/>
      <c r="P28" s="16"/>
      <c r="Q28" s="30"/>
      <c r="R28" s="31"/>
      <c r="S28" s="16"/>
      <c r="T28" s="30"/>
      <c r="U28" s="20"/>
      <c r="V28" s="16"/>
      <c r="W28" s="16"/>
      <c r="X28" s="16"/>
      <c r="Y28" s="16"/>
      <c r="Z28" s="16"/>
      <c r="AA28" s="32" t="s">
        <v>50</v>
      </c>
      <c r="AB28" s="32" t="n">
        <v>6</v>
      </c>
      <c r="AC28" s="42" t="s">
        <v>102</v>
      </c>
      <c r="AD28" s="30" t="n">
        <v>27.084478</v>
      </c>
      <c r="AE28" s="30" t="n">
        <v>72.702895</v>
      </c>
      <c r="AF28" s="20" t="s">
        <v>52</v>
      </c>
    </row>
    <row r="29" customFormat="false" ht="31.5" hidden="false" customHeight="false" outlineLevel="0" collapsed="false">
      <c r="A29" s="16"/>
      <c r="B29" s="16"/>
      <c r="C29" s="17"/>
      <c r="D29" s="18"/>
      <c r="E29" s="16"/>
      <c r="F29" s="16"/>
      <c r="G29" s="16"/>
      <c r="H29" s="16"/>
      <c r="I29" s="16"/>
      <c r="J29" s="16"/>
      <c r="K29" s="16"/>
      <c r="L29" s="19"/>
      <c r="M29" s="16"/>
      <c r="N29" s="19"/>
      <c r="O29" s="16"/>
      <c r="P29" s="16"/>
      <c r="Q29" s="30" t="s">
        <v>49</v>
      </c>
      <c r="R29" s="31"/>
      <c r="S29" s="16"/>
      <c r="T29" s="30"/>
      <c r="U29" s="20"/>
      <c r="V29" s="16"/>
      <c r="W29" s="16"/>
      <c r="X29" s="16"/>
      <c r="Y29" s="16"/>
      <c r="Z29" s="16"/>
      <c r="AA29" s="32" t="s">
        <v>50</v>
      </c>
      <c r="AB29" s="32" t="n">
        <v>18</v>
      </c>
      <c r="AC29" s="42" t="s">
        <v>103</v>
      </c>
      <c r="AD29" s="30" t="n">
        <v>27.082848</v>
      </c>
      <c r="AE29" s="30" t="n">
        <v>72.700925</v>
      </c>
      <c r="AF29" s="20" t="s">
        <v>52</v>
      </c>
    </row>
    <row r="30" customFormat="false" ht="15.75" hidden="false" customHeight="false" outlineLevel="0" collapsed="false">
      <c r="A30" s="16" t="s">
        <v>42</v>
      </c>
      <c r="B30" s="16" t="s">
        <v>43</v>
      </c>
      <c r="C30" s="17" t="s">
        <v>98</v>
      </c>
      <c r="D30" s="28" t="s">
        <v>104</v>
      </c>
      <c r="E30" s="16" t="s">
        <v>105</v>
      </c>
      <c r="F30" s="16" t="n">
        <v>741</v>
      </c>
      <c r="G30" s="16" t="n">
        <v>128</v>
      </c>
      <c r="H30" s="16" t="n">
        <v>765</v>
      </c>
      <c r="I30" s="16" t="n">
        <v>420</v>
      </c>
      <c r="J30" s="16" t="n">
        <v>345</v>
      </c>
      <c r="K30" s="16" t="n">
        <v>87</v>
      </c>
      <c r="L30" s="19" t="n">
        <f aca="false">(K30/H30)*100</f>
        <v>11.3725490196078</v>
      </c>
      <c r="M30" s="16" t="n">
        <v>19</v>
      </c>
      <c r="N30" s="19" t="n">
        <f aca="false">(M30/H30)*100</f>
        <v>2.48366013071895</v>
      </c>
      <c r="O30" s="16" t="n">
        <v>8</v>
      </c>
      <c r="P30" s="16" t="n">
        <v>0</v>
      </c>
      <c r="Q30" s="24" t="s">
        <v>49</v>
      </c>
      <c r="R30" s="34" t="n">
        <v>45976</v>
      </c>
      <c r="S30" s="16"/>
      <c r="T30" s="20" t="n">
        <v>0</v>
      </c>
      <c r="U30" s="20"/>
      <c r="V30" s="16"/>
      <c r="W30" s="16"/>
      <c r="X30" s="16"/>
      <c r="Y30" s="16"/>
      <c r="Z30" s="16"/>
      <c r="AA30" s="26" t="s">
        <v>50</v>
      </c>
      <c r="AB30" s="21"/>
      <c r="AC30" s="36"/>
      <c r="AD30" s="20"/>
      <c r="AE30" s="20"/>
      <c r="AF30" s="20" t="s">
        <v>52</v>
      </c>
    </row>
    <row r="31" customFormat="false" ht="15.75" hidden="false" customHeight="false" outlineLevel="0" collapsed="false">
      <c r="A31" s="16" t="s">
        <v>42</v>
      </c>
      <c r="B31" s="16" t="s">
        <v>43</v>
      </c>
      <c r="C31" s="17" t="s">
        <v>106</v>
      </c>
      <c r="D31" s="18" t="s">
        <v>107</v>
      </c>
      <c r="E31" s="16" t="s">
        <v>108</v>
      </c>
      <c r="F31" s="16" t="n">
        <v>3654.9</v>
      </c>
      <c r="G31" s="16" t="n">
        <v>432</v>
      </c>
      <c r="H31" s="16" t="n">
        <v>2828</v>
      </c>
      <c r="I31" s="16" t="n">
        <v>1491</v>
      </c>
      <c r="J31" s="16" t="n">
        <v>1337</v>
      </c>
      <c r="K31" s="16" t="n">
        <v>1079</v>
      </c>
      <c r="L31" s="19" t="n">
        <f aca="false">(K31/H31)*100</f>
        <v>38.1541725601132</v>
      </c>
      <c r="M31" s="16" t="n">
        <v>114</v>
      </c>
      <c r="N31" s="19" t="n">
        <f aca="false">(M31/H31)*100</f>
        <v>4.03111739745403</v>
      </c>
      <c r="O31" s="16" t="n">
        <v>292</v>
      </c>
      <c r="P31" s="16" t="n">
        <v>0</v>
      </c>
      <c r="Q31" s="20"/>
      <c r="R31" s="21"/>
      <c r="S31" s="16"/>
      <c r="T31" s="20"/>
      <c r="U31" s="20"/>
      <c r="V31" s="16"/>
      <c r="W31" s="16"/>
      <c r="X31" s="16"/>
      <c r="Y31" s="16"/>
      <c r="Z31" s="16"/>
      <c r="AA31" s="21"/>
      <c r="AB31" s="21"/>
      <c r="AC31" s="20"/>
      <c r="AD31" s="20"/>
      <c r="AE31" s="20"/>
      <c r="AF31" s="20" t="s">
        <v>52</v>
      </c>
    </row>
    <row r="32" customFormat="false" ht="15.75" hidden="false" customHeight="false" outlineLevel="0" collapsed="false">
      <c r="A32" s="16" t="s">
        <v>42</v>
      </c>
      <c r="B32" s="16" t="s">
        <v>43</v>
      </c>
      <c r="C32" s="17" t="s">
        <v>106</v>
      </c>
      <c r="D32" s="28" t="s">
        <v>109</v>
      </c>
      <c r="E32" s="16" t="s">
        <v>110</v>
      </c>
      <c r="F32" s="16" t="n">
        <v>1244.3</v>
      </c>
      <c r="G32" s="16" t="n">
        <v>126</v>
      </c>
      <c r="H32" s="16" t="n">
        <v>766</v>
      </c>
      <c r="I32" s="16" t="n">
        <v>390</v>
      </c>
      <c r="J32" s="16" t="n">
        <v>376</v>
      </c>
      <c r="K32" s="16" t="n">
        <v>244</v>
      </c>
      <c r="L32" s="19" t="n">
        <f aca="false">(K32/H32)*100</f>
        <v>31.8537859007833</v>
      </c>
      <c r="M32" s="16" t="n">
        <v>110</v>
      </c>
      <c r="N32" s="19" t="n">
        <f aca="false">(M32/H32)*100</f>
        <v>14.3603133159269</v>
      </c>
      <c r="O32" s="16" t="n">
        <v>0</v>
      </c>
      <c r="P32" s="16" t="n">
        <v>0</v>
      </c>
      <c r="Q32" s="20"/>
      <c r="R32" s="21"/>
      <c r="S32" s="16"/>
      <c r="T32" s="20"/>
      <c r="U32" s="20"/>
      <c r="V32" s="16"/>
      <c r="W32" s="16"/>
      <c r="X32" s="16"/>
      <c r="Y32" s="16"/>
      <c r="Z32" s="16"/>
      <c r="AA32" s="21"/>
      <c r="AB32" s="21"/>
      <c r="AC32" s="20"/>
      <c r="AD32" s="20"/>
      <c r="AE32" s="20"/>
      <c r="AF32" s="20" t="s">
        <v>52</v>
      </c>
    </row>
    <row r="33" customFormat="false" ht="15.75" hidden="false" customHeight="false" outlineLevel="0" collapsed="false">
      <c r="A33" s="16" t="s">
        <v>42</v>
      </c>
      <c r="B33" s="16" t="s">
        <v>43</v>
      </c>
      <c r="C33" s="17" t="s">
        <v>106</v>
      </c>
      <c r="D33" s="28" t="s">
        <v>111</v>
      </c>
      <c r="E33" s="16" t="s">
        <v>112</v>
      </c>
      <c r="F33" s="16" t="n">
        <v>1550.07</v>
      </c>
      <c r="G33" s="16" t="n">
        <v>180</v>
      </c>
      <c r="H33" s="16" t="n">
        <v>1114</v>
      </c>
      <c r="I33" s="16" t="n">
        <v>579</v>
      </c>
      <c r="J33" s="16" t="n">
        <v>535</v>
      </c>
      <c r="K33" s="16" t="n">
        <v>124</v>
      </c>
      <c r="L33" s="19" t="n">
        <f aca="false">(K33/H33)*100</f>
        <v>11.1310592459605</v>
      </c>
      <c r="M33" s="16" t="n">
        <v>243</v>
      </c>
      <c r="N33" s="19" t="n">
        <f aca="false">(M33/H33)*100</f>
        <v>21.8132854578097</v>
      </c>
      <c r="O33" s="16" t="n">
        <v>0</v>
      </c>
      <c r="P33" s="16" t="n">
        <v>0</v>
      </c>
      <c r="Q33" s="20"/>
      <c r="R33" s="21"/>
      <c r="S33" s="16"/>
      <c r="T33" s="20"/>
      <c r="U33" s="20"/>
      <c r="V33" s="16"/>
      <c r="W33" s="16"/>
      <c r="X33" s="16"/>
      <c r="Y33" s="16"/>
      <c r="Z33" s="16"/>
      <c r="AA33" s="21"/>
      <c r="AB33" s="21"/>
      <c r="AC33" s="20"/>
      <c r="AD33" s="20"/>
      <c r="AE33" s="20"/>
      <c r="AF33" s="20" t="s">
        <v>52</v>
      </c>
    </row>
    <row r="34" customFormat="false" ht="15.75" hidden="false" customHeight="false" outlineLevel="0" collapsed="false">
      <c r="A34" s="16" t="s">
        <v>42</v>
      </c>
      <c r="B34" s="16" t="s">
        <v>43</v>
      </c>
      <c r="C34" s="17" t="s">
        <v>113</v>
      </c>
      <c r="D34" s="18" t="s">
        <v>114</v>
      </c>
      <c r="E34" s="16" t="s">
        <v>115</v>
      </c>
      <c r="F34" s="16" t="n">
        <v>1496.34</v>
      </c>
      <c r="G34" s="16" t="n">
        <v>354</v>
      </c>
      <c r="H34" s="16" t="n">
        <v>1966</v>
      </c>
      <c r="I34" s="16" t="n">
        <v>998</v>
      </c>
      <c r="J34" s="16" t="n">
        <v>968</v>
      </c>
      <c r="K34" s="16" t="n">
        <v>263</v>
      </c>
      <c r="L34" s="19" t="n">
        <f aca="false">(K34/H34)*100</f>
        <v>13.3774160732452</v>
      </c>
      <c r="M34" s="16" t="n">
        <v>22</v>
      </c>
      <c r="N34" s="19" t="n">
        <f aca="false">(M34/H34)*100</f>
        <v>1.11902339776195</v>
      </c>
      <c r="O34" s="16" t="n">
        <v>113.31</v>
      </c>
      <c r="P34" s="16" t="n">
        <v>0</v>
      </c>
      <c r="Q34" s="24" t="s">
        <v>49</v>
      </c>
      <c r="R34" s="34" t="n">
        <v>45976</v>
      </c>
      <c r="S34" s="16"/>
      <c r="T34" s="20" t="n">
        <v>1.61</v>
      </c>
      <c r="U34" s="20"/>
      <c r="V34" s="16"/>
      <c r="W34" s="16"/>
      <c r="X34" s="16"/>
      <c r="Y34" s="16"/>
      <c r="Z34" s="16"/>
      <c r="AA34" s="26" t="s">
        <v>50</v>
      </c>
      <c r="AB34" s="21" t="n">
        <v>10</v>
      </c>
      <c r="AC34" s="36" t="s">
        <v>116</v>
      </c>
      <c r="AD34" s="20" t="n">
        <v>27.085808</v>
      </c>
      <c r="AE34" s="20" t="n">
        <v>72.80578</v>
      </c>
      <c r="AF34" s="20" t="s">
        <v>52</v>
      </c>
    </row>
    <row r="35" customFormat="false" ht="15.75" hidden="false" customHeight="false" outlineLevel="0" collapsed="false">
      <c r="A35" s="16"/>
      <c r="B35" s="16"/>
      <c r="C35" s="17"/>
      <c r="D35" s="18"/>
      <c r="E35" s="16"/>
      <c r="F35" s="16"/>
      <c r="G35" s="16"/>
      <c r="H35" s="16"/>
      <c r="I35" s="16"/>
      <c r="J35" s="16"/>
      <c r="K35" s="16"/>
      <c r="L35" s="19"/>
      <c r="M35" s="16"/>
      <c r="N35" s="19"/>
      <c r="O35" s="16"/>
      <c r="P35" s="16"/>
      <c r="Q35" s="30"/>
      <c r="R35" s="31"/>
      <c r="S35" s="16"/>
      <c r="T35" s="30"/>
      <c r="U35" s="20"/>
      <c r="V35" s="16"/>
      <c r="W35" s="16"/>
      <c r="X35" s="16"/>
      <c r="Y35" s="16"/>
      <c r="Z35" s="16"/>
      <c r="AA35" s="32" t="s">
        <v>50</v>
      </c>
      <c r="AB35" s="32" t="n">
        <v>5</v>
      </c>
      <c r="AC35" s="42" t="s">
        <v>117</v>
      </c>
      <c r="AD35" s="30" t="n">
        <v>27.08591</v>
      </c>
      <c r="AE35" s="30" t="n">
        <v>72.805484</v>
      </c>
      <c r="AF35" s="20" t="s">
        <v>52</v>
      </c>
    </row>
    <row r="36" customFormat="false" ht="31.5" hidden="false" customHeight="false" outlineLevel="0" collapsed="false">
      <c r="A36" s="16"/>
      <c r="B36" s="16"/>
      <c r="C36" s="17"/>
      <c r="D36" s="18"/>
      <c r="E36" s="16"/>
      <c r="F36" s="16"/>
      <c r="G36" s="16"/>
      <c r="H36" s="16"/>
      <c r="I36" s="16"/>
      <c r="J36" s="16"/>
      <c r="K36" s="16"/>
      <c r="L36" s="19"/>
      <c r="M36" s="16"/>
      <c r="N36" s="19"/>
      <c r="O36" s="16"/>
      <c r="P36" s="16"/>
      <c r="Q36" s="30"/>
      <c r="R36" s="31"/>
      <c r="S36" s="16"/>
      <c r="T36" s="30"/>
      <c r="U36" s="20"/>
      <c r="V36" s="16"/>
      <c r="W36" s="16"/>
      <c r="X36" s="16"/>
      <c r="Y36" s="16"/>
      <c r="Z36" s="16"/>
      <c r="AA36" s="32" t="s">
        <v>50</v>
      </c>
      <c r="AB36" s="32" t="n">
        <v>12</v>
      </c>
      <c r="AC36" s="42" t="s">
        <v>118</v>
      </c>
      <c r="AD36" s="30" t="n">
        <v>27.085159</v>
      </c>
      <c r="AE36" s="30" t="n">
        <v>72.805452</v>
      </c>
      <c r="AF36" s="20" t="s">
        <v>52</v>
      </c>
    </row>
    <row r="37" customFormat="false" ht="15.75" hidden="false" customHeight="false" outlineLevel="0" collapsed="false">
      <c r="A37" s="16"/>
      <c r="B37" s="16"/>
      <c r="C37" s="17"/>
      <c r="D37" s="18"/>
      <c r="E37" s="16"/>
      <c r="F37" s="16"/>
      <c r="G37" s="16"/>
      <c r="H37" s="16"/>
      <c r="I37" s="16"/>
      <c r="J37" s="16"/>
      <c r="K37" s="16"/>
      <c r="L37" s="19"/>
      <c r="M37" s="16"/>
      <c r="N37" s="19"/>
      <c r="O37" s="16"/>
      <c r="P37" s="16"/>
      <c r="Q37" s="30"/>
      <c r="R37" s="31"/>
      <c r="S37" s="16"/>
      <c r="T37" s="30"/>
      <c r="U37" s="20"/>
      <c r="V37" s="16"/>
      <c r="W37" s="16"/>
      <c r="X37" s="16"/>
      <c r="Y37" s="16"/>
      <c r="Z37" s="16"/>
      <c r="AA37" s="32" t="s">
        <v>50</v>
      </c>
      <c r="AB37" s="32" t="n">
        <v>15</v>
      </c>
      <c r="AC37" s="42" t="s">
        <v>119</v>
      </c>
      <c r="AD37" s="30" t="n">
        <v>27.087805</v>
      </c>
      <c r="AE37" s="30" t="n">
        <v>72.802527</v>
      </c>
      <c r="AF37" s="20" t="s">
        <v>52</v>
      </c>
    </row>
    <row r="38" customFormat="false" ht="15.75" hidden="false" customHeight="false" outlineLevel="0" collapsed="false">
      <c r="A38" s="16"/>
      <c r="B38" s="16"/>
      <c r="C38" s="17"/>
      <c r="D38" s="18"/>
      <c r="E38" s="16"/>
      <c r="F38" s="16"/>
      <c r="G38" s="16"/>
      <c r="H38" s="16"/>
      <c r="I38" s="16"/>
      <c r="J38" s="16"/>
      <c r="K38" s="16"/>
      <c r="L38" s="19"/>
      <c r="M38" s="16"/>
      <c r="N38" s="19"/>
      <c r="O38" s="16"/>
      <c r="P38" s="16"/>
      <c r="Q38" s="30"/>
      <c r="R38" s="31"/>
      <c r="S38" s="16"/>
      <c r="T38" s="30"/>
      <c r="U38" s="20"/>
      <c r="V38" s="16"/>
      <c r="W38" s="16"/>
      <c r="X38" s="16"/>
      <c r="Y38" s="16"/>
      <c r="Z38" s="16"/>
      <c r="AA38" s="32" t="s">
        <v>50</v>
      </c>
      <c r="AB38" s="32" t="n">
        <v>10</v>
      </c>
      <c r="AC38" s="42" t="s">
        <v>120</v>
      </c>
      <c r="AD38" s="30" t="n">
        <v>27.087673</v>
      </c>
      <c r="AE38" s="30" t="n">
        <v>72.802237</v>
      </c>
      <c r="AF38" s="20" t="s">
        <v>52</v>
      </c>
    </row>
    <row r="39" customFormat="false" ht="15.75" hidden="false" customHeight="false" outlineLevel="0" collapsed="false">
      <c r="A39" s="16" t="s">
        <v>42</v>
      </c>
      <c r="B39" s="16" t="s">
        <v>43</v>
      </c>
      <c r="C39" s="17" t="s">
        <v>113</v>
      </c>
      <c r="D39" s="28" t="s">
        <v>121</v>
      </c>
      <c r="E39" s="16" t="s">
        <v>122</v>
      </c>
      <c r="F39" s="16" t="n">
        <v>1059</v>
      </c>
      <c r="G39" s="16" t="n">
        <v>103</v>
      </c>
      <c r="H39" s="16" t="n">
        <v>651</v>
      </c>
      <c r="I39" s="16" t="n">
        <v>353</v>
      </c>
      <c r="J39" s="16" t="n">
        <v>298</v>
      </c>
      <c r="K39" s="16" t="n">
        <v>17</v>
      </c>
      <c r="L39" s="19" t="n">
        <f aca="false">(K39/H39)*100</f>
        <v>2.61136712749616</v>
      </c>
      <c r="M39" s="16" t="n">
        <v>59</v>
      </c>
      <c r="N39" s="19" t="n">
        <f aca="false">(M39/H39)*100</f>
        <v>9.06298003072197</v>
      </c>
      <c r="O39" s="16" t="n">
        <v>20</v>
      </c>
      <c r="P39" s="16" t="n">
        <v>0</v>
      </c>
      <c r="Q39" s="24" t="s">
        <v>49</v>
      </c>
      <c r="R39" s="34" t="n">
        <v>45976</v>
      </c>
      <c r="S39" s="16"/>
      <c r="T39" s="20" t="n">
        <v>18.12</v>
      </c>
      <c r="U39" s="20"/>
      <c r="V39" s="16"/>
      <c r="W39" s="16"/>
      <c r="X39" s="16"/>
      <c r="Y39" s="16"/>
      <c r="Z39" s="16"/>
      <c r="AA39" s="26" t="s">
        <v>50</v>
      </c>
      <c r="AB39" s="21" t="n">
        <v>5</v>
      </c>
      <c r="AC39" s="36" t="s">
        <v>123</v>
      </c>
      <c r="AD39" s="20"/>
      <c r="AE39" s="20"/>
      <c r="AF39" s="20" t="s">
        <v>52</v>
      </c>
    </row>
    <row r="40" customFormat="false" ht="15.75" hidden="false" customHeight="false" outlineLevel="0" collapsed="false">
      <c r="A40" s="16" t="s">
        <v>42</v>
      </c>
      <c r="B40" s="16" t="s">
        <v>43</v>
      </c>
      <c r="C40" s="17" t="s">
        <v>124</v>
      </c>
      <c r="D40" s="18" t="s">
        <v>125</v>
      </c>
      <c r="E40" s="16" t="s">
        <v>126</v>
      </c>
      <c r="F40" s="16" t="n">
        <v>1093</v>
      </c>
      <c r="G40" s="16" t="n">
        <v>156</v>
      </c>
      <c r="H40" s="16" t="n">
        <v>1031</v>
      </c>
      <c r="I40" s="16" t="n">
        <v>540</v>
      </c>
      <c r="J40" s="16" t="n">
        <v>491</v>
      </c>
      <c r="K40" s="16" t="n">
        <v>29</v>
      </c>
      <c r="L40" s="19" t="n">
        <f aca="false">(K40/H40)*100</f>
        <v>2.81280310378274</v>
      </c>
      <c r="M40" s="16" t="n">
        <v>0</v>
      </c>
      <c r="N40" s="19" t="n">
        <f aca="false">(M40/H40)*100</f>
        <v>0</v>
      </c>
      <c r="O40" s="16" t="n">
        <v>64</v>
      </c>
      <c r="P40" s="16" t="n">
        <v>0</v>
      </c>
      <c r="Q40" s="24" t="s">
        <v>49</v>
      </c>
      <c r="R40" s="34" t="n">
        <v>45976</v>
      </c>
      <c r="S40" s="16"/>
      <c r="T40" s="20" t="n">
        <v>0.8</v>
      </c>
      <c r="U40" s="20"/>
      <c r="V40" s="16"/>
      <c r="W40" s="16"/>
      <c r="X40" s="16"/>
      <c r="Y40" s="16"/>
      <c r="Z40" s="16"/>
      <c r="AA40" s="26" t="s">
        <v>50</v>
      </c>
      <c r="AB40" s="21"/>
      <c r="AC40" s="36"/>
      <c r="AD40" s="20"/>
      <c r="AE40" s="20"/>
      <c r="AF40" s="20" t="s">
        <v>52</v>
      </c>
    </row>
    <row r="41" customFormat="false" ht="15.75" hidden="false" customHeight="false" outlineLevel="0" collapsed="false">
      <c r="A41" s="16" t="s">
        <v>42</v>
      </c>
      <c r="B41" s="16" t="s">
        <v>43</v>
      </c>
      <c r="C41" s="17" t="s">
        <v>124</v>
      </c>
      <c r="D41" s="28" t="s">
        <v>127</v>
      </c>
      <c r="E41" s="16" t="s">
        <v>128</v>
      </c>
      <c r="F41" s="16" t="n">
        <v>547</v>
      </c>
      <c r="G41" s="16" t="n">
        <v>81</v>
      </c>
      <c r="H41" s="16" t="n">
        <v>503</v>
      </c>
      <c r="I41" s="16" t="n">
        <v>261</v>
      </c>
      <c r="J41" s="16" t="n">
        <v>242</v>
      </c>
      <c r="K41" s="16" t="n">
        <v>0</v>
      </c>
      <c r="L41" s="19" t="n">
        <f aca="false">(K41/H41)*100</f>
        <v>0</v>
      </c>
      <c r="M41" s="16" t="n">
        <v>0</v>
      </c>
      <c r="N41" s="19" t="n">
        <f aca="false">(M41/H41)*100</f>
        <v>0</v>
      </c>
      <c r="O41" s="16" t="n">
        <v>23</v>
      </c>
      <c r="P41" s="16" t="n">
        <v>0</v>
      </c>
      <c r="Q41" s="24" t="s">
        <v>49</v>
      </c>
      <c r="R41" s="34" t="n">
        <v>45976</v>
      </c>
      <c r="S41" s="16"/>
      <c r="T41" s="20" t="n">
        <v>2.84</v>
      </c>
      <c r="U41" s="20"/>
      <c r="V41" s="16"/>
      <c r="W41" s="16"/>
      <c r="X41" s="16"/>
      <c r="Y41" s="16"/>
      <c r="Z41" s="16"/>
      <c r="AA41" s="26" t="s">
        <v>50</v>
      </c>
      <c r="AB41" s="21"/>
      <c r="AC41" s="36"/>
      <c r="AD41" s="20"/>
      <c r="AE41" s="20"/>
      <c r="AF41" s="20" t="s">
        <v>52</v>
      </c>
    </row>
    <row r="42" customFormat="false" ht="15.75" hidden="false" customHeight="false" outlineLevel="0" collapsed="false">
      <c r="A42" s="16" t="s">
        <v>42</v>
      </c>
      <c r="B42" s="16" t="s">
        <v>43</v>
      </c>
      <c r="C42" s="17" t="s">
        <v>124</v>
      </c>
      <c r="D42" s="28" t="s">
        <v>129</v>
      </c>
      <c r="E42" s="16" t="s">
        <v>130</v>
      </c>
      <c r="F42" s="16" t="n">
        <v>804</v>
      </c>
      <c r="G42" s="16" t="n">
        <v>58</v>
      </c>
      <c r="H42" s="16" t="n">
        <v>274</v>
      </c>
      <c r="I42" s="16" t="n">
        <v>141</v>
      </c>
      <c r="J42" s="16" t="n">
        <v>133</v>
      </c>
      <c r="K42" s="16" t="n">
        <v>0</v>
      </c>
      <c r="L42" s="19" t="n">
        <f aca="false">(K42/H42)*100</f>
        <v>0</v>
      </c>
      <c r="M42" s="16" t="n">
        <v>0</v>
      </c>
      <c r="N42" s="19" t="n">
        <f aca="false">(M42/H42)*100</f>
        <v>0</v>
      </c>
      <c r="O42" s="16" t="n">
        <v>14</v>
      </c>
      <c r="P42" s="16" t="n">
        <v>0</v>
      </c>
      <c r="Q42" s="24" t="s">
        <v>49</v>
      </c>
      <c r="R42" s="34" t="n">
        <v>45976</v>
      </c>
      <c r="S42" s="16"/>
      <c r="T42" s="20" t="n">
        <v>0</v>
      </c>
      <c r="U42" s="20"/>
      <c r="V42" s="16"/>
      <c r="W42" s="16"/>
      <c r="X42" s="16"/>
      <c r="Y42" s="16"/>
      <c r="Z42" s="16"/>
      <c r="AA42" s="26" t="s">
        <v>50</v>
      </c>
      <c r="AB42" s="21"/>
      <c r="AC42" s="36"/>
      <c r="AD42" s="20"/>
      <c r="AE42" s="20"/>
      <c r="AF42" s="20" t="s">
        <v>52</v>
      </c>
    </row>
    <row r="43" customFormat="false" ht="15.75" hidden="false" customHeight="false" outlineLevel="0" collapsed="false">
      <c r="A43" s="16" t="s">
        <v>42</v>
      </c>
      <c r="B43" s="16" t="s">
        <v>43</v>
      </c>
      <c r="C43" s="17" t="s">
        <v>124</v>
      </c>
      <c r="D43" s="28" t="s">
        <v>131</v>
      </c>
      <c r="E43" s="16" t="s">
        <v>132</v>
      </c>
      <c r="F43" s="16" t="n">
        <v>633</v>
      </c>
      <c r="G43" s="16" t="n">
        <v>108</v>
      </c>
      <c r="H43" s="16" t="n">
        <v>688</v>
      </c>
      <c r="I43" s="16" t="n">
        <v>361</v>
      </c>
      <c r="J43" s="16" t="n">
        <v>327</v>
      </c>
      <c r="K43" s="16" t="n">
        <v>281</v>
      </c>
      <c r="L43" s="19" t="n">
        <f aca="false">(K43/H43)*100</f>
        <v>40.843023255814</v>
      </c>
      <c r="M43" s="16" t="n">
        <v>43</v>
      </c>
      <c r="N43" s="19" t="n">
        <f aca="false">(M43/H43)*100</f>
        <v>6.25</v>
      </c>
      <c r="O43" s="16" t="n">
        <v>30</v>
      </c>
      <c r="P43" s="16" t="n">
        <v>0</v>
      </c>
      <c r="Q43" s="24" t="s">
        <v>49</v>
      </c>
      <c r="R43" s="34" t="n">
        <v>45976</v>
      </c>
      <c r="S43" s="16"/>
      <c r="T43" s="20" t="n">
        <v>13.59</v>
      </c>
      <c r="U43" s="20"/>
      <c r="V43" s="16"/>
      <c r="W43" s="16"/>
      <c r="X43" s="16"/>
      <c r="Y43" s="16"/>
      <c r="Z43" s="16"/>
      <c r="AA43" s="26" t="s">
        <v>50</v>
      </c>
      <c r="AB43" s="21" t="n">
        <v>10</v>
      </c>
      <c r="AC43" s="36" t="s">
        <v>133</v>
      </c>
      <c r="AD43" s="20"/>
      <c r="AE43" s="20"/>
      <c r="AF43" s="20" t="s">
        <v>52</v>
      </c>
    </row>
    <row r="44" customFormat="false" ht="15.75" hidden="false" customHeight="false" outlineLevel="0" collapsed="false">
      <c r="A44" s="16" t="s">
        <v>42</v>
      </c>
      <c r="B44" s="16" t="s">
        <v>43</v>
      </c>
      <c r="C44" s="17" t="s">
        <v>124</v>
      </c>
      <c r="D44" s="28" t="s">
        <v>134</v>
      </c>
      <c r="E44" s="16" t="s">
        <v>135</v>
      </c>
      <c r="F44" s="16" t="n">
        <v>1553</v>
      </c>
      <c r="G44" s="16" t="n">
        <v>122</v>
      </c>
      <c r="H44" s="16" t="n">
        <v>791</v>
      </c>
      <c r="I44" s="16" t="n">
        <v>420</v>
      </c>
      <c r="J44" s="16" t="n">
        <v>371</v>
      </c>
      <c r="K44" s="16" t="n">
        <v>33</v>
      </c>
      <c r="L44" s="19" t="n">
        <f aca="false">(K44/H44)*100</f>
        <v>4.17193426042984</v>
      </c>
      <c r="M44" s="16" t="n">
        <v>0</v>
      </c>
      <c r="N44" s="19" t="n">
        <f aca="false">(M44/H44)*100</f>
        <v>0</v>
      </c>
      <c r="O44" s="16" t="n">
        <v>35</v>
      </c>
      <c r="P44" s="16" t="n">
        <v>0</v>
      </c>
      <c r="Q44" s="24" t="s">
        <v>49</v>
      </c>
      <c r="R44" s="34" t="n">
        <v>45976</v>
      </c>
      <c r="S44" s="16"/>
      <c r="T44" s="20" t="n">
        <v>0</v>
      </c>
      <c r="U44" s="20"/>
      <c r="V44" s="16"/>
      <c r="W44" s="16"/>
      <c r="X44" s="16"/>
      <c r="Y44" s="16"/>
      <c r="Z44" s="16"/>
      <c r="AA44" s="26" t="s">
        <v>50</v>
      </c>
      <c r="AB44" s="21" t="n">
        <v>10</v>
      </c>
      <c r="AC44" s="36" t="s">
        <v>136</v>
      </c>
      <c r="AD44" s="20"/>
      <c r="AE44" s="20"/>
      <c r="AF44" s="20" t="s">
        <v>52</v>
      </c>
    </row>
    <row r="45" customFormat="false" ht="17.25" hidden="false" customHeight="false" outlineLevel="0" collapsed="false">
      <c r="A45" s="16" t="s">
        <v>42</v>
      </c>
      <c r="B45" s="16" t="s">
        <v>43</v>
      </c>
      <c r="C45" s="17" t="s">
        <v>137</v>
      </c>
      <c r="D45" s="18" t="s">
        <v>138</v>
      </c>
      <c r="E45" s="16" t="s">
        <v>139</v>
      </c>
      <c r="F45" s="16" t="n">
        <v>1397</v>
      </c>
      <c r="G45" s="16" t="n">
        <v>428</v>
      </c>
      <c r="H45" s="16" t="n">
        <v>2224</v>
      </c>
      <c r="I45" s="16" t="n">
        <v>1172</v>
      </c>
      <c r="J45" s="16" t="n">
        <v>1052</v>
      </c>
      <c r="K45" s="16" t="n">
        <v>294</v>
      </c>
      <c r="L45" s="19" t="n">
        <f aca="false">(K45/H45)*100</f>
        <v>13.2194244604317</v>
      </c>
      <c r="M45" s="16" t="n">
        <v>51</v>
      </c>
      <c r="N45" s="19" t="n">
        <f aca="false">(M45/H45)*100</f>
        <v>2.2931654676259</v>
      </c>
      <c r="O45" s="16" t="n">
        <v>122</v>
      </c>
      <c r="P45" s="16" t="n">
        <v>0</v>
      </c>
      <c r="Q45" s="24" t="s">
        <v>49</v>
      </c>
      <c r="R45" s="34" t="n">
        <v>45976</v>
      </c>
      <c r="S45" s="16"/>
      <c r="T45" s="20" t="n">
        <v>57.57</v>
      </c>
      <c r="U45" s="20"/>
      <c r="V45" s="16"/>
      <c r="W45" s="16"/>
      <c r="X45" s="16"/>
      <c r="Y45" s="16"/>
      <c r="Z45" s="16"/>
      <c r="AA45" s="26" t="s">
        <v>50</v>
      </c>
      <c r="AB45" s="21" t="n">
        <v>5</v>
      </c>
      <c r="AC45" s="43" t="s">
        <v>140</v>
      </c>
      <c r="AD45" s="37" t="n">
        <v>27.13348</v>
      </c>
      <c r="AE45" s="37" t="n">
        <v>72.626644</v>
      </c>
      <c r="AF45" s="20" t="s">
        <v>52</v>
      </c>
    </row>
    <row r="46" customFormat="false" ht="17.25" hidden="false" customHeight="false" outlineLevel="0" collapsed="false">
      <c r="A46" s="16"/>
      <c r="B46" s="16"/>
      <c r="C46" s="17"/>
      <c r="D46" s="18"/>
      <c r="E46" s="16"/>
      <c r="F46" s="16"/>
      <c r="G46" s="16"/>
      <c r="H46" s="16"/>
      <c r="I46" s="16"/>
      <c r="J46" s="16"/>
      <c r="K46" s="16"/>
      <c r="L46" s="19"/>
      <c r="M46" s="16"/>
      <c r="N46" s="19"/>
      <c r="O46" s="16"/>
      <c r="P46" s="16"/>
      <c r="Q46" s="30"/>
      <c r="R46" s="31"/>
      <c r="S46" s="16"/>
      <c r="T46" s="30"/>
      <c r="U46" s="20"/>
      <c r="V46" s="16"/>
      <c r="W46" s="16"/>
      <c r="X46" s="16"/>
      <c r="Y46" s="16"/>
      <c r="Z46" s="16"/>
      <c r="AA46" s="32" t="s">
        <v>50</v>
      </c>
      <c r="AB46" s="32" t="n">
        <v>5</v>
      </c>
      <c r="AC46" s="44" t="s">
        <v>141</v>
      </c>
      <c r="AD46" s="30" t="n">
        <v>27.13348</v>
      </c>
      <c r="AE46" s="30" t="n">
        <v>72.626354</v>
      </c>
      <c r="AF46" s="20" t="s">
        <v>52</v>
      </c>
    </row>
    <row r="47" customFormat="false" ht="17.25" hidden="false" customHeight="false" outlineLevel="0" collapsed="false">
      <c r="A47" s="16"/>
      <c r="B47" s="16"/>
      <c r="C47" s="17"/>
      <c r="D47" s="18"/>
      <c r="E47" s="16"/>
      <c r="F47" s="16"/>
      <c r="G47" s="16"/>
      <c r="H47" s="16"/>
      <c r="I47" s="16"/>
      <c r="J47" s="16"/>
      <c r="K47" s="16"/>
      <c r="L47" s="19"/>
      <c r="M47" s="16"/>
      <c r="N47" s="19"/>
      <c r="O47" s="16"/>
      <c r="P47" s="16"/>
      <c r="Q47" s="30"/>
      <c r="R47" s="31"/>
      <c r="S47" s="16"/>
      <c r="T47" s="30"/>
      <c r="U47" s="20"/>
      <c r="V47" s="16"/>
      <c r="W47" s="16"/>
      <c r="X47" s="16"/>
      <c r="Y47" s="16"/>
      <c r="Z47" s="16"/>
      <c r="AA47" s="32" t="s">
        <v>50</v>
      </c>
      <c r="AB47" s="32" t="n">
        <v>5</v>
      </c>
      <c r="AC47" s="44" t="s">
        <v>142</v>
      </c>
      <c r="AD47" s="30" t="n">
        <v>27.13954</v>
      </c>
      <c r="AE47" s="30" t="n">
        <v>72.621574</v>
      </c>
      <c r="AF47" s="20" t="s">
        <v>52</v>
      </c>
    </row>
    <row r="48" customFormat="false" ht="34.5" hidden="false" customHeight="false" outlineLevel="0" collapsed="false">
      <c r="A48" s="16"/>
      <c r="B48" s="16"/>
      <c r="C48" s="17"/>
      <c r="D48" s="18"/>
      <c r="E48" s="16"/>
      <c r="F48" s="16"/>
      <c r="G48" s="16"/>
      <c r="H48" s="16"/>
      <c r="I48" s="16"/>
      <c r="J48" s="16"/>
      <c r="K48" s="16"/>
      <c r="L48" s="19"/>
      <c r="M48" s="16"/>
      <c r="N48" s="19"/>
      <c r="O48" s="16"/>
      <c r="P48" s="16"/>
      <c r="Q48" s="30"/>
      <c r="R48" s="31"/>
      <c r="S48" s="16"/>
      <c r="T48" s="30"/>
      <c r="U48" s="20"/>
      <c r="V48" s="16"/>
      <c r="W48" s="16"/>
      <c r="X48" s="16"/>
      <c r="Y48" s="16"/>
      <c r="Z48" s="16"/>
      <c r="AA48" s="32" t="s">
        <v>50</v>
      </c>
      <c r="AB48" s="32" t="n">
        <v>10</v>
      </c>
      <c r="AC48" s="44" t="s">
        <v>143</v>
      </c>
      <c r="AD48" s="30" t="n">
        <v>27.129874</v>
      </c>
      <c r="AE48" s="30" t="n">
        <v>72.61548</v>
      </c>
      <c r="AF48" s="20" t="s">
        <v>52</v>
      </c>
    </row>
    <row r="49" customFormat="false" ht="34.5" hidden="false" customHeight="false" outlineLevel="0" collapsed="false">
      <c r="A49" s="16"/>
      <c r="B49" s="16"/>
      <c r="C49" s="17"/>
      <c r="D49" s="18"/>
      <c r="E49" s="16"/>
      <c r="F49" s="16"/>
      <c r="G49" s="16"/>
      <c r="H49" s="16"/>
      <c r="I49" s="16"/>
      <c r="J49" s="16"/>
      <c r="K49" s="16"/>
      <c r="L49" s="19"/>
      <c r="M49" s="16"/>
      <c r="N49" s="19"/>
      <c r="O49" s="16"/>
      <c r="P49" s="16"/>
      <c r="Q49" s="30"/>
      <c r="R49" s="31"/>
      <c r="S49" s="16"/>
      <c r="T49" s="30"/>
      <c r="U49" s="20"/>
      <c r="V49" s="16"/>
      <c r="W49" s="16"/>
      <c r="X49" s="16"/>
      <c r="Y49" s="16"/>
      <c r="Z49" s="16"/>
      <c r="AA49" s="32" t="s">
        <v>50</v>
      </c>
      <c r="AB49" s="32" t="n">
        <v>8</v>
      </c>
      <c r="AC49" s="44" t="s">
        <v>144</v>
      </c>
      <c r="AD49" s="30" t="n">
        <v>27.1295874</v>
      </c>
      <c r="AE49" s="30" t="n">
        <v>72.623914</v>
      </c>
      <c r="AF49" s="20" t="s">
        <v>52</v>
      </c>
    </row>
    <row r="50" customFormat="false" ht="34.5" hidden="false" customHeight="false" outlineLevel="0" collapsed="false">
      <c r="A50" s="16"/>
      <c r="B50" s="16"/>
      <c r="C50" s="17"/>
      <c r="D50" s="18"/>
      <c r="E50" s="16"/>
      <c r="F50" s="16"/>
      <c r="G50" s="16"/>
      <c r="H50" s="16"/>
      <c r="I50" s="16"/>
      <c r="J50" s="16"/>
      <c r="K50" s="16"/>
      <c r="L50" s="19"/>
      <c r="M50" s="16"/>
      <c r="N50" s="19"/>
      <c r="O50" s="16"/>
      <c r="P50" s="16"/>
      <c r="Q50" s="30"/>
      <c r="R50" s="31"/>
      <c r="S50" s="16"/>
      <c r="T50" s="30"/>
      <c r="U50" s="20"/>
      <c r="V50" s="16"/>
      <c r="W50" s="16"/>
      <c r="X50" s="16"/>
      <c r="Y50" s="16"/>
      <c r="Z50" s="16"/>
      <c r="AA50" s="32" t="s">
        <v>50</v>
      </c>
      <c r="AB50" s="32" t="n">
        <v>5</v>
      </c>
      <c r="AC50" s="44" t="s">
        <v>145</v>
      </c>
      <c r="AD50" s="30" t="n">
        <v>27.124567</v>
      </c>
      <c r="AE50" s="30" t="n">
        <v>72.629457</v>
      </c>
      <c r="AF50" s="20" t="s">
        <v>52</v>
      </c>
    </row>
    <row r="51" customFormat="false" ht="15.75" hidden="false" customHeight="false" outlineLevel="0" collapsed="false">
      <c r="A51" s="16" t="s">
        <v>42</v>
      </c>
      <c r="B51" s="16" t="s">
        <v>43</v>
      </c>
      <c r="C51" s="17" t="s">
        <v>137</v>
      </c>
      <c r="D51" s="28" t="s">
        <v>146</v>
      </c>
      <c r="E51" s="16" t="s">
        <v>147</v>
      </c>
      <c r="F51" s="16" t="n">
        <v>791</v>
      </c>
      <c r="G51" s="16" t="n">
        <v>134</v>
      </c>
      <c r="H51" s="16" t="n">
        <v>765</v>
      </c>
      <c r="I51" s="16" t="n">
        <v>403</v>
      </c>
      <c r="J51" s="16" t="n">
        <v>362</v>
      </c>
      <c r="K51" s="16" t="n">
        <v>212</v>
      </c>
      <c r="L51" s="19" t="n">
        <f aca="false">(K51/H51)*100</f>
        <v>27.7124183006536</v>
      </c>
      <c r="M51" s="16" t="n">
        <v>0</v>
      </c>
      <c r="N51" s="19" t="n">
        <f aca="false">(M51/H51)*100</f>
        <v>0</v>
      </c>
      <c r="O51" s="16" t="n">
        <v>0</v>
      </c>
      <c r="P51" s="16" t="n">
        <v>0</v>
      </c>
      <c r="Q51" s="24" t="s">
        <v>49</v>
      </c>
      <c r="R51" s="34" t="n">
        <v>45976</v>
      </c>
      <c r="S51" s="16"/>
      <c r="T51" s="20" t="n">
        <v>0</v>
      </c>
      <c r="U51" s="20"/>
      <c r="V51" s="16"/>
      <c r="W51" s="16"/>
      <c r="X51" s="16"/>
      <c r="Y51" s="16"/>
      <c r="Z51" s="16"/>
      <c r="AA51" s="26" t="s">
        <v>50</v>
      </c>
      <c r="AB51" s="21"/>
      <c r="AC51" s="36"/>
      <c r="AD51" s="20"/>
      <c r="AE51" s="20"/>
      <c r="AF51" s="20" t="s">
        <v>52</v>
      </c>
    </row>
    <row r="52" customFormat="false" ht="15.75" hidden="false" customHeight="false" outlineLevel="0" collapsed="false">
      <c r="A52" s="16" t="s">
        <v>42</v>
      </c>
      <c r="B52" s="16" t="s">
        <v>43</v>
      </c>
      <c r="C52" s="17" t="s">
        <v>137</v>
      </c>
      <c r="D52" s="28" t="s">
        <v>148</v>
      </c>
      <c r="E52" s="16" t="s">
        <v>149</v>
      </c>
      <c r="F52" s="16" t="n">
        <v>313</v>
      </c>
      <c r="G52" s="16" t="n">
        <v>111</v>
      </c>
      <c r="H52" s="16" t="n">
        <v>619</v>
      </c>
      <c r="I52" s="16" t="n">
        <v>324</v>
      </c>
      <c r="J52" s="16" t="n">
        <v>295</v>
      </c>
      <c r="K52" s="16" t="n">
        <v>6</v>
      </c>
      <c r="L52" s="19" t="n">
        <f aca="false">(K52/H52)*100</f>
        <v>0.969305331179321</v>
      </c>
      <c r="M52" s="16" t="n">
        <v>0</v>
      </c>
      <c r="N52" s="19" t="n">
        <f aca="false">(M52/H52)*100</f>
        <v>0</v>
      </c>
      <c r="O52" s="16" t="n">
        <v>0</v>
      </c>
      <c r="P52" s="16" t="n">
        <v>0</v>
      </c>
      <c r="Q52" s="24" t="s">
        <v>49</v>
      </c>
      <c r="R52" s="34" t="n">
        <v>45976</v>
      </c>
      <c r="S52" s="16"/>
      <c r="T52" s="20" t="n">
        <v>0</v>
      </c>
      <c r="U52" s="20"/>
      <c r="V52" s="16"/>
      <c r="W52" s="16"/>
      <c r="X52" s="16"/>
      <c r="Y52" s="16"/>
      <c r="Z52" s="16"/>
      <c r="AA52" s="26" t="s">
        <v>50</v>
      </c>
      <c r="AB52" s="21"/>
      <c r="AC52" s="36"/>
      <c r="AD52" s="20"/>
      <c r="AE52" s="20"/>
      <c r="AF52" s="20" t="s">
        <v>52</v>
      </c>
    </row>
    <row r="53" customFormat="false" ht="15.75" hidden="false" customHeight="false" outlineLevel="0" collapsed="false">
      <c r="A53" s="16" t="s">
        <v>42</v>
      </c>
      <c r="B53" s="16" t="s">
        <v>43</v>
      </c>
      <c r="C53" s="17" t="s">
        <v>150</v>
      </c>
      <c r="D53" s="18" t="s">
        <v>151</v>
      </c>
      <c r="E53" s="16" t="s">
        <v>152</v>
      </c>
      <c r="F53" s="16" t="n">
        <v>982</v>
      </c>
      <c r="G53" s="16" t="n">
        <v>159</v>
      </c>
      <c r="H53" s="16" t="n">
        <v>954</v>
      </c>
      <c r="I53" s="16" t="n">
        <v>499</v>
      </c>
      <c r="J53" s="16" t="n">
        <v>455</v>
      </c>
      <c r="K53" s="16" t="n">
        <v>304</v>
      </c>
      <c r="L53" s="19" t="n">
        <f aca="false">(K53/H53)*100</f>
        <v>31.8658280922432</v>
      </c>
      <c r="M53" s="16" t="n">
        <v>0</v>
      </c>
      <c r="N53" s="19" t="n">
        <f aca="false">(M53/H53)*100</f>
        <v>0</v>
      </c>
      <c r="O53" s="16" t="n">
        <v>95</v>
      </c>
      <c r="P53" s="16" t="n">
        <v>0</v>
      </c>
      <c r="Q53" s="45" t="s">
        <v>49</v>
      </c>
      <c r="R53" s="46" t="n">
        <v>45646</v>
      </c>
      <c r="S53" s="16"/>
      <c r="T53" s="45" t="n">
        <v>94.87</v>
      </c>
      <c r="U53" s="20" t="s">
        <v>153</v>
      </c>
      <c r="V53" s="16"/>
      <c r="W53" s="16"/>
      <c r="X53" s="16"/>
      <c r="Y53" s="16"/>
      <c r="Z53" s="16"/>
      <c r="AA53" s="47" t="s">
        <v>50</v>
      </c>
      <c r="AB53" s="47" t="n">
        <v>5</v>
      </c>
      <c r="AC53" s="48" t="s">
        <v>154</v>
      </c>
      <c r="AD53" s="45" t="n">
        <v>27.126834</v>
      </c>
      <c r="AE53" s="45" t="n">
        <v>72.636085</v>
      </c>
      <c r="AF53" s="20" t="s">
        <v>52</v>
      </c>
    </row>
    <row r="54" customFormat="false" ht="15.75" hidden="false" customHeight="false" outlineLevel="0" collapsed="false">
      <c r="A54" s="16"/>
      <c r="B54" s="16"/>
      <c r="C54" s="17"/>
      <c r="D54" s="18"/>
      <c r="E54" s="16"/>
      <c r="F54" s="16"/>
      <c r="G54" s="16"/>
      <c r="H54" s="16"/>
      <c r="I54" s="16"/>
      <c r="J54" s="16"/>
      <c r="K54" s="16"/>
      <c r="L54" s="19"/>
      <c r="M54" s="16"/>
      <c r="N54" s="19"/>
      <c r="O54" s="16"/>
      <c r="P54" s="16"/>
      <c r="Q54" s="49" t="s">
        <v>49</v>
      </c>
      <c r="R54" s="50" t="n">
        <v>45646</v>
      </c>
      <c r="S54" s="16"/>
      <c r="T54" s="49"/>
      <c r="U54" s="20"/>
      <c r="V54" s="16"/>
      <c r="W54" s="16"/>
      <c r="X54" s="16"/>
      <c r="Y54" s="16"/>
      <c r="Z54" s="16"/>
      <c r="AA54" s="51" t="s">
        <v>50</v>
      </c>
      <c r="AB54" s="51" t="n">
        <v>5</v>
      </c>
      <c r="AC54" s="52" t="s">
        <v>155</v>
      </c>
      <c r="AD54" s="49" t="n">
        <v>27.126862</v>
      </c>
      <c r="AE54" s="49" t="n">
        <v>72.635222</v>
      </c>
      <c r="AF54" s="20" t="s">
        <v>52</v>
      </c>
    </row>
    <row r="55" customFormat="false" ht="15.75" hidden="false" customHeight="false" outlineLevel="0" collapsed="false">
      <c r="A55" s="16"/>
      <c r="B55" s="16"/>
      <c r="C55" s="17"/>
      <c r="D55" s="18"/>
      <c r="E55" s="16"/>
      <c r="F55" s="16"/>
      <c r="G55" s="16"/>
      <c r="H55" s="16"/>
      <c r="I55" s="16"/>
      <c r="J55" s="16"/>
      <c r="K55" s="16"/>
      <c r="L55" s="19"/>
      <c r="M55" s="16"/>
      <c r="N55" s="19"/>
      <c r="O55" s="16"/>
      <c r="P55" s="16"/>
      <c r="Q55" s="49" t="s">
        <v>49</v>
      </c>
      <c r="R55" s="50" t="n">
        <v>45646</v>
      </c>
      <c r="S55" s="16"/>
      <c r="T55" s="49"/>
      <c r="U55" s="20"/>
      <c r="V55" s="16"/>
      <c r="W55" s="16"/>
      <c r="X55" s="16"/>
      <c r="Y55" s="16"/>
      <c r="Z55" s="16"/>
      <c r="AA55" s="51" t="s">
        <v>50</v>
      </c>
      <c r="AB55" s="51" t="n">
        <v>10</v>
      </c>
      <c r="AC55" s="52" t="s">
        <v>156</v>
      </c>
      <c r="AD55" s="49" t="n">
        <v>27.124766</v>
      </c>
      <c r="AE55" s="49" t="n">
        <v>72.641405</v>
      </c>
      <c r="AF55" s="20" t="s">
        <v>52</v>
      </c>
    </row>
    <row r="56" customFormat="false" ht="15.75" hidden="false" customHeight="false" outlineLevel="0" collapsed="false">
      <c r="A56" s="16"/>
      <c r="B56" s="16"/>
      <c r="C56" s="17"/>
      <c r="D56" s="18"/>
      <c r="E56" s="16"/>
      <c r="F56" s="16"/>
      <c r="G56" s="16"/>
      <c r="H56" s="16"/>
      <c r="I56" s="16"/>
      <c r="J56" s="16"/>
      <c r="K56" s="16"/>
      <c r="L56" s="19"/>
      <c r="M56" s="16"/>
      <c r="N56" s="19"/>
      <c r="O56" s="16"/>
      <c r="P56" s="16"/>
      <c r="Q56" s="49" t="s">
        <v>49</v>
      </c>
      <c r="R56" s="50" t="n">
        <v>45646</v>
      </c>
      <c r="S56" s="16"/>
      <c r="T56" s="49"/>
      <c r="U56" s="20"/>
      <c r="V56" s="16"/>
      <c r="W56" s="16"/>
      <c r="X56" s="16"/>
      <c r="Y56" s="16"/>
      <c r="Z56" s="16"/>
      <c r="AA56" s="51" t="s">
        <v>50</v>
      </c>
      <c r="AB56" s="51" t="n">
        <v>10</v>
      </c>
      <c r="AC56" s="52" t="s">
        <v>157</v>
      </c>
      <c r="AD56" s="49" t="n">
        <v>27.121638</v>
      </c>
      <c r="AE56" s="49" t="n">
        <v>72.638152</v>
      </c>
      <c r="AF56" s="20" t="s">
        <v>52</v>
      </c>
    </row>
    <row r="57" customFormat="false" ht="15.75" hidden="false" customHeight="false" outlineLevel="0" collapsed="false">
      <c r="A57" s="16"/>
      <c r="B57" s="16"/>
      <c r="C57" s="17"/>
      <c r="D57" s="18"/>
      <c r="E57" s="16"/>
      <c r="F57" s="16"/>
      <c r="G57" s="16"/>
      <c r="H57" s="16"/>
      <c r="I57" s="16"/>
      <c r="J57" s="16"/>
      <c r="K57" s="16"/>
      <c r="L57" s="19"/>
      <c r="M57" s="16"/>
      <c r="N57" s="19"/>
      <c r="O57" s="16"/>
      <c r="P57" s="16"/>
      <c r="Q57" s="49" t="s">
        <v>49</v>
      </c>
      <c r="R57" s="50" t="n">
        <v>45646</v>
      </c>
      <c r="S57" s="16"/>
      <c r="T57" s="49"/>
      <c r="U57" s="20"/>
      <c r="V57" s="16"/>
      <c r="W57" s="16"/>
      <c r="X57" s="16"/>
      <c r="Y57" s="16"/>
      <c r="Z57" s="16"/>
      <c r="AA57" s="51" t="s">
        <v>50</v>
      </c>
      <c r="AB57" s="51" t="n">
        <v>10</v>
      </c>
      <c r="AC57" s="52" t="s">
        <v>158</v>
      </c>
      <c r="AD57" s="49" t="n">
        <v>27.120559</v>
      </c>
      <c r="AE57" s="49" t="n">
        <v>72.640917</v>
      </c>
      <c r="AF57" s="20" t="s">
        <v>52</v>
      </c>
    </row>
    <row r="58" customFormat="false" ht="15.75" hidden="false" customHeight="false" outlineLevel="0" collapsed="false">
      <c r="A58" s="16"/>
      <c r="B58" s="16"/>
      <c r="C58" s="17"/>
      <c r="D58" s="18"/>
      <c r="E58" s="16"/>
      <c r="F58" s="16"/>
      <c r="G58" s="16"/>
      <c r="H58" s="16"/>
      <c r="I58" s="16"/>
      <c r="J58" s="16"/>
      <c r="K58" s="16"/>
      <c r="L58" s="19"/>
      <c r="M58" s="16"/>
      <c r="N58" s="19"/>
      <c r="O58" s="16"/>
      <c r="P58" s="16"/>
      <c r="Q58" s="49" t="s">
        <v>49</v>
      </c>
      <c r="R58" s="50" t="n">
        <v>45646</v>
      </c>
      <c r="S58" s="16"/>
      <c r="T58" s="49"/>
      <c r="U58" s="20"/>
      <c r="V58" s="16"/>
      <c r="W58" s="16"/>
      <c r="X58" s="16"/>
      <c r="Y58" s="16"/>
      <c r="Z58" s="16"/>
      <c r="AA58" s="51" t="s">
        <v>50</v>
      </c>
      <c r="AB58" s="51" t="n">
        <v>9</v>
      </c>
      <c r="AC58" s="52" t="s">
        <v>159</v>
      </c>
      <c r="AD58" s="49" t="n">
        <v>27.122341</v>
      </c>
      <c r="AE58" s="49" t="n">
        <v>72.633344</v>
      </c>
      <c r="AF58" s="20" t="s">
        <v>52</v>
      </c>
    </row>
    <row r="59" customFormat="false" ht="15.75" hidden="false" customHeight="false" outlineLevel="0" collapsed="false">
      <c r="A59" s="16"/>
      <c r="B59" s="16"/>
      <c r="C59" s="17"/>
      <c r="D59" s="18"/>
      <c r="E59" s="16"/>
      <c r="F59" s="16"/>
      <c r="G59" s="16"/>
      <c r="H59" s="16"/>
      <c r="I59" s="16"/>
      <c r="J59" s="16"/>
      <c r="K59" s="16"/>
      <c r="L59" s="19"/>
      <c r="M59" s="16"/>
      <c r="N59" s="19"/>
      <c r="O59" s="16"/>
      <c r="P59" s="16"/>
      <c r="Q59" s="49" t="s">
        <v>49</v>
      </c>
      <c r="R59" s="50" t="n">
        <v>45646</v>
      </c>
      <c r="S59" s="16"/>
      <c r="T59" s="49"/>
      <c r="U59" s="20"/>
      <c r="V59" s="16"/>
      <c r="W59" s="16"/>
      <c r="X59" s="16"/>
      <c r="Y59" s="16"/>
      <c r="Z59" s="16"/>
      <c r="AA59" s="51" t="s">
        <v>50</v>
      </c>
      <c r="AB59" s="51" t="n">
        <v>10</v>
      </c>
      <c r="AC59" s="52" t="s">
        <v>160</v>
      </c>
      <c r="AD59" s="49" t="n">
        <v>27.128019</v>
      </c>
      <c r="AE59" s="49" t="n">
        <v>72.633924</v>
      </c>
      <c r="AF59" s="20" t="s">
        <v>52</v>
      </c>
    </row>
    <row r="60" customFormat="false" ht="15.75" hidden="false" customHeight="false" outlineLevel="0" collapsed="false">
      <c r="A60" s="16" t="s">
        <v>42</v>
      </c>
      <c r="B60" s="16" t="s">
        <v>43</v>
      </c>
      <c r="C60" s="17" t="s">
        <v>150</v>
      </c>
      <c r="D60" s="28" t="s">
        <v>53</v>
      </c>
      <c r="E60" s="16" t="s">
        <v>161</v>
      </c>
      <c r="F60" s="16" t="n">
        <v>700</v>
      </c>
      <c r="G60" s="16" t="n">
        <v>102</v>
      </c>
      <c r="H60" s="16" t="n">
        <v>772</v>
      </c>
      <c r="I60" s="16" t="n">
        <v>382</v>
      </c>
      <c r="J60" s="16" t="n">
        <v>390</v>
      </c>
      <c r="K60" s="16" t="n">
        <v>202</v>
      </c>
      <c r="L60" s="19" t="n">
        <f aca="false">(K60/H60)*100</f>
        <v>26.1658031088083</v>
      </c>
      <c r="M60" s="16" t="n">
        <v>0</v>
      </c>
      <c r="N60" s="19" t="n">
        <f aca="false">(M60/H60)*100</f>
        <v>0</v>
      </c>
      <c r="O60" s="16" t="n">
        <v>0</v>
      </c>
      <c r="P60" s="16" t="n">
        <v>0</v>
      </c>
      <c r="Q60" s="53" t="s">
        <v>49</v>
      </c>
      <c r="R60" s="46" t="n">
        <v>45646</v>
      </c>
      <c r="S60" s="16"/>
      <c r="T60" s="45" t="n">
        <v>12.3</v>
      </c>
      <c r="U60" s="20" t="s">
        <v>153</v>
      </c>
      <c r="V60" s="16"/>
      <c r="W60" s="16"/>
      <c r="X60" s="16"/>
      <c r="Y60" s="16"/>
      <c r="Z60" s="16"/>
      <c r="AA60" s="47" t="s">
        <v>50</v>
      </c>
      <c r="AB60" s="47"/>
      <c r="AC60" s="54"/>
      <c r="AD60" s="45" t="n">
        <v>0</v>
      </c>
      <c r="AE60" s="45" t="n">
        <v>0</v>
      </c>
      <c r="AF60" s="20" t="s">
        <v>52</v>
      </c>
    </row>
    <row r="61" customFormat="false" ht="15.75" hidden="false" customHeight="false" outlineLevel="0" collapsed="false">
      <c r="A61" s="16" t="s">
        <v>42</v>
      </c>
      <c r="B61" s="16" t="s">
        <v>43</v>
      </c>
      <c r="C61" s="17" t="s">
        <v>150</v>
      </c>
      <c r="D61" s="28" t="s">
        <v>162</v>
      </c>
      <c r="E61" s="16" t="s">
        <v>163</v>
      </c>
      <c r="F61" s="16" t="n">
        <v>656</v>
      </c>
      <c r="G61" s="16" t="n">
        <v>117</v>
      </c>
      <c r="H61" s="16" t="n">
        <v>712</v>
      </c>
      <c r="I61" s="16" t="n">
        <v>366</v>
      </c>
      <c r="J61" s="16" t="n">
        <v>346</v>
      </c>
      <c r="K61" s="16" t="n">
        <v>0</v>
      </c>
      <c r="L61" s="19" t="n">
        <f aca="false">(K61/H61)*100</f>
        <v>0</v>
      </c>
      <c r="M61" s="16" t="n">
        <v>0</v>
      </c>
      <c r="N61" s="19" t="n">
        <f aca="false">(M61/H61)*100</f>
        <v>0</v>
      </c>
      <c r="O61" s="16" t="n">
        <v>15</v>
      </c>
      <c r="P61" s="16" t="n">
        <v>0</v>
      </c>
      <c r="Q61" s="45" t="s">
        <v>49</v>
      </c>
      <c r="R61" s="46" t="n">
        <v>45646</v>
      </c>
      <c r="S61" s="16"/>
      <c r="T61" s="45" t="n">
        <v>14.61</v>
      </c>
      <c r="U61" s="20" t="s">
        <v>153</v>
      </c>
      <c r="V61" s="16"/>
      <c r="W61" s="16"/>
      <c r="X61" s="16"/>
      <c r="Y61" s="16"/>
      <c r="Z61" s="16"/>
      <c r="AA61" s="47" t="s">
        <v>50</v>
      </c>
      <c r="AB61" s="47" t="n">
        <v>9</v>
      </c>
      <c r="AC61" s="48" t="s">
        <v>164</v>
      </c>
      <c r="AD61" s="45" t="n">
        <v>27.102942</v>
      </c>
      <c r="AE61" s="45" t="n">
        <v>72.666945</v>
      </c>
      <c r="AF61" s="20" t="s">
        <v>52</v>
      </c>
    </row>
    <row r="62" customFormat="false" ht="15.75" hidden="false" customHeight="false" outlineLevel="0" collapsed="false">
      <c r="A62" s="16" t="s">
        <v>42</v>
      </c>
      <c r="B62" s="16" t="s">
        <v>43</v>
      </c>
      <c r="C62" s="17" t="s">
        <v>150</v>
      </c>
      <c r="D62" s="28" t="s">
        <v>165</v>
      </c>
      <c r="E62" s="16" t="s">
        <v>166</v>
      </c>
      <c r="F62" s="16" t="n">
        <v>663.53</v>
      </c>
      <c r="G62" s="16" t="n">
        <v>117</v>
      </c>
      <c r="H62" s="16" t="n">
        <v>746</v>
      </c>
      <c r="I62" s="16" t="n">
        <v>400</v>
      </c>
      <c r="J62" s="16" t="n">
        <v>346</v>
      </c>
      <c r="K62" s="16" t="n">
        <v>214</v>
      </c>
      <c r="L62" s="19" t="n">
        <f aca="false">(K62/H62)*100</f>
        <v>28.686327077748</v>
      </c>
      <c r="M62" s="16" t="n">
        <v>249</v>
      </c>
      <c r="N62" s="19" t="n">
        <f aca="false">(M62/H62)*100</f>
        <v>33.3780160857909</v>
      </c>
      <c r="O62" s="16" t="n">
        <v>0</v>
      </c>
      <c r="P62" s="16" t="n">
        <v>0</v>
      </c>
      <c r="Q62" s="20"/>
      <c r="R62" s="21"/>
      <c r="S62" s="16"/>
      <c r="T62" s="20"/>
      <c r="U62" s="20"/>
      <c r="V62" s="16"/>
      <c r="W62" s="16"/>
      <c r="X62" s="16"/>
      <c r="Y62" s="16"/>
      <c r="Z62" s="16"/>
      <c r="AA62" s="21"/>
      <c r="AB62" s="21"/>
      <c r="AC62" s="20"/>
      <c r="AD62" s="20"/>
      <c r="AE62" s="20"/>
      <c r="AF62" s="20" t="s">
        <v>52</v>
      </c>
    </row>
    <row r="63" customFormat="false" ht="15.75" hidden="false" customHeight="false" outlineLevel="0" collapsed="false">
      <c r="A63" s="16" t="s">
        <v>42</v>
      </c>
      <c r="B63" s="16" t="s">
        <v>43</v>
      </c>
      <c r="C63" s="17" t="s">
        <v>150</v>
      </c>
      <c r="D63" s="28" t="s">
        <v>167</v>
      </c>
      <c r="E63" s="16" t="s">
        <v>168</v>
      </c>
      <c r="F63" s="16" t="n">
        <v>720</v>
      </c>
      <c r="G63" s="16" t="n">
        <v>132</v>
      </c>
      <c r="H63" s="16" t="n">
        <v>772</v>
      </c>
      <c r="I63" s="16" t="n">
        <v>390</v>
      </c>
      <c r="J63" s="16" t="n">
        <v>382</v>
      </c>
      <c r="K63" s="16" t="n">
        <v>0</v>
      </c>
      <c r="L63" s="19" t="n">
        <f aca="false">(K63/H63)*100</f>
        <v>0</v>
      </c>
      <c r="M63" s="16" t="n">
        <v>0</v>
      </c>
      <c r="N63" s="19" t="n">
        <f aca="false">(M63/H63)*100</f>
        <v>0</v>
      </c>
      <c r="O63" s="16" t="n">
        <v>0</v>
      </c>
      <c r="P63" s="16" t="n">
        <v>0</v>
      </c>
      <c r="Q63" s="20"/>
      <c r="R63" s="21"/>
      <c r="S63" s="16"/>
      <c r="T63" s="20"/>
      <c r="U63" s="20"/>
      <c r="V63" s="16"/>
      <c r="W63" s="16"/>
      <c r="X63" s="16"/>
      <c r="Y63" s="16"/>
      <c r="Z63" s="16"/>
      <c r="AA63" s="21"/>
      <c r="AB63" s="21"/>
      <c r="AC63" s="20"/>
      <c r="AD63" s="20"/>
      <c r="AE63" s="20"/>
      <c r="AF63" s="20" t="s">
        <v>52</v>
      </c>
    </row>
    <row r="64" customFormat="false" ht="31.5" hidden="false" customHeight="false" outlineLevel="0" collapsed="false">
      <c r="A64" s="16" t="s">
        <v>42</v>
      </c>
      <c r="B64" s="16" t="s">
        <v>43</v>
      </c>
      <c r="C64" s="17" t="s">
        <v>169</v>
      </c>
      <c r="D64" s="18" t="s">
        <v>170</v>
      </c>
      <c r="E64" s="16" t="s">
        <v>171</v>
      </c>
      <c r="F64" s="16" t="n">
        <v>2598</v>
      </c>
      <c r="G64" s="16" t="n">
        <v>325</v>
      </c>
      <c r="H64" s="16" t="n">
        <v>2047</v>
      </c>
      <c r="I64" s="16" t="n">
        <v>1093</v>
      </c>
      <c r="J64" s="16" t="n">
        <v>954</v>
      </c>
      <c r="K64" s="16" t="n">
        <v>258</v>
      </c>
      <c r="L64" s="19" t="n">
        <f aca="false">(K64/H64)*100</f>
        <v>12.6038104543234</v>
      </c>
      <c r="M64" s="16" t="n">
        <v>171</v>
      </c>
      <c r="N64" s="19" t="n">
        <f aca="false">(M64/H64)*100</f>
        <v>8.35368832437714</v>
      </c>
      <c r="O64" s="16" t="n">
        <v>484</v>
      </c>
      <c r="P64" s="16" t="n">
        <v>0</v>
      </c>
      <c r="Q64" s="24" t="s">
        <v>49</v>
      </c>
      <c r="R64" s="34" t="n">
        <v>45976</v>
      </c>
      <c r="S64" s="16"/>
      <c r="T64" s="20" t="n">
        <v>0</v>
      </c>
      <c r="U64" s="20"/>
      <c r="V64" s="16"/>
      <c r="W64" s="16"/>
      <c r="X64" s="16"/>
      <c r="Y64" s="16"/>
      <c r="Z64" s="16"/>
      <c r="AA64" s="26" t="s">
        <v>50</v>
      </c>
      <c r="AB64" s="21" t="n">
        <v>6</v>
      </c>
      <c r="AC64" s="36" t="s">
        <v>172</v>
      </c>
      <c r="AD64" s="20" t="n">
        <v>27.159514</v>
      </c>
      <c r="AE64" s="20" t="n">
        <v>27.58556</v>
      </c>
      <c r="AF64" s="20" t="s">
        <v>52</v>
      </c>
    </row>
    <row r="65" customFormat="false" ht="31.5" hidden="false" customHeight="false" outlineLevel="0" collapsed="false">
      <c r="A65" s="16"/>
      <c r="B65" s="16"/>
      <c r="C65" s="17"/>
      <c r="D65" s="18"/>
      <c r="E65" s="16"/>
      <c r="F65" s="16"/>
      <c r="G65" s="16"/>
      <c r="H65" s="16"/>
      <c r="I65" s="16"/>
      <c r="J65" s="16"/>
      <c r="K65" s="16"/>
      <c r="L65" s="19"/>
      <c r="M65" s="16"/>
      <c r="N65" s="19"/>
      <c r="O65" s="16"/>
      <c r="P65" s="16"/>
      <c r="Q65" s="38" t="s">
        <v>49</v>
      </c>
      <c r="R65" s="39"/>
      <c r="S65" s="16"/>
      <c r="T65" s="38"/>
      <c r="U65" s="20"/>
      <c r="V65" s="16"/>
      <c r="W65" s="16"/>
      <c r="X65" s="16"/>
      <c r="Y65" s="16"/>
      <c r="Z65" s="16"/>
      <c r="AA65" s="40"/>
      <c r="AB65" s="40" t="n">
        <v>7</v>
      </c>
      <c r="AC65" s="41" t="s">
        <v>173</v>
      </c>
      <c r="AD65" s="37" t="n">
        <v>27.167008</v>
      </c>
      <c r="AE65" s="37" t="n">
        <v>72.588609</v>
      </c>
      <c r="AF65" s="20" t="s">
        <v>52</v>
      </c>
    </row>
    <row r="66" customFormat="false" ht="31.5" hidden="false" customHeight="false" outlineLevel="0" collapsed="false">
      <c r="A66" s="16"/>
      <c r="B66" s="16"/>
      <c r="C66" s="17"/>
      <c r="D66" s="18"/>
      <c r="E66" s="16"/>
      <c r="F66" s="16"/>
      <c r="G66" s="16"/>
      <c r="H66" s="16"/>
      <c r="I66" s="16"/>
      <c r="J66" s="16"/>
      <c r="K66" s="16"/>
      <c r="L66" s="19"/>
      <c r="M66" s="16"/>
      <c r="N66" s="19"/>
      <c r="O66" s="16"/>
      <c r="P66" s="16"/>
      <c r="Q66" s="38" t="s">
        <v>49</v>
      </c>
      <c r="R66" s="39"/>
      <c r="S66" s="16"/>
      <c r="T66" s="38"/>
      <c r="U66" s="20"/>
      <c r="V66" s="16"/>
      <c r="W66" s="16"/>
      <c r="X66" s="16"/>
      <c r="Y66" s="16"/>
      <c r="Z66" s="16"/>
      <c r="AA66" s="40"/>
      <c r="AB66" s="40" t="n">
        <v>4</v>
      </c>
      <c r="AC66" s="41" t="s">
        <v>174</v>
      </c>
      <c r="AD66" s="37" t="n">
        <v>27.169361</v>
      </c>
      <c r="AE66" s="37" t="n">
        <v>72.58918</v>
      </c>
      <c r="AF66" s="20" t="s">
        <v>52</v>
      </c>
    </row>
    <row r="67" customFormat="false" ht="15.75" hidden="false" customHeight="false" outlineLevel="0" collapsed="false">
      <c r="A67" s="16" t="s">
        <v>42</v>
      </c>
      <c r="B67" s="16" t="s">
        <v>43</v>
      </c>
      <c r="C67" s="17" t="s">
        <v>169</v>
      </c>
      <c r="D67" s="28" t="s">
        <v>175</v>
      </c>
      <c r="E67" s="16" t="s">
        <v>176</v>
      </c>
      <c r="F67" s="16" t="n">
        <v>855</v>
      </c>
      <c r="G67" s="16" t="n">
        <v>94</v>
      </c>
      <c r="H67" s="16" t="n">
        <v>560</v>
      </c>
      <c r="I67" s="16" t="n">
        <v>292</v>
      </c>
      <c r="J67" s="16" t="n">
        <v>268</v>
      </c>
      <c r="K67" s="16" t="n">
        <v>61</v>
      </c>
      <c r="L67" s="19" t="n">
        <f aca="false">(K67/H67)*100</f>
        <v>10.8928571428571</v>
      </c>
      <c r="M67" s="16" t="n">
        <v>0</v>
      </c>
      <c r="N67" s="19" t="n">
        <f aca="false">(M67/H67)*100</f>
        <v>0</v>
      </c>
      <c r="O67" s="16" t="n">
        <v>7</v>
      </c>
      <c r="P67" s="16" t="n">
        <v>0</v>
      </c>
      <c r="Q67" s="24" t="s">
        <v>49</v>
      </c>
      <c r="R67" s="34" t="n">
        <v>45976</v>
      </c>
      <c r="S67" s="16"/>
      <c r="T67" s="20" t="n">
        <v>0</v>
      </c>
      <c r="U67" s="20"/>
      <c r="V67" s="16"/>
      <c r="W67" s="16"/>
      <c r="X67" s="16"/>
      <c r="Y67" s="16"/>
      <c r="Z67" s="16"/>
      <c r="AA67" s="26" t="s">
        <v>50</v>
      </c>
      <c r="AB67" s="21"/>
      <c r="AC67" s="36"/>
      <c r="AD67" s="20"/>
      <c r="AE67" s="20"/>
      <c r="AF67" s="20" t="s">
        <v>52</v>
      </c>
    </row>
    <row r="68" customFormat="false" ht="15.75" hidden="false" customHeight="false" outlineLevel="0" collapsed="false">
      <c r="A68" s="16" t="s">
        <v>42</v>
      </c>
      <c r="B68" s="16" t="s">
        <v>43</v>
      </c>
      <c r="C68" s="17" t="s">
        <v>169</v>
      </c>
      <c r="D68" s="28" t="s">
        <v>177</v>
      </c>
      <c r="E68" s="16" t="s">
        <v>178</v>
      </c>
      <c r="F68" s="16" t="n">
        <v>622</v>
      </c>
      <c r="G68" s="16" t="n">
        <v>97</v>
      </c>
      <c r="H68" s="16" t="n">
        <v>514</v>
      </c>
      <c r="I68" s="16" t="n">
        <v>273</v>
      </c>
      <c r="J68" s="16" t="n">
        <v>241</v>
      </c>
      <c r="K68" s="16" t="n">
        <v>1</v>
      </c>
      <c r="L68" s="19" t="n">
        <f aca="false">(K68/H68)*100</f>
        <v>0.194552529182879</v>
      </c>
      <c r="M68" s="16" t="n">
        <v>4</v>
      </c>
      <c r="N68" s="19" t="n">
        <f aca="false">(M68/H68)*100</f>
        <v>0.778210116731518</v>
      </c>
      <c r="O68" s="16" t="n">
        <v>0</v>
      </c>
      <c r="P68" s="16" t="n">
        <v>0</v>
      </c>
      <c r="Q68" s="24" t="s">
        <v>49</v>
      </c>
      <c r="R68" s="34" t="n">
        <v>45976</v>
      </c>
      <c r="S68" s="16"/>
      <c r="T68" s="20" t="n">
        <v>0</v>
      </c>
      <c r="U68" s="20"/>
      <c r="V68" s="16"/>
      <c r="W68" s="16"/>
      <c r="X68" s="16"/>
      <c r="Y68" s="16"/>
      <c r="Z68" s="16"/>
      <c r="AA68" s="26" t="s">
        <v>50</v>
      </c>
      <c r="AB68" s="21"/>
      <c r="AC68" s="36"/>
      <c r="AD68" s="20"/>
      <c r="AE68" s="20"/>
      <c r="AF68" s="20" t="s">
        <v>52</v>
      </c>
    </row>
    <row r="69" customFormat="false" ht="15.75" hidden="false" customHeight="false" outlineLevel="0" collapsed="false">
      <c r="A69" s="16" t="s">
        <v>42</v>
      </c>
      <c r="B69" s="16" t="s">
        <v>43</v>
      </c>
      <c r="C69" s="17" t="s">
        <v>169</v>
      </c>
      <c r="D69" s="28" t="s">
        <v>179</v>
      </c>
      <c r="E69" s="16" t="s">
        <v>180</v>
      </c>
      <c r="F69" s="16" t="n">
        <v>466</v>
      </c>
      <c r="G69" s="16" t="n">
        <v>24</v>
      </c>
      <c r="H69" s="16" t="n">
        <v>145</v>
      </c>
      <c r="I69" s="16" t="n">
        <v>78</v>
      </c>
      <c r="J69" s="16" t="n">
        <v>67</v>
      </c>
      <c r="K69" s="16" t="n">
        <v>71</v>
      </c>
      <c r="L69" s="19" t="n">
        <f aca="false">(K69/H69)*100</f>
        <v>48.9655172413793</v>
      </c>
      <c r="M69" s="16" t="n">
        <v>0</v>
      </c>
      <c r="N69" s="19" t="n">
        <f aca="false">(M69/H69)*100</f>
        <v>0</v>
      </c>
      <c r="O69" s="16" t="n">
        <v>0</v>
      </c>
      <c r="P69" s="16" t="n">
        <v>0</v>
      </c>
      <c r="Q69" s="24" t="s">
        <v>49</v>
      </c>
      <c r="R69" s="34" t="n">
        <v>45976</v>
      </c>
      <c r="S69" s="16"/>
      <c r="T69" s="20" t="n">
        <v>0</v>
      </c>
      <c r="U69" s="20"/>
      <c r="V69" s="16"/>
      <c r="W69" s="16"/>
      <c r="X69" s="16"/>
      <c r="Y69" s="16"/>
      <c r="Z69" s="16"/>
      <c r="AA69" s="26" t="s">
        <v>50</v>
      </c>
      <c r="AB69" s="21"/>
      <c r="AC69" s="36"/>
      <c r="AD69" s="20"/>
      <c r="AE69" s="20"/>
      <c r="AF69" s="20" t="s">
        <v>52</v>
      </c>
    </row>
    <row r="70" customFormat="false" ht="15.75" hidden="false" customHeight="false" outlineLevel="0" collapsed="false">
      <c r="A70" s="16" t="s">
        <v>42</v>
      </c>
      <c r="B70" s="16" t="s">
        <v>43</v>
      </c>
      <c r="C70" s="17" t="s">
        <v>169</v>
      </c>
      <c r="D70" s="28" t="s">
        <v>181</v>
      </c>
      <c r="E70" s="16" t="s">
        <v>182</v>
      </c>
      <c r="F70" s="16" t="n">
        <v>829</v>
      </c>
      <c r="G70" s="16" t="n">
        <v>78</v>
      </c>
      <c r="H70" s="16" t="n">
        <v>405</v>
      </c>
      <c r="I70" s="16" t="n">
        <v>207</v>
      </c>
      <c r="J70" s="16" t="n">
        <v>198</v>
      </c>
      <c r="K70" s="16" t="n">
        <v>36</v>
      </c>
      <c r="L70" s="19" t="n">
        <f aca="false">(K70/H70)*100</f>
        <v>8.88888888888889</v>
      </c>
      <c r="M70" s="16" t="n">
        <v>0</v>
      </c>
      <c r="N70" s="19" t="n">
        <f aca="false">(M70/H70)*100</f>
        <v>0</v>
      </c>
      <c r="O70" s="16" t="n">
        <v>0</v>
      </c>
      <c r="P70" s="16" t="n">
        <v>0</v>
      </c>
      <c r="Q70" s="24" t="s">
        <v>49</v>
      </c>
      <c r="R70" s="34" t="n">
        <v>45976</v>
      </c>
      <c r="S70" s="16"/>
      <c r="T70" s="20" t="n">
        <v>0</v>
      </c>
      <c r="U70" s="20"/>
      <c r="V70" s="16"/>
      <c r="W70" s="16"/>
      <c r="X70" s="16"/>
      <c r="Y70" s="16"/>
      <c r="Z70" s="16"/>
      <c r="AA70" s="26" t="s">
        <v>50</v>
      </c>
      <c r="AB70" s="21"/>
      <c r="AC70" s="36"/>
      <c r="AD70" s="20"/>
      <c r="AE70" s="20"/>
      <c r="AF70" s="20" t="s">
        <v>52</v>
      </c>
    </row>
    <row r="71" customFormat="false" ht="15.75" hidden="false" customHeight="false" outlineLevel="0" collapsed="false">
      <c r="A71" s="16" t="s">
        <v>42</v>
      </c>
      <c r="B71" s="16" t="s">
        <v>43</v>
      </c>
      <c r="C71" s="17" t="s">
        <v>169</v>
      </c>
      <c r="D71" s="28" t="s">
        <v>183</v>
      </c>
      <c r="E71" s="16" t="s">
        <v>184</v>
      </c>
      <c r="F71" s="16" t="n">
        <v>1334</v>
      </c>
      <c r="G71" s="16" t="n">
        <v>152</v>
      </c>
      <c r="H71" s="16" t="n">
        <v>941</v>
      </c>
      <c r="I71" s="16" t="n">
        <v>486</v>
      </c>
      <c r="J71" s="16" t="n">
        <v>455</v>
      </c>
      <c r="K71" s="16" t="n">
        <v>281</v>
      </c>
      <c r="L71" s="19" t="n">
        <f aca="false">(K71/H71)*100</f>
        <v>29.8618490967056</v>
      </c>
      <c r="M71" s="16" t="n">
        <v>77</v>
      </c>
      <c r="N71" s="19" t="n">
        <f aca="false">(M71/H71)*100</f>
        <v>8.18278427205101</v>
      </c>
      <c r="O71" s="16" t="n">
        <v>0</v>
      </c>
      <c r="P71" s="16" t="n">
        <v>0</v>
      </c>
      <c r="Q71" s="24" t="s">
        <v>49</v>
      </c>
      <c r="R71" s="34" t="n">
        <v>45976</v>
      </c>
      <c r="S71" s="16"/>
      <c r="T71" s="20" t="n">
        <v>0</v>
      </c>
      <c r="U71" s="20"/>
      <c r="V71" s="16"/>
      <c r="W71" s="16"/>
      <c r="X71" s="16"/>
      <c r="Y71" s="16"/>
      <c r="Z71" s="16"/>
      <c r="AA71" s="26" t="s">
        <v>50</v>
      </c>
      <c r="AB71" s="21"/>
      <c r="AC71" s="36"/>
      <c r="AD71" s="20"/>
      <c r="AE71" s="20"/>
      <c r="AF71" s="20" t="s">
        <v>52</v>
      </c>
    </row>
    <row r="72" customFormat="false" ht="15.75" hidden="false" customHeight="false" outlineLevel="0" collapsed="false">
      <c r="A72" s="16" t="s">
        <v>42</v>
      </c>
      <c r="B72" s="16" t="s">
        <v>43</v>
      </c>
      <c r="C72" s="17" t="s">
        <v>185</v>
      </c>
      <c r="D72" s="18" t="s">
        <v>186</v>
      </c>
      <c r="E72" s="16" t="s">
        <v>187</v>
      </c>
      <c r="F72" s="16" t="n">
        <v>947</v>
      </c>
      <c r="G72" s="16" t="n">
        <v>165</v>
      </c>
      <c r="H72" s="16" t="n">
        <v>956</v>
      </c>
      <c r="I72" s="16" t="n">
        <v>511</v>
      </c>
      <c r="J72" s="16" t="n">
        <v>445</v>
      </c>
      <c r="K72" s="16" t="n">
        <v>205</v>
      </c>
      <c r="L72" s="19" t="n">
        <f aca="false">(K72/H72)*100</f>
        <v>21.4435146443515</v>
      </c>
      <c r="M72" s="16" t="n">
        <v>92</v>
      </c>
      <c r="N72" s="19" t="n">
        <f aca="false">(M72/H72)*100</f>
        <v>9.6234309623431</v>
      </c>
      <c r="O72" s="16" t="n">
        <v>45</v>
      </c>
      <c r="P72" s="16" t="n">
        <v>0</v>
      </c>
      <c r="Q72" s="24" t="s">
        <v>49</v>
      </c>
      <c r="R72" s="34" t="n">
        <v>45976</v>
      </c>
      <c r="S72" s="16"/>
      <c r="T72" s="20" t="n">
        <v>107</v>
      </c>
      <c r="U72" s="20"/>
      <c r="V72" s="16"/>
      <c r="W72" s="16"/>
      <c r="X72" s="16"/>
      <c r="Y72" s="16"/>
      <c r="Z72" s="16"/>
      <c r="AA72" s="26" t="s">
        <v>50</v>
      </c>
      <c r="AB72" s="21" t="n">
        <v>10</v>
      </c>
      <c r="AC72" s="36" t="s">
        <v>188</v>
      </c>
      <c r="AD72" s="20" t="n">
        <v>27.167827</v>
      </c>
      <c r="AE72" s="20" t="n">
        <v>73.080125</v>
      </c>
      <c r="AF72" s="20" t="s">
        <v>52</v>
      </c>
    </row>
    <row r="73" customFormat="false" ht="15.75" hidden="false" customHeight="false" outlineLevel="0" collapsed="false">
      <c r="A73" s="16"/>
      <c r="B73" s="16"/>
      <c r="C73" s="17"/>
      <c r="D73" s="18"/>
      <c r="E73" s="16"/>
      <c r="F73" s="16"/>
      <c r="G73" s="16"/>
      <c r="H73" s="16"/>
      <c r="I73" s="16"/>
      <c r="J73" s="16"/>
      <c r="K73" s="16"/>
      <c r="L73" s="19"/>
      <c r="M73" s="16"/>
      <c r="N73" s="19"/>
      <c r="O73" s="16"/>
      <c r="P73" s="16"/>
      <c r="Q73" s="30"/>
      <c r="R73" s="31"/>
      <c r="S73" s="16"/>
      <c r="T73" s="30"/>
      <c r="U73" s="20"/>
      <c r="V73" s="16"/>
      <c r="W73" s="16"/>
      <c r="X73" s="16"/>
      <c r="Y73" s="16"/>
      <c r="Z73" s="16"/>
      <c r="AA73" s="32" t="s">
        <v>50</v>
      </c>
      <c r="AB73" s="32" t="n">
        <v>12</v>
      </c>
      <c r="AC73" s="42" t="s">
        <v>189</v>
      </c>
      <c r="AD73" s="30" t="n">
        <v>27.16852</v>
      </c>
      <c r="AE73" s="30" t="n">
        <v>73.082154</v>
      </c>
      <c r="AF73" s="20" t="s">
        <v>52</v>
      </c>
    </row>
    <row r="74" customFormat="false" ht="15.75" hidden="false" customHeight="false" outlineLevel="0" collapsed="false">
      <c r="A74" s="16"/>
      <c r="B74" s="16"/>
      <c r="C74" s="17"/>
      <c r="D74" s="18"/>
      <c r="E74" s="16"/>
      <c r="F74" s="16"/>
      <c r="G74" s="16"/>
      <c r="H74" s="16"/>
      <c r="I74" s="16"/>
      <c r="J74" s="16"/>
      <c r="K74" s="16"/>
      <c r="L74" s="19"/>
      <c r="M74" s="16"/>
      <c r="N74" s="19"/>
      <c r="O74" s="16"/>
      <c r="P74" s="16"/>
      <c r="Q74" s="30"/>
      <c r="R74" s="31"/>
      <c r="S74" s="16"/>
      <c r="T74" s="30"/>
      <c r="U74" s="20"/>
      <c r="V74" s="16"/>
      <c r="W74" s="16"/>
      <c r="X74" s="16"/>
      <c r="Y74" s="16"/>
      <c r="Z74" s="16"/>
      <c r="AA74" s="32" t="s">
        <v>50</v>
      </c>
      <c r="AB74" s="32" t="n">
        <v>10</v>
      </c>
      <c r="AC74" s="42" t="s">
        <v>190</v>
      </c>
      <c r="AD74" s="30" t="n">
        <v>27.162545</v>
      </c>
      <c r="AE74" s="30" t="n">
        <v>73.082154</v>
      </c>
      <c r="AF74" s="20" t="s">
        <v>52</v>
      </c>
    </row>
    <row r="75" customFormat="false" ht="15.75" hidden="false" customHeight="false" outlineLevel="0" collapsed="false">
      <c r="A75" s="16"/>
      <c r="B75" s="16"/>
      <c r="C75" s="17"/>
      <c r="D75" s="18"/>
      <c r="E75" s="16"/>
      <c r="F75" s="16"/>
      <c r="G75" s="16"/>
      <c r="H75" s="16"/>
      <c r="I75" s="16"/>
      <c r="J75" s="16"/>
      <c r="K75" s="16"/>
      <c r="L75" s="19"/>
      <c r="M75" s="16"/>
      <c r="N75" s="19"/>
      <c r="O75" s="16"/>
      <c r="P75" s="16"/>
      <c r="Q75" s="30"/>
      <c r="R75" s="31"/>
      <c r="S75" s="16"/>
      <c r="T75" s="30"/>
      <c r="U75" s="20"/>
      <c r="V75" s="16"/>
      <c r="W75" s="16"/>
      <c r="X75" s="16"/>
      <c r="Y75" s="16"/>
      <c r="Z75" s="16"/>
      <c r="AA75" s="32" t="s">
        <v>50</v>
      </c>
      <c r="AB75" s="32" t="n">
        <v>15</v>
      </c>
      <c r="AC75" s="42" t="s">
        <v>191</v>
      </c>
      <c r="AD75" s="30" t="n">
        <v>27.164524</v>
      </c>
      <c r="AE75" s="30" t="n">
        <v>73.025147</v>
      </c>
      <c r="AF75" s="20" t="s">
        <v>52</v>
      </c>
    </row>
    <row r="76" customFormat="false" ht="15.75" hidden="false" customHeight="false" outlineLevel="0" collapsed="false">
      <c r="A76" s="16" t="s">
        <v>42</v>
      </c>
      <c r="B76" s="16" t="s">
        <v>43</v>
      </c>
      <c r="C76" s="17" t="s">
        <v>185</v>
      </c>
      <c r="D76" s="28" t="s">
        <v>192</v>
      </c>
      <c r="E76" s="16" t="s">
        <v>193</v>
      </c>
      <c r="F76" s="16" t="n">
        <v>609</v>
      </c>
      <c r="G76" s="16" t="n">
        <v>67</v>
      </c>
      <c r="H76" s="16" t="n">
        <v>492</v>
      </c>
      <c r="I76" s="16" t="n">
        <v>266</v>
      </c>
      <c r="J76" s="16" t="n">
        <v>226</v>
      </c>
      <c r="K76" s="16" t="n">
        <v>23</v>
      </c>
      <c r="L76" s="19" t="n">
        <f aca="false">(K76/H76)*100</f>
        <v>4.67479674796748</v>
      </c>
      <c r="M76" s="16" t="n">
        <v>0</v>
      </c>
      <c r="N76" s="19" t="n">
        <f aca="false">(M76/H76)*100</f>
        <v>0</v>
      </c>
      <c r="O76" s="16" t="n">
        <v>12</v>
      </c>
      <c r="P76" s="16" t="n">
        <v>0</v>
      </c>
      <c r="Q76" s="24" t="s">
        <v>49</v>
      </c>
      <c r="R76" s="34" t="n">
        <v>45976</v>
      </c>
      <c r="S76" s="16"/>
      <c r="T76" s="20" t="n">
        <v>0</v>
      </c>
      <c r="U76" s="20"/>
      <c r="V76" s="16"/>
      <c r="W76" s="16"/>
      <c r="X76" s="16"/>
      <c r="Y76" s="16"/>
      <c r="Z76" s="16"/>
      <c r="AA76" s="26" t="s">
        <v>50</v>
      </c>
      <c r="AB76" s="21"/>
      <c r="AC76" s="36"/>
      <c r="AD76" s="20"/>
      <c r="AE76" s="20"/>
      <c r="AF76" s="20" t="s">
        <v>52</v>
      </c>
    </row>
    <row r="77" customFormat="false" ht="15.75" hidden="false" customHeight="false" outlineLevel="0" collapsed="false">
      <c r="A77" s="16" t="s">
        <v>42</v>
      </c>
      <c r="B77" s="16" t="s">
        <v>43</v>
      </c>
      <c r="C77" s="17" t="s">
        <v>185</v>
      </c>
      <c r="D77" s="28" t="s">
        <v>194</v>
      </c>
      <c r="E77" s="16" t="s">
        <v>195</v>
      </c>
      <c r="F77" s="16" t="n">
        <v>438</v>
      </c>
      <c r="G77" s="16" t="n">
        <v>75</v>
      </c>
      <c r="H77" s="16" t="n">
        <v>457</v>
      </c>
      <c r="I77" s="16" t="n">
        <v>235</v>
      </c>
      <c r="J77" s="16" t="n">
        <v>222</v>
      </c>
      <c r="K77" s="16" t="n">
        <v>78</v>
      </c>
      <c r="L77" s="19" t="n">
        <f aca="false">(K77/H77)*100</f>
        <v>17.0678336980306</v>
      </c>
      <c r="M77" s="16" t="n">
        <v>116</v>
      </c>
      <c r="N77" s="19" t="n">
        <f aca="false">(M77/H77)*100</f>
        <v>25.382932166302</v>
      </c>
      <c r="O77" s="16" t="n">
        <v>20</v>
      </c>
      <c r="P77" s="16" t="n">
        <v>0</v>
      </c>
      <c r="Q77" s="24" t="s">
        <v>49</v>
      </c>
      <c r="R77" s="34" t="n">
        <v>45976</v>
      </c>
      <c r="S77" s="16"/>
      <c r="T77" s="20" t="n">
        <v>0</v>
      </c>
      <c r="U77" s="20"/>
      <c r="V77" s="16"/>
      <c r="W77" s="16"/>
      <c r="X77" s="16"/>
      <c r="Y77" s="16"/>
      <c r="Z77" s="16"/>
      <c r="AA77" s="26" t="s">
        <v>50</v>
      </c>
      <c r="AB77" s="21"/>
      <c r="AC77" s="36"/>
      <c r="AD77" s="20"/>
      <c r="AE77" s="20"/>
      <c r="AF77" s="20" t="s">
        <v>52</v>
      </c>
    </row>
    <row r="78" customFormat="false" ht="15.75" hidden="false" customHeight="false" outlineLevel="0" collapsed="false">
      <c r="A78" s="16" t="s">
        <v>42</v>
      </c>
      <c r="B78" s="16" t="s">
        <v>43</v>
      </c>
      <c r="C78" s="17" t="s">
        <v>185</v>
      </c>
      <c r="D78" s="28" t="s">
        <v>196</v>
      </c>
      <c r="E78" s="16" t="s">
        <v>197</v>
      </c>
      <c r="F78" s="16" t="n">
        <v>494</v>
      </c>
      <c r="G78" s="16" t="n">
        <v>76</v>
      </c>
      <c r="H78" s="16" t="n">
        <v>517</v>
      </c>
      <c r="I78" s="16" t="n">
        <v>274</v>
      </c>
      <c r="J78" s="16" t="n">
        <v>243</v>
      </c>
      <c r="K78" s="16" t="n">
        <v>82</v>
      </c>
      <c r="L78" s="19" t="n">
        <f aca="false">(K78/H78)*100</f>
        <v>15.8607350096712</v>
      </c>
      <c r="M78" s="16" t="n">
        <v>0</v>
      </c>
      <c r="N78" s="19" t="n">
        <f aca="false">(M78/H78)*100</f>
        <v>0</v>
      </c>
      <c r="O78" s="16" t="n">
        <v>14</v>
      </c>
      <c r="P78" s="16" t="n">
        <v>0</v>
      </c>
      <c r="Q78" s="24" t="s">
        <v>49</v>
      </c>
      <c r="R78" s="34" t="n">
        <v>45976</v>
      </c>
      <c r="S78" s="16"/>
      <c r="T78" s="20" t="n">
        <v>0</v>
      </c>
      <c r="U78" s="20"/>
      <c r="V78" s="16"/>
      <c r="W78" s="16"/>
      <c r="X78" s="16"/>
      <c r="Y78" s="16"/>
      <c r="Z78" s="16"/>
      <c r="AA78" s="26" t="s">
        <v>50</v>
      </c>
      <c r="AB78" s="21"/>
      <c r="AC78" s="36"/>
      <c r="AD78" s="20"/>
      <c r="AE78" s="20"/>
      <c r="AF78" s="20" t="s">
        <v>52</v>
      </c>
    </row>
    <row r="79" customFormat="false" ht="15.75" hidden="false" customHeight="false" outlineLevel="0" collapsed="false">
      <c r="A79" s="16" t="s">
        <v>42</v>
      </c>
      <c r="B79" s="16" t="s">
        <v>43</v>
      </c>
      <c r="C79" s="17" t="s">
        <v>185</v>
      </c>
      <c r="D79" s="28" t="s">
        <v>198</v>
      </c>
      <c r="E79" s="16" t="s">
        <v>199</v>
      </c>
      <c r="F79" s="16" t="n">
        <v>568</v>
      </c>
      <c r="G79" s="16" t="n">
        <v>107</v>
      </c>
      <c r="H79" s="16" t="n">
        <v>646</v>
      </c>
      <c r="I79" s="16" t="n">
        <v>337</v>
      </c>
      <c r="J79" s="16" t="n">
        <v>309</v>
      </c>
      <c r="K79" s="16" t="n">
        <v>166</v>
      </c>
      <c r="L79" s="19" t="n">
        <f aca="false">(K79/H79)*100</f>
        <v>25.6965944272446</v>
      </c>
      <c r="M79" s="16" t="n">
        <v>0</v>
      </c>
      <c r="N79" s="19" t="n">
        <f aca="false">(M79/H79)*100</f>
        <v>0</v>
      </c>
      <c r="O79" s="16" t="n">
        <v>22</v>
      </c>
      <c r="P79" s="16" t="n">
        <v>0</v>
      </c>
      <c r="Q79" s="24" t="s">
        <v>49</v>
      </c>
      <c r="R79" s="34" t="n">
        <v>45976</v>
      </c>
      <c r="S79" s="16"/>
      <c r="T79" s="20" t="n">
        <v>0</v>
      </c>
      <c r="U79" s="20"/>
      <c r="V79" s="16"/>
      <c r="W79" s="16"/>
      <c r="X79" s="16"/>
      <c r="Y79" s="16"/>
      <c r="Z79" s="16"/>
      <c r="AA79" s="26" t="s">
        <v>50</v>
      </c>
      <c r="AB79" s="21"/>
      <c r="AC79" s="20"/>
      <c r="AD79" s="20"/>
      <c r="AE79" s="20"/>
      <c r="AF79" s="20" t="s">
        <v>52</v>
      </c>
    </row>
    <row r="80" customFormat="false" ht="15.75" hidden="false" customHeight="false" outlineLevel="0" collapsed="false">
      <c r="A80" s="16" t="s">
        <v>42</v>
      </c>
      <c r="B80" s="16" t="s">
        <v>43</v>
      </c>
      <c r="C80" s="17" t="s">
        <v>200</v>
      </c>
      <c r="D80" s="18" t="s">
        <v>201</v>
      </c>
      <c r="E80" s="16" t="s">
        <v>202</v>
      </c>
      <c r="F80" s="16" t="n">
        <v>1333.02</v>
      </c>
      <c r="G80" s="16" t="n">
        <v>247</v>
      </c>
      <c r="H80" s="16" t="n">
        <v>1680</v>
      </c>
      <c r="I80" s="16" t="n">
        <v>890</v>
      </c>
      <c r="J80" s="16" t="n">
        <v>790</v>
      </c>
      <c r="K80" s="16" t="n">
        <v>322</v>
      </c>
      <c r="L80" s="19" t="n">
        <f aca="false">(K80/H80)*100</f>
        <v>19.1666666666667</v>
      </c>
      <c r="M80" s="16" t="n">
        <v>11</v>
      </c>
      <c r="N80" s="19" t="n">
        <f aca="false">(M80/H80)*100</f>
        <v>0.654761904761905</v>
      </c>
      <c r="O80" s="16" t="n">
        <v>0</v>
      </c>
      <c r="P80" s="16" t="n">
        <v>0</v>
      </c>
      <c r="Q80" s="24" t="s">
        <v>49</v>
      </c>
      <c r="R80" s="34" t="n">
        <v>45976</v>
      </c>
      <c r="S80" s="16"/>
      <c r="T80" s="55" t="n">
        <v>0</v>
      </c>
      <c r="U80" s="20"/>
      <c r="V80" s="16"/>
      <c r="W80" s="16"/>
      <c r="X80" s="16"/>
      <c r="Y80" s="16"/>
      <c r="Z80" s="16"/>
      <c r="AA80" s="26" t="s">
        <v>50</v>
      </c>
      <c r="AB80" s="21" t="n">
        <v>0</v>
      </c>
      <c r="AC80" s="36"/>
      <c r="AD80" s="20"/>
      <c r="AE80" s="20"/>
      <c r="AF80" s="20" t="s">
        <v>52</v>
      </c>
    </row>
    <row r="81" customFormat="false" ht="17.25" hidden="false" customHeight="false" outlineLevel="0" collapsed="false">
      <c r="A81" s="16" t="s">
        <v>42</v>
      </c>
      <c r="B81" s="16" t="s">
        <v>43</v>
      </c>
      <c r="C81" s="17" t="s">
        <v>200</v>
      </c>
      <c r="D81" s="28" t="s">
        <v>203</v>
      </c>
      <c r="E81" s="16" t="s">
        <v>204</v>
      </c>
      <c r="F81" s="16" t="n">
        <v>805.5</v>
      </c>
      <c r="G81" s="16" t="n">
        <v>186</v>
      </c>
      <c r="H81" s="16" t="n">
        <v>1072</v>
      </c>
      <c r="I81" s="16" t="n">
        <v>571</v>
      </c>
      <c r="J81" s="16" t="n">
        <v>501</v>
      </c>
      <c r="K81" s="16" t="n">
        <v>0</v>
      </c>
      <c r="L81" s="19" t="n">
        <f aca="false">(K81/H81)*100</f>
        <v>0</v>
      </c>
      <c r="M81" s="16" t="n">
        <v>67</v>
      </c>
      <c r="N81" s="19" t="n">
        <f aca="false">(M81/H81)*100</f>
        <v>6.25</v>
      </c>
      <c r="O81" s="16" t="n">
        <v>0</v>
      </c>
      <c r="P81" s="16" t="n">
        <v>0</v>
      </c>
      <c r="Q81" s="24" t="s">
        <v>49</v>
      </c>
      <c r="R81" s="25" t="n">
        <v>45976</v>
      </c>
      <c r="S81" s="16"/>
      <c r="T81" s="24" t="n">
        <v>0</v>
      </c>
      <c r="U81" s="56"/>
      <c r="V81" s="16"/>
      <c r="W81" s="16"/>
      <c r="X81" s="16"/>
      <c r="Y81" s="16"/>
      <c r="Z81" s="16"/>
      <c r="AA81" s="26" t="s">
        <v>50</v>
      </c>
      <c r="AB81" s="26" t="n">
        <v>5</v>
      </c>
      <c r="AC81" s="27" t="s">
        <v>205</v>
      </c>
      <c r="AD81" s="24" t="n">
        <v>27.129197</v>
      </c>
      <c r="AE81" s="24" t="n">
        <v>72.891033</v>
      </c>
      <c r="AF81" s="20" t="s">
        <v>52</v>
      </c>
    </row>
    <row r="82" customFormat="false" ht="31.5" hidden="false" customHeight="false" outlineLevel="0" collapsed="false">
      <c r="A82" s="16" t="s">
        <v>42</v>
      </c>
      <c r="B82" s="16" t="s">
        <v>43</v>
      </c>
      <c r="C82" s="17" t="s">
        <v>206</v>
      </c>
      <c r="D82" s="18" t="s">
        <v>207</v>
      </c>
      <c r="E82" s="16" t="s">
        <v>208</v>
      </c>
      <c r="F82" s="16" t="n">
        <v>1078</v>
      </c>
      <c r="G82" s="16" t="n">
        <v>279</v>
      </c>
      <c r="H82" s="16" t="n">
        <v>1811</v>
      </c>
      <c r="I82" s="16" t="n">
        <v>938</v>
      </c>
      <c r="J82" s="16" t="n">
        <v>873</v>
      </c>
      <c r="K82" s="16" t="n">
        <v>58</v>
      </c>
      <c r="L82" s="19" t="n">
        <f aca="false">(K82/H82)*100</f>
        <v>3.20265046935395</v>
      </c>
      <c r="M82" s="16" t="n">
        <v>0</v>
      </c>
      <c r="N82" s="19" t="n">
        <f aca="false">(M82/H82)*100</f>
        <v>0</v>
      </c>
      <c r="O82" s="16" t="n">
        <v>83</v>
      </c>
      <c r="P82" s="16" t="n">
        <v>0</v>
      </c>
      <c r="Q82" s="24" t="s">
        <v>49</v>
      </c>
      <c r="R82" s="34" t="n">
        <v>45976</v>
      </c>
      <c r="S82" s="16"/>
      <c r="T82" s="20" t="n">
        <v>0</v>
      </c>
      <c r="U82" s="20"/>
      <c r="V82" s="16"/>
      <c r="W82" s="16"/>
      <c r="X82" s="16"/>
      <c r="Y82" s="16"/>
      <c r="Z82" s="16"/>
      <c r="AA82" s="26" t="s">
        <v>50</v>
      </c>
      <c r="AB82" s="21"/>
      <c r="AC82" s="36"/>
      <c r="AD82" s="20"/>
      <c r="AE82" s="20"/>
      <c r="AF82" s="20" t="s">
        <v>52</v>
      </c>
    </row>
    <row r="83" customFormat="false" ht="31.5" hidden="false" customHeight="false" outlineLevel="0" collapsed="false">
      <c r="A83" s="16" t="s">
        <v>42</v>
      </c>
      <c r="B83" s="16" t="s">
        <v>43</v>
      </c>
      <c r="C83" s="17" t="s">
        <v>206</v>
      </c>
      <c r="D83" s="28" t="s">
        <v>209</v>
      </c>
      <c r="E83" s="16" t="s">
        <v>210</v>
      </c>
      <c r="F83" s="16" t="n">
        <v>363</v>
      </c>
      <c r="G83" s="16" t="n">
        <v>71</v>
      </c>
      <c r="H83" s="16" t="n">
        <v>462</v>
      </c>
      <c r="I83" s="16" t="n">
        <v>252</v>
      </c>
      <c r="J83" s="16" t="n">
        <v>210</v>
      </c>
      <c r="K83" s="16" t="n">
        <v>0</v>
      </c>
      <c r="L83" s="19" t="n">
        <f aca="false">(K83/H83)*100</f>
        <v>0</v>
      </c>
      <c r="M83" s="16" t="n">
        <v>0</v>
      </c>
      <c r="N83" s="19" t="n">
        <f aca="false">(M83/H83)*100</f>
        <v>0</v>
      </c>
      <c r="O83" s="16" t="n">
        <v>40</v>
      </c>
      <c r="P83" s="16" t="n">
        <v>0</v>
      </c>
      <c r="Q83" s="24" t="s">
        <v>49</v>
      </c>
      <c r="R83" s="34" t="n">
        <v>45976</v>
      </c>
      <c r="S83" s="16"/>
      <c r="T83" s="20" t="n">
        <v>0</v>
      </c>
      <c r="U83" s="20"/>
      <c r="V83" s="16"/>
      <c r="W83" s="16"/>
      <c r="X83" s="16"/>
      <c r="Y83" s="16"/>
      <c r="Z83" s="16"/>
      <c r="AA83" s="26" t="s">
        <v>50</v>
      </c>
      <c r="AB83" s="21"/>
      <c r="AC83" s="36"/>
      <c r="AD83" s="20"/>
      <c r="AE83" s="20"/>
      <c r="AF83" s="20" t="s">
        <v>52</v>
      </c>
    </row>
    <row r="84" customFormat="false" ht="31.5" hidden="false" customHeight="false" outlineLevel="0" collapsed="false">
      <c r="A84" s="16" t="s">
        <v>42</v>
      </c>
      <c r="B84" s="16" t="s">
        <v>43</v>
      </c>
      <c r="C84" s="17" t="s">
        <v>206</v>
      </c>
      <c r="D84" s="28" t="s">
        <v>211</v>
      </c>
      <c r="E84" s="16" t="s">
        <v>212</v>
      </c>
      <c r="F84" s="16" t="n">
        <v>349</v>
      </c>
      <c r="G84" s="16" t="n">
        <v>101</v>
      </c>
      <c r="H84" s="16" t="n">
        <v>721</v>
      </c>
      <c r="I84" s="16" t="n">
        <v>371</v>
      </c>
      <c r="J84" s="16" t="n">
        <v>350</v>
      </c>
      <c r="K84" s="16" t="n">
        <v>0</v>
      </c>
      <c r="L84" s="19" t="n">
        <f aca="false">(K84/H84)*100</f>
        <v>0</v>
      </c>
      <c r="M84" s="16" t="n">
        <v>0</v>
      </c>
      <c r="N84" s="19" t="n">
        <f aca="false">(M84/H84)*100</f>
        <v>0</v>
      </c>
      <c r="O84" s="16" t="n">
        <v>42</v>
      </c>
      <c r="P84" s="16" t="n">
        <v>0</v>
      </c>
      <c r="Q84" s="24" t="s">
        <v>49</v>
      </c>
      <c r="R84" s="34" t="n">
        <v>45976</v>
      </c>
      <c r="S84" s="16"/>
      <c r="T84" s="20" t="n">
        <v>0</v>
      </c>
      <c r="U84" s="20"/>
      <c r="V84" s="16"/>
      <c r="W84" s="16"/>
      <c r="X84" s="16"/>
      <c r="Y84" s="16"/>
      <c r="Z84" s="16"/>
      <c r="AA84" s="26" t="s">
        <v>50</v>
      </c>
      <c r="AB84" s="21"/>
      <c r="AC84" s="36"/>
      <c r="AD84" s="20"/>
      <c r="AE84" s="20"/>
      <c r="AF84" s="20" t="s">
        <v>52</v>
      </c>
    </row>
    <row r="85" customFormat="false" ht="31.5" hidden="false" customHeight="false" outlineLevel="0" collapsed="false">
      <c r="A85" s="16" t="s">
        <v>42</v>
      </c>
      <c r="B85" s="16" t="s">
        <v>43</v>
      </c>
      <c r="C85" s="17" t="s">
        <v>206</v>
      </c>
      <c r="D85" s="28" t="s">
        <v>213</v>
      </c>
      <c r="E85" s="16" t="s">
        <v>214</v>
      </c>
      <c r="F85" s="16" t="n">
        <v>944</v>
      </c>
      <c r="G85" s="16" t="n">
        <v>75</v>
      </c>
      <c r="H85" s="16" t="n">
        <v>431</v>
      </c>
      <c r="I85" s="16" t="n">
        <v>236</v>
      </c>
      <c r="J85" s="16" t="n">
        <v>195</v>
      </c>
      <c r="K85" s="16" t="n">
        <v>0</v>
      </c>
      <c r="L85" s="19" t="n">
        <f aca="false">(K85/H85)*100</f>
        <v>0</v>
      </c>
      <c r="M85" s="16" t="n">
        <v>0</v>
      </c>
      <c r="N85" s="19" t="n">
        <f aca="false">(M85/H85)*100</f>
        <v>0</v>
      </c>
      <c r="O85" s="16" t="n">
        <v>95</v>
      </c>
      <c r="P85" s="16" t="n">
        <v>0</v>
      </c>
      <c r="Q85" s="24" t="s">
        <v>49</v>
      </c>
      <c r="R85" s="34" t="n">
        <v>45976</v>
      </c>
      <c r="S85" s="16"/>
      <c r="T85" s="20" t="n">
        <v>0</v>
      </c>
      <c r="U85" s="20"/>
      <c r="V85" s="16"/>
      <c r="W85" s="16"/>
      <c r="X85" s="16"/>
      <c r="Y85" s="16"/>
      <c r="Z85" s="16"/>
      <c r="AA85" s="26" t="s">
        <v>50</v>
      </c>
      <c r="AB85" s="21"/>
      <c r="AC85" s="36"/>
      <c r="AD85" s="20"/>
      <c r="AE85" s="20"/>
      <c r="AF85" s="20" t="s">
        <v>52</v>
      </c>
    </row>
    <row r="86" customFormat="false" ht="31.5" hidden="false" customHeight="false" outlineLevel="0" collapsed="false">
      <c r="A86" s="16" t="s">
        <v>42</v>
      </c>
      <c r="B86" s="16" t="s">
        <v>43</v>
      </c>
      <c r="C86" s="17" t="s">
        <v>206</v>
      </c>
      <c r="D86" s="28" t="s">
        <v>215</v>
      </c>
      <c r="E86" s="16" t="s">
        <v>216</v>
      </c>
      <c r="F86" s="16" t="n">
        <v>477</v>
      </c>
      <c r="G86" s="16" t="n">
        <v>81</v>
      </c>
      <c r="H86" s="16" t="n">
        <v>450</v>
      </c>
      <c r="I86" s="16" t="n">
        <v>245</v>
      </c>
      <c r="J86" s="16" t="n">
        <v>205</v>
      </c>
      <c r="K86" s="16" t="n">
        <v>49</v>
      </c>
      <c r="L86" s="19" t="n">
        <f aca="false">(K86/H86)*100</f>
        <v>10.8888888888889</v>
      </c>
      <c r="M86" s="16" t="n">
        <v>0</v>
      </c>
      <c r="N86" s="19" t="n">
        <f aca="false">(M86/H86)*100</f>
        <v>0</v>
      </c>
      <c r="O86" s="16" t="n">
        <v>95</v>
      </c>
      <c r="P86" s="16" t="n">
        <v>0</v>
      </c>
      <c r="Q86" s="24" t="s">
        <v>49</v>
      </c>
      <c r="R86" s="34" t="n">
        <v>45976</v>
      </c>
      <c r="S86" s="16"/>
      <c r="T86" s="20" t="n">
        <v>0</v>
      </c>
      <c r="U86" s="20"/>
      <c r="V86" s="16"/>
      <c r="W86" s="16"/>
      <c r="X86" s="16"/>
      <c r="Y86" s="16"/>
      <c r="Z86" s="16"/>
      <c r="AA86" s="26" t="s">
        <v>50</v>
      </c>
      <c r="AB86" s="21" t="n">
        <v>5</v>
      </c>
      <c r="AC86" s="36" t="s">
        <v>217</v>
      </c>
      <c r="AD86" s="20" t="n">
        <v>27.19394</v>
      </c>
      <c r="AE86" s="20" t="n">
        <v>72.994471</v>
      </c>
      <c r="AF86" s="20" t="s">
        <v>52</v>
      </c>
    </row>
    <row r="87" customFormat="false" ht="15.75" hidden="false" customHeight="false" outlineLevel="0" collapsed="false">
      <c r="A87" s="16"/>
      <c r="B87" s="16"/>
      <c r="C87" s="17"/>
      <c r="D87" s="28"/>
      <c r="E87" s="16"/>
      <c r="F87" s="16"/>
      <c r="G87" s="16"/>
      <c r="H87" s="16"/>
      <c r="I87" s="16"/>
      <c r="J87" s="16"/>
      <c r="K87" s="16"/>
      <c r="L87" s="19"/>
      <c r="M87" s="16"/>
      <c r="N87" s="19"/>
      <c r="O87" s="16"/>
      <c r="P87" s="16"/>
      <c r="Q87" s="30"/>
      <c r="R87" s="31"/>
      <c r="S87" s="16"/>
      <c r="T87" s="30"/>
      <c r="U87" s="20"/>
      <c r="V87" s="16"/>
      <c r="W87" s="16"/>
      <c r="X87" s="16"/>
      <c r="Y87" s="16"/>
      <c r="Z87" s="16"/>
      <c r="AA87" s="32" t="s">
        <v>50</v>
      </c>
      <c r="AB87" s="32" t="n">
        <v>8</v>
      </c>
      <c r="AC87" s="42" t="s">
        <v>218</v>
      </c>
      <c r="AD87" s="30" t="n">
        <v>27.193927</v>
      </c>
      <c r="AE87" s="30" t="n">
        <v>72.9942509</v>
      </c>
      <c r="AF87" s="20" t="s">
        <v>52</v>
      </c>
    </row>
    <row r="88" customFormat="false" ht="31.5" hidden="false" customHeight="false" outlineLevel="0" collapsed="false">
      <c r="A88" s="16" t="s">
        <v>42</v>
      </c>
      <c r="B88" s="16" t="s">
        <v>43</v>
      </c>
      <c r="C88" s="17" t="s">
        <v>219</v>
      </c>
      <c r="D88" s="18" t="s">
        <v>220</v>
      </c>
      <c r="E88" s="16" t="s">
        <v>221</v>
      </c>
      <c r="F88" s="16" t="n">
        <v>5086</v>
      </c>
      <c r="G88" s="16" t="n">
        <v>733</v>
      </c>
      <c r="H88" s="16" t="n">
        <v>4590</v>
      </c>
      <c r="I88" s="16" t="n">
        <v>2467</v>
      </c>
      <c r="J88" s="16" t="n">
        <v>2123</v>
      </c>
      <c r="K88" s="16" t="n">
        <v>861</v>
      </c>
      <c r="L88" s="19" t="n">
        <f aca="false">(K88/H88)*100</f>
        <v>18.7581699346405</v>
      </c>
      <c r="M88" s="16" t="n">
        <v>22</v>
      </c>
      <c r="N88" s="19" t="n">
        <f aca="false">(M88/H88)*100</f>
        <v>0.479302832244009</v>
      </c>
      <c r="O88" s="16" t="n">
        <v>460</v>
      </c>
      <c r="P88" s="16" t="n">
        <v>0</v>
      </c>
      <c r="Q88" s="24" t="s">
        <v>49</v>
      </c>
      <c r="R88" s="34" t="n">
        <v>45976</v>
      </c>
      <c r="S88" s="16"/>
      <c r="T88" s="20" t="n">
        <v>259.84</v>
      </c>
      <c r="U88" s="20"/>
      <c r="V88" s="16"/>
      <c r="W88" s="16"/>
      <c r="X88" s="16"/>
      <c r="Y88" s="16"/>
      <c r="Z88" s="16"/>
      <c r="AA88" s="26" t="s">
        <v>50</v>
      </c>
      <c r="AB88" s="21" t="n">
        <v>18</v>
      </c>
      <c r="AC88" s="36" t="s">
        <v>222</v>
      </c>
      <c r="AD88" s="20" t="n">
        <v>27.131118</v>
      </c>
      <c r="AE88" s="20" t="n">
        <v>72.941067</v>
      </c>
      <c r="AF88" s="20" t="s">
        <v>52</v>
      </c>
    </row>
    <row r="89" customFormat="false" ht="15.75" hidden="false" customHeight="false" outlineLevel="0" collapsed="false">
      <c r="A89" s="16"/>
      <c r="B89" s="16"/>
      <c r="C89" s="17"/>
      <c r="D89" s="18"/>
      <c r="E89" s="16"/>
      <c r="F89" s="16"/>
      <c r="G89" s="16"/>
      <c r="H89" s="16"/>
      <c r="I89" s="16"/>
      <c r="J89" s="16"/>
      <c r="K89" s="16"/>
      <c r="L89" s="19"/>
      <c r="M89" s="16"/>
      <c r="N89" s="19"/>
      <c r="O89" s="16"/>
      <c r="P89" s="16"/>
      <c r="Q89" s="30"/>
      <c r="R89" s="31"/>
      <c r="S89" s="16"/>
      <c r="T89" s="30"/>
      <c r="U89" s="20"/>
      <c r="V89" s="16"/>
      <c r="W89" s="16"/>
      <c r="X89" s="16"/>
      <c r="Y89" s="16"/>
      <c r="Z89" s="16"/>
      <c r="AA89" s="32" t="s">
        <v>50</v>
      </c>
      <c r="AB89" s="32" t="n">
        <v>12</v>
      </c>
      <c r="AC89" s="42" t="s">
        <v>223</v>
      </c>
      <c r="AD89" s="30" t="n">
        <v>27.130508</v>
      </c>
      <c r="AE89" s="30" t="n">
        <v>72.939601</v>
      </c>
      <c r="AF89" s="20" t="s">
        <v>52</v>
      </c>
    </row>
    <row r="90" customFormat="false" ht="31.5" hidden="false" customHeight="false" outlineLevel="0" collapsed="false">
      <c r="A90" s="16"/>
      <c r="B90" s="16"/>
      <c r="C90" s="17"/>
      <c r="D90" s="18"/>
      <c r="E90" s="16"/>
      <c r="F90" s="16"/>
      <c r="G90" s="16"/>
      <c r="H90" s="16"/>
      <c r="I90" s="16"/>
      <c r="J90" s="16"/>
      <c r="K90" s="16"/>
      <c r="L90" s="19"/>
      <c r="M90" s="16"/>
      <c r="N90" s="19"/>
      <c r="O90" s="16"/>
      <c r="P90" s="16"/>
      <c r="Q90" s="30"/>
      <c r="R90" s="31"/>
      <c r="S90" s="16"/>
      <c r="T90" s="30"/>
      <c r="U90" s="20"/>
      <c r="V90" s="16"/>
      <c r="W90" s="16"/>
      <c r="X90" s="16"/>
      <c r="Y90" s="16"/>
      <c r="Z90" s="16"/>
      <c r="AA90" s="32" t="s">
        <v>50</v>
      </c>
      <c r="AB90" s="32" t="n">
        <v>10</v>
      </c>
      <c r="AC90" s="42" t="s">
        <v>224</v>
      </c>
      <c r="AD90" s="30" t="n">
        <v>27.12826</v>
      </c>
      <c r="AE90" s="30" t="n">
        <v>72.939912</v>
      </c>
      <c r="AF90" s="20" t="s">
        <v>52</v>
      </c>
    </row>
    <row r="91" customFormat="false" ht="15.75" hidden="false" customHeight="false" outlineLevel="0" collapsed="false">
      <c r="A91" s="16"/>
      <c r="B91" s="16"/>
      <c r="C91" s="17"/>
      <c r="D91" s="18"/>
      <c r="E91" s="16"/>
      <c r="F91" s="16"/>
      <c r="G91" s="16"/>
      <c r="H91" s="16"/>
      <c r="I91" s="16"/>
      <c r="J91" s="16"/>
      <c r="K91" s="16"/>
      <c r="L91" s="19"/>
      <c r="M91" s="16"/>
      <c r="N91" s="19"/>
      <c r="O91" s="16"/>
      <c r="P91" s="16"/>
      <c r="Q91" s="30"/>
      <c r="R91" s="31"/>
      <c r="S91" s="16"/>
      <c r="T91" s="30"/>
      <c r="U91" s="20"/>
      <c r="V91" s="16"/>
      <c r="W91" s="16"/>
      <c r="X91" s="16"/>
      <c r="Y91" s="16"/>
      <c r="Z91" s="16"/>
      <c r="AA91" s="32" t="s">
        <v>50</v>
      </c>
      <c r="AB91" s="32" t="n">
        <v>14</v>
      </c>
      <c r="AC91" s="42" t="s">
        <v>225</v>
      </c>
      <c r="AD91" s="30" t="n">
        <v>27.12908</v>
      </c>
      <c r="AE91" s="30" t="n">
        <v>72.94136</v>
      </c>
      <c r="AF91" s="20" t="s">
        <v>52</v>
      </c>
    </row>
    <row r="92" customFormat="false" ht="15.75" hidden="false" customHeight="false" outlineLevel="0" collapsed="false">
      <c r="A92" s="16" t="s">
        <v>42</v>
      </c>
      <c r="B92" s="16" t="s">
        <v>43</v>
      </c>
      <c r="C92" s="17" t="s">
        <v>219</v>
      </c>
      <c r="D92" s="28" t="s">
        <v>226</v>
      </c>
      <c r="E92" s="16" t="s">
        <v>227</v>
      </c>
      <c r="F92" s="16" t="n">
        <v>1222</v>
      </c>
      <c r="G92" s="16" t="n">
        <v>246</v>
      </c>
      <c r="H92" s="16" t="n">
        <v>1599</v>
      </c>
      <c r="I92" s="16" t="n">
        <v>841</v>
      </c>
      <c r="J92" s="16" t="n">
        <v>758</v>
      </c>
      <c r="K92" s="16" t="n">
        <v>37</v>
      </c>
      <c r="L92" s="19" t="n">
        <f aca="false">(K92/H92)*100</f>
        <v>2.31394621638524</v>
      </c>
      <c r="M92" s="16" t="n">
        <v>79</v>
      </c>
      <c r="N92" s="19" t="n">
        <f aca="false">(M92/H92)*100</f>
        <v>4.94058786741714</v>
      </c>
      <c r="O92" s="16" t="n">
        <v>0</v>
      </c>
      <c r="P92" s="16" t="n">
        <v>0</v>
      </c>
      <c r="Q92" s="24" t="s">
        <v>49</v>
      </c>
      <c r="R92" s="34" t="n">
        <v>45976</v>
      </c>
      <c r="S92" s="16"/>
      <c r="T92" s="20" t="n">
        <v>0</v>
      </c>
      <c r="U92" s="20"/>
      <c r="V92" s="16"/>
      <c r="W92" s="16"/>
      <c r="X92" s="16"/>
      <c r="Y92" s="16"/>
      <c r="Z92" s="16"/>
      <c r="AA92" s="26" t="s">
        <v>50</v>
      </c>
      <c r="AB92" s="21"/>
      <c r="AC92" s="36"/>
      <c r="AD92" s="20"/>
      <c r="AE92" s="20"/>
      <c r="AF92" s="20" t="s">
        <v>52</v>
      </c>
    </row>
    <row r="93" customFormat="false" ht="17.25" hidden="false" customHeight="false" outlineLevel="0" collapsed="false">
      <c r="A93" s="16" t="s">
        <v>42</v>
      </c>
      <c r="B93" s="16" t="s">
        <v>43</v>
      </c>
      <c r="C93" s="17" t="s">
        <v>228</v>
      </c>
      <c r="D93" s="18" t="s">
        <v>229</v>
      </c>
      <c r="E93" s="16" t="s">
        <v>230</v>
      </c>
      <c r="F93" s="16" t="n">
        <v>1299</v>
      </c>
      <c r="G93" s="16" t="n">
        <v>259</v>
      </c>
      <c r="H93" s="16" t="n">
        <v>1714</v>
      </c>
      <c r="I93" s="16" t="n">
        <v>893</v>
      </c>
      <c r="J93" s="16" t="n">
        <v>821</v>
      </c>
      <c r="K93" s="16" t="n">
        <v>183</v>
      </c>
      <c r="L93" s="19" t="n">
        <f aca="false">(K93/H93)*100</f>
        <v>10.6767794632439</v>
      </c>
      <c r="M93" s="16" t="n">
        <v>0</v>
      </c>
      <c r="N93" s="19" t="n">
        <f aca="false">(M93/H93)*100</f>
        <v>0</v>
      </c>
      <c r="O93" s="16" t="n">
        <v>92</v>
      </c>
      <c r="P93" s="16" t="n">
        <v>0</v>
      </c>
      <c r="Q93" s="24" t="s">
        <v>49</v>
      </c>
      <c r="R93" s="25" t="n">
        <v>45976</v>
      </c>
      <c r="S93" s="16"/>
      <c r="T93" s="24" t="n">
        <v>0</v>
      </c>
      <c r="U93" s="20"/>
      <c r="V93" s="16"/>
      <c r="W93" s="16"/>
      <c r="X93" s="16"/>
      <c r="Y93" s="16"/>
      <c r="Z93" s="16"/>
      <c r="AA93" s="26" t="s">
        <v>50</v>
      </c>
      <c r="AB93" s="26" t="n">
        <v>5</v>
      </c>
      <c r="AC93" s="27" t="s">
        <v>231</v>
      </c>
      <c r="AD93" s="24" t="n">
        <v>27.130972</v>
      </c>
      <c r="AE93" s="24" t="n">
        <v>73.02955</v>
      </c>
      <c r="AF93" s="20" t="s">
        <v>52</v>
      </c>
    </row>
    <row r="94" customFormat="false" ht="15.75" hidden="false" customHeight="false" outlineLevel="0" collapsed="false">
      <c r="A94" s="16" t="s">
        <v>42</v>
      </c>
      <c r="B94" s="16" t="s">
        <v>43</v>
      </c>
      <c r="C94" s="17" t="s">
        <v>228</v>
      </c>
      <c r="D94" s="28" t="s">
        <v>232</v>
      </c>
      <c r="E94" s="16" t="s">
        <v>233</v>
      </c>
      <c r="F94" s="16" t="n">
        <v>673</v>
      </c>
      <c r="G94" s="16" t="n">
        <v>149</v>
      </c>
      <c r="H94" s="16" t="n">
        <v>1025</v>
      </c>
      <c r="I94" s="16" t="n">
        <v>540</v>
      </c>
      <c r="J94" s="16" t="n">
        <v>485</v>
      </c>
      <c r="K94" s="16" t="n">
        <v>430</v>
      </c>
      <c r="L94" s="19" t="n">
        <f aca="false">(K94/H94)*100</f>
        <v>41.9512195121951</v>
      </c>
      <c r="M94" s="16" t="n">
        <v>0</v>
      </c>
      <c r="N94" s="19" t="n">
        <f aca="false">(M94/H94)*100</f>
        <v>0</v>
      </c>
      <c r="O94" s="16" t="n">
        <v>46</v>
      </c>
      <c r="P94" s="16" t="n">
        <v>0</v>
      </c>
      <c r="Q94" s="24" t="s">
        <v>49</v>
      </c>
      <c r="R94" s="25" t="n">
        <v>45976</v>
      </c>
      <c r="S94" s="16"/>
      <c r="T94" s="26" t="n">
        <v>0</v>
      </c>
      <c r="U94" s="20"/>
      <c r="V94" s="16"/>
      <c r="W94" s="16"/>
      <c r="X94" s="16"/>
      <c r="Y94" s="16"/>
      <c r="Z94" s="16"/>
      <c r="AA94" s="26" t="s">
        <v>50</v>
      </c>
      <c r="AB94" s="26" t="n">
        <v>0</v>
      </c>
      <c r="AC94" s="57"/>
      <c r="AD94" s="24"/>
      <c r="AE94" s="24"/>
      <c r="AF94" s="20" t="s">
        <v>52</v>
      </c>
    </row>
    <row r="95" customFormat="false" ht="31.5" hidden="false" customHeight="false" outlineLevel="0" collapsed="false">
      <c r="A95" s="16" t="s">
        <v>42</v>
      </c>
      <c r="B95" s="16" t="s">
        <v>43</v>
      </c>
      <c r="C95" s="17" t="s">
        <v>234</v>
      </c>
      <c r="D95" s="18" t="s">
        <v>234</v>
      </c>
      <c r="E95" s="16" t="s">
        <v>235</v>
      </c>
      <c r="F95" s="16" t="n">
        <v>675.43</v>
      </c>
      <c r="G95" s="16" t="n">
        <v>234</v>
      </c>
      <c r="H95" s="16" t="n">
        <v>1308</v>
      </c>
      <c r="I95" s="16" t="n">
        <v>684</v>
      </c>
      <c r="J95" s="16" t="n">
        <v>624</v>
      </c>
      <c r="K95" s="16" t="n">
        <v>174</v>
      </c>
      <c r="L95" s="19" t="n">
        <f aca="false">(K95/H95)*100</f>
        <v>13.302752293578</v>
      </c>
      <c r="M95" s="16" t="n">
        <v>0</v>
      </c>
      <c r="N95" s="19" t="n">
        <f aca="false">(M95/H95)*100</f>
        <v>0</v>
      </c>
      <c r="O95" s="16" t="n">
        <v>243.28</v>
      </c>
      <c r="P95" s="16" t="n">
        <v>0</v>
      </c>
      <c r="Q95" s="24" t="s">
        <v>49</v>
      </c>
      <c r="R95" s="34" t="n">
        <v>45976</v>
      </c>
      <c r="S95" s="16"/>
      <c r="T95" s="20" t="n">
        <v>0</v>
      </c>
      <c r="U95" s="20"/>
      <c r="V95" s="16"/>
      <c r="W95" s="16"/>
      <c r="X95" s="16"/>
      <c r="Y95" s="16"/>
      <c r="Z95" s="16"/>
      <c r="AA95" s="26" t="s">
        <v>50</v>
      </c>
      <c r="AB95" s="21" t="n">
        <v>20</v>
      </c>
      <c r="AC95" s="36" t="s">
        <v>236</v>
      </c>
      <c r="AD95" s="20" t="n">
        <v>27.085443</v>
      </c>
      <c r="AE95" s="20" t="n">
        <v>72.856893</v>
      </c>
      <c r="AF95" s="20" t="s">
        <v>52</v>
      </c>
    </row>
    <row r="96" customFormat="false" ht="15.75" hidden="false" customHeight="false" outlineLevel="0" collapsed="false">
      <c r="A96" s="16" t="s">
        <v>42</v>
      </c>
      <c r="B96" s="16" t="s">
        <v>43</v>
      </c>
      <c r="C96" s="17" t="s">
        <v>234</v>
      </c>
      <c r="D96" s="28" t="s">
        <v>237</v>
      </c>
      <c r="E96" s="16" t="s">
        <v>238</v>
      </c>
      <c r="F96" s="16" t="n">
        <v>1559.4</v>
      </c>
      <c r="G96" s="16" t="n">
        <v>256</v>
      </c>
      <c r="H96" s="16" t="n">
        <v>1403</v>
      </c>
      <c r="I96" s="16" t="n">
        <v>718</v>
      </c>
      <c r="J96" s="16" t="n">
        <v>685</v>
      </c>
      <c r="K96" s="16" t="n">
        <v>373</v>
      </c>
      <c r="L96" s="19" t="n">
        <f aca="false">(K96/H96)*100</f>
        <v>26.5858873841768</v>
      </c>
      <c r="M96" s="16" t="n">
        <v>294</v>
      </c>
      <c r="N96" s="19" t="n">
        <f aca="false">(M96/H96)*100</f>
        <v>20.9550962223806</v>
      </c>
      <c r="O96" s="16" t="n">
        <v>0</v>
      </c>
      <c r="P96" s="16" t="n">
        <v>0</v>
      </c>
      <c r="Q96" s="24" t="s">
        <v>49</v>
      </c>
      <c r="R96" s="34" t="n">
        <v>45976</v>
      </c>
      <c r="S96" s="16"/>
      <c r="T96" s="20" t="n">
        <v>0</v>
      </c>
      <c r="U96" s="20"/>
      <c r="V96" s="16"/>
      <c r="W96" s="16"/>
      <c r="X96" s="16"/>
      <c r="Y96" s="16"/>
      <c r="Z96" s="16"/>
      <c r="AA96" s="26" t="s">
        <v>50</v>
      </c>
      <c r="AB96" s="21" t="n">
        <v>10</v>
      </c>
      <c r="AC96" s="36" t="s">
        <v>239</v>
      </c>
      <c r="AD96" s="20" t="n">
        <v>27.060928</v>
      </c>
      <c r="AE96" s="20" t="n">
        <v>72.860118</v>
      </c>
      <c r="AF96" s="20" t="s">
        <v>52</v>
      </c>
    </row>
    <row r="97" customFormat="false" ht="15.75" hidden="false" customHeight="false" outlineLevel="0" collapsed="false">
      <c r="A97" s="16"/>
      <c r="B97" s="16"/>
      <c r="C97" s="17"/>
      <c r="D97" s="28"/>
      <c r="E97" s="16"/>
      <c r="F97" s="16"/>
      <c r="G97" s="16"/>
      <c r="H97" s="16"/>
      <c r="I97" s="16"/>
      <c r="J97" s="16"/>
      <c r="K97" s="16"/>
      <c r="L97" s="19"/>
      <c r="M97" s="16"/>
      <c r="N97" s="19"/>
      <c r="O97" s="16"/>
      <c r="P97" s="16"/>
      <c r="Q97" s="30"/>
      <c r="R97" s="31"/>
      <c r="S97" s="16"/>
      <c r="T97" s="30"/>
      <c r="U97" s="20"/>
      <c r="V97" s="16"/>
      <c r="W97" s="16"/>
      <c r="X97" s="16"/>
      <c r="Y97" s="16"/>
      <c r="Z97" s="16"/>
      <c r="AA97" s="32" t="s">
        <v>50</v>
      </c>
      <c r="AB97" s="32" t="n">
        <v>14</v>
      </c>
      <c r="AC97" s="42" t="s">
        <v>240</v>
      </c>
      <c r="AD97" s="30" t="n">
        <v>27.060928</v>
      </c>
      <c r="AE97" s="30" t="n">
        <v>72.860118</v>
      </c>
      <c r="AF97" s="20" t="s">
        <v>52</v>
      </c>
    </row>
    <row r="98" customFormat="false" ht="31.5" hidden="false" customHeight="false" outlineLevel="0" collapsed="false">
      <c r="A98" s="16"/>
      <c r="B98" s="16"/>
      <c r="C98" s="17"/>
      <c r="D98" s="28"/>
      <c r="E98" s="16"/>
      <c r="F98" s="16"/>
      <c r="G98" s="16"/>
      <c r="H98" s="16"/>
      <c r="I98" s="16"/>
      <c r="J98" s="16"/>
      <c r="K98" s="16"/>
      <c r="L98" s="19"/>
      <c r="M98" s="16"/>
      <c r="N98" s="19"/>
      <c r="O98" s="16"/>
      <c r="P98" s="16"/>
      <c r="Q98" s="30"/>
      <c r="R98" s="31"/>
      <c r="S98" s="16"/>
      <c r="T98" s="30"/>
      <c r="U98" s="20"/>
      <c r="V98" s="16"/>
      <c r="W98" s="16"/>
      <c r="X98" s="16"/>
      <c r="Y98" s="16"/>
      <c r="Z98" s="16"/>
      <c r="AA98" s="32" t="s">
        <v>50</v>
      </c>
      <c r="AB98" s="32" t="n">
        <v>10</v>
      </c>
      <c r="AC98" s="42" t="s">
        <v>241</v>
      </c>
      <c r="AD98" s="30" t="n">
        <v>27.0685</v>
      </c>
      <c r="AE98" s="30" t="n">
        <v>72.862151</v>
      </c>
      <c r="AF98" s="20" t="s">
        <v>52</v>
      </c>
    </row>
    <row r="99" customFormat="false" ht="15.75" hidden="false" customHeight="false" outlineLevel="0" collapsed="false">
      <c r="A99" s="16" t="s">
        <v>42</v>
      </c>
      <c r="B99" s="16" t="s">
        <v>43</v>
      </c>
      <c r="C99" s="17" t="s">
        <v>242</v>
      </c>
      <c r="D99" s="18" t="s">
        <v>242</v>
      </c>
      <c r="E99" s="16" t="s">
        <v>243</v>
      </c>
      <c r="F99" s="16" t="n">
        <v>1697</v>
      </c>
      <c r="G99" s="16" t="n">
        <v>324</v>
      </c>
      <c r="H99" s="16" t="n">
        <v>2260</v>
      </c>
      <c r="I99" s="16" t="n">
        <v>1187</v>
      </c>
      <c r="J99" s="16" t="n">
        <v>1073</v>
      </c>
      <c r="K99" s="16" t="n">
        <v>462</v>
      </c>
      <c r="L99" s="19" t="n">
        <f aca="false">(K99/H99)*100</f>
        <v>20.4424778761062</v>
      </c>
      <c r="M99" s="16" t="n">
        <v>99</v>
      </c>
      <c r="N99" s="19" t="n">
        <f aca="false">(M99/H99)*100</f>
        <v>4.38053097345133</v>
      </c>
      <c r="O99" s="16" t="n">
        <v>98</v>
      </c>
      <c r="P99" s="16" t="n">
        <v>0</v>
      </c>
      <c r="Q99" s="24" t="s">
        <v>49</v>
      </c>
      <c r="R99" s="34" t="n">
        <v>45976</v>
      </c>
      <c r="S99" s="16"/>
      <c r="T99" s="20" t="n">
        <v>0</v>
      </c>
      <c r="U99" s="20"/>
      <c r="V99" s="16"/>
      <c r="W99" s="16"/>
      <c r="X99" s="16"/>
      <c r="Y99" s="16"/>
      <c r="Z99" s="16"/>
      <c r="AA99" s="26" t="s">
        <v>50</v>
      </c>
      <c r="AB99" s="21" t="n">
        <v>12</v>
      </c>
      <c r="AC99" s="36" t="s">
        <v>244</v>
      </c>
      <c r="AD99" s="20" t="n">
        <v>27.150612</v>
      </c>
      <c r="AE99" s="20" t="n">
        <v>72.728805</v>
      </c>
      <c r="AF99" s="20" t="s">
        <v>52</v>
      </c>
    </row>
    <row r="100" customFormat="false" ht="15.75" hidden="false" customHeight="false" outlineLevel="0" collapsed="false">
      <c r="A100" s="16"/>
      <c r="B100" s="16"/>
      <c r="C100" s="17"/>
      <c r="D100" s="18"/>
      <c r="E100" s="16"/>
      <c r="F100" s="16"/>
      <c r="G100" s="16"/>
      <c r="H100" s="16"/>
      <c r="I100" s="16"/>
      <c r="J100" s="16"/>
      <c r="K100" s="16"/>
      <c r="L100" s="19"/>
      <c r="M100" s="16"/>
      <c r="N100" s="19"/>
      <c r="O100" s="16"/>
      <c r="P100" s="16"/>
      <c r="Q100" s="30"/>
      <c r="R100" s="31"/>
      <c r="S100" s="16"/>
      <c r="T100" s="30"/>
      <c r="U100" s="20"/>
      <c r="V100" s="16"/>
      <c r="W100" s="16"/>
      <c r="X100" s="16"/>
      <c r="Y100" s="16"/>
      <c r="Z100" s="16"/>
      <c r="AA100" s="32" t="s">
        <v>50</v>
      </c>
      <c r="AB100" s="32" t="n">
        <v>12</v>
      </c>
      <c r="AC100" s="42" t="s">
        <v>245</v>
      </c>
      <c r="AD100" s="30" t="n">
        <v>27.152683</v>
      </c>
      <c r="AE100" s="30" t="n">
        <v>72.725782</v>
      </c>
      <c r="AF100" s="20" t="s">
        <v>52</v>
      </c>
    </row>
    <row r="101" customFormat="false" ht="31.5" hidden="false" customHeight="false" outlineLevel="0" collapsed="false">
      <c r="A101" s="16"/>
      <c r="B101" s="16"/>
      <c r="C101" s="17"/>
      <c r="D101" s="18"/>
      <c r="E101" s="16"/>
      <c r="F101" s="16"/>
      <c r="G101" s="16"/>
      <c r="H101" s="16"/>
      <c r="I101" s="16"/>
      <c r="J101" s="16"/>
      <c r="K101" s="16"/>
      <c r="L101" s="19"/>
      <c r="M101" s="16"/>
      <c r="N101" s="19"/>
      <c r="O101" s="16"/>
      <c r="P101" s="16"/>
      <c r="Q101" s="30"/>
      <c r="R101" s="31"/>
      <c r="S101" s="16"/>
      <c r="T101" s="30"/>
      <c r="U101" s="20"/>
      <c r="V101" s="16"/>
      <c r="W101" s="16"/>
      <c r="X101" s="16"/>
      <c r="Y101" s="16"/>
      <c r="Z101" s="16"/>
      <c r="AA101" s="32" t="s">
        <v>50</v>
      </c>
      <c r="AB101" s="32" t="n">
        <v>15</v>
      </c>
      <c r="AC101" s="42" t="s">
        <v>246</v>
      </c>
      <c r="AD101" s="30" t="n">
        <v>27.148167</v>
      </c>
      <c r="AE101" s="30" t="n">
        <v>72.73576</v>
      </c>
      <c r="AF101" s="20" t="s">
        <v>52</v>
      </c>
    </row>
    <row r="102" customFormat="false" ht="15.75" hidden="false" customHeight="false" outlineLevel="0" collapsed="false">
      <c r="A102" s="16" t="s">
        <v>42</v>
      </c>
      <c r="B102" s="16" t="s">
        <v>43</v>
      </c>
      <c r="C102" s="17" t="s">
        <v>242</v>
      </c>
      <c r="D102" s="28" t="s">
        <v>247</v>
      </c>
      <c r="E102" s="16" t="s">
        <v>248</v>
      </c>
      <c r="F102" s="16" t="n">
        <v>1221</v>
      </c>
      <c r="G102" s="16" t="n">
        <v>145</v>
      </c>
      <c r="H102" s="16" t="n">
        <v>920</v>
      </c>
      <c r="I102" s="16" t="n">
        <v>509</v>
      </c>
      <c r="J102" s="16" t="n">
        <v>411</v>
      </c>
      <c r="K102" s="16" t="n">
        <v>148</v>
      </c>
      <c r="L102" s="19" t="n">
        <f aca="false">(K102/H102)*100</f>
        <v>16.0869565217391</v>
      </c>
      <c r="M102" s="16" t="n">
        <v>114</v>
      </c>
      <c r="N102" s="19"/>
      <c r="O102" s="16" t="n">
        <v>0</v>
      </c>
      <c r="P102" s="16" t="n">
        <v>0</v>
      </c>
      <c r="Q102" s="24" t="s">
        <v>49</v>
      </c>
      <c r="R102" s="34" t="n">
        <v>45976</v>
      </c>
      <c r="S102" s="16"/>
      <c r="T102" s="20" t="n">
        <v>0</v>
      </c>
      <c r="U102" s="20"/>
      <c r="V102" s="16"/>
      <c r="W102" s="16"/>
      <c r="X102" s="16"/>
      <c r="Y102" s="16"/>
      <c r="Z102" s="16"/>
      <c r="AA102" s="26" t="s">
        <v>50</v>
      </c>
      <c r="AB102" s="21"/>
      <c r="AC102" s="36"/>
      <c r="AD102" s="20"/>
      <c r="AE102" s="20"/>
      <c r="AF102" s="20" t="s">
        <v>52</v>
      </c>
    </row>
    <row r="103" customFormat="false" ht="15.75" hidden="false" customHeight="false" outlineLevel="0" collapsed="false">
      <c r="A103" s="58"/>
      <c r="B103" s="58"/>
      <c r="C103" s="59"/>
      <c r="D103" s="59"/>
      <c r="E103" s="58"/>
      <c r="F103" s="58" t="n">
        <f aca="false">SUM(F4:F102)</f>
        <v>77106.18</v>
      </c>
      <c r="G103" s="58" t="n">
        <f aca="false">SUM(G4:G102)</f>
        <v>12286</v>
      </c>
      <c r="H103" s="58" t="n">
        <f aca="false">SUM(H4:H102)</f>
        <v>76245</v>
      </c>
      <c r="I103" s="58" t="n">
        <f aca="false">SUM(I4:I102)</f>
        <v>40097</v>
      </c>
      <c r="J103" s="58" t="n">
        <f aca="false">SUM(J4:J102)</f>
        <v>36148</v>
      </c>
      <c r="K103" s="58" t="n">
        <f aca="false">SUM(K4:K102)</f>
        <v>11843</v>
      </c>
      <c r="L103" s="58"/>
      <c r="M103" s="58" t="n">
        <f aca="false">SUM(M4:M102)</f>
        <v>3823</v>
      </c>
      <c r="N103" s="58"/>
      <c r="O103" s="58" t="n">
        <f aca="false">SUM(O4:O102)</f>
        <v>4900.18</v>
      </c>
      <c r="P103" s="58" t="n">
        <f aca="false">SUM(P4:P102)</f>
        <v>0</v>
      </c>
      <c r="Q103" s="58"/>
      <c r="R103" s="58"/>
      <c r="S103" s="58"/>
      <c r="T103" s="58"/>
      <c r="V103" s="58"/>
      <c r="W103" s="58"/>
      <c r="X103" s="58"/>
      <c r="Y103" s="58"/>
      <c r="Z103" s="58"/>
      <c r="AA103" s="58"/>
      <c r="AB103" s="58"/>
    </row>
  </sheetData>
  <mergeCells count="4">
    <mergeCell ref="K2:L2"/>
    <mergeCell ref="M2:N2"/>
    <mergeCell ref="AD2:AE2"/>
    <mergeCell ref="AF2:AF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F1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4" ySplit="2" topLeftCell="AB3" activePane="bottomRight" state="frozen"/>
      <selection pane="topLeft" activeCell="A1" activeCellId="0" sqref="A1"/>
      <selection pane="topRight" activeCell="AB1" activeCellId="0" sqref="AB1"/>
      <selection pane="bottomLeft" activeCell="A3" activeCellId="0" sqref="A3"/>
      <selection pane="bottomRight" activeCell="AD1" activeCellId="0" sqref="AD1"/>
    </sheetView>
  </sheetViews>
  <sheetFormatPr defaultColWidth="9.14453125" defaultRowHeight="15" zeroHeight="false" outlineLevelRow="0" outlineLevelCol="0"/>
  <cols>
    <col collapsed="false" customWidth="true" hidden="false" outlineLevel="0" max="1" min="1" style="60" width="9.85"/>
    <col collapsed="false" customWidth="true" hidden="false" outlineLevel="0" max="2" min="2" style="60" width="12.57"/>
    <col collapsed="false" customWidth="true" hidden="false" outlineLevel="0" max="3" min="3" style="60" width="30.14"/>
    <col collapsed="false" customWidth="true" hidden="false" outlineLevel="0" max="4" min="4" style="60" width="26.85"/>
    <col collapsed="false" customWidth="true" hidden="false" outlineLevel="0" max="5" min="5" style="60" width="20.14"/>
    <col collapsed="false" customWidth="true" hidden="false" outlineLevel="0" max="6" min="6" style="60" width="13.71"/>
    <col collapsed="false" customWidth="true" hidden="false" outlineLevel="0" max="7" min="7" style="60" width="12.28"/>
    <col collapsed="false" customWidth="true" hidden="false" outlineLevel="0" max="8" min="8" style="60" width="12.43"/>
    <col collapsed="false" customWidth="true" hidden="false" outlineLevel="0" max="9" min="9" style="60" width="10.28"/>
    <col collapsed="false" customWidth="true" hidden="false" outlineLevel="0" max="10" min="10" style="60" width="9.43"/>
    <col collapsed="false" customWidth="true" hidden="false" outlineLevel="0" max="11" min="11" style="60" width="10.85"/>
    <col collapsed="false" customWidth="true" hidden="false" outlineLevel="0" max="12" min="12" style="60" width="14"/>
    <col collapsed="false" customWidth="true" hidden="false" outlineLevel="0" max="14" min="13" style="60" width="10.85"/>
    <col collapsed="false" customWidth="true" hidden="false" outlineLevel="0" max="17" min="15" style="61" width="12"/>
    <col collapsed="false" customWidth="true" hidden="false" outlineLevel="0" max="19" min="18" style="62" width="14.43"/>
    <col collapsed="false" customWidth="true" hidden="false" outlineLevel="0" max="20" min="20" style="63" width="15.57"/>
    <col collapsed="false" customWidth="true" hidden="false" outlineLevel="0" max="23" min="21" style="60" width="19"/>
    <col collapsed="false" customWidth="true" hidden="false" outlineLevel="0" max="24" min="24" style="60" width="16.57"/>
    <col collapsed="false" customWidth="true" hidden="false" outlineLevel="0" max="28" min="25" style="60" width="19"/>
    <col collapsed="false" customWidth="true" hidden="false" outlineLevel="0" max="29" min="29" style="60" width="33.57"/>
    <col collapsed="false" customWidth="true" hidden="false" outlineLevel="0" max="30" min="30" style="62" width="12"/>
    <col collapsed="false" customWidth="true" hidden="false" outlineLevel="0" max="31" min="31" style="62" width="13.14"/>
    <col collapsed="false" customWidth="false" hidden="false" outlineLevel="0" max="1024" min="32" style="60" width="9.14"/>
  </cols>
  <sheetData>
    <row r="1" s="64" customFormat="true" ht="21.75" hidden="false" customHeight="true" outlineLevel="0" collapsed="false">
      <c r="O1" s="65"/>
      <c r="P1" s="65"/>
      <c r="Q1" s="3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5" t="s">
        <v>3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</row>
    <row r="2" s="68" customFormat="true" ht="94.5" hidden="false" customHeight="true" outlineLevel="0" collapsed="false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/>
      <c r="M2" s="8" t="s">
        <v>15</v>
      </c>
      <c r="N2" s="8"/>
      <c r="O2" s="8" t="s">
        <v>16</v>
      </c>
      <c r="P2" s="8" t="s">
        <v>17</v>
      </c>
      <c r="Q2" s="9" t="s">
        <v>18</v>
      </c>
      <c r="R2" s="9" t="s">
        <v>19</v>
      </c>
      <c r="S2" s="9" t="s">
        <v>20</v>
      </c>
      <c r="T2" s="10" t="s">
        <v>21</v>
      </c>
      <c r="U2" s="9" t="s">
        <v>22</v>
      </c>
      <c r="V2" s="10" t="s">
        <v>23</v>
      </c>
      <c r="W2" s="9" t="s">
        <v>24</v>
      </c>
      <c r="X2" s="9" t="s">
        <v>25</v>
      </c>
      <c r="Y2" s="10" t="s">
        <v>26</v>
      </c>
      <c r="Z2" s="10" t="s">
        <v>27</v>
      </c>
      <c r="AA2" s="66" t="s">
        <v>28</v>
      </c>
      <c r="AB2" s="10" t="s">
        <v>29</v>
      </c>
      <c r="AC2" s="10" t="s">
        <v>30</v>
      </c>
      <c r="AD2" s="67" t="s">
        <v>31</v>
      </c>
      <c r="AE2" s="67"/>
    </row>
    <row r="3" s="70" customFormat="true" ht="101.25" hidden="false" customHeight="true" outlineLevel="0" collapsed="false">
      <c r="A3" s="8"/>
      <c r="B3" s="8"/>
      <c r="C3" s="8"/>
      <c r="D3" s="8"/>
      <c r="E3" s="8"/>
      <c r="F3" s="8" t="s">
        <v>35</v>
      </c>
      <c r="G3" s="8" t="s">
        <v>33</v>
      </c>
      <c r="H3" s="8" t="s">
        <v>33</v>
      </c>
      <c r="I3" s="8" t="s">
        <v>33</v>
      </c>
      <c r="J3" s="8" t="s">
        <v>33</v>
      </c>
      <c r="K3" s="14" t="s">
        <v>33</v>
      </c>
      <c r="L3" s="14" t="s">
        <v>34</v>
      </c>
      <c r="M3" s="14" t="s">
        <v>33</v>
      </c>
      <c r="N3" s="14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14" t="s">
        <v>38</v>
      </c>
      <c r="V3" s="14" t="s">
        <v>36</v>
      </c>
      <c r="W3" s="15" t="s">
        <v>36</v>
      </c>
      <c r="X3" s="15" t="s">
        <v>36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69" t="s">
        <v>40</v>
      </c>
      <c r="AE3" s="69" t="s">
        <v>41</v>
      </c>
    </row>
    <row r="4" customFormat="false" ht="15.75" hidden="false" customHeight="false" outlineLevel="0" collapsed="false">
      <c r="A4" s="16" t="s">
        <v>42</v>
      </c>
      <c r="B4" s="16" t="s">
        <v>249</v>
      </c>
      <c r="C4" s="71" t="s">
        <v>250</v>
      </c>
      <c r="D4" s="72" t="s">
        <v>251</v>
      </c>
      <c r="E4" s="16" t="s">
        <v>252</v>
      </c>
      <c r="F4" s="16" t="n">
        <v>1238</v>
      </c>
      <c r="G4" s="16" t="n">
        <v>384</v>
      </c>
      <c r="H4" s="16" t="n">
        <v>2384</v>
      </c>
      <c r="I4" s="16" t="n">
        <v>1237</v>
      </c>
      <c r="J4" s="16" t="n">
        <v>1147</v>
      </c>
      <c r="K4" s="16" t="n">
        <v>1007</v>
      </c>
      <c r="L4" s="19" t="n">
        <f aca="false">(K4/H4)*100</f>
        <v>42.239932885906</v>
      </c>
      <c r="M4" s="16" t="n">
        <v>43</v>
      </c>
      <c r="N4" s="19" t="n">
        <f aca="false">(M4/H4)*100</f>
        <v>1.80369127516779</v>
      </c>
      <c r="O4" s="71" t="n">
        <v>121</v>
      </c>
      <c r="P4" s="16" t="n">
        <v>0</v>
      </c>
      <c r="Q4" s="73" t="s">
        <v>50</v>
      </c>
      <c r="R4" s="74" t="n">
        <v>44599</v>
      </c>
      <c r="S4" s="75"/>
      <c r="T4" s="76" t="n">
        <v>631.2</v>
      </c>
      <c r="U4" s="77"/>
      <c r="V4" s="77"/>
      <c r="W4" s="77"/>
      <c r="X4" s="77"/>
      <c r="Y4" s="77"/>
      <c r="Z4" s="77"/>
      <c r="AA4" s="78" t="s">
        <v>50</v>
      </c>
      <c r="AB4" s="79" t="n">
        <v>7.52</v>
      </c>
      <c r="AC4" s="80" t="s">
        <v>253</v>
      </c>
      <c r="AD4" s="79" t="n">
        <v>26.2844266</v>
      </c>
      <c r="AE4" s="81" t="n">
        <v>72.638641</v>
      </c>
    </row>
    <row r="5" customFormat="false" ht="15.75" hidden="false" customHeight="false" outlineLevel="0" collapsed="false">
      <c r="A5" s="16" t="s">
        <v>42</v>
      </c>
      <c r="B5" s="16" t="s">
        <v>249</v>
      </c>
      <c r="C5" s="71" t="s">
        <v>250</v>
      </c>
      <c r="D5" s="16" t="s">
        <v>254</v>
      </c>
      <c r="E5" s="16" t="s">
        <v>255</v>
      </c>
      <c r="F5" s="16" t="n">
        <v>888</v>
      </c>
      <c r="G5" s="16" t="n">
        <v>116</v>
      </c>
      <c r="H5" s="16" t="n">
        <v>636</v>
      </c>
      <c r="I5" s="16" t="n">
        <v>327</v>
      </c>
      <c r="J5" s="16" t="n">
        <v>309</v>
      </c>
      <c r="K5" s="16" t="n">
        <v>0</v>
      </c>
      <c r="L5" s="19" t="n">
        <f aca="false">(K5/H5)*100</f>
        <v>0</v>
      </c>
      <c r="M5" s="16" t="n">
        <v>1</v>
      </c>
      <c r="N5" s="19" t="n">
        <f aca="false">(M5/H5)*100</f>
        <v>0.157232704402516</v>
      </c>
      <c r="O5" s="71" t="n">
        <v>18</v>
      </c>
      <c r="P5" s="16" t="n">
        <v>0</v>
      </c>
      <c r="Q5" s="73" t="s">
        <v>50</v>
      </c>
      <c r="R5" s="82" t="n">
        <v>44600</v>
      </c>
      <c r="S5" s="83"/>
      <c r="T5" s="84" t="n">
        <v>17.6</v>
      </c>
      <c r="U5" s="77"/>
      <c r="V5" s="77"/>
      <c r="W5" s="77"/>
      <c r="X5" s="77"/>
      <c r="Y5" s="77"/>
      <c r="Z5" s="77"/>
      <c r="AA5" s="73" t="s">
        <v>50</v>
      </c>
      <c r="AB5" s="73" t="n">
        <v>4</v>
      </c>
      <c r="AC5" s="85" t="s">
        <v>256</v>
      </c>
      <c r="AD5" s="86" t="n">
        <v>26.291291740741</v>
      </c>
      <c r="AE5" s="86" t="n">
        <v>72.61127</v>
      </c>
    </row>
    <row r="6" customFormat="false" ht="15.75" hidden="false" customHeight="false" outlineLevel="0" collapsed="false">
      <c r="A6" s="16" t="s">
        <v>42</v>
      </c>
      <c r="B6" s="16" t="s">
        <v>249</v>
      </c>
      <c r="C6" s="71" t="s">
        <v>257</v>
      </c>
      <c r="D6" s="72" t="s">
        <v>258</v>
      </c>
      <c r="E6" s="16" t="s">
        <v>259</v>
      </c>
      <c r="F6" s="16" t="n">
        <v>715.1</v>
      </c>
      <c r="G6" s="16" t="n">
        <v>811</v>
      </c>
      <c r="H6" s="16" t="n">
        <v>4939</v>
      </c>
      <c r="I6" s="16" t="n">
        <v>2588</v>
      </c>
      <c r="J6" s="16" t="n">
        <v>2351</v>
      </c>
      <c r="K6" s="16" t="n">
        <v>377</v>
      </c>
      <c r="L6" s="19" t="n">
        <f aca="false">(K6/H6)*100</f>
        <v>7.63312411419316</v>
      </c>
      <c r="M6" s="16" t="n">
        <v>69</v>
      </c>
      <c r="N6" s="19" t="n">
        <f aca="false">(M6/H6)*100</f>
        <v>1.39704393601944</v>
      </c>
      <c r="O6" s="16" t="n">
        <v>0</v>
      </c>
      <c r="P6" s="16" t="n">
        <v>0</v>
      </c>
      <c r="Q6" s="87"/>
      <c r="R6" s="87"/>
      <c r="S6" s="87"/>
      <c r="T6" s="88"/>
      <c r="U6" s="77"/>
      <c r="V6" s="77"/>
      <c r="W6" s="77"/>
      <c r="X6" s="77"/>
      <c r="Y6" s="77"/>
      <c r="Z6" s="77"/>
      <c r="AA6" s="87"/>
      <c r="AB6" s="87"/>
      <c r="AC6" s="16"/>
      <c r="AD6" s="87"/>
      <c r="AE6" s="87"/>
    </row>
    <row r="7" customFormat="false" ht="15.75" hidden="false" customHeight="false" outlineLevel="0" collapsed="false">
      <c r="A7" s="16" t="s">
        <v>42</v>
      </c>
      <c r="B7" s="16" t="s">
        <v>249</v>
      </c>
      <c r="C7" s="71" t="s">
        <v>260</v>
      </c>
      <c r="D7" s="72" t="s">
        <v>261</v>
      </c>
      <c r="E7" s="16" t="s">
        <v>262</v>
      </c>
      <c r="F7" s="16" t="n">
        <v>1605.47</v>
      </c>
      <c r="G7" s="16" t="n">
        <v>1719</v>
      </c>
      <c r="H7" s="16" t="n">
        <v>10936</v>
      </c>
      <c r="I7" s="16" t="n">
        <v>5800</v>
      </c>
      <c r="J7" s="16" t="n">
        <v>5136</v>
      </c>
      <c r="K7" s="16" t="n">
        <v>945</v>
      </c>
      <c r="L7" s="19" t="n">
        <f aca="false">(K7/H7)*100</f>
        <v>8.64118507681054</v>
      </c>
      <c r="M7" s="16" t="n">
        <v>207</v>
      </c>
      <c r="N7" s="19" t="n">
        <f aca="false">(M7/H7)*100</f>
        <v>1.89283101682516</v>
      </c>
      <c r="O7" s="71" t="n">
        <v>44</v>
      </c>
      <c r="P7" s="16" t="n">
        <v>0</v>
      </c>
      <c r="Q7" s="21" t="s">
        <v>49</v>
      </c>
      <c r="R7" s="87"/>
      <c r="S7" s="75"/>
      <c r="T7" s="89" t="n">
        <v>3.0351</v>
      </c>
      <c r="U7" s="77"/>
      <c r="V7" s="77"/>
      <c r="W7" s="77"/>
      <c r="X7" s="77"/>
      <c r="Y7" s="77"/>
      <c r="Z7" s="77"/>
      <c r="AA7" s="87"/>
      <c r="AB7" s="87"/>
      <c r="AC7" s="16"/>
      <c r="AD7" s="87"/>
      <c r="AE7" s="87"/>
    </row>
    <row r="8" customFormat="false" ht="47.25" hidden="false" customHeight="false" outlineLevel="0" collapsed="false">
      <c r="A8" s="16" t="s">
        <v>42</v>
      </c>
      <c r="B8" s="16" t="s">
        <v>249</v>
      </c>
      <c r="C8" s="71" t="s">
        <v>263</v>
      </c>
      <c r="D8" s="72" t="s">
        <v>264</v>
      </c>
      <c r="E8" s="16" t="s">
        <v>265</v>
      </c>
      <c r="F8" s="16" t="n">
        <v>752.52</v>
      </c>
      <c r="G8" s="16" t="n">
        <v>384</v>
      </c>
      <c r="H8" s="16" t="n">
        <v>2257</v>
      </c>
      <c r="I8" s="16" t="n">
        <v>1202</v>
      </c>
      <c r="J8" s="16" t="n">
        <v>1055</v>
      </c>
      <c r="K8" s="16" t="n">
        <v>375</v>
      </c>
      <c r="L8" s="19" t="n">
        <f aca="false">(K8/H8)*100</f>
        <v>16.6149756313691</v>
      </c>
      <c r="M8" s="16" t="n">
        <v>66</v>
      </c>
      <c r="N8" s="19" t="n">
        <f aca="false">(M8/H8)*100</f>
        <v>2.92423571112096</v>
      </c>
      <c r="O8" s="71" t="n">
        <v>26.58</v>
      </c>
      <c r="P8" s="16" t="n">
        <v>0</v>
      </c>
      <c r="Q8" s="21" t="s">
        <v>49</v>
      </c>
      <c r="R8" s="34" t="n">
        <v>44836</v>
      </c>
      <c r="S8" s="75"/>
      <c r="T8" s="89" t="n">
        <v>38.4127</v>
      </c>
      <c r="U8" s="77"/>
      <c r="V8" s="77"/>
      <c r="W8" s="77"/>
      <c r="X8" s="77"/>
      <c r="Y8" s="77"/>
      <c r="Z8" s="77"/>
      <c r="AA8" s="21" t="s">
        <v>266</v>
      </c>
      <c r="AB8" s="21" t="n">
        <v>5</v>
      </c>
      <c r="AC8" s="90" t="s">
        <v>267</v>
      </c>
      <c r="AD8" s="91" t="n">
        <v>72.58</v>
      </c>
      <c r="AE8" s="21" t="n">
        <v>26.54</v>
      </c>
    </row>
    <row r="9" customFormat="false" ht="31.5" hidden="false" customHeight="false" outlineLevel="0" collapsed="false">
      <c r="A9" s="16" t="s">
        <v>42</v>
      </c>
      <c r="B9" s="16" t="s">
        <v>249</v>
      </c>
      <c r="C9" s="71" t="s">
        <v>263</v>
      </c>
      <c r="D9" s="16" t="s">
        <v>268</v>
      </c>
      <c r="E9" s="16" t="s">
        <v>269</v>
      </c>
      <c r="F9" s="16" t="n">
        <v>538</v>
      </c>
      <c r="G9" s="16" t="n">
        <v>66</v>
      </c>
      <c r="H9" s="16" t="n">
        <v>421</v>
      </c>
      <c r="I9" s="16" t="n">
        <v>221</v>
      </c>
      <c r="J9" s="16" t="n">
        <v>200</v>
      </c>
      <c r="K9" s="16" t="n">
        <v>123</v>
      </c>
      <c r="L9" s="19" t="n">
        <f aca="false">(K9/H9)*100</f>
        <v>29.2161520190024</v>
      </c>
      <c r="M9" s="16" t="n">
        <v>35</v>
      </c>
      <c r="N9" s="19" t="n">
        <f aca="false">(M9/H9)*100</f>
        <v>8.31353919239905</v>
      </c>
      <c r="O9" s="71" t="n">
        <v>10</v>
      </c>
      <c r="P9" s="16" t="n">
        <v>0</v>
      </c>
      <c r="Q9" s="21" t="s">
        <v>49</v>
      </c>
      <c r="R9" s="34" t="n">
        <v>44836</v>
      </c>
      <c r="S9" s="75"/>
      <c r="T9" s="89" t="n">
        <v>28.498</v>
      </c>
      <c r="U9" s="77"/>
      <c r="V9" s="77"/>
      <c r="W9" s="77"/>
      <c r="X9" s="77"/>
      <c r="Y9" s="77"/>
      <c r="Z9" s="77"/>
      <c r="AA9" s="21" t="s">
        <v>266</v>
      </c>
      <c r="AB9" s="21" t="n">
        <v>10</v>
      </c>
      <c r="AC9" s="90" t="s">
        <v>270</v>
      </c>
      <c r="AD9" s="91" t="n">
        <v>72.57</v>
      </c>
      <c r="AE9" s="21" t="n">
        <v>26.54</v>
      </c>
    </row>
    <row r="10" customFormat="false" ht="15.75" hidden="false" customHeight="false" outlineLevel="0" collapsed="false">
      <c r="A10" s="16" t="s">
        <v>42</v>
      </c>
      <c r="B10" s="16" t="s">
        <v>249</v>
      </c>
      <c r="C10" s="71" t="s">
        <v>271</v>
      </c>
      <c r="D10" s="72" t="s">
        <v>271</v>
      </c>
      <c r="E10" s="16" t="s">
        <v>272</v>
      </c>
      <c r="F10" s="16" t="n">
        <v>1815.32</v>
      </c>
      <c r="G10" s="16" t="n">
        <v>339</v>
      </c>
      <c r="H10" s="16" t="n">
        <v>1888</v>
      </c>
      <c r="I10" s="16" t="n">
        <v>1011</v>
      </c>
      <c r="J10" s="16" t="n">
        <v>877</v>
      </c>
      <c r="K10" s="16" t="n">
        <v>283</v>
      </c>
      <c r="L10" s="19" t="n">
        <f aca="false">(K10/H10)*100</f>
        <v>14.989406779661</v>
      </c>
      <c r="M10" s="16" t="n">
        <v>48</v>
      </c>
      <c r="N10" s="19" t="n">
        <f aca="false">(M10/H10)*100</f>
        <v>2.54237288135593</v>
      </c>
      <c r="O10" s="71" t="n">
        <v>46</v>
      </c>
      <c r="P10" s="16" t="n">
        <v>40</v>
      </c>
      <c r="Q10" s="21" t="s">
        <v>49</v>
      </c>
      <c r="R10" s="34" t="n">
        <v>44836</v>
      </c>
      <c r="S10" s="75"/>
      <c r="T10" s="89" t="n">
        <v>262.42</v>
      </c>
      <c r="U10" s="77"/>
      <c r="V10" s="77"/>
      <c r="W10" s="77"/>
      <c r="X10" s="77"/>
      <c r="Y10" s="77"/>
      <c r="Z10" s="77"/>
      <c r="AA10" s="21" t="s">
        <v>266</v>
      </c>
      <c r="AB10" s="21" t="n">
        <v>22</v>
      </c>
      <c r="AC10" s="90" t="s">
        <v>273</v>
      </c>
      <c r="AD10" s="21"/>
      <c r="AE10" s="21"/>
    </row>
    <row r="11" customFormat="false" ht="15.75" hidden="false" customHeight="false" outlineLevel="0" collapsed="false">
      <c r="A11" s="16" t="s">
        <v>42</v>
      </c>
      <c r="B11" s="16" t="s">
        <v>249</v>
      </c>
      <c r="C11" s="71" t="s">
        <v>271</v>
      </c>
      <c r="D11" s="16" t="s">
        <v>274</v>
      </c>
      <c r="E11" s="16" t="s">
        <v>275</v>
      </c>
      <c r="F11" s="16" t="n">
        <v>370.15</v>
      </c>
      <c r="G11" s="16" t="n">
        <v>47</v>
      </c>
      <c r="H11" s="16" t="n">
        <v>269</v>
      </c>
      <c r="I11" s="16" t="n">
        <v>143</v>
      </c>
      <c r="J11" s="16" t="n">
        <v>126</v>
      </c>
      <c r="K11" s="16" t="n">
        <v>194</v>
      </c>
      <c r="L11" s="19" t="n">
        <f aca="false">(K11/H11)*100</f>
        <v>72.1189591078067</v>
      </c>
      <c r="M11" s="16" t="n">
        <v>0</v>
      </c>
      <c r="N11" s="19" t="n">
        <f aca="false">(M11/H11)*100</f>
        <v>0</v>
      </c>
      <c r="O11" s="16" t="n">
        <v>0</v>
      </c>
      <c r="P11" s="16" t="n">
        <v>0</v>
      </c>
      <c r="Q11" s="87"/>
      <c r="R11" s="34" t="n">
        <v>44836</v>
      </c>
      <c r="S11" s="34"/>
      <c r="T11" s="88"/>
      <c r="U11" s="77"/>
      <c r="V11" s="77"/>
      <c r="W11" s="77"/>
      <c r="X11" s="77"/>
      <c r="Y11" s="77"/>
      <c r="Z11" s="77"/>
      <c r="AA11" s="21" t="s">
        <v>266</v>
      </c>
      <c r="AB11" s="21" t="n">
        <v>22</v>
      </c>
      <c r="AC11" s="36" t="s">
        <v>276</v>
      </c>
      <c r="AD11" s="21"/>
      <c r="AE11" s="21"/>
    </row>
    <row r="12" customFormat="false" ht="15.75" hidden="false" customHeight="false" outlineLevel="0" collapsed="false">
      <c r="A12" s="16" t="s">
        <v>42</v>
      </c>
      <c r="B12" s="16" t="s">
        <v>249</v>
      </c>
      <c r="C12" s="71" t="s">
        <v>277</v>
      </c>
      <c r="D12" s="72" t="s">
        <v>278</v>
      </c>
      <c r="E12" s="16" t="s">
        <v>279</v>
      </c>
      <c r="F12" s="16" t="n">
        <v>1766</v>
      </c>
      <c r="G12" s="16" t="n">
        <v>406</v>
      </c>
      <c r="H12" s="16" t="n">
        <v>2457</v>
      </c>
      <c r="I12" s="16" t="n">
        <v>1253</v>
      </c>
      <c r="J12" s="16" t="n">
        <v>1204</v>
      </c>
      <c r="K12" s="16" t="n">
        <v>736</v>
      </c>
      <c r="L12" s="19" t="n">
        <f aca="false">(K12/H12)*100</f>
        <v>29.95522995523</v>
      </c>
      <c r="M12" s="16" t="n">
        <v>246</v>
      </c>
      <c r="N12" s="19" t="n">
        <f aca="false">(M12/H12)*100</f>
        <v>10.01221001221</v>
      </c>
      <c r="O12" s="71" t="n">
        <v>437</v>
      </c>
      <c r="P12" s="16" t="n">
        <v>0</v>
      </c>
      <c r="Q12" s="21" t="s">
        <v>49</v>
      </c>
      <c r="R12" s="34" t="n">
        <v>44606</v>
      </c>
      <c r="S12" s="75"/>
      <c r="T12" s="88"/>
      <c r="U12" s="77"/>
      <c r="V12" s="77"/>
      <c r="W12" s="77"/>
      <c r="X12" s="77"/>
      <c r="Y12" s="77"/>
      <c r="Z12" s="77"/>
      <c r="AA12" s="73" t="s">
        <v>50</v>
      </c>
      <c r="AB12" s="21" t="n">
        <v>4.8</v>
      </c>
      <c r="AC12" s="20" t="s">
        <v>280</v>
      </c>
      <c r="AD12" s="21" t="n">
        <v>26.351337</v>
      </c>
      <c r="AE12" s="21" t="n">
        <v>72.708957</v>
      </c>
    </row>
    <row r="13" customFormat="false" ht="15.75" hidden="false" customHeight="false" outlineLevel="0" collapsed="false">
      <c r="A13" s="16" t="s">
        <v>42</v>
      </c>
      <c r="B13" s="16" t="s">
        <v>249</v>
      </c>
      <c r="C13" s="71" t="s">
        <v>277</v>
      </c>
      <c r="D13" s="16" t="s">
        <v>281</v>
      </c>
      <c r="E13" s="16" t="s">
        <v>282</v>
      </c>
      <c r="F13" s="16" t="n">
        <v>828.57</v>
      </c>
      <c r="G13" s="16" t="n">
        <v>151</v>
      </c>
      <c r="H13" s="16" t="n">
        <v>949</v>
      </c>
      <c r="I13" s="16" t="n">
        <v>498</v>
      </c>
      <c r="J13" s="16" t="n">
        <v>451</v>
      </c>
      <c r="K13" s="16" t="n">
        <v>0</v>
      </c>
      <c r="L13" s="19" t="n">
        <f aca="false">(K13/H13)*100</f>
        <v>0</v>
      </c>
      <c r="M13" s="16" t="n">
        <v>0</v>
      </c>
      <c r="N13" s="19" t="n">
        <f aca="false">(M13/H13)*100</f>
        <v>0</v>
      </c>
      <c r="O13" s="71" t="n">
        <v>147.1</v>
      </c>
      <c r="P13" s="16" t="n">
        <v>0</v>
      </c>
      <c r="Q13" s="87"/>
      <c r="R13" s="87"/>
      <c r="S13" s="75"/>
      <c r="T13" s="88"/>
      <c r="U13" s="77"/>
      <c r="V13" s="77"/>
      <c r="W13" s="77"/>
      <c r="X13" s="77"/>
      <c r="Y13" s="77"/>
      <c r="Z13" s="77"/>
      <c r="AA13" s="87"/>
      <c r="AB13" s="87"/>
      <c r="AC13" s="16"/>
      <c r="AD13" s="87"/>
      <c r="AE13" s="87"/>
    </row>
    <row r="14" customFormat="false" ht="15.75" hidden="false" customHeight="false" outlineLevel="0" collapsed="false">
      <c r="A14" s="16" t="s">
        <v>42</v>
      </c>
      <c r="B14" s="16" t="s">
        <v>249</v>
      </c>
      <c r="C14" s="71" t="s">
        <v>277</v>
      </c>
      <c r="D14" s="16" t="s">
        <v>283</v>
      </c>
      <c r="E14" s="16" t="s">
        <v>284</v>
      </c>
      <c r="F14" s="16" t="n">
        <v>995.45</v>
      </c>
      <c r="G14" s="16" t="n">
        <v>137</v>
      </c>
      <c r="H14" s="16" t="n">
        <v>865</v>
      </c>
      <c r="I14" s="16" t="n">
        <v>447</v>
      </c>
      <c r="J14" s="16" t="n">
        <v>418</v>
      </c>
      <c r="K14" s="16" t="n">
        <v>0</v>
      </c>
      <c r="L14" s="19" t="n">
        <f aca="false">(K14/H14)*100</f>
        <v>0</v>
      </c>
      <c r="M14" s="16" t="n">
        <v>0</v>
      </c>
      <c r="N14" s="19" t="n">
        <f aca="false">(M14/H14)*100</f>
        <v>0</v>
      </c>
      <c r="O14" s="71" t="n">
        <v>147.05</v>
      </c>
      <c r="P14" s="16" t="n">
        <v>0</v>
      </c>
      <c r="Q14" s="21" t="s">
        <v>49</v>
      </c>
      <c r="R14" s="87"/>
      <c r="S14" s="75"/>
      <c r="T14" s="89" t="n">
        <v>15.3619</v>
      </c>
      <c r="U14" s="77"/>
      <c r="V14" s="77"/>
      <c r="W14" s="77"/>
      <c r="X14" s="77"/>
      <c r="Y14" s="77"/>
      <c r="Z14" s="77"/>
      <c r="AA14" s="87"/>
      <c r="AB14" s="87"/>
      <c r="AC14" s="16"/>
      <c r="AD14" s="87"/>
      <c r="AE14" s="87"/>
    </row>
    <row r="15" customFormat="false" ht="15.75" hidden="false" customHeight="false" outlineLevel="0" collapsed="false">
      <c r="A15" s="16" t="s">
        <v>42</v>
      </c>
      <c r="B15" s="16" t="s">
        <v>249</v>
      </c>
      <c r="C15" s="71" t="s">
        <v>285</v>
      </c>
      <c r="D15" s="72" t="s">
        <v>286</v>
      </c>
      <c r="E15" s="16" t="s">
        <v>287</v>
      </c>
      <c r="F15" s="16" t="n">
        <v>1158.2</v>
      </c>
      <c r="G15" s="16" t="n">
        <v>690</v>
      </c>
      <c r="H15" s="16" t="n">
        <v>4346</v>
      </c>
      <c r="I15" s="16" t="n">
        <v>2340</v>
      </c>
      <c r="J15" s="16" t="n">
        <v>2006</v>
      </c>
      <c r="K15" s="16" t="n">
        <v>677</v>
      </c>
      <c r="L15" s="19" t="n">
        <f aca="false">(K15/H15)*100</f>
        <v>15.5775425678785</v>
      </c>
      <c r="M15" s="16" t="n">
        <v>408</v>
      </c>
      <c r="N15" s="19" t="n">
        <f aca="false">(M15/H15)*100</f>
        <v>9.38794293603313</v>
      </c>
      <c r="O15" s="71" t="n">
        <v>16.05</v>
      </c>
      <c r="P15" s="16" t="n">
        <v>0</v>
      </c>
      <c r="Q15" s="87"/>
      <c r="R15" s="87"/>
      <c r="S15" s="75"/>
      <c r="T15" s="88"/>
      <c r="U15" s="77"/>
      <c r="V15" s="77"/>
      <c r="W15" s="77"/>
      <c r="X15" s="77"/>
      <c r="Y15" s="77"/>
      <c r="Z15" s="77"/>
      <c r="AA15" s="87"/>
      <c r="AB15" s="87"/>
      <c r="AC15" s="16"/>
      <c r="AD15" s="87"/>
      <c r="AE15" s="87"/>
    </row>
    <row r="16" customFormat="false" ht="31.5" hidden="false" customHeight="false" outlineLevel="0" collapsed="false">
      <c r="A16" s="16" t="s">
        <v>42</v>
      </c>
      <c r="B16" s="16" t="s">
        <v>249</v>
      </c>
      <c r="C16" s="71" t="s">
        <v>288</v>
      </c>
      <c r="D16" s="72" t="s">
        <v>289</v>
      </c>
      <c r="E16" s="16" t="s">
        <v>290</v>
      </c>
      <c r="F16" s="16" t="n">
        <v>1263.58</v>
      </c>
      <c r="G16" s="16" t="n">
        <v>302</v>
      </c>
      <c r="H16" s="16" t="n">
        <v>1757</v>
      </c>
      <c r="I16" s="16" t="n">
        <v>927</v>
      </c>
      <c r="J16" s="16" t="n">
        <v>830</v>
      </c>
      <c r="K16" s="16" t="n">
        <v>550</v>
      </c>
      <c r="L16" s="19" t="n">
        <f aca="false">(K16/H16)*100</f>
        <v>31.3033579965851</v>
      </c>
      <c r="M16" s="16" t="n">
        <v>109</v>
      </c>
      <c r="N16" s="19" t="n">
        <f aca="false">(M16/H16)*100</f>
        <v>6.20375640295959</v>
      </c>
      <c r="O16" s="71" t="n">
        <v>8.02</v>
      </c>
      <c r="P16" s="16" t="n">
        <v>0</v>
      </c>
      <c r="Q16" s="87"/>
      <c r="R16" s="34" t="n">
        <v>37531</v>
      </c>
      <c r="S16" s="75"/>
      <c r="T16" s="88"/>
      <c r="U16" s="77"/>
      <c r="V16" s="77"/>
      <c r="W16" s="77"/>
      <c r="X16" s="77"/>
      <c r="Y16" s="77"/>
      <c r="Z16" s="77"/>
      <c r="AA16" s="21" t="s">
        <v>266</v>
      </c>
      <c r="AB16" s="21" t="n">
        <v>5</v>
      </c>
      <c r="AC16" s="90" t="s">
        <v>291</v>
      </c>
      <c r="AD16" s="91" t="n">
        <v>72.56</v>
      </c>
      <c r="AE16" s="21" t="n">
        <v>26.42</v>
      </c>
    </row>
    <row r="17" customFormat="false" ht="15.75" hidden="false" customHeight="false" outlineLevel="0" collapsed="false">
      <c r="A17" s="16" t="s">
        <v>42</v>
      </c>
      <c r="B17" s="16" t="s">
        <v>249</v>
      </c>
      <c r="C17" s="71" t="s">
        <v>288</v>
      </c>
      <c r="D17" s="16" t="s">
        <v>292</v>
      </c>
      <c r="E17" s="16" t="s">
        <v>293</v>
      </c>
      <c r="F17" s="16" t="n">
        <v>457.87</v>
      </c>
      <c r="G17" s="16" t="n">
        <v>61</v>
      </c>
      <c r="H17" s="16" t="n">
        <v>306</v>
      </c>
      <c r="I17" s="16" t="n">
        <v>162</v>
      </c>
      <c r="J17" s="16" t="n">
        <v>144</v>
      </c>
      <c r="K17" s="16" t="n">
        <v>110</v>
      </c>
      <c r="L17" s="19" t="n">
        <f aca="false">(K17/H17)*100</f>
        <v>35.9477124183007</v>
      </c>
      <c r="M17" s="16" t="n">
        <v>0</v>
      </c>
      <c r="N17" s="19" t="n">
        <f aca="false">(M17/H17)*100</f>
        <v>0</v>
      </c>
      <c r="O17" s="16" t="n">
        <v>0</v>
      </c>
      <c r="P17" s="16" t="n">
        <v>0</v>
      </c>
      <c r="Q17" s="87"/>
      <c r="R17" s="87"/>
      <c r="S17" s="87"/>
      <c r="T17" s="88"/>
      <c r="U17" s="77"/>
      <c r="V17" s="77"/>
      <c r="W17" s="77"/>
      <c r="X17" s="77"/>
      <c r="Y17" s="77"/>
      <c r="Z17" s="77"/>
      <c r="AA17" s="87"/>
      <c r="AB17" s="87"/>
      <c r="AC17" s="16"/>
      <c r="AD17" s="87"/>
      <c r="AE17" s="87"/>
    </row>
    <row r="18" customFormat="false" ht="15.75" hidden="false" customHeight="false" outlineLevel="0" collapsed="false">
      <c r="A18" s="16" t="s">
        <v>42</v>
      </c>
      <c r="B18" s="16" t="s">
        <v>249</v>
      </c>
      <c r="C18" s="71" t="s">
        <v>288</v>
      </c>
      <c r="D18" s="16" t="s">
        <v>294</v>
      </c>
      <c r="E18" s="16" t="s">
        <v>295</v>
      </c>
      <c r="F18" s="16" t="n">
        <v>627.08</v>
      </c>
      <c r="G18" s="16" t="n">
        <v>88</v>
      </c>
      <c r="H18" s="16" t="n">
        <v>486</v>
      </c>
      <c r="I18" s="16" t="n">
        <v>250</v>
      </c>
      <c r="J18" s="16" t="n">
        <v>236</v>
      </c>
      <c r="K18" s="16" t="n">
        <v>32</v>
      </c>
      <c r="L18" s="19" t="n">
        <f aca="false">(K18/H18)*100</f>
        <v>6.5843621399177</v>
      </c>
      <c r="M18" s="16" t="n">
        <v>37</v>
      </c>
      <c r="N18" s="19" t="n">
        <f aca="false">(M18/H18)*100</f>
        <v>7.61316872427984</v>
      </c>
      <c r="O18" s="71" t="n">
        <v>7.36</v>
      </c>
      <c r="P18" s="16" t="n">
        <v>0</v>
      </c>
      <c r="Q18" s="87"/>
      <c r="R18" s="87"/>
      <c r="S18" s="75"/>
      <c r="T18" s="88"/>
      <c r="U18" s="77"/>
      <c r="V18" s="77"/>
      <c r="W18" s="77"/>
      <c r="X18" s="77"/>
      <c r="Y18" s="77"/>
      <c r="Z18" s="77"/>
      <c r="AA18" s="87"/>
      <c r="AB18" s="87"/>
      <c r="AC18" s="16"/>
      <c r="AD18" s="87"/>
      <c r="AE18" s="87"/>
    </row>
    <row r="19" customFormat="false" ht="15.75" hidden="false" customHeight="false" outlineLevel="0" collapsed="false">
      <c r="A19" s="16" t="s">
        <v>42</v>
      </c>
      <c r="B19" s="16" t="s">
        <v>249</v>
      </c>
      <c r="C19" s="71" t="s">
        <v>288</v>
      </c>
      <c r="D19" s="16" t="s">
        <v>296</v>
      </c>
      <c r="E19" s="16" t="s">
        <v>297</v>
      </c>
      <c r="F19" s="16" t="n">
        <v>1240.08</v>
      </c>
      <c r="G19" s="16" t="n">
        <v>200</v>
      </c>
      <c r="H19" s="16" t="n">
        <v>1295</v>
      </c>
      <c r="I19" s="16" t="n">
        <v>677</v>
      </c>
      <c r="J19" s="16" t="n">
        <v>618</v>
      </c>
      <c r="K19" s="16" t="n">
        <v>96</v>
      </c>
      <c r="L19" s="19" t="n">
        <f aca="false">(K19/H19)*100</f>
        <v>7.41312741312741</v>
      </c>
      <c r="M19" s="16" t="n">
        <v>3</v>
      </c>
      <c r="N19" s="19" t="n">
        <f aca="false">(M19/H19)*100</f>
        <v>0.231660231660232</v>
      </c>
      <c r="O19" s="71" t="n">
        <v>8.02</v>
      </c>
      <c r="P19" s="16" t="n">
        <v>0</v>
      </c>
      <c r="Q19" s="87"/>
      <c r="R19" s="87"/>
      <c r="S19" s="75"/>
      <c r="T19" s="88"/>
      <c r="U19" s="77"/>
      <c r="V19" s="77"/>
      <c r="W19" s="77"/>
      <c r="X19" s="77"/>
      <c r="Y19" s="77"/>
      <c r="Z19" s="77"/>
      <c r="AA19" s="87"/>
      <c r="AB19" s="87"/>
      <c r="AC19" s="16"/>
      <c r="AD19" s="87"/>
      <c r="AE19" s="87"/>
    </row>
    <row r="20" customFormat="false" ht="15.75" hidden="false" customHeight="false" outlineLevel="0" collapsed="false">
      <c r="A20" s="16" t="s">
        <v>42</v>
      </c>
      <c r="B20" s="16" t="s">
        <v>249</v>
      </c>
      <c r="C20" s="71" t="s">
        <v>298</v>
      </c>
      <c r="D20" s="72" t="s">
        <v>299</v>
      </c>
      <c r="E20" s="16" t="s">
        <v>300</v>
      </c>
      <c r="F20" s="16" t="n">
        <v>1270.12</v>
      </c>
      <c r="G20" s="16" t="n">
        <v>208</v>
      </c>
      <c r="H20" s="16" t="n">
        <v>1345</v>
      </c>
      <c r="I20" s="16" t="n">
        <v>721</v>
      </c>
      <c r="J20" s="16" t="n">
        <v>624</v>
      </c>
      <c r="K20" s="16" t="n">
        <v>148</v>
      </c>
      <c r="L20" s="19" t="n">
        <f aca="false">(K20/H20)*100</f>
        <v>11.003717472119</v>
      </c>
      <c r="M20" s="16" t="n">
        <v>0</v>
      </c>
      <c r="N20" s="19" t="n">
        <f aca="false">(M20/H20)*100</f>
        <v>0</v>
      </c>
      <c r="O20" s="71" t="n">
        <v>66.02</v>
      </c>
      <c r="P20" s="16" t="n">
        <v>0</v>
      </c>
      <c r="Q20" s="21" t="s">
        <v>49</v>
      </c>
      <c r="R20" s="87"/>
      <c r="S20" s="87"/>
      <c r="T20" s="89"/>
      <c r="U20" s="77"/>
      <c r="V20" s="77"/>
      <c r="W20" s="77"/>
      <c r="X20" s="77"/>
      <c r="Y20" s="77"/>
      <c r="Z20" s="77"/>
      <c r="AA20" s="87"/>
      <c r="AB20" s="87"/>
      <c r="AC20" s="16"/>
      <c r="AD20" s="87"/>
      <c r="AE20" s="87"/>
    </row>
    <row r="21" customFormat="false" ht="15.75" hidden="false" customHeight="false" outlineLevel="0" collapsed="false">
      <c r="A21" s="16" t="s">
        <v>42</v>
      </c>
      <c r="B21" s="16" t="s">
        <v>249</v>
      </c>
      <c r="C21" s="71" t="s">
        <v>298</v>
      </c>
      <c r="D21" s="16" t="s">
        <v>301</v>
      </c>
      <c r="E21" s="16" t="s">
        <v>302</v>
      </c>
      <c r="F21" s="16" t="n">
        <v>462.79</v>
      </c>
      <c r="G21" s="16" t="n">
        <v>85</v>
      </c>
      <c r="H21" s="16" t="n">
        <v>609</v>
      </c>
      <c r="I21" s="16" t="n">
        <v>322</v>
      </c>
      <c r="J21" s="16" t="n">
        <v>287</v>
      </c>
      <c r="K21" s="16" t="n">
        <v>0</v>
      </c>
      <c r="L21" s="19" t="n">
        <f aca="false">(K21/H21)*100</f>
        <v>0</v>
      </c>
      <c r="M21" s="16" t="n">
        <v>0</v>
      </c>
      <c r="N21" s="19" t="n">
        <f aca="false">(M21/H21)*100</f>
        <v>0</v>
      </c>
      <c r="O21" s="16" t="n">
        <v>0</v>
      </c>
      <c r="P21" s="16" t="n">
        <v>0</v>
      </c>
      <c r="Q21" s="21" t="s">
        <v>49</v>
      </c>
      <c r="R21" s="87"/>
      <c r="S21" s="87"/>
      <c r="T21" s="89" t="n">
        <v>75</v>
      </c>
      <c r="U21" s="77"/>
      <c r="V21" s="77"/>
      <c r="W21" s="77"/>
      <c r="X21" s="77"/>
      <c r="Y21" s="77"/>
      <c r="Z21" s="77"/>
      <c r="AA21" s="87"/>
      <c r="AB21" s="87"/>
      <c r="AC21" s="16"/>
      <c r="AD21" s="87"/>
      <c r="AE21" s="87"/>
    </row>
    <row r="22" customFormat="false" ht="15.75" hidden="false" customHeight="false" outlineLevel="0" collapsed="false">
      <c r="A22" s="16" t="s">
        <v>42</v>
      </c>
      <c r="B22" s="16" t="s">
        <v>249</v>
      </c>
      <c r="C22" s="71" t="s">
        <v>298</v>
      </c>
      <c r="D22" s="16" t="s">
        <v>303</v>
      </c>
      <c r="E22" s="16" t="s">
        <v>304</v>
      </c>
      <c r="F22" s="16" t="n">
        <v>631.33</v>
      </c>
      <c r="G22" s="16" t="n">
        <v>85</v>
      </c>
      <c r="H22" s="16" t="n">
        <v>472</v>
      </c>
      <c r="I22" s="16" t="n">
        <v>252</v>
      </c>
      <c r="J22" s="16" t="n">
        <v>220</v>
      </c>
      <c r="K22" s="16" t="n">
        <v>32</v>
      </c>
      <c r="L22" s="19" t="n">
        <f aca="false">(K22/H22)*100</f>
        <v>6.77966101694915</v>
      </c>
      <c r="M22" s="16" t="n">
        <v>131</v>
      </c>
      <c r="N22" s="19" t="n">
        <f aca="false">(M22/H22)*100</f>
        <v>27.7542372881356</v>
      </c>
      <c r="O22" s="71" t="n">
        <v>146.08</v>
      </c>
      <c r="P22" s="16" t="n">
        <v>0</v>
      </c>
      <c r="Q22" s="26" t="s">
        <v>49</v>
      </c>
      <c r="R22" s="87"/>
      <c r="S22" s="87"/>
      <c r="T22" s="92" t="n">
        <v>21.5858</v>
      </c>
      <c r="U22" s="77"/>
      <c r="V22" s="77"/>
      <c r="W22" s="77"/>
      <c r="X22" s="77"/>
      <c r="Y22" s="77"/>
      <c r="Z22" s="77"/>
      <c r="AA22" s="87"/>
      <c r="AB22" s="87"/>
      <c r="AC22" s="16"/>
      <c r="AD22" s="87"/>
      <c r="AE22" s="87"/>
    </row>
    <row r="23" customFormat="false" ht="15.75" hidden="false" customHeight="false" outlineLevel="0" collapsed="false">
      <c r="A23" s="16" t="s">
        <v>42</v>
      </c>
      <c r="B23" s="16" t="s">
        <v>249</v>
      </c>
      <c r="C23" s="71" t="s">
        <v>298</v>
      </c>
      <c r="D23" s="16" t="s">
        <v>305</v>
      </c>
      <c r="E23" s="16" t="s">
        <v>306</v>
      </c>
      <c r="F23" s="16" t="n">
        <v>1550.17</v>
      </c>
      <c r="G23" s="16" t="n">
        <v>192</v>
      </c>
      <c r="H23" s="16" t="n">
        <v>1252</v>
      </c>
      <c r="I23" s="16" t="n">
        <v>633</v>
      </c>
      <c r="J23" s="16" t="n">
        <v>619</v>
      </c>
      <c r="K23" s="16" t="n">
        <v>62</v>
      </c>
      <c r="L23" s="19" t="n">
        <f aca="false">(K23/H23)*100</f>
        <v>4.95207667731629</v>
      </c>
      <c r="M23" s="16" t="n">
        <v>0</v>
      </c>
      <c r="N23" s="19" t="n">
        <f aca="false">(M23/H23)*100</f>
        <v>0</v>
      </c>
      <c r="O23" s="71" t="n">
        <v>80</v>
      </c>
      <c r="P23" s="16"/>
      <c r="Q23" s="21" t="s">
        <v>49</v>
      </c>
      <c r="R23" s="87"/>
      <c r="S23" s="87"/>
      <c r="T23" s="93"/>
      <c r="U23" s="77"/>
      <c r="V23" s="77"/>
      <c r="W23" s="77"/>
      <c r="X23" s="77"/>
      <c r="Y23" s="77"/>
      <c r="Z23" s="77"/>
      <c r="AA23" s="87"/>
      <c r="AB23" s="87"/>
      <c r="AC23" s="16"/>
      <c r="AD23" s="87"/>
      <c r="AE23" s="87"/>
    </row>
    <row r="24" customFormat="false" ht="15.75" hidden="false" customHeight="false" outlineLevel="0" collapsed="false">
      <c r="A24" s="16" t="s">
        <v>42</v>
      </c>
      <c r="B24" s="16" t="s">
        <v>249</v>
      </c>
      <c r="C24" s="71" t="s">
        <v>307</v>
      </c>
      <c r="D24" s="72" t="s">
        <v>308</v>
      </c>
      <c r="E24" s="16" t="s">
        <v>309</v>
      </c>
      <c r="F24" s="16" t="n">
        <v>2335</v>
      </c>
      <c r="G24" s="16" t="n">
        <v>411</v>
      </c>
      <c r="H24" s="16" t="n">
        <v>2376</v>
      </c>
      <c r="I24" s="16" t="n">
        <v>1254</v>
      </c>
      <c r="J24" s="16" t="n">
        <v>1122</v>
      </c>
      <c r="K24" s="16" t="n">
        <v>701</v>
      </c>
      <c r="L24" s="19" t="n">
        <f aca="false">(K24/H24)*100</f>
        <v>29.503367003367</v>
      </c>
      <c r="M24" s="16" t="n">
        <v>306</v>
      </c>
      <c r="N24" s="19" t="n">
        <f aca="false">(M24/H24)*100</f>
        <v>12.8787878787879</v>
      </c>
      <c r="O24" s="16" t="n">
        <v>0</v>
      </c>
      <c r="P24" s="16" t="n">
        <v>0</v>
      </c>
      <c r="Q24" s="21"/>
      <c r="R24" s="74" t="n">
        <v>44608</v>
      </c>
      <c r="S24" s="74"/>
      <c r="T24" s="89" t="n">
        <v>198.1338</v>
      </c>
      <c r="U24" s="77"/>
      <c r="V24" s="77"/>
      <c r="W24" s="77"/>
      <c r="X24" s="77"/>
      <c r="Y24" s="77"/>
      <c r="Z24" s="77"/>
      <c r="AA24" s="78" t="s">
        <v>50</v>
      </c>
      <c r="AB24" s="79" t="n">
        <v>1.6</v>
      </c>
      <c r="AC24" s="94" t="s">
        <v>310</v>
      </c>
      <c r="AD24" s="81"/>
      <c r="AE24" s="81" t="n">
        <v>72.449451</v>
      </c>
    </row>
    <row r="25" customFormat="false" ht="15.75" hidden="false" customHeight="false" outlineLevel="0" collapsed="false">
      <c r="A25" s="16" t="s">
        <v>42</v>
      </c>
      <c r="B25" s="16" t="s">
        <v>249</v>
      </c>
      <c r="C25" s="71" t="s">
        <v>307</v>
      </c>
      <c r="D25" s="16" t="s">
        <v>311</v>
      </c>
      <c r="E25" s="16" t="s">
        <v>312</v>
      </c>
      <c r="F25" s="16" t="n">
        <v>590</v>
      </c>
      <c r="G25" s="16" t="n">
        <v>119</v>
      </c>
      <c r="H25" s="16" t="n">
        <v>680</v>
      </c>
      <c r="I25" s="16" t="n">
        <v>348</v>
      </c>
      <c r="J25" s="16" t="n">
        <v>332</v>
      </c>
      <c r="K25" s="16" t="n">
        <v>0</v>
      </c>
      <c r="L25" s="19" t="n">
        <f aca="false">(K25/H25)*100</f>
        <v>0</v>
      </c>
      <c r="M25" s="16" t="n">
        <v>0</v>
      </c>
      <c r="N25" s="19" t="n">
        <f aca="false">(M25/H25)*100</f>
        <v>0</v>
      </c>
      <c r="O25" s="71" t="n">
        <v>1</v>
      </c>
      <c r="P25" s="16" t="n">
        <v>0</v>
      </c>
      <c r="Q25" s="87"/>
      <c r="R25" s="34" t="n">
        <v>44836</v>
      </c>
      <c r="S25" s="34"/>
      <c r="T25" s="88"/>
      <c r="U25" s="77"/>
      <c r="V25" s="77"/>
      <c r="W25" s="77"/>
      <c r="X25" s="77"/>
      <c r="Y25" s="77"/>
      <c r="Z25" s="77"/>
      <c r="AA25" s="26" t="s">
        <v>266</v>
      </c>
      <c r="AB25" s="21" t="n">
        <v>19</v>
      </c>
      <c r="AC25" s="90" t="s">
        <v>313</v>
      </c>
      <c r="AD25" s="91" t="n">
        <v>72.44</v>
      </c>
      <c r="AE25" s="21" t="n">
        <v>26.32</v>
      </c>
    </row>
    <row r="26" customFormat="false" ht="15.75" hidden="false" customHeight="false" outlineLevel="0" collapsed="false">
      <c r="A26" s="16" t="s">
        <v>42</v>
      </c>
      <c r="B26" s="16" t="s">
        <v>249</v>
      </c>
      <c r="C26" s="71" t="s">
        <v>314</v>
      </c>
      <c r="D26" s="72" t="s">
        <v>315</v>
      </c>
      <c r="E26" s="16" t="s">
        <v>316</v>
      </c>
      <c r="F26" s="16" t="n">
        <v>2081</v>
      </c>
      <c r="G26" s="16" t="n">
        <v>757</v>
      </c>
      <c r="H26" s="16" t="n">
        <v>4347</v>
      </c>
      <c r="I26" s="16" t="n">
        <v>2283</v>
      </c>
      <c r="J26" s="16" t="n">
        <v>2064</v>
      </c>
      <c r="K26" s="16" t="n">
        <v>518</v>
      </c>
      <c r="L26" s="19" t="n">
        <f aca="false">(K26/H26)*100</f>
        <v>11.9162640901771</v>
      </c>
      <c r="M26" s="16" t="n">
        <v>215</v>
      </c>
      <c r="N26" s="19" t="n">
        <f aca="false">(M26/H26)*100</f>
        <v>4.94593972854842</v>
      </c>
      <c r="O26" s="71" t="n">
        <v>94</v>
      </c>
      <c r="P26" s="16" t="n">
        <v>0</v>
      </c>
      <c r="Q26" s="87"/>
      <c r="R26" s="34" t="n">
        <v>44726</v>
      </c>
      <c r="S26" s="34"/>
      <c r="T26" s="88"/>
      <c r="U26" s="77"/>
      <c r="V26" s="77"/>
      <c r="W26" s="77"/>
      <c r="X26" s="77"/>
      <c r="Y26" s="77"/>
      <c r="Z26" s="77"/>
      <c r="AA26" s="21" t="s">
        <v>266</v>
      </c>
      <c r="AB26" s="21" t="n">
        <v>5</v>
      </c>
      <c r="AC26" s="95" t="s">
        <v>317</v>
      </c>
      <c r="AD26" s="21" t="n">
        <v>26.318013</v>
      </c>
      <c r="AE26" s="21" t="n">
        <v>72.487524</v>
      </c>
    </row>
    <row r="27" customFormat="false" ht="31.5" hidden="false" customHeight="false" outlineLevel="0" collapsed="false">
      <c r="A27" s="16" t="s">
        <v>42</v>
      </c>
      <c r="B27" s="16" t="s">
        <v>249</v>
      </c>
      <c r="C27" s="71" t="s">
        <v>314</v>
      </c>
      <c r="D27" s="16" t="s">
        <v>318</v>
      </c>
      <c r="E27" s="16" t="s">
        <v>319</v>
      </c>
      <c r="F27" s="16" t="n">
        <v>177</v>
      </c>
      <c r="G27" s="16" t="n">
        <v>74</v>
      </c>
      <c r="H27" s="16" t="n">
        <v>462</v>
      </c>
      <c r="I27" s="16" t="n">
        <v>230</v>
      </c>
      <c r="J27" s="16" t="n">
        <v>232</v>
      </c>
      <c r="K27" s="16" t="n">
        <v>0</v>
      </c>
      <c r="L27" s="19" t="n">
        <f aca="false">(K27/H27)*100</f>
        <v>0</v>
      </c>
      <c r="M27" s="16" t="n">
        <v>0</v>
      </c>
      <c r="N27" s="19" t="n">
        <f aca="false">(M27/H27)*100</f>
        <v>0</v>
      </c>
      <c r="O27" s="71" t="n">
        <v>14</v>
      </c>
      <c r="P27" s="16" t="n">
        <v>0</v>
      </c>
      <c r="Q27" s="87"/>
      <c r="R27" s="25" t="n">
        <v>44836</v>
      </c>
      <c r="S27" s="25"/>
      <c r="T27" s="88"/>
      <c r="U27" s="77"/>
      <c r="V27" s="77"/>
      <c r="W27" s="77"/>
      <c r="X27" s="77"/>
      <c r="Y27" s="77"/>
      <c r="Z27" s="77"/>
      <c r="AA27" s="26" t="s">
        <v>266</v>
      </c>
      <c r="AB27" s="26" t="n">
        <v>5</v>
      </c>
      <c r="AC27" s="96" t="s">
        <v>320</v>
      </c>
      <c r="AD27" s="26"/>
      <c r="AE27" s="26"/>
    </row>
    <row r="28" customFormat="false" ht="31.5" hidden="false" customHeight="false" outlineLevel="0" collapsed="false">
      <c r="A28" s="16"/>
      <c r="B28" s="16"/>
      <c r="C28" s="71"/>
      <c r="D28" s="16"/>
      <c r="E28" s="16"/>
      <c r="F28" s="16"/>
      <c r="G28" s="16"/>
      <c r="H28" s="16"/>
      <c r="I28" s="16"/>
      <c r="J28" s="16"/>
      <c r="K28" s="16"/>
      <c r="L28" s="19"/>
      <c r="M28" s="16"/>
      <c r="N28" s="19"/>
      <c r="O28" s="71"/>
      <c r="P28" s="16" t="n">
        <v>0</v>
      </c>
      <c r="Q28" s="87"/>
      <c r="R28" s="34" t="n">
        <v>44836</v>
      </c>
      <c r="S28" s="34"/>
      <c r="T28" s="88"/>
      <c r="U28" s="77"/>
      <c r="V28" s="77"/>
      <c r="W28" s="77"/>
      <c r="X28" s="77"/>
      <c r="Y28" s="77"/>
      <c r="Z28" s="77"/>
      <c r="AA28" s="21" t="s">
        <v>266</v>
      </c>
      <c r="AB28" s="97" t="n">
        <v>10</v>
      </c>
      <c r="AC28" s="98" t="s">
        <v>321</v>
      </c>
      <c r="AD28" s="97"/>
      <c r="AE28" s="97"/>
    </row>
    <row r="29" customFormat="false" ht="15.75" hidden="false" customHeight="false" outlineLevel="0" collapsed="false">
      <c r="A29" s="16" t="s">
        <v>42</v>
      </c>
      <c r="B29" s="16" t="s">
        <v>249</v>
      </c>
      <c r="C29" s="71" t="s">
        <v>314</v>
      </c>
      <c r="D29" s="16" t="s">
        <v>322</v>
      </c>
      <c r="E29" s="16" t="s">
        <v>323</v>
      </c>
      <c r="F29" s="16" t="n">
        <v>1398</v>
      </c>
      <c r="G29" s="16" t="n">
        <v>98</v>
      </c>
      <c r="H29" s="16" t="n">
        <v>539</v>
      </c>
      <c r="I29" s="16" t="n">
        <v>288</v>
      </c>
      <c r="J29" s="16" t="n">
        <v>251</v>
      </c>
      <c r="K29" s="16" t="n">
        <v>159</v>
      </c>
      <c r="L29" s="19" t="n">
        <f aca="false">(K29/H29)*100</f>
        <v>29.4990723562152</v>
      </c>
      <c r="M29" s="16" t="n">
        <v>82</v>
      </c>
      <c r="N29" s="19" t="n">
        <f aca="false">(M29/H29)*100</f>
        <v>15.2133580705009</v>
      </c>
      <c r="O29" s="71" t="n">
        <v>95</v>
      </c>
      <c r="P29" s="99" t="n">
        <v>0</v>
      </c>
      <c r="Q29" s="87"/>
      <c r="R29" s="34" t="n">
        <v>44836</v>
      </c>
      <c r="S29" s="34"/>
      <c r="T29" s="88"/>
      <c r="U29" s="77"/>
      <c r="V29" s="77"/>
      <c r="W29" s="77"/>
      <c r="X29" s="77"/>
      <c r="Y29" s="77"/>
      <c r="Z29" s="77"/>
      <c r="AA29" s="26" t="s">
        <v>266</v>
      </c>
      <c r="AB29" s="21" t="n">
        <v>18</v>
      </c>
      <c r="AC29" s="90" t="s">
        <v>324</v>
      </c>
      <c r="AD29" s="91" t="n">
        <v>72.41</v>
      </c>
      <c r="AE29" s="21" t="n">
        <v>26.3</v>
      </c>
    </row>
    <row r="30" customFormat="false" ht="15.75" hidden="false" customHeight="false" outlineLevel="0" collapsed="false">
      <c r="A30" s="16" t="s">
        <v>42</v>
      </c>
      <c r="B30" s="16" t="s">
        <v>249</v>
      </c>
      <c r="C30" s="71" t="s">
        <v>325</v>
      </c>
      <c r="D30" s="72" t="s">
        <v>326</v>
      </c>
      <c r="E30" s="16" t="s">
        <v>327</v>
      </c>
      <c r="F30" s="16" t="n">
        <v>623.7</v>
      </c>
      <c r="G30" s="16" t="n">
        <v>318</v>
      </c>
      <c r="H30" s="16" t="n">
        <v>1669</v>
      </c>
      <c r="I30" s="16" t="n">
        <v>864</v>
      </c>
      <c r="J30" s="16" t="n">
        <v>805</v>
      </c>
      <c r="K30" s="16" t="n">
        <v>495</v>
      </c>
      <c r="L30" s="19" t="n">
        <f aca="false">(K30/H30)*100</f>
        <v>29.6584781306171</v>
      </c>
      <c r="M30" s="16" t="n">
        <v>44</v>
      </c>
      <c r="N30" s="19" t="n">
        <f aca="false">(M30/H30)*100</f>
        <v>2.63630916716597</v>
      </c>
      <c r="O30" s="71" t="n">
        <v>21</v>
      </c>
      <c r="P30" s="16" t="n">
        <v>0</v>
      </c>
      <c r="Q30" s="87"/>
      <c r="R30" s="87"/>
      <c r="S30" s="87"/>
      <c r="T30" s="88"/>
      <c r="U30" s="77"/>
      <c r="V30" s="77"/>
      <c r="W30" s="77"/>
      <c r="X30" s="77"/>
      <c r="Y30" s="77"/>
      <c r="Z30" s="77"/>
      <c r="AA30" s="87"/>
      <c r="AB30" s="87"/>
      <c r="AC30" s="16"/>
      <c r="AD30" s="87"/>
      <c r="AE30" s="87"/>
    </row>
    <row r="31" customFormat="false" ht="15.75" hidden="false" customHeight="false" outlineLevel="0" collapsed="false">
      <c r="A31" s="16" t="s">
        <v>42</v>
      </c>
      <c r="B31" s="16" t="s">
        <v>249</v>
      </c>
      <c r="C31" s="71" t="s">
        <v>325</v>
      </c>
      <c r="D31" s="16" t="s">
        <v>328</v>
      </c>
      <c r="E31" s="16" t="s">
        <v>329</v>
      </c>
      <c r="F31" s="16" t="n">
        <v>406.22</v>
      </c>
      <c r="G31" s="16" t="n">
        <v>45</v>
      </c>
      <c r="H31" s="16" t="n">
        <v>268</v>
      </c>
      <c r="I31" s="16" t="n">
        <v>138</v>
      </c>
      <c r="J31" s="16" t="n">
        <v>130</v>
      </c>
      <c r="K31" s="16" t="n">
        <v>215</v>
      </c>
      <c r="L31" s="19" t="n">
        <f aca="false">(K31/H31)*100</f>
        <v>80.2238805970149</v>
      </c>
      <c r="M31" s="16" t="n">
        <v>0</v>
      </c>
      <c r="N31" s="19" t="n">
        <f aca="false">(M31/H31)*100</f>
        <v>0</v>
      </c>
      <c r="O31" s="71" t="n">
        <v>45</v>
      </c>
      <c r="P31" s="16" t="n">
        <v>0</v>
      </c>
      <c r="Q31" s="87"/>
      <c r="R31" s="87"/>
      <c r="S31" s="87"/>
      <c r="T31" s="88"/>
      <c r="U31" s="77"/>
      <c r="V31" s="77"/>
      <c r="W31" s="77"/>
      <c r="X31" s="77"/>
      <c r="Y31" s="77"/>
      <c r="Z31" s="77"/>
      <c r="AA31" s="87"/>
      <c r="AB31" s="87"/>
      <c r="AC31" s="16"/>
      <c r="AD31" s="87"/>
      <c r="AE31" s="87"/>
    </row>
    <row r="32" customFormat="false" ht="15.75" hidden="false" customHeight="false" outlineLevel="0" collapsed="false">
      <c r="A32" s="99" t="s">
        <v>42</v>
      </c>
      <c r="B32" s="99" t="s">
        <v>249</v>
      </c>
      <c r="C32" s="100" t="s">
        <v>325</v>
      </c>
      <c r="D32" s="99" t="s">
        <v>330</v>
      </c>
      <c r="E32" s="99" t="s">
        <v>331</v>
      </c>
      <c r="F32" s="99" t="n">
        <v>453.87</v>
      </c>
      <c r="G32" s="99" t="n">
        <v>61</v>
      </c>
      <c r="H32" s="99" t="n">
        <v>347</v>
      </c>
      <c r="I32" s="99" t="n">
        <v>191</v>
      </c>
      <c r="J32" s="99" t="n">
        <v>156</v>
      </c>
      <c r="K32" s="99" t="n">
        <v>37</v>
      </c>
      <c r="L32" s="19" t="n">
        <f aca="false">(K32/H32)*100</f>
        <v>10.6628242074928</v>
      </c>
      <c r="M32" s="16" t="n">
        <v>1</v>
      </c>
      <c r="N32" s="19" t="n">
        <f aca="false">(M32/H32)*100</f>
        <v>0.288184438040346</v>
      </c>
      <c r="O32" s="71" t="n">
        <v>40</v>
      </c>
      <c r="P32" s="16" t="n">
        <v>0</v>
      </c>
      <c r="Q32" s="87"/>
      <c r="R32" s="87"/>
      <c r="S32" s="87"/>
      <c r="T32" s="88"/>
      <c r="U32" s="77"/>
      <c r="V32" s="77"/>
      <c r="W32" s="77"/>
      <c r="X32" s="77"/>
      <c r="Y32" s="77"/>
      <c r="Z32" s="77"/>
      <c r="AA32" s="87"/>
      <c r="AB32" s="87"/>
      <c r="AC32" s="16"/>
      <c r="AD32" s="87"/>
      <c r="AE32" s="87"/>
    </row>
    <row r="33" customFormat="false" ht="15.75" hidden="false" customHeight="false" outlineLevel="0" collapsed="false">
      <c r="A33" s="16" t="s">
        <v>42</v>
      </c>
      <c r="B33" s="16" t="s">
        <v>249</v>
      </c>
      <c r="C33" s="71" t="s">
        <v>325</v>
      </c>
      <c r="D33" s="16" t="s">
        <v>332</v>
      </c>
      <c r="E33" s="16" t="s">
        <v>333</v>
      </c>
      <c r="F33" s="16" t="n">
        <v>394.21</v>
      </c>
      <c r="G33" s="16" t="n">
        <v>133</v>
      </c>
      <c r="H33" s="16" t="n">
        <v>786</v>
      </c>
      <c r="I33" s="16" t="n">
        <v>423</v>
      </c>
      <c r="J33" s="16" t="n">
        <v>363</v>
      </c>
      <c r="K33" s="16" t="n">
        <v>491</v>
      </c>
      <c r="L33" s="19" t="n">
        <f aca="false">(K33/H33)*100</f>
        <v>62.4681933842239</v>
      </c>
      <c r="M33" s="16" t="n">
        <v>3</v>
      </c>
      <c r="N33" s="19" t="n">
        <f aca="false">(M33/H33)*100</f>
        <v>0.381679389312977</v>
      </c>
      <c r="O33" s="71" t="n">
        <v>26</v>
      </c>
      <c r="P33" s="16" t="n">
        <v>0</v>
      </c>
      <c r="Q33" s="87"/>
      <c r="R33" s="87"/>
      <c r="S33" s="87"/>
      <c r="T33" s="88"/>
      <c r="U33" s="77"/>
      <c r="V33" s="77"/>
      <c r="W33" s="77"/>
      <c r="X33" s="77"/>
      <c r="Y33" s="77"/>
      <c r="Z33" s="77"/>
      <c r="AA33" s="87"/>
      <c r="AB33" s="87"/>
      <c r="AC33" s="16"/>
      <c r="AD33" s="87"/>
      <c r="AE33" s="87"/>
    </row>
    <row r="34" customFormat="false" ht="15.75" hidden="false" customHeight="false" outlineLevel="0" collapsed="false">
      <c r="A34" s="16" t="s">
        <v>42</v>
      </c>
      <c r="B34" s="16" t="s">
        <v>249</v>
      </c>
      <c r="C34" s="71" t="s">
        <v>325</v>
      </c>
      <c r="D34" s="16" t="s">
        <v>334</v>
      </c>
      <c r="E34" s="16" t="s">
        <v>335</v>
      </c>
      <c r="F34" s="16" t="n">
        <v>467.94</v>
      </c>
      <c r="G34" s="16" t="n">
        <v>79</v>
      </c>
      <c r="H34" s="16" t="n">
        <v>452</v>
      </c>
      <c r="I34" s="16" t="n">
        <v>236</v>
      </c>
      <c r="J34" s="16" t="n">
        <v>216</v>
      </c>
      <c r="K34" s="16" t="n">
        <v>248</v>
      </c>
      <c r="L34" s="19" t="n">
        <f aca="false">(K34/H34)*100</f>
        <v>54.8672566371681</v>
      </c>
      <c r="M34" s="99" t="n">
        <v>5</v>
      </c>
      <c r="N34" s="19" t="n">
        <f aca="false">(M34/H34)*100</f>
        <v>1.10619469026549</v>
      </c>
      <c r="O34" s="100" t="n">
        <v>60</v>
      </c>
      <c r="P34" s="16" t="n">
        <v>0</v>
      </c>
      <c r="Q34" s="87"/>
      <c r="R34" s="87"/>
      <c r="S34" s="87"/>
      <c r="T34" s="88"/>
      <c r="U34" s="77"/>
      <c r="V34" s="77"/>
      <c r="W34" s="77"/>
      <c r="X34" s="77"/>
      <c r="Y34" s="77"/>
      <c r="Z34" s="77"/>
      <c r="AA34" s="87"/>
      <c r="AB34" s="87"/>
      <c r="AC34" s="16"/>
      <c r="AD34" s="87"/>
      <c r="AE34" s="87"/>
    </row>
    <row r="35" s="77" customFormat="true" ht="15.75" hidden="false" customHeight="false" outlineLevel="0" collapsed="false">
      <c r="A35" s="16" t="s">
        <v>42</v>
      </c>
      <c r="B35" s="16" t="s">
        <v>249</v>
      </c>
      <c r="C35" s="71" t="s">
        <v>336</v>
      </c>
      <c r="D35" s="72" t="s">
        <v>336</v>
      </c>
      <c r="E35" s="16" t="s">
        <v>337</v>
      </c>
      <c r="F35" s="16" t="n">
        <v>873.38</v>
      </c>
      <c r="G35" s="16" t="n">
        <v>173</v>
      </c>
      <c r="H35" s="16" t="n">
        <v>1018</v>
      </c>
      <c r="I35" s="16" t="n">
        <v>551</v>
      </c>
      <c r="J35" s="16" t="n">
        <v>467</v>
      </c>
      <c r="K35" s="16" t="n">
        <v>393</v>
      </c>
      <c r="L35" s="19" t="n">
        <f aca="false">(K35/H35)*100</f>
        <v>38.6051080550098</v>
      </c>
      <c r="M35" s="16" t="n">
        <v>23</v>
      </c>
      <c r="N35" s="19" t="n">
        <f aca="false">(M35/H35)*100</f>
        <v>2.25933202357564</v>
      </c>
      <c r="O35" s="71" t="n">
        <v>49.05</v>
      </c>
      <c r="P35" s="101" t="n">
        <v>0</v>
      </c>
      <c r="Q35" s="21" t="s">
        <v>49</v>
      </c>
      <c r="R35" s="87"/>
      <c r="S35" s="87"/>
      <c r="T35" s="89"/>
      <c r="AA35" s="87"/>
      <c r="AB35" s="87"/>
      <c r="AC35" s="16"/>
      <c r="AD35" s="87"/>
      <c r="AE35" s="87"/>
      <c r="AF35" s="102"/>
    </row>
    <row r="36" s="77" customFormat="true" ht="15.75" hidden="false" customHeight="false" outlineLevel="0" collapsed="false">
      <c r="A36" s="16" t="s">
        <v>42</v>
      </c>
      <c r="B36" s="16" t="s">
        <v>249</v>
      </c>
      <c r="C36" s="71" t="s">
        <v>336</v>
      </c>
      <c r="D36" s="16" t="s">
        <v>338</v>
      </c>
      <c r="E36" s="16" t="s">
        <v>339</v>
      </c>
      <c r="F36" s="16" t="n">
        <v>288.11</v>
      </c>
      <c r="G36" s="16" t="n">
        <v>111</v>
      </c>
      <c r="H36" s="16" t="n">
        <v>706</v>
      </c>
      <c r="I36" s="16" t="n">
        <v>376</v>
      </c>
      <c r="J36" s="16" t="n">
        <v>330</v>
      </c>
      <c r="K36" s="16" t="n">
        <v>0</v>
      </c>
      <c r="L36" s="19" t="n">
        <f aca="false">(K36/H36)*100</f>
        <v>0</v>
      </c>
      <c r="M36" s="16" t="n">
        <v>68</v>
      </c>
      <c r="N36" s="19" t="n">
        <f aca="false">(M36/H36)*100</f>
        <v>9.63172804532578</v>
      </c>
      <c r="O36" s="71" t="n">
        <v>3</v>
      </c>
      <c r="P36" s="16" t="n">
        <v>0</v>
      </c>
      <c r="Q36" s="87"/>
      <c r="R36" s="87"/>
      <c r="S36" s="87"/>
      <c r="T36" s="88"/>
      <c r="AA36" s="87"/>
      <c r="AB36" s="87"/>
      <c r="AC36" s="16"/>
      <c r="AD36" s="87"/>
      <c r="AE36" s="87"/>
      <c r="AF36" s="102"/>
    </row>
    <row r="37" s="77" customFormat="true" ht="15.75" hidden="false" customHeight="false" outlineLevel="0" collapsed="false">
      <c r="A37" s="16" t="s">
        <v>42</v>
      </c>
      <c r="B37" s="16" t="s">
        <v>249</v>
      </c>
      <c r="C37" s="71" t="s">
        <v>336</v>
      </c>
      <c r="D37" s="16" t="s">
        <v>340</v>
      </c>
      <c r="E37" s="16" t="s">
        <v>341</v>
      </c>
      <c r="F37" s="16" t="n">
        <v>346.77</v>
      </c>
      <c r="G37" s="16" t="n">
        <v>176</v>
      </c>
      <c r="H37" s="16" t="n">
        <v>945</v>
      </c>
      <c r="I37" s="16" t="n">
        <v>504</v>
      </c>
      <c r="J37" s="16" t="n">
        <v>441</v>
      </c>
      <c r="K37" s="16" t="n">
        <v>0</v>
      </c>
      <c r="L37" s="19" t="n">
        <f aca="false">(K37/H37)*100</f>
        <v>0</v>
      </c>
      <c r="M37" s="16" t="n">
        <v>0</v>
      </c>
      <c r="N37" s="19" t="n">
        <f aca="false">(M37/H37)*100</f>
        <v>0</v>
      </c>
      <c r="O37" s="71" t="n">
        <v>15</v>
      </c>
      <c r="P37" s="16" t="n">
        <v>0</v>
      </c>
      <c r="Q37" s="87"/>
      <c r="R37" s="87"/>
      <c r="S37" s="87"/>
      <c r="T37" s="88"/>
      <c r="AA37" s="87"/>
      <c r="AB37" s="87"/>
      <c r="AC37" s="16"/>
      <c r="AD37" s="87"/>
      <c r="AE37" s="87"/>
      <c r="AF37" s="102"/>
    </row>
    <row r="38" s="77" customFormat="true" ht="15.75" hidden="false" customHeight="false" outlineLevel="0" collapsed="false">
      <c r="A38" s="101" t="s">
        <v>42</v>
      </c>
      <c r="B38" s="101" t="s">
        <v>249</v>
      </c>
      <c r="C38" s="103" t="s">
        <v>342</v>
      </c>
      <c r="D38" s="104" t="s">
        <v>343</v>
      </c>
      <c r="E38" s="101" t="s">
        <v>344</v>
      </c>
      <c r="F38" s="101" t="n">
        <v>2332</v>
      </c>
      <c r="G38" s="101" t="n">
        <v>358</v>
      </c>
      <c r="H38" s="101" t="n">
        <v>2439</v>
      </c>
      <c r="I38" s="101" t="n">
        <v>1284</v>
      </c>
      <c r="J38" s="101" t="n">
        <v>1155</v>
      </c>
      <c r="K38" s="101" t="n">
        <v>251</v>
      </c>
      <c r="L38" s="19" t="n">
        <f aca="false">(K38/H38)*100</f>
        <v>10.2911029110291</v>
      </c>
      <c r="M38" s="16" t="n">
        <v>357</v>
      </c>
      <c r="N38" s="19" t="n">
        <f aca="false">(M38/H38)*100</f>
        <v>14.6371463714637</v>
      </c>
      <c r="O38" s="71" t="n">
        <v>40</v>
      </c>
      <c r="P38" s="16" t="n">
        <v>0</v>
      </c>
      <c r="Q38" s="87"/>
      <c r="R38" s="87"/>
      <c r="S38" s="87"/>
      <c r="T38" s="88"/>
      <c r="AA38" s="87"/>
      <c r="AB38" s="87"/>
      <c r="AC38" s="16"/>
      <c r="AD38" s="87"/>
      <c r="AE38" s="87"/>
      <c r="AF38" s="102"/>
    </row>
    <row r="39" s="77" customFormat="true" ht="15.75" hidden="false" customHeight="false" outlineLevel="0" collapsed="false">
      <c r="A39" s="16" t="s">
        <v>42</v>
      </c>
      <c r="B39" s="16" t="s">
        <v>249</v>
      </c>
      <c r="C39" s="71" t="s">
        <v>342</v>
      </c>
      <c r="D39" s="16" t="s">
        <v>345</v>
      </c>
      <c r="E39" s="16" t="s">
        <v>346</v>
      </c>
      <c r="F39" s="16" t="n">
        <v>2176</v>
      </c>
      <c r="G39" s="16" t="n">
        <v>266</v>
      </c>
      <c r="H39" s="16" t="n">
        <v>1734</v>
      </c>
      <c r="I39" s="16" t="n">
        <v>928</v>
      </c>
      <c r="J39" s="16" t="n">
        <v>806</v>
      </c>
      <c r="K39" s="16" t="n">
        <v>120</v>
      </c>
      <c r="L39" s="19" t="n">
        <f aca="false">(K39/H39)*100</f>
        <v>6.9204152249135</v>
      </c>
      <c r="M39" s="16" t="n">
        <v>386</v>
      </c>
      <c r="N39" s="19" t="n">
        <f aca="false">(M39/H39)*100</f>
        <v>22.2606689734717</v>
      </c>
      <c r="O39" s="71" t="n">
        <v>15</v>
      </c>
      <c r="P39" s="16" t="n">
        <v>0</v>
      </c>
      <c r="Q39" s="21" t="s">
        <v>49</v>
      </c>
      <c r="R39" s="87"/>
      <c r="S39" s="87"/>
      <c r="T39" s="89" t="n">
        <v>397.901</v>
      </c>
      <c r="AA39" s="87"/>
      <c r="AB39" s="87"/>
      <c r="AC39" s="16"/>
      <c r="AD39" s="87"/>
      <c r="AE39" s="87"/>
      <c r="AF39" s="102"/>
    </row>
    <row r="40" customFormat="false" ht="47.25" hidden="false" customHeight="false" outlineLevel="0" collapsed="false">
      <c r="A40" s="16" t="s">
        <v>42</v>
      </c>
      <c r="B40" s="16" t="s">
        <v>249</v>
      </c>
      <c r="C40" s="71" t="s">
        <v>347</v>
      </c>
      <c r="D40" s="72" t="s">
        <v>348</v>
      </c>
      <c r="E40" s="16" t="s">
        <v>349</v>
      </c>
      <c r="F40" s="16" t="n">
        <v>443.36</v>
      </c>
      <c r="G40" s="16" t="n">
        <v>247</v>
      </c>
      <c r="H40" s="16" t="n">
        <v>1523</v>
      </c>
      <c r="I40" s="16" t="n">
        <v>795</v>
      </c>
      <c r="J40" s="16" t="n">
        <v>728</v>
      </c>
      <c r="K40" s="16" t="n">
        <v>176</v>
      </c>
      <c r="L40" s="19" t="n">
        <f aca="false">(K40/H40)*100</f>
        <v>11.5561391989494</v>
      </c>
      <c r="M40" s="101" t="n">
        <v>0</v>
      </c>
      <c r="N40" s="19" t="n">
        <f aca="false">(M40/H40)*100</f>
        <v>0</v>
      </c>
      <c r="O40" s="103" t="n">
        <v>2.1</v>
      </c>
      <c r="P40" s="16" t="n">
        <v>0</v>
      </c>
      <c r="Q40" s="21" t="s">
        <v>49</v>
      </c>
      <c r="R40" s="34" t="n">
        <v>44836</v>
      </c>
      <c r="S40" s="34"/>
      <c r="T40" s="89" t="n">
        <v>111.7011</v>
      </c>
      <c r="U40" s="77"/>
      <c r="V40" s="77"/>
      <c r="W40" s="77"/>
      <c r="X40" s="77"/>
      <c r="Y40" s="77"/>
      <c r="Z40" s="77"/>
      <c r="AA40" s="21" t="s">
        <v>266</v>
      </c>
      <c r="AB40" s="21" t="n">
        <v>28</v>
      </c>
      <c r="AC40" s="90" t="s">
        <v>350</v>
      </c>
      <c r="AD40" s="21"/>
      <c r="AE40" s="21"/>
    </row>
    <row r="41" customFormat="false" ht="15.75" hidden="false" customHeight="false" outlineLevel="0" collapsed="false">
      <c r="A41" s="16" t="s">
        <v>42</v>
      </c>
      <c r="B41" s="16" t="s">
        <v>249</v>
      </c>
      <c r="C41" s="71" t="s">
        <v>347</v>
      </c>
      <c r="D41" s="16" t="s">
        <v>351</v>
      </c>
      <c r="E41" s="16" t="s">
        <v>352</v>
      </c>
      <c r="F41" s="16" t="n">
        <v>311.3</v>
      </c>
      <c r="G41" s="16" t="n">
        <v>122</v>
      </c>
      <c r="H41" s="16" t="n">
        <v>764</v>
      </c>
      <c r="I41" s="16" t="n">
        <v>410</v>
      </c>
      <c r="J41" s="16" t="n">
        <v>354</v>
      </c>
      <c r="K41" s="16" t="n">
        <v>0</v>
      </c>
      <c r="L41" s="19" t="n">
        <f aca="false">(K41/H41)*100</f>
        <v>0</v>
      </c>
      <c r="M41" s="16" t="n">
        <v>0</v>
      </c>
      <c r="N41" s="19" t="n">
        <f aca="false">(M41/H41)*100</f>
        <v>0</v>
      </c>
      <c r="O41" s="71" t="n">
        <v>1.2</v>
      </c>
      <c r="P41" s="16" t="n">
        <v>0</v>
      </c>
      <c r="Q41" s="21" t="s">
        <v>49</v>
      </c>
      <c r="R41" s="87"/>
      <c r="S41" s="87"/>
      <c r="T41" s="89" t="n">
        <v>61.8763</v>
      </c>
      <c r="U41" s="77"/>
      <c r="V41" s="77"/>
      <c r="W41" s="77"/>
      <c r="X41" s="77"/>
      <c r="Y41" s="77"/>
      <c r="Z41" s="77"/>
      <c r="AA41" s="87"/>
      <c r="AB41" s="87"/>
      <c r="AC41" s="16"/>
      <c r="AD41" s="87"/>
      <c r="AE41" s="87"/>
    </row>
    <row r="42" customFormat="false" ht="15.75" hidden="false" customHeight="false" outlineLevel="0" collapsed="false">
      <c r="A42" s="16" t="s">
        <v>42</v>
      </c>
      <c r="B42" s="16" t="s">
        <v>249</v>
      </c>
      <c r="C42" s="71" t="s">
        <v>347</v>
      </c>
      <c r="D42" s="16" t="s">
        <v>353</v>
      </c>
      <c r="E42" s="16" t="s">
        <v>354</v>
      </c>
      <c r="F42" s="16" t="n">
        <v>317.5</v>
      </c>
      <c r="G42" s="16" t="n">
        <v>141</v>
      </c>
      <c r="H42" s="16" t="n">
        <v>778</v>
      </c>
      <c r="I42" s="16" t="n">
        <v>427</v>
      </c>
      <c r="J42" s="16" t="n">
        <v>351</v>
      </c>
      <c r="K42" s="16" t="n">
        <v>97</v>
      </c>
      <c r="L42" s="19" t="n">
        <f aca="false">(K42/H42)*100</f>
        <v>12.4678663239075</v>
      </c>
      <c r="M42" s="16" t="n">
        <v>12</v>
      </c>
      <c r="N42" s="19" t="n">
        <f aca="false">(M42/H42)*100</f>
        <v>1.54241645244216</v>
      </c>
      <c r="O42" s="71" t="n">
        <v>0.36</v>
      </c>
      <c r="P42" s="16" t="n">
        <v>0</v>
      </c>
      <c r="Q42" s="21" t="s">
        <v>49</v>
      </c>
      <c r="R42" s="87"/>
      <c r="S42" s="87"/>
      <c r="T42" s="89" t="n">
        <v>11.1855</v>
      </c>
      <c r="U42" s="77"/>
      <c r="V42" s="77"/>
      <c r="W42" s="77"/>
      <c r="X42" s="77"/>
      <c r="Y42" s="77"/>
      <c r="Z42" s="77"/>
      <c r="AA42" s="87"/>
      <c r="AB42" s="87"/>
      <c r="AC42" s="16"/>
      <c r="AD42" s="87"/>
      <c r="AE42" s="87"/>
    </row>
    <row r="43" customFormat="false" ht="15.75" hidden="false" customHeight="false" outlineLevel="0" collapsed="false">
      <c r="A43" s="16" t="s">
        <v>42</v>
      </c>
      <c r="B43" s="16" t="s">
        <v>249</v>
      </c>
      <c r="C43" s="71" t="s">
        <v>347</v>
      </c>
      <c r="D43" s="16" t="s">
        <v>355</v>
      </c>
      <c r="E43" s="16" t="s">
        <v>356</v>
      </c>
      <c r="F43" s="16" t="n">
        <v>160.6</v>
      </c>
      <c r="G43" s="16" t="n">
        <v>53</v>
      </c>
      <c r="H43" s="16" t="n">
        <v>325</v>
      </c>
      <c r="I43" s="16" t="n">
        <v>174</v>
      </c>
      <c r="J43" s="16" t="n">
        <v>151</v>
      </c>
      <c r="K43" s="16" t="n">
        <v>0</v>
      </c>
      <c r="L43" s="19" t="n">
        <f aca="false">(K43/H43)*100</f>
        <v>0</v>
      </c>
      <c r="M43" s="16" t="n">
        <v>0</v>
      </c>
      <c r="N43" s="19" t="n">
        <f aca="false">(M43/H43)*100</f>
        <v>0</v>
      </c>
      <c r="O43" s="71" t="n">
        <v>59.82</v>
      </c>
      <c r="P43" s="16" t="n">
        <v>0</v>
      </c>
      <c r="Q43" s="21" t="s">
        <v>49</v>
      </c>
      <c r="R43" s="87"/>
      <c r="S43" s="87"/>
      <c r="T43" s="92" t="n">
        <v>6.6368</v>
      </c>
      <c r="U43" s="77"/>
      <c r="V43" s="77"/>
      <c r="W43" s="77"/>
      <c r="X43" s="77"/>
      <c r="Y43" s="77"/>
      <c r="Z43" s="77"/>
      <c r="AA43" s="87"/>
      <c r="AB43" s="87"/>
      <c r="AC43" s="16"/>
      <c r="AD43" s="87"/>
      <c r="AE43" s="87"/>
    </row>
    <row r="44" customFormat="false" ht="31.5" hidden="false" customHeight="false" outlineLevel="0" collapsed="false">
      <c r="A44" s="16" t="s">
        <v>42</v>
      </c>
      <c r="B44" s="16" t="s">
        <v>249</v>
      </c>
      <c r="C44" s="71" t="s">
        <v>357</v>
      </c>
      <c r="D44" s="72" t="s">
        <v>358</v>
      </c>
      <c r="E44" s="16" t="s">
        <v>359</v>
      </c>
      <c r="F44" s="16" t="n">
        <v>1377</v>
      </c>
      <c r="G44" s="16" t="n">
        <v>159</v>
      </c>
      <c r="H44" s="16" t="n">
        <v>948</v>
      </c>
      <c r="I44" s="16" t="n">
        <v>485</v>
      </c>
      <c r="J44" s="16" t="n">
        <v>463</v>
      </c>
      <c r="K44" s="16" t="n">
        <v>43</v>
      </c>
      <c r="L44" s="19" t="n">
        <f aca="false">(K44/H44)*100</f>
        <v>4.53586497890295</v>
      </c>
      <c r="M44" s="16" t="n">
        <v>0</v>
      </c>
      <c r="N44" s="19" t="n">
        <f aca="false">(M44/H44)*100</f>
        <v>0</v>
      </c>
      <c r="O44" s="71" t="n">
        <v>6</v>
      </c>
      <c r="P44" s="16" t="n">
        <v>0</v>
      </c>
      <c r="Q44" s="21" t="s">
        <v>49</v>
      </c>
      <c r="R44" s="34" t="n">
        <v>44806</v>
      </c>
      <c r="S44" s="34"/>
      <c r="T44" s="89"/>
      <c r="U44" s="77"/>
      <c r="V44" s="77"/>
      <c r="W44" s="77"/>
      <c r="X44" s="77"/>
      <c r="Y44" s="77"/>
      <c r="Z44" s="77"/>
      <c r="AA44" s="21" t="s">
        <v>266</v>
      </c>
      <c r="AB44" s="21" t="n">
        <v>24</v>
      </c>
      <c r="AC44" s="90" t="s">
        <v>360</v>
      </c>
      <c r="AD44" s="91" t="n">
        <v>72.61</v>
      </c>
      <c r="AE44" s="97" t="n">
        <v>26.51</v>
      </c>
    </row>
    <row r="45" customFormat="false" ht="31.5" hidden="false" customHeight="false" outlineLevel="0" collapsed="false">
      <c r="A45" s="16" t="s">
        <v>42</v>
      </c>
      <c r="B45" s="16" t="s">
        <v>249</v>
      </c>
      <c r="C45" s="71" t="s">
        <v>357</v>
      </c>
      <c r="D45" s="16" t="s">
        <v>361</v>
      </c>
      <c r="E45" s="16" t="s">
        <v>362</v>
      </c>
      <c r="F45" s="16" t="n">
        <v>655.06</v>
      </c>
      <c r="G45" s="16" t="n">
        <v>110</v>
      </c>
      <c r="H45" s="16" t="n">
        <v>655</v>
      </c>
      <c r="I45" s="16" t="n">
        <v>335</v>
      </c>
      <c r="J45" s="16" t="n">
        <v>320</v>
      </c>
      <c r="K45" s="16" t="n">
        <v>39</v>
      </c>
      <c r="L45" s="19" t="n">
        <f aca="false">(K45/H45)*100</f>
        <v>5.95419847328244</v>
      </c>
      <c r="M45" s="16" t="n">
        <v>106</v>
      </c>
      <c r="N45" s="19" t="n">
        <f aca="false">(M45/H45)*100</f>
        <v>16.1832061068702</v>
      </c>
      <c r="O45" s="71" t="n">
        <v>101</v>
      </c>
      <c r="P45" s="16" t="n">
        <v>0</v>
      </c>
      <c r="Q45" s="73" t="s">
        <v>50</v>
      </c>
      <c r="R45" s="34" t="n">
        <v>44806</v>
      </c>
      <c r="S45" s="34"/>
      <c r="T45" s="76" t="n">
        <v>39.04</v>
      </c>
      <c r="U45" s="77"/>
      <c r="V45" s="77"/>
      <c r="W45" s="77"/>
      <c r="X45" s="77"/>
      <c r="Y45" s="77"/>
      <c r="Z45" s="77"/>
      <c r="AA45" s="21" t="s">
        <v>266</v>
      </c>
      <c r="AB45" s="21" t="n">
        <v>2</v>
      </c>
      <c r="AC45" s="90" t="s">
        <v>363</v>
      </c>
      <c r="AD45" s="91" t="n">
        <v>72.61</v>
      </c>
      <c r="AE45" s="21" t="n">
        <v>26.51</v>
      </c>
    </row>
    <row r="46" customFormat="false" ht="31.5" hidden="false" customHeight="false" outlineLevel="0" collapsed="false">
      <c r="A46" s="16" t="s">
        <v>42</v>
      </c>
      <c r="B46" s="16" t="s">
        <v>249</v>
      </c>
      <c r="C46" s="71" t="s">
        <v>357</v>
      </c>
      <c r="D46" s="16" t="s">
        <v>364</v>
      </c>
      <c r="E46" s="16" t="s">
        <v>365</v>
      </c>
      <c r="F46" s="16" t="n">
        <v>556.15</v>
      </c>
      <c r="G46" s="16" t="n">
        <v>62</v>
      </c>
      <c r="H46" s="16" t="n">
        <v>334</v>
      </c>
      <c r="I46" s="16" t="n">
        <v>168</v>
      </c>
      <c r="J46" s="16" t="n">
        <v>166</v>
      </c>
      <c r="K46" s="16" t="n">
        <v>66</v>
      </c>
      <c r="L46" s="19" t="n">
        <f aca="false">(K46/H46)*100</f>
        <v>19.7604790419162</v>
      </c>
      <c r="M46" s="16" t="n">
        <v>25</v>
      </c>
      <c r="N46" s="19" t="n">
        <f aca="false">(M46/H46)*100</f>
        <v>7.48502994011976</v>
      </c>
      <c r="O46" s="71" t="n">
        <v>69.42</v>
      </c>
      <c r="P46" s="16" t="n">
        <v>0</v>
      </c>
      <c r="Q46" s="87"/>
      <c r="R46" s="34" t="n">
        <v>44836</v>
      </c>
      <c r="S46" s="34"/>
      <c r="T46" s="88"/>
      <c r="U46" s="77"/>
      <c r="V46" s="77"/>
      <c r="W46" s="77"/>
      <c r="X46" s="77"/>
      <c r="Y46" s="77"/>
      <c r="Z46" s="77"/>
      <c r="AA46" s="21" t="s">
        <v>266</v>
      </c>
      <c r="AB46" s="21" t="n">
        <v>20</v>
      </c>
      <c r="AC46" s="90" t="s">
        <v>366</v>
      </c>
      <c r="AD46" s="91" t="n">
        <v>72.61</v>
      </c>
      <c r="AE46" s="21" t="n">
        <v>26.55</v>
      </c>
    </row>
    <row r="47" customFormat="false" ht="15.75" hidden="false" customHeight="false" outlineLevel="0" collapsed="false">
      <c r="A47" s="16" t="s">
        <v>42</v>
      </c>
      <c r="B47" s="16" t="s">
        <v>249</v>
      </c>
      <c r="C47" s="71" t="s">
        <v>367</v>
      </c>
      <c r="D47" s="72" t="s">
        <v>368</v>
      </c>
      <c r="E47" s="16" t="s">
        <v>369</v>
      </c>
      <c r="F47" s="16" t="n">
        <v>725.26</v>
      </c>
      <c r="G47" s="16" t="n">
        <v>152</v>
      </c>
      <c r="H47" s="16" t="n">
        <v>1025</v>
      </c>
      <c r="I47" s="16" t="n">
        <v>532</v>
      </c>
      <c r="J47" s="16" t="n">
        <v>493</v>
      </c>
      <c r="K47" s="16" t="n">
        <v>78</v>
      </c>
      <c r="L47" s="19" t="n">
        <f aca="false">(K47/H47)*100</f>
        <v>7.60975609756098</v>
      </c>
      <c r="M47" s="16" t="n">
        <v>0</v>
      </c>
      <c r="N47" s="19" t="n">
        <f aca="false">(M47/H47)*100</f>
        <v>0</v>
      </c>
      <c r="O47" s="71" t="n">
        <v>15.15</v>
      </c>
      <c r="P47" s="16" t="n">
        <v>0</v>
      </c>
      <c r="Q47" s="87"/>
      <c r="R47" s="34" t="n">
        <v>44836</v>
      </c>
      <c r="S47" s="34"/>
      <c r="T47" s="88"/>
      <c r="U47" s="77"/>
      <c r="V47" s="77"/>
      <c r="W47" s="77"/>
      <c r="X47" s="77"/>
      <c r="Y47" s="77"/>
      <c r="Z47" s="77"/>
      <c r="AA47" s="21" t="s">
        <v>266</v>
      </c>
      <c r="AB47" s="21" t="n">
        <v>5</v>
      </c>
      <c r="AC47" s="90" t="s">
        <v>370</v>
      </c>
      <c r="AD47" s="21"/>
      <c r="AE47" s="21"/>
    </row>
    <row r="48" customFormat="false" ht="15.75" hidden="false" customHeight="false" outlineLevel="0" collapsed="false">
      <c r="A48" s="16" t="s">
        <v>42</v>
      </c>
      <c r="B48" s="16" t="s">
        <v>249</v>
      </c>
      <c r="C48" s="71" t="s">
        <v>367</v>
      </c>
      <c r="D48" s="16" t="s">
        <v>371</v>
      </c>
      <c r="E48" s="16" t="s">
        <v>372</v>
      </c>
      <c r="F48" s="16" t="n">
        <v>243</v>
      </c>
      <c r="G48" s="16" t="n">
        <v>47</v>
      </c>
      <c r="H48" s="16" t="n">
        <v>326</v>
      </c>
      <c r="I48" s="16" t="n">
        <v>163</v>
      </c>
      <c r="J48" s="16" t="n">
        <v>163</v>
      </c>
      <c r="K48" s="16" t="n">
        <v>0</v>
      </c>
      <c r="L48" s="19" t="n">
        <f aca="false">(K48/H48)*100</f>
        <v>0</v>
      </c>
      <c r="M48" s="16" t="n">
        <v>0</v>
      </c>
      <c r="N48" s="19" t="n">
        <f aca="false">(M48/H48)*100</f>
        <v>0</v>
      </c>
      <c r="O48" s="16" t="n">
        <v>0</v>
      </c>
      <c r="P48" s="16" t="n">
        <v>0</v>
      </c>
      <c r="Q48" s="73" t="s">
        <v>50</v>
      </c>
      <c r="R48" s="34" t="n">
        <v>44836</v>
      </c>
      <c r="S48" s="34"/>
      <c r="T48" s="105" t="n">
        <v>17.92</v>
      </c>
      <c r="U48" s="77"/>
      <c r="V48" s="77"/>
      <c r="W48" s="77"/>
      <c r="X48" s="77"/>
      <c r="Y48" s="77"/>
      <c r="Z48" s="77"/>
      <c r="AA48" s="21" t="n">
        <v>0</v>
      </c>
      <c r="AB48" s="21" t="n">
        <v>0</v>
      </c>
      <c r="AC48" s="36" t="n">
        <v>0</v>
      </c>
      <c r="AD48" s="21"/>
      <c r="AE48" s="21"/>
    </row>
    <row r="49" customFormat="false" ht="31.5" hidden="false" customHeight="false" outlineLevel="0" collapsed="false">
      <c r="A49" s="16" t="s">
        <v>42</v>
      </c>
      <c r="B49" s="16" t="s">
        <v>249</v>
      </c>
      <c r="C49" s="71" t="s">
        <v>367</v>
      </c>
      <c r="D49" s="16" t="s">
        <v>373</v>
      </c>
      <c r="E49" s="16" t="s">
        <v>374</v>
      </c>
      <c r="F49" s="16" t="n">
        <v>238</v>
      </c>
      <c r="G49" s="16" t="n">
        <v>109</v>
      </c>
      <c r="H49" s="16" t="n">
        <v>695</v>
      </c>
      <c r="I49" s="16" t="n">
        <v>363</v>
      </c>
      <c r="J49" s="16" t="n">
        <v>332</v>
      </c>
      <c r="K49" s="16" t="n">
        <v>35</v>
      </c>
      <c r="L49" s="19" t="n">
        <f aca="false">(K49/H49)*100</f>
        <v>5.03597122302158</v>
      </c>
      <c r="M49" s="16" t="n">
        <v>61</v>
      </c>
      <c r="N49" s="19" t="n">
        <f aca="false">(M49/H49)*100</f>
        <v>8.77697841726619</v>
      </c>
      <c r="O49" s="71" t="n">
        <v>7</v>
      </c>
      <c r="P49" s="16" t="n">
        <v>0</v>
      </c>
      <c r="Q49" s="21" t="s">
        <v>49</v>
      </c>
      <c r="R49" s="34" t="n">
        <v>44836</v>
      </c>
      <c r="S49" s="34"/>
      <c r="T49" s="89"/>
      <c r="U49" s="77"/>
      <c r="V49" s="77"/>
      <c r="W49" s="77"/>
      <c r="X49" s="77"/>
      <c r="Y49" s="77"/>
      <c r="Z49" s="77"/>
      <c r="AA49" s="26" t="s">
        <v>266</v>
      </c>
      <c r="AB49" s="26" t="n">
        <v>2</v>
      </c>
      <c r="AC49" s="96" t="s">
        <v>375</v>
      </c>
      <c r="AD49" s="26"/>
      <c r="AE49" s="26"/>
    </row>
    <row r="50" customFormat="false" ht="15.75" hidden="false" customHeight="false" outlineLevel="0" collapsed="false">
      <c r="A50" s="16" t="s">
        <v>42</v>
      </c>
      <c r="B50" s="16" t="s">
        <v>249</v>
      </c>
      <c r="C50" s="71" t="s">
        <v>367</v>
      </c>
      <c r="D50" s="16" t="s">
        <v>376</v>
      </c>
      <c r="E50" s="16" t="s">
        <v>377</v>
      </c>
      <c r="F50" s="16" t="n">
        <v>355.35</v>
      </c>
      <c r="G50" s="16" t="n">
        <v>48</v>
      </c>
      <c r="H50" s="16" t="n">
        <v>316</v>
      </c>
      <c r="I50" s="16" t="n">
        <v>170</v>
      </c>
      <c r="J50" s="16" t="n">
        <v>146</v>
      </c>
      <c r="K50" s="16" t="n">
        <v>62</v>
      </c>
      <c r="L50" s="19" t="n">
        <f aca="false">(K50/H50)*100</f>
        <v>19.620253164557</v>
      </c>
      <c r="M50" s="16" t="n">
        <v>0</v>
      </c>
      <c r="N50" s="19" t="n">
        <f aca="false">(M50/H50)*100</f>
        <v>0</v>
      </c>
      <c r="O50" s="16" t="n">
        <v>0</v>
      </c>
      <c r="P50" s="16" t="n">
        <v>0</v>
      </c>
      <c r="Q50" s="87"/>
      <c r="R50" s="34" t="n">
        <v>44836</v>
      </c>
      <c r="S50" s="34"/>
      <c r="T50" s="88"/>
      <c r="U50" s="77"/>
      <c r="V50" s="77"/>
      <c r="W50" s="77"/>
      <c r="X50" s="77"/>
      <c r="Y50" s="77"/>
      <c r="Z50" s="77"/>
      <c r="AA50" s="21" t="n">
        <v>0</v>
      </c>
      <c r="AB50" s="21" t="n">
        <v>0</v>
      </c>
      <c r="AC50" s="36" t="n">
        <v>0</v>
      </c>
      <c r="AD50" s="21"/>
      <c r="AE50" s="21"/>
    </row>
    <row r="51" customFormat="false" ht="15.75" hidden="false" customHeight="false" outlineLevel="0" collapsed="false">
      <c r="A51" s="16" t="s">
        <v>42</v>
      </c>
      <c r="B51" s="16" t="s">
        <v>249</v>
      </c>
      <c r="C51" s="71" t="s">
        <v>367</v>
      </c>
      <c r="D51" s="16" t="s">
        <v>378</v>
      </c>
      <c r="E51" s="16" t="s">
        <v>379</v>
      </c>
      <c r="F51" s="16" t="n">
        <v>585.87</v>
      </c>
      <c r="G51" s="16" t="n">
        <v>98</v>
      </c>
      <c r="H51" s="16" t="n">
        <v>586</v>
      </c>
      <c r="I51" s="16" t="n">
        <v>296</v>
      </c>
      <c r="J51" s="16" t="n">
        <v>290</v>
      </c>
      <c r="K51" s="16" t="n">
        <v>17</v>
      </c>
      <c r="L51" s="19" t="n">
        <f aca="false">(K51/H51)*100</f>
        <v>2.90102389078498</v>
      </c>
      <c r="M51" s="16" t="n">
        <v>0</v>
      </c>
      <c r="N51" s="19" t="n">
        <f aca="false">(M51/H51)*100</f>
        <v>0</v>
      </c>
      <c r="O51" s="16" t="n">
        <v>0</v>
      </c>
      <c r="P51" s="16" t="n">
        <v>0</v>
      </c>
      <c r="Q51" s="87"/>
      <c r="R51" s="34" t="n">
        <v>44836</v>
      </c>
      <c r="S51" s="34"/>
      <c r="T51" s="88"/>
      <c r="U51" s="77"/>
      <c r="V51" s="77"/>
      <c r="W51" s="77"/>
      <c r="X51" s="77"/>
      <c r="Y51" s="77"/>
      <c r="Z51" s="77"/>
      <c r="AA51" s="21" t="s">
        <v>266</v>
      </c>
      <c r="AB51" s="21"/>
      <c r="AC51" s="36" t="n">
        <v>0</v>
      </c>
      <c r="AD51" s="21"/>
      <c r="AE51" s="21"/>
    </row>
    <row r="52" customFormat="false" ht="15.75" hidden="false" customHeight="false" outlineLevel="0" collapsed="false">
      <c r="A52" s="16" t="s">
        <v>42</v>
      </c>
      <c r="B52" s="16" t="s">
        <v>249</v>
      </c>
      <c r="C52" s="71" t="s">
        <v>367</v>
      </c>
      <c r="D52" s="16" t="s">
        <v>348</v>
      </c>
      <c r="E52" s="16" t="s">
        <v>380</v>
      </c>
      <c r="F52" s="16" t="n">
        <v>174.97</v>
      </c>
      <c r="G52" s="16" t="n">
        <v>35</v>
      </c>
      <c r="H52" s="16" t="n">
        <v>275</v>
      </c>
      <c r="I52" s="16" t="n">
        <v>133</v>
      </c>
      <c r="J52" s="16" t="n">
        <v>142</v>
      </c>
      <c r="K52" s="16" t="n">
        <v>0</v>
      </c>
      <c r="L52" s="19" t="n">
        <f aca="false">(K52/H52)*100</f>
        <v>0</v>
      </c>
      <c r="M52" s="16" t="n">
        <v>0</v>
      </c>
      <c r="N52" s="19" t="n">
        <f aca="false">(M52/H52)*100</f>
        <v>0</v>
      </c>
      <c r="O52" s="71" t="n">
        <v>4.85</v>
      </c>
      <c r="P52" s="16" t="n">
        <v>0</v>
      </c>
      <c r="Q52" s="87"/>
      <c r="R52" s="34" t="n">
        <v>44836</v>
      </c>
      <c r="S52" s="34"/>
      <c r="T52" s="88"/>
      <c r="U52" s="77"/>
      <c r="V52" s="77"/>
      <c r="W52" s="77"/>
      <c r="X52" s="77"/>
      <c r="Y52" s="77"/>
      <c r="Z52" s="77"/>
      <c r="AA52" s="21" t="n">
        <v>0</v>
      </c>
      <c r="AB52" s="21" t="n">
        <v>0</v>
      </c>
      <c r="AC52" s="36" t="n">
        <v>0</v>
      </c>
      <c r="AD52" s="21"/>
      <c r="AE52" s="21"/>
    </row>
    <row r="53" customFormat="false" ht="47.25" hidden="false" customHeight="false" outlineLevel="0" collapsed="false">
      <c r="A53" s="16" t="s">
        <v>42</v>
      </c>
      <c r="B53" s="16" t="s">
        <v>249</v>
      </c>
      <c r="C53" s="71" t="s">
        <v>381</v>
      </c>
      <c r="D53" s="72" t="s">
        <v>382</v>
      </c>
      <c r="E53" s="16" t="s">
        <v>383</v>
      </c>
      <c r="F53" s="16" t="n">
        <v>725</v>
      </c>
      <c r="G53" s="16" t="n">
        <v>210</v>
      </c>
      <c r="H53" s="16" t="n">
        <v>1225</v>
      </c>
      <c r="I53" s="16" t="n">
        <v>643</v>
      </c>
      <c r="J53" s="16" t="n">
        <v>582</v>
      </c>
      <c r="K53" s="16" t="n">
        <v>111</v>
      </c>
      <c r="L53" s="19" t="n">
        <f aca="false">(K53/H53)*100</f>
        <v>9.06122448979592</v>
      </c>
      <c r="M53" s="16" t="n">
        <v>0</v>
      </c>
      <c r="N53" s="19" t="n">
        <f aca="false">(M53/H53)*100</f>
        <v>0</v>
      </c>
      <c r="O53" s="71" t="n">
        <v>15</v>
      </c>
      <c r="P53" s="16" t="n">
        <v>0</v>
      </c>
      <c r="Q53" s="87"/>
      <c r="R53" s="74" t="n">
        <v>44610</v>
      </c>
      <c r="S53" s="74"/>
      <c r="T53" s="88"/>
      <c r="U53" s="77"/>
      <c r="V53" s="77"/>
      <c r="W53" s="77"/>
      <c r="X53" s="77"/>
      <c r="Y53" s="77"/>
      <c r="Z53" s="77"/>
      <c r="AA53" s="78" t="s">
        <v>50</v>
      </c>
      <c r="AB53" s="79" t="n">
        <v>4</v>
      </c>
      <c r="AC53" s="94" t="s">
        <v>384</v>
      </c>
      <c r="AD53" s="81" t="n">
        <v>26.309326</v>
      </c>
      <c r="AE53" s="81" t="n">
        <v>72.56884</v>
      </c>
    </row>
    <row r="54" customFormat="false" ht="15.75" hidden="false" customHeight="false" outlineLevel="0" collapsed="false">
      <c r="A54" s="16" t="s">
        <v>42</v>
      </c>
      <c r="B54" s="16" t="s">
        <v>249</v>
      </c>
      <c r="C54" s="71" t="s">
        <v>381</v>
      </c>
      <c r="D54" s="16" t="s">
        <v>385</v>
      </c>
      <c r="E54" s="16" t="s">
        <v>386</v>
      </c>
      <c r="F54" s="16" t="n">
        <v>308</v>
      </c>
      <c r="G54" s="16" t="n">
        <v>204</v>
      </c>
      <c r="H54" s="16" t="n">
        <v>1067</v>
      </c>
      <c r="I54" s="16" t="n">
        <v>548</v>
      </c>
      <c r="J54" s="16" t="n">
        <v>519</v>
      </c>
      <c r="K54" s="16" t="n">
        <v>338</v>
      </c>
      <c r="L54" s="19" t="n">
        <f aca="false">(K54/H54)*100</f>
        <v>31.6776007497657</v>
      </c>
      <c r="M54" s="16" t="n">
        <v>0</v>
      </c>
      <c r="N54" s="19" t="n">
        <f aca="false">(M54/H54)*100</f>
        <v>0</v>
      </c>
      <c r="O54" s="71" t="n">
        <v>6</v>
      </c>
      <c r="P54" s="16" t="n">
        <v>0</v>
      </c>
      <c r="Q54" s="87"/>
      <c r="R54" s="87"/>
      <c r="S54" s="87"/>
      <c r="T54" s="88"/>
      <c r="U54" s="77"/>
      <c r="V54" s="77"/>
      <c r="W54" s="77"/>
      <c r="X54" s="77"/>
      <c r="Y54" s="77"/>
      <c r="Z54" s="77"/>
      <c r="AA54" s="87"/>
      <c r="AB54" s="87"/>
      <c r="AC54" s="16"/>
      <c r="AD54" s="87"/>
      <c r="AE54" s="87"/>
    </row>
    <row r="55" customFormat="false" ht="15.75" hidden="false" customHeight="false" outlineLevel="0" collapsed="false">
      <c r="A55" s="16" t="s">
        <v>42</v>
      </c>
      <c r="B55" s="16" t="s">
        <v>249</v>
      </c>
      <c r="C55" s="71" t="s">
        <v>381</v>
      </c>
      <c r="D55" s="16" t="s">
        <v>387</v>
      </c>
      <c r="E55" s="16" t="s">
        <v>388</v>
      </c>
      <c r="F55" s="16" t="n">
        <v>436.74</v>
      </c>
      <c r="G55" s="16" t="n">
        <v>50</v>
      </c>
      <c r="H55" s="16" t="n">
        <v>273</v>
      </c>
      <c r="I55" s="16" t="n">
        <v>140</v>
      </c>
      <c r="J55" s="16" t="n">
        <v>133</v>
      </c>
      <c r="K55" s="16" t="n">
        <v>48</v>
      </c>
      <c r="L55" s="19" t="n">
        <f aca="false">(K55/H55)*100</f>
        <v>17.5824175824176</v>
      </c>
      <c r="M55" s="16" t="n">
        <v>0</v>
      </c>
      <c r="N55" s="19" t="n">
        <f aca="false">(M55/H55)*100</f>
        <v>0</v>
      </c>
      <c r="O55" s="71" t="n">
        <v>42.22</v>
      </c>
      <c r="P55" s="16" t="n">
        <v>0</v>
      </c>
      <c r="Q55" s="21" t="s">
        <v>49</v>
      </c>
      <c r="R55" s="87"/>
      <c r="S55" s="87"/>
      <c r="T55" s="89"/>
      <c r="U55" s="77"/>
      <c r="V55" s="77"/>
      <c r="W55" s="77"/>
      <c r="X55" s="77"/>
      <c r="Y55" s="77"/>
      <c r="Z55" s="77"/>
      <c r="AA55" s="87"/>
      <c r="AB55" s="87"/>
      <c r="AC55" s="16"/>
      <c r="AD55" s="87"/>
      <c r="AE55" s="87"/>
    </row>
    <row r="56" customFormat="false" ht="15.75" hidden="false" customHeight="false" outlineLevel="0" collapsed="false">
      <c r="A56" s="16" t="s">
        <v>42</v>
      </c>
      <c r="B56" s="16" t="s">
        <v>249</v>
      </c>
      <c r="C56" s="71" t="s">
        <v>381</v>
      </c>
      <c r="D56" s="16" t="s">
        <v>389</v>
      </c>
      <c r="E56" s="16" t="s">
        <v>390</v>
      </c>
      <c r="F56" s="16" t="n">
        <v>375.4</v>
      </c>
      <c r="G56" s="16" t="n">
        <v>89</v>
      </c>
      <c r="H56" s="16" t="n">
        <v>526</v>
      </c>
      <c r="I56" s="16" t="n">
        <v>264</v>
      </c>
      <c r="J56" s="16" t="n">
        <v>262</v>
      </c>
      <c r="K56" s="16" t="n">
        <v>0</v>
      </c>
      <c r="L56" s="19" t="n">
        <f aca="false">(K56/H56)*100</f>
        <v>0</v>
      </c>
      <c r="M56" s="16" t="n">
        <v>166</v>
      </c>
      <c r="N56" s="19" t="n">
        <f aca="false">(M56/H56)*100</f>
        <v>31.5589353612167</v>
      </c>
      <c r="O56" s="16" t="n">
        <v>0</v>
      </c>
      <c r="P56" s="16" t="n">
        <v>0</v>
      </c>
      <c r="Q56" s="21" t="s">
        <v>49</v>
      </c>
      <c r="R56" s="87"/>
      <c r="S56" s="87"/>
      <c r="T56" s="89" t="n">
        <v>3.8041</v>
      </c>
      <c r="U56" s="77"/>
      <c r="V56" s="77"/>
      <c r="W56" s="77"/>
      <c r="X56" s="77"/>
      <c r="Y56" s="77"/>
      <c r="Z56" s="77"/>
      <c r="AA56" s="87"/>
      <c r="AB56" s="87"/>
      <c r="AC56" s="16"/>
      <c r="AD56" s="87"/>
      <c r="AE56" s="87"/>
    </row>
    <row r="57" customFormat="false" ht="18" hidden="false" customHeight="true" outlineLevel="0" collapsed="false">
      <c r="A57" s="16" t="s">
        <v>42</v>
      </c>
      <c r="B57" s="16" t="s">
        <v>249</v>
      </c>
      <c r="C57" s="71" t="s">
        <v>391</v>
      </c>
      <c r="D57" s="72" t="s">
        <v>391</v>
      </c>
      <c r="E57" s="16" t="s">
        <v>392</v>
      </c>
      <c r="F57" s="16" t="n">
        <v>1011.47</v>
      </c>
      <c r="G57" s="16" t="n">
        <v>242</v>
      </c>
      <c r="H57" s="16" t="n">
        <v>1512</v>
      </c>
      <c r="I57" s="16" t="n">
        <v>774</v>
      </c>
      <c r="J57" s="16" t="n">
        <v>738</v>
      </c>
      <c r="K57" s="16" t="n">
        <v>525</v>
      </c>
      <c r="L57" s="19" t="n">
        <f aca="false">(K57/H57)*100</f>
        <v>34.7222222222222</v>
      </c>
      <c r="M57" s="16" t="n">
        <v>36</v>
      </c>
      <c r="N57" s="19" t="n">
        <f aca="false">(M57/H57)*100</f>
        <v>2.38095238095238</v>
      </c>
      <c r="O57" s="71" t="n">
        <v>13.1</v>
      </c>
      <c r="P57" s="16" t="n">
        <v>0</v>
      </c>
      <c r="Q57" s="21" t="s">
        <v>49</v>
      </c>
      <c r="R57" s="82" t="n">
        <v>44029</v>
      </c>
      <c r="S57" s="82"/>
      <c r="T57" s="89"/>
      <c r="U57" s="77" t="s">
        <v>393</v>
      </c>
      <c r="V57" s="77"/>
      <c r="W57" s="77"/>
      <c r="X57" s="77"/>
      <c r="Y57" s="77"/>
      <c r="Z57" s="77"/>
      <c r="AA57" s="73" t="s">
        <v>50</v>
      </c>
      <c r="AB57" s="106" t="n">
        <v>8</v>
      </c>
      <c r="AC57" s="107" t="s">
        <v>394</v>
      </c>
      <c r="AD57" s="106" t="n">
        <v>26.322227</v>
      </c>
      <c r="AE57" s="106" t="n">
        <v>72.522228</v>
      </c>
    </row>
    <row r="58" customFormat="false" ht="15.75" hidden="false" customHeight="false" outlineLevel="0" collapsed="false">
      <c r="A58" s="16" t="s">
        <v>42</v>
      </c>
      <c r="B58" s="16" t="s">
        <v>249</v>
      </c>
      <c r="C58" s="71" t="s">
        <v>391</v>
      </c>
      <c r="D58" s="16" t="s">
        <v>395</v>
      </c>
      <c r="E58" s="16" t="s">
        <v>396</v>
      </c>
      <c r="F58" s="16" t="n">
        <v>677.92</v>
      </c>
      <c r="G58" s="16" t="n">
        <v>144</v>
      </c>
      <c r="H58" s="16" t="n">
        <v>837</v>
      </c>
      <c r="I58" s="16" t="n">
        <v>419</v>
      </c>
      <c r="J58" s="16" t="n">
        <v>418</v>
      </c>
      <c r="K58" s="16" t="n">
        <v>26</v>
      </c>
      <c r="L58" s="19" t="n">
        <f aca="false">(K58/H58)*100</f>
        <v>3.1063321385902</v>
      </c>
      <c r="M58" s="16" t="n">
        <v>0</v>
      </c>
      <c r="N58" s="19" t="n">
        <f aca="false">(M58/H58)*100</f>
        <v>0</v>
      </c>
      <c r="O58" s="16" t="n">
        <v>0</v>
      </c>
      <c r="P58" s="16" t="n">
        <v>0</v>
      </c>
      <c r="Q58" s="21" t="s">
        <v>49</v>
      </c>
      <c r="R58" s="34" t="n">
        <v>44836</v>
      </c>
      <c r="S58" s="34"/>
      <c r="T58" s="89"/>
      <c r="U58" s="77" t="s">
        <v>393</v>
      </c>
      <c r="V58" s="77"/>
      <c r="W58" s="77"/>
      <c r="X58" s="77"/>
      <c r="Y58" s="77"/>
      <c r="Z58" s="77"/>
      <c r="AA58" s="21" t="s">
        <v>266</v>
      </c>
      <c r="AB58" s="21" t="n">
        <v>10</v>
      </c>
      <c r="AC58" s="36" t="s">
        <v>276</v>
      </c>
      <c r="AD58" s="21" t="n">
        <v>26.309669</v>
      </c>
      <c r="AE58" s="21" t="n">
        <v>72.523141</v>
      </c>
    </row>
    <row r="59" customFormat="false" ht="15.75" hidden="false" customHeight="false" outlineLevel="0" collapsed="false">
      <c r="A59" s="16" t="s">
        <v>42</v>
      </c>
      <c r="B59" s="16" t="s">
        <v>249</v>
      </c>
      <c r="C59" s="71" t="s">
        <v>391</v>
      </c>
      <c r="D59" s="16" t="s">
        <v>397</v>
      </c>
      <c r="E59" s="16" t="s">
        <v>398</v>
      </c>
      <c r="F59" s="16" t="n">
        <v>993.39</v>
      </c>
      <c r="G59" s="16" t="n">
        <v>178</v>
      </c>
      <c r="H59" s="16" t="n">
        <v>1137</v>
      </c>
      <c r="I59" s="16" t="n">
        <v>605</v>
      </c>
      <c r="J59" s="16" t="n">
        <v>532</v>
      </c>
      <c r="K59" s="16" t="n">
        <v>71</v>
      </c>
      <c r="L59" s="19" t="n">
        <f aca="false">(K59/H59)*100</f>
        <v>6.24450307827617</v>
      </c>
      <c r="M59" s="16" t="n">
        <v>174</v>
      </c>
      <c r="N59" s="19" t="n">
        <f aca="false">(M59/H59)*100</f>
        <v>15.3034300791557</v>
      </c>
      <c r="O59" s="71" t="n">
        <v>23.4</v>
      </c>
      <c r="P59" s="16" t="n">
        <v>0</v>
      </c>
      <c r="Q59" s="87"/>
      <c r="R59" s="34" t="n">
        <v>44836</v>
      </c>
      <c r="S59" s="34"/>
      <c r="T59" s="88"/>
      <c r="U59" s="77" t="s">
        <v>393</v>
      </c>
      <c r="V59" s="77"/>
      <c r="W59" s="77"/>
      <c r="X59" s="77"/>
      <c r="Y59" s="77"/>
      <c r="Z59" s="77"/>
      <c r="AA59" s="21" t="s">
        <v>266</v>
      </c>
      <c r="AB59" s="21" t="n">
        <v>18</v>
      </c>
      <c r="AC59" s="36" t="s">
        <v>276</v>
      </c>
      <c r="AD59" s="21" t="n">
        <v>26.31052</v>
      </c>
      <c r="AE59" s="21" t="n">
        <v>72.52203</v>
      </c>
    </row>
    <row r="60" customFormat="false" ht="15.75" hidden="false" customHeight="false" outlineLevel="0" collapsed="false">
      <c r="A60" s="16" t="s">
        <v>42</v>
      </c>
      <c r="B60" s="16" t="s">
        <v>249</v>
      </c>
      <c r="C60" s="71" t="s">
        <v>399</v>
      </c>
      <c r="D60" s="72" t="s">
        <v>400</v>
      </c>
      <c r="E60" s="16" t="s">
        <v>401</v>
      </c>
      <c r="F60" s="16" t="n">
        <v>1951.55</v>
      </c>
      <c r="G60" s="16" t="n">
        <v>171</v>
      </c>
      <c r="H60" s="16" t="n">
        <v>964</v>
      </c>
      <c r="I60" s="16" t="n">
        <v>497</v>
      </c>
      <c r="J60" s="16" t="n">
        <v>467</v>
      </c>
      <c r="K60" s="16" t="n">
        <v>301</v>
      </c>
      <c r="L60" s="19" t="n">
        <f aca="false">(K60/H60)*100</f>
        <v>31.2240663900415</v>
      </c>
      <c r="M60" s="16" t="n">
        <v>38</v>
      </c>
      <c r="N60" s="19" t="n">
        <f aca="false">(M60/H60)*100</f>
        <v>3.94190871369295</v>
      </c>
      <c r="O60" s="71" t="n">
        <v>324</v>
      </c>
      <c r="P60" s="16" t="n">
        <v>0</v>
      </c>
      <c r="Q60" s="87"/>
      <c r="R60" s="87"/>
      <c r="S60" s="87"/>
      <c r="T60" s="88"/>
      <c r="U60" s="77"/>
      <c r="V60" s="77"/>
      <c r="W60" s="77"/>
      <c r="X60" s="77"/>
      <c r="Y60" s="77"/>
      <c r="Z60" s="77"/>
      <c r="AA60" s="87"/>
      <c r="AB60" s="87"/>
      <c r="AC60" s="16"/>
      <c r="AD60" s="87"/>
      <c r="AE60" s="87"/>
    </row>
    <row r="61" customFormat="false" ht="15.75" hidden="false" customHeight="false" outlineLevel="0" collapsed="false">
      <c r="A61" s="16" t="s">
        <v>42</v>
      </c>
      <c r="B61" s="16" t="s">
        <v>249</v>
      </c>
      <c r="C61" s="71" t="s">
        <v>399</v>
      </c>
      <c r="D61" s="16" t="s">
        <v>402</v>
      </c>
      <c r="E61" s="16" t="s">
        <v>403</v>
      </c>
      <c r="F61" s="16" t="n">
        <v>1584</v>
      </c>
      <c r="G61" s="16" t="n">
        <v>279</v>
      </c>
      <c r="H61" s="16" t="n">
        <v>1906</v>
      </c>
      <c r="I61" s="16" t="n">
        <v>979</v>
      </c>
      <c r="J61" s="16" t="n">
        <v>927</v>
      </c>
      <c r="K61" s="16" t="n">
        <v>51</v>
      </c>
      <c r="L61" s="19" t="n">
        <f aca="false">(K61/H61)*100</f>
        <v>2.67576075550892</v>
      </c>
      <c r="M61" s="16" t="n">
        <v>29</v>
      </c>
      <c r="N61" s="19" t="n">
        <f aca="false">(M61/H61)*100</f>
        <v>1.52151101783841</v>
      </c>
      <c r="O61" s="71" t="n">
        <v>67</v>
      </c>
      <c r="P61" s="16" t="n">
        <v>0</v>
      </c>
      <c r="Q61" s="87"/>
      <c r="R61" s="87"/>
      <c r="S61" s="87"/>
      <c r="T61" s="88"/>
      <c r="U61" s="77"/>
      <c r="V61" s="77"/>
      <c r="W61" s="77"/>
      <c r="X61" s="77"/>
      <c r="Y61" s="77"/>
      <c r="Z61" s="77"/>
      <c r="AA61" s="87"/>
      <c r="AB61" s="87"/>
      <c r="AC61" s="16"/>
      <c r="AD61" s="87"/>
      <c r="AE61" s="87"/>
    </row>
    <row r="62" customFormat="false" ht="15.75" hidden="false" customHeight="false" outlineLevel="0" collapsed="false">
      <c r="A62" s="16" t="s">
        <v>42</v>
      </c>
      <c r="B62" s="16" t="s">
        <v>249</v>
      </c>
      <c r="C62" s="71" t="s">
        <v>399</v>
      </c>
      <c r="D62" s="16" t="s">
        <v>129</v>
      </c>
      <c r="E62" s="16" t="s">
        <v>404</v>
      </c>
      <c r="F62" s="16" t="n">
        <v>987</v>
      </c>
      <c r="G62" s="16" t="n">
        <v>150</v>
      </c>
      <c r="H62" s="16" t="n">
        <v>800</v>
      </c>
      <c r="I62" s="16" t="n">
        <v>400</v>
      </c>
      <c r="J62" s="16" t="n">
        <v>400</v>
      </c>
      <c r="K62" s="16" t="n">
        <v>0</v>
      </c>
      <c r="L62" s="19" t="n">
        <f aca="false">(K62/H62)*100</f>
        <v>0</v>
      </c>
      <c r="M62" s="16" t="n">
        <v>0</v>
      </c>
      <c r="N62" s="19" t="n">
        <f aca="false">(M62/H62)*100</f>
        <v>0</v>
      </c>
      <c r="O62" s="71" t="n">
        <v>28</v>
      </c>
      <c r="P62" s="16" t="n">
        <v>0</v>
      </c>
      <c r="Q62" s="87"/>
      <c r="R62" s="87"/>
      <c r="S62" s="87"/>
      <c r="T62" s="88"/>
      <c r="U62" s="77"/>
      <c r="V62" s="77"/>
      <c r="W62" s="77"/>
      <c r="X62" s="77"/>
      <c r="Y62" s="77"/>
      <c r="Z62" s="77"/>
      <c r="AA62" s="87"/>
      <c r="AB62" s="87"/>
      <c r="AC62" s="16"/>
      <c r="AD62" s="87"/>
      <c r="AE62" s="87"/>
    </row>
    <row r="63" customFormat="false" ht="15.75" hidden="false" customHeight="false" outlineLevel="0" collapsed="false">
      <c r="A63" s="16" t="s">
        <v>42</v>
      </c>
      <c r="B63" s="16" t="s">
        <v>249</v>
      </c>
      <c r="C63" s="71" t="s">
        <v>399</v>
      </c>
      <c r="D63" s="16" t="s">
        <v>405</v>
      </c>
      <c r="E63" s="16" t="s">
        <v>406</v>
      </c>
      <c r="F63" s="16" t="n">
        <v>588</v>
      </c>
      <c r="G63" s="16" t="n">
        <v>84</v>
      </c>
      <c r="H63" s="16" t="n">
        <v>462</v>
      </c>
      <c r="I63" s="16" t="n">
        <v>243</v>
      </c>
      <c r="J63" s="16" t="n">
        <v>219</v>
      </c>
      <c r="K63" s="16" t="n">
        <v>0</v>
      </c>
      <c r="L63" s="19" t="n">
        <f aca="false">(K63/H63)*100</f>
        <v>0</v>
      </c>
      <c r="M63" s="16" t="n">
        <v>0</v>
      </c>
      <c r="N63" s="19" t="n">
        <f aca="false">(M63/H63)*100</f>
        <v>0</v>
      </c>
      <c r="O63" s="71" t="n">
        <v>45</v>
      </c>
      <c r="P63" s="16" t="n">
        <v>0</v>
      </c>
      <c r="Q63" s="87"/>
      <c r="R63" s="87"/>
      <c r="S63" s="87"/>
      <c r="T63" s="88"/>
      <c r="U63" s="77"/>
      <c r="V63" s="77"/>
      <c r="W63" s="77"/>
      <c r="X63" s="77"/>
      <c r="Y63" s="77"/>
      <c r="Z63" s="77"/>
      <c r="AA63" s="87"/>
      <c r="AB63" s="87"/>
      <c r="AC63" s="16"/>
      <c r="AD63" s="87"/>
      <c r="AE63" s="87"/>
    </row>
    <row r="64" customFormat="false" ht="15.75" hidden="false" customHeight="false" outlineLevel="0" collapsed="false">
      <c r="A64" s="16" t="s">
        <v>42</v>
      </c>
      <c r="B64" s="16" t="s">
        <v>249</v>
      </c>
      <c r="C64" s="71" t="s">
        <v>399</v>
      </c>
      <c r="D64" s="16" t="s">
        <v>407</v>
      </c>
      <c r="E64" s="16" t="s">
        <v>408</v>
      </c>
      <c r="F64" s="16" t="n">
        <v>476.45</v>
      </c>
      <c r="G64" s="16" t="n">
        <v>63</v>
      </c>
      <c r="H64" s="16" t="n">
        <v>419</v>
      </c>
      <c r="I64" s="16" t="n">
        <v>222</v>
      </c>
      <c r="J64" s="16" t="n">
        <v>197</v>
      </c>
      <c r="K64" s="16" t="n">
        <v>0</v>
      </c>
      <c r="L64" s="19" t="n">
        <f aca="false">(K64/H64)*100</f>
        <v>0</v>
      </c>
      <c r="M64" s="16" t="n">
        <v>0</v>
      </c>
      <c r="N64" s="19" t="n">
        <f aca="false">(M64/H64)*100</f>
        <v>0</v>
      </c>
      <c r="O64" s="71" t="n">
        <v>103</v>
      </c>
      <c r="P64" s="16" t="n">
        <v>0</v>
      </c>
      <c r="Q64" s="87"/>
      <c r="R64" s="87"/>
      <c r="S64" s="87"/>
      <c r="T64" s="88"/>
      <c r="U64" s="77"/>
      <c r="V64" s="77"/>
      <c r="W64" s="77"/>
      <c r="X64" s="77"/>
      <c r="Y64" s="77"/>
      <c r="Z64" s="77"/>
      <c r="AA64" s="87"/>
      <c r="AB64" s="87"/>
      <c r="AC64" s="16"/>
      <c r="AD64" s="87"/>
      <c r="AE64" s="87"/>
    </row>
    <row r="65" customFormat="false" ht="15.75" hidden="false" customHeight="false" outlineLevel="0" collapsed="false">
      <c r="A65" s="16" t="s">
        <v>42</v>
      </c>
      <c r="B65" s="16" t="s">
        <v>249</v>
      </c>
      <c r="C65" s="71" t="s">
        <v>409</v>
      </c>
      <c r="D65" s="72" t="s">
        <v>409</v>
      </c>
      <c r="E65" s="16" t="s">
        <v>410</v>
      </c>
      <c r="F65" s="16" t="n">
        <v>2051.27</v>
      </c>
      <c r="G65" s="16" t="n">
        <v>260</v>
      </c>
      <c r="H65" s="16" t="n">
        <v>1620</v>
      </c>
      <c r="I65" s="16" t="n">
        <v>842</v>
      </c>
      <c r="J65" s="16" t="n">
        <v>778</v>
      </c>
      <c r="K65" s="16" t="n">
        <v>0</v>
      </c>
      <c r="L65" s="19" t="n">
        <f aca="false">(K65/H65)*100</f>
        <v>0</v>
      </c>
      <c r="M65" s="16" t="n">
        <v>0</v>
      </c>
      <c r="N65" s="19" t="n">
        <f aca="false">(M65/H65)*100</f>
        <v>0</v>
      </c>
      <c r="O65" s="16" t="n">
        <v>0</v>
      </c>
      <c r="P65" s="16" t="n">
        <v>0</v>
      </c>
      <c r="Q65" s="87"/>
      <c r="R65" s="34" t="n">
        <v>44836</v>
      </c>
      <c r="S65" s="34"/>
      <c r="T65" s="88"/>
      <c r="U65" s="77"/>
      <c r="V65" s="77"/>
      <c r="W65" s="77"/>
      <c r="X65" s="77"/>
      <c r="Y65" s="77"/>
      <c r="Z65" s="77"/>
      <c r="AA65" s="21" t="s">
        <v>266</v>
      </c>
      <c r="AB65" s="21" t="n">
        <v>15</v>
      </c>
      <c r="AC65" s="90" t="s">
        <v>411</v>
      </c>
      <c r="AD65" s="21"/>
      <c r="AE65" s="21"/>
    </row>
    <row r="66" customFormat="false" ht="15.75" hidden="false" customHeight="false" outlineLevel="0" collapsed="false">
      <c r="A66" s="16" t="s">
        <v>42</v>
      </c>
      <c r="B66" s="16" t="s">
        <v>249</v>
      </c>
      <c r="C66" s="71" t="s">
        <v>409</v>
      </c>
      <c r="D66" s="16" t="s">
        <v>412</v>
      </c>
      <c r="E66" s="16" t="s">
        <v>413</v>
      </c>
      <c r="F66" s="16" t="n">
        <v>1772</v>
      </c>
      <c r="G66" s="16" t="n">
        <v>156</v>
      </c>
      <c r="H66" s="16" t="n">
        <v>1218</v>
      </c>
      <c r="I66" s="16" t="n">
        <v>618</v>
      </c>
      <c r="J66" s="16" t="n">
        <v>600</v>
      </c>
      <c r="K66" s="16" t="n">
        <v>285</v>
      </c>
      <c r="L66" s="19" t="n">
        <f aca="false">(K66/H66)*100</f>
        <v>23.3990147783251</v>
      </c>
      <c r="M66" s="16" t="n">
        <v>0</v>
      </c>
      <c r="N66" s="19" t="n">
        <f aca="false">(M66/H66)*100</f>
        <v>0</v>
      </c>
      <c r="O66" s="71" t="n">
        <v>75</v>
      </c>
      <c r="P66" s="16" t="n">
        <v>0</v>
      </c>
      <c r="Q66" s="87"/>
      <c r="R66" s="34" t="n">
        <v>44836</v>
      </c>
      <c r="S66" s="34"/>
      <c r="T66" s="88"/>
      <c r="U66" s="77"/>
      <c r="V66" s="77"/>
      <c r="W66" s="77"/>
      <c r="X66" s="77"/>
      <c r="Y66" s="77"/>
      <c r="Z66" s="77"/>
      <c r="AA66" s="21" t="s">
        <v>266</v>
      </c>
      <c r="AB66" s="21" t="n">
        <v>12</v>
      </c>
      <c r="AC66" s="90" t="s">
        <v>414</v>
      </c>
      <c r="AD66" s="21"/>
      <c r="AE66" s="21"/>
    </row>
    <row r="67" customFormat="false" ht="31.5" hidden="false" customHeight="false" outlineLevel="0" collapsed="false">
      <c r="A67" s="16" t="s">
        <v>42</v>
      </c>
      <c r="B67" s="16" t="s">
        <v>249</v>
      </c>
      <c r="C67" s="71" t="s">
        <v>415</v>
      </c>
      <c r="D67" s="72" t="s">
        <v>416</v>
      </c>
      <c r="E67" s="16" t="s">
        <v>417</v>
      </c>
      <c r="F67" s="16" t="n">
        <v>407.95</v>
      </c>
      <c r="G67" s="16" t="n">
        <v>159</v>
      </c>
      <c r="H67" s="16" t="n">
        <v>966</v>
      </c>
      <c r="I67" s="16" t="n">
        <v>481</v>
      </c>
      <c r="J67" s="16" t="n">
        <v>485</v>
      </c>
      <c r="K67" s="16" t="n">
        <v>156</v>
      </c>
      <c r="L67" s="19" t="n">
        <f aca="false">(K67/H67)*100</f>
        <v>16.1490683229814</v>
      </c>
      <c r="M67" s="16" t="n">
        <v>0</v>
      </c>
      <c r="N67" s="19" t="n">
        <f aca="false">(M67/H67)*100</f>
        <v>0</v>
      </c>
      <c r="O67" s="71" t="n">
        <v>1</v>
      </c>
      <c r="P67" s="16" t="n">
        <v>0</v>
      </c>
      <c r="Q67" s="21" t="s">
        <v>49</v>
      </c>
      <c r="R67" s="21"/>
      <c r="S67" s="21"/>
      <c r="T67" s="89" t="n">
        <v>13.7799</v>
      </c>
      <c r="U67" s="77"/>
      <c r="V67" s="77"/>
      <c r="W67" s="77"/>
      <c r="X67" s="77"/>
      <c r="Y67" s="77"/>
      <c r="Z67" s="77"/>
      <c r="AA67" s="21" t="s">
        <v>266</v>
      </c>
      <c r="AB67" s="21" t="n">
        <v>15</v>
      </c>
      <c r="AC67" s="90" t="s">
        <v>418</v>
      </c>
      <c r="AD67" s="21"/>
      <c r="AE67" s="21"/>
    </row>
    <row r="68" customFormat="false" ht="31.5" hidden="false" customHeight="false" outlineLevel="0" collapsed="false">
      <c r="A68" s="16" t="s">
        <v>42</v>
      </c>
      <c r="B68" s="16" t="s">
        <v>249</v>
      </c>
      <c r="C68" s="71" t="s">
        <v>415</v>
      </c>
      <c r="D68" s="16" t="s">
        <v>419</v>
      </c>
      <c r="E68" s="16" t="s">
        <v>420</v>
      </c>
      <c r="F68" s="16" t="n">
        <v>146.1</v>
      </c>
      <c r="G68" s="16" t="n">
        <v>111</v>
      </c>
      <c r="H68" s="16" t="n">
        <v>534</v>
      </c>
      <c r="I68" s="16" t="n">
        <v>263</v>
      </c>
      <c r="J68" s="16" t="n">
        <v>271</v>
      </c>
      <c r="K68" s="16" t="n">
        <v>16</v>
      </c>
      <c r="L68" s="19" t="n">
        <f aca="false">(K68/H68)*100</f>
        <v>2.99625468164794</v>
      </c>
      <c r="M68" s="16" t="n">
        <v>14</v>
      </c>
      <c r="N68" s="19" t="n">
        <f aca="false">(M68/H68)*100</f>
        <v>2.62172284644195</v>
      </c>
      <c r="O68" s="71" t="n">
        <v>2</v>
      </c>
      <c r="P68" s="16" t="n">
        <v>0</v>
      </c>
      <c r="Q68" s="21" t="s">
        <v>49</v>
      </c>
      <c r="R68" s="34" t="n">
        <v>44836</v>
      </c>
      <c r="S68" s="34"/>
      <c r="T68" s="89" t="n">
        <v>56.1437</v>
      </c>
      <c r="U68" s="77"/>
      <c r="V68" s="77"/>
      <c r="W68" s="77"/>
      <c r="X68" s="77"/>
      <c r="Y68" s="77"/>
      <c r="Z68" s="77"/>
      <c r="AA68" s="21" t="s">
        <v>266</v>
      </c>
      <c r="AB68" s="21" t="n">
        <v>20</v>
      </c>
      <c r="AC68" s="90" t="s">
        <v>421</v>
      </c>
      <c r="AD68" s="21"/>
      <c r="AE68" s="21"/>
    </row>
    <row r="69" customFormat="false" ht="31.5" hidden="false" customHeight="false" outlineLevel="0" collapsed="false">
      <c r="A69" s="16" t="s">
        <v>42</v>
      </c>
      <c r="B69" s="16" t="s">
        <v>249</v>
      </c>
      <c r="C69" s="71" t="s">
        <v>415</v>
      </c>
      <c r="D69" s="16" t="s">
        <v>422</v>
      </c>
      <c r="E69" s="16" t="s">
        <v>423</v>
      </c>
      <c r="F69" s="16" t="n">
        <v>308.95</v>
      </c>
      <c r="G69" s="16" t="n">
        <v>123</v>
      </c>
      <c r="H69" s="16" t="n">
        <v>723</v>
      </c>
      <c r="I69" s="16" t="n">
        <v>376</v>
      </c>
      <c r="J69" s="16" t="n">
        <v>347</v>
      </c>
      <c r="K69" s="16" t="n">
        <v>95</v>
      </c>
      <c r="L69" s="19" t="n">
        <f aca="false">(K69/H69)*100</f>
        <v>13.1396957123098</v>
      </c>
      <c r="M69" s="16" t="n">
        <v>8</v>
      </c>
      <c r="N69" s="19" t="n">
        <f aca="false">(M69/H69)*100</f>
        <v>1.10650069156293</v>
      </c>
      <c r="O69" s="71" t="n">
        <v>2</v>
      </c>
      <c r="P69" s="16" t="n">
        <v>0</v>
      </c>
      <c r="Q69" s="21" t="s">
        <v>49</v>
      </c>
      <c r="R69" s="34" t="n">
        <v>44836</v>
      </c>
      <c r="S69" s="34"/>
      <c r="T69" s="89" t="n">
        <v>49.6881</v>
      </c>
      <c r="U69" s="77"/>
      <c r="V69" s="77"/>
      <c r="W69" s="77"/>
      <c r="X69" s="77"/>
      <c r="Y69" s="77"/>
      <c r="Z69" s="77"/>
      <c r="AA69" s="21" t="s">
        <v>266</v>
      </c>
      <c r="AB69" s="21" t="n">
        <v>23</v>
      </c>
      <c r="AC69" s="90" t="s">
        <v>424</v>
      </c>
      <c r="AD69" s="21"/>
      <c r="AE69" s="21"/>
    </row>
    <row r="70" customFormat="false" ht="15.75" hidden="false" customHeight="false" outlineLevel="0" collapsed="false">
      <c r="A70" s="16" t="s">
        <v>42</v>
      </c>
      <c r="B70" s="16" t="s">
        <v>249</v>
      </c>
      <c r="C70" s="71" t="s">
        <v>425</v>
      </c>
      <c r="D70" s="72" t="s">
        <v>426</v>
      </c>
      <c r="E70" s="16" t="s">
        <v>427</v>
      </c>
      <c r="F70" s="16" t="n">
        <v>202.19</v>
      </c>
      <c r="G70" s="16" t="n">
        <v>22</v>
      </c>
      <c r="H70" s="16" t="n">
        <v>109</v>
      </c>
      <c r="I70" s="16" t="n">
        <v>60</v>
      </c>
      <c r="J70" s="16" t="n">
        <v>49</v>
      </c>
      <c r="K70" s="16" t="n">
        <v>20</v>
      </c>
      <c r="L70" s="19" t="n">
        <f aca="false">(K70/H70)*100</f>
        <v>18.348623853211</v>
      </c>
      <c r="M70" s="16" t="n">
        <v>0</v>
      </c>
      <c r="N70" s="19" t="n">
        <f aca="false">(M70/H70)*100</f>
        <v>0</v>
      </c>
      <c r="O70" s="16" t="n">
        <v>0</v>
      </c>
      <c r="P70" s="16" t="n">
        <v>0</v>
      </c>
      <c r="Q70" s="21" t="s">
        <v>49</v>
      </c>
      <c r="R70" s="87"/>
      <c r="S70" s="87"/>
      <c r="T70" s="89" t="n">
        <v>11.6306</v>
      </c>
      <c r="U70" s="77"/>
      <c r="V70" s="77"/>
      <c r="W70" s="77"/>
      <c r="X70" s="77"/>
      <c r="Y70" s="77"/>
      <c r="Z70" s="77"/>
      <c r="AA70" s="87"/>
      <c r="AB70" s="87"/>
      <c r="AC70" s="16"/>
      <c r="AD70" s="87"/>
      <c r="AE70" s="87"/>
    </row>
    <row r="71" customFormat="false" ht="15.75" hidden="false" customHeight="false" outlineLevel="0" collapsed="false">
      <c r="A71" s="16" t="s">
        <v>42</v>
      </c>
      <c r="B71" s="16" t="s">
        <v>249</v>
      </c>
      <c r="C71" s="71" t="s">
        <v>425</v>
      </c>
      <c r="D71" s="16" t="s">
        <v>428</v>
      </c>
      <c r="E71" s="16" t="s">
        <v>429</v>
      </c>
      <c r="F71" s="16" t="n">
        <v>739.88</v>
      </c>
      <c r="G71" s="16" t="n">
        <v>142</v>
      </c>
      <c r="H71" s="16" t="n">
        <v>799</v>
      </c>
      <c r="I71" s="16" t="n">
        <v>436</v>
      </c>
      <c r="J71" s="16" t="n">
        <v>363</v>
      </c>
      <c r="K71" s="16" t="n">
        <v>29</v>
      </c>
      <c r="L71" s="19" t="n">
        <f aca="false">(K71/H71)*100</f>
        <v>3.62953692115144</v>
      </c>
      <c r="M71" s="16" t="n">
        <v>66</v>
      </c>
      <c r="N71" s="19" t="n">
        <f aca="false">(M71/H71)*100</f>
        <v>8.26032540675845</v>
      </c>
      <c r="O71" s="71" t="n">
        <v>20.68</v>
      </c>
      <c r="P71" s="16" t="n">
        <v>0</v>
      </c>
      <c r="Q71" s="21" t="s">
        <v>49</v>
      </c>
      <c r="R71" s="87"/>
      <c r="S71" s="87"/>
      <c r="T71" s="89" t="n">
        <v>58.4041</v>
      </c>
      <c r="U71" s="77"/>
      <c r="V71" s="77"/>
      <c r="W71" s="77"/>
      <c r="X71" s="77"/>
      <c r="Y71" s="77"/>
      <c r="Z71" s="77"/>
      <c r="AA71" s="87"/>
      <c r="AB71" s="87"/>
      <c r="AC71" s="16"/>
      <c r="AD71" s="87"/>
      <c r="AE71" s="87"/>
    </row>
    <row r="72" customFormat="false" ht="15.75" hidden="false" customHeight="false" outlineLevel="0" collapsed="false">
      <c r="A72" s="16" t="s">
        <v>42</v>
      </c>
      <c r="B72" s="16" t="s">
        <v>249</v>
      </c>
      <c r="C72" s="71" t="s">
        <v>425</v>
      </c>
      <c r="D72" s="16" t="s">
        <v>430</v>
      </c>
      <c r="E72" s="16" t="s">
        <v>431</v>
      </c>
      <c r="F72" s="16" t="n">
        <v>804.45</v>
      </c>
      <c r="G72" s="16" t="n">
        <v>61</v>
      </c>
      <c r="H72" s="16" t="n">
        <v>330</v>
      </c>
      <c r="I72" s="16" t="n">
        <v>193</v>
      </c>
      <c r="J72" s="16" t="n">
        <v>137</v>
      </c>
      <c r="K72" s="16" t="n">
        <v>0</v>
      </c>
      <c r="L72" s="19" t="n">
        <f aca="false">(K72/H72)*100</f>
        <v>0</v>
      </c>
      <c r="M72" s="16" t="n">
        <v>0</v>
      </c>
      <c r="N72" s="19" t="n">
        <f aca="false">(M72/H72)*100</f>
        <v>0</v>
      </c>
      <c r="O72" s="71" t="n">
        <v>23.03</v>
      </c>
      <c r="P72" s="16" t="n">
        <v>0</v>
      </c>
      <c r="Q72" s="21" t="s">
        <v>49</v>
      </c>
      <c r="R72" s="87"/>
      <c r="S72" s="87"/>
      <c r="T72" s="89" t="n">
        <v>4.3706</v>
      </c>
      <c r="U72" s="77"/>
      <c r="V72" s="77"/>
      <c r="W72" s="77"/>
      <c r="X72" s="77"/>
      <c r="Y72" s="77"/>
      <c r="Z72" s="77"/>
      <c r="AA72" s="87"/>
      <c r="AB72" s="87"/>
      <c r="AC72" s="16"/>
      <c r="AD72" s="87"/>
      <c r="AE72" s="87"/>
    </row>
    <row r="73" customFormat="false" ht="15.75" hidden="false" customHeight="false" outlineLevel="0" collapsed="false">
      <c r="A73" s="16" t="s">
        <v>42</v>
      </c>
      <c r="B73" s="16" t="s">
        <v>249</v>
      </c>
      <c r="C73" s="71" t="s">
        <v>425</v>
      </c>
      <c r="D73" s="16" t="s">
        <v>432</v>
      </c>
      <c r="E73" s="16" t="s">
        <v>433</v>
      </c>
      <c r="F73" s="16" t="n">
        <v>682.97</v>
      </c>
      <c r="G73" s="16" t="n">
        <v>140</v>
      </c>
      <c r="H73" s="16" t="n">
        <v>836</v>
      </c>
      <c r="I73" s="16" t="n">
        <v>448</v>
      </c>
      <c r="J73" s="16" t="n">
        <v>388</v>
      </c>
      <c r="K73" s="16" t="n">
        <v>510</v>
      </c>
      <c r="L73" s="19" t="n">
        <f aca="false">(K73/H73)*100</f>
        <v>61.0047846889952</v>
      </c>
      <c r="M73" s="16" t="n">
        <v>12</v>
      </c>
      <c r="N73" s="19" t="n">
        <f aca="false">(M73/H73)*100</f>
        <v>1.43540669856459</v>
      </c>
      <c r="O73" s="71" t="n">
        <v>60.1</v>
      </c>
      <c r="P73" s="16" t="n">
        <v>0</v>
      </c>
      <c r="Q73" s="87"/>
      <c r="R73" s="87"/>
      <c r="S73" s="87"/>
      <c r="T73" s="88"/>
      <c r="U73" s="77"/>
      <c r="V73" s="77"/>
      <c r="W73" s="77"/>
      <c r="X73" s="77"/>
      <c r="Y73" s="77"/>
      <c r="Z73" s="77"/>
      <c r="AA73" s="87"/>
      <c r="AB73" s="87"/>
      <c r="AC73" s="16"/>
      <c r="AD73" s="87"/>
      <c r="AE73" s="87"/>
    </row>
    <row r="74" customFormat="false" ht="15.75" hidden="false" customHeight="false" outlineLevel="0" collapsed="false">
      <c r="A74" s="16" t="s">
        <v>42</v>
      </c>
      <c r="B74" s="16" t="s">
        <v>249</v>
      </c>
      <c r="C74" s="71" t="s">
        <v>434</v>
      </c>
      <c r="D74" s="72" t="s">
        <v>435</v>
      </c>
      <c r="E74" s="16" t="s">
        <v>436</v>
      </c>
      <c r="F74" s="16" t="n">
        <v>319.47</v>
      </c>
      <c r="G74" s="16" t="n">
        <v>64</v>
      </c>
      <c r="H74" s="16" t="n">
        <v>302</v>
      </c>
      <c r="I74" s="16" t="n">
        <v>156</v>
      </c>
      <c r="J74" s="16" t="n">
        <v>146</v>
      </c>
      <c r="K74" s="16" t="n">
        <v>0</v>
      </c>
      <c r="L74" s="19" t="n">
        <f aca="false">(K74/H74)*100</f>
        <v>0</v>
      </c>
      <c r="M74" s="16" t="n">
        <v>0</v>
      </c>
      <c r="N74" s="19" t="n">
        <f aca="false">(M74/H74)*100</f>
        <v>0</v>
      </c>
      <c r="O74" s="16" t="n">
        <v>0</v>
      </c>
      <c r="P74" s="16" t="n">
        <v>0</v>
      </c>
      <c r="Q74" s="21" t="s">
        <v>49</v>
      </c>
      <c r="R74" s="87"/>
      <c r="S74" s="87"/>
      <c r="T74" s="89" t="n">
        <v>3.7069</v>
      </c>
      <c r="U74" s="77"/>
      <c r="V74" s="77"/>
      <c r="W74" s="77"/>
      <c r="X74" s="77"/>
      <c r="Y74" s="77"/>
      <c r="Z74" s="77"/>
      <c r="AA74" s="87"/>
      <c r="AB74" s="87"/>
      <c r="AC74" s="16"/>
      <c r="AD74" s="87"/>
      <c r="AE74" s="87"/>
    </row>
    <row r="75" customFormat="false" ht="15.75" hidden="false" customHeight="false" outlineLevel="0" collapsed="false">
      <c r="A75" s="16" t="s">
        <v>42</v>
      </c>
      <c r="B75" s="16" t="s">
        <v>249</v>
      </c>
      <c r="C75" s="71" t="s">
        <v>437</v>
      </c>
      <c r="D75" s="16" t="s">
        <v>438</v>
      </c>
      <c r="E75" s="16" t="s">
        <v>439</v>
      </c>
      <c r="F75" s="16" t="n">
        <v>541.06</v>
      </c>
      <c r="G75" s="16" t="n">
        <v>77</v>
      </c>
      <c r="H75" s="16" t="n">
        <v>518</v>
      </c>
      <c r="I75" s="16" t="n">
        <v>271</v>
      </c>
      <c r="J75" s="16" t="n">
        <v>247</v>
      </c>
      <c r="K75" s="16" t="n">
        <v>63</v>
      </c>
      <c r="L75" s="19" t="n">
        <f aca="false">(K75/H75)*100</f>
        <v>12.1621621621622</v>
      </c>
      <c r="M75" s="16" t="n">
        <v>0</v>
      </c>
      <c r="N75" s="19" t="n">
        <f aca="false">(M75/H75)*100</f>
        <v>0</v>
      </c>
      <c r="O75" s="16" t="n">
        <v>0</v>
      </c>
      <c r="P75" s="16" t="n">
        <v>0</v>
      </c>
      <c r="Q75" s="87"/>
      <c r="R75" s="87"/>
      <c r="S75" s="87"/>
      <c r="T75" s="88"/>
      <c r="U75" s="77"/>
      <c r="V75" s="77"/>
      <c r="W75" s="77"/>
      <c r="X75" s="77"/>
      <c r="Y75" s="77"/>
      <c r="Z75" s="77"/>
      <c r="AA75" s="87"/>
      <c r="AB75" s="87"/>
      <c r="AC75" s="16"/>
      <c r="AD75" s="87"/>
      <c r="AE75" s="87"/>
    </row>
    <row r="76" customFormat="false" ht="15.75" hidden="false" customHeight="false" outlineLevel="0" collapsed="false">
      <c r="A76" s="16" t="s">
        <v>42</v>
      </c>
      <c r="B76" s="16" t="s">
        <v>249</v>
      </c>
      <c r="C76" s="71" t="s">
        <v>437</v>
      </c>
      <c r="D76" s="16" t="s">
        <v>440</v>
      </c>
      <c r="E76" s="16" t="s">
        <v>441</v>
      </c>
      <c r="F76" s="16" t="n">
        <v>351.7</v>
      </c>
      <c r="G76" s="16" t="n">
        <v>130</v>
      </c>
      <c r="H76" s="16" t="n">
        <v>753</v>
      </c>
      <c r="I76" s="16" t="n">
        <v>388</v>
      </c>
      <c r="J76" s="16" t="n">
        <v>365</v>
      </c>
      <c r="K76" s="16" t="n">
        <v>320</v>
      </c>
      <c r="L76" s="19" t="n">
        <f aca="false">(K76/H76)*100</f>
        <v>42.4966799468792</v>
      </c>
      <c r="M76" s="16" t="n">
        <v>86</v>
      </c>
      <c r="N76" s="19" t="n">
        <f aca="false">(M76/H76)*100</f>
        <v>11.4209827357238</v>
      </c>
      <c r="O76" s="16" t="n">
        <v>0</v>
      </c>
      <c r="P76" s="16" t="n">
        <v>0</v>
      </c>
      <c r="Q76" s="21" t="s">
        <v>49</v>
      </c>
      <c r="R76" s="87"/>
      <c r="S76" s="87"/>
      <c r="T76" s="89"/>
      <c r="U76" s="77"/>
      <c r="V76" s="77"/>
      <c r="W76" s="77"/>
      <c r="X76" s="77"/>
      <c r="Y76" s="77"/>
      <c r="Z76" s="77"/>
      <c r="AA76" s="87"/>
      <c r="AB76" s="87"/>
      <c r="AC76" s="16"/>
      <c r="AD76" s="87"/>
      <c r="AE76" s="87"/>
    </row>
    <row r="77" customFormat="false" ht="15.75" hidden="false" customHeight="false" outlineLevel="0" collapsed="false">
      <c r="A77" s="16" t="s">
        <v>42</v>
      </c>
      <c r="B77" s="16" t="s">
        <v>249</v>
      </c>
      <c r="C77" s="71" t="s">
        <v>437</v>
      </c>
      <c r="D77" s="16" t="s">
        <v>442</v>
      </c>
      <c r="E77" s="16" t="s">
        <v>443</v>
      </c>
      <c r="F77" s="16" t="n">
        <v>207.93</v>
      </c>
      <c r="G77" s="16" t="n">
        <v>97</v>
      </c>
      <c r="H77" s="16" t="n">
        <v>696</v>
      </c>
      <c r="I77" s="16" t="n">
        <v>370</v>
      </c>
      <c r="J77" s="16" t="n">
        <v>326</v>
      </c>
      <c r="K77" s="16" t="n">
        <v>0</v>
      </c>
      <c r="L77" s="19" t="n">
        <f aca="false">(K77/H77)*100</f>
        <v>0</v>
      </c>
      <c r="M77" s="16" t="n">
        <v>0</v>
      </c>
      <c r="N77" s="19" t="n">
        <f aca="false">(M77/H77)*100</f>
        <v>0</v>
      </c>
      <c r="O77" s="16" t="n">
        <v>0</v>
      </c>
      <c r="P77" s="16" t="n">
        <v>0</v>
      </c>
      <c r="Q77" s="21" t="s">
        <v>49</v>
      </c>
      <c r="R77" s="87"/>
      <c r="S77" s="87"/>
      <c r="T77" s="89"/>
      <c r="U77" s="77"/>
      <c r="V77" s="77"/>
      <c r="W77" s="77"/>
      <c r="X77" s="77"/>
      <c r="Y77" s="77"/>
      <c r="Z77" s="77"/>
      <c r="AA77" s="87"/>
      <c r="AB77" s="87"/>
      <c r="AC77" s="16"/>
      <c r="AD77" s="87"/>
      <c r="AE77" s="87"/>
    </row>
    <row r="78" customFormat="false" ht="15.75" hidden="false" customHeight="false" outlineLevel="0" collapsed="false">
      <c r="A78" s="16" t="s">
        <v>42</v>
      </c>
      <c r="B78" s="16" t="s">
        <v>249</v>
      </c>
      <c r="C78" s="71" t="s">
        <v>444</v>
      </c>
      <c r="D78" s="72" t="s">
        <v>444</v>
      </c>
      <c r="E78" s="16" t="s">
        <v>445</v>
      </c>
      <c r="F78" s="16" t="n">
        <v>352.5</v>
      </c>
      <c r="G78" s="16" t="n">
        <v>102</v>
      </c>
      <c r="H78" s="16" t="n">
        <v>701</v>
      </c>
      <c r="I78" s="16" t="n">
        <v>363</v>
      </c>
      <c r="J78" s="16" t="n">
        <v>338</v>
      </c>
      <c r="K78" s="16" t="n">
        <v>0</v>
      </c>
      <c r="L78" s="19" t="n">
        <f aca="false">(K78/H78)*100</f>
        <v>0</v>
      </c>
      <c r="M78" s="16" t="n">
        <v>0</v>
      </c>
      <c r="N78" s="19" t="n">
        <f aca="false">(M78/H78)*100</f>
        <v>0</v>
      </c>
      <c r="O78" s="16" t="n">
        <v>0</v>
      </c>
      <c r="P78" s="16" t="n">
        <v>0</v>
      </c>
      <c r="Q78" s="87"/>
      <c r="R78" s="87"/>
      <c r="S78" s="87"/>
      <c r="T78" s="88"/>
      <c r="U78" s="77"/>
      <c r="V78" s="77"/>
      <c r="W78" s="77"/>
      <c r="X78" s="77"/>
      <c r="Y78" s="77"/>
      <c r="Z78" s="77"/>
      <c r="AA78" s="87"/>
      <c r="AB78" s="87"/>
      <c r="AC78" s="16"/>
      <c r="AD78" s="87"/>
      <c r="AE78" s="87"/>
    </row>
    <row r="79" customFormat="false" ht="15.75" hidden="false" customHeight="false" outlineLevel="0" collapsed="false">
      <c r="A79" s="16" t="s">
        <v>42</v>
      </c>
      <c r="B79" s="16" t="s">
        <v>249</v>
      </c>
      <c r="C79" s="71" t="s">
        <v>444</v>
      </c>
      <c r="D79" s="16" t="s">
        <v>446</v>
      </c>
      <c r="E79" s="16" t="s">
        <v>447</v>
      </c>
      <c r="F79" s="16" t="n">
        <v>659.2</v>
      </c>
      <c r="G79" s="16" t="n">
        <v>82</v>
      </c>
      <c r="H79" s="16" t="n">
        <v>573</v>
      </c>
      <c r="I79" s="16" t="n">
        <v>305</v>
      </c>
      <c r="J79" s="16" t="n">
        <v>268</v>
      </c>
      <c r="K79" s="16" t="n">
        <v>365</v>
      </c>
      <c r="L79" s="19" t="n">
        <f aca="false">(K79/H79)*100</f>
        <v>63.6998254799302</v>
      </c>
      <c r="M79" s="16" t="n">
        <v>1</v>
      </c>
      <c r="N79" s="19" t="n">
        <f aca="false">(M79/H79)*100</f>
        <v>0.174520069808028</v>
      </c>
      <c r="O79" s="71" t="n">
        <v>6</v>
      </c>
      <c r="P79" s="16" t="n">
        <v>0</v>
      </c>
      <c r="Q79" s="87"/>
      <c r="R79" s="87"/>
      <c r="S79" s="87"/>
      <c r="T79" s="88"/>
      <c r="U79" s="77"/>
      <c r="V79" s="77"/>
      <c r="W79" s="77"/>
      <c r="X79" s="77"/>
      <c r="Y79" s="77"/>
      <c r="Z79" s="77"/>
      <c r="AA79" s="87"/>
      <c r="AB79" s="87"/>
      <c r="AC79" s="16"/>
      <c r="AD79" s="87"/>
      <c r="AE79" s="87"/>
    </row>
    <row r="80" customFormat="false" ht="15.75" hidden="false" customHeight="false" outlineLevel="0" collapsed="false">
      <c r="A80" s="16" t="s">
        <v>42</v>
      </c>
      <c r="B80" s="16" t="s">
        <v>249</v>
      </c>
      <c r="C80" s="71" t="s">
        <v>444</v>
      </c>
      <c r="D80" s="16" t="s">
        <v>448</v>
      </c>
      <c r="E80" s="16" t="s">
        <v>449</v>
      </c>
      <c r="F80" s="16" t="n">
        <v>317.6</v>
      </c>
      <c r="G80" s="16" t="n">
        <v>90</v>
      </c>
      <c r="H80" s="16" t="n">
        <v>655</v>
      </c>
      <c r="I80" s="16" t="n">
        <v>359</v>
      </c>
      <c r="J80" s="16" t="n">
        <v>296</v>
      </c>
      <c r="K80" s="16" t="n">
        <v>0</v>
      </c>
      <c r="L80" s="19" t="n">
        <f aca="false">(K80/H80)*100</f>
        <v>0</v>
      </c>
      <c r="M80" s="16" t="n">
        <v>0</v>
      </c>
      <c r="N80" s="19" t="n">
        <f aca="false">(M80/H80)*100</f>
        <v>0</v>
      </c>
      <c r="O80" s="71" t="n">
        <v>18</v>
      </c>
      <c r="P80" s="16" t="n">
        <v>0</v>
      </c>
      <c r="Q80" s="73" t="s">
        <v>50</v>
      </c>
      <c r="R80" s="87"/>
      <c r="S80" s="87"/>
      <c r="T80" s="76" t="n">
        <v>568</v>
      </c>
      <c r="U80" s="77"/>
      <c r="V80" s="77"/>
      <c r="W80" s="77"/>
      <c r="X80" s="77"/>
      <c r="Y80" s="77"/>
      <c r="Z80" s="77"/>
      <c r="AA80" s="87"/>
      <c r="AB80" s="87"/>
      <c r="AC80" s="16"/>
      <c r="AD80" s="87"/>
      <c r="AE80" s="87"/>
    </row>
    <row r="81" customFormat="false" ht="15.75" hidden="false" customHeight="false" outlineLevel="0" collapsed="false">
      <c r="A81" s="16" t="s">
        <v>42</v>
      </c>
      <c r="B81" s="16" t="s">
        <v>249</v>
      </c>
      <c r="C81" s="71" t="s">
        <v>444</v>
      </c>
      <c r="D81" s="16" t="s">
        <v>450</v>
      </c>
      <c r="E81" s="16" t="s">
        <v>451</v>
      </c>
      <c r="F81" s="16" t="n">
        <v>803.6</v>
      </c>
      <c r="G81" s="16" t="n">
        <v>106</v>
      </c>
      <c r="H81" s="16" t="n">
        <v>653</v>
      </c>
      <c r="I81" s="16" t="n">
        <v>347</v>
      </c>
      <c r="J81" s="16" t="n">
        <v>306</v>
      </c>
      <c r="K81" s="16" t="n">
        <v>5</v>
      </c>
      <c r="L81" s="19" t="n">
        <f aca="false">(K81/H81)*100</f>
        <v>0.765696784073507</v>
      </c>
      <c r="M81" s="16" t="n">
        <v>0</v>
      </c>
      <c r="N81" s="19" t="n">
        <f aca="false">(M81/H81)*100</f>
        <v>0</v>
      </c>
      <c r="O81" s="71" t="n">
        <v>59</v>
      </c>
      <c r="P81" s="16" t="n">
        <v>0</v>
      </c>
      <c r="Q81" s="87"/>
      <c r="R81" s="87"/>
      <c r="S81" s="87"/>
      <c r="T81" s="88"/>
      <c r="U81" s="77"/>
      <c r="V81" s="77"/>
      <c r="W81" s="77"/>
      <c r="X81" s="77"/>
      <c r="Y81" s="77"/>
      <c r="Z81" s="77"/>
      <c r="AA81" s="87"/>
      <c r="AB81" s="87"/>
      <c r="AC81" s="16"/>
      <c r="AD81" s="87"/>
      <c r="AE81" s="87"/>
    </row>
    <row r="82" customFormat="false" ht="15.75" hidden="false" customHeight="false" outlineLevel="0" collapsed="false">
      <c r="A82" s="16" t="s">
        <v>42</v>
      </c>
      <c r="B82" s="16" t="s">
        <v>249</v>
      </c>
      <c r="C82" s="71" t="s">
        <v>452</v>
      </c>
      <c r="D82" s="72" t="s">
        <v>453</v>
      </c>
      <c r="E82" s="16" t="s">
        <v>454</v>
      </c>
      <c r="F82" s="16" t="n">
        <v>689</v>
      </c>
      <c r="G82" s="16" t="n">
        <v>162</v>
      </c>
      <c r="H82" s="16" t="n">
        <v>1086</v>
      </c>
      <c r="I82" s="16" t="n">
        <v>571</v>
      </c>
      <c r="J82" s="16" t="n">
        <v>515</v>
      </c>
      <c r="K82" s="16" t="n">
        <v>89</v>
      </c>
      <c r="L82" s="19" t="n">
        <f aca="false">(K82/H82)*100</f>
        <v>8.19521178637201</v>
      </c>
      <c r="M82" s="16" t="n">
        <v>250</v>
      </c>
      <c r="N82" s="19" t="n">
        <f aca="false">(M82/H82)*100</f>
        <v>23.0202578268877</v>
      </c>
      <c r="O82" s="71" t="n">
        <v>41</v>
      </c>
      <c r="P82" s="16" t="n">
        <v>0</v>
      </c>
      <c r="Q82" s="87"/>
      <c r="R82" s="87"/>
      <c r="S82" s="87"/>
      <c r="T82" s="88"/>
      <c r="U82" s="77"/>
      <c r="V82" s="77"/>
      <c r="W82" s="77"/>
      <c r="X82" s="77"/>
      <c r="Y82" s="77"/>
      <c r="Z82" s="77"/>
      <c r="AA82" s="87"/>
      <c r="AB82" s="87"/>
      <c r="AC82" s="16"/>
      <c r="AD82" s="87"/>
      <c r="AE82" s="87"/>
    </row>
    <row r="83" customFormat="false" ht="15.75" hidden="false" customHeight="false" outlineLevel="0" collapsed="false">
      <c r="A83" s="16" t="s">
        <v>42</v>
      </c>
      <c r="B83" s="16" t="s">
        <v>249</v>
      </c>
      <c r="C83" s="71" t="s">
        <v>452</v>
      </c>
      <c r="D83" s="16" t="s">
        <v>455</v>
      </c>
      <c r="E83" s="16" t="s">
        <v>456</v>
      </c>
      <c r="F83" s="16" t="n">
        <v>448.64</v>
      </c>
      <c r="G83" s="16" t="n">
        <v>50</v>
      </c>
      <c r="H83" s="16" t="n">
        <v>262</v>
      </c>
      <c r="I83" s="16" t="n">
        <v>135</v>
      </c>
      <c r="J83" s="16" t="n">
        <v>127</v>
      </c>
      <c r="K83" s="16" t="n">
        <v>0</v>
      </c>
      <c r="L83" s="19" t="n">
        <f aca="false">(K83/H83)*100</f>
        <v>0</v>
      </c>
      <c r="M83" s="16" t="n">
        <v>0</v>
      </c>
      <c r="N83" s="19" t="n">
        <f aca="false">(M83/H83)*100</f>
        <v>0</v>
      </c>
      <c r="O83" s="16" t="n">
        <v>0</v>
      </c>
      <c r="P83" s="16" t="n">
        <v>0</v>
      </c>
      <c r="Q83" s="87"/>
      <c r="R83" s="87"/>
      <c r="S83" s="87"/>
      <c r="T83" s="88"/>
      <c r="U83" s="77"/>
      <c r="V83" s="77"/>
      <c r="W83" s="77"/>
      <c r="X83" s="77"/>
      <c r="Y83" s="77"/>
      <c r="Z83" s="77"/>
      <c r="AA83" s="87"/>
      <c r="AB83" s="87"/>
      <c r="AC83" s="16"/>
      <c r="AD83" s="87"/>
      <c r="AE83" s="87"/>
    </row>
    <row r="84" customFormat="false" ht="15.75" hidden="false" customHeight="false" outlineLevel="0" collapsed="false">
      <c r="A84" s="16" t="s">
        <v>42</v>
      </c>
      <c r="B84" s="16" t="s">
        <v>249</v>
      </c>
      <c r="C84" s="71" t="s">
        <v>452</v>
      </c>
      <c r="D84" s="16" t="s">
        <v>457</v>
      </c>
      <c r="E84" s="16" t="s">
        <v>458</v>
      </c>
      <c r="F84" s="16" t="n">
        <v>506.45</v>
      </c>
      <c r="G84" s="16" t="n">
        <v>121</v>
      </c>
      <c r="H84" s="16" t="n">
        <v>832</v>
      </c>
      <c r="I84" s="16" t="n">
        <v>443</v>
      </c>
      <c r="J84" s="16" t="n">
        <v>389</v>
      </c>
      <c r="K84" s="16" t="n">
        <v>0</v>
      </c>
      <c r="L84" s="19" t="n">
        <f aca="false">(K84/H84)*100</f>
        <v>0</v>
      </c>
      <c r="M84" s="16" t="n">
        <v>67</v>
      </c>
      <c r="N84" s="19" t="n">
        <f aca="false">(M84/H84)*100</f>
        <v>8.05288461538462</v>
      </c>
      <c r="O84" s="16" t="n">
        <v>0</v>
      </c>
      <c r="P84" s="16" t="n">
        <v>0</v>
      </c>
      <c r="Q84" s="87"/>
      <c r="R84" s="87"/>
      <c r="S84" s="87"/>
      <c r="T84" s="88"/>
      <c r="U84" s="77"/>
      <c r="V84" s="77"/>
      <c r="W84" s="77"/>
      <c r="X84" s="77"/>
      <c r="Y84" s="77"/>
      <c r="Z84" s="77"/>
      <c r="AA84" s="87"/>
      <c r="AB84" s="87"/>
      <c r="AC84" s="16"/>
      <c r="AD84" s="87"/>
      <c r="AE84" s="87"/>
    </row>
    <row r="85" customFormat="false" ht="15.75" hidden="false" customHeight="false" outlineLevel="0" collapsed="false">
      <c r="A85" s="16" t="s">
        <v>42</v>
      </c>
      <c r="B85" s="16" t="s">
        <v>249</v>
      </c>
      <c r="C85" s="71" t="s">
        <v>452</v>
      </c>
      <c r="D85" s="16" t="s">
        <v>459</v>
      </c>
      <c r="E85" s="16" t="s">
        <v>460</v>
      </c>
      <c r="F85" s="16" t="n">
        <v>397.39</v>
      </c>
      <c r="G85" s="16" t="n">
        <v>67</v>
      </c>
      <c r="H85" s="16" t="n">
        <v>460</v>
      </c>
      <c r="I85" s="16" t="n">
        <v>247</v>
      </c>
      <c r="J85" s="16" t="n">
        <v>213</v>
      </c>
      <c r="K85" s="16" t="n">
        <v>0</v>
      </c>
      <c r="L85" s="19" t="n">
        <f aca="false">(K85/H85)*100</f>
        <v>0</v>
      </c>
      <c r="M85" s="16" t="n">
        <v>0</v>
      </c>
      <c r="N85" s="19" t="n">
        <f aca="false">(M85/H85)*100</f>
        <v>0</v>
      </c>
      <c r="O85" s="71" t="n">
        <v>8.66</v>
      </c>
      <c r="P85" s="16" t="n">
        <v>0</v>
      </c>
      <c r="Q85" s="87"/>
      <c r="R85" s="87"/>
      <c r="S85" s="87"/>
      <c r="T85" s="88"/>
      <c r="U85" s="77"/>
      <c r="V85" s="77"/>
      <c r="W85" s="77"/>
      <c r="X85" s="77"/>
      <c r="Y85" s="77"/>
      <c r="Z85" s="77"/>
      <c r="AA85" s="87"/>
      <c r="AB85" s="87"/>
      <c r="AC85" s="16"/>
      <c r="AD85" s="87"/>
      <c r="AE85" s="87"/>
    </row>
    <row r="86" customFormat="false" ht="15.75" hidden="false" customHeight="false" outlineLevel="0" collapsed="false">
      <c r="A86" s="16" t="s">
        <v>42</v>
      </c>
      <c r="B86" s="16" t="s">
        <v>249</v>
      </c>
      <c r="C86" s="71" t="s">
        <v>452</v>
      </c>
      <c r="D86" s="16" t="s">
        <v>461</v>
      </c>
      <c r="E86" s="16" t="s">
        <v>462</v>
      </c>
      <c r="F86" s="16" t="n">
        <v>245.41</v>
      </c>
      <c r="G86" s="16" t="n">
        <v>45</v>
      </c>
      <c r="H86" s="16" t="n">
        <v>285</v>
      </c>
      <c r="I86" s="16" t="n">
        <v>161</v>
      </c>
      <c r="J86" s="16" t="n">
        <v>124</v>
      </c>
      <c r="K86" s="16" t="n">
        <v>0</v>
      </c>
      <c r="L86" s="19" t="n">
        <f aca="false">(K86/H86)*100</f>
        <v>0</v>
      </c>
      <c r="M86" s="16" t="n">
        <v>0</v>
      </c>
      <c r="N86" s="19" t="n">
        <f aca="false">(M86/H86)*100</f>
        <v>0</v>
      </c>
      <c r="O86" s="16" t="n">
        <v>0</v>
      </c>
      <c r="P86" s="16" t="n">
        <v>0</v>
      </c>
      <c r="Q86" s="87"/>
      <c r="R86" s="87"/>
      <c r="S86" s="87"/>
      <c r="T86" s="88"/>
      <c r="U86" s="77"/>
      <c r="V86" s="77"/>
      <c r="W86" s="77"/>
      <c r="X86" s="77"/>
      <c r="Y86" s="77"/>
      <c r="Z86" s="77"/>
      <c r="AA86" s="87"/>
      <c r="AB86" s="87"/>
      <c r="AC86" s="16"/>
      <c r="AD86" s="87"/>
      <c r="AE86" s="87"/>
    </row>
    <row r="87" customFormat="false" ht="31.5" hidden="false" customHeight="false" outlineLevel="0" collapsed="false">
      <c r="A87" s="16" t="s">
        <v>42</v>
      </c>
      <c r="B87" s="16" t="s">
        <v>249</v>
      </c>
      <c r="C87" s="71" t="s">
        <v>463</v>
      </c>
      <c r="D87" s="72" t="s">
        <v>464</v>
      </c>
      <c r="E87" s="16" t="s">
        <v>465</v>
      </c>
      <c r="F87" s="16" t="n">
        <v>296.64</v>
      </c>
      <c r="G87" s="16" t="n">
        <v>88</v>
      </c>
      <c r="H87" s="16" t="n">
        <v>472</v>
      </c>
      <c r="I87" s="16" t="n">
        <v>241</v>
      </c>
      <c r="J87" s="16" t="n">
        <v>231</v>
      </c>
      <c r="K87" s="16" t="n">
        <v>45</v>
      </c>
      <c r="L87" s="19" t="n">
        <f aca="false">(K87/H87)*100</f>
        <v>9.53389830508475</v>
      </c>
      <c r="M87" s="16" t="n">
        <v>0</v>
      </c>
      <c r="N87" s="19" t="n">
        <f aca="false">(M87/H87)*100</f>
        <v>0</v>
      </c>
      <c r="O87" s="71" t="n">
        <v>43</v>
      </c>
      <c r="P87" s="16" t="n">
        <v>0</v>
      </c>
      <c r="Q87" s="21" t="s">
        <v>49</v>
      </c>
      <c r="R87" s="34" t="n">
        <v>44836</v>
      </c>
      <c r="S87" s="34"/>
      <c r="T87" s="89"/>
      <c r="U87" s="77"/>
      <c r="V87" s="77"/>
      <c r="W87" s="77"/>
      <c r="X87" s="77"/>
      <c r="Y87" s="77"/>
      <c r="Z87" s="77"/>
      <c r="AA87" s="21" t="s">
        <v>266</v>
      </c>
      <c r="AB87" s="21" t="n">
        <v>5</v>
      </c>
      <c r="AC87" s="90" t="s">
        <v>466</v>
      </c>
      <c r="AD87" s="21"/>
      <c r="AE87" s="21"/>
    </row>
    <row r="88" customFormat="false" ht="15.75" hidden="false" customHeight="false" outlineLevel="0" collapsed="false">
      <c r="A88" s="16" t="s">
        <v>42</v>
      </c>
      <c r="B88" s="16" t="s">
        <v>249</v>
      </c>
      <c r="C88" s="71" t="s">
        <v>463</v>
      </c>
      <c r="D88" s="16" t="s">
        <v>467</v>
      </c>
      <c r="E88" s="16" t="s">
        <v>468</v>
      </c>
      <c r="F88" s="16" t="n">
        <v>798.21</v>
      </c>
      <c r="G88" s="16" t="n">
        <v>220</v>
      </c>
      <c r="H88" s="16" t="n">
        <v>1154</v>
      </c>
      <c r="I88" s="16" t="n">
        <v>587</v>
      </c>
      <c r="J88" s="16" t="n">
        <v>567</v>
      </c>
      <c r="K88" s="16" t="n">
        <v>408</v>
      </c>
      <c r="L88" s="19" t="n">
        <f aca="false">(K88/H88)*100</f>
        <v>35.3552859618717</v>
      </c>
      <c r="M88" s="16" t="n">
        <v>0</v>
      </c>
      <c r="N88" s="19" t="n">
        <f aca="false">(M88/H88)*100</f>
        <v>0</v>
      </c>
      <c r="O88" s="71" t="n">
        <v>49.34</v>
      </c>
      <c r="P88" s="16" t="n">
        <v>0</v>
      </c>
      <c r="Q88" s="21" t="s">
        <v>49</v>
      </c>
      <c r="R88" s="34" t="n">
        <v>44836</v>
      </c>
      <c r="S88" s="34"/>
      <c r="T88" s="89" t="n">
        <v>3.8445</v>
      </c>
      <c r="U88" s="77"/>
      <c r="V88" s="77"/>
      <c r="W88" s="77"/>
      <c r="X88" s="77"/>
      <c r="Y88" s="77"/>
      <c r="Z88" s="77"/>
      <c r="AA88" s="21" t="s">
        <v>266</v>
      </c>
      <c r="AB88" s="21" t="n">
        <v>0</v>
      </c>
      <c r="AC88" s="36" t="n">
        <v>0</v>
      </c>
      <c r="AD88" s="21"/>
      <c r="AE88" s="21"/>
    </row>
    <row r="89" customFormat="false" ht="15.75" hidden="false" customHeight="false" outlineLevel="0" collapsed="false">
      <c r="A89" s="16" t="s">
        <v>42</v>
      </c>
      <c r="B89" s="16" t="s">
        <v>249</v>
      </c>
      <c r="C89" s="71" t="s">
        <v>463</v>
      </c>
      <c r="D89" s="16" t="s">
        <v>469</v>
      </c>
      <c r="E89" s="16" t="s">
        <v>470</v>
      </c>
      <c r="F89" s="16" t="n">
        <v>264.15</v>
      </c>
      <c r="G89" s="16" t="n">
        <v>57</v>
      </c>
      <c r="H89" s="16" t="n">
        <v>266</v>
      </c>
      <c r="I89" s="16" t="n">
        <v>137</v>
      </c>
      <c r="J89" s="16" t="n">
        <v>129</v>
      </c>
      <c r="K89" s="16" t="n">
        <v>0</v>
      </c>
      <c r="L89" s="19" t="n">
        <f aca="false">(K89/H89)*100</f>
        <v>0</v>
      </c>
      <c r="M89" s="16" t="n">
        <v>71</v>
      </c>
      <c r="N89" s="19" t="n">
        <f aca="false">(M89/H89)*100</f>
        <v>26.6917293233083</v>
      </c>
      <c r="O89" s="71" t="n">
        <v>43</v>
      </c>
      <c r="P89" s="16" t="n">
        <v>0</v>
      </c>
      <c r="Q89" s="21" t="s">
        <v>49</v>
      </c>
      <c r="R89" s="34" t="n">
        <v>44836</v>
      </c>
      <c r="S89" s="34"/>
      <c r="T89" s="89" t="n">
        <v>0</v>
      </c>
      <c r="U89" s="77"/>
      <c r="V89" s="77"/>
      <c r="W89" s="77"/>
      <c r="X89" s="77"/>
      <c r="Y89" s="77"/>
      <c r="Z89" s="77"/>
      <c r="AA89" s="21" t="s">
        <v>266</v>
      </c>
      <c r="AB89" s="21" t="n">
        <v>0</v>
      </c>
      <c r="AC89" s="36" t="n">
        <v>0</v>
      </c>
      <c r="AD89" s="21"/>
      <c r="AE89" s="21"/>
    </row>
    <row r="90" customFormat="false" ht="31.5" hidden="false" customHeight="false" outlineLevel="0" collapsed="false">
      <c r="A90" s="16" t="s">
        <v>42</v>
      </c>
      <c r="B90" s="16" t="s">
        <v>249</v>
      </c>
      <c r="C90" s="71" t="s">
        <v>463</v>
      </c>
      <c r="D90" s="16" t="s">
        <v>471</v>
      </c>
      <c r="E90" s="16" t="s">
        <v>472</v>
      </c>
      <c r="F90" s="16" t="n">
        <v>431</v>
      </c>
      <c r="G90" s="16" t="n">
        <v>63</v>
      </c>
      <c r="H90" s="16" t="n">
        <v>455</v>
      </c>
      <c r="I90" s="16" t="n">
        <v>229</v>
      </c>
      <c r="J90" s="16" t="n">
        <v>226</v>
      </c>
      <c r="K90" s="16" t="n">
        <v>0</v>
      </c>
      <c r="L90" s="19" t="n">
        <f aca="false">(K90/H90)*100</f>
        <v>0</v>
      </c>
      <c r="M90" s="16" t="n">
        <v>0</v>
      </c>
      <c r="N90" s="19" t="n">
        <f aca="false">(M90/H90)*100</f>
        <v>0</v>
      </c>
      <c r="O90" s="71" t="n">
        <v>11</v>
      </c>
      <c r="P90" s="16" t="n">
        <v>0</v>
      </c>
      <c r="Q90" s="21" t="s">
        <v>49</v>
      </c>
      <c r="R90" s="34" t="n">
        <v>44836</v>
      </c>
      <c r="S90" s="34"/>
      <c r="T90" s="89"/>
      <c r="U90" s="77"/>
      <c r="V90" s="77"/>
      <c r="W90" s="77"/>
      <c r="X90" s="77"/>
      <c r="Y90" s="77"/>
      <c r="Z90" s="77"/>
      <c r="AA90" s="21" t="s">
        <v>266</v>
      </c>
      <c r="AB90" s="21" t="n">
        <v>3</v>
      </c>
      <c r="AC90" s="90" t="s">
        <v>473</v>
      </c>
      <c r="AD90" s="21"/>
      <c r="AE90" s="21"/>
    </row>
    <row r="91" customFormat="false" ht="15.75" hidden="false" customHeight="false" outlineLevel="0" collapsed="false">
      <c r="A91" s="16" t="s">
        <v>42</v>
      </c>
      <c r="B91" s="16" t="s">
        <v>249</v>
      </c>
      <c r="C91" s="71" t="s">
        <v>463</v>
      </c>
      <c r="D91" s="16" t="s">
        <v>474</v>
      </c>
      <c r="E91" s="16" t="s">
        <v>475</v>
      </c>
      <c r="F91" s="16" t="n">
        <v>288.21</v>
      </c>
      <c r="G91" s="16" t="n">
        <v>70</v>
      </c>
      <c r="H91" s="16" t="n">
        <v>392</v>
      </c>
      <c r="I91" s="16" t="n">
        <v>199</v>
      </c>
      <c r="J91" s="16" t="n">
        <v>193</v>
      </c>
      <c r="K91" s="16" t="n">
        <v>234</v>
      </c>
      <c r="L91" s="19" t="n">
        <f aca="false">(K91/H91)*100</f>
        <v>59.6938775510204</v>
      </c>
      <c r="M91" s="16" t="n">
        <v>0</v>
      </c>
      <c r="N91" s="19" t="n">
        <f aca="false">(M91/H91)*100</f>
        <v>0</v>
      </c>
      <c r="O91" s="71" t="n">
        <v>42</v>
      </c>
      <c r="P91" s="16" t="n">
        <v>0</v>
      </c>
      <c r="Q91" s="87"/>
      <c r="R91" s="34" t="n">
        <v>44836</v>
      </c>
      <c r="S91" s="34"/>
      <c r="T91" s="88"/>
      <c r="U91" s="77"/>
      <c r="V91" s="77"/>
      <c r="W91" s="77"/>
      <c r="X91" s="77"/>
      <c r="Y91" s="77"/>
      <c r="Z91" s="77"/>
      <c r="AA91" s="21" t="s">
        <v>266</v>
      </c>
      <c r="AB91" s="21" t="n">
        <v>0</v>
      </c>
      <c r="AC91" s="36" t="n">
        <v>0</v>
      </c>
      <c r="AD91" s="21"/>
      <c r="AE91" s="21"/>
    </row>
    <row r="92" customFormat="false" ht="15.75" hidden="false" customHeight="false" outlineLevel="0" collapsed="false">
      <c r="A92" s="16" t="s">
        <v>42</v>
      </c>
      <c r="B92" s="16" t="s">
        <v>249</v>
      </c>
      <c r="C92" s="71" t="s">
        <v>463</v>
      </c>
      <c r="D92" s="16" t="s">
        <v>476</v>
      </c>
      <c r="E92" s="16" t="s">
        <v>477</v>
      </c>
      <c r="F92" s="16" t="n">
        <v>655</v>
      </c>
      <c r="G92" s="16" t="n">
        <v>96</v>
      </c>
      <c r="H92" s="16" t="n">
        <v>535</v>
      </c>
      <c r="I92" s="16" t="n">
        <v>281</v>
      </c>
      <c r="J92" s="16" t="n">
        <v>254</v>
      </c>
      <c r="K92" s="16" t="n">
        <v>19</v>
      </c>
      <c r="L92" s="19" t="n">
        <f aca="false">(K92/H92)*100</f>
        <v>3.55140186915888</v>
      </c>
      <c r="M92" s="16" t="n">
        <v>0</v>
      </c>
      <c r="N92" s="19" t="n">
        <f aca="false">(M92/H92)*100</f>
        <v>0</v>
      </c>
      <c r="O92" s="71" t="n">
        <v>4</v>
      </c>
      <c r="P92" s="58" t="n">
        <v>40</v>
      </c>
      <c r="Q92" s="71"/>
      <c r="R92" s="34" t="n">
        <v>44836</v>
      </c>
      <c r="S92" s="34"/>
      <c r="T92" s="108"/>
      <c r="U92" s="77"/>
      <c r="V92" s="77"/>
      <c r="W92" s="77"/>
      <c r="X92" s="77"/>
      <c r="Y92" s="77"/>
      <c r="Z92" s="77"/>
      <c r="AA92" s="21" t="s">
        <v>266</v>
      </c>
      <c r="AB92" s="21" t="n">
        <v>0</v>
      </c>
      <c r="AC92" s="36" t="n">
        <v>0</v>
      </c>
      <c r="AD92" s="21"/>
      <c r="AE92" s="21"/>
    </row>
    <row r="93" customFormat="false" ht="15.75" hidden="false" customHeight="false" outlineLevel="0" collapsed="false">
      <c r="A93" s="16" t="s">
        <v>42</v>
      </c>
      <c r="B93" s="16" t="s">
        <v>249</v>
      </c>
      <c r="C93" s="71" t="s">
        <v>478</v>
      </c>
      <c r="D93" s="72" t="s">
        <v>479</v>
      </c>
      <c r="E93" s="16" t="s">
        <v>480</v>
      </c>
      <c r="F93" s="16" t="n">
        <v>3780.33</v>
      </c>
      <c r="G93" s="16" t="n">
        <v>557</v>
      </c>
      <c r="H93" s="16" t="n">
        <v>3474</v>
      </c>
      <c r="I93" s="16" t="n">
        <v>1825</v>
      </c>
      <c r="J93" s="16" t="n">
        <v>1649</v>
      </c>
      <c r="K93" s="16" t="n">
        <v>814</v>
      </c>
      <c r="L93" s="19" t="n">
        <f aca="false">(K93/H93)*100</f>
        <v>23.4312032239493</v>
      </c>
      <c r="M93" s="16" t="n">
        <v>283</v>
      </c>
      <c r="N93" s="19" t="n">
        <f aca="false">(M93/H93)*100</f>
        <v>8.14622913068509</v>
      </c>
      <c r="O93" s="71" t="n">
        <v>112.8</v>
      </c>
      <c r="P93" s="71"/>
      <c r="Q93" s="71"/>
      <c r="R93" s="87"/>
      <c r="S93" s="87"/>
      <c r="T93" s="88"/>
      <c r="U93" s="77"/>
      <c r="V93" s="77"/>
      <c r="W93" s="77"/>
      <c r="X93" s="77"/>
      <c r="Y93" s="77"/>
      <c r="Z93" s="77"/>
      <c r="AA93" s="87"/>
      <c r="AB93" s="87"/>
      <c r="AC93" s="16"/>
      <c r="AD93" s="87"/>
      <c r="AE93" s="87"/>
    </row>
    <row r="94" customFormat="false" ht="15.75" hidden="false" customHeight="false" outlineLevel="0" collapsed="false">
      <c r="A94" s="16" t="s">
        <v>42</v>
      </c>
      <c r="B94" s="16" t="s">
        <v>249</v>
      </c>
      <c r="C94" s="71" t="s">
        <v>481</v>
      </c>
      <c r="D94" s="72" t="s">
        <v>482</v>
      </c>
      <c r="E94" s="16" t="s">
        <v>483</v>
      </c>
      <c r="F94" s="16" t="n">
        <v>208.4</v>
      </c>
      <c r="G94" s="16" t="n">
        <v>138</v>
      </c>
      <c r="H94" s="16" t="n">
        <v>703</v>
      </c>
      <c r="I94" s="16" t="n">
        <v>364</v>
      </c>
      <c r="J94" s="16" t="n">
        <v>339</v>
      </c>
      <c r="K94" s="16" t="n">
        <v>0</v>
      </c>
      <c r="L94" s="19" t="n">
        <f aca="false">(K94/H94)*100</f>
        <v>0</v>
      </c>
      <c r="M94" s="16" t="n">
        <v>0</v>
      </c>
      <c r="N94" s="19" t="n">
        <f aca="false">(M94/H94)*100</f>
        <v>0</v>
      </c>
      <c r="O94" s="71" t="n">
        <v>10.4</v>
      </c>
      <c r="P94" s="71"/>
      <c r="Q94" s="71"/>
      <c r="R94" s="34" t="n">
        <v>44836</v>
      </c>
      <c r="S94" s="34"/>
      <c r="T94" s="108"/>
      <c r="U94" s="77"/>
      <c r="V94" s="77"/>
      <c r="W94" s="77"/>
      <c r="X94" s="77"/>
      <c r="Y94" s="77"/>
      <c r="Z94" s="77"/>
      <c r="AA94" s="21" t="s">
        <v>266</v>
      </c>
      <c r="AB94" s="21"/>
      <c r="AC94" s="36" t="n">
        <v>0</v>
      </c>
      <c r="AD94" s="21"/>
      <c r="AE94" s="21"/>
    </row>
    <row r="95" customFormat="false" ht="15.75" hidden="false" customHeight="false" outlineLevel="0" collapsed="false">
      <c r="A95" s="16" t="s">
        <v>42</v>
      </c>
      <c r="B95" s="16" t="s">
        <v>249</v>
      </c>
      <c r="C95" s="71" t="s">
        <v>481</v>
      </c>
      <c r="D95" s="16" t="s">
        <v>484</v>
      </c>
      <c r="E95" s="16" t="s">
        <v>485</v>
      </c>
      <c r="F95" s="16" t="n">
        <v>155.6</v>
      </c>
      <c r="G95" s="16" t="n">
        <v>127</v>
      </c>
      <c r="H95" s="16" t="n">
        <v>755</v>
      </c>
      <c r="I95" s="16" t="n">
        <v>377</v>
      </c>
      <c r="J95" s="16" t="n">
        <v>378</v>
      </c>
      <c r="K95" s="16" t="n">
        <v>250</v>
      </c>
      <c r="L95" s="19" t="n">
        <f aca="false">(K95/H95)*100</f>
        <v>33.112582781457</v>
      </c>
      <c r="M95" s="16" t="n">
        <v>0</v>
      </c>
      <c r="N95" s="19" t="n">
        <f aca="false">(M95/H95)*100</f>
        <v>0</v>
      </c>
      <c r="O95" s="16" t="n">
        <v>0</v>
      </c>
      <c r="P95" s="16"/>
      <c r="Q95" s="16"/>
      <c r="R95" s="34" t="n">
        <v>44836</v>
      </c>
      <c r="S95" s="34"/>
      <c r="T95" s="108"/>
      <c r="U95" s="77"/>
      <c r="V95" s="77"/>
      <c r="W95" s="77"/>
      <c r="X95" s="77"/>
      <c r="Y95" s="77"/>
      <c r="Z95" s="77"/>
      <c r="AA95" s="21" t="s">
        <v>266</v>
      </c>
      <c r="AB95" s="21"/>
      <c r="AC95" s="36" t="n">
        <v>0</v>
      </c>
      <c r="AD95" s="21"/>
      <c r="AE95" s="21"/>
    </row>
    <row r="96" customFormat="false" ht="15.75" hidden="false" customHeight="false" outlineLevel="0" collapsed="false">
      <c r="A96" s="16" t="s">
        <v>42</v>
      </c>
      <c r="B96" s="16" t="s">
        <v>249</v>
      </c>
      <c r="C96" s="71" t="s">
        <v>481</v>
      </c>
      <c r="D96" s="16" t="s">
        <v>486</v>
      </c>
      <c r="E96" s="16" t="s">
        <v>487</v>
      </c>
      <c r="F96" s="16" t="n">
        <v>216.25</v>
      </c>
      <c r="G96" s="16" t="n">
        <v>210</v>
      </c>
      <c r="H96" s="16" t="n">
        <v>1342</v>
      </c>
      <c r="I96" s="16" t="n">
        <v>734</v>
      </c>
      <c r="J96" s="16" t="n">
        <v>608</v>
      </c>
      <c r="K96" s="16" t="n">
        <v>0</v>
      </c>
      <c r="L96" s="19" t="n">
        <f aca="false">(K96/H96)*100</f>
        <v>0</v>
      </c>
      <c r="M96" s="16" t="n">
        <v>0</v>
      </c>
      <c r="N96" s="19" t="n">
        <f aca="false">(M96/H96)*100</f>
        <v>0</v>
      </c>
      <c r="O96" s="16" t="n">
        <v>0</v>
      </c>
      <c r="P96" s="16"/>
      <c r="Q96" s="16"/>
      <c r="R96" s="34" t="n">
        <v>44836</v>
      </c>
      <c r="S96" s="34"/>
      <c r="T96" s="108"/>
      <c r="U96" s="77"/>
      <c r="V96" s="77"/>
      <c r="W96" s="77"/>
      <c r="X96" s="77"/>
      <c r="Y96" s="77"/>
      <c r="Z96" s="77"/>
      <c r="AA96" s="21" t="s">
        <v>266</v>
      </c>
      <c r="AB96" s="21"/>
      <c r="AC96" s="36" t="n">
        <v>0</v>
      </c>
      <c r="AD96" s="21"/>
      <c r="AE96" s="21"/>
    </row>
    <row r="97" customFormat="false" ht="15.75" hidden="false" customHeight="false" outlineLevel="0" collapsed="false">
      <c r="A97" s="16" t="s">
        <v>42</v>
      </c>
      <c r="B97" s="16" t="s">
        <v>249</v>
      </c>
      <c r="C97" s="71" t="s">
        <v>488</v>
      </c>
      <c r="D97" s="72" t="s">
        <v>489</v>
      </c>
      <c r="E97" s="16" t="s">
        <v>490</v>
      </c>
      <c r="F97" s="16" t="n">
        <v>3099</v>
      </c>
      <c r="G97" s="16" t="n">
        <v>803</v>
      </c>
      <c r="H97" s="16" t="n">
        <v>4906</v>
      </c>
      <c r="I97" s="16" t="n">
        <v>2616</v>
      </c>
      <c r="J97" s="16" t="n">
        <v>2290</v>
      </c>
      <c r="K97" s="16" t="n">
        <v>1288</v>
      </c>
      <c r="L97" s="19" t="n">
        <f aca="false">(K97/H97)*100</f>
        <v>26.253567060742</v>
      </c>
      <c r="M97" s="16" t="n">
        <v>267</v>
      </c>
      <c r="N97" s="19" t="n">
        <f aca="false">(M97/H97)*100</f>
        <v>5.44231553200163</v>
      </c>
      <c r="O97" s="71" t="n">
        <v>95</v>
      </c>
      <c r="P97" s="71"/>
      <c r="Q97" s="71"/>
      <c r="R97" s="87"/>
      <c r="S97" s="87"/>
      <c r="T97" s="88"/>
      <c r="U97" s="77"/>
      <c r="V97" s="77"/>
      <c r="W97" s="77"/>
      <c r="X97" s="77"/>
      <c r="Y97" s="77"/>
      <c r="Z97" s="77"/>
      <c r="AA97" s="87"/>
      <c r="AB97" s="87"/>
      <c r="AC97" s="16"/>
      <c r="AD97" s="87"/>
      <c r="AE97" s="87"/>
    </row>
    <row r="98" customFormat="false" ht="15.75" hidden="false" customHeight="false" outlineLevel="0" collapsed="false">
      <c r="A98" s="16" t="s">
        <v>42</v>
      </c>
      <c r="B98" s="16" t="s">
        <v>249</v>
      </c>
      <c r="C98" s="71" t="s">
        <v>488</v>
      </c>
      <c r="D98" s="16" t="s">
        <v>491</v>
      </c>
      <c r="E98" s="16" t="s">
        <v>492</v>
      </c>
      <c r="F98" s="16" t="n">
        <v>1309</v>
      </c>
      <c r="G98" s="16" t="n">
        <v>219</v>
      </c>
      <c r="H98" s="16" t="n">
        <v>1459</v>
      </c>
      <c r="I98" s="16" t="n">
        <v>760</v>
      </c>
      <c r="J98" s="16" t="n">
        <v>699</v>
      </c>
      <c r="K98" s="16" t="n">
        <v>58</v>
      </c>
      <c r="L98" s="19" t="n">
        <f aca="false">(K98/H98)*100</f>
        <v>3.97532556545579</v>
      </c>
      <c r="M98" s="16" t="n">
        <v>369</v>
      </c>
      <c r="N98" s="19" t="n">
        <f aca="false">(M98/H98)*100</f>
        <v>25.2912954078136</v>
      </c>
      <c r="O98" s="16" t="n">
        <v>0</v>
      </c>
      <c r="P98" s="16"/>
      <c r="Q98" s="16"/>
      <c r="R98" s="87"/>
      <c r="S98" s="87"/>
      <c r="T98" s="88"/>
      <c r="U98" s="77"/>
      <c r="V98" s="77"/>
      <c r="W98" s="77"/>
      <c r="X98" s="77"/>
      <c r="Y98" s="77"/>
      <c r="Z98" s="77"/>
      <c r="AA98" s="87"/>
      <c r="AB98" s="87"/>
      <c r="AC98" s="16"/>
      <c r="AD98" s="87"/>
      <c r="AE98" s="87"/>
    </row>
    <row r="99" customFormat="false" ht="31.5" hidden="false" customHeight="false" outlineLevel="0" collapsed="false">
      <c r="A99" s="16" t="s">
        <v>42</v>
      </c>
      <c r="B99" s="16" t="s">
        <v>249</v>
      </c>
      <c r="C99" s="71" t="s">
        <v>493</v>
      </c>
      <c r="D99" s="72" t="s">
        <v>494</v>
      </c>
      <c r="E99" s="16" t="s">
        <v>495</v>
      </c>
      <c r="F99" s="16" t="n">
        <v>755</v>
      </c>
      <c r="G99" s="16" t="n">
        <v>134</v>
      </c>
      <c r="H99" s="16" t="n">
        <v>876</v>
      </c>
      <c r="I99" s="16" t="n">
        <v>450</v>
      </c>
      <c r="J99" s="16" t="n">
        <v>426</v>
      </c>
      <c r="K99" s="16" t="n">
        <v>62</v>
      </c>
      <c r="L99" s="19" t="n">
        <f aca="false">(K99/H99)*100</f>
        <v>7.07762557077626</v>
      </c>
      <c r="M99" s="16" t="n">
        <v>0</v>
      </c>
      <c r="N99" s="19" t="n">
        <f aca="false">(M99/H99)*100</f>
        <v>0</v>
      </c>
      <c r="O99" s="16" t="n">
        <v>0</v>
      </c>
      <c r="P99" s="16"/>
      <c r="Q99" s="16"/>
      <c r="R99" s="34" t="n">
        <v>44836</v>
      </c>
      <c r="S99" s="34"/>
      <c r="T99" s="108"/>
      <c r="U99" s="77"/>
      <c r="V99" s="77"/>
      <c r="W99" s="77"/>
      <c r="X99" s="77"/>
      <c r="Y99" s="77"/>
      <c r="Z99" s="77"/>
      <c r="AA99" s="21" t="s">
        <v>266</v>
      </c>
      <c r="AB99" s="21" t="n">
        <v>0</v>
      </c>
      <c r="AC99" s="90" t="s">
        <v>496</v>
      </c>
      <c r="AD99" s="91" t="n">
        <v>72.67</v>
      </c>
      <c r="AE99" s="21" t="n">
        <v>26.35</v>
      </c>
    </row>
    <row r="100" customFormat="false" ht="31.5" hidden="false" customHeight="false" outlineLevel="0" collapsed="false">
      <c r="A100" s="16" t="s">
        <v>42</v>
      </c>
      <c r="B100" s="16" t="s">
        <v>249</v>
      </c>
      <c r="C100" s="71" t="s">
        <v>493</v>
      </c>
      <c r="D100" s="16" t="s">
        <v>497</v>
      </c>
      <c r="E100" s="16" t="s">
        <v>498</v>
      </c>
      <c r="F100" s="16" t="n">
        <v>675.71</v>
      </c>
      <c r="G100" s="16" t="n">
        <v>110</v>
      </c>
      <c r="H100" s="16" t="n">
        <v>618</v>
      </c>
      <c r="I100" s="16" t="n">
        <v>321</v>
      </c>
      <c r="J100" s="16" t="n">
        <v>297</v>
      </c>
      <c r="K100" s="16" t="n">
        <v>115</v>
      </c>
      <c r="L100" s="19" t="n">
        <f aca="false">(K100/H100)*100</f>
        <v>18.6084142394822</v>
      </c>
      <c r="M100" s="16" t="n">
        <v>0</v>
      </c>
      <c r="N100" s="19" t="n">
        <f aca="false">(M100/H100)*100</f>
        <v>0</v>
      </c>
      <c r="O100" s="71" t="n">
        <v>31</v>
      </c>
      <c r="P100" s="71"/>
      <c r="Q100" s="71"/>
      <c r="R100" s="34" t="n">
        <v>44836</v>
      </c>
      <c r="S100" s="34"/>
      <c r="T100" s="108"/>
      <c r="U100" s="77"/>
      <c r="V100" s="77"/>
      <c r="W100" s="77"/>
      <c r="X100" s="77"/>
      <c r="Y100" s="77"/>
      <c r="Z100" s="77"/>
      <c r="AA100" s="21" t="s">
        <v>266</v>
      </c>
      <c r="AB100" s="21" t="n">
        <v>24</v>
      </c>
      <c r="AC100" s="90" t="s">
        <v>499</v>
      </c>
      <c r="AD100" s="91" t="n">
        <v>72.69</v>
      </c>
      <c r="AE100" s="21" t="n">
        <v>26.33</v>
      </c>
    </row>
    <row r="101" customFormat="false" ht="15.75" hidden="false" customHeight="false" outlineLevel="0" collapsed="false">
      <c r="A101" s="16" t="s">
        <v>42</v>
      </c>
      <c r="B101" s="16" t="s">
        <v>249</v>
      </c>
      <c r="C101" s="71" t="s">
        <v>493</v>
      </c>
      <c r="D101" s="16" t="s">
        <v>500</v>
      </c>
      <c r="E101" s="16" t="s">
        <v>501</v>
      </c>
      <c r="F101" s="16" t="n">
        <v>757.96</v>
      </c>
      <c r="G101" s="16" t="n">
        <v>240</v>
      </c>
      <c r="H101" s="16" t="n">
        <v>1260</v>
      </c>
      <c r="I101" s="16" t="n">
        <v>654</v>
      </c>
      <c r="J101" s="16" t="n">
        <v>606</v>
      </c>
      <c r="K101" s="16" t="n">
        <v>74</v>
      </c>
      <c r="L101" s="19" t="n">
        <f aca="false">(K101/H101)*100</f>
        <v>5.87301587301587</v>
      </c>
      <c r="M101" s="16" t="n">
        <v>0</v>
      </c>
      <c r="N101" s="19" t="n">
        <f aca="false">(M101/H101)*100</f>
        <v>0</v>
      </c>
      <c r="O101" s="71" t="n">
        <v>118.78</v>
      </c>
      <c r="P101" s="71"/>
      <c r="Q101" s="71"/>
      <c r="R101" s="34" t="n">
        <v>44836</v>
      </c>
      <c r="S101" s="34"/>
      <c r="T101" s="108"/>
      <c r="U101" s="77"/>
      <c r="V101" s="77"/>
      <c r="W101" s="77"/>
      <c r="X101" s="77"/>
      <c r="Y101" s="77"/>
      <c r="Z101" s="77"/>
      <c r="AA101" s="21" t="s">
        <v>266</v>
      </c>
      <c r="AB101" s="21" t="n">
        <v>10</v>
      </c>
      <c r="AC101" s="90" t="s">
        <v>502</v>
      </c>
      <c r="AD101" s="91" t="n">
        <v>72.63</v>
      </c>
      <c r="AE101" s="21" t="n">
        <v>26.34</v>
      </c>
    </row>
    <row r="102" customFormat="false" ht="15.75" hidden="false" customHeight="false" outlineLevel="0" collapsed="false">
      <c r="A102" s="16" t="s">
        <v>42</v>
      </c>
      <c r="B102" s="16" t="s">
        <v>249</v>
      </c>
      <c r="C102" s="71" t="s">
        <v>503</v>
      </c>
      <c r="D102" s="72" t="s">
        <v>504</v>
      </c>
      <c r="E102" s="16" t="s">
        <v>505</v>
      </c>
      <c r="F102" s="16" t="n">
        <v>1458</v>
      </c>
      <c r="G102" s="16" t="n">
        <v>292</v>
      </c>
      <c r="H102" s="16" t="n">
        <v>1840</v>
      </c>
      <c r="I102" s="16" t="n">
        <v>960</v>
      </c>
      <c r="J102" s="16" t="n">
        <v>880</v>
      </c>
      <c r="K102" s="16" t="n">
        <v>410</v>
      </c>
      <c r="L102" s="19" t="n">
        <f aca="false">(K102/H102)*100</f>
        <v>22.2826086956522</v>
      </c>
      <c r="M102" s="16" t="n">
        <v>52</v>
      </c>
      <c r="N102" s="19" t="n">
        <f aca="false">(M102/H102)*100</f>
        <v>2.82608695652174</v>
      </c>
      <c r="O102" s="71" t="n">
        <v>45</v>
      </c>
      <c r="P102" s="71"/>
      <c r="Q102" s="71"/>
      <c r="R102" s="87"/>
      <c r="S102" s="87"/>
      <c r="T102" s="88"/>
      <c r="U102" s="77"/>
      <c r="V102" s="77"/>
      <c r="W102" s="77"/>
      <c r="X102" s="77"/>
      <c r="Y102" s="77"/>
      <c r="Z102" s="77"/>
      <c r="AA102" s="87"/>
      <c r="AB102" s="87"/>
      <c r="AC102" s="16"/>
      <c r="AD102" s="87"/>
      <c r="AE102" s="87"/>
    </row>
    <row r="103" customFormat="false" ht="15.75" hidden="false" customHeight="false" outlineLevel="0" collapsed="false">
      <c r="A103" s="16" t="s">
        <v>42</v>
      </c>
      <c r="B103" s="16" t="s">
        <v>249</v>
      </c>
      <c r="C103" s="71" t="s">
        <v>503</v>
      </c>
      <c r="D103" s="16" t="s">
        <v>506</v>
      </c>
      <c r="E103" s="16" t="s">
        <v>507</v>
      </c>
      <c r="F103" s="16" t="n">
        <v>134</v>
      </c>
      <c r="G103" s="16" t="n">
        <v>116</v>
      </c>
      <c r="H103" s="16" t="n">
        <v>751</v>
      </c>
      <c r="I103" s="16" t="n">
        <v>382</v>
      </c>
      <c r="J103" s="16" t="n">
        <v>369</v>
      </c>
      <c r="K103" s="16" t="n">
        <v>169</v>
      </c>
      <c r="L103" s="19" t="n">
        <f aca="false">(K103/H103)*100</f>
        <v>22.5033288948069</v>
      </c>
      <c r="M103" s="16" t="n">
        <v>21</v>
      </c>
      <c r="N103" s="19" t="n">
        <f aca="false">(M103/H103)*100</f>
        <v>2.79627163781624</v>
      </c>
      <c r="O103" s="71" t="n">
        <v>14</v>
      </c>
      <c r="P103" s="71"/>
      <c r="Q103" s="71"/>
      <c r="R103" s="87"/>
      <c r="S103" s="87"/>
      <c r="T103" s="88"/>
      <c r="U103" s="77"/>
      <c r="V103" s="77"/>
      <c r="W103" s="77"/>
      <c r="X103" s="77"/>
      <c r="Y103" s="77"/>
      <c r="Z103" s="77"/>
      <c r="AA103" s="87"/>
      <c r="AB103" s="87"/>
      <c r="AC103" s="16"/>
      <c r="AD103" s="87"/>
      <c r="AE103" s="87"/>
    </row>
    <row r="104" customFormat="false" ht="15.75" hidden="false" customHeight="false" outlineLevel="0" collapsed="false">
      <c r="A104" s="16" t="s">
        <v>42</v>
      </c>
      <c r="B104" s="16" t="s">
        <v>249</v>
      </c>
      <c r="C104" s="71" t="s">
        <v>508</v>
      </c>
      <c r="D104" s="72" t="s">
        <v>508</v>
      </c>
      <c r="E104" s="16" t="s">
        <v>509</v>
      </c>
      <c r="F104" s="16" t="n">
        <v>2034</v>
      </c>
      <c r="G104" s="16" t="n">
        <v>400</v>
      </c>
      <c r="H104" s="16" t="n">
        <v>2406</v>
      </c>
      <c r="I104" s="16" t="n">
        <v>1257</v>
      </c>
      <c r="J104" s="16" t="n">
        <v>1149</v>
      </c>
      <c r="K104" s="16" t="n">
        <v>512</v>
      </c>
      <c r="L104" s="19" t="n">
        <f aca="false">(K104/H104)*100</f>
        <v>21.2801330008313</v>
      </c>
      <c r="M104" s="16" t="n">
        <v>209</v>
      </c>
      <c r="N104" s="19" t="n">
        <f aca="false">(M104/H104)*100</f>
        <v>8.68661679135495</v>
      </c>
      <c r="O104" s="71" t="n">
        <v>64</v>
      </c>
      <c r="P104" s="71"/>
      <c r="Q104" s="71"/>
      <c r="R104" s="74" t="n">
        <v>44597</v>
      </c>
      <c r="S104" s="74"/>
      <c r="T104" s="109"/>
      <c r="U104" s="77"/>
      <c r="V104" s="77"/>
      <c r="W104" s="77"/>
      <c r="X104" s="77"/>
      <c r="Y104" s="77"/>
      <c r="Z104" s="77"/>
      <c r="AA104" s="78" t="s">
        <v>50</v>
      </c>
      <c r="AB104" s="79" t="n">
        <v>4</v>
      </c>
      <c r="AC104" s="80" t="s">
        <v>276</v>
      </c>
      <c r="AD104" s="81" t="n">
        <v>26.414493</v>
      </c>
      <c r="AE104" s="81" t="n">
        <v>72.44436</v>
      </c>
    </row>
    <row r="105" customFormat="false" ht="15.75" hidden="false" customHeight="false" outlineLevel="0" collapsed="false">
      <c r="A105" s="16" t="s">
        <v>42</v>
      </c>
      <c r="B105" s="16" t="s">
        <v>249</v>
      </c>
      <c r="C105" s="71" t="s">
        <v>510</v>
      </c>
      <c r="D105" s="72" t="s">
        <v>511</v>
      </c>
      <c r="E105" s="16" t="s">
        <v>512</v>
      </c>
      <c r="F105" s="16" t="n">
        <v>909.5</v>
      </c>
      <c r="G105" s="16" t="n">
        <v>243</v>
      </c>
      <c r="H105" s="16" t="n">
        <v>1390</v>
      </c>
      <c r="I105" s="16" t="n">
        <v>703</v>
      </c>
      <c r="J105" s="16" t="n">
        <v>687</v>
      </c>
      <c r="K105" s="16" t="n">
        <v>190</v>
      </c>
      <c r="L105" s="19" t="n">
        <f aca="false">(K105/H105)*100</f>
        <v>13.6690647482014</v>
      </c>
      <c r="M105" s="16" t="n">
        <v>106</v>
      </c>
      <c r="N105" s="19" t="n">
        <f aca="false">(M105/H105)*100</f>
        <v>7.62589928057554</v>
      </c>
      <c r="O105" s="71" t="n">
        <v>51</v>
      </c>
      <c r="P105" s="71"/>
      <c r="Q105" s="71"/>
      <c r="R105" s="87"/>
      <c r="S105" s="87"/>
      <c r="T105" s="88"/>
      <c r="U105" s="77"/>
      <c r="V105" s="77"/>
      <c r="W105" s="77"/>
      <c r="X105" s="77"/>
      <c r="Y105" s="77"/>
      <c r="Z105" s="77"/>
      <c r="AA105" s="87"/>
      <c r="AB105" s="87"/>
      <c r="AC105" s="16"/>
      <c r="AD105" s="87"/>
      <c r="AE105" s="87"/>
    </row>
    <row r="106" customFormat="false" ht="15.75" hidden="false" customHeight="false" outlineLevel="0" collapsed="false">
      <c r="A106" s="16" t="s">
        <v>42</v>
      </c>
      <c r="B106" s="16" t="s">
        <v>249</v>
      </c>
      <c r="C106" s="71" t="s">
        <v>510</v>
      </c>
      <c r="D106" s="16" t="s">
        <v>513</v>
      </c>
      <c r="E106" s="16" t="s">
        <v>514</v>
      </c>
      <c r="F106" s="16" t="n">
        <v>1062.75</v>
      </c>
      <c r="G106" s="16" t="n">
        <v>232</v>
      </c>
      <c r="H106" s="16" t="n">
        <v>1477</v>
      </c>
      <c r="I106" s="16" t="n">
        <v>791</v>
      </c>
      <c r="J106" s="16" t="n">
        <v>686</v>
      </c>
      <c r="K106" s="16" t="n">
        <v>336</v>
      </c>
      <c r="L106" s="19" t="n">
        <f aca="false">(K106/H106)*100</f>
        <v>22.7488151658768</v>
      </c>
      <c r="M106" s="16" t="n">
        <v>0</v>
      </c>
      <c r="N106" s="19" t="n">
        <f aca="false">(M106/H106)*100</f>
        <v>0</v>
      </c>
      <c r="O106" s="71" t="n">
        <v>125</v>
      </c>
      <c r="P106" s="71"/>
      <c r="Q106" s="71"/>
      <c r="R106" s="87"/>
      <c r="S106" s="87"/>
      <c r="T106" s="88"/>
      <c r="U106" s="77"/>
      <c r="V106" s="77"/>
      <c r="W106" s="77"/>
      <c r="X106" s="77"/>
      <c r="Y106" s="77"/>
      <c r="Z106" s="77"/>
      <c r="AA106" s="87"/>
      <c r="AB106" s="87"/>
      <c r="AC106" s="16"/>
      <c r="AD106" s="87"/>
      <c r="AE106" s="87"/>
    </row>
    <row r="107" customFormat="false" ht="15.75" hidden="false" customHeight="false" outlineLevel="0" collapsed="false">
      <c r="A107" s="16" t="s">
        <v>42</v>
      </c>
      <c r="B107" s="16" t="s">
        <v>249</v>
      </c>
      <c r="C107" s="71" t="s">
        <v>510</v>
      </c>
      <c r="D107" s="16" t="s">
        <v>515</v>
      </c>
      <c r="E107" s="16" t="s">
        <v>516</v>
      </c>
      <c r="F107" s="16" t="n">
        <v>557.72</v>
      </c>
      <c r="G107" s="16" t="n">
        <v>109</v>
      </c>
      <c r="H107" s="16" t="n">
        <v>666</v>
      </c>
      <c r="I107" s="16" t="n">
        <v>372</v>
      </c>
      <c r="J107" s="16" t="n">
        <v>294</v>
      </c>
      <c r="K107" s="16" t="n">
        <v>315</v>
      </c>
      <c r="L107" s="19" t="n">
        <f aca="false">(K107/H107)*100</f>
        <v>47.2972972972973</v>
      </c>
      <c r="M107" s="16" t="n">
        <v>15</v>
      </c>
      <c r="N107" s="19" t="n">
        <f aca="false">(M107/H107)*100</f>
        <v>2.25225225225225</v>
      </c>
      <c r="O107" s="71" t="n">
        <v>50</v>
      </c>
      <c r="P107" s="71"/>
      <c r="Q107" s="71"/>
      <c r="R107" s="87"/>
      <c r="S107" s="87"/>
      <c r="T107" s="88"/>
      <c r="U107" s="77"/>
      <c r="V107" s="77"/>
      <c r="W107" s="77"/>
      <c r="X107" s="77"/>
      <c r="Y107" s="77"/>
      <c r="Z107" s="77"/>
      <c r="AA107" s="87"/>
      <c r="AB107" s="87"/>
      <c r="AC107" s="16"/>
      <c r="AD107" s="87"/>
      <c r="AE107" s="87"/>
    </row>
    <row r="108" customFormat="false" ht="15.75" hidden="false" customHeight="false" outlineLevel="0" collapsed="false">
      <c r="A108" s="16" t="s">
        <v>42</v>
      </c>
      <c r="B108" s="16" t="s">
        <v>249</v>
      </c>
      <c r="C108" s="71" t="s">
        <v>517</v>
      </c>
      <c r="D108" s="72" t="s">
        <v>518</v>
      </c>
      <c r="E108" s="16" t="s">
        <v>519</v>
      </c>
      <c r="F108" s="16" t="n">
        <v>747.4</v>
      </c>
      <c r="G108" s="16" t="n">
        <v>263</v>
      </c>
      <c r="H108" s="16" t="n">
        <v>1642</v>
      </c>
      <c r="I108" s="16" t="n">
        <v>846</v>
      </c>
      <c r="J108" s="16" t="n">
        <v>796</v>
      </c>
      <c r="K108" s="16" t="n">
        <v>20</v>
      </c>
      <c r="L108" s="19" t="n">
        <f aca="false">(K108/H108)*100</f>
        <v>1.21802679658952</v>
      </c>
      <c r="M108" s="16" t="n">
        <v>0</v>
      </c>
      <c r="N108" s="19" t="n">
        <f aca="false">(M108/H108)*100</f>
        <v>0</v>
      </c>
      <c r="O108" s="71" t="n">
        <v>4.1</v>
      </c>
      <c r="P108" s="71"/>
      <c r="Q108" s="71"/>
      <c r="R108" s="87"/>
      <c r="S108" s="87"/>
      <c r="T108" s="88"/>
      <c r="U108" s="77"/>
      <c r="V108" s="77"/>
      <c r="W108" s="77"/>
      <c r="X108" s="77"/>
      <c r="Y108" s="77"/>
      <c r="Z108" s="77"/>
      <c r="AA108" s="87"/>
      <c r="AB108" s="87"/>
      <c r="AC108" s="16"/>
      <c r="AD108" s="87"/>
      <c r="AE108" s="87"/>
    </row>
    <row r="109" customFormat="false" ht="15.75" hidden="false" customHeight="false" outlineLevel="0" collapsed="false">
      <c r="A109" s="16" t="s">
        <v>42</v>
      </c>
      <c r="B109" s="16" t="s">
        <v>249</v>
      </c>
      <c r="C109" s="71" t="s">
        <v>517</v>
      </c>
      <c r="D109" s="16" t="s">
        <v>520</v>
      </c>
      <c r="E109" s="16" t="s">
        <v>521</v>
      </c>
      <c r="F109" s="16" t="n">
        <v>648.96</v>
      </c>
      <c r="G109" s="16" t="n">
        <v>198</v>
      </c>
      <c r="H109" s="16" t="n">
        <v>1061</v>
      </c>
      <c r="I109" s="16" t="n">
        <v>575</v>
      </c>
      <c r="J109" s="16" t="n">
        <v>486</v>
      </c>
      <c r="K109" s="16" t="n">
        <v>76</v>
      </c>
      <c r="L109" s="19" t="n">
        <f aca="false">(K109/H109)*100</f>
        <v>7.16305372290292</v>
      </c>
      <c r="M109" s="16" t="n">
        <v>0</v>
      </c>
      <c r="N109" s="19" t="n">
        <f aca="false">(M109/H109)*100</f>
        <v>0</v>
      </c>
      <c r="O109" s="71" t="n">
        <v>13.13</v>
      </c>
      <c r="P109" s="71"/>
      <c r="Q109" s="71"/>
      <c r="R109" s="87"/>
      <c r="S109" s="87"/>
      <c r="T109" s="88"/>
      <c r="U109" s="77"/>
      <c r="V109" s="77"/>
      <c r="W109" s="77"/>
      <c r="X109" s="77"/>
      <c r="Y109" s="77"/>
      <c r="Z109" s="77"/>
      <c r="AA109" s="87"/>
      <c r="AB109" s="87"/>
      <c r="AC109" s="16"/>
      <c r="AD109" s="87"/>
      <c r="AE109" s="87"/>
    </row>
    <row r="110" customFormat="false" ht="15.75" hidden="false" customHeight="false" outlineLevel="0" collapsed="false">
      <c r="A110" s="16" t="s">
        <v>42</v>
      </c>
      <c r="B110" s="16" t="s">
        <v>249</v>
      </c>
      <c r="C110" s="71" t="s">
        <v>517</v>
      </c>
      <c r="D110" s="16" t="s">
        <v>522</v>
      </c>
      <c r="E110" s="16" t="s">
        <v>523</v>
      </c>
      <c r="F110" s="16" t="n">
        <v>403.47</v>
      </c>
      <c r="G110" s="16" t="n">
        <v>191</v>
      </c>
      <c r="H110" s="16" t="n">
        <v>1187</v>
      </c>
      <c r="I110" s="16" t="n">
        <v>616</v>
      </c>
      <c r="J110" s="16" t="n">
        <v>571</v>
      </c>
      <c r="K110" s="16" t="n">
        <v>149</v>
      </c>
      <c r="L110" s="19" t="n">
        <f aca="false">(K110/H110)*100</f>
        <v>12.5526537489469</v>
      </c>
      <c r="M110" s="16" t="n">
        <v>0</v>
      </c>
      <c r="N110" s="19" t="n">
        <f aca="false">(M110/H110)*100</f>
        <v>0</v>
      </c>
      <c r="O110" s="71" t="n">
        <v>12.98</v>
      </c>
      <c r="P110" s="71"/>
      <c r="Q110" s="71"/>
      <c r="R110" s="87"/>
      <c r="S110" s="87"/>
      <c r="T110" s="88"/>
      <c r="U110" s="77"/>
      <c r="V110" s="77"/>
      <c r="W110" s="77"/>
      <c r="X110" s="77"/>
      <c r="Y110" s="77"/>
      <c r="Z110" s="77"/>
      <c r="AA110" s="87"/>
      <c r="AB110" s="87"/>
      <c r="AC110" s="16"/>
      <c r="AD110" s="87"/>
      <c r="AE110" s="87"/>
    </row>
    <row r="111" customFormat="false" ht="31.5" hidden="false" customHeight="false" outlineLevel="0" collapsed="false">
      <c r="A111" s="16" t="s">
        <v>42</v>
      </c>
      <c r="B111" s="16" t="s">
        <v>249</v>
      </c>
      <c r="C111" s="71" t="s">
        <v>524</v>
      </c>
      <c r="D111" s="72" t="s">
        <v>524</v>
      </c>
      <c r="E111" s="16" t="s">
        <v>525</v>
      </c>
      <c r="F111" s="16" t="n">
        <v>1133.68</v>
      </c>
      <c r="G111" s="16" t="n">
        <v>152</v>
      </c>
      <c r="H111" s="16" t="n">
        <v>827</v>
      </c>
      <c r="I111" s="16" t="n">
        <v>440</v>
      </c>
      <c r="J111" s="16" t="n">
        <v>387</v>
      </c>
      <c r="K111" s="16" t="n">
        <v>130</v>
      </c>
      <c r="L111" s="19" t="n">
        <f aca="false">(K111/H111)*100</f>
        <v>15.7194679564692</v>
      </c>
      <c r="M111" s="16" t="n">
        <v>101</v>
      </c>
      <c r="N111" s="19" t="n">
        <f aca="false">(M111/H111)*100</f>
        <v>12.2128174123337</v>
      </c>
      <c r="O111" s="71" t="n">
        <v>173</v>
      </c>
      <c r="P111" s="71"/>
      <c r="Q111" s="71"/>
      <c r="R111" s="34" t="n">
        <v>44836</v>
      </c>
      <c r="S111" s="34"/>
      <c r="T111" s="108"/>
      <c r="U111" s="77"/>
      <c r="V111" s="77"/>
      <c r="W111" s="77"/>
      <c r="X111" s="77"/>
      <c r="Y111" s="77"/>
      <c r="Z111" s="77"/>
      <c r="AA111" s="21" t="s">
        <v>266</v>
      </c>
      <c r="AB111" s="21" t="n">
        <v>12</v>
      </c>
      <c r="AC111" s="90" t="s">
        <v>526</v>
      </c>
      <c r="AD111" s="21"/>
      <c r="AE111" s="21"/>
    </row>
    <row r="112" customFormat="false" ht="15.75" hidden="false" customHeight="false" outlineLevel="0" collapsed="false">
      <c r="A112" s="16" t="s">
        <v>42</v>
      </c>
      <c r="B112" s="16" t="s">
        <v>249</v>
      </c>
      <c r="C112" s="71" t="s">
        <v>524</v>
      </c>
      <c r="D112" s="16" t="s">
        <v>527</v>
      </c>
      <c r="E112" s="16" t="s">
        <v>528</v>
      </c>
      <c r="F112" s="16" t="n">
        <v>476.32</v>
      </c>
      <c r="G112" s="16" t="n">
        <v>86</v>
      </c>
      <c r="H112" s="16" t="n">
        <v>505</v>
      </c>
      <c r="I112" s="16" t="n">
        <v>263</v>
      </c>
      <c r="J112" s="16" t="n">
        <v>242</v>
      </c>
      <c r="K112" s="16" t="n">
        <v>28</v>
      </c>
      <c r="L112" s="19" t="n">
        <f aca="false">(K112/H112)*100</f>
        <v>5.54455445544555</v>
      </c>
      <c r="M112" s="16" t="n">
        <v>164</v>
      </c>
      <c r="N112" s="19" t="n">
        <f aca="false">(M112/H112)*100</f>
        <v>32.4752475247525</v>
      </c>
      <c r="O112" s="71" t="n">
        <v>30</v>
      </c>
      <c r="P112" s="71"/>
      <c r="Q112" s="71"/>
      <c r="R112" s="34" t="n">
        <v>44836</v>
      </c>
      <c r="S112" s="34"/>
      <c r="T112" s="108"/>
      <c r="U112" s="77"/>
      <c r="V112" s="77"/>
      <c r="W112" s="77"/>
      <c r="X112" s="77"/>
      <c r="Y112" s="77"/>
      <c r="Z112" s="77"/>
      <c r="AA112" s="21" t="s">
        <v>266</v>
      </c>
      <c r="AB112" s="21"/>
      <c r="AC112" s="36" t="n">
        <v>0</v>
      </c>
      <c r="AD112" s="21"/>
      <c r="AE112" s="21"/>
    </row>
    <row r="113" customFormat="false" ht="15.75" hidden="false" customHeight="false" outlineLevel="0" collapsed="false">
      <c r="A113" s="16" t="s">
        <v>42</v>
      </c>
      <c r="B113" s="16" t="s">
        <v>249</v>
      </c>
      <c r="C113" s="71" t="s">
        <v>524</v>
      </c>
      <c r="D113" s="16" t="s">
        <v>529</v>
      </c>
      <c r="E113" s="16" t="s">
        <v>530</v>
      </c>
      <c r="F113" s="16" t="n">
        <v>349.29</v>
      </c>
      <c r="G113" s="16" t="n">
        <v>48</v>
      </c>
      <c r="H113" s="16" t="n">
        <v>240</v>
      </c>
      <c r="I113" s="16" t="n">
        <v>122</v>
      </c>
      <c r="J113" s="16" t="n">
        <v>118</v>
      </c>
      <c r="K113" s="16" t="n">
        <v>17</v>
      </c>
      <c r="L113" s="19" t="n">
        <f aca="false">(K113/H113)*100</f>
        <v>7.08333333333333</v>
      </c>
      <c r="M113" s="16" t="n">
        <v>0</v>
      </c>
      <c r="N113" s="19" t="n">
        <f aca="false">(M113/H113)*100</f>
        <v>0</v>
      </c>
      <c r="O113" s="71" t="n">
        <v>12</v>
      </c>
      <c r="P113" s="71"/>
      <c r="Q113" s="71"/>
      <c r="R113" s="34" t="n">
        <v>44836</v>
      </c>
      <c r="S113" s="34"/>
      <c r="T113" s="108"/>
      <c r="U113" s="77"/>
      <c r="V113" s="77"/>
      <c r="W113" s="77"/>
      <c r="X113" s="77"/>
      <c r="Y113" s="77"/>
      <c r="Z113" s="77"/>
      <c r="AA113" s="21" t="s">
        <v>266</v>
      </c>
      <c r="AB113" s="21" t="n">
        <v>0</v>
      </c>
      <c r="AC113" s="36" t="n">
        <v>0</v>
      </c>
      <c r="AD113" s="21" t="n">
        <v>0</v>
      </c>
      <c r="AE113" s="21" t="n">
        <v>0</v>
      </c>
    </row>
    <row r="114" customFormat="false" ht="15.75" hidden="false" customHeight="false" outlineLevel="0" collapsed="false">
      <c r="A114" s="16" t="s">
        <v>42</v>
      </c>
      <c r="B114" s="16" t="s">
        <v>249</v>
      </c>
      <c r="C114" s="71" t="s">
        <v>524</v>
      </c>
      <c r="D114" s="16" t="s">
        <v>358</v>
      </c>
      <c r="E114" s="16" t="s">
        <v>531</v>
      </c>
      <c r="F114" s="16" t="n">
        <v>2140</v>
      </c>
      <c r="G114" s="16" t="n">
        <v>267</v>
      </c>
      <c r="H114" s="16" t="n">
        <v>1639</v>
      </c>
      <c r="I114" s="16" t="n">
        <v>836</v>
      </c>
      <c r="J114" s="16" t="n">
        <v>803</v>
      </c>
      <c r="K114" s="16" t="n">
        <v>736</v>
      </c>
      <c r="L114" s="19" t="n">
        <f aca="false">(K114/H114)*100</f>
        <v>44.9054301403295</v>
      </c>
      <c r="M114" s="16" t="n">
        <v>25</v>
      </c>
      <c r="N114" s="19" t="n">
        <f aca="false">(M114/H114)*100</f>
        <v>1.52532031726663</v>
      </c>
      <c r="O114" s="71" t="n">
        <v>431</v>
      </c>
      <c r="P114" s="71"/>
      <c r="Q114" s="71"/>
      <c r="R114" s="34" t="n">
        <v>44836</v>
      </c>
      <c r="S114" s="34"/>
      <c r="T114" s="108"/>
      <c r="U114" s="77"/>
      <c r="V114" s="77"/>
      <c r="W114" s="77"/>
      <c r="X114" s="77"/>
      <c r="Y114" s="77"/>
      <c r="Z114" s="77"/>
      <c r="AA114" s="21" t="s">
        <v>266</v>
      </c>
      <c r="AB114" s="21"/>
      <c r="AC114" s="36" t="n">
        <v>0</v>
      </c>
      <c r="AD114" s="21"/>
      <c r="AE114" s="21"/>
    </row>
    <row r="115" customFormat="false" ht="15.75" hidden="false" customHeight="false" outlineLevel="0" collapsed="false">
      <c r="A115" s="16" t="s">
        <v>42</v>
      </c>
      <c r="B115" s="16" t="s">
        <v>249</v>
      </c>
      <c r="C115" s="71" t="s">
        <v>532</v>
      </c>
      <c r="D115" s="72" t="s">
        <v>533</v>
      </c>
      <c r="E115" s="16" t="s">
        <v>534</v>
      </c>
      <c r="F115" s="16" t="n">
        <v>249.95</v>
      </c>
      <c r="G115" s="16" t="n">
        <v>429</v>
      </c>
      <c r="H115" s="16" t="n">
        <v>2515</v>
      </c>
      <c r="I115" s="16" t="n">
        <v>1325</v>
      </c>
      <c r="J115" s="16" t="n">
        <v>1190</v>
      </c>
      <c r="K115" s="16" t="n">
        <v>873</v>
      </c>
      <c r="L115" s="19" t="n">
        <f aca="false">(K115/H115)*100</f>
        <v>34.7117296222664</v>
      </c>
      <c r="M115" s="16" t="n">
        <v>0</v>
      </c>
      <c r="N115" s="19" t="n">
        <f aca="false">(M115/H115)*100</f>
        <v>0</v>
      </c>
      <c r="O115" s="71" t="n">
        <v>78</v>
      </c>
      <c r="P115" s="71"/>
      <c r="Q115" s="71"/>
      <c r="R115" s="87"/>
      <c r="S115" s="87"/>
      <c r="T115" s="88"/>
      <c r="U115" s="77"/>
      <c r="V115" s="77"/>
      <c r="W115" s="77"/>
      <c r="X115" s="77"/>
      <c r="Y115" s="77"/>
      <c r="Z115" s="77"/>
      <c r="AA115" s="87"/>
      <c r="AB115" s="87"/>
      <c r="AC115" s="16"/>
      <c r="AD115" s="87"/>
      <c r="AE115" s="87"/>
    </row>
    <row r="116" customFormat="false" ht="15.75" hidden="false" customHeight="false" outlineLevel="0" collapsed="false">
      <c r="A116" s="16" t="s">
        <v>42</v>
      </c>
      <c r="B116" s="16" t="s">
        <v>249</v>
      </c>
      <c r="C116" s="71" t="s">
        <v>532</v>
      </c>
      <c r="D116" s="16" t="s">
        <v>535</v>
      </c>
      <c r="E116" s="16" t="s">
        <v>536</v>
      </c>
      <c r="F116" s="16" t="n">
        <v>203.37</v>
      </c>
      <c r="G116" s="16" t="n">
        <v>85</v>
      </c>
      <c r="H116" s="16" t="n">
        <v>517</v>
      </c>
      <c r="I116" s="16" t="n">
        <v>270</v>
      </c>
      <c r="J116" s="16" t="n">
        <v>247</v>
      </c>
      <c r="K116" s="16" t="n">
        <v>1</v>
      </c>
      <c r="L116" s="19" t="n">
        <f aca="false">(K116/H116)*100</f>
        <v>0.193423597678917</v>
      </c>
      <c r="M116" s="16" t="n">
        <v>0</v>
      </c>
      <c r="N116" s="19" t="n">
        <f aca="false">(M116/H116)*100</f>
        <v>0</v>
      </c>
      <c r="O116" s="16" t="n">
        <v>0</v>
      </c>
      <c r="P116" s="16"/>
      <c r="Q116" s="16"/>
      <c r="R116" s="87"/>
      <c r="S116" s="87"/>
      <c r="T116" s="88"/>
      <c r="U116" s="77"/>
      <c r="V116" s="77"/>
      <c r="W116" s="77"/>
      <c r="X116" s="77"/>
      <c r="Y116" s="77"/>
      <c r="Z116" s="77"/>
      <c r="AA116" s="87"/>
      <c r="AB116" s="87"/>
      <c r="AC116" s="16"/>
      <c r="AD116" s="87"/>
      <c r="AE116" s="87"/>
    </row>
    <row r="117" customFormat="false" ht="15.75" hidden="false" customHeight="false" outlineLevel="0" collapsed="false">
      <c r="A117" s="16" t="s">
        <v>42</v>
      </c>
      <c r="B117" s="16" t="s">
        <v>249</v>
      </c>
      <c r="C117" s="71" t="s">
        <v>532</v>
      </c>
      <c r="D117" s="16" t="s">
        <v>537</v>
      </c>
      <c r="E117" s="16" t="s">
        <v>538</v>
      </c>
      <c r="F117" s="16" t="n">
        <v>622.33</v>
      </c>
      <c r="G117" s="16" t="n">
        <v>160</v>
      </c>
      <c r="H117" s="16" t="n">
        <v>1027</v>
      </c>
      <c r="I117" s="16" t="n">
        <v>535</v>
      </c>
      <c r="J117" s="16" t="n">
        <v>492</v>
      </c>
      <c r="K117" s="16" t="n">
        <v>140</v>
      </c>
      <c r="L117" s="19" t="n">
        <f aca="false">(K117/H117)*100</f>
        <v>13.6319376825706</v>
      </c>
      <c r="M117" s="16" t="n">
        <v>6</v>
      </c>
      <c r="N117" s="19" t="n">
        <f aca="false">(M117/H117)*100</f>
        <v>0.584225900681597</v>
      </c>
      <c r="O117" s="16" t="n">
        <v>0</v>
      </c>
      <c r="P117" s="16"/>
      <c r="Q117" s="16"/>
      <c r="R117" s="87"/>
      <c r="S117" s="87"/>
      <c r="T117" s="88"/>
      <c r="U117" s="77"/>
      <c r="V117" s="77"/>
      <c r="W117" s="77"/>
      <c r="X117" s="77"/>
      <c r="Y117" s="77"/>
      <c r="Z117" s="77"/>
      <c r="AA117" s="87"/>
      <c r="AB117" s="87"/>
      <c r="AC117" s="16"/>
      <c r="AD117" s="87"/>
      <c r="AE117" s="87"/>
    </row>
    <row r="118" customFormat="false" ht="15.75" hidden="false" customHeight="false" outlineLevel="0" collapsed="false">
      <c r="A118" s="16" t="s">
        <v>42</v>
      </c>
      <c r="B118" s="16" t="s">
        <v>249</v>
      </c>
      <c r="C118" s="71" t="s">
        <v>532</v>
      </c>
      <c r="D118" s="16" t="s">
        <v>539</v>
      </c>
      <c r="E118" s="16" t="s">
        <v>540</v>
      </c>
      <c r="F118" s="16" t="n">
        <v>381.39</v>
      </c>
      <c r="G118" s="16" t="n">
        <v>37</v>
      </c>
      <c r="H118" s="16" t="n">
        <v>249</v>
      </c>
      <c r="I118" s="16" t="n">
        <v>138</v>
      </c>
      <c r="J118" s="16" t="n">
        <v>111</v>
      </c>
      <c r="K118" s="16" t="n">
        <v>34</v>
      </c>
      <c r="L118" s="19" t="n">
        <f aca="false">(K118/H118)*100</f>
        <v>13.6546184738956</v>
      </c>
      <c r="M118" s="16" t="n">
        <v>0</v>
      </c>
      <c r="N118" s="19" t="n">
        <f aca="false">(M118/H118)*100</f>
        <v>0</v>
      </c>
      <c r="O118" s="16" t="n">
        <v>0</v>
      </c>
      <c r="P118" s="16"/>
      <c r="Q118" s="16"/>
      <c r="R118" s="87"/>
      <c r="S118" s="87"/>
      <c r="T118" s="88"/>
      <c r="U118" s="77"/>
      <c r="V118" s="77"/>
      <c r="W118" s="77"/>
      <c r="X118" s="77"/>
      <c r="Y118" s="77"/>
      <c r="Z118" s="77"/>
      <c r="AA118" s="87"/>
      <c r="AB118" s="87"/>
      <c r="AC118" s="16"/>
      <c r="AD118" s="87"/>
      <c r="AE118" s="87"/>
    </row>
    <row r="119" customFormat="false" ht="15.75" hidden="false" customHeight="false" outlineLevel="0" collapsed="false">
      <c r="A119" s="16" t="s">
        <v>42</v>
      </c>
      <c r="B119" s="16" t="s">
        <v>249</v>
      </c>
      <c r="C119" s="71" t="s">
        <v>532</v>
      </c>
      <c r="D119" s="16" t="s">
        <v>541</v>
      </c>
      <c r="E119" s="16" t="s">
        <v>542</v>
      </c>
      <c r="F119" s="16" t="n">
        <v>567.04</v>
      </c>
      <c r="G119" s="16" t="n">
        <v>44</v>
      </c>
      <c r="H119" s="16" t="n">
        <v>216</v>
      </c>
      <c r="I119" s="16" t="n">
        <v>115</v>
      </c>
      <c r="J119" s="16" t="n">
        <v>101</v>
      </c>
      <c r="K119" s="16" t="n">
        <v>0</v>
      </c>
      <c r="L119" s="19" t="n">
        <f aca="false">(K119/H119)*100</f>
        <v>0</v>
      </c>
      <c r="M119" s="16" t="n">
        <v>0</v>
      </c>
      <c r="N119" s="19" t="n">
        <f aca="false">(M119/H119)*100</f>
        <v>0</v>
      </c>
      <c r="O119" s="16" t="n">
        <v>0</v>
      </c>
      <c r="P119" s="16"/>
      <c r="Q119" s="16"/>
      <c r="R119" s="87"/>
      <c r="S119" s="87"/>
      <c r="T119" s="88"/>
      <c r="U119" s="77"/>
      <c r="V119" s="77"/>
      <c r="W119" s="77"/>
      <c r="X119" s="77"/>
      <c r="Y119" s="77"/>
      <c r="Z119" s="77"/>
      <c r="AA119" s="87"/>
      <c r="AB119" s="87"/>
      <c r="AC119" s="16"/>
      <c r="AD119" s="87"/>
      <c r="AE119" s="87"/>
    </row>
    <row r="120" customFormat="false" ht="15.75" hidden="false" customHeight="false" outlineLevel="0" collapsed="false">
      <c r="A120" s="16" t="s">
        <v>42</v>
      </c>
      <c r="B120" s="16" t="s">
        <v>249</v>
      </c>
      <c r="C120" s="71" t="s">
        <v>532</v>
      </c>
      <c r="D120" s="16" t="s">
        <v>543</v>
      </c>
      <c r="E120" s="16" t="s">
        <v>544</v>
      </c>
      <c r="F120" s="16" t="n">
        <v>478.83</v>
      </c>
      <c r="G120" s="16" t="n">
        <v>45</v>
      </c>
      <c r="H120" s="16" t="n">
        <v>277</v>
      </c>
      <c r="I120" s="16" t="n">
        <v>148</v>
      </c>
      <c r="J120" s="16" t="n">
        <v>129</v>
      </c>
      <c r="K120" s="16" t="n">
        <v>1</v>
      </c>
      <c r="L120" s="19" t="n">
        <f aca="false">(K120/H120)*100</f>
        <v>0.36101083032491</v>
      </c>
      <c r="M120" s="16" t="n">
        <v>25</v>
      </c>
      <c r="N120" s="19" t="n">
        <f aca="false">(M120/H120)*100</f>
        <v>9.02527075812274</v>
      </c>
      <c r="O120" s="16" t="n">
        <v>0</v>
      </c>
      <c r="P120" s="16"/>
      <c r="Q120" s="16"/>
      <c r="R120" s="87"/>
      <c r="S120" s="87"/>
      <c r="T120" s="88"/>
      <c r="U120" s="77"/>
      <c r="V120" s="77"/>
      <c r="W120" s="77"/>
      <c r="X120" s="77"/>
      <c r="Y120" s="77"/>
      <c r="Z120" s="77"/>
      <c r="AA120" s="87"/>
      <c r="AB120" s="87"/>
      <c r="AC120" s="16"/>
      <c r="AD120" s="87"/>
      <c r="AE120" s="87"/>
    </row>
    <row r="121" customFormat="false" ht="15.75" hidden="false" customHeight="false" outlineLevel="0" collapsed="false">
      <c r="A121" s="58"/>
      <c r="B121" s="58"/>
      <c r="C121" s="58"/>
      <c r="D121" s="58"/>
      <c r="E121" s="58"/>
      <c r="F121" s="58" t="n">
        <f aca="false">SUM(F4:F120)</f>
        <v>92579.51</v>
      </c>
      <c r="G121" s="58" t="n">
        <f aca="false">SUM(G4:G120)</f>
        <v>21793</v>
      </c>
      <c r="H121" s="58" t="n">
        <f aca="false">SUM(H4:H120)</f>
        <v>132325</v>
      </c>
      <c r="I121" s="58" t="n">
        <f aca="false">SUM(I4:I120)</f>
        <v>69396</v>
      </c>
      <c r="J121" s="58" t="n">
        <f aca="false">SUM(J4:J120)</f>
        <v>62929</v>
      </c>
      <c r="K121" s="58" t="n">
        <f aca="false">SUM(K4:K120)</f>
        <v>20916</v>
      </c>
      <c r="L121" s="58"/>
      <c r="M121" s="58" t="n">
        <f aca="false">SUM(M4:M120)</f>
        <v>5758</v>
      </c>
      <c r="N121" s="58"/>
      <c r="O121" s="110" t="n">
        <f aca="false">SUM(O4:O120)</f>
        <v>4759.95</v>
      </c>
      <c r="P121" s="110"/>
      <c r="Q121" s="110"/>
      <c r="R121" s="111"/>
      <c r="S121" s="111"/>
      <c r="T121" s="112"/>
      <c r="AC121" s="58"/>
      <c r="AD121" s="111"/>
      <c r="AE121" s="111"/>
    </row>
  </sheetData>
  <mergeCells count="3">
    <mergeCell ref="K2:L2"/>
    <mergeCell ref="M2:N2"/>
    <mergeCell ref="AD2:AE2"/>
  </mergeCells>
  <conditionalFormatting sqref="AC5">
    <cfRule type="duplicateValues" priority="2" aboveAverage="0" equalAverage="0" bottom="0" percent="0" rank="0" text="" dxfId="0"/>
  </conditionalFormatting>
  <conditionalFormatting sqref="AC4">
    <cfRule type="duplicateValues" priority="3" aboveAverage="0" equalAverage="0" bottom="0" percent="0" rank="0" text="" dxfId="1"/>
  </conditionalFormatting>
  <conditionalFormatting sqref="AC104"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E183"/>
  <sheetViews>
    <sheetView showFormulas="false" showGridLines="true" showRowColHeaders="true" showZeros="true" rightToLeft="false" tabSelected="false" showOutlineSymbols="true" defaultGridColor="true" view="normal" topLeftCell="Y1" colorId="64" zoomScale="100" zoomScaleNormal="100" zoomScalePageLayoutView="100" workbookViewId="0">
      <selection pane="topLeft" activeCell="AJ8" activeCellId="0" sqref="AJ8"/>
    </sheetView>
  </sheetViews>
  <sheetFormatPr defaultColWidth="9.14453125" defaultRowHeight="15" zeroHeight="false" outlineLevelRow="0" outlineLevelCol="0"/>
  <cols>
    <col collapsed="false" customWidth="true" hidden="false" outlineLevel="0" max="1" min="1" style="77" width="9.85"/>
    <col collapsed="false" customWidth="true" hidden="false" outlineLevel="0" max="2" min="2" style="77" width="12.57"/>
    <col collapsed="false" customWidth="true" hidden="false" outlineLevel="0" max="3" min="3" style="77" width="21.15"/>
    <col collapsed="false" customWidth="true" hidden="false" outlineLevel="0" max="4" min="4" style="77" width="26.85"/>
    <col collapsed="false" customWidth="true" hidden="false" outlineLevel="0" max="5" min="5" style="77" width="20.14"/>
    <col collapsed="false" customWidth="true" hidden="false" outlineLevel="0" max="6" min="6" style="77" width="13.71"/>
    <col collapsed="false" customWidth="true" hidden="false" outlineLevel="0" max="7" min="7" style="77" width="12.28"/>
    <col collapsed="false" customWidth="true" hidden="false" outlineLevel="0" max="8" min="8" style="77" width="12.43"/>
    <col collapsed="false" customWidth="true" hidden="false" outlineLevel="0" max="9" min="9" style="77" width="10.28"/>
    <col collapsed="false" customWidth="true" hidden="false" outlineLevel="0" max="10" min="10" style="77" width="9.43"/>
    <col collapsed="false" customWidth="true" hidden="false" outlineLevel="0" max="11" min="11" style="77" width="10.85"/>
    <col collapsed="false" customWidth="true" hidden="false" outlineLevel="0" max="12" min="12" style="77" width="14"/>
    <col collapsed="false" customWidth="true" hidden="false" outlineLevel="0" max="13" min="13" style="77" width="10.85"/>
    <col collapsed="false" customWidth="true" hidden="false" outlineLevel="0" max="14" min="14" style="77" width="8.14"/>
    <col collapsed="false" customWidth="true" hidden="false" outlineLevel="0" max="15" min="15" style="113" width="22.85"/>
    <col collapsed="false" customWidth="true" hidden="false" outlineLevel="0" max="17" min="16" style="113" width="12"/>
    <col collapsed="false" customWidth="true" hidden="false" outlineLevel="0" max="19" min="18" style="114" width="14.43"/>
    <col collapsed="false" customWidth="true" hidden="false" outlineLevel="0" max="20" min="20" style="115" width="15.57"/>
    <col collapsed="false" customWidth="true" hidden="false" outlineLevel="0" max="23" min="21" style="77" width="19"/>
    <col collapsed="false" customWidth="true" hidden="false" outlineLevel="0" max="24" min="24" style="77" width="16.57"/>
    <col collapsed="false" customWidth="true" hidden="false" outlineLevel="0" max="28" min="25" style="77" width="19"/>
    <col collapsed="false" customWidth="true" hidden="false" outlineLevel="0" max="29" min="29" style="116" width="33.57"/>
    <col collapsed="false" customWidth="true" hidden="false" outlineLevel="0" max="30" min="30" style="114" width="12.85"/>
    <col collapsed="false" customWidth="true" hidden="false" outlineLevel="0" max="31" min="31" style="114" width="13.14"/>
    <col collapsed="false" customWidth="false" hidden="false" outlineLevel="0" max="1024" min="32" style="77" width="9.14"/>
  </cols>
  <sheetData>
    <row r="1" s="64" customFormat="true" ht="21.75" hidden="false" customHeight="true" outlineLevel="0" collapsed="false">
      <c r="O1" s="65"/>
      <c r="P1" s="65"/>
      <c r="Q1" s="3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5" t="s">
        <v>3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</row>
    <row r="2" s="117" customFormat="true" ht="90" hidden="false" customHeight="true" outlineLevel="0" collapsed="false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/>
      <c r="M2" s="8" t="s">
        <v>15</v>
      </c>
      <c r="N2" s="8"/>
      <c r="O2" s="8" t="s">
        <v>16</v>
      </c>
      <c r="P2" s="8" t="s">
        <v>17</v>
      </c>
      <c r="Q2" s="9" t="s">
        <v>18</v>
      </c>
      <c r="R2" s="9" t="s">
        <v>19</v>
      </c>
      <c r="S2" s="9" t="s">
        <v>20</v>
      </c>
      <c r="T2" s="10" t="s">
        <v>21</v>
      </c>
      <c r="U2" s="9" t="s">
        <v>22</v>
      </c>
      <c r="V2" s="10" t="s">
        <v>23</v>
      </c>
      <c r="W2" s="9" t="s">
        <v>24</v>
      </c>
      <c r="X2" s="9" t="s">
        <v>25</v>
      </c>
      <c r="Y2" s="10" t="s">
        <v>26</v>
      </c>
      <c r="Z2" s="10" t="s">
        <v>27</v>
      </c>
      <c r="AA2" s="10" t="s">
        <v>28</v>
      </c>
      <c r="AB2" s="10" t="s">
        <v>29</v>
      </c>
      <c r="AC2" s="10" t="s">
        <v>30</v>
      </c>
      <c r="AD2" s="67" t="s">
        <v>31</v>
      </c>
      <c r="AE2" s="67"/>
    </row>
    <row r="3" s="118" customFormat="true" ht="15.75" hidden="false" customHeight="false" outlineLevel="0" collapsed="false">
      <c r="A3" s="8"/>
      <c r="B3" s="8"/>
      <c r="C3" s="8"/>
      <c r="D3" s="8"/>
      <c r="E3" s="8"/>
      <c r="F3" s="8" t="s">
        <v>35</v>
      </c>
      <c r="G3" s="8" t="s">
        <v>33</v>
      </c>
      <c r="H3" s="8" t="s">
        <v>33</v>
      </c>
      <c r="I3" s="8" t="s">
        <v>33</v>
      </c>
      <c r="J3" s="8" t="s">
        <v>33</v>
      </c>
      <c r="K3" s="14" t="s">
        <v>33</v>
      </c>
      <c r="L3" s="14" t="s">
        <v>34</v>
      </c>
      <c r="M3" s="14" t="s">
        <v>33</v>
      </c>
      <c r="N3" s="14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14" t="s">
        <v>38</v>
      </c>
      <c r="V3" s="14" t="s">
        <v>36</v>
      </c>
      <c r="W3" s="15" t="s">
        <v>36</v>
      </c>
      <c r="X3" s="15" t="s">
        <v>36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69" t="s">
        <v>40</v>
      </c>
      <c r="AE3" s="69" t="s">
        <v>41</v>
      </c>
    </row>
    <row r="4" customFormat="false" ht="15.75" hidden="false" customHeight="false" outlineLevel="0" collapsed="false">
      <c r="A4" s="16" t="s">
        <v>42</v>
      </c>
      <c r="B4" s="16" t="s">
        <v>545</v>
      </c>
      <c r="C4" s="71" t="s">
        <v>546</v>
      </c>
      <c r="D4" s="16" t="s">
        <v>547</v>
      </c>
      <c r="E4" s="16" t="s">
        <v>548</v>
      </c>
      <c r="F4" s="16" t="n">
        <v>418</v>
      </c>
      <c r="G4" s="16" t="n">
        <v>80</v>
      </c>
      <c r="H4" s="16" t="n">
        <v>570</v>
      </c>
      <c r="I4" s="16" t="n">
        <v>295</v>
      </c>
      <c r="J4" s="16" t="n">
        <v>275</v>
      </c>
      <c r="K4" s="16" t="n">
        <v>0</v>
      </c>
      <c r="L4" s="19" t="n">
        <f aca="false">(K4/H4)*100</f>
        <v>0</v>
      </c>
      <c r="M4" s="16" t="n">
        <v>0</v>
      </c>
      <c r="N4" s="19" t="n">
        <f aca="false">(M4/H4)*100</f>
        <v>0</v>
      </c>
      <c r="O4" s="88" t="n">
        <v>0</v>
      </c>
      <c r="P4" s="88" t="n">
        <v>0</v>
      </c>
      <c r="Q4" s="16"/>
      <c r="R4" s="87"/>
      <c r="T4" s="16"/>
      <c r="AA4" s="87"/>
      <c r="AB4" s="88"/>
      <c r="AC4" s="28"/>
      <c r="AD4" s="16"/>
      <c r="AE4" s="16"/>
    </row>
    <row r="5" customFormat="false" ht="15.75" hidden="false" customHeight="false" outlineLevel="0" collapsed="false">
      <c r="A5" s="16" t="s">
        <v>42</v>
      </c>
      <c r="B5" s="16" t="s">
        <v>545</v>
      </c>
      <c r="C5" s="71" t="s">
        <v>549</v>
      </c>
      <c r="D5" s="72" t="s">
        <v>549</v>
      </c>
      <c r="E5" s="16" t="s">
        <v>550</v>
      </c>
      <c r="F5" s="16" t="n">
        <v>2156.97</v>
      </c>
      <c r="G5" s="16" t="n">
        <v>177</v>
      </c>
      <c r="H5" s="16" t="n">
        <v>944</v>
      </c>
      <c r="I5" s="16" t="n">
        <v>469</v>
      </c>
      <c r="J5" s="16" t="n">
        <v>475</v>
      </c>
      <c r="K5" s="16" t="n">
        <v>395</v>
      </c>
      <c r="L5" s="19" t="n">
        <f aca="false">(K5/H5)*100</f>
        <v>41.8432203389831</v>
      </c>
      <c r="M5" s="16" t="n">
        <v>168</v>
      </c>
      <c r="N5" s="19" t="n">
        <f aca="false">(M5/H5)*100</f>
        <v>17.7966101694915</v>
      </c>
      <c r="O5" s="88" t="n">
        <v>0</v>
      </c>
      <c r="P5" s="88" t="n">
        <v>0</v>
      </c>
      <c r="Q5" s="16"/>
      <c r="R5" s="87"/>
      <c r="T5" s="16"/>
      <c r="AA5" s="87"/>
      <c r="AB5" s="88"/>
      <c r="AC5" s="28"/>
      <c r="AD5" s="16"/>
      <c r="AE5" s="16"/>
    </row>
    <row r="6" customFormat="false" ht="15.75" hidden="false" customHeight="false" outlineLevel="0" collapsed="false">
      <c r="A6" s="16" t="s">
        <v>42</v>
      </c>
      <c r="B6" s="16" t="s">
        <v>545</v>
      </c>
      <c r="C6" s="71" t="s">
        <v>549</v>
      </c>
      <c r="D6" s="16" t="s">
        <v>551</v>
      </c>
      <c r="E6" s="16" t="s">
        <v>552</v>
      </c>
      <c r="F6" s="16" t="n">
        <v>3051</v>
      </c>
      <c r="G6" s="16" t="n">
        <v>66</v>
      </c>
      <c r="H6" s="16" t="n">
        <v>328</v>
      </c>
      <c r="I6" s="16" t="n">
        <v>166</v>
      </c>
      <c r="J6" s="16" t="n">
        <v>162</v>
      </c>
      <c r="K6" s="16" t="n">
        <v>137</v>
      </c>
      <c r="L6" s="19" t="n">
        <f aca="false">(K6/H6)*100</f>
        <v>41.7682926829268</v>
      </c>
      <c r="M6" s="16" t="n">
        <v>21</v>
      </c>
      <c r="N6" s="19" t="n">
        <f aca="false">(M6/H6)*100</f>
        <v>6.40243902439024</v>
      </c>
      <c r="O6" s="88" t="n">
        <v>719</v>
      </c>
      <c r="P6" s="88" t="n">
        <v>0</v>
      </c>
      <c r="Q6" s="16"/>
      <c r="R6" s="87"/>
      <c r="T6" s="16"/>
      <c r="AA6" s="87"/>
      <c r="AB6" s="88"/>
      <c r="AC6" s="28"/>
      <c r="AD6" s="16"/>
      <c r="AE6" s="16"/>
    </row>
    <row r="7" customFormat="false" ht="15.75" hidden="false" customHeight="false" outlineLevel="0" collapsed="false">
      <c r="A7" s="16" t="s">
        <v>42</v>
      </c>
      <c r="B7" s="16" t="s">
        <v>545</v>
      </c>
      <c r="C7" s="71" t="s">
        <v>549</v>
      </c>
      <c r="D7" s="16" t="s">
        <v>134</v>
      </c>
      <c r="E7" s="16" t="s">
        <v>553</v>
      </c>
      <c r="F7" s="16" t="n">
        <v>512.18</v>
      </c>
      <c r="G7" s="16" t="n">
        <v>56</v>
      </c>
      <c r="H7" s="16" t="n">
        <v>343</v>
      </c>
      <c r="I7" s="16" t="n">
        <v>181</v>
      </c>
      <c r="J7" s="16" t="n">
        <v>162</v>
      </c>
      <c r="K7" s="16" t="n">
        <v>80</v>
      </c>
      <c r="L7" s="19" t="n">
        <f aca="false">(K7/H7)*100</f>
        <v>23.3236151603498</v>
      </c>
      <c r="M7" s="16" t="n">
        <v>20</v>
      </c>
      <c r="N7" s="19" t="n">
        <f aca="false">(M7/H7)*100</f>
        <v>5.83090379008746</v>
      </c>
      <c r="O7" s="88" t="n">
        <v>27.86</v>
      </c>
      <c r="P7" s="88" t="n">
        <v>0</v>
      </c>
      <c r="Q7" s="16"/>
      <c r="R7" s="87"/>
      <c r="T7" s="16"/>
      <c r="AA7" s="87"/>
      <c r="AB7" s="88"/>
      <c r="AC7" s="28"/>
      <c r="AD7" s="16"/>
      <c r="AE7" s="16"/>
    </row>
    <row r="8" customFormat="false" ht="15.75" hidden="false" customHeight="false" outlineLevel="0" collapsed="false">
      <c r="A8" s="16" t="s">
        <v>42</v>
      </c>
      <c r="B8" s="16" t="s">
        <v>545</v>
      </c>
      <c r="C8" s="71" t="s">
        <v>549</v>
      </c>
      <c r="D8" s="16" t="s">
        <v>554</v>
      </c>
      <c r="E8" s="16" t="s">
        <v>555</v>
      </c>
      <c r="F8" s="16" t="n">
        <v>1095.86</v>
      </c>
      <c r="G8" s="16" t="n">
        <v>74</v>
      </c>
      <c r="H8" s="16" t="n">
        <v>340</v>
      </c>
      <c r="I8" s="16" t="n">
        <v>178</v>
      </c>
      <c r="J8" s="16" t="n">
        <v>162</v>
      </c>
      <c r="K8" s="16" t="n">
        <v>0</v>
      </c>
      <c r="L8" s="19" t="n">
        <f aca="false">(K8/H8)*100</f>
        <v>0</v>
      </c>
      <c r="M8" s="16" t="n">
        <v>29</v>
      </c>
      <c r="N8" s="19" t="n">
        <f aca="false">(M8/H8)*100</f>
        <v>8.52941176470588</v>
      </c>
      <c r="O8" s="88" t="n">
        <v>0</v>
      </c>
      <c r="P8" s="88" t="n">
        <v>0</v>
      </c>
      <c r="Q8" s="16"/>
      <c r="R8" s="87"/>
      <c r="T8" s="16"/>
      <c r="AA8" s="87"/>
      <c r="AB8" s="88"/>
      <c r="AC8" s="28"/>
      <c r="AD8" s="16"/>
      <c r="AE8" s="16"/>
    </row>
    <row r="9" customFormat="false" ht="15.75" hidden="false" customHeight="false" outlineLevel="0" collapsed="false">
      <c r="A9" s="16" t="s">
        <v>42</v>
      </c>
      <c r="B9" s="16" t="s">
        <v>545</v>
      </c>
      <c r="C9" s="71" t="s">
        <v>549</v>
      </c>
      <c r="D9" s="16" t="s">
        <v>556</v>
      </c>
      <c r="E9" s="16" t="s">
        <v>557</v>
      </c>
      <c r="F9" s="16" t="n">
        <v>1083.17</v>
      </c>
      <c r="G9" s="16" t="n">
        <v>103</v>
      </c>
      <c r="H9" s="16" t="n">
        <v>519</v>
      </c>
      <c r="I9" s="16" t="n">
        <v>264</v>
      </c>
      <c r="J9" s="16" t="n">
        <v>255</v>
      </c>
      <c r="K9" s="16" t="n">
        <v>1</v>
      </c>
      <c r="L9" s="19" t="n">
        <f aca="false">(K9/H9)*100</f>
        <v>0.192678227360308</v>
      </c>
      <c r="M9" s="16" t="n">
        <v>288</v>
      </c>
      <c r="N9" s="19" t="n">
        <f aca="false">(M9/H9)*100</f>
        <v>55.4913294797688</v>
      </c>
      <c r="O9" s="88" t="n">
        <v>0</v>
      </c>
      <c r="P9" s="88" t="n">
        <v>0</v>
      </c>
      <c r="Q9" s="16"/>
      <c r="R9" s="87"/>
      <c r="T9" s="16"/>
      <c r="AA9" s="87"/>
      <c r="AB9" s="88"/>
      <c r="AC9" s="28"/>
      <c r="AD9" s="16"/>
      <c r="AE9" s="16"/>
    </row>
    <row r="10" customFormat="false" ht="34.5" hidden="false" customHeight="false" outlineLevel="0" collapsed="false">
      <c r="A10" s="16" t="s">
        <v>42</v>
      </c>
      <c r="B10" s="16" t="s">
        <v>545</v>
      </c>
      <c r="C10" s="71" t="s">
        <v>558</v>
      </c>
      <c r="D10" s="72" t="s">
        <v>559</v>
      </c>
      <c r="E10" s="16" t="s">
        <v>560</v>
      </c>
      <c r="F10" s="16" t="n">
        <v>7544</v>
      </c>
      <c r="G10" s="16" t="n">
        <v>219</v>
      </c>
      <c r="H10" s="16" t="n">
        <v>1469</v>
      </c>
      <c r="I10" s="16" t="n">
        <v>763</v>
      </c>
      <c r="J10" s="16" t="n">
        <v>706</v>
      </c>
      <c r="K10" s="16" t="n">
        <v>402</v>
      </c>
      <c r="L10" s="19" t="n">
        <f aca="false">(K10/H10)*100</f>
        <v>27.3655547991831</v>
      </c>
      <c r="M10" s="16" t="n">
        <v>149</v>
      </c>
      <c r="N10" s="19" t="n">
        <f aca="false">(M10/H10)*100</f>
        <v>10.142954390742</v>
      </c>
      <c r="O10" s="88" t="n">
        <v>610</v>
      </c>
      <c r="P10" s="88" t="n">
        <v>0</v>
      </c>
      <c r="Q10" s="53" t="s">
        <v>49</v>
      </c>
      <c r="R10" s="46" t="n">
        <v>45889</v>
      </c>
      <c r="T10" s="45" t="n">
        <v>554.56</v>
      </c>
      <c r="AA10" s="47" t="s">
        <v>50</v>
      </c>
      <c r="AB10" s="119" t="n">
        <v>20</v>
      </c>
      <c r="AC10" s="120" t="s">
        <v>561</v>
      </c>
      <c r="AD10" s="45"/>
      <c r="AE10" s="45"/>
    </row>
    <row r="11" customFormat="false" ht="17.25" hidden="false" customHeight="false" outlineLevel="0" collapsed="false">
      <c r="A11" s="16"/>
      <c r="B11" s="16"/>
      <c r="C11" s="71"/>
      <c r="D11" s="72"/>
      <c r="E11" s="16"/>
      <c r="F11" s="16"/>
      <c r="G11" s="16"/>
      <c r="H11" s="16"/>
      <c r="I11" s="16"/>
      <c r="J11" s="16"/>
      <c r="K11" s="16"/>
      <c r="L11" s="19" t="e">
        <f aca="false">(K11/H11)*100</f>
        <v>#DIV/0!</v>
      </c>
      <c r="M11" s="16"/>
      <c r="N11" s="19" t="e">
        <f aca="false">(M11/H11)*100</f>
        <v>#DIV/0!</v>
      </c>
      <c r="O11" s="88"/>
      <c r="P11" s="88"/>
      <c r="Q11" s="121" t="s">
        <v>49</v>
      </c>
      <c r="R11" s="122" t="n">
        <v>45889</v>
      </c>
      <c r="T11" s="123"/>
      <c r="AA11" s="124" t="s">
        <v>50</v>
      </c>
      <c r="AB11" s="125" t="n">
        <v>22</v>
      </c>
      <c r="AC11" s="126" t="s">
        <v>562</v>
      </c>
      <c r="AD11" s="123"/>
      <c r="AE11" s="123"/>
    </row>
    <row r="12" customFormat="false" ht="34.5" hidden="false" customHeight="false" outlineLevel="0" collapsed="false">
      <c r="A12" s="16" t="s">
        <v>42</v>
      </c>
      <c r="B12" s="16" t="s">
        <v>545</v>
      </c>
      <c r="C12" s="71" t="s">
        <v>558</v>
      </c>
      <c r="D12" s="16" t="s">
        <v>563</v>
      </c>
      <c r="E12" s="16" t="s">
        <v>564</v>
      </c>
      <c r="F12" s="16" t="n">
        <v>381.65</v>
      </c>
      <c r="G12" s="16" t="n">
        <v>79</v>
      </c>
      <c r="H12" s="16" t="n">
        <v>527</v>
      </c>
      <c r="I12" s="16" t="n">
        <v>282</v>
      </c>
      <c r="J12" s="16" t="n">
        <v>245</v>
      </c>
      <c r="K12" s="16" t="n">
        <v>7</v>
      </c>
      <c r="L12" s="19" t="n">
        <f aca="false">(K12/H12)*100</f>
        <v>1.32827324478178</v>
      </c>
      <c r="M12" s="16" t="n">
        <v>0</v>
      </c>
      <c r="N12" s="19" t="n">
        <f aca="false">(M12/H12)*100</f>
        <v>0</v>
      </c>
      <c r="O12" s="88" t="n">
        <v>110</v>
      </c>
      <c r="P12" s="88" t="n">
        <v>0</v>
      </c>
      <c r="Q12" s="53" t="s">
        <v>49</v>
      </c>
      <c r="R12" s="46" t="n">
        <v>45889</v>
      </c>
      <c r="T12" s="45" t="n">
        <v>24.28</v>
      </c>
      <c r="AA12" s="47" t="s">
        <v>50</v>
      </c>
      <c r="AB12" s="119" t="n">
        <v>20</v>
      </c>
      <c r="AC12" s="127" t="s">
        <v>565</v>
      </c>
      <c r="AD12" s="45"/>
      <c r="AE12" s="45"/>
    </row>
    <row r="13" customFormat="false" ht="15.75" hidden="false" customHeight="false" outlineLevel="0" collapsed="false">
      <c r="A13" s="16" t="s">
        <v>42</v>
      </c>
      <c r="B13" s="16" t="s">
        <v>545</v>
      </c>
      <c r="C13" s="71" t="s">
        <v>558</v>
      </c>
      <c r="D13" s="16" t="s">
        <v>566</v>
      </c>
      <c r="E13" s="16" t="s">
        <v>567</v>
      </c>
      <c r="F13" s="16" t="n">
        <v>2198.9</v>
      </c>
      <c r="G13" s="16" t="n">
        <v>111</v>
      </c>
      <c r="H13" s="16" t="n">
        <v>613</v>
      </c>
      <c r="I13" s="16" t="n">
        <v>329</v>
      </c>
      <c r="J13" s="16" t="n">
        <v>284</v>
      </c>
      <c r="K13" s="16" t="n">
        <v>302</v>
      </c>
      <c r="L13" s="19" t="n">
        <f aca="false">(K13/H13)*100</f>
        <v>49.2659053833605</v>
      </c>
      <c r="M13" s="16" t="n">
        <v>3</v>
      </c>
      <c r="N13" s="19" t="n">
        <f aca="false">(M13/H13)*100</f>
        <v>0.489396411092985</v>
      </c>
      <c r="O13" s="88" t="n">
        <v>208</v>
      </c>
      <c r="P13" s="88" t="n">
        <v>0</v>
      </c>
      <c r="Q13" s="53" t="s">
        <v>49</v>
      </c>
      <c r="R13" s="46" t="n">
        <v>45889</v>
      </c>
      <c r="T13" s="45" t="n">
        <v>164.54</v>
      </c>
      <c r="AA13" s="47" t="s">
        <v>50</v>
      </c>
      <c r="AB13" s="119" t="n">
        <v>0</v>
      </c>
      <c r="AC13" s="128"/>
      <c r="AD13" s="45"/>
      <c r="AE13" s="45"/>
    </row>
    <row r="14" customFormat="false" ht="34.5" hidden="false" customHeight="false" outlineLevel="0" collapsed="false">
      <c r="A14" s="16" t="s">
        <v>42</v>
      </c>
      <c r="B14" s="16" t="s">
        <v>545</v>
      </c>
      <c r="C14" s="71" t="s">
        <v>558</v>
      </c>
      <c r="D14" s="16" t="s">
        <v>568</v>
      </c>
      <c r="E14" s="16" t="s">
        <v>569</v>
      </c>
      <c r="F14" s="16" t="n">
        <v>5341.03</v>
      </c>
      <c r="G14" s="16" t="n">
        <v>133</v>
      </c>
      <c r="H14" s="16" t="n">
        <v>1009</v>
      </c>
      <c r="I14" s="16" t="n">
        <v>536</v>
      </c>
      <c r="J14" s="16" t="n">
        <v>473</v>
      </c>
      <c r="K14" s="16" t="n">
        <v>369</v>
      </c>
      <c r="L14" s="19" t="n">
        <f aca="false">(K14/H14)*100</f>
        <v>36.5708622398414</v>
      </c>
      <c r="M14" s="16" t="n">
        <v>6</v>
      </c>
      <c r="N14" s="19" t="n">
        <f aca="false">(M14/H14)*100</f>
        <v>0.594648166501487</v>
      </c>
      <c r="O14" s="88" t="n">
        <v>1761</v>
      </c>
      <c r="P14" s="88" t="n">
        <v>0</v>
      </c>
      <c r="Q14" s="53" t="s">
        <v>49</v>
      </c>
      <c r="R14" s="46" t="n">
        <v>45889</v>
      </c>
      <c r="T14" s="45" t="n">
        <v>1350.43</v>
      </c>
      <c r="AA14" s="47" t="s">
        <v>50</v>
      </c>
      <c r="AB14" s="119" t="n">
        <v>10</v>
      </c>
      <c r="AC14" s="127" t="s">
        <v>570</v>
      </c>
      <c r="AD14" s="45"/>
      <c r="AE14" s="45"/>
    </row>
    <row r="15" customFormat="false" ht="34.5" hidden="false" customHeight="false" outlineLevel="0" collapsed="false">
      <c r="A15" s="16"/>
      <c r="B15" s="16"/>
      <c r="C15" s="71"/>
      <c r="D15" s="16"/>
      <c r="E15" s="16"/>
      <c r="F15" s="16"/>
      <c r="G15" s="16"/>
      <c r="H15" s="16"/>
      <c r="I15" s="16"/>
      <c r="J15" s="16"/>
      <c r="K15" s="16"/>
      <c r="L15" s="19" t="e">
        <f aca="false">(K15/H15)*100</f>
        <v>#DIV/0!</v>
      </c>
      <c r="M15" s="16"/>
      <c r="N15" s="19" t="e">
        <f aca="false">(M15/H15)*100</f>
        <v>#DIV/0!</v>
      </c>
      <c r="O15" s="88"/>
      <c r="P15" s="88"/>
      <c r="Q15" s="121" t="s">
        <v>49</v>
      </c>
      <c r="R15" s="122" t="n">
        <v>45889</v>
      </c>
      <c r="T15" s="123"/>
      <c r="AA15" s="124" t="s">
        <v>50</v>
      </c>
      <c r="AB15" s="125" t="n">
        <v>10</v>
      </c>
      <c r="AC15" s="126" t="s">
        <v>571</v>
      </c>
      <c r="AD15" s="123"/>
      <c r="AE15" s="123"/>
    </row>
    <row r="16" customFormat="false" ht="17.25" hidden="false" customHeight="false" outlineLevel="0" collapsed="false">
      <c r="A16" s="16" t="s">
        <v>42</v>
      </c>
      <c r="B16" s="16" t="s">
        <v>545</v>
      </c>
      <c r="C16" s="71" t="s">
        <v>558</v>
      </c>
      <c r="D16" s="16" t="s">
        <v>572</v>
      </c>
      <c r="E16" s="16" t="s">
        <v>573</v>
      </c>
      <c r="F16" s="16" t="n">
        <v>1542</v>
      </c>
      <c r="G16" s="16" t="n">
        <v>43</v>
      </c>
      <c r="H16" s="16" t="n">
        <v>182</v>
      </c>
      <c r="I16" s="16" t="n">
        <v>96</v>
      </c>
      <c r="J16" s="16" t="n">
        <v>86</v>
      </c>
      <c r="K16" s="16" t="n">
        <v>0</v>
      </c>
      <c r="L16" s="19" t="n">
        <f aca="false">(K16/H16)*100</f>
        <v>0</v>
      </c>
      <c r="M16" s="16" t="n">
        <v>0</v>
      </c>
      <c r="N16" s="19" t="n">
        <f aca="false">(M16/H16)*100</f>
        <v>0</v>
      </c>
      <c r="O16" s="88" t="n">
        <v>0</v>
      </c>
      <c r="P16" s="88" t="n">
        <v>0</v>
      </c>
      <c r="Q16" s="53" t="s">
        <v>49</v>
      </c>
      <c r="R16" s="46" t="n">
        <v>45889</v>
      </c>
      <c r="T16" s="45" t="n">
        <v>0</v>
      </c>
      <c r="AA16" s="47" t="s">
        <v>50</v>
      </c>
      <c r="AB16" s="119" t="n">
        <v>0</v>
      </c>
      <c r="AC16" s="127"/>
      <c r="AD16" s="45"/>
      <c r="AE16" s="45"/>
    </row>
    <row r="17" customFormat="false" ht="15.75" hidden="false" customHeight="false" outlineLevel="0" collapsed="false">
      <c r="A17" s="16" t="s">
        <v>42</v>
      </c>
      <c r="B17" s="16" t="s">
        <v>545</v>
      </c>
      <c r="C17" s="71" t="s">
        <v>558</v>
      </c>
      <c r="D17" s="16" t="s">
        <v>574</v>
      </c>
      <c r="E17" s="16" t="s">
        <v>575</v>
      </c>
      <c r="F17" s="16" t="n">
        <v>1759</v>
      </c>
      <c r="G17" s="16" t="n">
        <v>31</v>
      </c>
      <c r="H17" s="16" t="n">
        <v>131</v>
      </c>
      <c r="I17" s="16" t="n">
        <v>63</v>
      </c>
      <c r="J17" s="16" t="n">
        <v>68</v>
      </c>
      <c r="K17" s="16" t="n">
        <v>3</v>
      </c>
      <c r="L17" s="19" t="n">
        <f aca="false">(K17/H17)*100</f>
        <v>2.29007633587786</v>
      </c>
      <c r="M17" s="16" t="n">
        <v>0</v>
      </c>
      <c r="N17" s="19" t="n">
        <f aca="false">(M17/H17)*100</f>
        <v>0</v>
      </c>
      <c r="O17" s="88" t="n">
        <v>0</v>
      </c>
      <c r="P17" s="88" t="n">
        <v>0</v>
      </c>
      <c r="Q17" s="53" t="s">
        <v>49</v>
      </c>
      <c r="R17" s="46" t="n">
        <v>45889</v>
      </c>
      <c r="T17" s="45" t="n">
        <v>0</v>
      </c>
      <c r="AA17" s="47" t="s">
        <v>50</v>
      </c>
      <c r="AB17" s="119" t="n">
        <v>0</v>
      </c>
      <c r="AC17" s="128"/>
      <c r="AD17" s="45"/>
      <c r="AE17" s="45"/>
    </row>
    <row r="18" customFormat="false" ht="15.75" hidden="false" customHeight="false" outlineLevel="0" collapsed="false">
      <c r="A18" s="16" t="s">
        <v>42</v>
      </c>
      <c r="B18" s="16" t="s">
        <v>545</v>
      </c>
      <c r="C18" s="71" t="s">
        <v>545</v>
      </c>
      <c r="D18" s="72" t="s">
        <v>576</v>
      </c>
      <c r="E18" s="16" t="s">
        <v>577</v>
      </c>
      <c r="F18" s="16" t="n">
        <v>10981</v>
      </c>
      <c r="G18" s="16" t="n">
        <v>1685</v>
      </c>
      <c r="H18" s="16" t="n">
        <v>10393</v>
      </c>
      <c r="I18" s="16" t="n">
        <v>5479</v>
      </c>
      <c r="J18" s="16" t="n">
        <v>4914</v>
      </c>
      <c r="K18" s="16" t="n">
        <v>2191</v>
      </c>
      <c r="L18" s="19" t="n">
        <f aca="false">(K18/H18)*100</f>
        <v>21.081497161551</v>
      </c>
      <c r="M18" s="16" t="n">
        <v>64</v>
      </c>
      <c r="N18" s="19" t="n">
        <f aca="false">(M18/H18)*100</f>
        <v>0.615799095545078</v>
      </c>
      <c r="O18" s="88" t="n">
        <v>3148</v>
      </c>
      <c r="P18" s="88" t="n">
        <v>37</v>
      </c>
      <c r="Q18" s="16"/>
      <c r="R18" s="87"/>
      <c r="T18" s="16"/>
      <c r="AA18" s="87"/>
      <c r="AB18" s="88"/>
      <c r="AC18" s="28"/>
      <c r="AD18" s="16"/>
      <c r="AE18" s="16"/>
    </row>
    <row r="19" customFormat="false" ht="34.5" hidden="false" customHeight="false" outlineLevel="0" collapsed="false">
      <c r="A19" s="16" t="s">
        <v>42</v>
      </c>
      <c r="B19" s="16" t="s">
        <v>545</v>
      </c>
      <c r="C19" s="71" t="s">
        <v>578</v>
      </c>
      <c r="D19" s="72" t="s">
        <v>579</v>
      </c>
      <c r="E19" s="16" t="s">
        <v>580</v>
      </c>
      <c r="F19" s="16" t="n">
        <v>14966</v>
      </c>
      <c r="G19" s="16" t="n">
        <v>593</v>
      </c>
      <c r="H19" s="16" t="n">
        <v>3782</v>
      </c>
      <c r="I19" s="16" t="n">
        <v>2014</v>
      </c>
      <c r="J19" s="16" t="n">
        <v>1768</v>
      </c>
      <c r="K19" s="16" t="n">
        <v>1091</v>
      </c>
      <c r="L19" s="19" t="n">
        <f aca="false">(K19/H19)*100</f>
        <v>28.8471708090957</v>
      </c>
      <c r="M19" s="16" t="n">
        <v>20</v>
      </c>
      <c r="N19" s="19" t="n">
        <f aca="false">(M19/H19)*100</f>
        <v>0.528820729772607</v>
      </c>
      <c r="O19" s="88" t="n">
        <v>1528</v>
      </c>
      <c r="P19" s="88" t="n">
        <v>0</v>
      </c>
      <c r="Q19" s="53" t="s">
        <v>49</v>
      </c>
      <c r="R19" s="46" t="n">
        <v>45813</v>
      </c>
      <c r="T19" s="45" t="n">
        <v>1059.42</v>
      </c>
      <c r="AA19" s="47" t="s">
        <v>50</v>
      </c>
      <c r="AB19" s="119" t="n">
        <v>15</v>
      </c>
      <c r="AC19" s="127" t="s">
        <v>581</v>
      </c>
      <c r="AD19" s="45"/>
      <c r="AE19" s="45"/>
    </row>
    <row r="20" customFormat="false" ht="34.5" hidden="false" customHeight="false" outlineLevel="0" collapsed="false">
      <c r="A20" s="16"/>
      <c r="B20" s="16"/>
      <c r="C20" s="71"/>
      <c r="D20" s="72"/>
      <c r="E20" s="16"/>
      <c r="F20" s="16"/>
      <c r="G20" s="16"/>
      <c r="H20" s="16"/>
      <c r="I20" s="16"/>
      <c r="J20" s="16"/>
      <c r="K20" s="16"/>
      <c r="L20" s="19" t="e">
        <f aca="false">(K20/H20)*100</f>
        <v>#DIV/0!</v>
      </c>
      <c r="M20" s="16"/>
      <c r="N20" s="19" t="e">
        <f aca="false">(M20/H20)*100</f>
        <v>#DIV/0!</v>
      </c>
      <c r="O20" s="88"/>
      <c r="P20" s="88"/>
      <c r="Q20" s="121" t="s">
        <v>49</v>
      </c>
      <c r="R20" s="122" t="n">
        <v>45813</v>
      </c>
      <c r="T20" s="123"/>
      <c r="AA20" s="124" t="s">
        <v>50</v>
      </c>
      <c r="AB20" s="125" t="n">
        <v>12</v>
      </c>
      <c r="AC20" s="126" t="s">
        <v>582</v>
      </c>
      <c r="AD20" s="123"/>
      <c r="AE20" s="123"/>
    </row>
    <row r="21" customFormat="false" ht="17.25" hidden="false" customHeight="false" outlineLevel="0" collapsed="false">
      <c r="A21" s="16"/>
      <c r="B21" s="16"/>
      <c r="C21" s="71"/>
      <c r="D21" s="72"/>
      <c r="E21" s="16"/>
      <c r="F21" s="16"/>
      <c r="G21" s="16"/>
      <c r="H21" s="16"/>
      <c r="I21" s="16"/>
      <c r="J21" s="16"/>
      <c r="K21" s="16"/>
      <c r="L21" s="19" t="e">
        <f aca="false">(K21/H21)*100</f>
        <v>#DIV/0!</v>
      </c>
      <c r="M21" s="16"/>
      <c r="N21" s="19" t="e">
        <f aca="false">(M21/H21)*100</f>
        <v>#DIV/0!</v>
      </c>
      <c r="O21" s="88"/>
      <c r="P21" s="88"/>
      <c r="Q21" s="121" t="s">
        <v>49</v>
      </c>
      <c r="R21" s="122" t="n">
        <v>45813</v>
      </c>
      <c r="T21" s="123"/>
      <c r="AA21" s="124" t="s">
        <v>50</v>
      </c>
      <c r="AB21" s="125" t="n">
        <v>14</v>
      </c>
      <c r="AC21" s="126" t="s">
        <v>583</v>
      </c>
      <c r="AD21" s="123"/>
      <c r="AE21" s="123"/>
    </row>
    <row r="22" customFormat="false" ht="34.5" hidden="false" customHeight="false" outlineLevel="0" collapsed="false">
      <c r="A22" s="16"/>
      <c r="B22" s="16"/>
      <c r="C22" s="71"/>
      <c r="D22" s="72"/>
      <c r="E22" s="16"/>
      <c r="F22" s="16"/>
      <c r="G22" s="16"/>
      <c r="H22" s="16"/>
      <c r="I22" s="16"/>
      <c r="J22" s="16"/>
      <c r="K22" s="16"/>
      <c r="L22" s="19" t="e">
        <f aca="false">(K22/H22)*100</f>
        <v>#DIV/0!</v>
      </c>
      <c r="M22" s="16"/>
      <c r="N22" s="19" t="e">
        <f aca="false">(M22/H22)*100</f>
        <v>#DIV/0!</v>
      </c>
      <c r="O22" s="88"/>
      <c r="P22" s="88"/>
      <c r="Q22" s="121" t="s">
        <v>49</v>
      </c>
      <c r="R22" s="122" t="n">
        <v>45813</v>
      </c>
      <c r="T22" s="123"/>
      <c r="AA22" s="124" t="s">
        <v>50</v>
      </c>
      <c r="AB22" s="125" t="n">
        <v>15</v>
      </c>
      <c r="AC22" s="126" t="s">
        <v>584</v>
      </c>
      <c r="AD22" s="123"/>
      <c r="AE22" s="123"/>
    </row>
    <row r="23" customFormat="false" ht="34.5" hidden="false" customHeight="false" outlineLevel="0" collapsed="false">
      <c r="A23" s="16" t="s">
        <v>42</v>
      </c>
      <c r="B23" s="16" t="s">
        <v>545</v>
      </c>
      <c r="C23" s="71" t="s">
        <v>578</v>
      </c>
      <c r="D23" s="16" t="s">
        <v>585</v>
      </c>
      <c r="E23" s="16" t="s">
        <v>586</v>
      </c>
      <c r="F23" s="16" t="n">
        <v>4263</v>
      </c>
      <c r="G23" s="16" t="n">
        <v>181</v>
      </c>
      <c r="H23" s="16" t="n">
        <v>1082</v>
      </c>
      <c r="I23" s="16" t="n">
        <v>543</v>
      </c>
      <c r="J23" s="16" t="n">
        <v>539</v>
      </c>
      <c r="K23" s="16" t="n">
        <v>17</v>
      </c>
      <c r="L23" s="19" t="n">
        <f aca="false">(K23/H23)*100</f>
        <v>1.57116451016636</v>
      </c>
      <c r="M23" s="16" t="n">
        <v>0</v>
      </c>
      <c r="N23" s="19" t="n">
        <f aca="false">(M23/H23)*100</f>
        <v>0</v>
      </c>
      <c r="O23" s="88" t="n">
        <v>0</v>
      </c>
      <c r="P23" s="88" t="n">
        <v>0</v>
      </c>
      <c r="Q23" s="53" t="s">
        <v>49</v>
      </c>
      <c r="R23" s="46" t="n">
        <v>45813</v>
      </c>
      <c r="T23" s="45" t="n">
        <v>0</v>
      </c>
      <c r="AA23" s="47" t="s">
        <v>50</v>
      </c>
      <c r="AB23" s="119" t="n">
        <v>1</v>
      </c>
      <c r="AC23" s="127" t="s">
        <v>587</v>
      </c>
      <c r="AD23" s="45"/>
      <c r="AE23" s="45"/>
    </row>
    <row r="24" customFormat="false" ht="17.25" hidden="false" customHeight="false" outlineLevel="0" collapsed="false">
      <c r="A24" s="16" t="s">
        <v>42</v>
      </c>
      <c r="B24" s="16" t="s">
        <v>545</v>
      </c>
      <c r="C24" s="71" t="s">
        <v>588</v>
      </c>
      <c r="D24" s="72" t="s">
        <v>589</v>
      </c>
      <c r="E24" s="16" t="s">
        <v>590</v>
      </c>
      <c r="F24" s="16" t="n">
        <v>12668</v>
      </c>
      <c r="G24" s="16" t="n">
        <v>281</v>
      </c>
      <c r="H24" s="16" t="n">
        <v>1610</v>
      </c>
      <c r="I24" s="16" t="n">
        <v>856</v>
      </c>
      <c r="J24" s="16" t="n">
        <v>754</v>
      </c>
      <c r="K24" s="16" t="n">
        <v>24</v>
      </c>
      <c r="L24" s="19" t="n">
        <f aca="false">(K24/H24)*100</f>
        <v>1.49068322981366</v>
      </c>
      <c r="M24" s="16" t="n">
        <v>0</v>
      </c>
      <c r="N24" s="19" t="n">
        <f aca="false">(M24/H24)*100</f>
        <v>0</v>
      </c>
      <c r="O24" s="88" t="n">
        <v>0</v>
      </c>
      <c r="P24" s="88" t="n">
        <v>0</v>
      </c>
      <c r="Q24" s="129"/>
      <c r="R24" s="25" t="n">
        <v>45889</v>
      </c>
      <c r="T24" s="129" t="n">
        <v>0</v>
      </c>
      <c r="AA24" s="26" t="s">
        <v>50</v>
      </c>
      <c r="AB24" s="92" t="n">
        <v>0</v>
      </c>
      <c r="AC24" s="130"/>
      <c r="AD24" s="129"/>
      <c r="AE24" s="129"/>
    </row>
    <row r="25" customFormat="false" ht="15.75" hidden="false" customHeight="false" outlineLevel="0" collapsed="false">
      <c r="A25" s="16" t="s">
        <v>42</v>
      </c>
      <c r="B25" s="16" t="s">
        <v>545</v>
      </c>
      <c r="C25" s="71" t="s">
        <v>588</v>
      </c>
      <c r="D25" s="16" t="s">
        <v>591</v>
      </c>
      <c r="E25" s="16" t="s">
        <v>592</v>
      </c>
      <c r="F25" s="16" t="n">
        <v>2145</v>
      </c>
      <c r="G25" s="16" t="n">
        <v>169</v>
      </c>
      <c r="H25" s="16" t="n">
        <v>811</v>
      </c>
      <c r="I25" s="16" t="n">
        <v>412</v>
      </c>
      <c r="J25" s="16" t="n">
        <v>399</v>
      </c>
      <c r="K25" s="16" t="n">
        <v>0</v>
      </c>
      <c r="L25" s="19" t="n">
        <f aca="false">(K25/H25)*100</f>
        <v>0</v>
      </c>
      <c r="M25" s="16" t="n">
        <v>0</v>
      </c>
      <c r="N25" s="19" t="n">
        <f aca="false">(M25/H25)*100</f>
        <v>0</v>
      </c>
      <c r="O25" s="88" t="n">
        <v>0</v>
      </c>
      <c r="P25" s="88" t="n">
        <v>0</v>
      </c>
      <c r="Q25" s="129"/>
      <c r="R25" s="25" t="n">
        <v>45889</v>
      </c>
      <c r="T25" s="129" t="n">
        <v>0</v>
      </c>
      <c r="AA25" s="26" t="s">
        <v>50</v>
      </c>
      <c r="AB25" s="92" t="n">
        <v>0</v>
      </c>
      <c r="AC25" s="57"/>
      <c r="AD25" s="129"/>
      <c r="AE25" s="129"/>
    </row>
    <row r="26" customFormat="false" ht="15.75" hidden="false" customHeight="false" outlineLevel="0" collapsed="false">
      <c r="A26" s="16" t="s">
        <v>42</v>
      </c>
      <c r="B26" s="16" t="s">
        <v>545</v>
      </c>
      <c r="C26" s="71" t="s">
        <v>593</v>
      </c>
      <c r="D26" s="72" t="s">
        <v>593</v>
      </c>
      <c r="E26" s="16" t="s">
        <v>594</v>
      </c>
      <c r="F26" s="16" t="n">
        <v>1922.32</v>
      </c>
      <c r="G26" s="16" t="n">
        <v>177</v>
      </c>
      <c r="H26" s="16" t="n">
        <v>1083</v>
      </c>
      <c r="I26" s="16" t="n">
        <v>571</v>
      </c>
      <c r="J26" s="16" t="n">
        <v>512</v>
      </c>
      <c r="K26" s="16" t="n">
        <v>0</v>
      </c>
      <c r="L26" s="19" t="n">
        <f aca="false">(K26/H26)*100</f>
        <v>0</v>
      </c>
      <c r="M26" s="16" t="n">
        <v>157</v>
      </c>
      <c r="N26" s="19" t="n">
        <f aca="false">(M26/H26)*100</f>
        <v>14.4967682363804</v>
      </c>
      <c r="O26" s="88" t="n">
        <v>0</v>
      </c>
      <c r="P26" s="88" t="n">
        <v>0</v>
      </c>
      <c r="Q26" s="131" t="s">
        <v>49</v>
      </c>
      <c r="R26" s="132" t="s">
        <v>595</v>
      </c>
      <c r="T26" s="131"/>
      <c r="AA26" s="132" t="s">
        <v>50</v>
      </c>
      <c r="AB26" s="56" t="n">
        <v>0</v>
      </c>
      <c r="AC26" s="37"/>
      <c r="AD26" s="131"/>
      <c r="AE26" s="131"/>
    </row>
    <row r="27" customFormat="false" ht="15.75" hidden="false" customHeight="false" outlineLevel="0" collapsed="false">
      <c r="A27" s="16" t="s">
        <v>42</v>
      </c>
      <c r="B27" s="16" t="s">
        <v>545</v>
      </c>
      <c r="C27" s="71" t="s">
        <v>593</v>
      </c>
      <c r="D27" s="16" t="s">
        <v>596</v>
      </c>
      <c r="E27" s="16" t="s">
        <v>597</v>
      </c>
      <c r="F27" s="16" t="n">
        <v>998.75</v>
      </c>
      <c r="G27" s="16" t="n">
        <v>95</v>
      </c>
      <c r="H27" s="16" t="n">
        <v>575</v>
      </c>
      <c r="I27" s="16" t="n">
        <v>293</v>
      </c>
      <c r="J27" s="16" t="n">
        <v>282</v>
      </c>
      <c r="K27" s="16" t="n">
        <v>0</v>
      </c>
      <c r="L27" s="19" t="n">
        <f aca="false">(K27/H27)*100</f>
        <v>0</v>
      </c>
      <c r="M27" s="16" t="n">
        <v>0</v>
      </c>
      <c r="N27" s="19" t="n">
        <f aca="false">(M27/H27)*100</f>
        <v>0</v>
      </c>
      <c r="O27" s="88" t="n">
        <v>0</v>
      </c>
      <c r="P27" s="88" t="n">
        <v>0</v>
      </c>
      <c r="Q27" s="16"/>
      <c r="R27" s="87"/>
      <c r="T27" s="16"/>
      <c r="AA27" s="87"/>
      <c r="AB27" s="88"/>
      <c r="AC27" s="28"/>
      <c r="AD27" s="16"/>
      <c r="AE27" s="16"/>
    </row>
    <row r="28" customFormat="false" ht="15.75" hidden="false" customHeight="false" outlineLevel="0" collapsed="false">
      <c r="A28" s="16" t="s">
        <v>42</v>
      </c>
      <c r="B28" s="16" t="s">
        <v>545</v>
      </c>
      <c r="C28" s="71" t="s">
        <v>593</v>
      </c>
      <c r="D28" s="16" t="s">
        <v>598</v>
      </c>
      <c r="E28" s="16" t="s">
        <v>599</v>
      </c>
      <c r="F28" s="16" t="n">
        <v>593.3</v>
      </c>
      <c r="G28" s="16" t="n">
        <v>35</v>
      </c>
      <c r="H28" s="16" t="n">
        <v>200</v>
      </c>
      <c r="I28" s="16" t="n">
        <v>103</v>
      </c>
      <c r="J28" s="16" t="n">
        <v>97</v>
      </c>
      <c r="K28" s="16" t="n">
        <v>0</v>
      </c>
      <c r="L28" s="19" t="n">
        <f aca="false">(K28/H28)*100</f>
        <v>0</v>
      </c>
      <c r="M28" s="16" t="n">
        <v>0</v>
      </c>
      <c r="N28" s="19" t="n">
        <f aca="false">(M28/H28)*100</f>
        <v>0</v>
      </c>
      <c r="O28" s="88" t="n">
        <v>0</v>
      </c>
      <c r="P28" s="88" t="n">
        <v>0</v>
      </c>
      <c r="Q28" s="16"/>
      <c r="R28" s="87"/>
      <c r="T28" s="16"/>
      <c r="AA28" s="87"/>
      <c r="AB28" s="88"/>
      <c r="AC28" s="28"/>
      <c r="AD28" s="16"/>
      <c r="AE28" s="16"/>
    </row>
    <row r="29" customFormat="false" ht="15.75" hidden="false" customHeight="false" outlineLevel="0" collapsed="false">
      <c r="A29" s="16" t="s">
        <v>42</v>
      </c>
      <c r="B29" s="16" t="s">
        <v>545</v>
      </c>
      <c r="C29" s="71" t="s">
        <v>593</v>
      </c>
      <c r="D29" s="16" t="s">
        <v>600</v>
      </c>
      <c r="E29" s="16" t="s">
        <v>601</v>
      </c>
      <c r="F29" s="16" t="n">
        <v>1840.06</v>
      </c>
      <c r="G29" s="16" t="n">
        <v>95</v>
      </c>
      <c r="H29" s="16" t="n">
        <v>535</v>
      </c>
      <c r="I29" s="16" t="n">
        <v>290</v>
      </c>
      <c r="J29" s="16" t="n">
        <v>245</v>
      </c>
      <c r="K29" s="16" t="n">
        <v>504</v>
      </c>
      <c r="L29" s="19" t="n">
        <f aca="false">(K29/H29)*100</f>
        <v>94.2056074766355</v>
      </c>
      <c r="M29" s="16" t="n">
        <v>0</v>
      </c>
      <c r="N29" s="19" t="n">
        <f aca="false">(M29/H29)*100</f>
        <v>0</v>
      </c>
      <c r="O29" s="88" t="n">
        <v>236.09</v>
      </c>
      <c r="P29" s="88" t="n">
        <v>0</v>
      </c>
      <c r="Q29" s="16"/>
      <c r="R29" s="87"/>
      <c r="T29" s="16"/>
      <c r="AA29" s="87"/>
      <c r="AB29" s="88"/>
      <c r="AC29" s="28"/>
      <c r="AD29" s="16"/>
      <c r="AE29" s="16"/>
    </row>
    <row r="30" customFormat="false" ht="15.75" hidden="false" customHeight="false" outlineLevel="0" collapsed="false">
      <c r="A30" s="16" t="s">
        <v>42</v>
      </c>
      <c r="B30" s="16" t="s">
        <v>545</v>
      </c>
      <c r="C30" s="71" t="s">
        <v>593</v>
      </c>
      <c r="D30" s="16" t="s">
        <v>602</v>
      </c>
      <c r="E30" s="16" t="s">
        <v>603</v>
      </c>
      <c r="F30" s="16" t="n">
        <v>943.12</v>
      </c>
      <c r="G30" s="16" t="n">
        <v>25</v>
      </c>
      <c r="H30" s="16" t="n">
        <v>130</v>
      </c>
      <c r="I30" s="16" t="n">
        <v>63</v>
      </c>
      <c r="J30" s="16" t="n">
        <v>67</v>
      </c>
      <c r="K30" s="16" t="n">
        <v>0</v>
      </c>
      <c r="L30" s="19" t="n">
        <f aca="false">(K30/H30)*100</f>
        <v>0</v>
      </c>
      <c r="M30" s="16" t="n">
        <v>0</v>
      </c>
      <c r="N30" s="19" t="n">
        <f aca="false">(M30/H30)*100</f>
        <v>0</v>
      </c>
      <c r="O30" s="88" t="n">
        <v>0</v>
      </c>
      <c r="P30" s="88" t="n">
        <v>0</v>
      </c>
      <c r="Q30" s="16"/>
      <c r="R30" s="87"/>
      <c r="T30" s="16"/>
      <c r="AA30" s="87"/>
      <c r="AB30" s="88"/>
      <c r="AC30" s="28"/>
      <c r="AD30" s="16"/>
      <c r="AE30" s="16"/>
    </row>
    <row r="31" customFormat="false" ht="31.5" hidden="false" customHeight="false" outlineLevel="0" collapsed="false">
      <c r="A31" s="16" t="s">
        <v>42</v>
      </c>
      <c r="B31" s="16" t="s">
        <v>545</v>
      </c>
      <c r="C31" s="71" t="s">
        <v>604</v>
      </c>
      <c r="D31" s="72" t="s">
        <v>605</v>
      </c>
      <c r="E31" s="16" t="s">
        <v>606</v>
      </c>
      <c r="F31" s="16" t="n">
        <v>948</v>
      </c>
      <c r="G31" s="16" t="n">
        <v>195</v>
      </c>
      <c r="H31" s="16" t="n">
        <v>1224</v>
      </c>
      <c r="I31" s="16" t="n">
        <v>641</v>
      </c>
      <c r="J31" s="16" t="n">
        <v>583</v>
      </c>
      <c r="K31" s="16" t="n">
        <v>0</v>
      </c>
      <c r="L31" s="19" t="n">
        <f aca="false">(K31/H31)*100</f>
        <v>0</v>
      </c>
      <c r="M31" s="16" t="n">
        <v>0</v>
      </c>
      <c r="N31" s="19" t="n">
        <f aca="false">(M31/H31)*100</f>
        <v>0</v>
      </c>
      <c r="O31" s="88" t="n">
        <v>130</v>
      </c>
      <c r="P31" s="88" t="n">
        <v>0</v>
      </c>
      <c r="Q31" s="133" t="s">
        <v>49</v>
      </c>
      <c r="R31" s="134" t="n">
        <v>45884</v>
      </c>
      <c r="T31" s="133" t="n">
        <v>132.49</v>
      </c>
      <c r="AA31" s="135" t="s">
        <v>50</v>
      </c>
      <c r="AB31" s="136" t="n">
        <v>12</v>
      </c>
      <c r="AC31" s="137" t="s">
        <v>607</v>
      </c>
      <c r="AD31" s="133" t="n">
        <v>27.308605</v>
      </c>
      <c r="AE31" s="133" t="n">
        <v>72.509547</v>
      </c>
    </row>
    <row r="32" customFormat="false" ht="15.75" hidden="false" customHeight="false" outlineLevel="0" collapsed="false">
      <c r="A32" s="16" t="s">
        <v>42</v>
      </c>
      <c r="B32" s="16" t="s">
        <v>545</v>
      </c>
      <c r="C32" s="71" t="s">
        <v>604</v>
      </c>
      <c r="D32" s="16" t="s">
        <v>608</v>
      </c>
      <c r="E32" s="16" t="s">
        <v>609</v>
      </c>
      <c r="F32" s="16" t="n">
        <v>955</v>
      </c>
      <c r="G32" s="16" t="n">
        <v>35</v>
      </c>
      <c r="H32" s="16" t="n">
        <v>238</v>
      </c>
      <c r="I32" s="16" t="n">
        <v>129</v>
      </c>
      <c r="J32" s="16" t="n">
        <v>109</v>
      </c>
      <c r="K32" s="16" t="n">
        <v>12</v>
      </c>
      <c r="L32" s="19" t="n">
        <f aca="false">(K32/H32)*100</f>
        <v>5.04201680672269</v>
      </c>
      <c r="M32" s="16" t="n">
        <v>0</v>
      </c>
      <c r="N32" s="19" t="n">
        <f aca="false">(M32/H32)*100</f>
        <v>0</v>
      </c>
      <c r="O32" s="88" t="n">
        <v>0</v>
      </c>
      <c r="P32" s="88" t="n">
        <v>0</v>
      </c>
      <c r="Q32" s="55" t="s">
        <v>49</v>
      </c>
      <c r="R32" s="34" t="n">
        <v>45884</v>
      </c>
      <c r="T32" s="20" t="n">
        <v>0</v>
      </c>
      <c r="AA32" s="26" t="s">
        <v>50</v>
      </c>
      <c r="AB32" s="138"/>
      <c r="AC32" s="139"/>
      <c r="AD32" s="55"/>
      <c r="AE32" s="55"/>
    </row>
    <row r="33" customFormat="false" ht="31.5" hidden="false" customHeight="false" outlineLevel="0" collapsed="false">
      <c r="A33" s="16" t="s">
        <v>42</v>
      </c>
      <c r="B33" s="16" t="s">
        <v>545</v>
      </c>
      <c r="C33" s="71" t="s">
        <v>604</v>
      </c>
      <c r="D33" s="16" t="s">
        <v>610</v>
      </c>
      <c r="E33" s="16" t="s">
        <v>611</v>
      </c>
      <c r="F33" s="16" t="n">
        <v>931</v>
      </c>
      <c r="G33" s="16" t="n">
        <v>94</v>
      </c>
      <c r="H33" s="16" t="n">
        <v>566</v>
      </c>
      <c r="I33" s="16" t="n">
        <v>279</v>
      </c>
      <c r="J33" s="16" t="n">
        <v>287</v>
      </c>
      <c r="K33" s="16" t="n">
        <v>54</v>
      </c>
      <c r="L33" s="19" t="n">
        <f aca="false">(K33/H33)*100</f>
        <v>9.54063604240283</v>
      </c>
      <c r="M33" s="16" t="n">
        <v>0</v>
      </c>
      <c r="N33" s="19" t="n">
        <f aca="false">(M33/H33)*100</f>
        <v>0</v>
      </c>
      <c r="O33" s="88" t="n">
        <v>0</v>
      </c>
      <c r="P33" s="88" t="n">
        <v>0</v>
      </c>
      <c r="Q33" s="24" t="s">
        <v>49</v>
      </c>
      <c r="R33" s="34" t="n">
        <v>45884</v>
      </c>
      <c r="T33" s="20" t="n">
        <v>0</v>
      </c>
      <c r="AA33" s="26" t="s">
        <v>50</v>
      </c>
      <c r="AB33" s="89" t="n">
        <v>10</v>
      </c>
      <c r="AC33" s="36" t="s">
        <v>612</v>
      </c>
      <c r="AD33" s="20"/>
      <c r="AE33" s="20"/>
    </row>
    <row r="34" customFormat="false" ht="15.75" hidden="false" customHeight="false" outlineLevel="0" collapsed="false">
      <c r="A34" s="16" t="s">
        <v>42</v>
      </c>
      <c r="B34" s="16" t="s">
        <v>545</v>
      </c>
      <c r="C34" s="71" t="s">
        <v>604</v>
      </c>
      <c r="D34" s="16" t="s">
        <v>613</v>
      </c>
      <c r="E34" s="16" t="s">
        <v>614</v>
      </c>
      <c r="F34" s="16" t="n">
        <v>1301</v>
      </c>
      <c r="G34" s="16" t="n">
        <v>42</v>
      </c>
      <c r="H34" s="16" t="n">
        <v>235</v>
      </c>
      <c r="I34" s="16" t="n">
        <v>132</v>
      </c>
      <c r="J34" s="16" t="n">
        <v>103</v>
      </c>
      <c r="K34" s="16" t="n">
        <v>6</v>
      </c>
      <c r="L34" s="19" t="n">
        <f aca="false">(K34/H34)*100</f>
        <v>2.5531914893617</v>
      </c>
      <c r="M34" s="16" t="n">
        <v>0</v>
      </c>
      <c r="N34" s="19" t="n">
        <f aca="false">(M34/H34)*100</f>
        <v>0</v>
      </c>
      <c r="O34" s="88" t="n">
        <v>0</v>
      </c>
      <c r="P34" s="88" t="n">
        <v>0</v>
      </c>
      <c r="Q34" s="24" t="s">
        <v>49</v>
      </c>
      <c r="R34" s="34" t="n">
        <v>45884</v>
      </c>
      <c r="T34" s="20" t="n">
        <v>0</v>
      </c>
      <c r="AA34" s="26" t="s">
        <v>50</v>
      </c>
      <c r="AB34" s="89"/>
      <c r="AC34" s="36"/>
      <c r="AD34" s="20"/>
      <c r="AE34" s="20"/>
    </row>
    <row r="35" customFormat="false" ht="34.5" hidden="false" customHeight="false" outlineLevel="0" collapsed="false">
      <c r="A35" s="16" t="s">
        <v>42</v>
      </c>
      <c r="B35" s="16" t="s">
        <v>545</v>
      </c>
      <c r="C35" s="71" t="s">
        <v>615</v>
      </c>
      <c r="D35" s="72" t="s">
        <v>616</v>
      </c>
      <c r="E35" s="16" t="s">
        <v>617</v>
      </c>
      <c r="F35" s="16" t="n">
        <v>3300</v>
      </c>
      <c r="G35" s="16" t="n">
        <v>362</v>
      </c>
      <c r="H35" s="16" t="n">
        <v>2420</v>
      </c>
      <c r="I35" s="16" t="n">
        <v>1247</v>
      </c>
      <c r="J35" s="16" t="n">
        <v>1173</v>
      </c>
      <c r="K35" s="16" t="n">
        <v>28</v>
      </c>
      <c r="L35" s="19" t="n">
        <f aca="false">(K35/H35)*100</f>
        <v>1.15702479338843</v>
      </c>
      <c r="M35" s="16" t="n">
        <v>108</v>
      </c>
      <c r="N35" s="19" t="n">
        <f aca="false">(M35/H35)*100</f>
        <v>4.46280991735537</v>
      </c>
      <c r="O35" s="88" t="n">
        <v>26</v>
      </c>
      <c r="P35" s="88" t="n">
        <v>0</v>
      </c>
      <c r="Q35" s="129" t="s">
        <v>49</v>
      </c>
      <c r="R35" s="25" t="n">
        <v>45884</v>
      </c>
      <c r="T35" s="129" t="n">
        <v>26.75</v>
      </c>
      <c r="AA35" s="26" t="s">
        <v>50</v>
      </c>
      <c r="AB35" s="92" t="n">
        <v>10</v>
      </c>
      <c r="AC35" s="130" t="s">
        <v>618</v>
      </c>
      <c r="AD35" s="129" t="n">
        <v>27.350189</v>
      </c>
      <c r="AE35" s="129" t="n">
        <v>72.020014</v>
      </c>
    </row>
    <row r="36" customFormat="false" ht="51.75" hidden="false" customHeight="false" outlineLevel="0" collapsed="false">
      <c r="A36" s="16"/>
      <c r="B36" s="16"/>
      <c r="C36" s="71"/>
      <c r="D36" s="72"/>
      <c r="E36" s="16"/>
      <c r="F36" s="16"/>
      <c r="G36" s="16"/>
      <c r="H36" s="16"/>
      <c r="I36" s="16"/>
      <c r="J36" s="16"/>
      <c r="K36" s="16"/>
      <c r="L36" s="19" t="e">
        <f aca="false">(K36/H36)*100</f>
        <v>#DIV/0!</v>
      </c>
      <c r="M36" s="16"/>
      <c r="N36" s="19" t="e">
        <f aca="false">(M36/H36)*100</f>
        <v>#DIV/0!</v>
      </c>
      <c r="O36" s="88"/>
      <c r="P36" s="88"/>
      <c r="Q36" s="140" t="s">
        <v>49</v>
      </c>
      <c r="R36" s="141"/>
      <c r="T36" s="140"/>
      <c r="AA36" s="142" t="s">
        <v>50</v>
      </c>
      <c r="AB36" s="143" t="n">
        <v>10</v>
      </c>
      <c r="AC36" s="144" t="s">
        <v>619</v>
      </c>
      <c r="AD36" s="140" t="n">
        <v>27.347886</v>
      </c>
      <c r="AE36" s="140" t="n">
        <v>72.021693</v>
      </c>
    </row>
    <row r="37" customFormat="false" ht="15.75" hidden="false" customHeight="false" outlineLevel="0" collapsed="false">
      <c r="A37" s="16" t="s">
        <v>42</v>
      </c>
      <c r="B37" s="16" t="s">
        <v>545</v>
      </c>
      <c r="C37" s="71" t="s">
        <v>615</v>
      </c>
      <c r="D37" s="16" t="s">
        <v>620</v>
      </c>
      <c r="E37" s="16" t="s">
        <v>621</v>
      </c>
      <c r="F37" s="16" t="n">
        <v>587</v>
      </c>
      <c r="G37" s="16" t="n">
        <v>13</v>
      </c>
      <c r="H37" s="16" t="n">
        <v>76</v>
      </c>
      <c r="I37" s="16" t="n">
        <v>38</v>
      </c>
      <c r="J37" s="16" t="n">
        <v>38</v>
      </c>
      <c r="K37" s="16" t="n">
        <v>0</v>
      </c>
      <c r="L37" s="19" t="n">
        <f aca="false">(K37/H37)*100</f>
        <v>0</v>
      </c>
      <c r="M37" s="16" t="n">
        <v>0</v>
      </c>
      <c r="N37" s="19" t="n">
        <f aca="false">(M37/H37)*100</f>
        <v>0</v>
      </c>
      <c r="O37" s="88" t="n">
        <v>0</v>
      </c>
      <c r="P37" s="88" t="n">
        <v>0</v>
      </c>
      <c r="Q37" s="129"/>
      <c r="R37" s="25" t="n">
        <v>45884</v>
      </c>
      <c r="T37" s="129" t="n">
        <v>11.15</v>
      </c>
      <c r="AA37" s="26" t="s">
        <v>50</v>
      </c>
      <c r="AB37" s="92" t="n">
        <v>0</v>
      </c>
      <c r="AC37" s="57"/>
      <c r="AD37" s="129"/>
      <c r="AE37" s="129"/>
    </row>
    <row r="38" customFormat="false" ht="17.25" hidden="false" customHeight="false" outlineLevel="0" collapsed="false">
      <c r="A38" s="16" t="s">
        <v>42</v>
      </c>
      <c r="B38" s="16" t="s">
        <v>545</v>
      </c>
      <c r="C38" s="71" t="s">
        <v>615</v>
      </c>
      <c r="D38" s="16" t="s">
        <v>622</v>
      </c>
      <c r="E38" s="16" t="s">
        <v>623</v>
      </c>
      <c r="F38" s="16" t="n">
        <v>627</v>
      </c>
      <c r="G38" s="16" t="n">
        <v>6</v>
      </c>
      <c r="H38" s="16" t="n">
        <v>27</v>
      </c>
      <c r="I38" s="16" t="n">
        <v>19</v>
      </c>
      <c r="J38" s="16" t="n">
        <v>8</v>
      </c>
      <c r="K38" s="16" t="n">
        <v>0</v>
      </c>
      <c r="L38" s="19" t="n">
        <f aca="false">(K38/H38)*100</f>
        <v>0</v>
      </c>
      <c r="M38" s="16" t="n">
        <v>0</v>
      </c>
      <c r="N38" s="19" t="n">
        <f aca="false">(M38/H38)*100</f>
        <v>0</v>
      </c>
      <c r="O38" s="88" t="n">
        <v>3</v>
      </c>
      <c r="P38" s="88" t="n">
        <v>0</v>
      </c>
      <c r="Q38" s="129"/>
      <c r="R38" s="25" t="n">
        <v>45884</v>
      </c>
      <c r="T38" s="129" t="n">
        <v>0</v>
      </c>
      <c r="AA38" s="26" t="s">
        <v>50</v>
      </c>
      <c r="AB38" s="92" t="n">
        <v>0</v>
      </c>
      <c r="AC38" s="130"/>
      <c r="AD38" s="129"/>
      <c r="AE38" s="129"/>
    </row>
    <row r="39" customFormat="false" ht="15.75" hidden="false" customHeight="false" outlineLevel="0" collapsed="false">
      <c r="A39" s="16" t="s">
        <v>42</v>
      </c>
      <c r="B39" s="16" t="s">
        <v>545</v>
      </c>
      <c r="C39" s="71" t="s">
        <v>615</v>
      </c>
      <c r="D39" s="16" t="s">
        <v>624</v>
      </c>
      <c r="E39" s="16" t="s">
        <v>625</v>
      </c>
      <c r="F39" s="16" t="n">
        <v>975</v>
      </c>
      <c r="G39" s="16" t="n">
        <v>11</v>
      </c>
      <c r="H39" s="16" t="n">
        <v>54</v>
      </c>
      <c r="I39" s="16" t="n">
        <v>27</v>
      </c>
      <c r="J39" s="16" t="n">
        <v>27</v>
      </c>
      <c r="K39" s="16" t="n">
        <v>54</v>
      </c>
      <c r="L39" s="19" t="n">
        <f aca="false">(K39/H39)*100</f>
        <v>100</v>
      </c>
      <c r="M39" s="16" t="n">
        <v>0</v>
      </c>
      <c r="N39" s="19" t="n">
        <f aca="false">(M39/H39)*100</f>
        <v>0</v>
      </c>
      <c r="O39" s="88" t="n">
        <v>8</v>
      </c>
      <c r="P39" s="88" t="n">
        <v>0</v>
      </c>
      <c r="Q39" s="129"/>
      <c r="R39" s="25" t="n">
        <v>45884</v>
      </c>
      <c r="T39" s="129" t="n">
        <v>0</v>
      </c>
      <c r="AA39" s="26" t="s">
        <v>50</v>
      </c>
      <c r="AB39" s="92" t="n">
        <v>0</v>
      </c>
      <c r="AC39" s="57"/>
      <c r="AD39" s="129"/>
      <c r="AE39" s="129"/>
    </row>
    <row r="40" customFormat="false" ht="15.75" hidden="false" customHeight="false" outlineLevel="0" collapsed="false">
      <c r="A40" s="16" t="s">
        <v>42</v>
      </c>
      <c r="B40" s="16" t="s">
        <v>545</v>
      </c>
      <c r="C40" s="71" t="s">
        <v>615</v>
      </c>
      <c r="D40" s="16" t="s">
        <v>626</v>
      </c>
      <c r="E40" s="16" t="s">
        <v>627</v>
      </c>
      <c r="F40" s="16" t="n">
        <v>3203</v>
      </c>
      <c r="G40" s="16" t="n">
        <v>17</v>
      </c>
      <c r="H40" s="16" t="n">
        <v>104</v>
      </c>
      <c r="I40" s="16" t="n">
        <v>54</v>
      </c>
      <c r="J40" s="16" t="n">
        <v>50</v>
      </c>
      <c r="K40" s="16" t="n">
        <v>0</v>
      </c>
      <c r="L40" s="19" t="n">
        <f aca="false">(K40/H40)*100</f>
        <v>0</v>
      </c>
      <c r="M40" s="16" t="n">
        <v>0</v>
      </c>
      <c r="N40" s="19" t="n">
        <f aca="false">(M40/H40)*100</f>
        <v>0</v>
      </c>
      <c r="O40" s="88" t="n">
        <v>680</v>
      </c>
      <c r="P40" s="88" t="n">
        <v>0</v>
      </c>
      <c r="Q40" s="129"/>
      <c r="R40" s="25" t="n">
        <v>45884</v>
      </c>
      <c r="T40" s="129" t="n">
        <v>0</v>
      </c>
      <c r="AA40" s="26" t="s">
        <v>50</v>
      </c>
      <c r="AB40" s="92" t="n">
        <v>0</v>
      </c>
      <c r="AC40" s="57"/>
      <c r="AD40" s="129"/>
      <c r="AE40" s="129"/>
    </row>
    <row r="41" customFormat="false" ht="15.75" hidden="false" customHeight="false" outlineLevel="0" collapsed="false">
      <c r="A41" s="16" t="s">
        <v>42</v>
      </c>
      <c r="B41" s="16" t="s">
        <v>545</v>
      </c>
      <c r="C41" s="71" t="s">
        <v>615</v>
      </c>
      <c r="D41" s="16" t="s">
        <v>628</v>
      </c>
      <c r="E41" s="16" t="s">
        <v>629</v>
      </c>
      <c r="F41" s="16" t="n">
        <v>1914</v>
      </c>
      <c r="G41" s="16" t="n">
        <v>13</v>
      </c>
      <c r="H41" s="16" t="n">
        <v>78</v>
      </c>
      <c r="I41" s="16" t="n">
        <v>40</v>
      </c>
      <c r="J41" s="16" t="n">
        <v>38</v>
      </c>
      <c r="K41" s="16" t="n">
        <v>0</v>
      </c>
      <c r="L41" s="19" t="n">
        <f aca="false">(K41/H41)*100</f>
        <v>0</v>
      </c>
      <c r="M41" s="16" t="n">
        <v>0</v>
      </c>
      <c r="N41" s="19" t="n">
        <f aca="false">(M41/H41)*100</f>
        <v>0</v>
      </c>
      <c r="O41" s="88" t="n">
        <v>166</v>
      </c>
      <c r="P41" s="88" t="n">
        <v>0</v>
      </c>
      <c r="Q41" s="145" t="s">
        <v>49</v>
      </c>
      <c r="R41" s="146" t="s">
        <v>595</v>
      </c>
      <c r="T41" s="145" t="n">
        <v>0</v>
      </c>
      <c r="AA41" s="26" t="s">
        <v>50</v>
      </c>
      <c r="AB41" s="147" t="n">
        <v>0</v>
      </c>
      <c r="AC41" s="148"/>
      <c r="AD41" s="145" t="n">
        <v>0</v>
      </c>
      <c r="AE41" s="145" t="n">
        <v>0</v>
      </c>
    </row>
    <row r="42" customFormat="false" ht="51.75" hidden="false" customHeight="false" outlineLevel="0" collapsed="false">
      <c r="A42" s="16" t="s">
        <v>42</v>
      </c>
      <c r="B42" s="16" t="s">
        <v>545</v>
      </c>
      <c r="C42" s="71" t="s">
        <v>630</v>
      </c>
      <c r="D42" s="72" t="s">
        <v>630</v>
      </c>
      <c r="E42" s="16" t="s">
        <v>631</v>
      </c>
      <c r="F42" s="16" t="n">
        <v>1481</v>
      </c>
      <c r="G42" s="16" t="n">
        <v>158</v>
      </c>
      <c r="H42" s="16" t="n">
        <v>990</v>
      </c>
      <c r="I42" s="16" t="n">
        <v>533</v>
      </c>
      <c r="J42" s="16" t="n">
        <v>457</v>
      </c>
      <c r="K42" s="16" t="n">
        <v>0</v>
      </c>
      <c r="L42" s="19" t="n">
        <f aca="false">(K42/H42)*100</f>
        <v>0</v>
      </c>
      <c r="M42" s="16" t="n">
        <v>0</v>
      </c>
      <c r="N42" s="19" t="n">
        <f aca="false">(M42/H42)*100</f>
        <v>0</v>
      </c>
      <c r="O42" s="88" t="n">
        <v>80</v>
      </c>
      <c r="P42" s="88" t="n">
        <v>0</v>
      </c>
      <c r="Q42" s="24" t="s">
        <v>49</v>
      </c>
      <c r="R42" s="25" t="n">
        <v>45884</v>
      </c>
      <c r="T42" s="26" t="s">
        <v>632</v>
      </c>
      <c r="AA42" s="26" t="s">
        <v>50</v>
      </c>
      <c r="AB42" s="92" t="n">
        <v>5</v>
      </c>
      <c r="AC42" s="130" t="s">
        <v>633</v>
      </c>
      <c r="AD42" s="24" t="n">
        <v>27.340796</v>
      </c>
      <c r="AE42" s="26" t="n">
        <v>72.437773</v>
      </c>
    </row>
    <row r="43" customFormat="false" ht="17.25" hidden="false" customHeight="false" outlineLevel="0" collapsed="false">
      <c r="A43" s="16" t="s">
        <v>42</v>
      </c>
      <c r="B43" s="16" t="s">
        <v>545</v>
      </c>
      <c r="C43" s="71" t="s">
        <v>630</v>
      </c>
      <c r="D43" s="16" t="s">
        <v>634</v>
      </c>
      <c r="E43" s="16" t="s">
        <v>635</v>
      </c>
      <c r="F43" s="16" t="n">
        <v>1523</v>
      </c>
      <c r="G43" s="16" t="n">
        <v>136</v>
      </c>
      <c r="H43" s="16" t="n">
        <v>849</v>
      </c>
      <c r="I43" s="16" t="n">
        <v>439</v>
      </c>
      <c r="J43" s="16" t="n">
        <v>410</v>
      </c>
      <c r="K43" s="16" t="n">
        <v>190</v>
      </c>
      <c r="L43" s="19" t="n">
        <f aca="false">(K43/H43)*100</f>
        <v>22.379269729093</v>
      </c>
      <c r="M43" s="16" t="n">
        <v>2</v>
      </c>
      <c r="N43" s="19" t="n">
        <f aca="false">(M43/H43)*100</f>
        <v>0.235571260306243</v>
      </c>
      <c r="O43" s="88" t="n">
        <v>0</v>
      </c>
      <c r="P43" s="88" t="n">
        <v>0</v>
      </c>
      <c r="Q43" s="24" t="s">
        <v>49</v>
      </c>
      <c r="R43" s="25" t="n">
        <v>45884</v>
      </c>
      <c r="T43" s="20" t="n">
        <v>0</v>
      </c>
      <c r="AA43" s="26" t="s">
        <v>50</v>
      </c>
      <c r="AB43" s="89" t="n">
        <v>0</v>
      </c>
      <c r="AC43" s="149"/>
      <c r="AD43" s="20"/>
      <c r="AE43" s="20"/>
    </row>
    <row r="44" customFormat="false" ht="15.75" hidden="false" customHeight="false" outlineLevel="0" collapsed="false">
      <c r="A44" s="16" t="s">
        <v>42</v>
      </c>
      <c r="B44" s="16" t="s">
        <v>545</v>
      </c>
      <c r="C44" s="71" t="s">
        <v>630</v>
      </c>
      <c r="D44" s="16" t="s">
        <v>636</v>
      </c>
      <c r="E44" s="16" t="s">
        <v>637</v>
      </c>
      <c r="F44" s="16" t="n">
        <v>785</v>
      </c>
      <c r="G44" s="16" t="n">
        <v>40</v>
      </c>
      <c r="H44" s="16" t="n">
        <v>199</v>
      </c>
      <c r="I44" s="16" t="n">
        <v>106</v>
      </c>
      <c r="J44" s="16" t="n">
        <v>93</v>
      </c>
      <c r="K44" s="16" t="n">
        <v>0</v>
      </c>
      <c r="L44" s="19" t="n">
        <f aca="false">(K44/H44)*100</f>
        <v>0</v>
      </c>
      <c r="M44" s="16" t="n">
        <v>0</v>
      </c>
      <c r="N44" s="19" t="n">
        <f aca="false">(M44/H44)*100</f>
        <v>0</v>
      </c>
      <c r="O44" s="88" t="n">
        <v>0</v>
      </c>
      <c r="P44" s="88" t="n">
        <v>0</v>
      </c>
      <c r="Q44" s="24" t="s">
        <v>49</v>
      </c>
      <c r="R44" s="25" t="n">
        <v>45884</v>
      </c>
      <c r="T44" s="21" t="n">
        <v>0</v>
      </c>
      <c r="AA44" s="26" t="s">
        <v>50</v>
      </c>
      <c r="AB44" s="89" t="n">
        <v>0</v>
      </c>
      <c r="AC44" s="36"/>
      <c r="AD44" s="20"/>
      <c r="AE44" s="21"/>
    </row>
    <row r="45" customFormat="false" ht="15.75" hidden="false" customHeight="false" outlineLevel="0" collapsed="false">
      <c r="A45" s="16" t="s">
        <v>42</v>
      </c>
      <c r="B45" s="16" t="s">
        <v>545</v>
      </c>
      <c r="C45" s="71" t="s">
        <v>630</v>
      </c>
      <c r="D45" s="16" t="s">
        <v>638</v>
      </c>
      <c r="E45" s="16" t="s">
        <v>639</v>
      </c>
      <c r="F45" s="16" t="n">
        <v>464</v>
      </c>
      <c r="G45" s="16" t="n">
        <v>33</v>
      </c>
      <c r="H45" s="16" t="n">
        <v>131</v>
      </c>
      <c r="I45" s="16" t="n">
        <v>72</v>
      </c>
      <c r="J45" s="16" t="n">
        <v>59</v>
      </c>
      <c r="K45" s="16" t="n">
        <v>0</v>
      </c>
      <c r="L45" s="19" t="n">
        <f aca="false">(K45/H45)*100</f>
        <v>0</v>
      </c>
      <c r="M45" s="16" t="n">
        <v>0</v>
      </c>
      <c r="N45" s="19" t="n">
        <f aca="false">(M45/H45)*100</f>
        <v>0</v>
      </c>
      <c r="O45" s="88" t="n">
        <v>0</v>
      </c>
      <c r="P45" s="88" t="n">
        <v>0</v>
      </c>
      <c r="Q45" s="24" t="s">
        <v>49</v>
      </c>
      <c r="R45" s="25" t="n">
        <v>45884</v>
      </c>
      <c r="T45" s="20" t="n">
        <v>0</v>
      </c>
      <c r="AA45" s="26" t="s">
        <v>50</v>
      </c>
      <c r="AB45" s="89" t="n">
        <v>0</v>
      </c>
      <c r="AC45" s="36"/>
      <c r="AD45" s="20"/>
      <c r="AE45" s="20"/>
    </row>
    <row r="46" customFormat="false" ht="15.75" hidden="false" customHeight="false" outlineLevel="0" collapsed="false">
      <c r="A46" s="16" t="s">
        <v>42</v>
      </c>
      <c r="B46" s="16" t="s">
        <v>545</v>
      </c>
      <c r="C46" s="71" t="s">
        <v>640</v>
      </c>
      <c r="D46" s="72" t="s">
        <v>640</v>
      </c>
      <c r="E46" s="16" t="s">
        <v>641</v>
      </c>
      <c r="F46" s="16" t="n">
        <v>6051</v>
      </c>
      <c r="G46" s="16" t="n">
        <v>356</v>
      </c>
      <c r="H46" s="16" t="n">
        <v>2126</v>
      </c>
      <c r="I46" s="16" t="n">
        <v>1155</v>
      </c>
      <c r="J46" s="16" t="n">
        <v>971</v>
      </c>
      <c r="K46" s="16" t="n">
        <v>481</v>
      </c>
      <c r="L46" s="19" t="n">
        <f aca="false">(K46/H46)*100</f>
        <v>22.6246472248354</v>
      </c>
      <c r="M46" s="16" t="n">
        <v>12</v>
      </c>
      <c r="N46" s="19" t="n">
        <f aca="false">(M46/H46)*100</f>
        <v>0.564440263405456</v>
      </c>
      <c r="O46" s="88" t="n">
        <v>228</v>
      </c>
      <c r="P46" s="88" t="n">
        <v>0</v>
      </c>
      <c r="Q46" s="16"/>
      <c r="R46" s="87"/>
      <c r="T46" s="16"/>
      <c r="AA46" s="87"/>
      <c r="AB46" s="88"/>
      <c r="AC46" s="28"/>
      <c r="AD46" s="16"/>
      <c r="AE46" s="16"/>
    </row>
    <row r="47" customFormat="false" ht="15.75" hidden="false" customHeight="false" outlineLevel="0" collapsed="false">
      <c r="A47" s="16" t="s">
        <v>42</v>
      </c>
      <c r="B47" s="16" t="s">
        <v>545</v>
      </c>
      <c r="C47" s="71" t="s">
        <v>640</v>
      </c>
      <c r="D47" s="16" t="s">
        <v>642</v>
      </c>
      <c r="E47" s="16" t="s">
        <v>643</v>
      </c>
      <c r="F47" s="16" t="n">
        <v>3047</v>
      </c>
      <c r="G47" s="16" t="n">
        <v>90</v>
      </c>
      <c r="H47" s="16" t="n">
        <v>578</v>
      </c>
      <c r="I47" s="16" t="n">
        <v>303</v>
      </c>
      <c r="J47" s="16" t="n">
        <v>275</v>
      </c>
      <c r="K47" s="16" t="n">
        <v>0</v>
      </c>
      <c r="L47" s="19" t="n">
        <f aca="false">(K47/H47)*100</f>
        <v>0</v>
      </c>
      <c r="M47" s="16" t="n">
        <v>20</v>
      </c>
      <c r="N47" s="19" t="n">
        <f aca="false">(M47/H47)*100</f>
        <v>3.46020761245675</v>
      </c>
      <c r="O47" s="88" t="n">
        <v>1142</v>
      </c>
      <c r="P47" s="88" t="n">
        <v>0</v>
      </c>
      <c r="Q47" s="16"/>
      <c r="R47" s="87"/>
      <c r="T47" s="16"/>
      <c r="AA47" s="87"/>
      <c r="AB47" s="88"/>
      <c r="AC47" s="28"/>
      <c r="AD47" s="16"/>
      <c r="AE47" s="16"/>
    </row>
    <row r="48" customFormat="false" ht="15.75" hidden="false" customHeight="false" outlineLevel="0" collapsed="false">
      <c r="A48" s="16" t="s">
        <v>42</v>
      </c>
      <c r="B48" s="16" t="s">
        <v>545</v>
      </c>
      <c r="C48" s="71" t="s">
        <v>640</v>
      </c>
      <c r="D48" s="16" t="s">
        <v>644</v>
      </c>
      <c r="E48" s="16" t="s">
        <v>645</v>
      </c>
      <c r="F48" s="16" t="n">
        <v>2755</v>
      </c>
      <c r="G48" s="16" t="n">
        <v>198</v>
      </c>
      <c r="H48" s="16" t="n">
        <v>1196</v>
      </c>
      <c r="I48" s="16" t="n">
        <v>656</v>
      </c>
      <c r="J48" s="16" t="n">
        <v>540</v>
      </c>
      <c r="K48" s="16" t="n">
        <v>287</v>
      </c>
      <c r="L48" s="19" t="n">
        <f aca="false">(K48/H48)*100</f>
        <v>23.9966555183946</v>
      </c>
      <c r="M48" s="16" t="n">
        <v>22</v>
      </c>
      <c r="N48" s="19" t="n">
        <f aca="false">(M48/H48)*100</f>
        <v>1.83946488294314</v>
      </c>
      <c r="O48" s="88" t="n">
        <v>137</v>
      </c>
      <c r="P48" s="88" t="n">
        <v>0</v>
      </c>
      <c r="Q48" s="16"/>
      <c r="R48" s="87"/>
      <c r="T48" s="16"/>
      <c r="AA48" s="87"/>
      <c r="AB48" s="88"/>
      <c r="AC48" s="28"/>
      <c r="AD48" s="16"/>
      <c r="AE48" s="16"/>
    </row>
    <row r="49" customFormat="false" ht="15.75" hidden="false" customHeight="false" outlineLevel="0" collapsed="false">
      <c r="A49" s="16" t="s">
        <v>42</v>
      </c>
      <c r="B49" s="16" t="s">
        <v>545</v>
      </c>
      <c r="C49" s="71" t="s">
        <v>646</v>
      </c>
      <c r="D49" s="16" t="s">
        <v>647</v>
      </c>
      <c r="E49" s="16" t="s">
        <v>648</v>
      </c>
      <c r="F49" s="16" t="n">
        <v>1029.84</v>
      </c>
      <c r="G49" s="16" t="n">
        <v>46</v>
      </c>
      <c r="H49" s="16" t="n">
        <v>238</v>
      </c>
      <c r="I49" s="16" t="n">
        <v>127</v>
      </c>
      <c r="J49" s="16" t="n">
        <v>111</v>
      </c>
      <c r="K49" s="16" t="n">
        <v>0</v>
      </c>
      <c r="L49" s="19" t="n">
        <f aca="false">(K49/H49)*100</f>
        <v>0</v>
      </c>
      <c r="M49" s="16" t="n">
        <v>0</v>
      </c>
      <c r="N49" s="19" t="n">
        <f aca="false">(M49/H49)*100</f>
        <v>0</v>
      </c>
      <c r="O49" s="88" t="n">
        <v>0</v>
      </c>
      <c r="P49" s="88" t="n">
        <v>0</v>
      </c>
      <c r="Q49" s="16"/>
      <c r="R49" s="87"/>
      <c r="T49" s="16"/>
      <c r="AA49" s="87"/>
      <c r="AB49" s="88"/>
      <c r="AC49" s="28"/>
      <c r="AD49" s="16"/>
      <c r="AE49" s="16"/>
    </row>
    <row r="50" customFormat="false" ht="15.75" hidden="false" customHeight="false" outlineLevel="0" collapsed="false">
      <c r="A50" s="16" t="s">
        <v>42</v>
      </c>
      <c r="B50" s="16" t="s">
        <v>545</v>
      </c>
      <c r="C50" s="71" t="s">
        <v>649</v>
      </c>
      <c r="D50" s="72" t="s">
        <v>650</v>
      </c>
      <c r="E50" s="16" t="s">
        <v>651</v>
      </c>
      <c r="F50" s="16" t="n">
        <v>3178.08</v>
      </c>
      <c r="G50" s="16" t="n">
        <v>245</v>
      </c>
      <c r="H50" s="16" t="n">
        <v>1305</v>
      </c>
      <c r="I50" s="16" t="n">
        <v>693</v>
      </c>
      <c r="J50" s="16" t="n">
        <v>612</v>
      </c>
      <c r="K50" s="16" t="n">
        <v>241</v>
      </c>
      <c r="L50" s="19" t="n">
        <f aca="false">(K50/H50)*100</f>
        <v>18.4674329501916</v>
      </c>
      <c r="M50" s="16" t="n">
        <v>0</v>
      </c>
      <c r="N50" s="19" t="n">
        <f aca="false">(M50/H50)*100</f>
        <v>0</v>
      </c>
      <c r="O50" s="88" t="n">
        <v>0</v>
      </c>
      <c r="P50" s="88" t="n">
        <v>0</v>
      </c>
      <c r="Q50" s="16"/>
      <c r="R50" s="87"/>
      <c r="T50" s="16"/>
      <c r="AA50" s="87"/>
      <c r="AB50" s="88"/>
      <c r="AC50" s="28"/>
      <c r="AD50" s="16"/>
      <c r="AE50" s="16"/>
    </row>
    <row r="51" customFormat="false" ht="15.75" hidden="false" customHeight="false" outlineLevel="0" collapsed="false">
      <c r="A51" s="16" t="s">
        <v>42</v>
      </c>
      <c r="B51" s="16" t="s">
        <v>545</v>
      </c>
      <c r="C51" s="71" t="s">
        <v>649</v>
      </c>
      <c r="D51" s="16" t="s">
        <v>652</v>
      </c>
      <c r="E51" s="16" t="s">
        <v>653</v>
      </c>
      <c r="F51" s="16" t="n">
        <v>402</v>
      </c>
      <c r="G51" s="16" t="n">
        <v>72</v>
      </c>
      <c r="H51" s="16" t="n">
        <v>336</v>
      </c>
      <c r="I51" s="16" t="n">
        <v>177</v>
      </c>
      <c r="J51" s="16" t="n">
        <v>159</v>
      </c>
      <c r="K51" s="16" t="n">
        <v>65</v>
      </c>
      <c r="L51" s="19" t="n">
        <f aca="false">(K51/H51)*100</f>
        <v>19.3452380952381</v>
      </c>
      <c r="M51" s="16" t="n">
        <v>0</v>
      </c>
      <c r="N51" s="19" t="n">
        <f aca="false">(M51/H51)*100</f>
        <v>0</v>
      </c>
      <c r="O51" s="88" t="n">
        <v>0</v>
      </c>
      <c r="P51" s="88" t="n">
        <v>0</v>
      </c>
      <c r="Q51" s="16"/>
      <c r="R51" s="87"/>
      <c r="T51" s="16"/>
      <c r="AA51" s="87"/>
      <c r="AB51" s="88"/>
      <c r="AC51" s="28"/>
      <c r="AD51" s="16"/>
      <c r="AE51" s="16"/>
    </row>
    <row r="52" customFormat="false" ht="15.75" hidden="false" customHeight="false" outlineLevel="0" collapsed="false">
      <c r="A52" s="16" t="s">
        <v>42</v>
      </c>
      <c r="B52" s="16" t="s">
        <v>545</v>
      </c>
      <c r="C52" s="71" t="s">
        <v>649</v>
      </c>
      <c r="D52" s="16" t="s">
        <v>654</v>
      </c>
      <c r="E52" s="16" t="s">
        <v>655</v>
      </c>
      <c r="F52" s="16" t="n">
        <v>2629.29</v>
      </c>
      <c r="G52" s="16" t="n">
        <v>219</v>
      </c>
      <c r="H52" s="16" t="n">
        <v>1268</v>
      </c>
      <c r="I52" s="16" t="n">
        <v>668</v>
      </c>
      <c r="J52" s="16" t="n">
        <v>600</v>
      </c>
      <c r="K52" s="16" t="n">
        <v>17</v>
      </c>
      <c r="L52" s="19" t="n">
        <f aca="false">(K52/H52)*100</f>
        <v>1.34069400630915</v>
      </c>
      <c r="M52" s="16" t="n">
        <v>0</v>
      </c>
      <c r="N52" s="19" t="n">
        <f aca="false">(M52/H52)*100</f>
        <v>0</v>
      </c>
      <c r="O52" s="88" t="n">
        <v>52</v>
      </c>
      <c r="P52" s="88" t="n">
        <v>0</v>
      </c>
      <c r="Q52" s="16"/>
      <c r="R52" s="87"/>
      <c r="T52" s="16"/>
      <c r="AA52" s="87"/>
      <c r="AB52" s="88"/>
      <c r="AC52" s="28"/>
      <c r="AD52" s="16"/>
      <c r="AE52" s="16"/>
    </row>
    <row r="53" customFormat="false" ht="15.75" hidden="false" customHeight="false" outlineLevel="0" collapsed="false">
      <c r="A53" s="16" t="s">
        <v>42</v>
      </c>
      <c r="B53" s="16" t="s">
        <v>545</v>
      </c>
      <c r="C53" s="71" t="s">
        <v>649</v>
      </c>
      <c r="D53" s="16" t="s">
        <v>656</v>
      </c>
      <c r="E53" s="16" t="s">
        <v>657</v>
      </c>
      <c r="F53" s="16" t="n">
        <v>698</v>
      </c>
      <c r="G53" s="16" t="n">
        <v>59</v>
      </c>
      <c r="H53" s="16" t="n">
        <v>355</v>
      </c>
      <c r="I53" s="16" t="n">
        <v>196</v>
      </c>
      <c r="J53" s="16" t="n">
        <v>159</v>
      </c>
      <c r="K53" s="16" t="n">
        <v>86</v>
      </c>
      <c r="L53" s="19" t="n">
        <f aca="false">(K53/H53)*100</f>
        <v>24.2253521126761</v>
      </c>
      <c r="M53" s="16" t="n">
        <v>24</v>
      </c>
      <c r="N53" s="19" t="n">
        <f aca="false">(M53/H53)*100</f>
        <v>6.76056338028169</v>
      </c>
      <c r="O53" s="88" t="n">
        <v>41</v>
      </c>
      <c r="P53" s="88" t="n">
        <v>0</v>
      </c>
      <c r="Q53" s="16"/>
      <c r="R53" s="87"/>
      <c r="T53" s="16"/>
      <c r="AA53" s="87"/>
      <c r="AB53" s="88"/>
      <c r="AC53" s="28"/>
      <c r="AD53" s="16"/>
      <c r="AE53" s="16"/>
    </row>
    <row r="54" customFormat="false" ht="15.75" hidden="false" customHeight="false" outlineLevel="0" collapsed="false">
      <c r="A54" s="16" t="s">
        <v>42</v>
      </c>
      <c r="B54" s="16" t="s">
        <v>545</v>
      </c>
      <c r="C54" s="71" t="s">
        <v>649</v>
      </c>
      <c r="D54" s="16" t="s">
        <v>658</v>
      </c>
      <c r="E54" s="16" t="s">
        <v>659</v>
      </c>
      <c r="F54" s="16" t="n">
        <v>972.2</v>
      </c>
      <c r="G54" s="16" t="n">
        <v>73</v>
      </c>
      <c r="H54" s="16" t="n">
        <v>355</v>
      </c>
      <c r="I54" s="16" t="n">
        <v>195</v>
      </c>
      <c r="J54" s="16" t="n">
        <v>160</v>
      </c>
      <c r="K54" s="16" t="n">
        <v>355</v>
      </c>
      <c r="L54" s="19" t="n">
        <f aca="false">(K54/H54)*100</f>
        <v>100</v>
      </c>
      <c r="M54" s="16" t="n">
        <v>0</v>
      </c>
      <c r="N54" s="19" t="n">
        <f aca="false">(M54/H54)*100</f>
        <v>0</v>
      </c>
      <c r="O54" s="88" t="n">
        <v>0</v>
      </c>
      <c r="P54" s="88" t="n">
        <v>0</v>
      </c>
      <c r="Q54" s="16"/>
      <c r="R54" s="87"/>
      <c r="T54" s="16"/>
      <c r="AA54" s="87"/>
      <c r="AB54" s="88"/>
      <c r="AC54" s="28"/>
      <c r="AD54" s="16"/>
      <c r="AE54" s="16"/>
    </row>
    <row r="55" customFormat="false" ht="15.75" hidden="false" customHeight="false" outlineLevel="0" collapsed="false">
      <c r="A55" s="16" t="s">
        <v>42</v>
      </c>
      <c r="B55" s="16" t="s">
        <v>545</v>
      </c>
      <c r="C55" s="71" t="s">
        <v>660</v>
      </c>
      <c r="D55" s="72" t="s">
        <v>660</v>
      </c>
      <c r="E55" s="16" t="s">
        <v>661</v>
      </c>
      <c r="F55" s="16" t="n">
        <v>694</v>
      </c>
      <c r="G55" s="16" t="n">
        <v>379</v>
      </c>
      <c r="H55" s="16" t="n">
        <v>2430</v>
      </c>
      <c r="I55" s="16" t="n">
        <v>1257</v>
      </c>
      <c r="J55" s="16" t="n">
        <v>1173</v>
      </c>
      <c r="K55" s="16" t="n">
        <v>77</v>
      </c>
      <c r="L55" s="19" t="n">
        <f aca="false">(K55/H55)*100</f>
        <v>3.16872427983539</v>
      </c>
      <c r="M55" s="16" t="n">
        <v>34</v>
      </c>
      <c r="N55" s="19" t="n">
        <f aca="false">(M55/H55)*100</f>
        <v>1.39917695473251</v>
      </c>
      <c r="O55" s="88" t="n">
        <v>47</v>
      </c>
      <c r="P55" s="88" t="n">
        <v>0</v>
      </c>
      <c r="Q55" s="16"/>
      <c r="R55" s="87"/>
      <c r="T55" s="16"/>
      <c r="AA55" s="87"/>
      <c r="AB55" s="88"/>
      <c r="AC55" s="28"/>
      <c r="AD55" s="16"/>
      <c r="AE55" s="16"/>
    </row>
    <row r="56" customFormat="false" ht="15.75" hidden="false" customHeight="false" outlineLevel="0" collapsed="false">
      <c r="A56" s="16" t="s">
        <v>42</v>
      </c>
      <c r="B56" s="16" t="s">
        <v>545</v>
      </c>
      <c r="C56" s="71" t="s">
        <v>662</v>
      </c>
      <c r="D56" s="72" t="s">
        <v>663</v>
      </c>
      <c r="E56" s="16" t="s">
        <v>664</v>
      </c>
      <c r="F56" s="16" t="n">
        <v>3708</v>
      </c>
      <c r="G56" s="16" t="n">
        <v>243</v>
      </c>
      <c r="H56" s="16" t="n">
        <v>1516</v>
      </c>
      <c r="I56" s="16" t="n">
        <v>801</v>
      </c>
      <c r="J56" s="16" t="n">
        <v>715</v>
      </c>
      <c r="K56" s="16" t="n">
        <v>505</v>
      </c>
      <c r="L56" s="19" t="n">
        <f aca="false">(K56/H56)*100</f>
        <v>33.311345646438</v>
      </c>
      <c r="M56" s="16" t="n">
        <v>532</v>
      </c>
      <c r="N56" s="19" t="n">
        <f aca="false">(M56/H56)*100</f>
        <v>35.0923482849604</v>
      </c>
      <c r="O56" s="88" t="n">
        <v>541</v>
      </c>
      <c r="P56" s="88" t="n">
        <v>0</v>
      </c>
      <c r="Q56" s="16"/>
      <c r="R56" s="87"/>
      <c r="T56" s="16"/>
      <c r="AA56" s="87"/>
      <c r="AB56" s="88"/>
      <c r="AC56" s="28"/>
      <c r="AD56" s="16"/>
      <c r="AE56" s="16"/>
    </row>
    <row r="57" customFormat="false" ht="15.75" hidden="false" customHeight="false" outlineLevel="0" collapsed="false">
      <c r="A57" s="16" t="s">
        <v>42</v>
      </c>
      <c r="B57" s="16" t="s">
        <v>545</v>
      </c>
      <c r="C57" s="71" t="s">
        <v>662</v>
      </c>
      <c r="D57" s="16" t="s">
        <v>131</v>
      </c>
      <c r="E57" s="16" t="s">
        <v>665</v>
      </c>
      <c r="F57" s="16" t="n">
        <v>1835.32</v>
      </c>
      <c r="G57" s="16" t="n">
        <v>107</v>
      </c>
      <c r="H57" s="16" t="n">
        <v>663</v>
      </c>
      <c r="I57" s="16" t="n">
        <v>361</v>
      </c>
      <c r="J57" s="16" t="n">
        <v>302</v>
      </c>
      <c r="K57" s="16" t="n">
        <v>128</v>
      </c>
      <c r="L57" s="19" t="n">
        <f aca="false">(K57/H57)*100</f>
        <v>19.3061840120664</v>
      </c>
      <c r="M57" s="16" t="n">
        <v>181</v>
      </c>
      <c r="N57" s="19" t="n">
        <f aca="false">(M57/H57)*100</f>
        <v>27.3001508295626</v>
      </c>
      <c r="O57" s="88" t="n">
        <v>32.91</v>
      </c>
      <c r="P57" s="88" t="n">
        <v>0</v>
      </c>
      <c r="Q57" s="16"/>
      <c r="R57" s="87"/>
      <c r="T57" s="16"/>
      <c r="AA57" s="87"/>
      <c r="AB57" s="88"/>
      <c r="AC57" s="28"/>
      <c r="AD57" s="16"/>
      <c r="AE57" s="16"/>
    </row>
    <row r="58" customFormat="false" ht="15.75" hidden="false" customHeight="false" outlineLevel="0" collapsed="false">
      <c r="A58" s="16" t="s">
        <v>42</v>
      </c>
      <c r="B58" s="16" t="s">
        <v>545</v>
      </c>
      <c r="C58" s="71" t="s">
        <v>662</v>
      </c>
      <c r="D58" s="16" t="s">
        <v>192</v>
      </c>
      <c r="E58" s="16" t="s">
        <v>666</v>
      </c>
      <c r="F58" s="16" t="n">
        <v>1001.48</v>
      </c>
      <c r="G58" s="16" t="n">
        <v>53</v>
      </c>
      <c r="H58" s="16" t="n">
        <v>356</v>
      </c>
      <c r="I58" s="16" t="n">
        <v>184</v>
      </c>
      <c r="J58" s="16" t="n">
        <v>172</v>
      </c>
      <c r="K58" s="16" t="n">
        <v>26</v>
      </c>
      <c r="L58" s="19" t="n">
        <f aca="false">(K58/H58)*100</f>
        <v>7.30337078651685</v>
      </c>
      <c r="M58" s="16" t="n">
        <v>0</v>
      </c>
      <c r="N58" s="19" t="n">
        <f aca="false">(M58/H58)*100</f>
        <v>0</v>
      </c>
      <c r="O58" s="88" t="n">
        <v>0</v>
      </c>
      <c r="P58" s="88" t="n">
        <v>0</v>
      </c>
      <c r="Q58" s="16"/>
      <c r="R58" s="87"/>
      <c r="T58" s="16"/>
      <c r="AA58" s="87"/>
      <c r="AB58" s="88"/>
      <c r="AC58" s="28"/>
      <c r="AD58" s="16"/>
      <c r="AE58" s="16"/>
    </row>
    <row r="59" customFormat="false" ht="15.75" hidden="false" customHeight="false" outlineLevel="0" collapsed="false">
      <c r="A59" s="16" t="s">
        <v>42</v>
      </c>
      <c r="B59" s="16" t="s">
        <v>545</v>
      </c>
      <c r="C59" s="71" t="s">
        <v>662</v>
      </c>
      <c r="D59" s="16" t="s">
        <v>667</v>
      </c>
      <c r="E59" s="16" t="s">
        <v>668</v>
      </c>
      <c r="F59" s="16" t="n">
        <v>982.35</v>
      </c>
      <c r="G59" s="16" t="n">
        <v>40</v>
      </c>
      <c r="H59" s="16" t="n">
        <v>250</v>
      </c>
      <c r="I59" s="16" t="n">
        <v>132</v>
      </c>
      <c r="J59" s="16" t="n">
        <v>118</v>
      </c>
      <c r="K59" s="16" t="n">
        <v>0</v>
      </c>
      <c r="L59" s="19" t="n">
        <f aca="false">(K59/H59)*100</f>
        <v>0</v>
      </c>
      <c r="M59" s="16" t="n">
        <v>0</v>
      </c>
      <c r="N59" s="19" t="n">
        <f aca="false">(M59/H59)*100</f>
        <v>0</v>
      </c>
      <c r="O59" s="88" t="n">
        <v>0</v>
      </c>
      <c r="P59" s="88" t="n">
        <v>0</v>
      </c>
      <c r="Q59" s="16"/>
      <c r="R59" s="87"/>
      <c r="T59" s="16"/>
      <c r="AA59" s="87"/>
      <c r="AB59" s="88"/>
      <c r="AC59" s="28"/>
      <c r="AD59" s="16"/>
      <c r="AE59" s="16"/>
    </row>
    <row r="60" customFormat="false" ht="15.75" hidden="false" customHeight="false" outlineLevel="0" collapsed="false">
      <c r="A60" s="16" t="s">
        <v>42</v>
      </c>
      <c r="B60" s="16" t="s">
        <v>545</v>
      </c>
      <c r="C60" s="71" t="s">
        <v>669</v>
      </c>
      <c r="D60" s="72" t="s">
        <v>669</v>
      </c>
      <c r="E60" s="16" t="s">
        <v>670</v>
      </c>
      <c r="F60" s="16" t="n">
        <v>611.58</v>
      </c>
      <c r="G60" s="16" t="n">
        <v>187</v>
      </c>
      <c r="H60" s="16" t="n">
        <v>1017</v>
      </c>
      <c r="I60" s="16" t="n">
        <v>538</v>
      </c>
      <c r="J60" s="16" t="n">
        <v>479</v>
      </c>
      <c r="K60" s="16" t="n">
        <v>50</v>
      </c>
      <c r="L60" s="19" t="n">
        <f aca="false">(K60/H60)*100</f>
        <v>4.91642084562439</v>
      </c>
      <c r="M60" s="16" t="n">
        <v>210</v>
      </c>
      <c r="N60" s="19" t="n">
        <f aca="false">(M60/H60)*100</f>
        <v>20.6489675516224</v>
      </c>
      <c r="O60" s="88" t="n">
        <v>0</v>
      </c>
      <c r="P60" s="88" t="n">
        <v>0</v>
      </c>
      <c r="Q60" s="24" t="s">
        <v>49</v>
      </c>
      <c r="R60" s="34" t="n">
        <v>45884</v>
      </c>
      <c r="T60" s="20" t="n">
        <v>0</v>
      </c>
      <c r="AA60" s="26" t="s">
        <v>50</v>
      </c>
      <c r="AB60" s="89"/>
      <c r="AC60" s="36"/>
      <c r="AD60" s="20"/>
      <c r="AE60" s="20"/>
    </row>
    <row r="61" customFormat="false" ht="31.5" hidden="false" customHeight="false" outlineLevel="0" collapsed="false">
      <c r="A61" s="16" t="s">
        <v>42</v>
      </c>
      <c r="B61" s="16" t="s">
        <v>545</v>
      </c>
      <c r="C61" s="71" t="s">
        <v>669</v>
      </c>
      <c r="D61" s="16" t="s">
        <v>671</v>
      </c>
      <c r="E61" s="16" t="s">
        <v>672</v>
      </c>
      <c r="F61" s="16" t="n">
        <v>1695.03</v>
      </c>
      <c r="G61" s="16" t="n">
        <v>105</v>
      </c>
      <c r="H61" s="16" t="n">
        <v>512</v>
      </c>
      <c r="I61" s="16" t="n">
        <v>259</v>
      </c>
      <c r="J61" s="16" t="n">
        <v>253</v>
      </c>
      <c r="K61" s="16" t="n">
        <v>9</v>
      </c>
      <c r="L61" s="19" t="n">
        <f aca="false">(K61/H61)*100</f>
        <v>1.7578125</v>
      </c>
      <c r="M61" s="16" t="n">
        <v>0</v>
      </c>
      <c r="N61" s="19" t="n">
        <f aca="false">(M61/H61)*100</f>
        <v>0</v>
      </c>
      <c r="O61" s="88" t="n">
        <v>957.82</v>
      </c>
      <c r="P61" s="88" t="n">
        <v>37.31</v>
      </c>
      <c r="Q61" s="24" t="s">
        <v>49</v>
      </c>
      <c r="R61" s="34" t="n">
        <v>45884</v>
      </c>
      <c r="T61" s="20" t="n">
        <v>957.82</v>
      </c>
      <c r="AA61" s="26" t="s">
        <v>50</v>
      </c>
      <c r="AB61" s="89" t="n">
        <v>10</v>
      </c>
      <c r="AC61" s="36" t="s">
        <v>673</v>
      </c>
      <c r="AD61" s="20" t="n">
        <v>27.388932</v>
      </c>
      <c r="AE61" s="20" t="n">
        <v>72.396014</v>
      </c>
    </row>
    <row r="62" customFormat="false" ht="31.5" hidden="false" customHeight="false" outlineLevel="0" collapsed="false">
      <c r="A62" s="16"/>
      <c r="B62" s="16"/>
      <c r="C62" s="71"/>
      <c r="D62" s="16"/>
      <c r="E62" s="16"/>
      <c r="F62" s="16"/>
      <c r="G62" s="16"/>
      <c r="H62" s="16"/>
      <c r="I62" s="16"/>
      <c r="J62" s="16"/>
      <c r="K62" s="16"/>
      <c r="L62" s="19" t="e">
        <f aca="false">(K62/H62)*100</f>
        <v>#DIV/0!</v>
      </c>
      <c r="M62" s="16"/>
      <c r="N62" s="19" t="e">
        <f aca="false">(M62/H62)*100</f>
        <v>#DIV/0!</v>
      </c>
      <c r="O62" s="88"/>
      <c r="P62" s="88"/>
      <c r="Q62" s="30"/>
      <c r="R62" s="31"/>
      <c r="T62" s="30"/>
      <c r="AA62" s="32" t="s">
        <v>50</v>
      </c>
      <c r="AB62" s="150" t="n">
        <v>10</v>
      </c>
      <c r="AC62" s="42" t="s">
        <v>674</v>
      </c>
      <c r="AD62" s="30" t="n">
        <v>27.390651</v>
      </c>
      <c r="AE62" s="30" t="n">
        <v>72.399705</v>
      </c>
    </row>
    <row r="63" customFormat="false" ht="15.75" hidden="false" customHeight="false" outlineLevel="0" collapsed="false">
      <c r="A63" s="16" t="s">
        <v>42</v>
      </c>
      <c r="B63" s="16" t="s">
        <v>545</v>
      </c>
      <c r="C63" s="71" t="s">
        <v>669</v>
      </c>
      <c r="D63" s="16" t="s">
        <v>675</v>
      </c>
      <c r="E63" s="16" t="s">
        <v>676</v>
      </c>
      <c r="F63" s="16" t="n">
        <v>409.38</v>
      </c>
      <c r="G63" s="16" t="n">
        <v>79</v>
      </c>
      <c r="H63" s="16" t="n">
        <v>463</v>
      </c>
      <c r="I63" s="16" t="n">
        <v>247</v>
      </c>
      <c r="J63" s="16" t="n">
        <v>216</v>
      </c>
      <c r="K63" s="16" t="n">
        <v>0</v>
      </c>
      <c r="L63" s="19" t="n">
        <f aca="false">(K63/H63)*100</f>
        <v>0</v>
      </c>
      <c r="M63" s="16" t="n">
        <v>0</v>
      </c>
      <c r="N63" s="19" t="n">
        <f aca="false">(M63/H63)*100</f>
        <v>0</v>
      </c>
      <c r="O63" s="88" t="n">
        <v>0</v>
      </c>
      <c r="P63" s="88" t="n">
        <v>0</v>
      </c>
      <c r="Q63" s="24" t="s">
        <v>49</v>
      </c>
      <c r="R63" s="34" t="n">
        <v>45884</v>
      </c>
      <c r="T63" s="20" t="n">
        <v>0</v>
      </c>
      <c r="AA63" s="26" t="s">
        <v>50</v>
      </c>
      <c r="AB63" s="89"/>
      <c r="AC63" s="36"/>
      <c r="AD63" s="20"/>
      <c r="AE63" s="20"/>
    </row>
    <row r="64" customFormat="false" ht="15.75" hidden="false" customHeight="false" outlineLevel="0" collapsed="false">
      <c r="A64" s="16" t="s">
        <v>42</v>
      </c>
      <c r="B64" s="16" t="s">
        <v>545</v>
      </c>
      <c r="C64" s="71" t="s">
        <v>669</v>
      </c>
      <c r="D64" s="16" t="s">
        <v>677</v>
      </c>
      <c r="E64" s="16" t="s">
        <v>678</v>
      </c>
      <c r="F64" s="16" t="n">
        <v>761.32</v>
      </c>
      <c r="G64" s="16" t="n">
        <v>31</v>
      </c>
      <c r="H64" s="16" t="n">
        <v>135</v>
      </c>
      <c r="I64" s="16" t="n">
        <v>77</v>
      </c>
      <c r="J64" s="16" t="n">
        <v>58</v>
      </c>
      <c r="K64" s="16" t="n">
        <v>0</v>
      </c>
      <c r="L64" s="19" t="n">
        <f aca="false">(K64/H64)*100</f>
        <v>0</v>
      </c>
      <c r="M64" s="16" t="n">
        <v>0</v>
      </c>
      <c r="N64" s="19" t="n">
        <f aca="false">(M64/H64)*100</f>
        <v>0</v>
      </c>
      <c r="O64" s="88" t="n">
        <v>0</v>
      </c>
      <c r="P64" s="88" t="n">
        <v>0</v>
      </c>
      <c r="Q64" s="24" t="s">
        <v>49</v>
      </c>
      <c r="R64" s="34" t="n">
        <v>45884</v>
      </c>
      <c r="T64" s="20" t="n">
        <v>0</v>
      </c>
      <c r="AA64" s="26" t="s">
        <v>50</v>
      </c>
      <c r="AB64" s="89"/>
      <c r="AC64" s="36"/>
      <c r="AD64" s="20"/>
      <c r="AE64" s="20"/>
    </row>
    <row r="65" customFormat="false" ht="34.5" hidden="false" customHeight="false" outlineLevel="0" collapsed="false">
      <c r="A65" s="16" t="s">
        <v>42</v>
      </c>
      <c r="B65" s="16" t="s">
        <v>545</v>
      </c>
      <c r="C65" s="71" t="s">
        <v>679</v>
      </c>
      <c r="D65" s="72" t="s">
        <v>680</v>
      </c>
      <c r="E65" s="16" t="s">
        <v>681</v>
      </c>
      <c r="F65" s="16" t="n">
        <v>2598</v>
      </c>
      <c r="G65" s="16" t="n">
        <v>295</v>
      </c>
      <c r="H65" s="16" t="n">
        <v>1778</v>
      </c>
      <c r="I65" s="16" t="n">
        <v>934</v>
      </c>
      <c r="J65" s="16" t="n">
        <v>844</v>
      </c>
      <c r="K65" s="16" t="n">
        <v>690</v>
      </c>
      <c r="L65" s="19" t="n">
        <f aca="false">(K65/H65)*100</f>
        <v>38.8076490438695</v>
      </c>
      <c r="M65" s="16" t="n">
        <v>120</v>
      </c>
      <c r="N65" s="19" t="n">
        <f aca="false">(M65/H65)*100</f>
        <v>6.74915635545557</v>
      </c>
      <c r="O65" s="88" t="n">
        <v>182</v>
      </c>
      <c r="P65" s="88" t="n">
        <v>0</v>
      </c>
      <c r="Q65" s="129" t="s">
        <v>49</v>
      </c>
      <c r="R65" s="25" t="n">
        <v>45884</v>
      </c>
      <c r="T65" s="129" t="n">
        <v>245.67</v>
      </c>
      <c r="U65" s="92" t="s">
        <v>49</v>
      </c>
      <c r="AA65" s="26" t="s">
        <v>50</v>
      </c>
      <c r="AB65" s="92" t="n">
        <v>30</v>
      </c>
      <c r="AC65" s="130" t="s">
        <v>682</v>
      </c>
      <c r="AD65" s="129"/>
      <c r="AE65" s="129"/>
    </row>
    <row r="66" customFormat="false" ht="34.5" hidden="false" customHeight="false" outlineLevel="0" collapsed="false">
      <c r="A66" s="16"/>
      <c r="B66" s="16"/>
      <c r="C66" s="71"/>
      <c r="D66" s="72"/>
      <c r="E66" s="16"/>
      <c r="F66" s="16"/>
      <c r="G66" s="16"/>
      <c r="H66" s="16"/>
      <c r="I66" s="16"/>
      <c r="J66" s="16"/>
      <c r="K66" s="16"/>
      <c r="L66" s="19" t="e">
        <f aca="false">(K66/H66)*100</f>
        <v>#DIV/0!</v>
      </c>
      <c r="M66" s="16"/>
      <c r="N66" s="19" t="e">
        <f aca="false">(M66/H66)*100</f>
        <v>#DIV/0!</v>
      </c>
      <c r="O66" s="88"/>
      <c r="P66" s="88"/>
      <c r="Q66" s="140" t="s">
        <v>49</v>
      </c>
      <c r="R66" s="141"/>
      <c r="T66" s="140"/>
      <c r="AA66" s="142" t="s">
        <v>50</v>
      </c>
      <c r="AB66" s="143" t="n">
        <v>20</v>
      </c>
      <c r="AC66" s="144" t="s">
        <v>683</v>
      </c>
      <c r="AD66" s="140" t="n">
        <v>27.308097</v>
      </c>
      <c r="AE66" s="140" t="n">
        <v>72.532609</v>
      </c>
    </row>
    <row r="67" customFormat="false" ht="34.5" hidden="false" customHeight="false" outlineLevel="0" collapsed="false">
      <c r="A67" s="16"/>
      <c r="B67" s="16"/>
      <c r="C67" s="71"/>
      <c r="D67" s="72"/>
      <c r="E67" s="16"/>
      <c r="F67" s="16"/>
      <c r="G67" s="16"/>
      <c r="H67" s="16"/>
      <c r="I67" s="16"/>
      <c r="J67" s="16"/>
      <c r="K67" s="16"/>
      <c r="L67" s="19" t="e">
        <f aca="false">(K67/H67)*100</f>
        <v>#DIV/0!</v>
      </c>
      <c r="M67" s="16"/>
      <c r="N67" s="19" t="e">
        <f aca="false">(M67/H67)*100</f>
        <v>#DIV/0!</v>
      </c>
      <c r="O67" s="88"/>
      <c r="P67" s="88"/>
      <c r="Q67" s="140" t="s">
        <v>49</v>
      </c>
      <c r="R67" s="141"/>
      <c r="T67" s="140"/>
      <c r="AA67" s="142" t="s">
        <v>50</v>
      </c>
      <c r="AB67" s="143" t="n">
        <v>30</v>
      </c>
      <c r="AC67" s="151" t="s">
        <v>684</v>
      </c>
      <c r="AD67" s="140" t="n">
        <v>27.311048</v>
      </c>
      <c r="AE67" s="140" t="n">
        <v>72.531629</v>
      </c>
    </row>
    <row r="68" customFormat="false" ht="15.75" hidden="false" customHeight="false" outlineLevel="0" collapsed="false">
      <c r="A68" s="16" t="s">
        <v>42</v>
      </c>
      <c r="B68" s="16" t="s">
        <v>545</v>
      </c>
      <c r="C68" s="71" t="s">
        <v>679</v>
      </c>
      <c r="D68" s="16" t="s">
        <v>685</v>
      </c>
      <c r="E68" s="16" t="s">
        <v>686</v>
      </c>
      <c r="F68" s="16" t="n">
        <v>352</v>
      </c>
      <c r="G68" s="16" t="n">
        <v>33</v>
      </c>
      <c r="H68" s="16" t="n">
        <v>234</v>
      </c>
      <c r="I68" s="16" t="n">
        <v>115</v>
      </c>
      <c r="J68" s="16" t="n">
        <v>119</v>
      </c>
      <c r="K68" s="16" t="n">
        <v>55</v>
      </c>
      <c r="L68" s="19" t="n">
        <f aca="false">(K68/H68)*100</f>
        <v>23.5042735042735</v>
      </c>
      <c r="M68" s="16" t="n">
        <v>0</v>
      </c>
      <c r="N68" s="19" t="n">
        <f aca="false">(M68/H68)*100</f>
        <v>0</v>
      </c>
      <c r="O68" s="88" t="n">
        <v>0</v>
      </c>
      <c r="P68" s="88" t="n">
        <v>0</v>
      </c>
      <c r="Q68" s="129"/>
      <c r="R68" s="25" t="n">
        <v>45884</v>
      </c>
      <c r="T68" s="129" t="n">
        <v>0</v>
      </c>
      <c r="AA68" s="26" t="s">
        <v>50</v>
      </c>
      <c r="AB68" s="92" t="n">
        <v>0</v>
      </c>
      <c r="AC68" s="57"/>
      <c r="AD68" s="129"/>
      <c r="AE68" s="129"/>
    </row>
    <row r="69" customFormat="false" ht="15.75" hidden="false" customHeight="false" outlineLevel="0" collapsed="false">
      <c r="A69" s="16" t="s">
        <v>42</v>
      </c>
      <c r="B69" s="16" t="s">
        <v>545</v>
      </c>
      <c r="C69" s="71" t="s">
        <v>679</v>
      </c>
      <c r="D69" s="16" t="s">
        <v>687</v>
      </c>
      <c r="E69" s="16" t="s">
        <v>688</v>
      </c>
      <c r="F69" s="16" t="n">
        <v>680</v>
      </c>
      <c r="G69" s="16" t="n">
        <v>221</v>
      </c>
      <c r="H69" s="16" t="n">
        <v>1284</v>
      </c>
      <c r="I69" s="16" t="n">
        <v>686</v>
      </c>
      <c r="J69" s="16" t="n">
        <v>598</v>
      </c>
      <c r="K69" s="16" t="n">
        <v>0</v>
      </c>
      <c r="L69" s="19" t="n">
        <f aca="false">(K69/H69)*100</f>
        <v>0</v>
      </c>
      <c r="M69" s="16" t="n">
        <v>0</v>
      </c>
      <c r="N69" s="19" t="n">
        <f aca="false">(M69/H69)*100</f>
        <v>0</v>
      </c>
      <c r="O69" s="88" t="n">
        <v>0</v>
      </c>
      <c r="P69" s="88" t="n">
        <v>0</v>
      </c>
      <c r="Q69" s="129"/>
      <c r="R69" s="25" t="n">
        <v>45884</v>
      </c>
      <c r="T69" s="129" t="n">
        <v>0</v>
      </c>
      <c r="AA69" s="26" t="s">
        <v>50</v>
      </c>
      <c r="AB69" s="92" t="n">
        <v>0</v>
      </c>
      <c r="AC69" s="57"/>
      <c r="AD69" s="129"/>
      <c r="AE69" s="129"/>
    </row>
    <row r="70" customFormat="false" ht="15.75" hidden="false" customHeight="false" outlineLevel="0" collapsed="false">
      <c r="A70" s="16" t="s">
        <v>42</v>
      </c>
      <c r="B70" s="16" t="s">
        <v>545</v>
      </c>
      <c r="C70" s="71" t="s">
        <v>679</v>
      </c>
      <c r="D70" s="16" t="s">
        <v>689</v>
      </c>
      <c r="E70" s="16" t="s">
        <v>690</v>
      </c>
      <c r="F70" s="16" t="n">
        <v>343</v>
      </c>
      <c r="G70" s="16" t="n">
        <v>39</v>
      </c>
      <c r="H70" s="16" t="n">
        <v>237</v>
      </c>
      <c r="I70" s="16" t="n">
        <v>118</v>
      </c>
      <c r="J70" s="16" t="n">
        <v>119</v>
      </c>
      <c r="K70" s="16" t="n">
        <v>95</v>
      </c>
      <c r="L70" s="19" t="n">
        <f aca="false">(K70/H70)*100</f>
        <v>40.084388185654</v>
      </c>
      <c r="M70" s="16" t="n">
        <v>0</v>
      </c>
      <c r="N70" s="19" t="n">
        <f aca="false">(M70/H70)*100</f>
        <v>0</v>
      </c>
      <c r="O70" s="88" t="n">
        <v>0</v>
      </c>
      <c r="P70" s="88" t="n">
        <v>0</v>
      </c>
      <c r="Q70" s="129"/>
      <c r="R70" s="25" t="n">
        <v>45884</v>
      </c>
      <c r="T70" s="129" t="n">
        <v>0</v>
      </c>
      <c r="AA70" s="26" t="s">
        <v>50</v>
      </c>
      <c r="AB70" s="92" t="n">
        <v>0</v>
      </c>
      <c r="AC70" s="57"/>
      <c r="AD70" s="129"/>
      <c r="AE70" s="129"/>
    </row>
    <row r="71" customFormat="false" ht="15.75" hidden="false" customHeight="false" outlineLevel="0" collapsed="false">
      <c r="A71" s="16" t="s">
        <v>42</v>
      </c>
      <c r="B71" s="16" t="s">
        <v>545</v>
      </c>
      <c r="C71" s="71" t="s">
        <v>691</v>
      </c>
      <c r="D71" s="72" t="s">
        <v>692</v>
      </c>
      <c r="E71" s="16" t="s">
        <v>693</v>
      </c>
      <c r="F71" s="16" t="n">
        <v>1264</v>
      </c>
      <c r="G71" s="16" t="n">
        <v>198</v>
      </c>
      <c r="H71" s="16" t="n">
        <v>1193</v>
      </c>
      <c r="I71" s="16" t="n">
        <v>634</v>
      </c>
      <c r="J71" s="16" t="n">
        <v>559</v>
      </c>
      <c r="K71" s="16" t="n">
        <v>0</v>
      </c>
      <c r="L71" s="19" t="n">
        <f aca="false">(K71/H71)*100</f>
        <v>0</v>
      </c>
      <c r="M71" s="16" t="n">
        <v>0</v>
      </c>
      <c r="N71" s="19" t="n">
        <f aca="false">(M71/H71)*100</f>
        <v>0</v>
      </c>
      <c r="O71" s="88" t="n">
        <v>0</v>
      </c>
      <c r="P71" s="88" t="n">
        <v>0</v>
      </c>
      <c r="Q71" s="16"/>
      <c r="R71" s="87"/>
      <c r="T71" s="16"/>
      <c r="AA71" s="87"/>
      <c r="AB71" s="88"/>
      <c r="AC71" s="28"/>
      <c r="AD71" s="16"/>
      <c r="AE71" s="16"/>
    </row>
    <row r="72" customFormat="false" ht="15.75" hidden="false" customHeight="false" outlineLevel="0" collapsed="false">
      <c r="A72" s="16" t="s">
        <v>42</v>
      </c>
      <c r="B72" s="16" t="s">
        <v>545</v>
      </c>
      <c r="C72" s="71" t="s">
        <v>691</v>
      </c>
      <c r="D72" s="16" t="s">
        <v>694</v>
      </c>
      <c r="E72" s="16" t="s">
        <v>695</v>
      </c>
      <c r="F72" s="16" t="n">
        <v>1167</v>
      </c>
      <c r="G72" s="16" t="n">
        <v>33</v>
      </c>
      <c r="H72" s="16" t="n">
        <v>190</v>
      </c>
      <c r="I72" s="16" t="n">
        <v>95</v>
      </c>
      <c r="J72" s="16" t="n">
        <v>95</v>
      </c>
      <c r="K72" s="16" t="n">
        <v>0</v>
      </c>
      <c r="L72" s="19" t="n">
        <f aca="false">(K72/H72)*100</f>
        <v>0</v>
      </c>
      <c r="M72" s="16" t="n">
        <v>0</v>
      </c>
      <c r="N72" s="19" t="n">
        <f aca="false">(M72/H72)*100</f>
        <v>0</v>
      </c>
      <c r="O72" s="88" t="n">
        <v>269</v>
      </c>
      <c r="P72" s="88" t="n">
        <v>0</v>
      </c>
      <c r="Q72" s="16"/>
      <c r="R72" s="87"/>
      <c r="T72" s="16"/>
      <c r="Y72" s="77" t="n">
        <v>128</v>
      </c>
      <c r="AA72" s="87"/>
      <c r="AB72" s="88"/>
      <c r="AC72" s="28"/>
      <c r="AD72" s="16"/>
      <c r="AE72" s="16"/>
    </row>
    <row r="73" customFormat="false" ht="34.5" hidden="false" customHeight="false" outlineLevel="0" collapsed="false">
      <c r="A73" s="16" t="s">
        <v>42</v>
      </c>
      <c r="B73" s="16" t="s">
        <v>545</v>
      </c>
      <c r="C73" s="71" t="s">
        <v>696</v>
      </c>
      <c r="D73" s="72" t="s">
        <v>697</v>
      </c>
      <c r="E73" s="16" t="s">
        <v>698</v>
      </c>
      <c r="F73" s="16" t="n">
        <v>1829.24</v>
      </c>
      <c r="G73" s="16" t="n">
        <v>84</v>
      </c>
      <c r="H73" s="16" t="n">
        <v>524</v>
      </c>
      <c r="I73" s="16" t="n">
        <v>274</v>
      </c>
      <c r="J73" s="16" t="n">
        <v>250</v>
      </c>
      <c r="K73" s="16" t="n">
        <v>262</v>
      </c>
      <c r="L73" s="19" t="n">
        <f aca="false">(K73/H73)*100</f>
        <v>50</v>
      </c>
      <c r="M73" s="16" t="n">
        <v>1</v>
      </c>
      <c r="N73" s="19" t="n">
        <f aca="false">(M73/H73)*100</f>
        <v>0.190839694656489</v>
      </c>
      <c r="O73" s="88" t="n">
        <v>15</v>
      </c>
      <c r="P73" s="88" t="n">
        <v>0</v>
      </c>
      <c r="Q73" s="129" t="s">
        <v>49</v>
      </c>
      <c r="R73" s="25" t="n">
        <v>45828</v>
      </c>
      <c r="T73" s="129" t="n">
        <v>6.52</v>
      </c>
      <c r="AA73" s="26" t="s">
        <v>50</v>
      </c>
      <c r="AB73" s="92" t="n">
        <v>5</v>
      </c>
      <c r="AC73" s="130" t="s">
        <v>699</v>
      </c>
      <c r="AD73" s="129" t="n">
        <v>27.460371</v>
      </c>
      <c r="AE73" s="129" t="n">
        <v>72.500481</v>
      </c>
    </row>
    <row r="74" customFormat="false" ht="15.75" hidden="false" customHeight="false" outlineLevel="0" collapsed="false">
      <c r="A74" s="16" t="s">
        <v>42</v>
      </c>
      <c r="B74" s="16" t="s">
        <v>545</v>
      </c>
      <c r="C74" s="71" t="s">
        <v>696</v>
      </c>
      <c r="D74" s="16" t="s">
        <v>700</v>
      </c>
      <c r="E74" s="16" t="s">
        <v>701</v>
      </c>
      <c r="F74" s="16" t="n">
        <v>461</v>
      </c>
      <c r="G74" s="16" t="n">
        <v>62</v>
      </c>
      <c r="H74" s="16" t="n">
        <v>348</v>
      </c>
      <c r="I74" s="16" t="n">
        <v>180</v>
      </c>
      <c r="J74" s="16" t="n">
        <v>168</v>
      </c>
      <c r="K74" s="16" t="n">
        <v>218</v>
      </c>
      <c r="L74" s="19" t="n">
        <f aca="false">(K74/H74)*100</f>
        <v>62.6436781609195</v>
      </c>
      <c r="M74" s="16" t="n">
        <v>118</v>
      </c>
      <c r="N74" s="19" t="n">
        <f aca="false">(M74/H74)*100</f>
        <v>33.9080459770115</v>
      </c>
      <c r="O74" s="88" t="n">
        <v>0</v>
      </c>
      <c r="P74" s="88" t="n">
        <v>0</v>
      </c>
      <c r="Q74" s="129"/>
      <c r="R74" s="25" t="n">
        <v>45828</v>
      </c>
      <c r="T74" s="129" t="n">
        <v>0</v>
      </c>
      <c r="AA74" s="26" t="s">
        <v>50</v>
      </c>
      <c r="AB74" s="92" t="n">
        <v>0</v>
      </c>
      <c r="AC74" s="57"/>
      <c r="AD74" s="129"/>
      <c r="AE74" s="129"/>
    </row>
    <row r="75" customFormat="false" ht="17.25" hidden="false" customHeight="false" outlineLevel="0" collapsed="false">
      <c r="A75" s="16" t="s">
        <v>42</v>
      </c>
      <c r="B75" s="16" t="s">
        <v>545</v>
      </c>
      <c r="C75" s="71" t="s">
        <v>696</v>
      </c>
      <c r="D75" s="16" t="s">
        <v>702</v>
      </c>
      <c r="E75" s="16" t="s">
        <v>703</v>
      </c>
      <c r="F75" s="16" t="n">
        <v>1236</v>
      </c>
      <c r="G75" s="16" t="n">
        <v>193</v>
      </c>
      <c r="H75" s="16" t="n">
        <v>1142</v>
      </c>
      <c r="I75" s="16" t="n">
        <v>591</v>
      </c>
      <c r="J75" s="16" t="n">
        <v>551</v>
      </c>
      <c r="K75" s="16" t="n">
        <v>681</v>
      </c>
      <c r="L75" s="19" t="n">
        <f aca="false">(K75/H75)*100</f>
        <v>59.6322241681261</v>
      </c>
      <c r="M75" s="16" t="n">
        <v>160</v>
      </c>
      <c r="N75" s="19" t="n">
        <f aca="false">(M75/H75)*100</f>
        <v>14.0105078809107</v>
      </c>
      <c r="O75" s="88" t="n">
        <v>412</v>
      </c>
      <c r="P75" s="88" t="n">
        <v>0</v>
      </c>
      <c r="Q75" s="129" t="s">
        <v>49</v>
      </c>
      <c r="R75" s="25" t="n">
        <v>45828</v>
      </c>
      <c r="T75" s="129" t="n">
        <v>349.79</v>
      </c>
      <c r="AA75" s="26" t="s">
        <v>50</v>
      </c>
      <c r="AB75" s="92" t="n">
        <v>5</v>
      </c>
      <c r="AC75" s="130" t="s">
        <v>704</v>
      </c>
      <c r="AD75" s="129" t="n">
        <v>27.455585</v>
      </c>
      <c r="AE75" s="129" t="n">
        <v>72.49756</v>
      </c>
    </row>
    <row r="76" customFormat="false" ht="34.5" hidden="false" customHeight="false" outlineLevel="0" collapsed="false">
      <c r="A76" s="16"/>
      <c r="B76" s="16"/>
      <c r="C76" s="71"/>
      <c r="D76" s="16"/>
      <c r="E76" s="16"/>
      <c r="F76" s="16"/>
      <c r="G76" s="16"/>
      <c r="H76" s="16"/>
      <c r="I76" s="16"/>
      <c r="J76" s="16"/>
      <c r="K76" s="16"/>
      <c r="L76" s="19" t="e">
        <f aca="false">(K76/H76)*100</f>
        <v>#DIV/0!</v>
      </c>
      <c r="M76" s="16"/>
      <c r="N76" s="19" t="e">
        <f aca="false">(M76/H76)*100</f>
        <v>#DIV/0!</v>
      </c>
      <c r="O76" s="88"/>
      <c r="P76" s="88"/>
      <c r="Q76" s="140" t="s">
        <v>49</v>
      </c>
      <c r="R76" s="141"/>
      <c r="T76" s="140"/>
      <c r="AA76" s="142" t="s">
        <v>50</v>
      </c>
      <c r="AB76" s="143" t="n">
        <v>5</v>
      </c>
      <c r="AC76" s="151" t="s">
        <v>705</v>
      </c>
      <c r="AD76" s="140" t="n">
        <v>27.449744</v>
      </c>
      <c r="AE76" s="140" t="n">
        <v>72.50956</v>
      </c>
    </row>
    <row r="77" customFormat="false" ht="15.75" hidden="false" customHeight="false" outlineLevel="0" collapsed="false">
      <c r="A77" s="16" t="s">
        <v>42</v>
      </c>
      <c r="B77" s="16" t="s">
        <v>545</v>
      </c>
      <c r="C77" s="71" t="s">
        <v>696</v>
      </c>
      <c r="D77" s="16" t="s">
        <v>706</v>
      </c>
      <c r="E77" s="16" t="s">
        <v>707</v>
      </c>
      <c r="F77" s="16" t="n">
        <v>865.37</v>
      </c>
      <c r="G77" s="16" t="n">
        <v>57</v>
      </c>
      <c r="H77" s="16" t="n">
        <v>306</v>
      </c>
      <c r="I77" s="16" t="n">
        <v>172</v>
      </c>
      <c r="J77" s="16" t="n">
        <v>134</v>
      </c>
      <c r="K77" s="16" t="n">
        <v>0</v>
      </c>
      <c r="L77" s="19" t="n">
        <f aca="false">(K77/H77)*100</f>
        <v>0</v>
      </c>
      <c r="M77" s="16" t="n">
        <v>6</v>
      </c>
      <c r="N77" s="19" t="n">
        <f aca="false">(M77/H77)*100</f>
        <v>1.96078431372549</v>
      </c>
      <c r="O77" s="88" t="n">
        <v>0</v>
      </c>
      <c r="P77" s="88" t="n">
        <v>0</v>
      </c>
      <c r="Q77" s="129"/>
      <c r="R77" s="25" t="n">
        <v>45828</v>
      </c>
      <c r="T77" s="129" t="n">
        <v>0</v>
      </c>
      <c r="AA77" s="26" t="s">
        <v>50</v>
      </c>
      <c r="AB77" s="92" t="n">
        <v>0</v>
      </c>
      <c r="AC77" s="57"/>
      <c r="AD77" s="129"/>
      <c r="AE77" s="129"/>
    </row>
    <row r="78" customFormat="false" ht="34.5" hidden="false" customHeight="false" outlineLevel="0" collapsed="false">
      <c r="A78" s="16" t="s">
        <v>42</v>
      </c>
      <c r="B78" s="16" t="s">
        <v>545</v>
      </c>
      <c r="C78" s="71" t="s">
        <v>708</v>
      </c>
      <c r="D78" s="72" t="s">
        <v>471</v>
      </c>
      <c r="E78" s="16" t="s">
        <v>709</v>
      </c>
      <c r="F78" s="16" t="n">
        <v>7923</v>
      </c>
      <c r="G78" s="16" t="n">
        <v>506</v>
      </c>
      <c r="H78" s="16" t="n">
        <v>2769</v>
      </c>
      <c r="I78" s="16" t="n">
        <v>1487</v>
      </c>
      <c r="J78" s="16" t="n">
        <v>1282</v>
      </c>
      <c r="K78" s="16" t="n">
        <v>595</v>
      </c>
      <c r="L78" s="19" t="n">
        <f aca="false">(K78/H78)*100</f>
        <v>21.4879017695919</v>
      </c>
      <c r="M78" s="16" t="n">
        <v>0</v>
      </c>
      <c r="N78" s="19" t="n">
        <f aca="false">(M78/H78)*100</f>
        <v>0</v>
      </c>
      <c r="O78" s="88" t="n">
        <v>841</v>
      </c>
      <c r="P78" s="88" t="n">
        <v>0</v>
      </c>
      <c r="Q78" s="24" t="s">
        <v>49</v>
      </c>
      <c r="R78" s="25" t="n">
        <v>45884</v>
      </c>
      <c r="T78" s="24" t="n">
        <v>5.69</v>
      </c>
      <c r="AA78" s="26" t="s">
        <v>50</v>
      </c>
      <c r="AB78" s="92" t="n">
        <v>12</v>
      </c>
      <c r="AC78" s="130" t="s">
        <v>710</v>
      </c>
      <c r="AD78" s="24" t="n">
        <v>27.429086</v>
      </c>
      <c r="AE78" s="24" t="n">
        <v>72.120272</v>
      </c>
    </row>
    <row r="79" customFormat="false" ht="17.25" hidden="false" customHeight="false" outlineLevel="0" collapsed="false">
      <c r="A79" s="16"/>
      <c r="B79" s="16"/>
      <c r="C79" s="71"/>
      <c r="D79" s="72"/>
      <c r="E79" s="16"/>
      <c r="F79" s="16"/>
      <c r="G79" s="16"/>
      <c r="H79" s="16"/>
      <c r="I79" s="16"/>
      <c r="J79" s="16"/>
      <c r="K79" s="16"/>
      <c r="L79" s="19" t="e">
        <f aca="false">(K79/H79)*100</f>
        <v>#DIV/0!</v>
      </c>
      <c r="M79" s="16"/>
      <c r="N79" s="19" t="e">
        <f aca="false">(M79/H79)*100</f>
        <v>#DIV/0!</v>
      </c>
      <c r="O79" s="88"/>
      <c r="P79" s="88"/>
      <c r="Q79" s="30" t="s">
        <v>49</v>
      </c>
      <c r="R79" s="31" t="n">
        <v>45884</v>
      </c>
      <c r="T79" s="30"/>
      <c r="AA79" s="32" t="s">
        <v>50</v>
      </c>
      <c r="AB79" s="150" t="n">
        <v>15</v>
      </c>
      <c r="AC79" s="152" t="s">
        <v>711</v>
      </c>
      <c r="AD79" s="30" t="n">
        <v>27.430293</v>
      </c>
      <c r="AE79" s="30" t="n">
        <v>72.109497</v>
      </c>
    </row>
    <row r="80" customFormat="false" ht="15.75" hidden="false" customHeight="false" outlineLevel="0" collapsed="false">
      <c r="A80" s="16" t="s">
        <v>42</v>
      </c>
      <c r="B80" s="16" t="s">
        <v>545</v>
      </c>
      <c r="C80" s="71" t="s">
        <v>708</v>
      </c>
      <c r="D80" s="16" t="s">
        <v>712</v>
      </c>
      <c r="E80" s="16" t="s">
        <v>713</v>
      </c>
      <c r="F80" s="16" t="n">
        <v>571</v>
      </c>
      <c r="G80" s="16" t="n">
        <v>33</v>
      </c>
      <c r="H80" s="16" t="n">
        <v>169</v>
      </c>
      <c r="I80" s="16" t="n">
        <v>98</v>
      </c>
      <c r="J80" s="16" t="n">
        <v>71</v>
      </c>
      <c r="K80" s="16" t="n">
        <v>0</v>
      </c>
      <c r="L80" s="19" t="n">
        <f aca="false">(K80/H80)*100</f>
        <v>0</v>
      </c>
      <c r="M80" s="16" t="n">
        <v>0</v>
      </c>
      <c r="N80" s="19" t="n">
        <f aca="false">(M80/H80)*100</f>
        <v>0</v>
      </c>
      <c r="O80" s="88" t="n">
        <v>271</v>
      </c>
      <c r="P80" s="88" t="n">
        <v>0</v>
      </c>
      <c r="Q80" s="24" t="s">
        <v>49</v>
      </c>
      <c r="R80" s="25" t="n">
        <v>45884</v>
      </c>
      <c r="T80" s="20" t="n">
        <v>0</v>
      </c>
      <c r="AA80" s="26" t="s">
        <v>50</v>
      </c>
      <c r="AB80" s="89" t="n">
        <v>0</v>
      </c>
      <c r="AC80" s="36"/>
      <c r="AD80" s="20"/>
      <c r="AE80" s="20"/>
    </row>
    <row r="81" customFormat="false" ht="34.5" hidden="false" customHeight="false" outlineLevel="0" collapsed="false">
      <c r="A81" s="16" t="s">
        <v>42</v>
      </c>
      <c r="B81" s="16" t="s">
        <v>545</v>
      </c>
      <c r="C81" s="71" t="s">
        <v>708</v>
      </c>
      <c r="D81" s="16" t="s">
        <v>714</v>
      </c>
      <c r="E81" s="16" t="s">
        <v>715</v>
      </c>
      <c r="F81" s="16" t="n">
        <v>2225</v>
      </c>
      <c r="G81" s="16" t="n">
        <v>58</v>
      </c>
      <c r="H81" s="16" t="n">
        <v>367</v>
      </c>
      <c r="I81" s="16" t="n">
        <v>198</v>
      </c>
      <c r="J81" s="16" t="n">
        <v>169</v>
      </c>
      <c r="K81" s="16" t="n">
        <v>332</v>
      </c>
      <c r="L81" s="19" t="n">
        <f aca="false">(K81/H81)*100</f>
        <v>90.4632152588556</v>
      </c>
      <c r="M81" s="16" t="n">
        <v>0</v>
      </c>
      <c r="N81" s="19" t="n">
        <f aca="false">(M81/H81)*100</f>
        <v>0</v>
      </c>
      <c r="O81" s="88" t="n">
        <v>1185</v>
      </c>
      <c r="P81" s="88" t="n">
        <v>0</v>
      </c>
      <c r="Q81" s="24" t="s">
        <v>49</v>
      </c>
      <c r="R81" s="25" t="n">
        <v>45884</v>
      </c>
      <c r="T81" s="24" t="n">
        <v>0</v>
      </c>
      <c r="AA81" s="26" t="s">
        <v>50</v>
      </c>
      <c r="AB81" s="92" t="n">
        <v>18</v>
      </c>
      <c r="AC81" s="29" t="s">
        <v>716</v>
      </c>
      <c r="AD81" s="24" t="n">
        <v>27.410738</v>
      </c>
      <c r="AE81" s="24" t="n">
        <v>72.15001</v>
      </c>
    </row>
    <row r="82" customFormat="false" ht="15.75" hidden="false" customHeight="false" outlineLevel="0" collapsed="false">
      <c r="A82" s="16" t="s">
        <v>42</v>
      </c>
      <c r="B82" s="16" t="s">
        <v>545</v>
      </c>
      <c r="C82" s="71" t="s">
        <v>708</v>
      </c>
      <c r="D82" s="16" t="s">
        <v>376</v>
      </c>
      <c r="E82" s="16" t="s">
        <v>717</v>
      </c>
      <c r="F82" s="16" t="n">
        <v>745</v>
      </c>
      <c r="G82" s="16" t="n">
        <v>38</v>
      </c>
      <c r="H82" s="16" t="n">
        <v>175</v>
      </c>
      <c r="I82" s="16" t="n">
        <v>87</v>
      </c>
      <c r="J82" s="16" t="n">
        <v>88</v>
      </c>
      <c r="K82" s="16" t="n">
        <v>0</v>
      </c>
      <c r="L82" s="19" t="n">
        <f aca="false">(K82/H82)*100</f>
        <v>0</v>
      </c>
      <c r="M82" s="16" t="n">
        <v>0</v>
      </c>
      <c r="N82" s="19" t="n">
        <f aca="false">(M82/H82)*100</f>
        <v>0</v>
      </c>
      <c r="O82" s="88" t="n">
        <v>119</v>
      </c>
      <c r="P82" s="88" t="n">
        <v>0</v>
      </c>
      <c r="Q82" s="145" t="s">
        <v>49</v>
      </c>
      <c r="R82" s="146" t="s">
        <v>595</v>
      </c>
      <c r="T82" s="145" t="n">
        <v>0</v>
      </c>
      <c r="AA82" s="26" t="s">
        <v>50</v>
      </c>
      <c r="AB82" s="147" t="n">
        <v>0</v>
      </c>
      <c r="AC82" s="148"/>
      <c r="AD82" s="145" t="n">
        <v>0</v>
      </c>
      <c r="AE82" s="145" t="n">
        <v>0</v>
      </c>
    </row>
    <row r="83" customFormat="false" ht="34.5" hidden="false" customHeight="false" outlineLevel="0" collapsed="false">
      <c r="A83" s="16" t="s">
        <v>42</v>
      </c>
      <c r="B83" s="16" t="s">
        <v>545</v>
      </c>
      <c r="C83" s="71" t="s">
        <v>718</v>
      </c>
      <c r="D83" s="72" t="s">
        <v>719</v>
      </c>
      <c r="E83" s="16" t="s">
        <v>720</v>
      </c>
      <c r="F83" s="16" t="n">
        <v>12026</v>
      </c>
      <c r="G83" s="16" t="n">
        <v>595</v>
      </c>
      <c r="H83" s="16" t="n">
        <v>3452</v>
      </c>
      <c r="I83" s="16" t="n">
        <v>1844</v>
      </c>
      <c r="J83" s="16" t="n">
        <v>1608</v>
      </c>
      <c r="K83" s="16" t="n">
        <v>520</v>
      </c>
      <c r="L83" s="19" t="n">
        <f aca="false">(K83/H83)*100</f>
        <v>15.063731170336</v>
      </c>
      <c r="M83" s="16" t="n">
        <v>46</v>
      </c>
      <c r="N83" s="19" t="n">
        <f aca="false">(M83/H83)*100</f>
        <v>1.33256083429896</v>
      </c>
      <c r="O83" s="88" t="n">
        <v>2937</v>
      </c>
      <c r="P83" s="88" t="n">
        <v>0</v>
      </c>
      <c r="Q83" s="53" t="s">
        <v>49</v>
      </c>
      <c r="R83" s="46" t="n">
        <v>45884</v>
      </c>
      <c r="T83" s="45" t="n">
        <v>2303.48</v>
      </c>
      <c r="AA83" s="47" t="s">
        <v>50</v>
      </c>
      <c r="AB83" s="119" t="n">
        <v>20</v>
      </c>
      <c r="AC83" s="127" t="s">
        <v>721</v>
      </c>
      <c r="AD83" s="45"/>
      <c r="AE83" s="45"/>
    </row>
    <row r="84" customFormat="false" ht="51.75" hidden="false" customHeight="false" outlineLevel="0" collapsed="false">
      <c r="A84" s="16"/>
      <c r="B84" s="16"/>
      <c r="C84" s="71"/>
      <c r="D84" s="72"/>
      <c r="E84" s="16"/>
      <c r="F84" s="16"/>
      <c r="G84" s="16"/>
      <c r="H84" s="16"/>
      <c r="I84" s="16"/>
      <c r="J84" s="16"/>
      <c r="K84" s="16"/>
      <c r="L84" s="19" t="e">
        <f aca="false">(K84/H84)*100</f>
        <v>#DIV/0!</v>
      </c>
      <c r="M84" s="16"/>
      <c r="N84" s="19" t="e">
        <f aca="false">(M84/H84)*100</f>
        <v>#DIV/0!</v>
      </c>
      <c r="O84" s="88"/>
      <c r="P84" s="88"/>
      <c r="Q84" s="121" t="s">
        <v>49</v>
      </c>
      <c r="R84" s="122" t="n">
        <v>45884</v>
      </c>
      <c r="T84" s="123"/>
      <c r="AA84" s="124" t="s">
        <v>50</v>
      </c>
      <c r="AB84" s="125" t="n">
        <v>5</v>
      </c>
      <c r="AC84" s="126" t="s">
        <v>722</v>
      </c>
      <c r="AD84" s="123"/>
      <c r="AE84" s="123"/>
    </row>
    <row r="85" customFormat="false" ht="34.5" hidden="false" customHeight="false" outlineLevel="0" collapsed="false">
      <c r="A85" s="16"/>
      <c r="B85" s="16"/>
      <c r="C85" s="71"/>
      <c r="D85" s="72"/>
      <c r="E85" s="16"/>
      <c r="F85" s="16"/>
      <c r="G85" s="16"/>
      <c r="H85" s="16"/>
      <c r="I85" s="16"/>
      <c r="J85" s="16"/>
      <c r="K85" s="16"/>
      <c r="L85" s="19" t="e">
        <f aca="false">(K85/H85)*100</f>
        <v>#DIV/0!</v>
      </c>
      <c r="M85" s="16"/>
      <c r="N85" s="19" t="e">
        <f aca="false">(M85/H85)*100</f>
        <v>#DIV/0!</v>
      </c>
      <c r="O85" s="88"/>
      <c r="P85" s="88"/>
      <c r="Q85" s="121" t="s">
        <v>49</v>
      </c>
      <c r="R85" s="122" t="n">
        <v>45884</v>
      </c>
      <c r="T85" s="123"/>
      <c r="AA85" s="124" t="s">
        <v>50</v>
      </c>
      <c r="AB85" s="125" t="n">
        <v>15</v>
      </c>
      <c r="AC85" s="126" t="s">
        <v>723</v>
      </c>
      <c r="AD85" s="123"/>
      <c r="AE85" s="123"/>
    </row>
    <row r="86" customFormat="false" ht="34.5" hidden="false" customHeight="false" outlineLevel="0" collapsed="false">
      <c r="A86" s="16"/>
      <c r="B86" s="16"/>
      <c r="C86" s="71"/>
      <c r="D86" s="72"/>
      <c r="E86" s="16"/>
      <c r="F86" s="16"/>
      <c r="G86" s="16"/>
      <c r="H86" s="16"/>
      <c r="I86" s="16"/>
      <c r="J86" s="16"/>
      <c r="K86" s="16"/>
      <c r="L86" s="19" t="e">
        <f aca="false">(K86/H86)*100</f>
        <v>#DIV/0!</v>
      </c>
      <c r="M86" s="16"/>
      <c r="N86" s="19" t="e">
        <f aca="false">(M86/H86)*100</f>
        <v>#DIV/0!</v>
      </c>
      <c r="O86" s="88"/>
      <c r="P86" s="88"/>
      <c r="Q86" s="121" t="s">
        <v>49</v>
      </c>
      <c r="R86" s="122" t="n">
        <v>45884</v>
      </c>
      <c r="T86" s="123"/>
      <c r="AA86" s="124" t="s">
        <v>50</v>
      </c>
      <c r="AB86" s="125" t="n">
        <v>15</v>
      </c>
      <c r="AC86" s="126" t="s">
        <v>724</v>
      </c>
      <c r="AD86" s="123"/>
      <c r="AE86" s="123"/>
    </row>
    <row r="87" customFormat="false" ht="34.5" hidden="false" customHeight="false" outlineLevel="0" collapsed="false">
      <c r="A87" s="16"/>
      <c r="B87" s="16"/>
      <c r="C87" s="71"/>
      <c r="D87" s="72"/>
      <c r="E87" s="16"/>
      <c r="F87" s="16"/>
      <c r="G87" s="16"/>
      <c r="H87" s="16"/>
      <c r="I87" s="16"/>
      <c r="J87" s="16"/>
      <c r="K87" s="16"/>
      <c r="L87" s="19" t="e">
        <f aca="false">(K87/H87)*100</f>
        <v>#DIV/0!</v>
      </c>
      <c r="M87" s="16"/>
      <c r="N87" s="19" t="e">
        <f aca="false">(M87/H87)*100</f>
        <v>#DIV/0!</v>
      </c>
      <c r="O87" s="88"/>
      <c r="P87" s="88"/>
      <c r="Q87" s="121" t="s">
        <v>49</v>
      </c>
      <c r="R87" s="122" t="n">
        <v>45884</v>
      </c>
      <c r="T87" s="123"/>
      <c r="AA87" s="124" t="s">
        <v>50</v>
      </c>
      <c r="AB87" s="125" t="n">
        <v>25</v>
      </c>
      <c r="AC87" s="126" t="s">
        <v>725</v>
      </c>
      <c r="AD87" s="123"/>
      <c r="AE87" s="123"/>
    </row>
    <row r="88" customFormat="false" ht="34.5" hidden="false" customHeight="false" outlineLevel="0" collapsed="false">
      <c r="A88" s="16"/>
      <c r="B88" s="16"/>
      <c r="C88" s="71"/>
      <c r="D88" s="72"/>
      <c r="E88" s="16"/>
      <c r="F88" s="16"/>
      <c r="G88" s="16"/>
      <c r="H88" s="16"/>
      <c r="I88" s="16"/>
      <c r="J88" s="16"/>
      <c r="K88" s="16"/>
      <c r="L88" s="19" t="e">
        <f aca="false">(K88/H88)*100</f>
        <v>#DIV/0!</v>
      </c>
      <c r="M88" s="16"/>
      <c r="N88" s="19" t="e">
        <f aca="false">(M88/H88)*100</f>
        <v>#DIV/0!</v>
      </c>
      <c r="O88" s="88"/>
      <c r="P88" s="88"/>
      <c r="Q88" s="121" t="s">
        <v>49</v>
      </c>
      <c r="R88" s="122" t="n">
        <v>45884</v>
      </c>
      <c r="T88" s="123"/>
      <c r="AA88" s="124" t="s">
        <v>50</v>
      </c>
      <c r="AB88" s="125" t="n">
        <v>15</v>
      </c>
      <c r="AC88" s="126" t="s">
        <v>726</v>
      </c>
      <c r="AD88" s="123"/>
      <c r="AE88" s="123"/>
    </row>
    <row r="89" customFormat="false" ht="34.5" hidden="false" customHeight="false" outlineLevel="0" collapsed="false">
      <c r="A89" s="16"/>
      <c r="B89" s="16"/>
      <c r="C89" s="71"/>
      <c r="D89" s="72"/>
      <c r="E89" s="16"/>
      <c r="F89" s="16"/>
      <c r="G89" s="16"/>
      <c r="H89" s="16"/>
      <c r="I89" s="16"/>
      <c r="J89" s="16"/>
      <c r="K89" s="16"/>
      <c r="L89" s="19" t="e">
        <f aca="false">(K89/H89)*100</f>
        <v>#DIV/0!</v>
      </c>
      <c r="M89" s="16"/>
      <c r="N89" s="19" t="e">
        <f aca="false">(M89/H89)*100</f>
        <v>#DIV/0!</v>
      </c>
      <c r="O89" s="88"/>
      <c r="P89" s="88"/>
      <c r="Q89" s="121" t="s">
        <v>49</v>
      </c>
      <c r="R89" s="122" t="n">
        <v>45884</v>
      </c>
      <c r="T89" s="123"/>
      <c r="AA89" s="124" t="s">
        <v>50</v>
      </c>
      <c r="AB89" s="125" t="n">
        <v>15</v>
      </c>
      <c r="AC89" s="126" t="s">
        <v>727</v>
      </c>
      <c r="AD89" s="123"/>
      <c r="AE89" s="123"/>
    </row>
    <row r="90" customFormat="false" ht="34.5" hidden="false" customHeight="false" outlineLevel="0" collapsed="false">
      <c r="A90" s="16"/>
      <c r="B90" s="16"/>
      <c r="C90" s="71"/>
      <c r="D90" s="72"/>
      <c r="E90" s="16"/>
      <c r="F90" s="16"/>
      <c r="G90" s="16"/>
      <c r="H90" s="16"/>
      <c r="I90" s="16"/>
      <c r="J90" s="16"/>
      <c r="K90" s="16"/>
      <c r="L90" s="19" t="e">
        <f aca="false">(K90/H90)*100</f>
        <v>#DIV/0!</v>
      </c>
      <c r="M90" s="16"/>
      <c r="N90" s="19" t="e">
        <f aca="false">(M90/H90)*100</f>
        <v>#DIV/0!</v>
      </c>
      <c r="O90" s="88"/>
      <c r="P90" s="88"/>
      <c r="Q90" s="121" t="s">
        <v>49</v>
      </c>
      <c r="R90" s="122" t="n">
        <v>45884</v>
      </c>
      <c r="T90" s="123"/>
      <c r="AA90" s="124" t="s">
        <v>50</v>
      </c>
      <c r="AB90" s="125" t="n">
        <v>15</v>
      </c>
      <c r="AC90" s="126" t="s">
        <v>728</v>
      </c>
      <c r="AD90" s="123"/>
      <c r="AE90" s="123"/>
    </row>
    <row r="91" customFormat="false" ht="34.5" hidden="false" customHeight="false" outlineLevel="0" collapsed="false">
      <c r="A91" s="16"/>
      <c r="B91" s="16"/>
      <c r="C91" s="71"/>
      <c r="D91" s="72"/>
      <c r="E91" s="16"/>
      <c r="F91" s="16"/>
      <c r="G91" s="16"/>
      <c r="H91" s="16"/>
      <c r="I91" s="16"/>
      <c r="J91" s="16"/>
      <c r="K91" s="16"/>
      <c r="L91" s="19" t="e">
        <f aca="false">(K91/H91)*100</f>
        <v>#DIV/0!</v>
      </c>
      <c r="M91" s="16"/>
      <c r="N91" s="19" t="e">
        <f aca="false">(M91/H91)*100</f>
        <v>#DIV/0!</v>
      </c>
      <c r="O91" s="88"/>
      <c r="P91" s="88"/>
      <c r="Q91" s="121" t="s">
        <v>49</v>
      </c>
      <c r="R91" s="122" t="n">
        <v>45884</v>
      </c>
      <c r="T91" s="123"/>
      <c r="AA91" s="124" t="s">
        <v>50</v>
      </c>
      <c r="AB91" s="125" t="n">
        <v>25</v>
      </c>
      <c r="AC91" s="126" t="s">
        <v>729</v>
      </c>
      <c r="AD91" s="123"/>
      <c r="AE91" s="123"/>
    </row>
    <row r="92" customFormat="false" ht="34.5" hidden="false" customHeight="false" outlineLevel="0" collapsed="false">
      <c r="A92" s="16"/>
      <c r="B92" s="16"/>
      <c r="C92" s="71"/>
      <c r="D92" s="72"/>
      <c r="E92" s="16"/>
      <c r="F92" s="16"/>
      <c r="G92" s="16"/>
      <c r="H92" s="16"/>
      <c r="I92" s="16"/>
      <c r="J92" s="16"/>
      <c r="K92" s="16"/>
      <c r="L92" s="19" t="e">
        <f aca="false">(K92/H92)*100</f>
        <v>#DIV/0!</v>
      </c>
      <c r="M92" s="16"/>
      <c r="N92" s="19" t="e">
        <f aca="false">(M92/H92)*100</f>
        <v>#DIV/0!</v>
      </c>
      <c r="O92" s="88"/>
      <c r="P92" s="88"/>
      <c r="Q92" s="121" t="s">
        <v>49</v>
      </c>
      <c r="R92" s="122" t="n">
        <v>45884</v>
      </c>
      <c r="T92" s="123"/>
      <c r="AA92" s="124" t="s">
        <v>50</v>
      </c>
      <c r="AB92" s="125" t="n">
        <v>30</v>
      </c>
      <c r="AC92" s="126" t="s">
        <v>730</v>
      </c>
      <c r="AD92" s="123"/>
      <c r="AE92" s="123"/>
    </row>
    <row r="93" customFormat="false" ht="34.5" hidden="false" customHeight="false" outlineLevel="0" collapsed="false">
      <c r="A93" s="16" t="s">
        <v>42</v>
      </c>
      <c r="B93" s="16" t="s">
        <v>545</v>
      </c>
      <c r="C93" s="71" t="s">
        <v>718</v>
      </c>
      <c r="D93" s="16" t="s">
        <v>731</v>
      </c>
      <c r="E93" s="16" t="s">
        <v>732</v>
      </c>
      <c r="F93" s="16" t="n">
        <v>1470.94</v>
      </c>
      <c r="G93" s="16" t="n">
        <v>76</v>
      </c>
      <c r="H93" s="16" t="n">
        <v>423</v>
      </c>
      <c r="I93" s="16" t="n">
        <v>225</v>
      </c>
      <c r="J93" s="16" t="n">
        <v>198</v>
      </c>
      <c r="K93" s="16" t="n">
        <v>401</v>
      </c>
      <c r="L93" s="19" t="n">
        <f aca="false">(K93/H93)*100</f>
        <v>94.7990543735225</v>
      </c>
      <c r="M93" s="16" t="n">
        <v>0</v>
      </c>
      <c r="N93" s="19" t="n">
        <f aca="false">(M93/H93)*100</f>
        <v>0</v>
      </c>
      <c r="O93" s="88" t="n">
        <v>0</v>
      </c>
      <c r="P93" s="88" t="n">
        <v>0</v>
      </c>
      <c r="Q93" s="53" t="s">
        <v>49</v>
      </c>
      <c r="R93" s="46" t="n">
        <v>45884</v>
      </c>
      <c r="T93" s="45" t="n">
        <v>0</v>
      </c>
      <c r="AA93" s="47" t="s">
        <v>50</v>
      </c>
      <c r="AB93" s="119" t="n">
        <v>3</v>
      </c>
      <c r="AC93" s="127" t="s">
        <v>733</v>
      </c>
      <c r="AD93" s="45"/>
      <c r="AE93" s="45"/>
    </row>
    <row r="94" customFormat="false" ht="17.25" hidden="false" customHeight="false" outlineLevel="0" collapsed="false">
      <c r="A94" s="16" t="s">
        <v>42</v>
      </c>
      <c r="B94" s="16" t="s">
        <v>545</v>
      </c>
      <c r="C94" s="71" t="s">
        <v>734</v>
      </c>
      <c r="D94" s="72" t="s">
        <v>735</v>
      </c>
      <c r="E94" s="16" t="s">
        <v>736</v>
      </c>
      <c r="F94" s="16" t="n">
        <v>3665</v>
      </c>
      <c r="G94" s="16" t="n">
        <v>160</v>
      </c>
      <c r="H94" s="16" t="n">
        <v>969</v>
      </c>
      <c r="I94" s="16" t="n">
        <v>504</v>
      </c>
      <c r="J94" s="16" t="n">
        <v>465</v>
      </c>
      <c r="K94" s="16" t="n">
        <v>202</v>
      </c>
      <c r="L94" s="19" t="n">
        <f aca="false">(K94/H94)*100</f>
        <v>20.8462332301342</v>
      </c>
      <c r="M94" s="16" t="n">
        <v>217</v>
      </c>
      <c r="N94" s="19" t="n">
        <f aca="false">(M94/H94)*100</f>
        <v>22.3942208462332</v>
      </c>
      <c r="O94" s="88" t="n">
        <v>682</v>
      </c>
      <c r="P94" s="88" t="n">
        <v>0</v>
      </c>
      <c r="Q94" s="53" t="s">
        <v>49</v>
      </c>
      <c r="R94" s="46" t="n">
        <v>45884</v>
      </c>
      <c r="T94" s="45" t="n">
        <v>494.29</v>
      </c>
      <c r="AA94" s="47" t="s">
        <v>50</v>
      </c>
      <c r="AB94" s="119" t="n">
        <v>25</v>
      </c>
      <c r="AC94" s="127" t="s">
        <v>737</v>
      </c>
      <c r="AD94" s="45"/>
      <c r="AE94" s="45"/>
    </row>
    <row r="95" customFormat="false" ht="34.5" hidden="false" customHeight="false" outlineLevel="0" collapsed="false">
      <c r="A95" s="16"/>
      <c r="B95" s="16"/>
      <c r="C95" s="71"/>
      <c r="D95" s="72"/>
      <c r="E95" s="16"/>
      <c r="F95" s="16"/>
      <c r="G95" s="16"/>
      <c r="H95" s="16"/>
      <c r="I95" s="16"/>
      <c r="J95" s="16"/>
      <c r="K95" s="16"/>
      <c r="L95" s="19" t="e">
        <f aca="false">(K95/H95)*100</f>
        <v>#DIV/0!</v>
      </c>
      <c r="M95" s="16"/>
      <c r="N95" s="19" t="e">
        <f aca="false">(M95/H95)*100</f>
        <v>#DIV/0!</v>
      </c>
      <c r="O95" s="88"/>
      <c r="P95" s="88"/>
      <c r="Q95" s="121" t="s">
        <v>49</v>
      </c>
      <c r="R95" s="122" t="n">
        <v>45884</v>
      </c>
      <c r="T95" s="123"/>
      <c r="AA95" s="124" t="s">
        <v>50</v>
      </c>
      <c r="AB95" s="125" t="n">
        <v>15</v>
      </c>
      <c r="AC95" s="126" t="s">
        <v>738</v>
      </c>
      <c r="AD95" s="123"/>
      <c r="AE95" s="123"/>
    </row>
    <row r="96" customFormat="false" ht="34.5" hidden="false" customHeight="false" outlineLevel="0" collapsed="false">
      <c r="A96" s="16"/>
      <c r="B96" s="16"/>
      <c r="C96" s="71"/>
      <c r="D96" s="72"/>
      <c r="E96" s="16"/>
      <c r="F96" s="16"/>
      <c r="G96" s="16"/>
      <c r="H96" s="16"/>
      <c r="I96" s="16"/>
      <c r="J96" s="16"/>
      <c r="K96" s="16"/>
      <c r="L96" s="19" t="e">
        <f aca="false">(K96/H96)*100</f>
        <v>#DIV/0!</v>
      </c>
      <c r="M96" s="16"/>
      <c r="N96" s="19" t="e">
        <f aca="false">(M96/H96)*100</f>
        <v>#DIV/0!</v>
      </c>
      <c r="O96" s="88"/>
      <c r="P96" s="88"/>
      <c r="Q96" s="121" t="s">
        <v>49</v>
      </c>
      <c r="R96" s="122" t="n">
        <v>45884</v>
      </c>
      <c r="T96" s="123"/>
      <c r="AA96" s="124" t="s">
        <v>50</v>
      </c>
      <c r="AB96" s="125" t="n">
        <v>15</v>
      </c>
      <c r="AC96" s="126" t="s">
        <v>739</v>
      </c>
      <c r="AD96" s="123"/>
      <c r="AE96" s="123"/>
    </row>
    <row r="97" customFormat="false" ht="15.75" hidden="false" customHeight="false" outlineLevel="0" collapsed="false">
      <c r="A97" s="16" t="s">
        <v>42</v>
      </c>
      <c r="B97" s="16" t="s">
        <v>545</v>
      </c>
      <c r="C97" s="71" t="s">
        <v>734</v>
      </c>
      <c r="D97" s="16" t="s">
        <v>740</v>
      </c>
      <c r="E97" s="16" t="s">
        <v>741</v>
      </c>
      <c r="F97" s="16" t="n">
        <v>1409</v>
      </c>
      <c r="G97" s="16" t="n">
        <v>25</v>
      </c>
      <c r="H97" s="16" t="n">
        <v>142</v>
      </c>
      <c r="I97" s="16" t="n">
        <v>73</v>
      </c>
      <c r="J97" s="16" t="n">
        <v>69</v>
      </c>
      <c r="K97" s="16" t="n">
        <v>39</v>
      </c>
      <c r="L97" s="19" t="n">
        <f aca="false">(K97/H97)*100</f>
        <v>27.4647887323944</v>
      </c>
      <c r="M97" s="16" t="n">
        <v>0</v>
      </c>
      <c r="N97" s="19" t="n">
        <f aca="false">(M97/H97)*100</f>
        <v>0</v>
      </c>
      <c r="O97" s="88" t="n">
        <v>0</v>
      </c>
      <c r="P97" s="88" t="n">
        <v>0</v>
      </c>
      <c r="Q97" s="53" t="s">
        <v>49</v>
      </c>
      <c r="R97" s="46" t="n">
        <v>45884</v>
      </c>
      <c r="T97" s="45" t="n">
        <v>0</v>
      </c>
      <c r="AA97" s="47" t="s">
        <v>50</v>
      </c>
      <c r="AB97" s="119" t="n">
        <v>0</v>
      </c>
      <c r="AC97" s="128"/>
      <c r="AD97" s="45"/>
      <c r="AE97" s="45"/>
    </row>
    <row r="98" customFormat="false" ht="34.5" hidden="false" customHeight="false" outlineLevel="0" collapsed="false">
      <c r="A98" s="16" t="s">
        <v>42</v>
      </c>
      <c r="B98" s="16" t="s">
        <v>545</v>
      </c>
      <c r="C98" s="71" t="s">
        <v>734</v>
      </c>
      <c r="D98" s="16" t="s">
        <v>742</v>
      </c>
      <c r="E98" s="16" t="s">
        <v>743</v>
      </c>
      <c r="F98" s="16" t="n">
        <v>686.72</v>
      </c>
      <c r="G98" s="16" t="n">
        <v>59</v>
      </c>
      <c r="H98" s="16" t="n">
        <v>363</v>
      </c>
      <c r="I98" s="16" t="n">
        <v>196</v>
      </c>
      <c r="J98" s="16" t="n">
        <v>167</v>
      </c>
      <c r="K98" s="16" t="n">
        <v>161</v>
      </c>
      <c r="L98" s="19" t="n">
        <f aca="false">(K98/H98)*100</f>
        <v>44.3526170798898</v>
      </c>
      <c r="M98" s="16" t="n">
        <v>0</v>
      </c>
      <c r="N98" s="19" t="n">
        <f aca="false">(M98/H98)*100</f>
        <v>0</v>
      </c>
      <c r="O98" s="88" t="n">
        <v>80.09</v>
      </c>
      <c r="P98" s="88" t="n">
        <v>0</v>
      </c>
      <c r="Q98" s="53" t="s">
        <v>49</v>
      </c>
      <c r="R98" s="46" t="n">
        <v>45884</v>
      </c>
      <c r="T98" s="45" t="n">
        <v>79.41</v>
      </c>
      <c r="AA98" s="47" t="s">
        <v>50</v>
      </c>
      <c r="AB98" s="119" t="n">
        <v>5</v>
      </c>
      <c r="AC98" s="120" t="s">
        <v>744</v>
      </c>
      <c r="AD98" s="45"/>
      <c r="AE98" s="45"/>
    </row>
    <row r="99" customFormat="false" ht="34.5" hidden="false" customHeight="false" outlineLevel="0" collapsed="false">
      <c r="A99" s="16" t="s">
        <v>42</v>
      </c>
      <c r="B99" s="16" t="s">
        <v>545</v>
      </c>
      <c r="C99" s="71" t="s">
        <v>734</v>
      </c>
      <c r="D99" s="16" t="s">
        <v>745</v>
      </c>
      <c r="E99" s="16" t="s">
        <v>746</v>
      </c>
      <c r="F99" s="16" t="n">
        <v>467</v>
      </c>
      <c r="G99" s="16" t="n">
        <v>26</v>
      </c>
      <c r="H99" s="16" t="n">
        <v>172</v>
      </c>
      <c r="I99" s="16" t="n">
        <v>95</v>
      </c>
      <c r="J99" s="16" t="n">
        <v>77</v>
      </c>
      <c r="K99" s="16" t="n">
        <v>0</v>
      </c>
      <c r="L99" s="19" t="n">
        <f aca="false">(K99/H99)*100</f>
        <v>0</v>
      </c>
      <c r="M99" s="16" t="n">
        <v>0</v>
      </c>
      <c r="N99" s="19" t="n">
        <f aca="false">(M99/H99)*100</f>
        <v>0</v>
      </c>
      <c r="O99" s="88" t="n">
        <v>0</v>
      </c>
      <c r="P99" s="88" t="n">
        <v>0</v>
      </c>
      <c r="Q99" s="53" t="s">
        <v>49</v>
      </c>
      <c r="R99" s="46" t="n">
        <v>45884</v>
      </c>
      <c r="T99" s="45" t="n">
        <v>78.92</v>
      </c>
      <c r="AA99" s="47" t="s">
        <v>50</v>
      </c>
      <c r="AB99" s="119" t="n">
        <v>15</v>
      </c>
      <c r="AC99" s="127" t="s">
        <v>747</v>
      </c>
      <c r="AD99" s="45"/>
      <c r="AE99" s="45"/>
    </row>
    <row r="100" customFormat="false" ht="17.25" hidden="false" customHeight="false" outlineLevel="0" collapsed="false">
      <c r="A100" s="16" t="s">
        <v>42</v>
      </c>
      <c r="B100" s="16" t="s">
        <v>545</v>
      </c>
      <c r="C100" s="71" t="s">
        <v>734</v>
      </c>
      <c r="D100" s="16" t="s">
        <v>748</v>
      </c>
      <c r="E100" s="16" t="s">
        <v>749</v>
      </c>
      <c r="F100" s="16" t="n">
        <v>515.71</v>
      </c>
      <c r="G100" s="16" t="n">
        <v>88</v>
      </c>
      <c r="H100" s="16" t="n">
        <v>468</v>
      </c>
      <c r="I100" s="16" t="n">
        <v>258</v>
      </c>
      <c r="J100" s="16" t="n">
        <v>210</v>
      </c>
      <c r="K100" s="16" t="n">
        <v>11</v>
      </c>
      <c r="L100" s="19" t="n">
        <f aca="false">(K100/H100)*100</f>
        <v>2.35042735042735</v>
      </c>
      <c r="M100" s="16" t="n">
        <v>0</v>
      </c>
      <c r="N100" s="19" t="n">
        <f aca="false">(M100/H100)*100</f>
        <v>0</v>
      </c>
      <c r="O100" s="88" t="n">
        <v>0</v>
      </c>
      <c r="P100" s="88" t="n">
        <v>0</v>
      </c>
      <c r="Q100" s="53" t="s">
        <v>49</v>
      </c>
      <c r="R100" s="46" t="n">
        <v>45884</v>
      </c>
      <c r="T100" s="45"/>
      <c r="AA100" s="47" t="s">
        <v>50</v>
      </c>
      <c r="AB100" s="119" t="n">
        <v>0</v>
      </c>
      <c r="AC100" s="120"/>
      <c r="AD100" s="45"/>
      <c r="AE100" s="45"/>
    </row>
    <row r="101" customFormat="false" ht="34.5" hidden="false" customHeight="false" outlineLevel="0" collapsed="false">
      <c r="A101" s="16" t="s">
        <v>42</v>
      </c>
      <c r="B101" s="16" t="s">
        <v>545</v>
      </c>
      <c r="C101" s="71" t="s">
        <v>734</v>
      </c>
      <c r="D101" s="16" t="s">
        <v>750</v>
      </c>
      <c r="E101" s="16" t="s">
        <v>751</v>
      </c>
      <c r="F101" s="16" t="n">
        <v>1425</v>
      </c>
      <c r="G101" s="16" t="n">
        <v>180</v>
      </c>
      <c r="H101" s="16" t="n">
        <v>1141</v>
      </c>
      <c r="I101" s="16" t="n">
        <v>601</v>
      </c>
      <c r="J101" s="16" t="n">
        <v>540</v>
      </c>
      <c r="K101" s="16" t="n">
        <v>65</v>
      </c>
      <c r="L101" s="19" t="n">
        <f aca="false">(K101/H101)*100</f>
        <v>5.69675723049956</v>
      </c>
      <c r="M101" s="16" t="n">
        <v>401</v>
      </c>
      <c r="N101" s="19" t="n">
        <f aca="false">(M101/H101)*100</f>
        <v>35.1446099912358</v>
      </c>
      <c r="O101" s="88" t="n">
        <v>193</v>
      </c>
      <c r="P101" s="88" t="n">
        <v>0</v>
      </c>
      <c r="Q101" s="53" t="s">
        <v>49</v>
      </c>
      <c r="R101" s="46" t="n">
        <v>45884</v>
      </c>
      <c r="T101" s="45" t="n">
        <v>190.46</v>
      </c>
      <c r="AA101" s="47" t="s">
        <v>50</v>
      </c>
      <c r="AB101" s="119" t="n">
        <v>10</v>
      </c>
      <c r="AC101" s="127" t="s">
        <v>752</v>
      </c>
      <c r="AD101" s="45"/>
      <c r="AE101" s="45"/>
    </row>
    <row r="102" customFormat="false" ht="34.5" hidden="false" customHeight="false" outlineLevel="0" collapsed="false">
      <c r="A102" s="16" t="s">
        <v>42</v>
      </c>
      <c r="B102" s="16" t="s">
        <v>545</v>
      </c>
      <c r="C102" s="71" t="s">
        <v>753</v>
      </c>
      <c r="D102" s="72" t="s">
        <v>753</v>
      </c>
      <c r="E102" s="16" t="s">
        <v>754</v>
      </c>
      <c r="F102" s="16" t="n">
        <v>5964</v>
      </c>
      <c r="G102" s="16" t="n">
        <v>337</v>
      </c>
      <c r="H102" s="16" t="n">
        <v>1676</v>
      </c>
      <c r="I102" s="16" t="n">
        <v>899</v>
      </c>
      <c r="J102" s="16" t="n">
        <v>777</v>
      </c>
      <c r="K102" s="16" t="n">
        <v>157</v>
      </c>
      <c r="L102" s="19" t="n">
        <f aca="false">(K102/H102)*100</f>
        <v>9.36754176610978</v>
      </c>
      <c r="M102" s="16" t="n">
        <v>65</v>
      </c>
      <c r="N102" s="19" t="n">
        <f aca="false">(M102/H102)*100</f>
        <v>3.87828162291169</v>
      </c>
      <c r="O102" s="88" t="n">
        <v>312</v>
      </c>
      <c r="P102" s="88" t="n">
        <v>0</v>
      </c>
      <c r="Q102" s="129" t="s">
        <v>49</v>
      </c>
      <c r="R102" s="25" t="n">
        <v>45884</v>
      </c>
      <c r="T102" s="129" t="n">
        <v>41.74</v>
      </c>
      <c r="AA102" s="26" t="s">
        <v>50</v>
      </c>
      <c r="AB102" s="92" t="n">
        <v>15</v>
      </c>
      <c r="AC102" s="130" t="s">
        <v>755</v>
      </c>
      <c r="AD102" s="129" t="n">
        <v>27.560749</v>
      </c>
      <c r="AE102" s="129" t="n">
        <v>72.55979</v>
      </c>
    </row>
    <row r="103" customFormat="false" ht="34.5" hidden="false" customHeight="false" outlineLevel="0" collapsed="false">
      <c r="A103" s="16"/>
      <c r="B103" s="16"/>
      <c r="C103" s="71"/>
      <c r="D103" s="72"/>
      <c r="E103" s="16"/>
      <c r="F103" s="16"/>
      <c r="G103" s="16"/>
      <c r="H103" s="16"/>
      <c r="I103" s="16"/>
      <c r="J103" s="16"/>
      <c r="K103" s="16"/>
      <c r="L103" s="19" t="e">
        <f aca="false">(K103/H103)*100</f>
        <v>#DIV/0!</v>
      </c>
      <c r="M103" s="16"/>
      <c r="N103" s="19" t="e">
        <f aca="false">(M103/H103)*100</f>
        <v>#DIV/0!</v>
      </c>
      <c r="O103" s="88"/>
      <c r="P103" s="88"/>
      <c r="Q103" s="140" t="s">
        <v>49</v>
      </c>
      <c r="R103" s="141"/>
      <c r="T103" s="140"/>
      <c r="AA103" s="142" t="s">
        <v>50</v>
      </c>
      <c r="AB103" s="143" t="n">
        <v>10</v>
      </c>
      <c r="AC103" s="144" t="s">
        <v>756</v>
      </c>
      <c r="AD103" s="140" t="n">
        <v>27.579382</v>
      </c>
      <c r="AE103" s="140" t="n">
        <v>72.62043</v>
      </c>
    </row>
    <row r="104" customFormat="false" ht="34.5" hidden="false" customHeight="false" outlineLevel="0" collapsed="false">
      <c r="A104" s="16"/>
      <c r="B104" s="16"/>
      <c r="C104" s="71"/>
      <c r="D104" s="72"/>
      <c r="E104" s="16"/>
      <c r="F104" s="16"/>
      <c r="G104" s="16"/>
      <c r="H104" s="16"/>
      <c r="I104" s="16"/>
      <c r="J104" s="16"/>
      <c r="K104" s="16"/>
      <c r="L104" s="19" t="e">
        <f aca="false">(K104/H104)*100</f>
        <v>#DIV/0!</v>
      </c>
      <c r="M104" s="16"/>
      <c r="N104" s="19" t="e">
        <f aca="false">(M104/H104)*100</f>
        <v>#DIV/0!</v>
      </c>
      <c r="O104" s="88"/>
      <c r="P104" s="88"/>
      <c r="Q104" s="140" t="s">
        <v>49</v>
      </c>
      <c r="R104" s="141"/>
      <c r="T104" s="140"/>
      <c r="AA104" s="142" t="s">
        <v>50</v>
      </c>
      <c r="AB104" s="143" t="n">
        <v>12</v>
      </c>
      <c r="AC104" s="144" t="s">
        <v>757</v>
      </c>
      <c r="AD104" s="140" t="n">
        <v>27.490736</v>
      </c>
      <c r="AE104" s="140" t="n">
        <v>72.650324</v>
      </c>
    </row>
    <row r="105" customFormat="false" ht="15.75" hidden="false" customHeight="false" outlineLevel="0" collapsed="false">
      <c r="A105" s="16" t="s">
        <v>42</v>
      </c>
      <c r="B105" s="16" t="s">
        <v>545</v>
      </c>
      <c r="C105" s="71" t="s">
        <v>753</v>
      </c>
      <c r="D105" s="16" t="s">
        <v>758</v>
      </c>
      <c r="E105" s="16" t="s">
        <v>759</v>
      </c>
      <c r="F105" s="16" t="n">
        <v>3605.58</v>
      </c>
      <c r="G105" s="16" t="n">
        <v>68</v>
      </c>
      <c r="H105" s="16" t="n">
        <v>450</v>
      </c>
      <c r="I105" s="16" t="n">
        <v>232</v>
      </c>
      <c r="J105" s="16" t="n">
        <v>218</v>
      </c>
      <c r="K105" s="16" t="n">
        <v>120</v>
      </c>
      <c r="L105" s="19" t="n">
        <f aca="false">(K105/H105)*100</f>
        <v>26.6666666666667</v>
      </c>
      <c r="M105" s="16" t="n">
        <v>71</v>
      </c>
      <c r="N105" s="19" t="n">
        <f aca="false">(M105/H105)*100</f>
        <v>15.7777777777778</v>
      </c>
      <c r="O105" s="88" t="n">
        <v>15</v>
      </c>
      <c r="P105" s="88" t="n">
        <v>0</v>
      </c>
      <c r="Q105" s="129"/>
      <c r="R105" s="25" t="n">
        <v>45884</v>
      </c>
      <c r="T105" s="129" t="n">
        <v>0.5</v>
      </c>
      <c r="AA105" s="26" t="s">
        <v>50</v>
      </c>
      <c r="AB105" s="92" t="n">
        <v>0</v>
      </c>
      <c r="AC105" s="57"/>
      <c r="AD105" s="129"/>
      <c r="AE105" s="129"/>
    </row>
    <row r="106" customFormat="false" ht="15.75" hidden="false" customHeight="false" outlineLevel="0" collapsed="false">
      <c r="A106" s="16" t="s">
        <v>42</v>
      </c>
      <c r="B106" s="16" t="s">
        <v>545</v>
      </c>
      <c r="C106" s="71" t="s">
        <v>760</v>
      </c>
      <c r="D106" s="72" t="s">
        <v>760</v>
      </c>
      <c r="E106" s="16" t="s">
        <v>761</v>
      </c>
      <c r="F106" s="16" t="n">
        <v>678</v>
      </c>
      <c r="G106" s="16" t="n">
        <v>39</v>
      </c>
      <c r="H106" s="16" t="n">
        <v>221</v>
      </c>
      <c r="I106" s="16" t="n">
        <v>106</v>
      </c>
      <c r="J106" s="16" t="n">
        <v>115</v>
      </c>
      <c r="K106" s="16" t="n">
        <v>0</v>
      </c>
      <c r="L106" s="19" t="n">
        <f aca="false">(K106/H106)*100</f>
        <v>0</v>
      </c>
      <c r="M106" s="16" t="n">
        <v>0</v>
      </c>
      <c r="N106" s="19" t="n">
        <f aca="false">(M106/H106)*100</f>
        <v>0</v>
      </c>
      <c r="O106" s="88" t="n">
        <v>0</v>
      </c>
      <c r="P106" s="88" t="n">
        <v>0</v>
      </c>
      <c r="Q106" s="53" t="s">
        <v>49</v>
      </c>
      <c r="R106" s="46" t="n">
        <v>45797</v>
      </c>
      <c r="T106" s="45" t="n">
        <v>0</v>
      </c>
      <c r="AA106" s="47" t="s">
        <v>50</v>
      </c>
      <c r="AB106" s="119" t="n">
        <v>0</v>
      </c>
      <c r="AC106" s="128"/>
      <c r="AD106" s="45"/>
      <c r="AE106" s="45"/>
    </row>
    <row r="107" customFormat="false" ht="34.5" hidden="false" customHeight="false" outlineLevel="0" collapsed="false">
      <c r="A107" s="16" t="s">
        <v>42</v>
      </c>
      <c r="B107" s="16" t="s">
        <v>545</v>
      </c>
      <c r="C107" s="71" t="s">
        <v>760</v>
      </c>
      <c r="D107" s="16" t="s">
        <v>762</v>
      </c>
      <c r="E107" s="16" t="s">
        <v>763</v>
      </c>
      <c r="F107" s="16" t="n">
        <v>823</v>
      </c>
      <c r="G107" s="16" t="n">
        <v>67</v>
      </c>
      <c r="H107" s="16" t="n">
        <v>570</v>
      </c>
      <c r="I107" s="16" t="n">
        <v>297</v>
      </c>
      <c r="J107" s="16" t="n">
        <v>273</v>
      </c>
      <c r="K107" s="16" t="n">
        <v>0</v>
      </c>
      <c r="L107" s="19" t="n">
        <f aca="false">(K107/H107)*100</f>
        <v>0</v>
      </c>
      <c r="M107" s="16" t="n">
        <v>0</v>
      </c>
      <c r="N107" s="19" t="n">
        <f aca="false">(M107/H107)*100</f>
        <v>0</v>
      </c>
      <c r="O107" s="88" t="n">
        <v>0</v>
      </c>
      <c r="P107" s="88" t="n">
        <v>0</v>
      </c>
      <c r="Q107" s="53" t="s">
        <v>49</v>
      </c>
      <c r="R107" s="46" t="n">
        <v>45797</v>
      </c>
      <c r="T107" s="45" t="n">
        <v>0</v>
      </c>
      <c r="AA107" s="47" t="s">
        <v>50</v>
      </c>
      <c r="AB107" s="119" t="n">
        <v>19</v>
      </c>
      <c r="AC107" s="120" t="s">
        <v>764</v>
      </c>
      <c r="AD107" s="45"/>
      <c r="AE107" s="45"/>
    </row>
    <row r="108" customFormat="false" ht="15.75" hidden="false" customHeight="false" outlineLevel="0" collapsed="false">
      <c r="A108" s="16" t="s">
        <v>42</v>
      </c>
      <c r="B108" s="16" t="s">
        <v>545</v>
      </c>
      <c r="C108" s="71" t="s">
        <v>760</v>
      </c>
      <c r="D108" s="16" t="s">
        <v>765</v>
      </c>
      <c r="E108" s="16" t="s">
        <v>766</v>
      </c>
      <c r="F108" s="16" t="n">
        <v>930</v>
      </c>
      <c r="G108" s="16" t="n">
        <v>52</v>
      </c>
      <c r="H108" s="16" t="n">
        <v>335</v>
      </c>
      <c r="I108" s="16" t="n">
        <v>180</v>
      </c>
      <c r="J108" s="16" t="n">
        <v>155</v>
      </c>
      <c r="K108" s="16" t="n">
        <v>0</v>
      </c>
      <c r="L108" s="19" t="n">
        <f aca="false">(K108/H108)*100</f>
        <v>0</v>
      </c>
      <c r="M108" s="16" t="n">
        <v>0</v>
      </c>
      <c r="N108" s="19" t="n">
        <f aca="false">(M108/H108)*100</f>
        <v>0</v>
      </c>
      <c r="O108" s="88" t="n">
        <v>0</v>
      </c>
      <c r="P108" s="88" t="n">
        <v>0</v>
      </c>
      <c r="Q108" s="16"/>
      <c r="R108" s="87"/>
      <c r="T108" s="16"/>
      <c r="AA108" s="87"/>
      <c r="AB108" s="88"/>
      <c r="AC108" s="28"/>
      <c r="AD108" s="16"/>
      <c r="AE108" s="16"/>
    </row>
    <row r="109" customFormat="false" ht="15.75" hidden="false" customHeight="false" outlineLevel="0" collapsed="false">
      <c r="A109" s="16" t="s">
        <v>42</v>
      </c>
      <c r="B109" s="16" t="s">
        <v>545</v>
      </c>
      <c r="C109" s="71" t="s">
        <v>760</v>
      </c>
      <c r="D109" s="16" t="s">
        <v>767</v>
      </c>
      <c r="E109" s="16" t="s">
        <v>768</v>
      </c>
      <c r="F109" s="16" t="n">
        <v>857</v>
      </c>
      <c r="G109" s="16" t="n">
        <v>81</v>
      </c>
      <c r="H109" s="16" t="n">
        <v>442</v>
      </c>
      <c r="I109" s="16" t="n">
        <v>235</v>
      </c>
      <c r="J109" s="16" t="n">
        <v>207</v>
      </c>
      <c r="K109" s="16" t="n">
        <v>14</v>
      </c>
      <c r="L109" s="19" t="n">
        <f aca="false">(K109/H109)*100</f>
        <v>3.16742081447964</v>
      </c>
      <c r="M109" s="16" t="n">
        <v>0</v>
      </c>
      <c r="N109" s="19" t="n">
        <f aca="false">(M109/H109)*100</f>
        <v>0</v>
      </c>
      <c r="O109" s="88" t="n">
        <v>0</v>
      </c>
      <c r="P109" s="88" t="n">
        <v>0</v>
      </c>
      <c r="Q109" s="53" t="s">
        <v>49</v>
      </c>
      <c r="R109" s="46" t="n">
        <v>45797</v>
      </c>
      <c r="T109" s="45" t="n">
        <v>0</v>
      </c>
      <c r="AA109" s="47" t="s">
        <v>50</v>
      </c>
      <c r="AB109" s="119" t="n">
        <v>0</v>
      </c>
      <c r="AC109" s="128"/>
      <c r="AD109" s="45"/>
      <c r="AE109" s="45"/>
    </row>
    <row r="110" customFormat="false" ht="15.75" hidden="false" customHeight="false" outlineLevel="0" collapsed="false">
      <c r="A110" s="16" t="s">
        <v>42</v>
      </c>
      <c r="B110" s="16" t="s">
        <v>545</v>
      </c>
      <c r="C110" s="71" t="s">
        <v>760</v>
      </c>
      <c r="D110" s="16" t="s">
        <v>769</v>
      </c>
      <c r="E110" s="16" t="s">
        <v>770</v>
      </c>
      <c r="F110" s="16" t="n">
        <v>347</v>
      </c>
      <c r="G110" s="16" t="n">
        <v>61</v>
      </c>
      <c r="H110" s="16" t="n">
        <v>352</v>
      </c>
      <c r="I110" s="16" t="n">
        <v>186</v>
      </c>
      <c r="J110" s="16" t="n">
        <v>166</v>
      </c>
      <c r="K110" s="16" t="n">
        <v>0</v>
      </c>
      <c r="L110" s="19" t="n">
        <f aca="false">(K110/H110)*100</f>
        <v>0</v>
      </c>
      <c r="M110" s="16" t="n">
        <v>0</v>
      </c>
      <c r="N110" s="19" t="n">
        <f aca="false">(M110/H110)*100</f>
        <v>0</v>
      </c>
      <c r="O110" s="88" t="n">
        <v>0</v>
      </c>
      <c r="P110" s="88" t="n">
        <v>0</v>
      </c>
      <c r="Q110" s="53" t="s">
        <v>49</v>
      </c>
      <c r="R110" s="46" t="n">
        <v>45797</v>
      </c>
      <c r="T110" s="45" t="n">
        <v>0.8</v>
      </c>
      <c r="AA110" s="47" t="s">
        <v>50</v>
      </c>
      <c r="AB110" s="119" t="n">
        <v>0</v>
      </c>
      <c r="AC110" s="128"/>
      <c r="AD110" s="45"/>
      <c r="AE110" s="45"/>
    </row>
    <row r="111" customFormat="false" ht="17.25" hidden="false" customHeight="false" outlineLevel="0" collapsed="false">
      <c r="A111" s="16" t="s">
        <v>42</v>
      </c>
      <c r="B111" s="16" t="s">
        <v>545</v>
      </c>
      <c r="C111" s="71" t="s">
        <v>760</v>
      </c>
      <c r="D111" s="16" t="s">
        <v>771</v>
      </c>
      <c r="E111" s="16" t="s">
        <v>772</v>
      </c>
      <c r="F111" s="16" t="n">
        <v>2374.25</v>
      </c>
      <c r="G111" s="16" t="n">
        <v>74</v>
      </c>
      <c r="H111" s="16" t="n">
        <v>352</v>
      </c>
      <c r="I111" s="16" t="n">
        <v>192</v>
      </c>
      <c r="J111" s="16" t="n">
        <v>160</v>
      </c>
      <c r="K111" s="16" t="n">
        <v>0</v>
      </c>
      <c r="L111" s="19" t="n">
        <f aca="false">(K111/H111)*100</f>
        <v>0</v>
      </c>
      <c r="M111" s="16" t="n">
        <v>0</v>
      </c>
      <c r="N111" s="19" t="n">
        <f aca="false">(M111/H111)*100</f>
        <v>0</v>
      </c>
      <c r="O111" s="88" t="n">
        <v>47.75</v>
      </c>
      <c r="P111" s="88" t="n">
        <v>0</v>
      </c>
      <c r="Q111" s="53" t="s">
        <v>49</v>
      </c>
      <c r="R111" s="46" t="n">
        <v>45797</v>
      </c>
      <c r="T111" s="45" t="n">
        <v>0</v>
      </c>
      <c r="AA111" s="47" t="s">
        <v>50</v>
      </c>
      <c r="AB111" s="119" t="n">
        <v>20</v>
      </c>
      <c r="AC111" s="127" t="s">
        <v>773</v>
      </c>
      <c r="AD111" s="45"/>
      <c r="AE111" s="45"/>
    </row>
    <row r="112" customFormat="false" ht="34.5" hidden="false" customHeight="false" outlineLevel="0" collapsed="false">
      <c r="A112" s="16"/>
      <c r="B112" s="16"/>
      <c r="C112" s="71"/>
      <c r="D112" s="16"/>
      <c r="E112" s="16"/>
      <c r="F112" s="16"/>
      <c r="G112" s="16"/>
      <c r="H112" s="16"/>
      <c r="I112" s="16"/>
      <c r="J112" s="16"/>
      <c r="K112" s="16"/>
      <c r="L112" s="19" t="e">
        <f aca="false">(K112/H112)*100</f>
        <v>#DIV/0!</v>
      </c>
      <c r="M112" s="16"/>
      <c r="N112" s="19" t="e">
        <f aca="false">(M112/H112)*100</f>
        <v>#DIV/0!</v>
      </c>
      <c r="O112" s="88"/>
      <c r="P112" s="88"/>
      <c r="Q112" s="121" t="s">
        <v>49</v>
      </c>
      <c r="R112" s="122" t="n">
        <v>45797</v>
      </c>
      <c r="T112" s="123"/>
      <c r="AA112" s="124" t="s">
        <v>50</v>
      </c>
      <c r="AB112" s="125" t="n">
        <v>18</v>
      </c>
      <c r="AC112" s="126" t="s">
        <v>774</v>
      </c>
      <c r="AD112" s="123"/>
      <c r="AE112" s="123"/>
    </row>
    <row r="113" customFormat="false" ht="15.75" hidden="false" customHeight="false" outlineLevel="0" collapsed="false">
      <c r="A113" s="16" t="s">
        <v>42</v>
      </c>
      <c r="B113" s="16" t="s">
        <v>545</v>
      </c>
      <c r="C113" s="71" t="s">
        <v>760</v>
      </c>
      <c r="D113" s="16" t="s">
        <v>775</v>
      </c>
      <c r="E113" s="16" t="s">
        <v>776</v>
      </c>
      <c r="F113" s="16" t="n">
        <v>799.5</v>
      </c>
      <c r="G113" s="16" t="n">
        <v>46</v>
      </c>
      <c r="H113" s="16" t="n">
        <v>252</v>
      </c>
      <c r="I113" s="16" t="n">
        <v>135</v>
      </c>
      <c r="J113" s="16" t="n">
        <v>117</v>
      </c>
      <c r="K113" s="16" t="n">
        <v>0</v>
      </c>
      <c r="L113" s="19" t="n">
        <f aca="false">(K113/H113)*100</f>
        <v>0</v>
      </c>
      <c r="M113" s="16" t="n">
        <v>0</v>
      </c>
      <c r="N113" s="19" t="n">
        <f aca="false">(M113/H113)*100</f>
        <v>0</v>
      </c>
      <c r="O113" s="88" t="n">
        <v>0</v>
      </c>
      <c r="P113" s="88" t="n">
        <v>0</v>
      </c>
      <c r="Q113" s="45" t="s">
        <v>49</v>
      </c>
      <c r="R113" s="46" t="n">
        <v>45797</v>
      </c>
      <c r="T113" s="45" t="n">
        <v>0</v>
      </c>
      <c r="AA113" s="47" t="s">
        <v>50</v>
      </c>
      <c r="AB113" s="119" t="n">
        <v>0</v>
      </c>
      <c r="AC113" s="128"/>
      <c r="AD113" s="45"/>
      <c r="AE113" s="45"/>
    </row>
    <row r="114" customFormat="false" ht="15.75" hidden="false" customHeight="false" outlineLevel="0" collapsed="false">
      <c r="A114" s="16" t="s">
        <v>42</v>
      </c>
      <c r="B114" s="16" t="s">
        <v>545</v>
      </c>
      <c r="C114" s="16"/>
      <c r="D114" s="16" t="s">
        <v>777</v>
      </c>
      <c r="E114" s="16" t="s">
        <v>778</v>
      </c>
      <c r="F114" s="16" t="n">
        <v>500</v>
      </c>
      <c r="G114" s="16" t="n">
        <v>48</v>
      </c>
      <c r="H114" s="16" t="n">
        <v>262</v>
      </c>
      <c r="I114" s="16" t="n">
        <v>135</v>
      </c>
      <c r="J114" s="16" t="n">
        <v>127</v>
      </c>
      <c r="K114" s="16" t="n">
        <v>0</v>
      </c>
      <c r="L114" s="19" t="n">
        <f aca="false">(K114/H114)*100</f>
        <v>0</v>
      </c>
      <c r="M114" s="16" t="n">
        <v>0</v>
      </c>
      <c r="N114" s="19" t="n">
        <f aca="false">(M114/H114)*100</f>
        <v>0</v>
      </c>
      <c r="O114" s="88" t="n">
        <v>11</v>
      </c>
      <c r="P114" s="88" t="n">
        <v>0</v>
      </c>
      <c r="Q114" s="16"/>
      <c r="R114" s="87"/>
      <c r="T114" s="16"/>
      <c r="AA114" s="87"/>
      <c r="AB114" s="88"/>
      <c r="AC114" s="28"/>
      <c r="AD114" s="16"/>
      <c r="AE114" s="16"/>
    </row>
    <row r="115" customFormat="false" ht="34.5" hidden="false" customHeight="false" outlineLevel="0" collapsed="false">
      <c r="A115" s="16" t="s">
        <v>42</v>
      </c>
      <c r="B115" s="16" t="s">
        <v>545</v>
      </c>
      <c r="C115" s="71" t="s">
        <v>779</v>
      </c>
      <c r="D115" s="72" t="s">
        <v>779</v>
      </c>
      <c r="E115" s="16" t="s">
        <v>780</v>
      </c>
      <c r="F115" s="16" t="n">
        <v>2526</v>
      </c>
      <c r="G115" s="16" t="n">
        <v>124</v>
      </c>
      <c r="H115" s="16" t="n">
        <v>895</v>
      </c>
      <c r="I115" s="16" t="n">
        <v>475</v>
      </c>
      <c r="J115" s="16" t="n">
        <v>420</v>
      </c>
      <c r="K115" s="16" t="n">
        <v>143</v>
      </c>
      <c r="L115" s="19" t="n">
        <f aca="false">(K115/H115)*100</f>
        <v>15.9776536312849</v>
      </c>
      <c r="M115" s="16" t="n">
        <v>197</v>
      </c>
      <c r="N115" s="19" t="n">
        <f aca="false">(M115/H115)*100</f>
        <v>22.0111731843575</v>
      </c>
      <c r="O115" s="88" t="n">
        <v>331</v>
      </c>
      <c r="P115" s="88" t="n">
        <v>0</v>
      </c>
      <c r="Q115" s="53" t="s">
        <v>49</v>
      </c>
      <c r="R115" s="46" t="n">
        <v>45884</v>
      </c>
      <c r="T115" s="45" t="n">
        <v>196.46</v>
      </c>
      <c r="AA115" s="47" t="s">
        <v>50</v>
      </c>
      <c r="AB115" s="119" t="n">
        <v>5</v>
      </c>
      <c r="AC115" s="127" t="s">
        <v>781</v>
      </c>
      <c r="AD115" s="45"/>
      <c r="AE115" s="45"/>
    </row>
    <row r="116" customFormat="false" ht="34.5" hidden="false" customHeight="false" outlineLevel="0" collapsed="false">
      <c r="A116" s="16"/>
      <c r="B116" s="16"/>
      <c r="C116" s="71"/>
      <c r="D116" s="72"/>
      <c r="E116" s="16"/>
      <c r="F116" s="16"/>
      <c r="G116" s="16"/>
      <c r="H116" s="16"/>
      <c r="I116" s="16"/>
      <c r="J116" s="16"/>
      <c r="K116" s="16"/>
      <c r="L116" s="19" t="e">
        <f aca="false">(K116/H116)*100</f>
        <v>#DIV/0!</v>
      </c>
      <c r="M116" s="16"/>
      <c r="N116" s="19" t="e">
        <f aca="false">(M116/H116)*100</f>
        <v>#DIV/0!</v>
      </c>
      <c r="O116" s="88"/>
      <c r="P116" s="88"/>
      <c r="Q116" s="121" t="s">
        <v>49</v>
      </c>
      <c r="R116" s="122" t="n">
        <v>45884</v>
      </c>
      <c r="T116" s="123"/>
      <c r="AA116" s="124" t="s">
        <v>50</v>
      </c>
      <c r="AB116" s="125" t="n">
        <v>25</v>
      </c>
      <c r="AC116" s="126" t="s">
        <v>782</v>
      </c>
      <c r="AD116" s="123"/>
      <c r="AE116" s="123"/>
    </row>
    <row r="117" customFormat="false" ht="34.5" hidden="false" customHeight="false" outlineLevel="0" collapsed="false">
      <c r="A117" s="16"/>
      <c r="B117" s="16"/>
      <c r="C117" s="71"/>
      <c r="D117" s="72"/>
      <c r="E117" s="16"/>
      <c r="F117" s="16"/>
      <c r="G117" s="16"/>
      <c r="H117" s="16"/>
      <c r="I117" s="16"/>
      <c r="J117" s="16"/>
      <c r="K117" s="16"/>
      <c r="L117" s="19" t="e">
        <f aca="false">(K117/H117)*100</f>
        <v>#DIV/0!</v>
      </c>
      <c r="M117" s="16"/>
      <c r="N117" s="19" t="e">
        <f aca="false">(M117/H117)*100</f>
        <v>#DIV/0!</v>
      </c>
      <c r="O117" s="88"/>
      <c r="P117" s="88"/>
      <c r="Q117" s="121" t="s">
        <v>49</v>
      </c>
      <c r="R117" s="122" t="n">
        <v>45884</v>
      </c>
      <c r="T117" s="123"/>
      <c r="AA117" s="124" t="s">
        <v>50</v>
      </c>
      <c r="AB117" s="125" t="n">
        <v>15</v>
      </c>
      <c r="AC117" s="126" t="s">
        <v>783</v>
      </c>
      <c r="AD117" s="123"/>
      <c r="AE117" s="123"/>
    </row>
    <row r="118" customFormat="false" ht="15.75" hidden="false" customHeight="false" outlineLevel="0" collapsed="false">
      <c r="A118" s="16" t="s">
        <v>42</v>
      </c>
      <c r="B118" s="16" t="s">
        <v>545</v>
      </c>
      <c r="C118" s="71" t="s">
        <v>779</v>
      </c>
      <c r="D118" s="16" t="s">
        <v>784</v>
      </c>
      <c r="E118" s="16" t="s">
        <v>785</v>
      </c>
      <c r="F118" s="16" t="n">
        <v>717</v>
      </c>
      <c r="G118" s="16" t="n">
        <v>57</v>
      </c>
      <c r="H118" s="16" t="n">
        <v>342</v>
      </c>
      <c r="I118" s="16" t="n">
        <v>183</v>
      </c>
      <c r="J118" s="16" t="n">
        <v>159</v>
      </c>
      <c r="K118" s="16" t="n">
        <v>130</v>
      </c>
      <c r="L118" s="19" t="n">
        <f aca="false">(K118/H118)*100</f>
        <v>38.0116959064327</v>
      </c>
      <c r="M118" s="16" t="n">
        <v>0</v>
      </c>
      <c r="N118" s="19" t="n">
        <f aca="false">(M118/H118)*100</f>
        <v>0</v>
      </c>
      <c r="O118" s="88" t="n">
        <v>7</v>
      </c>
      <c r="P118" s="88" t="n">
        <v>0</v>
      </c>
      <c r="Q118" s="16"/>
      <c r="R118" s="87"/>
      <c r="T118" s="16"/>
      <c r="AA118" s="87"/>
      <c r="AB118" s="88"/>
      <c r="AC118" s="28"/>
      <c r="AD118" s="16"/>
      <c r="AE118" s="16"/>
    </row>
    <row r="119" customFormat="false" ht="34.5" hidden="false" customHeight="false" outlineLevel="0" collapsed="false">
      <c r="A119" s="16" t="s">
        <v>42</v>
      </c>
      <c r="B119" s="16" t="s">
        <v>545</v>
      </c>
      <c r="C119" s="71" t="s">
        <v>779</v>
      </c>
      <c r="D119" s="16" t="s">
        <v>786</v>
      </c>
      <c r="E119" s="16" t="s">
        <v>787</v>
      </c>
      <c r="F119" s="16" t="n">
        <v>2847</v>
      </c>
      <c r="G119" s="16" t="n">
        <v>117</v>
      </c>
      <c r="H119" s="16" t="n">
        <v>764</v>
      </c>
      <c r="I119" s="16" t="n">
        <v>432</v>
      </c>
      <c r="J119" s="16" t="n">
        <v>332</v>
      </c>
      <c r="K119" s="16" t="n">
        <v>171</v>
      </c>
      <c r="L119" s="19" t="n">
        <f aca="false">(K119/H119)*100</f>
        <v>22.3821989528796</v>
      </c>
      <c r="M119" s="16" t="n">
        <v>0</v>
      </c>
      <c r="N119" s="19" t="n">
        <f aca="false">(M119/H119)*100</f>
        <v>0</v>
      </c>
      <c r="O119" s="88" t="n">
        <v>0</v>
      </c>
      <c r="P119" s="88" t="n">
        <v>0</v>
      </c>
      <c r="Q119" s="53" t="s">
        <v>49</v>
      </c>
      <c r="R119" s="46" t="n">
        <v>45884</v>
      </c>
      <c r="T119" s="45" t="n">
        <v>122.57</v>
      </c>
      <c r="AA119" s="47" t="s">
        <v>50</v>
      </c>
      <c r="AB119" s="119" t="n">
        <v>25</v>
      </c>
      <c r="AC119" s="127" t="s">
        <v>788</v>
      </c>
      <c r="AD119" s="45"/>
      <c r="AE119" s="45"/>
    </row>
    <row r="120" customFormat="false" ht="17.25" hidden="false" customHeight="false" outlineLevel="0" collapsed="false">
      <c r="A120" s="16"/>
      <c r="B120" s="16"/>
      <c r="C120" s="71"/>
      <c r="D120" s="16"/>
      <c r="E120" s="16"/>
      <c r="F120" s="16"/>
      <c r="G120" s="16"/>
      <c r="H120" s="16"/>
      <c r="I120" s="16"/>
      <c r="J120" s="16"/>
      <c r="K120" s="16"/>
      <c r="L120" s="19" t="e">
        <f aca="false">(K120/H120)*100</f>
        <v>#DIV/0!</v>
      </c>
      <c r="M120" s="16"/>
      <c r="N120" s="19" t="e">
        <f aca="false">(M120/H120)*100</f>
        <v>#DIV/0!</v>
      </c>
      <c r="O120" s="88"/>
      <c r="P120" s="88"/>
      <c r="Q120" s="121" t="s">
        <v>49</v>
      </c>
      <c r="R120" s="122" t="n">
        <v>45884</v>
      </c>
      <c r="T120" s="123"/>
      <c r="AA120" s="124" t="s">
        <v>50</v>
      </c>
      <c r="AB120" s="125" t="n">
        <v>10</v>
      </c>
      <c r="AC120" s="126" t="s">
        <v>789</v>
      </c>
      <c r="AD120" s="123"/>
      <c r="AE120" s="123"/>
    </row>
    <row r="121" customFormat="false" ht="15.75" hidden="false" customHeight="false" outlineLevel="0" collapsed="false">
      <c r="A121" s="16" t="s">
        <v>42</v>
      </c>
      <c r="B121" s="16" t="s">
        <v>545</v>
      </c>
      <c r="C121" s="71" t="s">
        <v>790</v>
      </c>
      <c r="D121" s="72" t="s">
        <v>790</v>
      </c>
      <c r="E121" s="16" t="s">
        <v>791</v>
      </c>
      <c r="F121" s="16" t="n">
        <v>873</v>
      </c>
      <c r="G121" s="16" t="n">
        <v>123</v>
      </c>
      <c r="H121" s="16" t="n">
        <v>512</v>
      </c>
      <c r="I121" s="16" t="n">
        <v>268</v>
      </c>
      <c r="J121" s="16" t="n">
        <v>244</v>
      </c>
      <c r="K121" s="16" t="n">
        <v>0</v>
      </c>
      <c r="L121" s="19" t="n">
        <f aca="false">(K121/H121)*100</f>
        <v>0</v>
      </c>
      <c r="M121" s="16" t="n">
        <v>0</v>
      </c>
      <c r="N121" s="19" t="n">
        <f aca="false">(M121/H121)*100</f>
        <v>0</v>
      </c>
      <c r="O121" s="88" t="n">
        <v>15</v>
      </c>
      <c r="P121" s="88" t="n">
        <v>0</v>
      </c>
      <c r="Q121" s="129"/>
      <c r="R121" s="25" t="n">
        <v>45884</v>
      </c>
      <c r="T121" s="129" t="n">
        <v>0</v>
      </c>
      <c r="AA121" s="26" t="s">
        <v>50</v>
      </c>
      <c r="AB121" s="92" t="n">
        <v>0</v>
      </c>
      <c r="AC121" s="57"/>
      <c r="AD121" s="129"/>
      <c r="AE121" s="129"/>
    </row>
    <row r="122" customFormat="false" ht="17.25" hidden="false" customHeight="false" outlineLevel="0" collapsed="false">
      <c r="A122" s="16" t="s">
        <v>42</v>
      </c>
      <c r="B122" s="16" t="s">
        <v>545</v>
      </c>
      <c r="C122" s="71" t="s">
        <v>790</v>
      </c>
      <c r="D122" s="16" t="s">
        <v>792</v>
      </c>
      <c r="E122" s="16" t="s">
        <v>793</v>
      </c>
      <c r="F122" s="16" t="n">
        <v>732</v>
      </c>
      <c r="G122" s="16" t="n">
        <v>87</v>
      </c>
      <c r="H122" s="16" t="n">
        <v>514</v>
      </c>
      <c r="I122" s="16" t="n">
        <v>259</v>
      </c>
      <c r="J122" s="16" t="n">
        <v>255</v>
      </c>
      <c r="K122" s="16" t="n">
        <v>0</v>
      </c>
      <c r="L122" s="19" t="n">
        <f aca="false">(K122/H122)*100</f>
        <v>0</v>
      </c>
      <c r="M122" s="16" t="n">
        <v>0</v>
      </c>
      <c r="N122" s="19" t="n">
        <f aca="false">(M122/H122)*100</f>
        <v>0</v>
      </c>
      <c r="O122" s="88" t="n">
        <v>77</v>
      </c>
      <c r="P122" s="88" t="n">
        <v>0</v>
      </c>
      <c r="Q122" s="129"/>
      <c r="R122" s="25" t="n">
        <v>45884</v>
      </c>
      <c r="T122" s="129" t="n">
        <v>0</v>
      </c>
      <c r="AA122" s="26" t="s">
        <v>50</v>
      </c>
      <c r="AB122" s="92" t="n">
        <v>0</v>
      </c>
      <c r="AC122" s="130"/>
      <c r="AD122" s="129"/>
      <c r="AE122" s="129"/>
    </row>
    <row r="123" customFormat="false" ht="17.25" hidden="false" customHeight="false" outlineLevel="0" collapsed="false">
      <c r="A123" s="16" t="s">
        <v>42</v>
      </c>
      <c r="B123" s="16" t="s">
        <v>545</v>
      </c>
      <c r="C123" s="71" t="s">
        <v>790</v>
      </c>
      <c r="D123" s="16" t="s">
        <v>794</v>
      </c>
      <c r="E123" s="16" t="s">
        <v>795</v>
      </c>
      <c r="F123" s="16" t="n">
        <v>1185.48</v>
      </c>
      <c r="G123" s="16" t="n">
        <v>117</v>
      </c>
      <c r="H123" s="16" t="n">
        <v>664</v>
      </c>
      <c r="I123" s="16" t="n">
        <v>336</v>
      </c>
      <c r="J123" s="16" t="n">
        <v>328</v>
      </c>
      <c r="K123" s="16" t="n">
        <v>36</v>
      </c>
      <c r="L123" s="19" t="n">
        <f aca="false">(K123/H123)*100</f>
        <v>5.42168674698795</v>
      </c>
      <c r="M123" s="16" t="n">
        <v>9</v>
      </c>
      <c r="N123" s="19" t="n">
        <f aca="false">(M123/H123)*100</f>
        <v>1.35542168674699</v>
      </c>
      <c r="O123" s="88" t="n">
        <v>101</v>
      </c>
      <c r="P123" s="88" t="n">
        <v>0</v>
      </c>
      <c r="Q123" s="129" t="s">
        <v>49</v>
      </c>
      <c r="R123" s="25" t="n">
        <v>45884</v>
      </c>
      <c r="T123" s="129" t="n">
        <v>0</v>
      </c>
      <c r="AA123" s="26" t="s">
        <v>50</v>
      </c>
      <c r="AB123" s="92" t="n">
        <v>15</v>
      </c>
      <c r="AC123" s="130" t="s">
        <v>796</v>
      </c>
      <c r="AD123" s="129" t="n">
        <v>27.419735</v>
      </c>
      <c r="AE123" s="129" t="n">
        <v>72.479393</v>
      </c>
    </row>
    <row r="124" customFormat="false" ht="15.75" hidden="false" customHeight="false" outlineLevel="0" collapsed="false">
      <c r="A124" s="16" t="s">
        <v>42</v>
      </c>
      <c r="B124" s="16" t="s">
        <v>545</v>
      </c>
      <c r="C124" s="71" t="s">
        <v>790</v>
      </c>
      <c r="D124" s="16" t="s">
        <v>797</v>
      </c>
      <c r="E124" s="16" t="s">
        <v>798</v>
      </c>
      <c r="F124" s="16" t="n">
        <v>951.33</v>
      </c>
      <c r="G124" s="16" t="n">
        <v>53</v>
      </c>
      <c r="H124" s="16" t="n">
        <v>264</v>
      </c>
      <c r="I124" s="16" t="n">
        <v>145</v>
      </c>
      <c r="J124" s="16" t="n">
        <v>119</v>
      </c>
      <c r="K124" s="16" t="n">
        <v>0</v>
      </c>
      <c r="L124" s="19" t="n">
        <f aca="false">(K124/H124)*100</f>
        <v>0</v>
      </c>
      <c r="M124" s="16" t="n">
        <v>0</v>
      </c>
      <c r="N124" s="19" t="n">
        <f aca="false">(M124/H124)*100</f>
        <v>0</v>
      </c>
      <c r="O124" s="88" t="n">
        <v>0</v>
      </c>
      <c r="P124" s="88" t="n">
        <v>0</v>
      </c>
      <c r="Q124" s="129"/>
      <c r="R124" s="25" t="n">
        <v>45884</v>
      </c>
      <c r="T124" s="129" t="n">
        <v>0</v>
      </c>
      <c r="AA124" s="26" t="s">
        <v>50</v>
      </c>
      <c r="AB124" s="92" t="n">
        <v>0</v>
      </c>
      <c r="AC124" s="57"/>
      <c r="AD124" s="129"/>
      <c r="AE124" s="129"/>
    </row>
    <row r="125" customFormat="false" ht="15.75" hidden="false" customHeight="false" outlineLevel="0" collapsed="false">
      <c r="A125" s="16" t="s">
        <v>42</v>
      </c>
      <c r="B125" s="16" t="s">
        <v>545</v>
      </c>
      <c r="C125" s="71" t="s">
        <v>790</v>
      </c>
      <c r="D125" s="16" t="s">
        <v>799</v>
      </c>
      <c r="E125" s="16" t="s">
        <v>800</v>
      </c>
      <c r="F125" s="16" t="n">
        <v>912.76</v>
      </c>
      <c r="G125" s="16" t="n">
        <v>43</v>
      </c>
      <c r="H125" s="16" t="n">
        <v>216</v>
      </c>
      <c r="I125" s="16" t="n">
        <v>101</v>
      </c>
      <c r="J125" s="16" t="n">
        <v>115</v>
      </c>
      <c r="K125" s="16" t="n">
        <v>43</v>
      </c>
      <c r="L125" s="19" t="n">
        <f aca="false">(K125/H125)*100</f>
        <v>19.9074074074074</v>
      </c>
      <c r="M125" s="16" t="n">
        <v>0</v>
      </c>
      <c r="N125" s="19" t="n">
        <f aca="false">(M125/H125)*100</f>
        <v>0</v>
      </c>
      <c r="O125" s="88" t="n">
        <v>0</v>
      </c>
      <c r="P125" s="88" t="n">
        <v>0</v>
      </c>
      <c r="Q125" s="129"/>
      <c r="R125" s="25" t="n">
        <v>45884</v>
      </c>
      <c r="T125" s="129" t="n">
        <v>0</v>
      </c>
      <c r="AA125" s="26" t="s">
        <v>50</v>
      </c>
      <c r="AB125" s="92" t="n">
        <v>0</v>
      </c>
      <c r="AC125" s="57"/>
      <c r="AD125" s="129"/>
      <c r="AE125" s="129"/>
    </row>
    <row r="126" customFormat="false" ht="15.75" hidden="false" customHeight="false" outlineLevel="0" collapsed="false">
      <c r="A126" s="16" t="s">
        <v>42</v>
      </c>
      <c r="B126" s="16" t="s">
        <v>545</v>
      </c>
      <c r="C126" s="71" t="s">
        <v>801</v>
      </c>
      <c r="D126" s="72" t="s">
        <v>801</v>
      </c>
      <c r="E126" s="16" t="s">
        <v>802</v>
      </c>
      <c r="F126" s="16" t="n">
        <v>1459</v>
      </c>
      <c r="G126" s="16" t="n">
        <v>78</v>
      </c>
      <c r="H126" s="16" t="n">
        <v>545</v>
      </c>
      <c r="I126" s="16" t="n">
        <v>287</v>
      </c>
      <c r="J126" s="16" t="n">
        <v>258</v>
      </c>
      <c r="K126" s="16" t="n">
        <v>0</v>
      </c>
      <c r="L126" s="19" t="n">
        <f aca="false">(K126/H126)*100</f>
        <v>0</v>
      </c>
      <c r="M126" s="16" t="n">
        <v>0</v>
      </c>
      <c r="N126" s="19" t="n">
        <f aca="false">(M126/H126)*100</f>
        <v>0</v>
      </c>
      <c r="O126" s="88" t="n">
        <v>186</v>
      </c>
      <c r="P126" s="88" t="n">
        <v>0</v>
      </c>
      <c r="Q126" s="20" t="s">
        <v>49</v>
      </c>
      <c r="R126" s="153" t="n">
        <v>45662</v>
      </c>
      <c r="T126" s="20" t="n">
        <v>0</v>
      </c>
      <c r="AA126" s="86" t="n">
        <v>0</v>
      </c>
      <c r="AB126" s="89" t="n">
        <v>0</v>
      </c>
      <c r="AC126" s="36"/>
      <c r="AD126" s="20"/>
      <c r="AE126" s="20"/>
    </row>
    <row r="127" customFormat="false" ht="15.75" hidden="false" customHeight="false" outlineLevel="0" collapsed="false">
      <c r="A127" s="16" t="s">
        <v>42</v>
      </c>
      <c r="B127" s="16" t="s">
        <v>545</v>
      </c>
      <c r="C127" s="71" t="s">
        <v>801</v>
      </c>
      <c r="D127" s="16" t="s">
        <v>803</v>
      </c>
      <c r="E127" s="16" t="s">
        <v>804</v>
      </c>
      <c r="F127" s="16" t="n">
        <v>716</v>
      </c>
      <c r="G127" s="16" t="n">
        <v>61</v>
      </c>
      <c r="H127" s="16" t="n">
        <v>414</v>
      </c>
      <c r="I127" s="16" t="n">
        <v>223</v>
      </c>
      <c r="J127" s="16" t="n">
        <v>191</v>
      </c>
      <c r="K127" s="16" t="n">
        <v>0</v>
      </c>
      <c r="L127" s="19" t="n">
        <f aca="false">(K127/H127)*100</f>
        <v>0</v>
      </c>
      <c r="M127" s="16" t="n">
        <v>0</v>
      </c>
      <c r="N127" s="19" t="n">
        <f aca="false">(M127/H127)*100</f>
        <v>0</v>
      </c>
      <c r="O127" s="88" t="n">
        <v>0</v>
      </c>
      <c r="P127" s="88" t="n">
        <v>0</v>
      </c>
      <c r="Q127" s="24" t="s">
        <v>49</v>
      </c>
      <c r="R127" s="153" t="n">
        <v>45662</v>
      </c>
      <c r="T127" s="24" t="n">
        <v>0</v>
      </c>
      <c r="AA127" s="79" t="n">
        <v>0</v>
      </c>
      <c r="AB127" s="92" t="n">
        <v>0</v>
      </c>
      <c r="AC127" s="57"/>
      <c r="AD127" s="24"/>
      <c r="AE127" s="24"/>
    </row>
    <row r="128" customFormat="false" ht="15.75" hidden="false" customHeight="false" outlineLevel="0" collapsed="false">
      <c r="A128" s="16" t="s">
        <v>42</v>
      </c>
      <c r="B128" s="16" t="s">
        <v>545</v>
      </c>
      <c r="C128" s="71" t="s">
        <v>801</v>
      </c>
      <c r="D128" s="16" t="s">
        <v>805</v>
      </c>
      <c r="E128" s="16" t="s">
        <v>806</v>
      </c>
      <c r="F128" s="16" t="n">
        <v>865</v>
      </c>
      <c r="G128" s="16" t="n">
        <v>38</v>
      </c>
      <c r="H128" s="16" t="n">
        <v>258</v>
      </c>
      <c r="I128" s="16" t="n">
        <v>139</v>
      </c>
      <c r="J128" s="16" t="n">
        <v>119</v>
      </c>
      <c r="K128" s="16" t="n">
        <v>0</v>
      </c>
      <c r="L128" s="19" t="n">
        <f aca="false">(K128/H128)*100</f>
        <v>0</v>
      </c>
      <c r="M128" s="16" t="n">
        <v>0</v>
      </c>
      <c r="N128" s="19" t="n">
        <f aca="false">(M128/H128)*100</f>
        <v>0</v>
      </c>
      <c r="O128" s="88" t="n">
        <v>0</v>
      </c>
      <c r="P128" s="88" t="n">
        <v>0</v>
      </c>
      <c r="Q128" s="20" t="s">
        <v>49</v>
      </c>
      <c r="R128" s="153" t="n">
        <v>45662</v>
      </c>
      <c r="T128" s="20" t="n">
        <v>0</v>
      </c>
      <c r="AA128" s="86" t="n">
        <v>0</v>
      </c>
      <c r="AB128" s="89" t="n">
        <v>0</v>
      </c>
      <c r="AC128" s="36"/>
      <c r="AD128" s="20" t="n">
        <v>0</v>
      </c>
      <c r="AE128" s="20" t="n">
        <v>0</v>
      </c>
    </row>
    <row r="129" customFormat="false" ht="15.75" hidden="false" customHeight="false" outlineLevel="0" collapsed="false">
      <c r="A129" s="16" t="s">
        <v>42</v>
      </c>
      <c r="B129" s="16" t="s">
        <v>545</v>
      </c>
      <c r="C129" s="71" t="s">
        <v>801</v>
      </c>
      <c r="D129" s="16" t="s">
        <v>807</v>
      </c>
      <c r="E129" s="16" t="s">
        <v>808</v>
      </c>
      <c r="F129" s="16" t="n">
        <v>2578</v>
      </c>
      <c r="G129" s="16" t="n">
        <v>83</v>
      </c>
      <c r="H129" s="16" t="n">
        <v>498</v>
      </c>
      <c r="I129" s="16" t="n">
        <v>269</v>
      </c>
      <c r="J129" s="16" t="n">
        <v>229</v>
      </c>
      <c r="K129" s="16" t="n">
        <v>0</v>
      </c>
      <c r="L129" s="19" t="n">
        <f aca="false">(K129/H129)*100</f>
        <v>0</v>
      </c>
      <c r="M129" s="16" t="n">
        <v>0</v>
      </c>
      <c r="N129" s="19" t="n">
        <f aca="false">(M129/H129)*100</f>
        <v>0</v>
      </c>
      <c r="O129" s="88" t="n">
        <v>354</v>
      </c>
      <c r="P129" s="88" t="n">
        <v>0</v>
      </c>
      <c r="Q129" s="24" t="s">
        <v>49</v>
      </c>
      <c r="R129" s="153" t="n">
        <v>45662</v>
      </c>
      <c r="T129" s="24" t="n">
        <v>353.9</v>
      </c>
      <c r="AA129" s="79" t="n">
        <v>0</v>
      </c>
      <c r="AB129" s="92" t="n">
        <v>0</v>
      </c>
      <c r="AC129" s="57"/>
      <c r="AD129" s="24"/>
      <c r="AE129" s="24"/>
    </row>
    <row r="130" customFormat="false" ht="51.75" hidden="false" customHeight="false" outlineLevel="0" collapsed="false">
      <c r="A130" s="16" t="s">
        <v>42</v>
      </c>
      <c r="B130" s="16" t="s">
        <v>545</v>
      </c>
      <c r="C130" s="71" t="s">
        <v>809</v>
      </c>
      <c r="D130" s="72" t="s">
        <v>809</v>
      </c>
      <c r="E130" s="16" t="s">
        <v>810</v>
      </c>
      <c r="F130" s="16" t="n">
        <v>9298</v>
      </c>
      <c r="G130" s="16" t="n">
        <v>399</v>
      </c>
      <c r="H130" s="16" t="n">
        <v>2056</v>
      </c>
      <c r="I130" s="16" t="n">
        <v>1111</v>
      </c>
      <c r="J130" s="16" t="n">
        <v>945</v>
      </c>
      <c r="K130" s="16" t="n">
        <v>11</v>
      </c>
      <c r="L130" s="19" t="n">
        <f aca="false">(K130/H130)*100</f>
        <v>0.535019455252918</v>
      </c>
      <c r="M130" s="16" t="n">
        <v>0</v>
      </c>
      <c r="N130" s="19" t="n">
        <f aca="false">(M130/H130)*100</f>
        <v>0</v>
      </c>
      <c r="O130" s="88" t="n">
        <v>1684</v>
      </c>
      <c r="P130" s="88" t="n">
        <v>0</v>
      </c>
      <c r="Q130" s="131" t="s">
        <v>49</v>
      </c>
      <c r="R130" s="154" t="n">
        <v>45785</v>
      </c>
      <c r="T130" s="131" t="n">
        <v>281.9723</v>
      </c>
      <c r="AA130" s="132" t="s">
        <v>50</v>
      </c>
      <c r="AB130" s="56" t="n">
        <v>30</v>
      </c>
      <c r="AC130" s="127" t="s">
        <v>811</v>
      </c>
      <c r="AD130" s="131" t="n">
        <v>27.550875</v>
      </c>
      <c r="AE130" s="131" t="n">
        <v>72.037627</v>
      </c>
    </row>
    <row r="131" customFormat="false" ht="31.5" hidden="false" customHeight="false" outlineLevel="0" collapsed="false">
      <c r="A131" s="16"/>
      <c r="B131" s="16"/>
      <c r="C131" s="71"/>
      <c r="D131" s="72"/>
      <c r="E131" s="16"/>
      <c r="F131" s="16"/>
      <c r="G131" s="16"/>
      <c r="H131" s="16"/>
      <c r="I131" s="16"/>
      <c r="J131" s="16"/>
      <c r="K131" s="16"/>
      <c r="L131" s="19" t="e">
        <f aca="false">(K131/H131)*100</f>
        <v>#DIV/0!</v>
      </c>
      <c r="M131" s="16"/>
      <c r="N131" s="19" t="e">
        <f aca="false">(M131/H131)*100</f>
        <v>#DIV/0!</v>
      </c>
      <c r="O131" s="88"/>
      <c r="P131" s="88"/>
      <c r="Q131" s="155"/>
      <c r="R131" s="156"/>
      <c r="T131" s="155"/>
      <c r="AA131" s="156" t="s">
        <v>50</v>
      </c>
      <c r="AB131" s="157" t="n">
        <v>30</v>
      </c>
      <c r="AC131" s="158" t="s">
        <v>812</v>
      </c>
      <c r="AD131" s="155" t="n">
        <v>27.557028</v>
      </c>
      <c r="AE131" s="155" t="n">
        <v>72.033549</v>
      </c>
    </row>
    <row r="132" customFormat="false" ht="31.5" hidden="false" customHeight="false" outlineLevel="0" collapsed="false">
      <c r="A132" s="16"/>
      <c r="B132" s="16"/>
      <c r="C132" s="71"/>
      <c r="D132" s="72"/>
      <c r="E132" s="16"/>
      <c r="F132" s="16"/>
      <c r="G132" s="16"/>
      <c r="H132" s="16"/>
      <c r="I132" s="16"/>
      <c r="J132" s="16"/>
      <c r="K132" s="16"/>
      <c r="L132" s="19" t="e">
        <f aca="false">(K132/H132)*100</f>
        <v>#DIV/0!</v>
      </c>
      <c r="M132" s="16"/>
      <c r="N132" s="19" t="e">
        <f aca="false">(M132/H132)*100</f>
        <v>#DIV/0!</v>
      </c>
      <c r="O132" s="88"/>
      <c r="P132" s="88"/>
      <c r="Q132" s="155"/>
      <c r="R132" s="156"/>
      <c r="T132" s="155"/>
      <c r="AA132" s="156" t="s">
        <v>50</v>
      </c>
      <c r="AB132" s="157" t="n">
        <v>30</v>
      </c>
      <c r="AC132" s="158" t="s">
        <v>813</v>
      </c>
      <c r="AD132" s="155" t="n">
        <v>27.560785</v>
      </c>
      <c r="AE132" s="155" t="n">
        <v>72.040524</v>
      </c>
    </row>
    <row r="133" customFormat="false" ht="15.75" hidden="false" customHeight="false" outlineLevel="0" collapsed="false">
      <c r="A133" s="16" t="s">
        <v>42</v>
      </c>
      <c r="B133" s="16" t="s">
        <v>545</v>
      </c>
      <c r="C133" s="71" t="s">
        <v>809</v>
      </c>
      <c r="D133" s="16" t="s">
        <v>814</v>
      </c>
      <c r="E133" s="16" t="s">
        <v>815</v>
      </c>
      <c r="F133" s="16" t="n">
        <v>712</v>
      </c>
      <c r="G133" s="16" t="n">
        <v>62</v>
      </c>
      <c r="H133" s="16" t="n">
        <v>328</v>
      </c>
      <c r="I133" s="16" t="n">
        <v>178</v>
      </c>
      <c r="J133" s="16" t="n">
        <v>150</v>
      </c>
      <c r="K133" s="16" t="n">
        <v>0</v>
      </c>
      <c r="L133" s="19" t="n">
        <f aca="false">(K133/H133)*100</f>
        <v>0</v>
      </c>
      <c r="M133" s="16" t="n">
        <v>0</v>
      </c>
      <c r="N133" s="19" t="n">
        <f aca="false">(M133/H133)*100</f>
        <v>0</v>
      </c>
      <c r="O133" s="88" t="n">
        <v>233</v>
      </c>
      <c r="P133" s="88" t="n">
        <v>0</v>
      </c>
      <c r="Q133" s="131" t="s">
        <v>49</v>
      </c>
      <c r="R133" s="132" t="s">
        <v>595</v>
      </c>
      <c r="T133" s="131"/>
      <c r="AA133" s="132" t="s">
        <v>50</v>
      </c>
      <c r="AB133" s="56" t="n">
        <v>0</v>
      </c>
      <c r="AC133" s="37"/>
      <c r="AD133" s="131"/>
      <c r="AE133" s="131"/>
    </row>
    <row r="134" customFormat="false" ht="15.75" hidden="false" customHeight="false" outlineLevel="0" collapsed="false">
      <c r="A134" s="16" t="s">
        <v>42</v>
      </c>
      <c r="B134" s="16" t="s">
        <v>545</v>
      </c>
      <c r="C134" s="71" t="s">
        <v>809</v>
      </c>
      <c r="D134" s="16" t="s">
        <v>535</v>
      </c>
      <c r="E134" s="16" t="s">
        <v>816</v>
      </c>
      <c r="F134" s="16" t="n">
        <v>2558</v>
      </c>
      <c r="G134" s="16" t="n">
        <v>113</v>
      </c>
      <c r="H134" s="16" t="n">
        <v>632</v>
      </c>
      <c r="I134" s="16" t="n">
        <v>324</v>
      </c>
      <c r="J134" s="16" t="n">
        <v>308</v>
      </c>
      <c r="K134" s="16" t="n">
        <v>0</v>
      </c>
      <c r="L134" s="19" t="n">
        <f aca="false">(K134/H134)*100</f>
        <v>0</v>
      </c>
      <c r="M134" s="16" t="n">
        <v>0</v>
      </c>
      <c r="N134" s="19" t="n">
        <f aca="false">(M134/H134)*100</f>
        <v>0</v>
      </c>
      <c r="O134" s="88" t="n">
        <v>381</v>
      </c>
      <c r="P134" s="88" t="n">
        <v>0</v>
      </c>
      <c r="Q134" s="131" t="s">
        <v>49</v>
      </c>
      <c r="R134" s="132" t="s">
        <v>595</v>
      </c>
      <c r="T134" s="131"/>
      <c r="AA134" s="132" t="s">
        <v>50</v>
      </c>
      <c r="AB134" s="56" t="n">
        <v>0</v>
      </c>
      <c r="AC134" s="37"/>
      <c r="AD134" s="131"/>
      <c r="AE134" s="131"/>
    </row>
    <row r="135" customFormat="false" ht="51.75" hidden="false" customHeight="false" outlineLevel="0" collapsed="false">
      <c r="A135" s="16" t="s">
        <v>42</v>
      </c>
      <c r="B135" s="16" t="s">
        <v>545</v>
      </c>
      <c r="C135" s="71" t="s">
        <v>817</v>
      </c>
      <c r="D135" s="72" t="s">
        <v>818</v>
      </c>
      <c r="E135" s="16" t="s">
        <v>819</v>
      </c>
      <c r="F135" s="16" t="n">
        <v>3879</v>
      </c>
      <c r="G135" s="16" t="n">
        <v>396</v>
      </c>
      <c r="H135" s="16" t="n">
        <v>1880</v>
      </c>
      <c r="I135" s="16" t="n">
        <v>961</v>
      </c>
      <c r="J135" s="16" t="n">
        <v>919</v>
      </c>
      <c r="K135" s="16" t="n">
        <v>262</v>
      </c>
      <c r="L135" s="19" t="n">
        <f aca="false">(K135/H135)*100</f>
        <v>13.936170212766</v>
      </c>
      <c r="M135" s="16" t="n">
        <v>0</v>
      </c>
      <c r="N135" s="19" t="n">
        <f aca="false">(M135/H135)*100</f>
        <v>0</v>
      </c>
      <c r="O135" s="88" t="n">
        <v>288</v>
      </c>
      <c r="P135" s="88" t="n">
        <v>0</v>
      </c>
      <c r="Q135" s="129" t="s">
        <v>49</v>
      </c>
      <c r="R135" s="25" t="n">
        <v>45884</v>
      </c>
      <c r="T135" s="129" t="n">
        <v>288.49</v>
      </c>
      <c r="AA135" s="26" t="s">
        <v>50</v>
      </c>
      <c r="AB135" s="92" t="n">
        <v>5</v>
      </c>
      <c r="AC135" s="130" t="s">
        <v>820</v>
      </c>
      <c r="AD135" s="129" t="n">
        <v>27.411524</v>
      </c>
      <c r="AE135" s="129" t="n">
        <v>72.06936</v>
      </c>
    </row>
    <row r="136" customFormat="false" ht="34.5" hidden="false" customHeight="false" outlineLevel="0" collapsed="false">
      <c r="A136" s="16"/>
      <c r="B136" s="16"/>
      <c r="C136" s="71"/>
      <c r="D136" s="72"/>
      <c r="E136" s="16"/>
      <c r="F136" s="16"/>
      <c r="G136" s="16"/>
      <c r="H136" s="16"/>
      <c r="I136" s="16"/>
      <c r="J136" s="16"/>
      <c r="K136" s="16"/>
      <c r="L136" s="19" t="e">
        <f aca="false">(K136/H136)*100</f>
        <v>#DIV/0!</v>
      </c>
      <c r="M136" s="16"/>
      <c r="N136" s="19" t="e">
        <f aca="false">(M136/H136)*100</f>
        <v>#DIV/0!</v>
      </c>
      <c r="O136" s="88"/>
      <c r="P136" s="88"/>
      <c r="Q136" s="140" t="s">
        <v>49</v>
      </c>
      <c r="R136" s="141"/>
      <c r="T136" s="140"/>
      <c r="AA136" s="142" t="s">
        <v>50</v>
      </c>
      <c r="AB136" s="143" t="n">
        <v>15</v>
      </c>
      <c r="AC136" s="144" t="s">
        <v>821</v>
      </c>
      <c r="AD136" s="140" t="n">
        <v>27.390894</v>
      </c>
      <c r="AE136" s="140" t="n">
        <v>72.133692</v>
      </c>
    </row>
    <row r="137" customFormat="false" ht="15.75" hidden="false" customHeight="false" outlineLevel="0" collapsed="false">
      <c r="A137" s="16" t="s">
        <v>42</v>
      </c>
      <c r="B137" s="16" t="s">
        <v>545</v>
      </c>
      <c r="C137" s="71" t="s">
        <v>817</v>
      </c>
      <c r="D137" s="16" t="s">
        <v>822</v>
      </c>
      <c r="E137" s="16" t="s">
        <v>823</v>
      </c>
      <c r="F137" s="16" t="n">
        <v>997</v>
      </c>
      <c r="G137" s="16" t="n">
        <v>138</v>
      </c>
      <c r="H137" s="16" t="n">
        <v>658</v>
      </c>
      <c r="I137" s="16" t="n">
        <v>312</v>
      </c>
      <c r="J137" s="16" t="n">
        <v>346</v>
      </c>
      <c r="K137" s="16" t="n">
        <v>0</v>
      </c>
      <c r="L137" s="19" t="n">
        <f aca="false">(K137/H137)*100</f>
        <v>0</v>
      </c>
      <c r="M137" s="16" t="n">
        <v>0</v>
      </c>
      <c r="N137" s="19" t="n">
        <f aca="false">(M137/H137)*100</f>
        <v>0</v>
      </c>
      <c r="O137" s="88" t="n">
        <v>0</v>
      </c>
      <c r="P137" s="88" t="n">
        <v>0</v>
      </c>
      <c r="Q137" s="129"/>
      <c r="R137" s="25" t="n">
        <v>45884</v>
      </c>
      <c r="T137" s="129" t="n">
        <v>0</v>
      </c>
      <c r="AA137" s="26" t="s">
        <v>50</v>
      </c>
      <c r="AB137" s="92" t="n">
        <v>0</v>
      </c>
      <c r="AC137" s="57"/>
      <c r="AD137" s="129"/>
      <c r="AE137" s="129"/>
    </row>
    <row r="138" customFormat="false" ht="15.75" hidden="false" customHeight="false" outlineLevel="0" collapsed="false">
      <c r="A138" s="16" t="s">
        <v>42</v>
      </c>
      <c r="B138" s="16" t="s">
        <v>545</v>
      </c>
      <c r="C138" s="71" t="s">
        <v>824</v>
      </c>
      <c r="D138" s="72" t="s">
        <v>825</v>
      </c>
      <c r="E138" s="16" t="s">
        <v>826</v>
      </c>
      <c r="F138" s="16" t="n">
        <v>2131</v>
      </c>
      <c r="G138" s="16" t="n">
        <v>137</v>
      </c>
      <c r="H138" s="16" t="n">
        <v>793</v>
      </c>
      <c r="I138" s="16" t="n">
        <v>418</v>
      </c>
      <c r="J138" s="16" t="n">
        <v>375</v>
      </c>
      <c r="K138" s="16" t="n">
        <v>38</v>
      </c>
      <c r="L138" s="19" t="n">
        <f aca="false">(K138/H138)*100</f>
        <v>4.79192938209332</v>
      </c>
      <c r="M138" s="16" t="n">
        <v>0</v>
      </c>
      <c r="N138" s="19" t="n">
        <f aca="false">(M138/H138)*100</f>
        <v>0</v>
      </c>
      <c r="O138" s="88" t="n">
        <v>355</v>
      </c>
      <c r="P138" s="88" t="n">
        <v>0</v>
      </c>
      <c r="Q138" s="131" t="s">
        <v>70</v>
      </c>
      <c r="R138" s="132" t="s">
        <v>595</v>
      </c>
      <c r="T138" s="131" t="n">
        <v>555.1145</v>
      </c>
      <c r="AA138" s="132" t="s">
        <v>50</v>
      </c>
      <c r="AB138" s="56" t="n">
        <v>0</v>
      </c>
      <c r="AC138" s="37"/>
      <c r="AD138" s="131"/>
      <c r="AE138" s="131"/>
    </row>
    <row r="139" customFormat="false" ht="15.75" hidden="false" customHeight="false" outlineLevel="0" collapsed="false">
      <c r="A139" s="16" t="s">
        <v>42</v>
      </c>
      <c r="B139" s="16" t="s">
        <v>545</v>
      </c>
      <c r="C139" s="71" t="s">
        <v>824</v>
      </c>
      <c r="D139" s="16" t="s">
        <v>827</v>
      </c>
      <c r="E139" s="16" t="s">
        <v>828</v>
      </c>
      <c r="F139" s="16" t="n">
        <v>816</v>
      </c>
      <c r="G139" s="16" t="n">
        <v>49</v>
      </c>
      <c r="H139" s="16" t="n">
        <v>340</v>
      </c>
      <c r="I139" s="16" t="n">
        <v>170</v>
      </c>
      <c r="J139" s="16" t="n">
        <v>170</v>
      </c>
      <c r="K139" s="16" t="n">
        <v>327</v>
      </c>
      <c r="L139" s="19" t="n">
        <f aca="false">(K139/H139)*100</f>
        <v>96.1764705882353</v>
      </c>
      <c r="M139" s="16" t="n">
        <v>0</v>
      </c>
      <c r="N139" s="19" t="n">
        <f aca="false">(M139/H139)*100</f>
        <v>0</v>
      </c>
      <c r="O139" s="88" t="n">
        <v>451</v>
      </c>
      <c r="P139" s="88" t="n">
        <v>0</v>
      </c>
      <c r="Q139" s="131" t="s">
        <v>49</v>
      </c>
      <c r="R139" s="132" t="s">
        <v>595</v>
      </c>
      <c r="T139" s="131" t="n">
        <v>450.2363</v>
      </c>
      <c r="AA139" s="132" t="s">
        <v>50</v>
      </c>
      <c r="AB139" s="56" t="n">
        <v>0</v>
      </c>
      <c r="AC139" s="37"/>
      <c r="AD139" s="131"/>
      <c r="AE139" s="131"/>
    </row>
    <row r="140" customFormat="false" ht="15.75" hidden="false" customHeight="false" outlineLevel="0" collapsed="false">
      <c r="A140" s="16" t="s">
        <v>42</v>
      </c>
      <c r="B140" s="16" t="s">
        <v>545</v>
      </c>
      <c r="C140" s="71" t="s">
        <v>824</v>
      </c>
      <c r="D140" s="16" t="s">
        <v>829</v>
      </c>
      <c r="E140" s="16" t="s">
        <v>830</v>
      </c>
      <c r="F140" s="16" t="n">
        <v>1002</v>
      </c>
      <c r="G140" s="16" t="n">
        <v>71</v>
      </c>
      <c r="H140" s="16" t="n">
        <v>453</v>
      </c>
      <c r="I140" s="16" t="n">
        <v>239</v>
      </c>
      <c r="J140" s="16" t="n">
        <v>214</v>
      </c>
      <c r="K140" s="16" t="n">
        <v>0</v>
      </c>
      <c r="L140" s="19" t="n">
        <f aca="false">(K140/H140)*100</f>
        <v>0</v>
      </c>
      <c r="M140" s="16" t="n">
        <v>0</v>
      </c>
      <c r="N140" s="19" t="n">
        <f aca="false">(M140/H140)*100</f>
        <v>0</v>
      </c>
      <c r="O140" s="88" t="n">
        <v>0</v>
      </c>
      <c r="P140" s="88" t="n">
        <v>0</v>
      </c>
      <c r="Q140" s="16"/>
      <c r="R140" s="87"/>
      <c r="T140" s="16"/>
      <c r="AA140" s="87"/>
      <c r="AB140" s="88"/>
      <c r="AC140" s="28"/>
      <c r="AD140" s="16"/>
      <c r="AE140" s="16"/>
    </row>
    <row r="141" customFormat="false" ht="15.75" hidden="false" customHeight="false" outlineLevel="0" collapsed="false">
      <c r="A141" s="16" t="s">
        <v>42</v>
      </c>
      <c r="B141" s="16" t="s">
        <v>545</v>
      </c>
      <c r="C141" s="71" t="s">
        <v>824</v>
      </c>
      <c r="D141" s="16" t="s">
        <v>831</v>
      </c>
      <c r="E141" s="16" t="s">
        <v>832</v>
      </c>
      <c r="F141" s="16" t="n">
        <v>601</v>
      </c>
      <c r="G141" s="16" t="n">
        <v>82</v>
      </c>
      <c r="H141" s="16" t="n">
        <v>426</v>
      </c>
      <c r="I141" s="16" t="n">
        <v>240</v>
      </c>
      <c r="J141" s="16" t="n">
        <v>186</v>
      </c>
      <c r="K141" s="16" t="n">
        <v>0</v>
      </c>
      <c r="L141" s="19" t="n">
        <f aca="false">(K141/H141)*100</f>
        <v>0</v>
      </c>
      <c r="M141" s="16" t="n">
        <v>0</v>
      </c>
      <c r="N141" s="19" t="n">
        <f aca="false">(M141/H141)*100</f>
        <v>0</v>
      </c>
      <c r="O141" s="88" t="n">
        <v>0</v>
      </c>
      <c r="P141" s="88" t="n">
        <v>0</v>
      </c>
      <c r="Q141" s="131" t="s">
        <v>49</v>
      </c>
      <c r="R141" s="132" t="s">
        <v>595</v>
      </c>
      <c r="T141" s="131" t="n">
        <v>0.1225</v>
      </c>
      <c r="AA141" s="132" t="s">
        <v>50</v>
      </c>
      <c r="AB141" s="56" t="n">
        <v>0</v>
      </c>
      <c r="AC141" s="37"/>
      <c r="AD141" s="131"/>
      <c r="AE141" s="131"/>
    </row>
    <row r="142" customFormat="false" ht="15.75" hidden="false" customHeight="false" outlineLevel="0" collapsed="false">
      <c r="A142" s="16" t="s">
        <v>42</v>
      </c>
      <c r="B142" s="16" t="s">
        <v>545</v>
      </c>
      <c r="C142" s="71" t="s">
        <v>824</v>
      </c>
      <c r="D142" s="16" t="s">
        <v>833</v>
      </c>
      <c r="E142" s="16" t="s">
        <v>834</v>
      </c>
      <c r="F142" s="16" t="n">
        <v>1387</v>
      </c>
      <c r="G142" s="16" t="n">
        <v>95</v>
      </c>
      <c r="H142" s="16" t="n">
        <v>589</v>
      </c>
      <c r="I142" s="16" t="n">
        <v>300</v>
      </c>
      <c r="J142" s="16" t="n">
        <v>289</v>
      </c>
      <c r="K142" s="16" t="n">
        <v>45</v>
      </c>
      <c r="L142" s="19" t="n">
        <f aca="false">(K142/H142)*100</f>
        <v>7.64006791171477</v>
      </c>
      <c r="M142" s="16" t="n">
        <v>0</v>
      </c>
      <c r="N142" s="19" t="n">
        <f aca="false">(M142/H142)*100</f>
        <v>0</v>
      </c>
      <c r="O142" s="88" t="n">
        <v>92</v>
      </c>
      <c r="P142" s="88" t="n">
        <v>0</v>
      </c>
      <c r="Q142" s="131" t="s">
        <v>49</v>
      </c>
      <c r="R142" s="132" t="s">
        <v>595</v>
      </c>
      <c r="T142" s="131" t="n">
        <v>238.7145</v>
      </c>
      <c r="AA142" s="132" t="s">
        <v>50</v>
      </c>
      <c r="AB142" s="56" t="n">
        <v>0</v>
      </c>
      <c r="AC142" s="37"/>
      <c r="AD142" s="131"/>
      <c r="AE142" s="131"/>
    </row>
    <row r="143" customFormat="false" ht="34.5" hidden="false" customHeight="false" outlineLevel="0" collapsed="false">
      <c r="A143" s="16" t="s">
        <v>42</v>
      </c>
      <c r="B143" s="16" t="s">
        <v>545</v>
      </c>
      <c r="C143" s="71" t="s">
        <v>835</v>
      </c>
      <c r="D143" s="72" t="s">
        <v>835</v>
      </c>
      <c r="E143" s="16" t="s">
        <v>836</v>
      </c>
      <c r="F143" s="16" t="n">
        <v>3953</v>
      </c>
      <c r="G143" s="16" t="n">
        <v>245</v>
      </c>
      <c r="H143" s="16" t="n">
        <v>1315</v>
      </c>
      <c r="I143" s="16" t="n">
        <v>683</v>
      </c>
      <c r="J143" s="16" t="n">
        <v>632</v>
      </c>
      <c r="K143" s="16" t="n">
        <v>290</v>
      </c>
      <c r="L143" s="19" t="n">
        <f aca="false">(K143/H143)*100</f>
        <v>22.0532319391635</v>
      </c>
      <c r="M143" s="16" t="n">
        <v>58</v>
      </c>
      <c r="N143" s="19" t="n">
        <f aca="false">(M143/H143)*100</f>
        <v>4.4106463878327</v>
      </c>
      <c r="O143" s="88" t="n">
        <v>299</v>
      </c>
      <c r="P143" s="88" t="n">
        <v>0</v>
      </c>
      <c r="Q143" s="129" t="s">
        <v>49</v>
      </c>
      <c r="R143" s="25" t="n">
        <v>45884</v>
      </c>
      <c r="T143" s="129" t="n">
        <v>111.337</v>
      </c>
      <c r="AA143" s="26" t="s">
        <v>50</v>
      </c>
      <c r="AB143" s="92" t="n">
        <v>5</v>
      </c>
      <c r="AC143" s="130" t="s">
        <v>837</v>
      </c>
      <c r="AD143" s="129" t="n">
        <v>27.391804</v>
      </c>
      <c r="AE143" s="129" t="n">
        <v>72.207173</v>
      </c>
    </row>
    <row r="144" customFormat="false" ht="34.5" hidden="false" customHeight="false" outlineLevel="0" collapsed="false">
      <c r="A144" s="16"/>
      <c r="B144" s="16"/>
      <c r="C144" s="71"/>
      <c r="D144" s="72"/>
      <c r="E144" s="16"/>
      <c r="F144" s="16"/>
      <c r="G144" s="16"/>
      <c r="H144" s="16"/>
      <c r="I144" s="16"/>
      <c r="J144" s="16"/>
      <c r="K144" s="16"/>
      <c r="L144" s="19" t="e">
        <f aca="false">(K144/H144)*100</f>
        <v>#DIV/0!</v>
      </c>
      <c r="M144" s="16"/>
      <c r="N144" s="19" t="e">
        <f aca="false">(M144/H144)*100</f>
        <v>#DIV/0!</v>
      </c>
      <c r="O144" s="88"/>
      <c r="P144" s="88"/>
      <c r="Q144" s="140" t="s">
        <v>49</v>
      </c>
      <c r="R144" s="141"/>
      <c r="T144" s="140"/>
      <c r="AA144" s="142" t="s">
        <v>50</v>
      </c>
      <c r="AB144" s="143" t="n">
        <v>25</v>
      </c>
      <c r="AC144" s="144" t="s">
        <v>838</v>
      </c>
      <c r="AD144" s="140" t="n">
        <v>27.340486</v>
      </c>
      <c r="AE144" s="140" t="n">
        <v>72.218959</v>
      </c>
    </row>
    <row r="145" customFormat="false" ht="15.75" hidden="false" customHeight="false" outlineLevel="0" collapsed="false">
      <c r="A145" s="16" t="s">
        <v>42</v>
      </c>
      <c r="B145" s="16" t="s">
        <v>545</v>
      </c>
      <c r="C145" s="71" t="s">
        <v>835</v>
      </c>
      <c r="D145" s="16" t="s">
        <v>839</v>
      </c>
      <c r="E145" s="16" t="s">
        <v>840</v>
      </c>
      <c r="F145" s="16" t="n">
        <v>730</v>
      </c>
      <c r="G145" s="16" t="n">
        <v>72</v>
      </c>
      <c r="H145" s="16" t="n">
        <v>316</v>
      </c>
      <c r="I145" s="16" t="n">
        <v>177</v>
      </c>
      <c r="J145" s="16" t="n">
        <v>139</v>
      </c>
      <c r="K145" s="16" t="n">
        <v>6</v>
      </c>
      <c r="L145" s="19" t="n">
        <f aca="false">(K145/H145)*100</f>
        <v>1.89873417721519</v>
      </c>
      <c r="M145" s="16" t="n">
        <v>65</v>
      </c>
      <c r="N145" s="19" t="n">
        <f aca="false">(M145/H145)*100</f>
        <v>20.5696202531646</v>
      </c>
      <c r="O145" s="88" t="n">
        <v>42</v>
      </c>
      <c r="P145" s="88" t="n">
        <v>0</v>
      </c>
      <c r="Q145" s="129"/>
      <c r="R145" s="25" t="n">
        <v>45884</v>
      </c>
      <c r="T145" s="129" t="n">
        <v>0</v>
      </c>
      <c r="AA145" s="26" t="s">
        <v>50</v>
      </c>
      <c r="AB145" s="92" t="n">
        <v>0</v>
      </c>
      <c r="AC145" s="57"/>
      <c r="AD145" s="129"/>
      <c r="AE145" s="129"/>
    </row>
    <row r="146" customFormat="false" ht="15.75" hidden="false" customHeight="false" outlineLevel="0" collapsed="false">
      <c r="A146" s="16" t="s">
        <v>42</v>
      </c>
      <c r="B146" s="16" t="s">
        <v>545</v>
      </c>
      <c r="C146" s="71" t="s">
        <v>835</v>
      </c>
      <c r="D146" s="16" t="s">
        <v>841</v>
      </c>
      <c r="E146" s="16" t="s">
        <v>842</v>
      </c>
      <c r="F146" s="16" t="n">
        <v>2363</v>
      </c>
      <c r="G146" s="16" t="n">
        <v>57</v>
      </c>
      <c r="H146" s="16" t="n">
        <v>312</v>
      </c>
      <c r="I146" s="16" t="n">
        <v>164</v>
      </c>
      <c r="J146" s="16" t="n">
        <v>148</v>
      </c>
      <c r="K146" s="16" t="n">
        <v>0</v>
      </c>
      <c r="L146" s="19" t="n">
        <f aca="false">(K146/H146)*100</f>
        <v>0</v>
      </c>
      <c r="M146" s="16" t="n">
        <v>11</v>
      </c>
      <c r="N146" s="19" t="n">
        <f aca="false">(M146/H146)*100</f>
        <v>3.52564102564103</v>
      </c>
      <c r="O146" s="88" t="n">
        <v>13</v>
      </c>
      <c r="P146" s="88" t="n">
        <v>0</v>
      </c>
      <c r="Q146" s="129"/>
      <c r="R146" s="25" t="n">
        <v>45884</v>
      </c>
      <c r="T146" s="129" t="n">
        <v>0</v>
      </c>
      <c r="AA146" s="26" t="s">
        <v>50</v>
      </c>
      <c r="AB146" s="92" t="n">
        <v>0</v>
      </c>
      <c r="AC146" s="57"/>
      <c r="AD146" s="129"/>
      <c r="AE146" s="129"/>
    </row>
    <row r="147" customFormat="false" ht="15.75" hidden="false" customHeight="false" outlineLevel="0" collapsed="false">
      <c r="A147" s="16" t="s">
        <v>42</v>
      </c>
      <c r="B147" s="16" t="s">
        <v>545</v>
      </c>
      <c r="C147" s="71" t="s">
        <v>835</v>
      </c>
      <c r="D147" s="16" t="s">
        <v>843</v>
      </c>
      <c r="E147" s="16" t="s">
        <v>844</v>
      </c>
      <c r="F147" s="16" t="n">
        <v>2624</v>
      </c>
      <c r="G147" s="16" t="n">
        <v>89</v>
      </c>
      <c r="H147" s="16" t="n">
        <v>495</v>
      </c>
      <c r="I147" s="16" t="n">
        <v>248</v>
      </c>
      <c r="J147" s="16" t="n">
        <v>247</v>
      </c>
      <c r="K147" s="16" t="n">
        <v>72</v>
      </c>
      <c r="L147" s="19" t="n">
        <f aca="false">(K147/H147)*100</f>
        <v>14.5454545454545</v>
      </c>
      <c r="M147" s="16" t="n">
        <v>0</v>
      </c>
      <c r="N147" s="19" t="n">
        <f aca="false">(M147/H147)*100</f>
        <v>0</v>
      </c>
      <c r="O147" s="88" t="n">
        <v>811</v>
      </c>
      <c r="P147" s="88" t="n">
        <v>0</v>
      </c>
      <c r="Q147" s="129"/>
      <c r="R147" s="25" t="n">
        <v>45884</v>
      </c>
      <c r="T147" s="129" t="n">
        <v>345.2</v>
      </c>
      <c r="AA147" s="26" t="s">
        <v>50</v>
      </c>
      <c r="AB147" s="92" t="n">
        <v>0</v>
      </c>
      <c r="AC147" s="57"/>
      <c r="AD147" s="129"/>
      <c r="AE147" s="129"/>
    </row>
    <row r="148" customFormat="false" ht="17.25" hidden="false" customHeight="false" outlineLevel="0" collapsed="false">
      <c r="A148" s="16" t="s">
        <v>42</v>
      </c>
      <c r="B148" s="16" t="s">
        <v>545</v>
      </c>
      <c r="C148" s="71" t="s">
        <v>845</v>
      </c>
      <c r="D148" s="72" t="s">
        <v>846</v>
      </c>
      <c r="E148" s="16" t="s">
        <v>847</v>
      </c>
      <c r="F148" s="16" t="n">
        <v>2224.11</v>
      </c>
      <c r="G148" s="16" t="n">
        <v>181</v>
      </c>
      <c r="H148" s="16" t="n">
        <v>1126</v>
      </c>
      <c r="I148" s="16" t="n">
        <v>587</v>
      </c>
      <c r="J148" s="16" t="n">
        <v>539</v>
      </c>
      <c r="K148" s="16" t="n">
        <v>207</v>
      </c>
      <c r="L148" s="19" t="n">
        <f aca="false">(K148/H148)*100</f>
        <v>18.3836589698046</v>
      </c>
      <c r="M148" s="16" t="n">
        <v>0</v>
      </c>
      <c r="N148" s="19" t="n">
        <f aca="false">(M148/H148)*100</f>
        <v>0</v>
      </c>
      <c r="O148" s="88" t="n">
        <v>213</v>
      </c>
      <c r="P148" s="88" t="n">
        <v>0</v>
      </c>
      <c r="Q148" s="129"/>
      <c r="R148" s="25" t="n">
        <v>45884</v>
      </c>
      <c r="T148" s="129" t="n">
        <v>207.49</v>
      </c>
      <c r="AA148" s="26" t="s">
        <v>50</v>
      </c>
      <c r="AB148" s="92" t="n">
        <v>0</v>
      </c>
      <c r="AC148" s="130"/>
      <c r="AD148" s="129"/>
      <c r="AE148" s="129"/>
    </row>
    <row r="149" customFormat="false" ht="15.75" hidden="false" customHeight="false" outlineLevel="0" collapsed="false">
      <c r="A149" s="16" t="s">
        <v>42</v>
      </c>
      <c r="B149" s="16" t="s">
        <v>545</v>
      </c>
      <c r="C149" s="71" t="s">
        <v>845</v>
      </c>
      <c r="D149" s="16" t="s">
        <v>848</v>
      </c>
      <c r="E149" s="16" t="s">
        <v>849</v>
      </c>
      <c r="F149" s="16" t="n">
        <v>709.81</v>
      </c>
      <c r="G149" s="16" t="n">
        <v>21</v>
      </c>
      <c r="H149" s="16" t="n">
        <v>124</v>
      </c>
      <c r="I149" s="16" t="n">
        <v>66</v>
      </c>
      <c r="J149" s="16" t="n">
        <v>58</v>
      </c>
      <c r="K149" s="16" t="n">
        <v>15</v>
      </c>
      <c r="L149" s="19" t="n">
        <f aca="false">(K149/H149)*100</f>
        <v>12.0967741935484</v>
      </c>
      <c r="M149" s="16" t="n">
        <v>16</v>
      </c>
      <c r="N149" s="19" t="n">
        <f aca="false">(M149/H149)*100</f>
        <v>12.9032258064516</v>
      </c>
      <c r="O149" s="88" t="n">
        <v>0</v>
      </c>
      <c r="P149" s="88" t="n">
        <v>0</v>
      </c>
      <c r="Q149" s="129"/>
      <c r="R149" s="25" t="n">
        <v>45884</v>
      </c>
      <c r="T149" s="129" t="n">
        <v>0</v>
      </c>
      <c r="AA149" s="26" t="s">
        <v>50</v>
      </c>
      <c r="AB149" s="92" t="n">
        <v>0</v>
      </c>
      <c r="AC149" s="57"/>
      <c r="AD149" s="129"/>
      <c r="AE149" s="129"/>
    </row>
    <row r="150" customFormat="false" ht="15.75" hidden="false" customHeight="false" outlineLevel="0" collapsed="false">
      <c r="A150" s="16" t="s">
        <v>42</v>
      </c>
      <c r="B150" s="16" t="s">
        <v>545</v>
      </c>
      <c r="C150" s="71" t="s">
        <v>845</v>
      </c>
      <c r="D150" s="16" t="s">
        <v>850</v>
      </c>
      <c r="E150" s="16" t="s">
        <v>851</v>
      </c>
      <c r="F150" s="16" t="n">
        <v>3563.03</v>
      </c>
      <c r="G150" s="16" t="n">
        <v>109</v>
      </c>
      <c r="H150" s="16" t="n">
        <v>698</v>
      </c>
      <c r="I150" s="16" t="n">
        <v>372</v>
      </c>
      <c r="J150" s="16" t="n">
        <v>326</v>
      </c>
      <c r="K150" s="16" t="n">
        <v>159</v>
      </c>
      <c r="L150" s="19" t="n">
        <f aca="false">(K150/H150)*100</f>
        <v>22.7793696275072</v>
      </c>
      <c r="M150" s="16" t="n">
        <v>82</v>
      </c>
      <c r="N150" s="19" t="n">
        <f aca="false">(M150/H150)*100</f>
        <v>11.7478510028653</v>
      </c>
      <c r="O150" s="88" t="n">
        <v>350</v>
      </c>
      <c r="P150" s="88" t="n">
        <v>0</v>
      </c>
      <c r="Q150" s="129"/>
      <c r="R150" s="25" t="n">
        <v>45884</v>
      </c>
      <c r="T150" s="129" t="n">
        <v>186.18</v>
      </c>
      <c r="AA150" s="26" t="s">
        <v>50</v>
      </c>
      <c r="AB150" s="92" t="n">
        <v>0</v>
      </c>
      <c r="AC150" s="57"/>
      <c r="AD150" s="129"/>
      <c r="AE150" s="129"/>
    </row>
    <row r="151" customFormat="false" ht="15.75" hidden="false" customHeight="false" outlineLevel="0" collapsed="false">
      <c r="A151" s="16" t="s">
        <v>42</v>
      </c>
      <c r="B151" s="16" t="s">
        <v>545</v>
      </c>
      <c r="C151" s="71" t="s">
        <v>852</v>
      </c>
      <c r="D151" s="72" t="s">
        <v>853</v>
      </c>
      <c r="E151" s="16" t="s">
        <v>854</v>
      </c>
      <c r="F151" s="16" t="n">
        <v>2838</v>
      </c>
      <c r="G151" s="16" t="n">
        <v>196</v>
      </c>
      <c r="H151" s="16" t="n">
        <v>1245</v>
      </c>
      <c r="I151" s="16" t="n">
        <v>677</v>
      </c>
      <c r="J151" s="16" t="n">
        <v>568</v>
      </c>
      <c r="K151" s="16" t="n">
        <v>318</v>
      </c>
      <c r="L151" s="19" t="n">
        <f aca="false">(K151/H151)*100</f>
        <v>25.5421686746988</v>
      </c>
      <c r="M151" s="16" t="n">
        <v>64</v>
      </c>
      <c r="N151" s="19" t="n">
        <f aca="false">(M151/H151)*100</f>
        <v>5.14056224899598</v>
      </c>
      <c r="O151" s="88" t="n">
        <v>191</v>
      </c>
      <c r="P151" s="88" t="n">
        <v>0</v>
      </c>
      <c r="Q151" s="16"/>
      <c r="R151" s="87"/>
      <c r="T151" s="16"/>
      <c r="AA151" s="87"/>
      <c r="AB151" s="88"/>
      <c r="AC151" s="28"/>
      <c r="AD151" s="16"/>
      <c r="AE151" s="16"/>
    </row>
    <row r="152" customFormat="false" ht="15.75" hidden="false" customHeight="false" outlineLevel="0" collapsed="false">
      <c r="A152" s="16" t="s">
        <v>42</v>
      </c>
      <c r="B152" s="16" t="s">
        <v>545</v>
      </c>
      <c r="C152" s="71" t="s">
        <v>852</v>
      </c>
      <c r="D152" s="16" t="s">
        <v>855</v>
      </c>
      <c r="E152" s="16" t="s">
        <v>856</v>
      </c>
      <c r="F152" s="16" t="n">
        <v>788.26</v>
      </c>
      <c r="G152" s="16" t="n">
        <v>36</v>
      </c>
      <c r="H152" s="16" t="n">
        <v>269</v>
      </c>
      <c r="I152" s="16" t="n">
        <v>137</v>
      </c>
      <c r="J152" s="16" t="n">
        <v>132</v>
      </c>
      <c r="K152" s="16" t="n">
        <v>135</v>
      </c>
      <c r="L152" s="19" t="n">
        <f aca="false">(K152/H152)*100</f>
        <v>50.185873605948</v>
      </c>
      <c r="M152" s="16" t="n">
        <v>13</v>
      </c>
      <c r="N152" s="19" t="n">
        <f aca="false">(M152/H152)*100</f>
        <v>4.83271375464684</v>
      </c>
      <c r="O152" s="88" t="n">
        <v>0</v>
      </c>
      <c r="P152" s="88" t="n">
        <v>0</v>
      </c>
      <c r="Q152" s="16"/>
      <c r="R152" s="87"/>
      <c r="T152" s="16"/>
      <c r="AA152" s="87"/>
      <c r="AB152" s="88"/>
      <c r="AC152" s="28"/>
      <c r="AD152" s="16"/>
      <c r="AE152" s="16"/>
    </row>
    <row r="153" customFormat="false" ht="15.75" hidden="false" customHeight="false" outlineLevel="0" collapsed="false">
      <c r="A153" s="16" t="s">
        <v>42</v>
      </c>
      <c r="B153" s="16" t="s">
        <v>545</v>
      </c>
      <c r="C153" s="71" t="s">
        <v>852</v>
      </c>
      <c r="D153" s="16" t="s">
        <v>857</v>
      </c>
      <c r="E153" s="16" t="s">
        <v>858</v>
      </c>
      <c r="F153" s="16" t="n">
        <v>2348.93</v>
      </c>
      <c r="G153" s="16" t="n">
        <v>106</v>
      </c>
      <c r="H153" s="16" t="n">
        <v>656</v>
      </c>
      <c r="I153" s="16" t="n">
        <v>360</v>
      </c>
      <c r="J153" s="16" t="n">
        <v>296</v>
      </c>
      <c r="K153" s="16" t="n">
        <v>239</v>
      </c>
      <c r="L153" s="19" t="n">
        <f aca="false">(K153/H153)*100</f>
        <v>36.4329268292683</v>
      </c>
      <c r="M153" s="16" t="n">
        <v>80</v>
      </c>
      <c r="N153" s="19" t="n">
        <f aca="false">(M153/H153)*100</f>
        <v>12.1951219512195</v>
      </c>
      <c r="O153" s="88" t="n">
        <v>0</v>
      </c>
      <c r="P153" s="88" t="n">
        <v>0</v>
      </c>
      <c r="Q153" s="16"/>
      <c r="R153" s="87"/>
      <c r="T153" s="16"/>
      <c r="AA153" s="87"/>
      <c r="AB153" s="88"/>
      <c r="AC153" s="28"/>
      <c r="AD153" s="16"/>
      <c r="AE153" s="16"/>
    </row>
    <row r="154" customFormat="false" ht="15.75" hidden="false" customHeight="false" outlineLevel="0" collapsed="false">
      <c r="A154" s="16" t="s">
        <v>42</v>
      </c>
      <c r="B154" s="16" t="s">
        <v>545</v>
      </c>
      <c r="C154" s="71" t="s">
        <v>852</v>
      </c>
      <c r="D154" s="16" t="s">
        <v>859</v>
      </c>
      <c r="E154" s="16" t="s">
        <v>860</v>
      </c>
      <c r="F154" s="16" t="n">
        <v>1218.67</v>
      </c>
      <c r="G154" s="16" t="n">
        <v>62</v>
      </c>
      <c r="H154" s="16" t="n">
        <v>358</v>
      </c>
      <c r="I154" s="16" t="n">
        <v>190</v>
      </c>
      <c r="J154" s="16" t="n">
        <v>168</v>
      </c>
      <c r="K154" s="16" t="n">
        <v>334</v>
      </c>
      <c r="L154" s="19" t="n">
        <f aca="false">(K154/H154)*100</f>
        <v>93.2960893854749</v>
      </c>
      <c r="M154" s="16" t="n">
        <v>0</v>
      </c>
      <c r="N154" s="19" t="n">
        <f aca="false">(M154/H154)*100</f>
        <v>0</v>
      </c>
      <c r="O154" s="88" t="n">
        <v>0</v>
      </c>
      <c r="P154" s="88" t="n">
        <v>0</v>
      </c>
      <c r="Q154" s="16"/>
      <c r="R154" s="87"/>
      <c r="T154" s="16"/>
      <c r="AA154" s="87"/>
      <c r="AB154" s="88"/>
      <c r="AC154" s="28"/>
      <c r="AD154" s="16"/>
      <c r="AE154" s="16"/>
    </row>
    <row r="155" customFormat="false" ht="15.75" hidden="false" customHeight="false" outlineLevel="0" collapsed="false">
      <c r="A155" s="16" t="s">
        <v>42</v>
      </c>
      <c r="B155" s="16" t="s">
        <v>545</v>
      </c>
      <c r="C155" s="71" t="s">
        <v>861</v>
      </c>
      <c r="D155" s="72" t="s">
        <v>862</v>
      </c>
      <c r="E155" s="16" t="s">
        <v>863</v>
      </c>
      <c r="F155" s="16" t="n">
        <v>797</v>
      </c>
      <c r="G155" s="16" t="n">
        <v>155</v>
      </c>
      <c r="H155" s="16" t="n">
        <v>1005</v>
      </c>
      <c r="I155" s="16" t="n">
        <v>496</v>
      </c>
      <c r="J155" s="16" t="n">
        <v>509</v>
      </c>
      <c r="K155" s="16" t="n">
        <v>0</v>
      </c>
      <c r="L155" s="19" t="n">
        <f aca="false">(K155/H155)*100</f>
        <v>0</v>
      </c>
      <c r="M155" s="16" t="n">
        <v>0</v>
      </c>
      <c r="N155" s="19" t="n">
        <f aca="false">(M155/H155)*100</f>
        <v>0</v>
      </c>
      <c r="O155" s="88" t="n">
        <v>0</v>
      </c>
      <c r="P155" s="88" t="n">
        <v>0</v>
      </c>
      <c r="Q155" s="129"/>
      <c r="R155" s="25" t="n">
        <v>45884</v>
      </c>
      <c r="T155" s="129" t="n">
        <v>0</v>
      </c>
      <c r="AA155" s="26" t="s">
        <v>50</v>
      </c>
      <c r="AB155" s="92" t="n">
        <v>0</v>
      </c>
      <c r="AC155" s="57"/>
      <c r="AD155" s="129"/>
      <c r="AE155" s="129"/>
    </row>
    <row r="156" customFormat="false" ht="15.75" hidden="false" customHeight="false" outlineLevel="0" collapsed="false">
      <c r="A156" s="16" t="s">
        <v>42</v>
      </c>
      <c r="B156" s="16" t="s">
        <v>545</v>
      </c>
      <c r="C156" s="71" t="s">
        <v>861</v>
      </c>
      <c r="D156" s="16" t="s">
        <v>864</v>
      </c>
      <c r="E156" s="16" t="s">
        <v>865</v>
      </c>
      <c r="F156" s="16" t="n">
        <v>1422</v>
      </c>
      <c r="G156" s="16" t="n">
        <v>113</v>
      </c>
      <c r="H156" s="16" t="n">
        <v>467</v>
      </c>
      <c r="I156" s="16" t="n">
        <v>255</v>
      </c>
      <c r="J156" s="16" t="n">
        <v>212</v>
      </c>
      <c r="K156" s="16" t="n">
        <v>0</v>
      </c>
      <c r="L156" s="19" t="n">
        <f aca="false">(K156/H156)*100</f>
        <v>0</v>
      </c>
      <c r="M156" s="16" t="n">
        <v>0</v>
      </c>
      <c r="N156" s="19" t="n">
        <f aca="false">(M156/H156)*100</f>
        <v>0</v>
      </c>
      <c r="O156" s="88" t="n">
        <v>0</v>
      </c>
      <c r="P156" s="88" t="n">
        <v>0</v>
      </c>
      <c r="Q156" s="129"/>
      <c r="R156" s="25" t="n">
        <v>45884</v>
      </c>
      <c r="T156" s="129" t="n">
        <v>0.8</v>
      </c>
      <c r="AA156" s="26" t="s">
        <v>50</v>
      </c>
      <c r="AB156" s="92" t="n">
        <v>0</v>
      </c>
      <c r="AC156" s="57"/>
      <c r="AD156" s="129"/>
      <c r="AE156" s="129"/>
    </row>
    <row r="157" customFormat="false" ht="15.75" hidden="false" customHeight="false" outlineLevel="0" collapsed="false">
      <c r="A157" s="16" t="s">
        <v>42</v>
      </c>
      <c r="B157" s="16" t="s">
        <v>545</v>
      </c>
      <c r="C157" s="71" t="s">
        <v>861</v>
      </c>
      <c r="D157" s="16" t="s">
        <v>866</v>
      </c>
      <c r="E157" s="16" t="s">
        <v>867</v>
      </c>
      <c r="F157" s="16" t="n">
        <v>1725</v>
      </c>
      <c r="G157" s="16" t="n">
        <v>168</v>
      </c>
      <c r="H157" s="16" t="n">
        <v>878</v>
      </c>
      <c r="I157" s="16" t="n">
        <v>451</v>
      </c>
      <c r="J157" s="16" t="n">
        <v>427</v>
      </c>
      <c r="K157" s="16" t="n">
        <v>88</v>
      </c>
      <c r="L157" s="19" t="n">
        <f aca="false">(K157/H157)*100</f>
        <v>10.0227790432802</v>
      </c>
      <c r="M157" s="16" t="n">
        <v>17</v>
      </c>
      <c r="N157" s="19" t="n">
        <f aca="false">(M157/H157)*100</f>
        <v>1.93621867881549</v>
      </c>
      <c r="O157" s="88" t="n">
        <v>48</v>
      </c>
      <c r="P157" s="88" t="n">
        <v>0</v>
      </c>
      <c r="Q157" s="129"/>
      <c r="R157" s="25" t="n">
        <v>45884</v>
      </c>
      <c r="T157" s="129" t="n">
        <v>50.46</v>
      </c>
      <c r="AA157" s="26" t="s">
        <v>50</v>
      </c>
      <c r="AB157" s="92" t="n">
        <v>0</v>
      </c>
      <c r="AC157" s="57"/>
      <c r="AD157" s="129"/>
      <c r="AE157" s="129"/>
    </row>
    <row r="158" customFormat="false" ht="15.75" hidden="false" customHeight="false" outlineLevel="0" collapsed="false">
      <c r="A158" s="16" t="s">
        <v>42</v>
      </c>
      <c r="B158" s="16" t="s">
        <v>545</v>
      </c>
      <c r="C158" s="71" t="s">
        <v>861</v>
      </c>
      <c r="D158" s="16" t="s">
        <v>868</v>
      </c>
      <c r="E158" s="16" t="s">
        <v>869</v>
      </c>
      <c r="F158" s="16" t="n">
        <v>1172</v>
      </c>
      <c r="G158" s="16" t="n">
        <v>100</v>
      </c>
      <c r="H158" s="16" t="n">
        <v>626</v>
      </c>
      <c r="I158" s="16" t="n">
        <v>338</v>
      </c>
      <c r="J158" s="16" t="n">
        <v>288</v>
      </c>
      <c r="K158" s="16" t="n">
        <v>8</v>
      </c>
      <c r="L158" s="19" t="n">
        <f aca="false">(K158/H158)*100</f>
        <v>1.2779552715655</v>
      </c>
      <c r="M158" s="16" t="n">
        <v>0</v>
      </c>
      <c r="N158" s="19" t="n">
        <f aca="false">(M158/H158)*100</f>
        <v>0</v>
      </c>
      <c r="O158" s="88" t="n">
        <v>0</v>
      </c>
      <c r="P158" s="88" t="n">
        <v>0</v>
      </c>
      <c r="Q158" s="129"/>
      <c r="R158" s="25" t="n">
        <v>45884</v>
      </c>
      <c r="T158" s="129" t="n">
        <v>8.09</v>
      </c>
      <c r="AA158" s="26" t="s">
        <v>50</v>
      </c>
      <c r="AB158" s="92" t="n">
        <v>0</v>
      </c>
      <c r="AC158" s="57"/>
      <c r="AD158" s="129"/>
      <c r="AE158" s="129"/>
    </row>
    <row r="159" customFormat="false" ht="15.75" hidden="false" customHeight="false" outlineLevel="0" collapsed="false">
      <c r="A159" s="16" t="s">
        <v>42</v>
      </c>
      <c r="B159" s="16" t="s">
        <v>545</v>
      </c>
      <c r="C159" s="71" t="s">
        <v>861</v>
      </c>
      <c r="D159" s="16" t="s">
        <v>870</v>
      </c>
      <c r="E159" s="16" t="s">
        <v>871</v>
      </c>
      <c r="F159" s="16" t="n">
        <v>1294</v>
      </c>
      <c r="G159" s="16" t="n">
        <v>41</v>
      </c>
      <c r="H159" s="16" t="n">
        <v>255</v>
      </c>
      <c r="I159" s="16" t="n">
        <v>133</v>
      </c>
      <c r="J159" s="16" t="n">
        <v>122</v>
      </c>
      <c r="K159" s="16" t="n">
        <v>0</v>
      </c>
      <c r="L159" s="19" t="n">
        <f aca="false">(K159/H159)*100</f>
        <v>0</v>
      </c>
      <c r="M159" s="16" t="n">
        <v>0</v>
      </c>
      <c r="N159" s="19" t="n">
        <f aca="false">(M159/H159)*100</f>
        <v>0</v>
      </c>
      <c r="O159" s="88" t="n">
        <v>0</v>
      </c>
      <c r="P159" s="88" t="n">
        <v>0</v>
      </c>
      <c r="Q159" s="129"/>
      <c r="R159" s="25" t="n">
        <v>45884</v>
      </c>
      <c r="T159" s="129" t="n">
        <v>0</v>
      </c>
      <c r="AA159" s="26" t="s">
        <v>50</v>
      </c>
      <c r="AB159" s="92" t="n">
        <v>0</v>
      </c>
      <c r="AC159" s="57"/>
      <c r="AD159" s="129"/>
      <c r="AE159" s="129"/>
    </row>
    <row r="160" customFormat="false" ht="15.75" hidden="false" customHeight="false" outlineLevel="0" collapsed="false">
      <c r="A160" s="16" t="s">
        <v>42</v>
      </c>
      <c r="B160" s="16" t="s">
        <v>545</v>
      </c>
      <c r="C160" s="71" t="s">
        <v>861</v>
      </c>
      <c r="D160" s="16" t="s">
        <v>872</v>
      </c>
      <c r="E160" s="16" t="s">
        <v>873</v>
      </c>
      <c r="F160" s="16" t="n">
        <v>988</v>
      </c>
      <c r="G160" s="16" t="n">
        <v>29</v>
      </c>
      <c r="H160" s="16" t="n">
        <v>142</v>
      </c>
      <c r="I160" s="16" t="n">
        <v>68</v>
      </c>
      <c r="J160" s="16" t="n">
        <v>74</v>
      </c>
      <c r="K160" s="16" t="n">
        <v>0</v>
      </c>
      <c r="L160" s="19" t="n">
        <f aca="false">(K160/H160)*100</f>
        <v>0</v>
      </c>
      <c r="M160" s="16" t="n">
        <v>0</v>
      </c>
      <c r="N160" s="19" t="n">
        <f aca="false">(M160/H160)*100</f>
        <v>0</v>
      </c>
      <c r="O160" s="88" t="n">
        <v>0</v>
      </c>
      <c r="P160" s="88" t="n">
        <v>0</v>
      </c>
      <c r="Q160" s="129"/>
      <c r="R160" s="25" t="n">
        <v>45884</v>
      </c>
      <c r="T160" s="129" t="n">
        <v>0</v>
      </c>
      <c r="AA160" s="26" t="s">
        <v>50</v>
      </c>
      <c r="AB160" s="92" t="n">
        <v>0</v>
      </c>
      <c r="AC160" s="57"/>
      <c r="AD160" s="129"/>
      <c r="AE160" s="129"/>
    </row>
    <row r="161" customFormat="false" ht="34.5" hidden="false" customHeight="false" outlineLevel="0" collapsed="false">
      <c r="A161" s="16" t="s">
        <v>42</v>
      </c>
      <c r="B161" s="16" t="s">
        <v>545</v>
      </c>
      <c r="C161" s="71" t="s">
        <v>874</v>
      </c>
      <c r="D161" s="72" t="s">
        <v>874</v>
      </c>
      <c r="E161" s="16" t="s">
        <v>875</v>
      </c>
      <c r="F161" s="16" t="n">
        <v>1350.67</v>
      </c>
      <c r="G161" s="16" t="n">
        <v>164</v>
      </c>
      <c r="H161" s="16" t="n">
        <v>747</v>
      </c>
      <c r="I161" s="16" t="n">
        <v>386</v>
      </c>
      <c r="J161" s="16" t="n">
        <v>361</v>
      </c>
      <c r="K161" s="16" t="n">
        <v>8</v>
      </c>
      <c r="L161" s="19" t="n">
        <f aca="false">(K161/H161)*100</f>
        <v>1.07095046854083</v>
      </c>
      <c r="M161" s="16" t="n">
        <v>5</v>
      </c>
      <c r="N161" s="19" t="n">
        <f aca="false">(M161/H161)*100</f>
        <v>0.669344042838019</v>
      </c>
      <c r="O161" s="88" t="n">
        <v>45</v>
      </c>
      <c r="P161" s="88" t="n">
        <v>0</v>
      </c>
      <c r="Q161" s="24" t="s">
        <v>49</v>
      </c>
      <c r="R161" s="25" t="n">
        <v>45884</v>
      </c>
      <c r="T161" s="24" t="n">
        <v>0</v>
      </c>
      <c r="AA161" s="26" t="s">
        <v>50</v>
      </c>
      <c r="AB161" s="92" t="n">
        <v>10</v>
      </c>
      <c r="AC161" s="29" t="s">
        <v>876</v>
      </c>
      <c r="AD161" s="24" t="n">
        <v>27.295855</v>
      </c>
      <c r="AE161" s="24" t="n">
        <v>72.382198</v>
      </c>
    </row>
    <row r="162" customFormat="false" ht="15.75" hidden="false" customHeight="false" outlineLevel="0" collapsed="false">
      <c r="A162" s="16" t="s">
        <v>42</v>
      </c>
      <c r="B162" s="16" t="s">
        <v>545</v>
      </c>
      <c r="C162" s="71" t="s">
        <v>874</v>
      </c>
      <c r="D162" s="16" t="s">
        <v>877</v>
      </c>
      <c r="E162" s="16" t="s">
        <v>878</v>
      </c>
      <c r="F162" s="16" t="n">
        <v>771.49</v>
      </c>
      <c r="G162" s="16" t="n">
        <v>107</v>
      </c>
      <c r="H162" s="16" t="n">
        <v>546</v>
      </c>
      <c r="I162" s="16" t="n">
        <v>284</v>
      </c>
      <c r="J162" s="16" t="n">
        <v>262</v>
      </c>
      <c r="K162" s="16" t="n">
        <v>0</v>
      </c>
      <c r="L162" s="19" t="n">
        <f aca="false">(K162/H162)*100</f>
        <v>0</v>
      </c>
      <c r="M162" s="16" t="n">
        <v>0</v>
      </c>
      <c r="N162" s="19" t="n">
        <f aca="false">(M162/H162)*100</f>
        <v>0</v>
      </c>
      <c r="O162" s="88" t="n">
        <v>0</v>
      </c>
      <c r="P162" s="88" t="n">
        <v>0</v>
      </c>
      <c r="Q162" s="24" t="s">
        <v>49</v>
      </c>
      <c r="R162" s="25" t="n">
        <v>45884</v>
      </c>
      <c r="T162" s="24" t="n">
        <v>0</v>
      </c>
      <c r="AA162" s="26" t="s">
        <v>50</v>
      </c>
      <c r="AB162" s="92" t="n">
        <v>0</v>
      </c>
      <c r="AC162" s="57"/>
      <c r="AD162" s="24"/>
      <c r="AE162" s="24"/>
    </row>
    <row r="163" customFormat="false" ht="15.75" hidden="false" customHeight="false" outlineLevel="0" collapsed="false">
      <c r="A163" s="16" t="s">
        <v>42</v>
      </c>
      <c r="B163" s="16" t="s">
        <v>545</v>
      </c>
      <c r="C163" s="71" t="s">
        <v>874</v>
      </c>
      <c r="D163" s="16" t="s">
        <v>879</v>
      </c>
      <c r="E163" s="16" t="s">
        <v>880</v>
      </c>
      <c r="F163" s="16" t="n">
        <v>615.93</v>
      </c>
      <c r="G163" s="16" t="n">
        <v>83</v>
      </c>
      <c r="H163" s="16" t="n">
        <v>452</v>
      </c>
      <c r="I163" s="16" t="n">
        <v>237</v>
      </c>
      <c r="J163" s="16" t="n">
        <v>215</v>
      </c>
      <c r="K163" s="16" t="n">
        <v>0</v>
      </c>
      <c r="L163" s="19" t="n">
        <f aca="false">(K163/H163)*100</f>
        <v>0</v>
      </c>
      <c r="M163" s="16" t="n">
        <v>0</v>
      </c>
      <c r="N163" s="19" t="n">
        <f aca="false">(M163/H163)*100</f>
        <v>0</v>
      </c>
      <c r="O163" s="88" t="n">
        <v>0</v>
      </c>
      <c r="P163" s="88" t="n">
        <v>0</v>
      </c>
      <c r="Q163" s="24" t="s">
        <v>49</v>
      </c>
      <c r="R163" s="25" t="n">
        <v>45884</v>
      </c>
      <c r="T163" s="24" t="n">
        <v>0</v>
      </c>
      <c r="AA163" s="26" t="s">
        <v>50</v>
      </c>
      <c r="AB163" s="92" t="n">
        <v>0</v>
      </c>
      <c r="AC163" s="57"/>
      <c r="AD163" s="24"/>
      <c r="AE163" s="24"/>
    </row>
    <row r="164" customFormat="false" ht="15.75" hidden="false" customHeight="false" outlineLevel="0" collapsed="false">
      <c r="A164" s="16" t="s">
        <v>42</v>
      </c>
      <c r="B164" s="16" t="s">
        <v>545</v>
      </c>
      <c r="C164" s="71" t="s">
        <v>874</v>
      </c>
      <c r="D164" s="16" t="s">
        <v>881</v>
      </c>
      <c r="E164" s="16" t="s">
        <v>882</v>
      </c>
      <c r="F164" s="16" t="n">
        <v>957.64</v>
      </c>
      <c r="G164" s="16" t="n">
        <v>54</v>
      </c>
      <c r="H164" s="16" t="n">
        <v>279</v>
      </c>
      <c r="I164" s="16" t="n">
        <v>148</v>
      </c>
      <c r="J164" s="16" t="n">
        <v>131</v>
      </c>
      <c r="K164" s="16" t="n">
        <v>110</v>
      </c>
      <c r="L164" s="19" t="n">
        <f aca="false">(K164/H164)*100</f>
        <v>39.426523297491</v>
      </c>
      <c r="M164" s="16" t="n">
        <v>0</v>
      </c>
      <c r="N164" s="19" t="n">
        <f aca="false">(M164/H164)*100</f>
        <v>0</v>
      </c>
      <c r="O164" s="88" t="n">
        <v>0</v>
      </c>
      <c r="P164" s="88" t="n">
        <v>0</v>
      </c>
      <c r="Q164" s="24" t="s">
        <v>49</v>
      </c>
      <c r="R164" s="25" t="n">
        <v>45884</v>
      </c>
      <c r="T164" s="24" t="n">
        <v>0</v>
      </c>
      <c r="AA164" s="26" t="s">
        <v>50</v>
      </c>
      <c r="AB164" s="92" t="n">
        <v>0</v>
      </c>
      <c r="AC164" s="57"/>
      <c r="AD164" s="24"/>
      <c r="AE164" s="24"/>
    </row>
    <row r="165" customFormat="false" ht="34.5" hidden="false" customHeight="false" outlineLevel="0" collapsed="false">
      <c r="A165" s="16"/>
      <c r="B165" s="16"/>
      <c r="C165" s="71"/>
      <c r="D165" s="16"/>
      <c r="E165" s="16"/>
      <c r="F165" s="16"/>
      <c r="G165" s="16"/>
      <c r="H165" s="16"/>
      <c r="I165" s="16"/>
      <c r="J165" s="16"/>
      <c r="K165" s="16"/>
      <c r="L165" s="19" t="e">
        <f aca="false">(K165/H165)*100</f>
        <v>#DIV/0!</v>
      </c>
      <c r="M165" s="16"/>
      <c r="N165" s="19" t="e">
        <f aca="false">(M165/H165)*100</f>
        <v>#DIV/0!</v>
      </c>
      <c r="O165" s="88"/>
      <c r="P165" s="88"/>
      <c r="Q165" s="24" t="s">
        <v>49</v>
      </c>
      <c r="R165" s="25" t="n">
        <v>45884</v>
      </c>
      <c r="T165" s="24" t="n">
        <v>0</v>
      </c>
      <c r="AA165" s="26" t="s">
        <v>50</v>
      </c>
      <c r="AB165" s="92" t="n">
        <v>15</v>
      </c>
      <c r="AC165" s="29" t="s">
        <v>883</v>
      </c>
      <c r="AD165" s="24" t="n">
        <v>27.498773</v>
      </c>
      <c r="AE165" s="24" t="n">
        <v>72.609536</v>
      </c>
    </row>
    <row r="166" customFormat="false" ht="34.5" hidden="false" customHeight="false" outlineLevel="0" collapsed="false">
      <c r="A166" s="16" t="s">
        <v>42</v>
      </c>
      <c r="B166" s="16" t="s">
        <v>545</v>
      </c>
      <c r="C166" s="71" t="s">
        <v>884</v>
      </c>
      <c r="D166" s="72" t="s">
        <v>884</v>
      </c>
      <c r="E166" s="16" t="s">
        <v>885</v>
      </c>
      <c r="F166" s="16" t="n">
        <v>1504</v>
      </c>
      <c r="G166" s="16" t="n">
        <v>93</v>
      </c>
      <c r="H166" s="16" t="n">
        <v>497</v>
      </c>
      <c r="I166" s="16" t="n">
        <v>255</v>
      </c>
      <c r="J166" s="16" t="n">
        <v>242</v>
      </c>
      <c r="K166" s="16" t="n">
        <v>0</v>
      </c>
      <c r="L166" s="19" t="n">
        <f aca="false">(K166/H166)*100</f>
        <v>0</v>
      </c>
      <c r="M166" s="16" t="n">
        <v>0</v>
      </c>
      <c r="N166" s="19" t="n">
        <f aca="false">(M166/H166)*100</f>
        <v>0</v>
      </c>
      <c r="O166" s="88" t="n">
        <v>113</v>
      </c>
      <c r="P166" s="88" t="n">
        <v>0</v>
      </c>
      <c r="Q166" s="53" t="s">
        <v>49</v>
      </c>
      <c r="R166" s="46" t="n">
        <v>45797</v>
      </c>
      <c r="T166" s="45" t="n">
        <v>109.83</v>
      </c>
      <c r="AA166" s="47" t="s">
        <v>50</v>
      </c>
      <c r="AB166" s="119" t="n">
        <v>10</v>
      </c>
      <c r="AC166" s="120" t="s">
        <v>886</v>
      </c>
      <c r="AD166" s="45"/>
      <c r="AE166" s="45"/>
    </row>
    <row r="167" customFormat="false" ht="34.5" hidden="false" customHeight="false" outlineLevel="0" collapsed="false">
      <c r="A167" s="16"/>
      <c r="B167" s="16"/>
      <c r="C167" s="71"/>
      <c r="D167" s="72"/>
      <c r="E167" s="16"/>
      <c r="F167" s="16"/>
      <c r="G167" s="16"/>
      <c r="H167" s="16"/>
      <c r="I167" s="16"/>
      <c r="J167" s="16"/>
      <c r="K167" s="16"/>
      <c r="L167" s="19" t="e">
        <f aca="false">(K167/H167)*100</f>
        <v>#DIV/0!</v>
      </c>
      <c r="M167" s="16"/>
      <c r="N167" s="19" t="e">
        <f aca="false">(M167/H167)*100</f>
        <v>#DIV/0!</v>
      </c>
      <c r="O167" s="88"/>
      <c r="P167" s="88"/>
      <c r="Q167" s="121" t="s">
        <v>49</v>
      </c>
      <c r="R167" s="122"/>
      <c r="T167" s="123"/>
      <c r="AA167" s="124" t="s">
        <v>50</v>
      </c>
      <c r="AB167" s="125" t="n">
        <v>10</v>
      </c>
      <c r="AC167" s="126" t="s">
        <v>887</v>
      </c>
      <c r="AD167" s="123"/>
      <c r="AE167" s="123"/>
    </row>
    <row r="168" customFormat="false" ht="34.5" hidden="false" customHeight="false" outlineLevel="0" collapsed="false">
      <c r="A168" s="16" t="s">
        <v>42</v>
      </c>
      <c r="B168" s="16" t="s">
        <v>545</v>
      </c>
      <c r="C168" s="71" t="s">
        <v>884</v>
      </c>
      <c r="D168" s="16" t="s">
        <v>888</v>
      </c>
      <c r="E168" s="16" t="s">
        <v>889</v>
      </c>
      <c r="F168" s="16" t="n">
        <v>1334</v>
      </c>
      <c r="G168" s="16" t="n">
        <v>58</v>
      </c>
      <c r="H168" s="16" t="n">
        <v>349</v>
      </c>
      <c r="I168" s="16" t="n">
        <v>164</v>
      </c>
      <c r="J168" s="16" t="n">
        <v>185</v>
      </c>
      <c r="K168" s="16" t="n">
        <v>0</v>
      </c>
      <c r="L168" s="19" t="n">
        <f aca="false">(K168/H168)*100</f>
        <v>0</v>
      </c>
      <c r="M168" s="16" t="n">
        <v>0</v>
      </c>
      <c r="N168" s="19" t="n">
        <f aca="false">(M168/H168)*100</f>
        <v>0</v>
      </c>
      <c r="O168" s="88" t="n">
        <v>2</v>
      </c>
      <c r="P168" s="88" t="n">
        <v>0</v>
      </c>
      <c r="Q168" s="53" t="s">
        <v>49</v>
      </c>
      <c r="R168" s="154" t="n">
        <v>45797</v>
      </c>
      <c r="T168" s="131" t="n">
        <v>0</v>
      </c>
      <c r="AA168" s="47" t="s">
        <v>50</v>
      </c>
      <c r="AB168" s="56" t="n">
        <v>3</v>
      </c>
      <c r="AC168" s="127" t="s">
        <v>890</v>
      </c>
      <c r="AD168" s="131"/>
      <c r="AE168" s="131"/>
    </row>
    <row r="169" customFormat="false" ht="15.75" hidden="false" customHeight="false" outlineLevel="0" collapsed="false">
      <c r="A169" s="16" t="s">
        <v>42</v>
      </c>
      <c r="B169" s="16" t="s">
        <v>545</v>
      </c>
      <c r="C169" s="71" t="s">
        <v>884</v>
      </c>
      <c r="D169" s="16" t="s">
        <v>891</v>
      </c>
      <c r="E169" s="16" t="s">
        <v>892</v>
      </c>
      <c r="F169" s="16" t="n">
        <v>1554</v>
      </c>
      <c r="G169" s="16" t="n">
        <v>75</v>
      </c>
      <c r="H169" s="16" t="n">
        <v>349</v>
      </c>
      <c r="I169" s="16" t="n">
        <v>182</v>
      </c>
      <c r="J169" s="16" t="n">
        <v>167</v>
      </c>
      <c r="K169" s="16" t="n">
        <v>0</v>
      </c>
      <c r="L169" s="19" t="n">
        <f aca="false">(K169/H169)*100</f>
        <v>0</v>
      </c>
      <c r="M169" s="16" t="n">
        <v>0</v>
      </c>
      <c r="N169" s="19" t="n">
        <f aca="false">(M169/H169)*100</f>
        <v>0</v>
      </c>
      <c r="O169" s="88" t="n">
        <v>0</v>
      </c>
      <c r="P169" s="88" t="n">
        <v>0</v>
      </c>
      <c r="Q169" s="53" t="s">
        <v>49</v>
      </c>
      <c r="R169" s="154" t="n">
        <v>45797</v>
      </c>
      <c r="T169" s="131" t="n">
        <v>0.32</v>
      </c>
      <c r="AA169" s="47" t="s">
        <v>50</v>
      </c>
      <c r="AB169" s="56"/>
      <c r="AC169" s="37"/>
      <c r="AD169" s="131"/>
      <c r="AE169" s="131"/>
    </row>
    <row r="170" customFormat="false" ht="15.75" hidden="false" customHeight="false" outlineLevel="0" collapsed="false">
      <c r="A170" s="16" t="s">
        <v>42</v>
      </c>
      <c r="B170" s="16" t="s">
        <v>545</v>
      </c>
      <c r="C170" s="71" t="s">
        <v>884</v>
      </c>
      <c r="D170" s="16" t="s">
        <v>893</v>
      </c>
      <c r="E170" s="16" t="s">
        <v>894</v>
      </c>
      <c r="F170" s="16" t="n">
        <v>1326</v>
      </c>
      <c r="G170" s="16" t="n">
        <v>78</v>
      </c>
      <c r="H170" s="16" t="n">
        <v>465</v>
      </c>
      <c r="I170" s="16" t="n">
        <v>250</v>
      </c>
      <c r="J170" s="16" t="n">
        <v>215</v>
      </c>
      <c r="K170" s="16" t="n">
        <v>0</v>
      </c>
      <c r="L170" s="19" t="n">
        <f aca="false">(K170/H170)*100</f>
        <v>0</v>
      </c>
      <c r="M170" s="16" t="n">
        <v>0</v>
      </c>
      <c r="N170" s="19" t="n">
        <f aca="false">(M170/H170)*100</f>
        <v>0</v>
      </c>
      <c r="O170" s="88" t="n">
        <v>0</v>
      </c>
      <c r="P170" s="88" t="n">
        <v>0</v>
      </c>
      <c r="Q170" s="53" t="s">
        <v>49</v>
      </c>
      <c r="R170" s="154" t="n">
        <v>45797</v>
      </c>
      <c r="T170" s="131" t="n">
        <v>0</v>
      </c>
      <c r="AA170" s="47" t="s">
        <v>50</v>
      </c>
      <c r="AB170" s="56" t="n">
        <v>1</v>
      </c>
      <c r="AC170" s="37"/>
      <c r="AD170" s="131"/>
      <c r="AE170" s="131"/>
    </row>
    <row r="171" customFormat="false" ht="34.5" hidden="false" customHeight="false" outlineLevel="0" collapsed="false">
      <c r="A171" s="16" t="s">
        <v>42</v>
      </c>
      <c r="B171" s="16" t="s">
        <v>545</v>
      </c>
      <c r="C171" s="71" t="s">
        <v>884</v>
      </c>
      <c r="D171" s="16" t="s">
        <v>537</v>
      </c>
      <c r="E171" s="16" t="s">
        <v>895</v>
      </c>
      <c r="F171" s="16" t="n">
        <v>470</v>
      </c>
      <c r="G171" s="16" t="n">
        <v>66</v>
      </c>
      <c r="H171" s="16" t="n">
        <v>338</v>
      </c>
      <c r="I171" s="16" t="n">
        <v>178</v>
      </c>
      <c r="J171" s="16" t="n">
        <v>160</v>
      </c>
      <c r="K171" s="16" t="n">
        <v>0</v>
      </c>
      <c r="L171" s="19" t="n">
        <f aca="false">(K171/H171)*100</f>
        <v>0</v>
      </c>
      <c r="M171" s="16" t="n">
        <v>0</v>
      </c>
      <c r="N171" s="19" t="n">
        <f aca="false">(M171/H171)*100</f>
        <v>0</v>
      </c>
      <c r="O171" s="88" t="n">
        <v>0</v>
      </c>
      <c r="P171" s="88" t="n">
        <v>0</v>
      </c>
      <c r="Q171" s="53" t="s">
        <v>49</v>
      </c>
      <c r="R171" s="154" t="n">
        <v>45797</v>
      </c>
      <c r="T171" s="131" t="n">
        <v>0</v>
      </c>
      <c r="AA171" s="47" t="s">
        <v>50</v>
      </c>
      <c r="AB171" s="56" t="n">
        <v>12</v>
      </c>
      <c r="AC171" s="127" t="s">
        <v>896</v>
      </c>
      <c r="AD171" s="131"/>
      <c r="AE171" s="131"/>
    </row>
    <row r="172" customFormat="false" ht="34.5" hidden="false" customHeight="false" outlineLevel="0" collapsed="false">
      <c r="A172" s="16" t="s">
        <v>42</v>
      </c>
      <c r="B172" s="16" t="s">
        <v>545</v>
      </c>
      <c r="C172" s="71" t="s">
        <v>897</v>
      </c>
      <c r="D172" s="72" t="s">
        <v>898</v>
      </c>
      <c r="E172" s="16" t="s">
        <v>899</v>
      </c>
      <c r="F172" s="16" t="n">
        <v>4063</v>
      </c>
      <c r="G172" s="16" t="n">
        <v>390</v>
      </c>
      <c r="H172" s="16" t="n">
        <v>2438</v>
      </c>
      <c r="I172" s="16" t="n">
        <v>1277</v>
      </c>
      <c r="J172" s="16" t="n">
        <v>1161</v>
      </c>
      <c r="K172" s="16" t="n">
        <v>704</v>
      </c>
      <c r="L172" s="19" t="n">
        <f aca="false">(K172/H172)*100</f>
        <v>28.876127973749</v>
      </c>
      <c r="M172" s="16" t="n">
        <v>47</v>
      </c>
      <c r="N172" s="19" t="n">
        <f aca="false">(M172/H172)*100</f>
        <v>1.92780968006563</v>
      </c>
      <c r="O172" s="88" t="n">
        <v>785</v>
      </c>
      <c r="P172" s="88" t="n">
        <v>0</v>
      </c>
      <c r="Q172" s="24" t="s">
        <v>49</v>
      </c>
      <c r="R172" s="25" t="n">
        <v>45884</v>
      </c>
      <c r="T172" s="24" t="n">
        <v>183.04</v>
      </c>
      <c r="AA172" s="26" t="s">
        <v>50</v>
      </c>
      <c r="AB172" s="92" t="n">
        <v>5</v>
      </c>
      <c r="AC172" s="29" t="s">
        <v>900</v>
      </c>
      <c r="AD172" s="24" t="n">
        <v>27.201742</v>
      </c>
      <c r="AE172" s="24" t="n">
        <v>71.99977</v>
      </c>
    </row>
    <row r="173" customFormat="false" ht="34.5" hidden="false" customHeight="false" outlineLevel="0" collapsed="false">
      <c r="A173" s="16"/>
      <c r="B173" s="16"/>
      <c r="C173" s="71"/>
      <c r="D173" s="72"/>
      <c r="E173" s="16"/>
      <c r="F173" s="16"/>
      <c r="G173" s="16"/>
      <c r="H173" s="16"/>
      <c r="I173" s="16"/>
      <c r="J173" s="16"/>
      <c r="K173" s="16"/>
      <c r="L173" s="19" t="e">
        <f aca="false">(K173/H173)*100</f>
        <v>#DIV/0!</v>
      </c>
      <c r="M173" s="16"/>
      <c r="N173" s="19" t="e">
        <f aca="false">(M173/H173)*100</f>
        <v>#DIV/0!</v>
      </c>
      <c r="O173" s="88"/>
      <c r="P173" s="88"/>
      <c r="Q173" s="30" t="s">
        <v>49</v>
      </c>
      <c r="R173" s="31" t="n">
        <v>45884</v>
      </c>
      <c r="T173" s="30"/>
      <c r="AA173" s="32" t="s">
        <v>50</v>
      </c>
      <c r="AB173" s="150" t="n">
        <v>10</v>
      </c>
      <c r="AC173" s="152" t="s">
        <v>901</v>
      </c>
      <c r="AD173" s="30" t="n">
        <v>27.199599</v>
      </c>
      <c r="AE173" s="30" t="n">
        <v>71.970262</v>
      </c>
    </row>
    <row r="174" customFormat="false" ht="15.75" hidden="false" customHeight="false" outlineLevel="0" collapsed="false">
      <c r="A174" s="16" t="s">
        <v>42</v>
      </c>
      <c r="B174" s="16" t="s">
        <v>545</v>
      </c>
      <c r="C174" s="71" t="s">
        <v>897</v>
      </c>
      <c r="D174" s="16" t="s">
        <v>902</v>
      </c>
      <c r="E174" s="16" t="s">
        <v>903</v>
      </c>
      <c r="F174" s="16" t="n">
        <v>747</v>
      </c>
      <c r="G174" s="16" t="n">
        <v>34</v>
      </c>
      <c r="H174" s="16" t="n">
        <v>220</v>
      </c>
      <c r="I174" s="16" t="n">
        <v>117</v>
      </c>
      <c r="J174" s="16" t="n">
        <v>103</v>
      </c>
      <c r="K174" s="16" t="n">
        <v>30</v>
      </c>
      <c r="L174" s="19" t="n">
        <f aca="false">(K174/H174)*100</f>
        <v>13.6363636363636</v>
      </c>
      <c r="M174" s="16" t="n">
        <v>0</v>
      </c>
      <c r="N174" s="19" t="n">
        <f aca="false">(M174/H174)*100</f>
        <v>0</v>
      </c>
      <c r="O174" s="88" t="n">
        <v>0</v>
      </c>
      <c r="P174" s="88" t="n">
        <v>0</v>
      </c>
      <c r="Q174" s="24" t="s">
        <v>49</v>
      </c>
      <c r="R174" s="25" t="n">
        <v>45884</v>
      </c>
      <c r="T174" s="21" t="n">
        <v>0</v>
      </c>
      <c r="AA174" s="26" t="s">
        <v>50</v>
      </c>
      <c r="AB174" s="89" t="n">
        <v>0</v>
      </c>
      <c r="AC174" s="36"/>
      <c r="AD174" s="20"/>
      <c r="AE174" s="21"/>
    </row>
    <row r="175" customFormat="false" ht="15.75" hidden="false" customHeight="false" outlineLevel="0" collapsed="false">
      <c r="A175" s="16" t="s">
        <v>42</v>
      </c>
      <c r="B175" s="16" t="s">
        <v>545</v>
      </c>
      <c r="C175" s="71" t="s">
        <v>897</v>
      </c>
      <c r="D175" s="16" t="s">
        <v>904</v>
      </c>
      <c r="E175" s="16" t="s">
        <v>905</v>
      </c>
      <c r="F175" s="16" t="n">
        <v>2399</v>
      </c>
      <c r="G175" s="16" t="n">
        <v>62</v>
      </c>
      <c r="H175" s="16" t="n">
        <v>427</v>
      </c>
      <c r="I175" s="16" t="n">
        <v>223</v>
      </c>
      <c r="J175" s="16" t="n">
        <v>204</v>
      </c>
      <c r="K175" s="16" t="n">
        <v>62</v>
      </c>
      <c r="L175" s="19" t="n">
        <f aca="false">(K175/H175)*100</f>
        <v>14.519906323185</v>
      </c>
      <c r="M175" s="16" t="n">
        <v>0</v>
      </c>
      <c r="N175" s="19" t="n">
        <f aca="false">(M175/H175)*100</f>
        <v>0</v>
      </c>
      <c r="O175" s="88" t="n">
        <v>163</v>
      </c>
      <c r="P175" s="88" t="n">
        <v>0</v>
      </c>
      <c r="Q175" s="24" t="s">
        <v>49</v>
      </c>
      <c r="R175" s="25" t="n">
        <v>45884</v>
      </c>
      <c r="T175" s="20" t="n">
        <v>0</v>
      </c>
      <c r="AA175" s="26" t="s">
        <v>50</v>
      </c>
      <c r="AB175" s="89" t="n">
        <v>0</v>
      </c>
      <c r="AC175" s="36"/>
      <c r="AD175" s="20"/>
      <c r="AE175" s="20"/>
    </row>
    <row r="176" customFormat="false" ht="34.5" hidden="false" customHeight="false" outlineLevel="0" collapsed="false">
      <c r="A176" s="16" t="s">
        <v>42</v>
      </c>
      <c r="B176" s="16" t="s">
        <v>545</v>
      </c>
      <c r="C176" s="71" t="s">
        <v>897</v>
      </c>
      <c r="D176" s="16" t="s">
        <v>906</v>
      </c>
      <c r="E176" s="16" t="s">
        <v>907</v>
      </c>
      <c r="F176" s="16" t="n">
        <v>830</v>
      </c>
      <c r="G176" s="16" t="n">
        <v>76</v>
      </c>
      <c r="H176" s="16" t="n">
        <v>438</v>
      </c>
      <c r="I176" s="16" t="n">
        <v>223</v>
      </c>
      <c r="J176" s="16" t="n">
        <v>215</v>
      </c>
      <c r="K176" s="16" t="n">
        <v>0</v>
      </c>
      <c r="L176" s="19" t="n">
        <f aca="false">(K176/H176)*100</f>
        <v>0</v>
      </c>
      <c r="M176" s="16" t="n">
        <v>0</v>
      </c>
      <c r="N176" s="19" t="n">
        <f aca="false">(M176/H176)*100</f>
        <v>0</v>
      </c>
      <c r="O176" s="88" t="n">
        <v>141</v>
      </c>
      <c r="P176" s="88" t="n">
        <v>0</v>
      </c>
      <c r="Q176" s="24" t="s">
        <v>49</v>
      </c>
      <c r="R176" s="25" t="n">
        <v>45884</v>
      </c>
      <c r="T176" s="26" t="s">
        <v>908</v>
      </c>
      <c r="AA176" s="26" t="s">
        <v>50</v>
      </c>
      <c r="AB176" s="92" t="n">
        <v>10</v>
      </c>
      <c r="AC176" s="130" t="s">
        <v>909</v>
      </c>
      <c r="AD176" s="24" t="n">
        <v>27.207546</v>
      </c>
      <c r="AE176" s="26" t="n">
        <v>71.997173</v>
      </c>
    </row>
    <row r="177" customFormat="false" ht="31.5" hidden="false" customHeight="false" outlineLevel="0" collapsed="false">
      <c r="A177" s="16" t="s">
        <v>42</v>
      </c>
      <c r="B177" s="16" t="s">
        <v>545</v>
      </c>
      <c r="C177" s="71" t="s">
        <v>910</v>
      </c>
      <c r="D177" s="72" t="s">
        <v>911</v>
      </c>
      <c r="E177" s="16" t="s">
        <v>912</v>
      </c>
      <c r="F177" s="16" t="n">
        <v>1600</v>
      </c>
      <c r="G177" s="16" t="n">
        <v>182</v>
      </c>
      <c r="H177" s="16" t="n">
        <v>1085</v>
      </c>
      <c r="I177" s="16" t="n">
        <v>594</v>
      </c>
      <c r="J177" s="16" t="n">
        <v>491</v>
      </c>
      <c r="K177" s="16" t="n">
        <v>61</v>
      </c>
      <c r="L177" s="19" t="n">
        <f aca="false">(K177/H177)*100</f>
        <v>5.6221198156682</v>
      </c>
      <c r="M177" s="16" t="n">
        <v>0</v>
      </c>
      <c r="N177" s="19" t="n">
        <f aca="false">(M177/H177)*100</f>
        <v>0</v>
      </c>
      <c r="O177" s="88" t="n">
        <v>334</v>
      </c>
      <c r="P177" s="88" t="n">
        <v>0</v>
      </c>
      <c r="Q177" s="20" t="s">
        <v>49</v>
      </c>
      <c r="R177" s="34" t="n">
        <v>45662</v>
      </c>
      <c r="T177" s="20" t="n">
        <v>325.68</v>
      </c>
      <c r="AA177" s="86" t="n">
        <v>18</v>
      </c>
      <c r="AB177" s="89" t="n">
        <v>0</v>
      </c>
      <c r="AC177" s="90" t="s">
        <v>913</v>
      </c>
      <c r="AD177" s="20"/>
      <c r="AE177" s="20"/>
    </row>
    <row r="178" customFormat="false" ht="31.5" hidden="false" customHeight="false" outlineLevel="0" collapsed="false">
      <c r="A178" s="16" t="s">
        <v>42</v>
      </c>
      <c r="B178" s="16" t="s">
        <v>545</v>
      </c>
      <c r="C178" s="71" t="s">
        <v>910</v>
      </c>
      <c r="D178" s="16" t="s">
        <v>914</v>
      </c>
      <c r="E178" s="16" t="s">
        <v>915</v>
      </c>
      <c r="F178" s="16" t="n">
        <v>1583</v>
      </c>
      <c r="G178" s="16" t="n">
        <v>119</v>
      </c>
      <c r="H178" s="16" t="n">
        <v>697</v>
      </c>
      <c r="I178" s="16" t="n">
        <v>380</v>
      </c>
      <c r="J178" s="16" t="n">
        <v>317</v>
      </c>
      <c r="K178" s="16" t="n">
        <v>215</v>
      </c>
      <c r="L178" s="19" t="n">
        <f aca="false">(K178/H178)*100</f>
        <v>30.8464849354376</v>
      </c>
      <c r="M178" s="16" t="n">
        <v>0</v>
      </c>
      <c r="N178" s="19" t="n">
        <f aca="false">(M178/H178)*100</f>
        <v>0</v>
      </c>
      <c r="O178" s="88" t="n">
        <v>46</v>
      </c>
      <c r="P178" s="88" t="n">
        <v>0</v>
      </c>
      <c r="Q178" s="20" t="s">
        <v>49</v>
      </c>
      <c r="R178" s="34" t="n">
        <v>45662</v>
      </c>
      <c r="T178" s="20" t="n">
        <v>47.73</v>
      </c>
      <c r="AA178" s="86" t="n">
        <v>20</v>
      </c>
      <c r="AB178" s="89" t="n">
        <v>0</v>
      </c>
      <c r="AC178" s="90" t="s">
        <v>916</v>
      </c>
      <c r="AD178" s="20"/>
      <c r="AE178" s="20"/>
    </row>
    <row r="179" customFormat="false" ht="31.5" hidden="false" customHeight="false" outlineLevel="0" collapsed="false">
      <c r="A179" s="16" t="s">
        <v>42</v>
      </c>
      <c r="B179" s="16" t="s">
        <v>545</v>
      </c>
      <c r="C179" s="71" t="s">
        <v>910</v>
      </c>
      <c r="D179" s="16" t="s">
        <v>917</v>
      </c>
      <c r="E179" s="16" t="s">
        <v>918</v>
      </c>
      <c r="F179" s="16" t="n">
        <v>3032</v>
      </c>
      <c r="G179" s="16" t="n">
        <v>126</v>
      </c>
      <c r="H179" s="16" t="n">
        <v>640</v>
      </c>
      <c r="I179" s="16" t="n">
        <v>320</v>
      </c>
      <c r="J179" s="16" t="n">
        <v>320</v>
      </c>
      <c r="K179" s="16" t="n">
        <v>241</v>
      </c>
      <c r="L179" s="19" t="n">
        <f aca="false">(K179/H179)*100</f>
        <v>37.65625</v>
      </c>
      <c r="M179" s="16" t="n">
        <v>0</v>
      </c>
      <c r="N179" s="19" t="n">
        <f aca="false">(M179/H179)*100</f>
        <v>0</v>
      </c>
      <c r="O179" s="88" t="n">
        <v>635</v>
      </c>
      <c r="P179" s="88" t="n">
        <v>0</v>
      </c>
      <c r="Q179" s="20" t="s">
        <v>49</v>
      </c>
      <c r="R179" s="34" t="n">
        <v>45662</v>
      </c>
      <c r="T179" s="20" t="n">
        <v>756.44</v>
      </c>
      <c r="AA179" s="86" t="n">
        <v>10</v>
      </c>
      <c r="AB179" s="89" t="n">
        <v>0</v>
      </c>
      <c r="AC179" s="90" t="s">
        <v>919</v>
      </c>
      <c r="AD179" s="20"/>
      <c r="AE179" s="20"/>
    </row>
    <row r="180" customFormat="false" ht="17.25" hidden="false" customHeight="false" outlineLevel="0" collapsed="false">
      <c r="A180" s="16" t="s">
        <v>42</v>
      </c>
      <c r="B180" s="16" t="s">
        <v>545</v>
      </c>
      <c r="C180" s="71" t="s">
        <v>920</v>
      </c>
      <c r="D180" s="72" t="s">
        <v>920</v>
      </c>
      <c r="E180" s="16" t="s">
        <v>921</v>
      </c>
      <c r="F180" s="16" t="n">
        <v>7581</v>
      </c>
      <c r="G180" s="16" t="n">
        <v>406</v>
      </c>
      <c r="H180" s="16" t="n">
        <v>2283</v>
      </c>
      <c r="I180" s="16" t="n">
        <v>1189</v>
      </c>
      <c r="J180" s="16" t="n">
        <v>1094</v>
      </c>
      <c r="K180" s="16" t="n">
        <v>699</v>
      </c>
      <c r="L180" s="19" t="n">
        <f aca="false">(K180/H180)*100</f>
        <v>30.6176084099869</v>
      </c>
      <c r="M180" s="16" t="n">
        <v>0</v>
      </c>
      <c r="N180" s="19" t="n">
        <f aca="false">(M180/H180)*100</f>
        <v>0</v>
      </c>
      <c r="O180" s="88" t="n">
        <v>362</v>
      </c>
      <c r="P180" s="88" t="n">
        <v>0</v>
      </c>
      <c r="Q180" s="53" t="s">
        <v>49</v>
      </c>
      <c r="R180" s="46" t="n">
        <v>45884</v>
      </c>
      <c r="T180" s="45" t="n">
        <v>490.11</v>
      </c>
      <c r="AA180" s="47" t="s">
        <v>50</v>
      </c>
      <c r="AB180" s="119" t="n">
        <v>25</v>
      </c>
      <c r="AC180" s="127" t="s">
        <v>922</v>
      </c>
      <c r="AD180" s="45"/>
      <c r="AE180" s="45"/>
    </row>
    <row r="181" customFormat="false" ht="34.5" hidden="false" customHeight="false" outlineLevel="0" collapsed="false">
      <c r="A181" s="16"/>
      <c r="B181" s="16"/>
      <c r="C181" s="71"/>
      <c r="D181" s="72"/>
      <c r="E181" s="16"/>
      <c r="F181" s="16"/>
      <c r="G181" s="16"/>
      <c r="H181" s="16"/>
      <c r="I181" s="16"/>
      <c r="J181" s="16"/>
      <c r="K181" s="16"/>
      <c r="M181" s="16"/>
      <c r="O181" s="88"/>
      <c r="P181" s="88"/>
      <c r="Q181" s="121" t="s">
        <v>49</v>
      </c>
      <c r="R181" s="122" t="n">
        <v>45884</v>
      </c>
      <c r="AA181" s="124" t="s">
        <v>50</v>
      </c>
      <c r="AB181" s="125" t="n">
        <v>25</v>
      </c>
      <c r="AC181" s="126" t="s">
        <v>923</v>
      </c>
      <c r="AD181" s="123"/>
      <c r="AE181" s="123"/>
    </row>
    <row r="182" customFormat="false" ht="17.2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M182" s="16"/>
      <c r="O182" s="88"/>
      <c r="P182" s="88"/>
      <c r="Q182" s="121" t="s">
        <v>49</v>
      </c>
      <c r="R182" s="122" t="n">
        <v>45884</v>
      </c>
      <c r="AA182" s="124" t="s">
        <v>50</v>
      </c>
      <c r="AB182" s="125" t="n">
        <v>23</v>
      </c>
      <c r="AC182" s="126" t="s">
        <v>924</v>
      </c>
      <c r="AD182" s="123"/>
      <c r="AE182" s="123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6" t="n">
        <f aca="false">SUM(F4:F182)</f>
        <v>292883.6</v>
      </c>
      <c r="G183" s="16" t="n">
        <f aca="false">SUM(G4:G182)</f>
        <v>18653</v>
      </c>
      <c r="H183" s="16" t="n">
        <f aca="false">SUM(H4:H182)</f>
        <v>108802</v>
      </c>
      <c r="I183" s="16" t="n">
        <f aca="false">SUM(I4:I182)</f>
        <v>57269</v>
      </c>
      <c r="J183" s="16" t="n">
        <f aca="false">SUM(J4:J182)</f>
        <v>51533</v>
      </c>
      <c r="K183" s="16" t="n">
        <f aca="false">SUM(K4:K182)</f>
        <v>18019</v>
      </c>
      <c r="M183" s="16" t="n">
        <f aca="false">SUM(M4:M182)</f>
        <v>3939</v>
      </c>
      <c r="O183" s="88" t="n">
        <f aca="false">SUM(O4:O182)</f>
        <v>29339.52</v>
      </c>
      <c r="P183" s="88" t="n">
        <f aca="false">SUM(P4:P182)</f>
        <v>74.31</v>
      </c>
    </row>
  </sheetData>
  <mergeCells count="3">
    <mergeCell ref="K2:L2"/>
    <mergeCell ref="M2:N2"/>
    <mergeCell ref="AD2:AE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AE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AB3" activePane="bottomRight" state="frozen"/>
      <selection pane="topLeft" activeCell="A1" activeCellId="0" sqref="A1"/>
      <selection pane="topRight" activeCell="AB1" activeCellId="0" sqref="AB1"/>
      <selection pane="bottomLeft" activeCell="A3" activeCellId="0" sqref="A3"/>
      <selection pane="bottomRight" activeCell="AD1" activeCellId="0" sqref="AD1"/>
    </sheetView>
  </sheetViews>
  <sheetFormatPr defaultColWidth="9.14453125" defaultRowHeight="15" zeroHeight="false" outlineLevelRow="0" outlineLevelCol="0"/>
  <cols>
    <col collapsed="false" customWidth="true" hidden="false" outlineLevel="0" max="1" min="1" style="60" width="13"/>
    <col collapsed="false" customWidth="true" hidden="false" outlineLevel="0" max="2" min="2" style="60" width="11.43"/>
    <col collapsed="false" customWidth="true" hidden="false" outlineLevel="0" max="3" min="3" style="60" width="30"/>
    <col collapsed="false" customWidth="true" hidden="false" outlineLevel="0" max="4" min="4" style="60" width="20"/>
    <col collapsed="false" customWidth="true" hidden="false" outlineLevel="0" max="5" min="5" style="60" width="20.28"/>
    <col collapsed="false" customWidth="true" hidden="false" outlineLevel="0" max="6" min="6" style="60" width="18.28"/>
    <col collapsed="false" customWidth="true" hidden="false" outlineLevel="0" max="7" min="7" style="60" width="11.43"/>
    <col collapsed="false" customWidth="true" hidden="false" outlineLevel="0" max="8" min="8" style="60" width="14.85"/>
    <col collapsed="false" customWidth="true" hidden="false" outlineLevel="0" max="9" min="9" style="60" width="8.14"/>
    <col collapsed="false" customWidth="true" hidden="false" outlineLevel="0" max="10" min="10" style="60" width="10"/>
    <col collapsed="false" customWidth="true" hidden="false" outlineLevel="0" max="11" min="11" style="60" width="12.57"/>
    <col collapsed="false" customWidth="true" hidden="false" outlineLevel="0" max="12" min="12" style="60" width="10.57"/>
    <col collapsed="false" customWidth="true" hidden="false" outlineLevel="0" max="13" min="13" style="60" width="12.57"/>
    <col collapsed="false" customWidth="true" hidden="false" outlineLevel="0" max="14" min="14" style="60" width="10.71"/>
    <col collapsed="false" customWidth="true" hidden="false" outlineLevel="0" max="15" min="15" style="60" width="11.14"/>
    <col collapsed="false" customWidth="true" hidden="false" outlineLevel="0" max="16" min="16" style="60" width="12.57"/>
    <col collapsed="false" customWidth="true" hidden="false" outlineLevel="0" max="17" min="17" style="60" width="14.14"/>
    <col collapsed="false" customWidth="true" hidden="false" outlineLevel="0" max="20" min="18" style="60" width="15.57"/>
    <col collapsed="false" customWidth="true" hidden="false" outlineLevel="0" max="26" min="21" style="60" width="17"/>
    <col collapsed="false" customWidth="true" hidden="false" outlineLevel="0" max="27" min="27" style="63" width="13.71"/>
    <col collapsed="false" customWidth="true" hidden="false" outlineLevel="0" max="28" min="28" style="63" width="13"/>
    <col collapsed="false" customWidth="true" hidden="false" outlineLevel="0" max="29" min="29" style="159" width="55.57"/>
    <col collapsed="false" customWidth="true" hidden="false" outlineLevel="0" max="31" min="30" style="60" width="13.57"/>
    <col collapsed="false" customWidth="false" hidden="false" outlineLevel="0" max="1024" min="32" style="60" width="9.14"/>
  </cols>
  <sheetData>
    <row r="1" customFormat="false" ht="15" hidden="false" customHeight="false" outlineLevel="0" collapsed="false">
      <c r="Q1" s="3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5" t="s">
        <v>3</v>
      </c>
      <c r="AA1" s="5" t="s">
        <v>3</v>
      </c>
      <c r="AB1" s="5" t="s">
        <v>3</v>
      </c>
      <c r="AC1" s="160" t="s">
        <v>3</v>
      </c>
      <c r="AD1" s="5" t="s">
        <v>3</v>
      </c>
      <c r="AE1" s="5" t="s">
        <v>3</v>
      </c>
    </row>
    <row r="2" s="164" customFormat="true" ht="131.25" hidden="false" customHeight="true" outlineLevel="0" collapsed="false">
      <c r="A2" s="161" t="s">
        <v>4</v>
      </c>
      <c r="B2" s="161" t="s">
        <v>5</v>
      </c>
      <c r="C2" s="161" t="s">
        <v>6</v>
      </c>
      <c r="D2" s="161" t="s">
        <v>7</v>
      </c>
      <c r="E2" s="161" t="s">
        <v>8</v>
      </c>
      <c r="F2" s="161" t="s">
        <v>9</v>
      </c>
      <c r="G2" s="161" t="s">
        <v>10</v>
      </c>
      <c r="H2" s="161" t="s">
        <v>11</v>
      </c>
      <c r="I2" s="161" t="s">
        <v>12</v>
      </c>
      <c r="J2" s="161" t="s">
        <v>13</v>
      </c>
      <c r="K2" s="161" t="s">
        <v>14</v>
      </c>
      <c r="L2" s="161"/>
      <c r="M2" s="161" t="s">
        <v>15</v>
      </c>
      <c r="N2" s="161"/>
      <c r="O2" s="8" t="s">
        <v>16</v>
      </c>
      <c r="P2" s="162" t="s">
        <v>17</v>
      </c>
      <c r="Q2" s="9" t="s">
        <v>18</v>
      </c>
      <c r="R2" s="9" t="s">
        <v>19</v>
      </c>
      <c r="S2" s="9" t="s">
        <v>20</v>
      </c>
      <c r="T2" s="10" t="s">
        <v>21</v>
      </c>
      <c r="U2" s="9" t="s">
        <v>22</v>
      </c>
      <c r="V2" s="10" t="s">
        <v>23</v>
      </c>
      <c r="W2" s="9" t="s">
        <v>24</v>
      </c>
      <c r="X2" s="9" t="s">
        <v>25</v>
      </c>
      <c r="Y2" s="10" t="s">
        <v>26</v>
      </c>
      <c r="Z2" s="10" t="s">
        <v>27</v>
      </c>
      <c r="AA2" s="66" t="s">
        <v>28</v>
      </c>
      <c r="AB2" s="10" t="s">
        <v>29</v>
      </c>
      <c r="AC2" s="10" t="s">
        <v>30</v>
      </c>
      <c r="AD2" s="163" t="s">
        <v>31</v>
      </c>
      <c r="AE2" s="163"/>
    </row>
    <row r="3" s="61" customFormat="true" ht="42" hidden="false" customHeight="false" outlineLevel="0" collapsed="false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4" t="s">
        <v>33</v>
      </c>
      <c r="L3" s="14" t="s">
        <v>34</v>
      </c>
      <c r="M3" s="14" t="s">
        <v>33</v>
      </c>
      <c r="N3" s="14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14" t="s">
        <v>38</v>
      </c>
      <c r="V3" s="14" t="s">
        <v>36</v>
      </c>
      <c r="W3" s="15" t="s">
        <v>36</v>
      </c>
      <c r="X3" s="15" t="s">
        <v>36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66" t="s">
        <v>40</v>
      </c>
      <c r="AE3" s="166" t="s">
        <v>41</v>
      </c>
    </row>
    <row r="4" s="61" customFormat="true" ht="17.25" hidden="false" customHeight="false" outlineLevel="0" collapsed="false">
      <c r="A4" s="113" t="s">
        <v>42</v>
      </c>
      <c r="B4" s="113" t="s">
        <v>925</v>
      </c>
      <c r="C4" s="113" t="s">
        <v>925</v>
      </c>
      <c r="D4" s="113" t="s">
        <v>926</v>
      </c>
      <c r="E4" s="113" t="s">
        <v>927</v>
      </c>
      <c r="F4" s="113" t="n">
        <v>4053.41</v>
      </c>
      <c r="G4" s="113" t="n">
        <v>519</v>
      </c>
      <c r="H4" s="113" t="n">
        <v>3467</v>
      </c>
      <c r="I4" s="113" t="n">
        <v>1786</v>
      </c>
      <c r="J4" s="113" t="n">
        <v>1681</v>
      </c>
      <c r="K4" s="113" t="n">
        <v>568</v>
      </c>
      <c r="L4" s="19" t="n">
        <f aca="false">(K4/H4)*100</f>
        <v>16.3830400922988</v>
      </c>
      <c r="M4" s="113" t="n">
        <v>110</v>
      </c>
      <c r="N4" s="19" t="n">
        <f aca="false">(M4/H4)*100</f>
        <v>3.17277184886069</v>
      </c>
      <c r="O4" s="113" t="n">
        <v>470.01</v>
      </c>
      <c r="P4" s="113" t="n">
        <v>0</v>
      </c>
      <c r="Q4" s="167" t="s">
        <v>49</v>
      </c>
      <c r="R4" s="168" t="n">
        <v>45332</v>
      </c>
      <c r="S4" s="168"/>
      <c r="T4" s="169" t="n">
        <v>951.1196</v>
      </c>
      <c r="U4" s="113"/>
      <c r="V4" s="113"/>
      <c r="W4" s="113"/>
      <c r="X4" s="113"/>
      <c r="Y4" s="113"/>
      <c r="Z4" s="113"/>
      <c r="AA4" s="169" t="s">
        <v>50</v>
      </c>
      <c r="AB4" s="169" t="n">
        <v>5</v>
      </c>
      <c r="AC4" s="170" t="s">
        <v>928</v>
      </c>
      <c r="AD4" s="84" t="n">
        <v>26.990823</v>
      </c>
      <c r="AE4" s="84" t="n">
        <v>72.990871</v>
      </c>
    </row>
    <row r="5" customFormat="false" ht="15.75" hidden="false" customHeight="false" outlineLevel="0" collapsed="false">
      <c r="A5" s="77"/>
      <c r="B5" s="77"/>
      <c r="C5" s="113"/>
      <c r="D5" s="171"/>
      <c r="E5" s="77"/>
      <c r="F5" s="77"/>
      <c r="G5" s="77"/>
      <c r="H5" s="77"/>
      <c r="I5" s="77"/>
      <c r="J5" s="77"/>
      <c r="K5" s="77"/>
      <c r="L5" s="19"/>
      <c r="M5" s="77"/>
      <c r="N5" s="19"/>
      <c r="O5" s="77"/>
      <c r="P5" s="77"/>
      <c r="Q5" s="172"/>
      <c r="R5" s="173"/>
      <c r="S5" s="173"/>
      <c r="T5" s="174"/>
      <c r="U5" s="77"/>
      <c r="V5" s="77"/>
      <c r="W5" s="77"/>
      <c r="X5" s="77"/>
      <c r="Y5" s="77"/>
      <c r="Z5" s="77"/>
      <c r="AA5" s="174" t="s">
        <v>50</v>
      </c>
      <c r="AB5" s="174" t="n">
        <v>15</v>
      </c>
      <c r="AC5" s="175" t="s">
        <v>929</v>
      </c>
      <c r="AD5" s="176" t="n">
        <v>26.988815</v>
      </c>
      <c r="AE5" s="176" t="n">
        <v>72.991304</v>
      </c>
    </row>
    <row r="6" customFormat="false" ht="15.75" hidden="false" customHeight="false" outlineLevel="0" collapsed="false">
      <c r="A6" s="77"/>
      <c r="B6" s="77"/>
      <c r="C6" s="113"/>
      <c r="D6" s="171"/>
      <c r="E6" s="77"/>
      <c r="F6" s="77"/>
      <c r="G6" s="77"/>
      <c r="H6" s="77"/>
      <c r="I6" s="77"/>
      <c r="J6" s="77"/>
      <c r="K6" s="77"/>
      <c r="L6" s="19"/>
      <c r="M6" s="77"/>
      <c r="N6" s="19"/>
      <c r="O6" s="77"/>
      <c r="P6" s="77"/>
      <c r="Q6" s="172"/>
      <c r="R6" s="173"/>
      <c r="S6" s="173"/>
      <c r="T6" s="174"/>
      <c r="U6" s="77"/>
      <c r="V6" s="77"/>
      <c r="W6" s="77"/>
      <c r="X6" s="77"/>
      <c r="Y6" s="77"/>
      <c r="Z6" s="77"/>
      <c r="AA6" s="174" t="s">
        <v>50</v>
      </c>
      <c r="AB6" s="174" t="n">
        <v>20</v>
      </c>
      <c r="AC6" s="175" t="s">
        <v>930</v>
      </c>
      <c r="AD6" s="176" t="n">
        <v>26.986317</v>
      </c>
      <c r="AE6" s="176" t="n">
        <v>72.994019</v>
      </c>
    </row>
    <row r="7" customFormat="false" ht="15.75" hidden="false" customHeight="false" outlineLevel="0" collapsed="false">
      <c r="A7" s="77"/>
      <c r="B7" s="77"/>
      <c r="C7" s="113"/>
      <c r="D7" s="171"/>
      <c r="E7" s="77"/>
      <c r="F7" s="77"/>
      <c r="G7" s="77"/>
      <c r="H7" s="77"/>
      <c r="I7" s="77"/>
      <c r="J7" s="77"/>
      <c r="K7" s="77"/>
      <c r="L7" s="19"/>
      <c r="M7" s="77"/>
      <c r="N7" s="19"/>
      <c r="O7" s="77"/>
      <c r="P7" s="77"/>
      <c r="Q7" s="172"/>
      <c r="R7" s="173"/>
      <c r="S7" s="173"/>
      <c r="T7" s="174"/>
      <c r="U7" s="77"/>
      <c r="V7" s="77"/>
      <c r="W7" s="77"/>
      <c r="X7" s="77"/>
      <c r="Y7" s="77"/>
      <c r="Z7" s="77"/>
      <c r="AA7" s="174" t="s">
        <v>50</v>
      </c>
      <c r="AB7" s="174" t="n">
        <v>18</v>
      </c>
      <c r="AC7" s="175" t="s">
        <v>931</v>
      </c>
      <c r="AD7" s="176" t="n">
        <v>26.998431</v>
      </c>
      <c r="AE7" s="176" t="n">
        <v>72.991789</v>
      </c>
    </row>
    <row r="8" customFormat="false" ht="15.75" hidden="false" customHeight="false" outlineLevel="0" collapsed="false">
      <c r="A8" s="77"/>
      <c r="B8" s="77"/>
      <c r="C8" s="113"/>
      <c r="D8" s="171"/>
      <c r="E8" s="77"/>
      <c r="F8" s="77"/>
      <c r="G8" s="77"/>
      <c r="H8" s="77"/>
      <c r="I8" s="77"/>
      <c r="J8" s="77"/>
      <c r="K8" s="77"/>
      <c r="L8" s="19"/>
      <c r="M8" s="77"/>
      <c r="N8" s="19"/>
      <c r="O8" s="77"/>
      <c r="P8" s="77"/>
      <c r="Q8" s="172"/>
      <c r="R8" s="173"/>
      <c r="S8" s="173"/>
      <c r="T8" s="174"/>
      <c r="U8" s="77"/>
      <c r="V8" s="77"/>
      <c r="W8" s="77"/>
      <c r="X8" s="77"/>
      <c r="Y8" s="77"/>
      <c r="Z8" s="77"/>
      <c r="AA8" s="174" t="s">
        <v>50</v>
      </c>
      <c r="AB8" s="174" t="n">
        <v>25</v>
      </c>
      <c r="AC8" s="177" t="s">
        <v>932</v>
      </c>
      <c r="AD8" s="174" t="n">
        <v>26.98279</v>
      </c>
      <c r="AE8" s="176" t="n">
        <v>73.000605</v>
      </c>
    </row>
    <row r="9" customFormat="false" ht="15.75" hidden="false" customHeight="false" outlineLevel="0" collapsed="false">
      <c r="A9" s="77" t="s">
        <v>42</v>
      </c>
      <c r="B9" s="77" t="s">
        <v>925</v>
      </c>
      <c r="C9" s="113" t="s">
        <v>933</v>
      </c>
      <c r="D9" s="171" t="s">
        <v>933</v>
      </c>
      <c r="E9" s="77" t="s">
        <v>934</v>
      </c>
      <c r="F9" s="77" t="n">
        <v>3248.57</v>
      </c>
      <c r="G9" s="77" t="n">
        <v>587</v>
      </c>
      <c r="H9" s="77" t="n">
        <v>3808</v>
      </c>
      <c r="I9" s="77" t="n">
        <v>1961</v>
      </c>
      <c r="J9" s="77" t="n">
        <v>1847</v>
      </c>
      <c r="K9" s="77" t="n">
        <v>1010</v>
      </c>
      <c r="L9" s="19" t="n">
        <f aca="false">(K9/H9)*100</f>
        <v>26.5231092436975</v>
      </c>
      <c r="M9" s="77" t="n">
        <v>441</v>
      </c>
      <c r="N9" s="19" t="n">
        <f aca="false">(M9/H9)*100</f>
        <v>11.5808823529412</v>
      </c>
      <c r="O9" s="77" t="n">
        <v>101.11</v>
      </c>
      <c r="P9" s="77" t="n">
        <v>0</v>
      </c>
      <c r="Q9" s="172"/>
      <c r="R9" s="173"/>
      <c r="S9" s="173"/>
      <c r="T9" s="174"/>
      <c r="U9" s="77"/>
      <c r="V9" s="77"/>
      <c r="W9" s="77"/>
      <c r="X9" s="77"/>
      <c r="Y9" s="77"/>
      <c r="Z9" s="77"/>
      <c r="AA9" s="174" t="s">
        <v>50</v>
      </c>
      <c r="AB9" s="174" t="n">
        <v>22</v>
      </c>
      <c r="AC9" s="175" t="s">
        <v>935</v>
      </c>
      <c r="AD9" s="174" t="n">
        <v>26.991832</v>
      </c>
      <c r="AE9" s="174" t="n">
        <v>73.001141</v>
      </c>
    </row>
    <row r="10" customFormat="false" ht="37.5" hidden="false" customHeight="false" outlineLevel="0" collapsed="false">
      <c r="A10" s="77" t="s">
        <v>42</v>
      </c>
      <c r="B10" s="77" t="s">
        <v>925</v>
      </c>
      <c r="C10" s="113" t="s">
        <v>936</v>
      </c>
      <c r="D10" s="171" t="s">
        <v>937</v>
      </c>
      <c r="E10" s="77" t="s">
        <v>938</v>
      </c>
      <c r="F10" s="77" t="n">
        <v>1744.45</v>
      </c>
      <c r="G10" s="77" t="n">
        <v>406</v>
      </c>
      <c r="H10" s="77" t="n">
        <v>2777</v>
      </c>
      <c r="I10" s="77" t="n">
        <v>1459</v>
      </c>
      <c r="J10" s="77" t="n">
        <v>1318</v>
      </c>
      <c r="K10" s="77" t="n">
        <v>1048</v>
      </c>
      <c r="L10" s="19" t="n">
        <f aca="false">(K10/H10)*100</f>
        <v>37.7385667987036</v>
      </c>
      <c r="M10" s="77" t="n">
        <v>0</v>
      </c>
      <c r="N10" s="19" t="n">
        <f aca="false">(M10/H10)*100</f>
        <v>0</v>
      </c>
      <c r="O10" s="77" t="n">
        <v>365.1</v>
      </c>
      <c r="P10" s="77" t="n">
        <v>0</v>
      </c>
      <c r="Q10" s="178" t="s">
        <v>49</v>
      </c>
      <c r="R10" s="179" t="n">
        <v>45498</v>
      </c>
      <c r="S10" s="179"/>
      <c r="T10" s="180" t="n">
        <v>202.8281</v>
      </c>
      <c r="U10" s="77"/>
      <c r="V10" s="77"/>
      <c r="W10" s="77"/>
      <c r="X10" s="77"/>
      <c r="Y10" s="77"/>
      <c r="Z10" s="77"/>
      <c r="AA10" s="180" t="s">
        <v>50</v>
      </c>
      <c r="AB10" s="181" t="n">
        <v>25</v>
      </c>
      <c r="AC10" s="182" t="s">
        <v>939</v>
      </c>
      <c r="AD10" s="183" t="n">
        <v>27.048259</v>
      </c>
      <c r="AE10" s="183" t="n">
        <v>72.93951</v>
      </c>
    </row>
    <row r="11" customFormat="false" ht="37.5" hidden="false" customHeight="false" outlineLevel="0" collapsed="false">
      <c r="A11" s="77"/>
      <c r="B11" s="77"/>
      <c r="C11" s="113"/>
      <c r="D11" s="171"/>
      <c r="E11" s="77"/>
      <c r="F11" s="77"/>
      <c r="G11" s="77"/>
      <c r="H11" s="77"/>
      <c r="I11" s="77"/>
      <c r="J11" s="77"/>
      <c r="K11" s="77"/>
      <c r="L11" s="19"/>
      <c r="M11" s="77"/>
      <c r="N11" s="19"/>
      <c r="O11" s="77"/>
      <c r="P11" s="77"/>
      <c r="Q11" s="184" t="s">
        <v>49</v>
      </c>
      <c r="R11" s="184"/>
      <c r="S11" s="184"/>
      <c r="T11" s="185"/>
      <c r="U11" s="77"/>
      <c r="V11" s="77"/>
      <c r="W11" s="77"/>
      <c r="X11" s="77"/>
      <c r="Y11" s="77"/>
      <c r="Z11" s="77"/>
      <c r="AA11" s="185" t="s">
        <v>50</v>
      </c>
      <c r="AB11" s="186" t="n">
        <v>20</v>
      </c>
      <c r="AC11" s="187" t="s">
        <v>940</v>
      </c>
      <c r="AD11" s="188" t="n">
        <v>27.060413</v>
      </c>
      <c r="AE11" s="188" t="n">
        <v>72.959457</v>
      </c>
    </row>
    <row r="12" customFormat="false" ht="18.75" hidden="false" customHeight="false" outlineLevel="0" collapsed="false">
      <c r="A12" s="77"/>
      <c r="B12" s="77"/>
      <c r="C12" s="113"/>
      <c r="D12" s="171"/>
      <c r="E12" s="77"/>
      <c r="F12" s="77"/>
      <c r="G12" s="77"/>
      <c r="H12" s="77"/>
      <c r="I12" s="77"/>
      <c r="J12" s="77"/>
      <c r="K12" s="77"/>
      <c r="L12" s="19"/>
      <c r="M12" s="77"/>
      <c r="N12" s="19"/>
      <c r="O12" s="77"/>
      <c r="P12" s="77"/>
      <c r="Q12" s="184" t="s">
        <v>49</v>
      </c>
      <c r="R12" s="184"/>
      <c r="S12" s="184"/>
      <c r="T12" s="185"/>
      <c r="U12" s="77"/>
      <c r="V12" s="77"/>
      <c r="W12" s="77"/>
      <c r="X12" s="77"/>
      <c r="Y12" s="77"/>
      <c r="Z12" s="77"/>
      <c r="AA12" s="185" t="s">
        <v>50</v>
      </c>
      <c r="AB12" s="186" t="n">
        <v>20</v>
      </c>
      <c r="AC12" s="187" t="s">
        <v>941</v>
      </c>
      <c r="AD12" s="188" t="n">
        <v>27.049521</v>
      </c>
      <c r="AE12" s="188" t="n">
        <v>72.880042</v>
      </c>
    </row>
    <row r="13" customFormat="false" ht="18.75" hidden="false" customHeight="false" outlineLevel="0" collapsed="false">
      <c r="A13" s="77"/>
      <c r="B13" s="77"/>
      <c r="C13" s="113"/>
      <c r="D13" s="171"/>
      <c r="E13" s="77"/>
      <c r="F13" s="77"/>
      <c r="G13" s="77"/>
      <c r="H13" s="77"/>
      <c r="I13" s="77"/>
      <c r="J13" s="77"/>
      <c r="K13" s="77"/>
      <c r="L13" s="19"/>
      <c r="M13" s="77"/>
      <c r="N13" s="19"/>
      <c r="O13" s="77"/>
      <c r="P13" s="77"/>
      <c r="Q13" s="184" t="s">
        <v>49</v>
      </c>
      <c r="R13" s="184"/>
      <c r="S13" s="184"/>
      <c r="T13" s="185"/>
      <c r="U13" s="77"/>
      <c r="V13" s="77"/>
      <c r="W13" s="77"/>
      <c r="X13" s="77"/>
      <c r="Y13" s="77"/>
      <c r="Z13" s="77"/>
      <c r="AA13" s="185" t="s">
        <v>50</v>
      </c>
      <c r="AB13" s="186" t="n">
        <v>25</v>
      </c>
      <c r="AC13" s="187" t="s">
        <v>942</v>
      </c>
      <c r="AD13" s="188" t="n">
        <v>27.060544</v>
      </c>
      <c r="AE13" s="188" t="n">
        <v>72.958956</v>
      </c>
    </row>
    <row r="14" customFormat="false" ht="37.5" hidden="false" customHeight="false" outlineLevel="0" collapsed="false">
      <c r="A14" s="77"/>
      <c r="B14" s="77"/>
      <c r="C14" s="113"/>
      <c r="D14" s="171"/>
      <c r="E14" s="77"/>
      <c r="F14" s="77"/>
      <c r="G14" s="77"/>
      <c r="H14" s="77"/>
      <c r="I14" s="77"/>
      <c r="J14" s="77"/>
      <c r="K14" s="77"/>
      <c r="L14" s="19"/>
      <c r="M14" s="77"/>
      <c r="N14" s="19"/>
      <c r="O14" s="77"/>
      <c r="P14" s="77"/>
      <c r="Q14" s="184" t="s">
        <v>49</v>
      </c>
      <c r="R14" s="184"/>
      <c r="S14" s="184"/>
      <c r="T14" s="185"/>
      <c r="U14" s="77"/>
      <c r="V14" s="77"/>
      <c r="W14" s="77"/>
      <c r="X14" s="77"/>
      <c r="Y14" s="77"/>
      <c r="Z14" s="77"/>
      <c r="AA14" s="185" t="s">
        <v>50</v>
      </c>
      <c r="AB14" s="186" t="n">
        <v>22</v>
      </c>
      <c r="AC14" s="187" t="s">
        <v>943</v>
      </c>
      <c r="AD14" s="188" t="n">
        <v>27.049389</v>
      </c>
      <c r="AE14" s="188" t="n">
        <v>72.882618</v>
      </c>
    </row>
    <row r="15" customFormat="false" ht="37.5" hidden="false" customHeight="false" outlineLevel="0" collapsed="false">
      <c r="A15" s="77"/>
      <c r="B15" s="77"/>
      <c r="C15" s="113"/>
      <c r="D15" s="171"/>
      <c r="E15" s="77"/>
      <c r="F15" s="77"/>
      <c r="G15" s="77"/>
      <c r="H15" s="77"/>
      <c r="I15" s="77"/>
      <c r="J15" s="77"/>
      <c r="K15" s="77"/>
      <c r="L15" s="19"/>
      <c r="M15" s="77"/>
      <c r="N15" s="19"/>
      <c r="O15" s="77"/>
      <c r="P15" s="77"/>
      <c r="Q15" s="184" t="s">
        <v>49</v>
      </c>
      <c r="R15" s="184"/>
      <c r="S15" s="184"/>
      <c r="T15" s="185"/>
      <c r="U15" s="77"/>
      <c r="V15" s="77"/>
      <c r="W15" s="77"/>
      <c r="X15" s="77"/>
      <c r="Y15" s="77"/>
      <c r="Z15" s="77"/>
      <c r="AA15" s="185" t="s">
        <v>50</v>
      </c>
      <c r="AB15" s="186" t="n">
        <v>15</v>
      </c>
      <c r="AC15" s="187" t="s">
        <v>944</v>
      </c>
      <c r="AD15" s="188" t="n">
        <v>27.051016</v>
      </c>
      <c r="AE15" s="188" t="n">
        <v>72.926823</v>
      </c>
    </row>
    <row r="16" customFormat="false" ht="37.5" hidden="false" customHeight="false" outlineLevel="0" collapsed="false">
      <c r="A16" s="77"/>
      <c r="B16" s="77"/>
      <c r="C16" s="113"/>
      <c r="D16" s="171"/>
      <c r="E16" s="77"/>
      <c r="F16" s="77"/>
      <c r="G16" s="77"/>
      <c r="H16" s="77"/>
      <c r="I16" s="77"/>
      <c r="J16" s="77"/>
      <c r="K16" s="77"/>
      <c r="L16" s="19"/>
      <c r="M16" s="77"/>
      <c r="N16" s="19"/>
      <c r="O16" s="77"/>
      <c r="P16" s="77"/>
      <c r="Q16" s="184" t="s">
        <v>49</v>
      </c>
      <c r="R16" s="184"/>
      <c r="S16" s="184"/>
      <c r="T16" s="185"/>
      <c r="U16" s="77"/>
      <c r="V16" s="77"/>
      <c r="W16" s="77"/>
      <c r="X16" s="77"/>
      <c r="Y16" s="77"/>
      <c r="Z16" s="77"/>
      <c r="AA16" s="185" t="s">
        <v>50</v>
      </c>
      <c r="AB16" s="186" t="n">
        <v>25</v>
      </c>
      <c r="AC16" s="187" t="s">
        <v>945</v>
      </c>
      <c r="AD16" s="188" t="n">
        <v>27.052065</v>
      </c>
      <c r="AE16" s="188" t="n">
        <v>72.919581</v>
      </c>
    </row>
    <row r="17" customFormat="false" ht="37.5" hidden="false" customHeight="false" outlineLevel="0" collapsed="false">
      <c r="A17" s="77" t="s">
        <v>42</v>
      </c>
      <c r="B17" s="77" t="s">
        <v>925</v>
      </c>
      <c r="C17" s="113" t="s">
        <v>946</v>
      </c>
      <c r="D17" s="171" t="s">
        <v>947</v>
      </c>
      <c r="E17" s="77" t="s">
        <v>948</v>
      </c>
      <c r="F17" s="77" t="n">
        <v>2439.79</v>
      </c>
      <c r="G17" s="77" t="n">
        <v>420</v>
      </c>
      <c r="H17" s="77" t="n">
        <v>2554</v>
      </c>
      <c r="I17" s="77" t="n">
        <v>1363</v>
      </c>
      <c r="J17" s="77" t="n">
        <v>1191</v>
      </c>
      <c r="K17" s="77" t="n">
        <v>1085</v>
      </c>
      <c r="L17" s="19" t="n">
        <f aca="false">(K17/H17)*100</f>
        <v>42.4823805794832</v>
      </c>
      <c r="M17" s="77" t="n">
        <v>198</v>
      </c>
      <c r="N17" s="19" t="n">
        <f aca="false">(M17/H17)*100</f>
        <v>7.75254502740799</v>
      </c>
      <c r="O17" s="77" t="n">
        <v>290.16</v>
      </c>
      <c r="P17" s="77" t="n">
        <v>0</v>
      </c>
      <c r="Q17" s="178" t="s">
        <v>49</v>
      </c>
      <c r="R17" s="179" t="n">
        <v>45498</v>
      </c>
      <c r="S17" s="179"/>
      <c r="T17" s="180" t="n">
        <v>226.3484</v>
      </c>
      <c r="U17" s="77"/>
      <c r="V17" s="77"/>
      <c r="W17" s="77"/>
      <c r="X17" s="77"/>
      <c r="Y17" s="77"/>
      <c r="Z17" s="77"/>
      <c r="AA17" s="180" t="s">
        <v>50</v>
      </c>
      <c r="AB17" s="181" t="n">
        <v>22</v>
      </c>
      <c r="AC17" s="182" t="s">
        <v>949</v>
      </c>
      <c r="AD17" s="183" t="n">
        <v>27.059912</v>
      </c>
      <c r="AE17" s="183" t="n">
        <v>72.861763</v>
      </c>
    </row>
    <row r="18" customFormat="false" ht="37.5" hidden="false" customHeight="false" outlineLevel="0" collapsed="false">
      <c r="A18" s="77"/>
      <c r="B18" s="77"/>
      <c r="C18" s="113"/>
      <c r="D18" s="171"/>
      <c r="E18" s="77"/>
      <c r="F18" s="77"/>
      <c r="G18" s="77"/>
      <c r="H18" s="77"/>
      <c r="I18" s="77"/>
      <c r="J18" s="77"/>
      <c r="K18" s="77"/>
      <c r="L18" s="19"/>
      <c r="M18" s="77"/>
      <c r="N18" s="19"/>
      <c r="O18" s="77"/>
      <c r="P18" s="77"/>
      <c r="Q18" s="184" t="s">
        <v>49</v>
      </c>
      <c r="R18" s="184"/>
      <c r="S18" s="184"/>
      <c r="T18" s="185"/>
      <c r="U18" s="77"/>
      <c r="V18" s="77"/>
      <c r="W18" s="77"/>
      <c r="X18" s="77"/>
      <c r="Y18" s="77"/>
      <c r="Z18" s="77"/>
      <c r="AA18" s="185" t="s">
        <v>50</v>
      </c>
      <c r="AB18" s="186" t="n">
        <v>25</v>
      </c>
      <c r="AC18" s="187" t="s">
        <v>950</v>
      </c>
      <c r="AD18" s="188" t="n">
        <v>27.021392</v>
      </c>
      <c r="AE18" s="188" t="n">
        <v>72.784128</v>
      </c>
    </row>
    <row r="19" customFormat="false" ht="18.75" hidden="false" customHeight="false" outlineLevel="0" collapsed="false">
      <c r="A19" s="77"/>
      <c r="B19" s="77"/>
      <c r="C19" s="113"/>
      <c r="D19" s="171"/>
      <c r="E19" s="77"/>
      <c r="F19" s="77"/>
      <c r="G19" s="77"/>
      <c r="H19" s="77"/>
      <c r="I19" s="77"/>
      <c r="J19" s="77"/>
      <c r="K19" s="77"/>
      <c r="L19" s="19"/>
      <c r="M19" s="77"/>
      <c r="N19" s="19"/>
      <c r="O19" s="77"/>
      <c r="P19" s="77"/>
      <c r="Q19" s="184" t="s">
        <v>49</v>
      </c>
      <c r="R19" s="184"/>
      <c r="S19" s="184"/>
      <c r="T19" s="185"/>
      <c r="U19" s="77"/>
      <c r="V19" s="77"/>
      <c r="W19" s="77"/>
      <c r="X19" s="77"/>
      <c r="Y19" s="77"/>
      <c r="Z19" s="77"/>
      <c r="AA19" s="185" t="s">
        <v>50</v>
      </c>
      <c r="AB19" s="186" t="n">
        <v>28</v>
      </c>
      <c r="AC19" s="187" t="s">
        <v>951</v>
      </c>
      <c r="AD19" s="188" t="n">
        <v>27.056557</v>
      </c>
      <c r="AE19" s="188" t="n">
        <v>72.858612</v>
      </c>
    </row>
    <row r="20" customFormat="false" ht="18.75" hidden="false" customHeight="false" outlineLevel="0" collapsed="false">
      <c r="A20" s="77" t="s">
        <v>42</v>
      </c>
      <c r="B20" s="77" t="s">
        <v>925</v>
      </c>
      <c r="C20" s="113" t="s">
        <v>946</v>
      </c>
      <c r="D20" s="77" t="s">
        <v>952</v>
      </c>
      <c r="E20" s="77" t="s">
        <v>953</v>
      </c>
      <c r="F20" s="77" t="n">
        <v>1098.42</v>
      </c>
      <c r="G20" s="77" t="n">
        <v>110</v>
      </c>
      <c r="H20" s="77" t="n">
        <v>654</v>
      </c>
      <c r="I20" s="77" t="n">
        <v>342</v>
      </c>
      <c r="J20" s="77" t="n">
        <v>312</v>
      </c>
      <c r="K20" s="77" t="n">
        <v>27</v>
      </c>
      <c r="L20" s="19" t="n">
        <f aca="false">(K20/H20)*100</f>
        <v>4.12844036697248</v>
      </c>
      <c r="M20" s="77" t="n">
        <v>76</v>
      </c>
      <c r="N20" s="19" t="n">
        <f aca="false">(M20/H20)*100</f>
        <v>11.6207951070336</v>
      </c>
      <c r="O20" s="77" t="n">
        <v>190.97</v>
      </c>
      <c r="P20" s="77" t="n">
        <v>0</v>
      </c>
      <c r="Q20" s="178" t="s">
        <v>49</v>
      </c>
      <c r="R20" s="179" t="n">
        <v>45498</v>
      </c>
      <c r="S20" s="179"/>
      <c r="T20" s="180" t="n">
        <v>134.663</v>
      </c>
      <c r="U20" s="77"/>
      <c r="V20" s="77"/>
      <c r="W20" s="77"/>
      <c r="X20" s="77"/>
      <c r="Y20" s="77"/>
      <c r="Z20" s="77"/>
      <c r="AA20" s="180" t="s">
        <v>50</v>
      </c>
      <c r="AB20" s="181" t="n">
        <v>21</v>
      </c>
      <c r="AC20" s="182" t="s">
        <v>954</v>
      </c>
      <c r="AD20" s="183" t="n">
        <v>27.018629</v>
      </c>
      <c r="AE20" s="183" t="n">
        <v>72.787569</v>
      </c>
    </row>
    <row r="21" customFormat="false" ht="37.5" hidden="false" customHeight="false" outlineLevel="0" collapsed="false">
      <c r="A21" s="77"/>
      <c r="B21" s="77"/>
      <c r="C21" s="113"/>
      <c r="D21" s="77"/>
      <c r="E21" s="77"/>
      <c r="F21" s="77"/>
      <c r="G21" s="77"/>
      <c r="H21" s="77"/>
      <c r="I21" s="77"/>
      <c r="J21" s="77"/>
      <c r="K21" s="77"/>
      <c r="L21" s="19"/>
      <c r="M21" s="77"/>
      <c r="N21" s="19"/>
      <c r="O21" s="77"/>
      <c r="P21" s="77"/>
      <c r="Q21" s="184" t="s">
        <v>49</v>
      </c>
      <c r="R21" s="184"/>
      <c r="S21" s="184"/>
      <c r="T21" s="185"/>
      <c r="U21" s="77"/>
      <c r="V21" s="77"/>
      <c r="W21" s="77"/>
      <c r="X21" s="77"/>
      <c r="Y21" s="77"/>
      <c r="Z21" s="77"/>
      <c r="AA21" s="185" t="s">
        <v>50</v>
      </c>
      <c r="AB21" s="186" t="n">
        <v>25</v>
      </c>
      <c r="AC21" s="187" t="s">
        <v>955</v>
      </c>
      <c r="AD21" s="188" t="n">
        <v>27.029773</v>
      </c>
      <c r="AE21" s="188" t="n">
        <v>72.778791</v>
      </c>
    </row>
    <row r="22" customFormat="false" ht="15.75" hidden="false" customHeight="false" outlineLevel="0" collapsed="false">
      <c r="A22" s="77" t="s">
        <v>42</v>
      </c>
      <c r="B22" s="77" t="s">
        <v>925</v>
      </c>
      <c r="C22" s="113" t="s">
        <v>956</v>
      </c>
      <c r="D22" s="171" t="s">
        <v>956</v>
      </c>
      <c r="E22" s="77" t="s">
        <v>957</v>
      </c>
      <c r="F22" s="77" t="n">
        <v>2754.85</v>
      </c>
      <c r="G22" s="77" t="n">
        <v>337</v>
      </c>
      <c r="H22" s="77" t="n">
        <v>2125</v>
      </c>
      <c r="I22" s="77" t="n">
        <v>1126</v>
      </c>
      <c r="J22" s="77" t="n">
        <v>999</v>
      </c>
      <c r="K22" s="77" t="n">
        <v>239</v>
      </c>
      <c r="L22" s="19" t="n">
        <f aca="false">(K22/H22)*100</f>
        <v>11.2470588235294</v>
      </c>
      <c r="M22" s="77" t="n">
        <v>398</v>
      </c>
      <c r="N22" s="19" t="n">
        <f aca="false">(M22/H22)*100</f>
        <v>18.7294117647059</v>
      </c>
      <c r="O22" s="77" t="n">
        <v>312.65</v>
      </c>
      <c r="P22" s="77" t="n">
        <v>0</v>
      </c>
      <c r="Q22" s="189" t="s">
        <v>49</v>
      </c>
      <c r="R22" s="189" t="s">
        <v>958</v>
      </c>
      <c r="S22" s="189"/>
      <c r="T22" s="190" t="n">
        <v>109.4107</v>
      </c>
      <c r="U22" s="77"/>
      <c r="V22" s="77"/>
      <c r="W22" s="77"/>
      <c r="X22" s="77"/>
      <c r="Y22" s="77"/>
      <c r="Z22" s="77"/>
      <c r="AA22" s="190" t="s">
        <v>50</v>
      </c>
      <c r="AB22" s="190" t="n">
        <v>15</v>
      </c>
      <c r="AC22" s="191" t="s">
        <v>959</v>
      </c>
      <c r="AD22" s="192" t="n">
        <v>27.04113</v>
      </c>
      <c r="AE22" s="192" t="n">
        <v>72.907213</v>
      </c>
    </row>
    <row r="23" customFormat="false" ht="15.75" hidden="false" customHeight="false" outlineLevel="0" collapsed="false">
      <c r="A23" s="77" t="s">
        <v>42</v>
      </c>
      <c r="B23" s="77" t="s">
        <v>925</v>
      </c>
      <c r="C23" s="113" t="s">
        <v>956</v>
      </c>
      <c r="D23" s="77" t="s">
        <v>960</v>
      </c>
      <c r="E23" s="77" t="s">
        <v>961</v>
      </c>
      <c r="F23" s="77" t="n">
        <v>423</v>
      </c>
      <c r="G23" s="77" t="n">
        <v>21</v>
      </c>
      <c r="H23" s="77" t="n">
        <v>134</v>
      </c>
      <c r="I23" s="77" t="n">
        <v>62</v>
      </c>
      <c r="J23" s="77" t="n">
        <v>72</v>
      </c>
      <c r="K23" s="77" t="n">
        <v>37</v>
      </c>
      <c r="L23" s="19" t="n">
        <f aca="false">(K23/H23)*100</f>
        <v>27.6119402985075</v>
      </c>
      <c r="M23" s="77" t="n">
        <v>1</v>
      </c>
      <c r="N23" s="19" t="n">
        <f aca="false">(M23/H23)*100</f>
        <v>0.746268656716418</v>
      </c>
      <c r="O23" s="77" t="n">
        <v>162.75</v>
      </c>
      <c r="P23" s="77" t="n">
        <v>0</v>
      </c>
      <c r="Q23" s="189" t="s">
        <v>49</v>
      </c>
      <c r="R23" s="189" t="s">
        <v>958</v>
      </c>
      <c r="S23" s="189"/>
      <c r="T23" s="190" t="n">
        <v>164.8706</v>
      </c>
      <c r="U23" s="77"/>
      <c r="V23" s="77"/>
      <c r="W23" s="77"/>
      <c r="X23" s="77"/>
      <c r="Y23" s="77"/>
      <c r="Z23" s="77"/>
      <c r="AA23" s="190" t="s">
        <v>50</v>
      </c>
      <c r="AB23" s="190" t="n">
        <v>15</v>
      </c>
      <c r="AC23" s="191" t="s">
        <v>962</v>
      </c>
      <c r="AD23" s="192" t="n">
        <v>27.007965</v>
      </c>
      <c r="AE23" s="192" t="n">
        <v>72.906825</v>
      </c>
    </row>
    <row r="24" customFormat="false" ht="15.75" hidden="false" customHeight="false" outlineLevel="0" collapsed="false">
      <c r="A24" s="77" t="s">
        <v>42</v>
      </c>
      <c r="B24" s="77" t="s">
        <v>925</v>
      </c>
      <c r="C24" s="113" t="s">
        <v>956</v>
      </c>
      <c r="D24" s="77" t="s">
        <v>963</v>
      </c>
      <c r="E24" s="77" t="s">
        <v>964</v>
      </c>
      <c r="F24" s="77" t="n">
        <v>293.42</v>
      </c>
      <c r="G24" s="77" t="n">
        <v>63</v>
      </c>
      <c r="H24" s="77" t="n">
        <v>354</v>
      </c>
      <c r="I24" s="77" t="n">
        <v>178</v>
      </c>
      <c r="J24" s="77" t="n">
        <v>176</v>
      </c>
      <c r="K24" s="77" t="n">
        <v>0</v>
      </c>
      <c r="L24" s="19" t="n">
        <f aca="false">(K24/H24)*100</f>
        <v>0</v>
      </c>
      <c r="M24" s="77" t="n">
        <v>140</v>
      </c>
      <c r="N24" s="19" t="n">
        <f aca="false">(M24/H24)*100</f>
        <v>39.5480225988701</v>
      </c>
      <c r="O24" s="77" t="n">
        <v>79.8</v>
      </c>
      <c r="P24" s="77" t="n">
        <v>0</v>
      </c>
      <c r="Q24" s="189" t="s">
        <v>49</v>
      </c>
      <c r="R24" s="189" t="s">
        <v>958</v>
      </c>
      <c r="S24" s="189"/>
      <c r="T24" s="190" t="n">
        <v>79.8039</v>
      </c>
      <c r="U24" s="77"/>
      <c r="V24" s="77"/>
      <c r="W24" s="77"/>
      <c r="X24" s="77"/>
      <c r="Y24" s="77"/>
      <c r="Z24" s="77"/>
      <c r="AA24" s="190" t="s">
        <v>50</v>
      </c>
      <c r="AB24" s="190" t="n">
        <v>12</v>
      </c>
      <c r="AC24" s="191" t="s">
        <v>944</v>
      </c>
      <c r="AD24" s="192" t="n">
        <v>27.015295</v>
      </c>
      <c r="AE24" s="192" t="n">
        <v>72.84084</v>
      </c>
    </row>
    <row r="25" customFormat="false" ht="15.75" hidden="false" customHeight="false" outlineLevel="0" collapsed="false">
      <c r="A25" s="77" t="s">
        <v>42</v>
      </c>
      <c r="B25" s="77" t="s">
        <v>925</v>
      </c>
      <c r="C25" s="113" t="s">
        <v>965</v>
      </c>
      <c r="D25" s="171" t="s">
        <v>966</v>
      </c>
      <c r="E25" s="77" t="s">
        <v>967</v>
      </c>
      <c r="F25" s="77" t="n">
        <v>4009</v>
      </c>
      <c r="G25" s="77" t="n">
        <v>842</v>
      </c>
      <c r="H25" s="77" t="n">
        <v>5650</v>
      </c>
      <c r="I25" s="77" t="n">
        <v>2933</v>
      </c>
      <c r="J25" s="77" t="n">
        <v>2717</v>
      </c>
      <c r="K25" s="77" t="n">
        <v>695</v>
      </c>
      <c r="L25" s="19" t="n">
        <f aca="false">(K25/H25)*100</f>
        <v>12.3008849557522</v>
      </c>
      <c r="M25" s="77" t="n">
        <v>220</v>
      </c>
      <c r="N25" s="19" t="n">
        <f aca="false">(M25/H25)*100</f>
        <v>3.89380530973451</v>
      </c>
      <c r="O25" s="77" t="n">
        <v>162</v>
      </c>
      <c r="P25" s="77" t="n">
        <v>0</v>
      </c>
      <c r="Q25" s="114"/>
      <c r="R25" s="114"/>
      <c r="S25" s="114"/>
      <c r="T25" s="115"/>
      <c r="U25" s="77"/>
      <c r="V25" s="77"/>
      <c r="W25" s="77"/>
      <c r="X25" s="77"/>
      <c r="Y25" s="77"/>
      <c r="Z25" s="77"/>
      <c r="AA25" s="115"/>
      <c r="AB25" s="115"/>
      <c r="AC25" s="193"/>
      <c r="AD25" s="194"/>
      <c r="AE25" s="77"/>
    </row>
    <row r="26" customFormat="false" ht="15.75" hidden="false" customHeight="false" outlineLevel="0" collapsed="false">
      <c r="A26" s="77" t="s">
        <v>968</v>
      </c>
      <c r="B26" s="77"/>
      <c r="C26" s="113"/>
      <c r="D26" s="171"/>
      <c r="E26" s="77"/>
      <c r="F26" s="77"/>
      <c r="G26" s="77"/>
      <c r="H26" s="77"/>
      <c r="I26" s="77"/>
      <c r="J26" s="77"/>
      <c r="K26" s="77"/>
      <c r="L26" s="19"/>
      <c r="M26" s="77"/>
      <c r="N26" s="19"/>
      <c r="O26" s="77"/>
      <c r="P26" s="77"/>
      <c r="Q26" s="114"/>
      <c r="R26" s="114"/>
      <c r="S26" s="114"/>
      <c r="T26" s="115"/>
      <c r="U26" s="77"/>
      <c r="V26" s="77"/>
      <c r="W26" s="77"/>
      <c r="X26" s="77"/>
      <c r="Y26" s="77"/>
      <c r="Z26" s="77"/>
      <c r="AA26" s="115"/>
      <c r="AB26" s="115"/>
      <c r="AC26" s="193"/>
      <c r="AD26" s="194"/>
      <c r="AE26" s="77"/>
    </row>
    <row r="27" customFormat="false" ht="15.75" hidden="false" customHeight="false" outlineLevel="0" collapsed="false">
      <c r="A27" s="77"/>
      <c r="B27" s="77"/>
      <c r="C27" s="113"/>
      <c r="D27" s="171"/>
      <c r="E27" s="77"/>
      <c r="F27" s="77"/>
      <c r="G27" s="77"/>
      <c r="H27" s="77"/>
      <c r="I27" s="77"/>
      <c r="J27" s="77"/>
      <c r="K27" s="77"/>
      <c r="L27" s="19"/>
      <c r="M27" s="77"/>
      <c r="N27" s="19"/>
      <c r="O27" s="77"/>
      <c r="P27" s="77"/>
      <c r="Q27" s="114"/>
      <c r="R27" s="114"/>
      <c r="S27" s="114"/>
      <c r="T27" s="115"/>
      <c r="U27" s="77"/>
      <c r="V27" s="77"/>
      <c r="W27" s="77"/>
      <c r="X27" s="77"/>
      <c r="Y27" s="77"/>
      <c r="Z27" s="77"/>
      <c r="AA27" s="115"/>
      <c r="AB27" s="115"/>
      <c r="AC27" s="193"/>
      <c r="AD27" s="194"/>
      <c r="AE27" s="77"/>
    </row>
    <row r="28" customFormat="false" ht="15.75" hidden="false" customHeight="false" outlineLevel="0" collapsed="false">
      <c r="A28" s="77"/>
      <c r="B28" s="77"/>
      <c r="C28" s="113"/>
      <c r="D28" s="171"/>
      <c r="E28" s="77"/>
      <c r="F28" s="77"/>
      <c r="G28" s="77"/>
      <c r="H28" s="77"/>
      <c r="I28" s="77"/>
      <c r="J28" s="77"/>
      <c r="K28" s="77"/>
      <c r="L28" s="19"/>
      <c r="M28" s="77"/>
      <c r="N28" s="19"/>
      <c r="O28" s="77"/>
      <c r="P28" s="77"/>
      <c r="Q28" s="114"/>
      <c r="R28" s="114"/>
      <c r="S28" s="114"/>
      <c r="T28" s="115"/>
      <c r="U28" s="77"/>
      <c r="V28" s="77"/>
      <c r="W28" s="77"/>
      <c r="X28" s="77"/>
      <c r="Y28" s="77"/>
      <c r="Z28" s="77"/>
      <c r="AA28" s="115"/>
      <c r="AB28" s="115"/>
      <c r="AC28" s="195"/>
      <c r="AD28" s="196"/>
      <c r="AE28" s="77"/>
    </row>
    <row r="29" customFormat="false" ht="15.75" hidden="false" customHeight="false" outlineLevel="0" collapsed="false">
      <c r="A29" s="77"/>
      <c r="B29" s="77"/>
      <c r="C29" s="113"/>
      <c r="D29" s="171"/>
      <c r="E29" s="77"/>
      <c r="F29" s="77"/>
      <c r="G29" s="77"/>
      <c r="H29" s="77"/>
      <c r="I29" s="77"/>
      <c r="J29" s="77"/>
      <c r="K29" s="77"/>
      <c r="L29" s="19"/>
      <c r="M29" s="77"/>
      <c r="N29" s="19"/>
      <c r="O29" s="77"/>
      <c r="P29" s="77"/>
      <c r="Q29" s="114"/>
      <c r="R29" s="114"/>
      <c r="S29" s="114"/>
      <c r="T29" s="115"/>
      <c r="U29" s="77"/>
      <c r="V29" s="77"/>
      <c r="W29" s="77"/>
      <c r="X29" s="77"/>
      <c r="Y29" s="77"/>
      <c r="Z29" s="77"/>
      <c r="AA29" s="115"/>
      <c r="AB29" s="115"/>
      <c r="AC29" s="195"/>
      <c r="AD29" s="196"/>
      <c r="AE29" s="77"/>
    </row>
    <row r="30" customFormat="false" ht="15.75" hidden="false" customHeight="false" outlineLevel="0" collapsed="false">
      <c r="A30" s="77"/>
      <c r="B30" s="77"/>
      <c r="C30" s="113"/>
      <c r="D30" s="171"/>
      <c r="E30" s="77"/>
      <c r="F30" s="77"/>
      <c r="G30" s="77"/>
      <c r="H30" s="77"/>
      <c r="I30" s="77"/>
      <c r="J30" s="77"/>
      <c r="K30" s="77"/>
      <c r="L30" s="19"/>
      <c r="M30" s="77"/>
      <c r="N30" s="19"/>
      <c r="O30" s="77"/>
      <c r="P30" s="77"/>
      <c r="Q30" s="114"/>
      <c r="R30" s="114"/>
      <c r="S30" s="114"/>
      <c r="T30" s="115"/>
      <c r="U30" s="77"/>
      <c r="V30" s="77"/>
      <c r="W30" s="77"/>
      <c r="X30" s="77"/>
      <c r="Y30" s="77"/>
      <c r="Z30" s="77"/>
      <c r="AA30" s="115"/>
      <c r="AB30" s="115"/>
      <c r="AC30" s="195"/>
      <c r="AD30" s="196"/>
      <c r="AE30" s="77"/>
    </row>
    <row r="31" customFormat="false" ht="15.75" hidden="false" customHeight="false" outlineLevel="0" collapsed="false">
      <c r="A31" s="77" t="s">
        <v>968</v>
      </c>
      <c r="B31" s="77"/>
      <c r="C31" s="113"/>
      <c r="D31" s="171"/>
      <c r="E31" s="77"/>
      <c r="F31" s="77"/>
      <c r="G31" s="77"/>
      <c r="H31" s="77"/>
      <c r="I31" s="77"/>
      <c r="J31" s="77"/>
      <c r="K31" s="77"/>
      <c r="L31" s="19"/>
      <c r="M31" s="77"/>
      <c r="N31" s="19"/>
      <c r="O31" s="77"/>
      <c r="P31" s="77"/>
      <c r="Q31" s="114"/>
      <c r="R31" s="114"/>
      <c r="S31" s="114"/>
      <c r="T31" s="115"/>
      <c r="U31" s="77"/>
      <c r="V31" s="77"/>
      <c r="W31" s="77"/>
      <c r="X31" s="77"/>
      <c r="Y31" s="77"/>
      <c r="Z31" s="77"/>
      <c r="AA31" s="115"/>
      <c r="AB31" s="115"/>
      <c r="AC31" s="195"/>
      <c r="AD31" s="196"/>
      <c r="AE31" s="77"/>
    </row>
    <row r="32" customFormat="false" ht="15.75" hidden="false" customHeight="false" outlineLevel="0" collapsed="false">
      <c r="A32" s="77"/>
      <c r="B32" s="77"/>
      <c r="C32" s="113"/>
      <c r="D32" s="171"/>
      <c r="E32" s="77"/>
      <c r="F32" s="77"/>
      <c r="G32" s="77"/>
      <c r="H32" s="77"/>
      <c r="I32" s="77"/>
      <c r="J32" s="77"/>
      <c r="K32" s="77"/>
      <c r="L32" s="19"/>
      <c r="M32" s="77"/>
      <c r="N32" s="19"/>
      <c r="O32" s="77"/>
      <c r="P32" s="77"/>
      <c r="Q32" s="114"/>
      <c r="R32" s="114"/>
      <c r="S32" s="114"/>
      <c r="T32" s="115"/>
      <c r="U32" s="77"/>
      <c r="V32" s="77"/>
      <c r="W32" s="77"/>
      <c r="X32" s="77"/>
      <c r="Y32" s="77"/>
      <c r="Z32" s="77"/>
      <c r="AA32" s="115"/>
      <c r="AB32" s="115"/>
      <c r="AC32" s="195"/>
      <c r="AD32" s="196"/>
      <c r="AE32" s="77"/>
    </row>
    <row r="33" customFormat="false" ht="17.25" hidden="false" customHeight="false" outlineLevel="0" collapsed="false">
      <c r="A33" s="16" t="s">
        <v>42</v>
      </c>
      <c r="B33" s="16" t="s">
        <v>925</v>
      </c>
      <c r="C33" s="71" t="s">
        <v>969</v>
      </c>
      <c r="D33" s="72" t="s">
        <v>970</v>
      </c>
      <c r="E33" s="16" t="s">
        <v>971</v>
      </c>
      <c r="F33" s="16" t="n">
        <v>1641</v>
      </c>
      <c r="G33" s="16" t="n">
        <v>248</v>
      </c>
      <c r="H33" s="16" t="n">
        <v>1556</v>
      </c>
      <c r="I33" s="16" t="n">
        <v>819</v>
      </c>
      <c r="J33" s="16" t="n">
        <v>737</v>
      </c>
      <c r="K33" s="16" t="n">
        <v>189</v>
      </c>
      <c r="L33" s="19" t="n">
        <f aca="false">(K33/H33)*100</f>
        <v>12.146529562982</v>
      </c>
      <c r="M33" s="16" t="n">
        <v>0</v>
      </c>
      <c r="N33" s="19" t="n">
        <f aca="false">(M33/H33)*100</f>
        <v>0</v>
      </c>
      <c r="O33" s="16" t="n">
        <v>191</v>
      </c>
      <c r="P33" s="16" t="n">
        <v>0</v>
      </c>
      <c r="Q33" s="189" t="s">
        <v>49</v>
      </c>
      <c r="R33" s="197" t="n">
        <v>45878</v>
      </c>
      <c r="S33" s="197"/>
      <c r="T33" s="119" t="n">
        <v>74.6077</v>
      </c>
      <c r="U33" s="77"/>
      <c r="V33" s="77"/>
      <c r="W33" s="77"/>
      <c r="X33" s="77"/>
      <c r="Y33" s="77"/>
      <c r="Z33" s="77"/>
      <c r="AA33" s="190" t="s">
        <v>50</v>
      </c>
      <c r="AB33" s="190" t="n">
        <v>18</v>
      </c>
      <c r="AC33" s="120" t="s">
        <v>972</v>
      </c>
      <c r="AD33" s="45" t="n">
        <v>26.951475</v>
      </c>
      <c r="AE33" s="45" t="n">
        <v>72.895561</v>
      </c>
    </row>
    <row r="34" customFormat="false" ht="17.25" hidden="false" customHeight="false" outlineLevel="0" collapsed="false">
      <c r="A34" s="16" t="s">
        <v>42</v>
      </c>
      <c r="B34" s="16" t="s">
        <v>925</v>
      </c>
      <c r="C34" s="71" t="s">
        <v>969</v>
      </c>
      <c r="D34" s="16" t="s">
        <v>973</v>
      </c>
      <c r="E34" s="16" t="s">
        <v>974</v>
      </c>
      <c r="F34" s="16" t="n">
        <v>1668.49</v>
      </c>
      <c r="G34" s="16" t="n">
        <v>196</v>
      </c>
      <c r="H34" s="16" t="n">
        <v>1238</v>
      </c>
      <c r="I34" s="16" t="n">
        <v>675</v>
      </c>
      <c r="J34" s="16" t="n">
        <v>563</v>
      </c>
      <c r="K34" s="16" t="n">
        <v>332</v>
      </c>
      <c r="L34" s="19" t="n">
        <f aca="false">(K34/H34)*100</f>
        <v>26.8174474959612</v>
      </c>
      <c r="M34" s="16" t="n">
        <v>0</v>
      </c>
      <c r="N34" s="19" t="n">
        <f aca="false">(M34/H34)*100</f>
        <v>0</v>
      </c>
      <c r="O34" s="16" t="n">
        <v>170.14</v>
      </c>
      <c r="P34" s="16" t="n">
        <v>0</v>
      </c>
      <c r="Q34" s="189" t="s">
        <v>49</v>
      </c>
      <c r="R34" s="197" t="n">
        <v>45878</v>
      </c>
      <c r="S34" s="197"/>
      <c r="T34" s="119" t="n">
        <v>144.9419</v>
      </c>
      <c r="U34" s="77"/>
      <c r="V34" s="77"/>
      <c r="W34" s="77"/>
      <c r="X34" s="77"/>
      <c r="Y34" s="77"/>
      <c r="Z34" s="77"/>
      <c r="AA34" s="190" t="s">
        <v>50</v>
      </c>
      <c r="AB34" s="190" t="n">
        <v>15</v>
      </c>
      <c r="AC34" s="120" t="s">
        <v>975</v>
      </c>
      <c r="AD34" s="45" t="n">
        <v>26.986078</v>
      </c>
      <c r="AE34" s="45" t="n">
        <v>72.869627</v>
      </c>
    </row>
    <row r="35" customFormat="false" ht="17.25" hidden="false" customHeight="false" outlineLevel="0" collapsed="false">
      <c r="A35" s="16"/>
      <c r="B35" s="16"/>
      <c r="C35" s="71"/>
      <c r="D35" s="16"/>
      <c r="E35" s="16"/>
      <c r="F35" s="16"/>
      <c r="G35" s="16"/>
      <c r="H35" s="16"/>
      <c r="I35" s="16"/>
      <c r="J35" s="16"/>
      <c r="K35" s="16"/>
      <c r="L35" s="19"/>
      <c r="M35" s="16"/>
      <c r="N35" s="19"/>
      <c r="O35" s="16"/>
      <c r="P35" s="16"/>
      <c r="Q35" s="198" t="s">
        <v>49</v>
      </c>
      <c r="R35" s="198"/>
      <c r="S35" s="198"/>
      <c r="T35" s="157"/>
      <c r="U35" s="77"/>
      <c r="V35" s="77"/>
      <c r="W35" s="77"/>
      <c r="X35" s="77"/>
      <c r="Y35" s="77"/>
      <c r="Z35" s="77"/>
      <c r="AA35" s="199" t="s">
        <v>50</v>
      </c>
      <c r="AB35" s="199" t="n">
        <v>15</v>
      </c>
      <c r="AC35" s="151" t="s">
        <v>976</v>
      </c>
      <c r="AD35" s="155" t="n">
        <v>26.998938</v>
      </c>
      <c r="AE35" s="155" t="n">
        <v>72.884697</v>
      </c>
    </row>
    <row r="36" customFormat="false" ht="31.5" hidden="false" customHeight="false" outlineLevel="0" collapsed="false">
      <c r="A36" s="16" t="s">
        <v>42</v>
      </c>
      <c r="B36" s="16" t="s">
        <v>925</v>
      </c>
      <c r="C36" s="71" t="s">
        <v>977</v>
      </c>
      <c r="D36" s="72" t="s">
        <v>977</v>
      </c>
      <c r="E36" s="16" t="s">
        <v>978</v>
      </c>
      <c r="F36" s="16" t="n">
        <v>1629.01</v>
      </c>
      <c r="G36" s="16" t="n">
        <v>392</v>
      </c>
      <c r="H36" s="16" t="n">
        <v>2321</v>
      </c>
      <c r="I36" s="16" t="n">
        <v>1188</v>
      </c>
      <c r="J36" s="16" t="n">
        <v>1133</v>
      </c>
      <c r="K36" s="16" t="n">
        <v>247</v>
      </c>
      <c r="L36" s="19" t="n">
        <f aca="false">(K36/H36)*100</f>
        <v>10.6419646704007</v>
      </c>
      <c r="M36" s="16" t="n">
        <v>15</v>
      </c>
      <c r="N36" s="19" t="n">
        <f aca="false">(M36/H36)*100</f>
        <v>0.646273158121499</v>
      </c>
      <c r="O36" s="16" t="n">
        <v>181.49</v>
      </c>
      <c r="P36" s="16" t="n">
        <v>0</v>
      </c>
      <c r="Q36" s="200" t="s">
        <v>49</v>
      </c>
      <c r="R36" s="201" t="n">
        <v>45932</v>
      </c>
      <c r="S36" s="201"/>
      <c r="T36" s="89" t="n">
        <v>3.55</v>
      </c>
      <c r="U36" s="77"/>
      <c r="V36" s="77"/>
      <c r="W36" s="77"/>
      <c r="X36" s="77"/>
      <c r="Y36" s="77"/>
      <c r="Z36" s="77"/>
      <c r="AA36" s="147" t="s">
        <v>50</v>
      </c>
      <c r="AB36" s="202" t="n">
        <v>10</v>
      </c>
      <c r="AC36" s="36" t="s">
        <v>979</v>
      </c>
      <c r="AD36" s="20"/>
      <c r="AE36" s="20"/>
    </row>
    <row r="37" customFormat="false" ht="31.5" hidden="false" customHeight="false" outlineLevel="0" collapsed="false">
      <c r="A37" s="16"/>
      <c r="B37" s="16"/>
      <c r="C37" s="71"/>
      <c r="D37" s="72"/>
      <c r="E37" s="16"/>
      <c r="F37" s="16"/>
      <c r="G37" s="16"/>
      <c r="H37" s="16"/>
      <c r="I37" s="16"/>
      <c r="J37" s="16"/>
      <c r="K37" s="16"/>
      <c r="L37" s="19"/>
      <c r="M37" s="16"/>
      <c r="N37" s="19"/>
      <c r="O37" s="16"/>
      <c r="P37" s="16"/>
      <c r="Q37" s="203"/>
      <c r="R37" s="204"/>
      <c r="S37" s="204"/>
      <c r="T37" s="150"/>
      <c r="U37" s="77"/>
      <c r="V37" s="77"/>
      <c r="W37" s="77"/>
      <c r="X37" s="77"/>
      <c r="Y37" s="77"/>
      <c r="Z37" s="77"/>
      <c r="AA37" s="205" t="s">
        <v>50</v>
      </c>
      <c r="AB37" s="205" t="n">
        <v>5</v>
      </c>
      <c r="AC37" s="42" t="s">
        <v>980</v>
      </c>
      <c r="AD37" s="30"/>
      <c r="AE37" s="30"/>
    </row>
    <row r="38" customFormat="false" ht="31.5" hidden="false" customHeight="false" outlineLevel="0" collapsed="false">
      <c r="A38" s="16"/>
      <c r="B38" s="16"/>
      <c r="C38" s="71"/>
      <c r="D38" s="72"/>
      <c r="E38" s="16"/>
      <c r="F38" s="16"/>
      <c r="G38" s="16"/>
      <c r="H38" s="16"/>
      <c r="I38" s="16"/>
      <c r="J38" s="16"/>
      <c r="K38" s="16"/>
      <c r="L38" s="19"/>
      <c r="M38" s="16"/>
      <c r="N38" s="19"/>
      <c r="O38" s="16"/>
      <c r="P38" s="16"/>
      <c r="Q38" s="203"/>
      <c r="R38" s="204"/>
      <c r="S38" s="204"/>
      <c r="T38" s="150"/>
      <c r="U38" s="77"/>
      <c r="V38" s="77"/>
      <c r="W38" s="77"/>
      <c r="X38" s="77"/>
      <c r="Y38" s="77"/>
      <c r="Z38" s="77"/>
      <c r="AA38" s="205" t="s">
        <v>50</v>
      </c>
      <c r="AB38" s="205" t="n">
        <v>5</v>
      </c>
      <c r="AC38" s="42" t="s">
        <v>981</v>
      </c>
      <c r="AD38" s="30"/>
      <c r="AE38" s="30"/>
    </row>
    <row r="39" customFormat="false" ht="15.75" hidden="false" customHeight="false" outlineLevel="0" collapsed="false">
      <c r="A39" s="16" t="s">
        <v>42</v>
      </c>
      <c r="B39" s="16" t="s">
        <v>925</v>
      </c>
      <c r="C39" s="71" t="s">
        <v>982</v>
      </c>
      <c r="D39" s="72" t="s">
        <v>982</v>
      </c>
      <c r="E39" s="16" t="s">
        <v>983</v>
      </c>
      <c r="F39" s="16" t="n">
        <v>3085.14</v>
      </c>
      <c r="G39" s="16" t="n">
        <v>467</v>
      </c>
      <c r="H39" s="16" t="n">
        <v>2749</v>
      </c>
      <c r="I39" s="16" t="n">
        <v>1444</v>
      </c>
      <c r="J39" s="16" t="n">
        <v>1305</v>
      </c>
      <c r="K39" s="16" t="n">
        <v>1219</v>
      </c>
      <c r="L39" s="19" t="n">
        <f aca="false">(K39/H39)*100</f>
        <v>44.343397599127</v>
      </c>
      <c r="M39" s="16" t="n">
        <v>119</v>
      </c>
      <c r="N39" s="19" t="n">
        <f aca="false">(M39/H39)*100</f>
        <v>4.32884685340124</v>
      </c>
      <c r="O39" s="16" t="n">
        <v>236.97</v>
      </c>
      <c r="P39" s="16" t="n">
        <v>0</v>
      </c>
      <c r="Q39" s="206" t="s">
        <v>49</v>
      </c>
      <c r="R39" s="206" t="s">
        <v>984</v>
      </c>
      <c r="S39" s="206"/>
      <c r="T39" s="56" t="n">
        <v>239.9363</v>
      </c>
      <c r="U39" s="77"/>
      <c r="V39" s="77"/>
      <c r="W39" s="77"/>
      <c r="X39" s="77"/>
      <c r="Y39" s="77"/>
      <c r="Z39" s="77"/>
      <c r="AA39" s="207" t="s">
        <v>50</v>
      </c>
      <c r="AB39" s="207" t="n">
        <v>10</v>
      </c>
      <c r="AC39" s="37" t="s">
        <v>985</v>
      </c>
      <c r="AD39" s="131" t="n">
        <v>26.999624</v>
      </c>
      <c r="AE39" s="131" t="n">
        <v>72.930449</v>
      </c>
    </row>
    <row r="40" customFormat="false" ht="17.25" hidden="false" customHeight="false" outlineLevel="0" collapsed="false">
      <c r="A40" s="16"/>
      <c r="B40" s="16"/>
      <c r="C40" s="71"/>
      <c r="D40" s="72"/>
      <c r="E40" s="16"/>
      <c r="F40" s="16"/>
      <c r="G40" s="16"/>
      <c r="H40" s="16"/>
      <c r="I40" s="16"/>
      <c r="J40" s="16"/>
      <c r="K40" s="16"/>
      <c r="L40" s="19"/>
      <c r="M40" s="16"/>
      <c r="N40" s="19"/>
      <c r="O40" s="16"/>
      <c r="P40" s="16"/>
      <c r="Q40" s="198"/>
      <c r="R40" s="198"/>
      <c r="S40" s="198"/>
      <c r="T40" s="157"/>
      <c r="U40" s="77"/>
      <c r="V40" s="77"/>
      <c r="W40" s="77"/>
      <c r="X40" s="77"/>
      <c r="Y40" s="77"/>
      <c r="Z40" s="77"/>
      <c r="AA40" s="199" t="s">
        <v>50</v>
      </c>
      <c r="AB40" s="199" t="n">
        <v>15</v>
      </c>
      <c r="AC40" s="151" t="s">
        <v>986</v>
      </c>
      <c r="AD40" s="155" t="n">
        <v>27.002473</v>
      </c>
      <c r="AE40" s="155" t="n">
        <v>72.932455</v>
      </c>
    </row>
    <row r="41" customFormat="false" ht="34.5" hidden="false" customHeight="false" outlineLevel="0" collapsed="false">
      <c r="A41" s="16" t="s">
        <v>42</v>
      </c>
      <c r="B41" s="16" t="s">
        <v>925</v>
      </c>
      <c r="C41" s="71" t="s">
        <v>982</v>
      </c>
      <c r="D41" s="16" t="s">
        <v>987</v>
      </c>
      <c r="E41" s="16" t="s">
        <v>988</v>
      </c>
      <c r="F41" s="16" t="n">
        <v>516.65</v>
      </c>
      <c r="G41" s="16" t="n">
        <v>87</v>
      </c>
      <c r="H41" s="16" t="n">
        <v>546</v>
      </c>
      <c r="I41" s="16" t="n">
        <v>282</v>
      </c>
      <c r="J41" s="16" t="n">
        <v>264</v>
      </c>
      <c r="K41" s="16" t="n">
        <v>0</v>
      </c>
      <c r="L41" s="19" t="n">
        <f aca="false">(K41/H41)*100</f>
        <v>0</v>
      </c>
      <c r="M41" s="16" t="n">
        <v>0</v>
      </c>
      <c r="N41" s="19" t="n">
        <f aca="false">(M41/H41)*100</f>
        <v>0</v>
      </c>
      <c r="O41" s="16" t="n">
        <v>0</v>
      </c>
      <c r="P41" s="16" t="n">
        <v>0</v>
      </c>
      <c r="Q41" s="189" t="s">
        <v>49</v>
      </c>
      <c r="R41" s="189" t="s">
        <v>984</v>
      </c>
      <c r="S41" s="189"/>
      <c r="T41" s="119"/>
      <c r="U41" s="77"/>
      <c r="V41" s="77"/>
      <c r="W41" s="77"/>
      <c r="X41" s="77"/>
      <c r="Y41" s="77"/>
      <c r="Z41" s="77"/>
      <c r="AA41" s="190" t="s">
        <v>50</v>
      </c>
      <c r="AB41" s="190" t="n">
        <v>15</v>
      </c>
      <c r="AC41" s="120" t="s">
        <v>989</v>
      </c>
      <c r="AD41" s="45" t="n">
        <v>26.986479</v>
      </c>
      <c r="AE41" s="45" t="n">
        <v>72.97095</v>
      </c>
    </row>
    <row r="42" customFormat="false" ht="15.75" hidden="false" customHeight="false" outlineLevel="0" collapsed="false">
      <c r="A42" s="16" t="s">
        <v>42</v>
      </c>
      <c r="B42" s="16" t="s">
        <v>925</v>
      </c>
      <c r="C42" s="71" t="s">
        <v>990</v>
      </c>
      <c r="D42" s="72" t="s">
        <v>991</v>
      </c>
      <c r="E42" s="16" t="s">
        <v>992</v>
      </c>
      <c r="F42" s="16" t="n">
        <v>1185.23</v>
      </c>
      <c r="G42" s="16" t="n">
        <v>445</v>
      </c>
      <c r="H42" s="16" t="n">
        <v>2612</v>
      </c>
      <c r="I42" s="16" t="n">
        <v>1373</v>
      </c>
      <c r="J42" s="16" t="n">
        <v>1239</v>
      </c>
      <c r="K42" s="16" t="n">
        <v>957</v>
      </c>
      <c r="L42" s="19" t="n">
        <f aca="false">(K42/H42)*100</f>
        <v>36.6385911179173</v>
      </c>
      <c r="M42" s="16" t="n">
        <v>1</v>
      </c>
      <c r="N42" s="19" t="n">
        <f aca="false">(M42/H42)*100</f>
        <v>0.0382848392036753</v>
      </c>
      <c r="O42" s="16" t="n">
        <v>26</v>
      </c>
      <c r="P42" s="16" t="n">
        <v>0</v>
      </c>
      <c r="Q42" s="200" t="s">
        <v>49</v>
      </c>
      <c r="R42" s="201" t="n">
        <v>45698</v>
      </c>
      <c r="S42" s="201"/>
      <c r="T42" s="89"/>
      <c r="U42" s="77"/>
      <c r="V42" s="77"/>
      <c r="W42" s="77"/>
      <c r="X42" s="77"/>
      <c r="Y42" s="77"/>
      <c r="Z42" s="77"/>
      <c r="AA42" s="202" t="s">
        <v>50</v>
      </c>
      <c r="AB42" s="202" t="n">
        <v>0</v>
      </c>
      <c r="AC42" s="36"/>
      <c r="AD42" s="95" t="n">
        <v>0</v>
      </c>
      <c r="AE42" s="95" t="n">
        <v>0</v>
      </c>
    </row>
    <row r="43" customFormat="false" ht="15.75" hidden="false" customHeight="false" outlineLevel="0" collapsed="false">
      <c r="A43" s="16" t="s">
        <v>42</v>
      </c>
      <c r="B43" s="16" t="s">
        <v>925</v>
      </c>
      <c r="C43" s="71" t="s">
        <v>990</v>
      </c>
      <c r="D43" s="16" t="s">
        <v>146</v>
      </c>
      <c r="E43" s="16" t="s">
        <v>993</v>
      </c>
      <c r="F43" s="16" t="n">
        <v>840.77</v>
      </c>
      <c r="G43" s="16" t="n">
        <v>122</v>
      </c>
      <c r="H43" s="16" t="n">
        <v>707</v>
      </c>
      <c r="I43" s="16" t="n">
        <v>379</v>
      </c>
      <c r="J43" s="16" t="n">
        <v>328</v>
      </c>
      <c r="K43" s="16" t="n">
        <v>0</v>
      </c>
      <c r="L43" s="19" t="n">
        <f aca="false">(K43/H43)*100</f>
        <v>0</v>
      </c>
      <c r="M43" s="16" t="n">
        <v>0</v>
      </c>
      <c r="N43" s="19" t="n">
        <f aca="false">(M43/H43)*100</f>
        <v>0</v>
      </c>
      <c r="O43" s="16" t="n">
        <v>13</v>
      </c>
      <c r="P43" s="16" t="n">
        <v>0</v>
      </c>
      <c r="Q43" s="200" t="s">
        <v>49</v>
      </c>
      <c r="R43" s="201" t="n">
        <v>45698</v>
      </c>
      <c r="S43" s="201"/>
      <c r="T43" s="89" t="n">
        <v>153.9017</v>
      </c>
      <c r="U43" s="77"/>
      <c r="V43" s="77"/>
      <c r="W43" s="77"/>
      <c r="X43" s="77"/>
      <c r="Y43" s="77"/>
      <c r="Z43" s="77"/>
      <c r="AA43" s="202" t="s">
        <v>50</v>
      </c>
      <c r="AB43" s="202" t="n">
        <v>5</v>
      </c>
      <c r="AC43" s="36" t="s">
        <v>994</v>
      </c>
      <c r="AD43" s="95" t="n">
        <v>26.948004</v>
      </c>
      <c r="AE43" s="95" t="n">
        <v>72.876387</v>
      </c>
    </row>
    <row r="44" customFormat="false" ht="31.5" hidden="false" customHeight="false" outlineLevel="0" collapsed="false">
      <c r="A44" s="16" t="s">
        <v>42</v>
      </c>
      <c r="B44" s="16" t="s">
        <v>925</v>
      </c>
      <c r="C44" s="71" t="s">
        <v>995</v>
      </c>
      <c r="D44" s="72" t="s">
        <v>995</v>
      </c>
      <c r="E44" s="16" t="s">
        <v>996</v>
      </c>
      <c r="F44" s="16" t="n">
        <v>2326.34</v>
      </c>
      <c r="G44" s="16" t="n">
        <v>323</v>
      </c>
      <c r="H44" s="16" t="n">
        <v>1911</v>
      </c>
      <c r="I44" s="16" t="n">
        <v>999</v>
      </c>
      <c r="J44" s="16" t="n">
        <v>912</v>
      </c>
      <c r="K44" s="16" t="n">
        <v>0</v>
      </c>
      <c r="L44" s="19" t="n">
        <f aca="false">(K44/H44)*100</f>
        <v>0</v>
      </c>
      <c r="M44" s="16" t="n">
        <v>1</v>
      </c>
      <c r="N44" s="19" t="n">
        <f aca="false">(M44/H44)*100</f>
        <v>0.0523286237571952</v>
      </c>
      <c r="O44" s="16" t="n">
        <v>0</v>
      </c>
      <c r="P44" s="16" t="n">
        <v>0</v>
      </c>
      <c r="Q44" s="200" t="s">
        <v>49</v>
      </c>
      <c r="R44" s="201" t="n">
        <v>45932</v>
      </c>
      <c r="S44" s="201"/>
      <c r="T44" s="89" t="n">
        <v>0</v>
      </c>
      <c r="U44" s="77"/>
      <c r="V44" s="77"/>
      <c r="W44" s="77"/>
      <c r="X44" s="77"/>
      <c r="Y44" s="77"/>
      <c r="Z44" s="77"/>
      <c r="AA44" s="147" t="s">
        <v>50</v>
      </c>
      <c r="AB44" s="202" t="n">
        <v>10</v>
      </c>
      <c r="AC44" s="36" t="s">
        <v>997</v>
      </c>
      <c r="AD44" s="20"/>
      <c r="AE44" s="20"/>
    </row>
    <row r="45" customFormat="false" ht="31.5" hidden="false" customHeight="false" outlineLevel="0" collapsed="false">
      <c r="A45" s="16"/>
      <c r="B45" s="16"/>
      <c r="C45" s="71"/>
      <c r="D45" s="72"/>
      <c r="E45" s="16"/>
      <c r="F45" s="16"/>
      <c r="G45" s="16"/>
      <c r="H45" s="16"/>
      <c r="I45" s="16"/>
      <c r="J45" s="16"/>
      <c r="K45" s="16"/>
      <c r="L45" s="19"/>
      <c r="M45" s="16"/>
      <c r="N45" s="19"/>
      <c r="O45" s="16"/>
      <c r="P45" s="16"/>
      <c r="Q45" s="203"/>
      <c r="R45" s="204"/>
      <c r="S45" s="204"/>
      <c r="T45" s="150"/>
      <c r="U45" s="77"/>
      <c r="V45" s="77"/>
      <c r="W45" s="77"/>
      <c r="X45" s="77"/>
      <c r="Y45" s="77"/>
      <c r="Z45" s="77"/>
      <c r="AA45" s="205" t="s">
        <v>50</v>
      </c>
      <c r="AB45" s="205" t="n">
        <v>10</v>
      </c>
      <c r="AC45" s="42" t="s">
        <v>998</v>
      </c>
      <c r="AD45" s="30"/>
      <c r="AE45" s="30"/>
    </row>
    <row r="46" customFormat="false" ht="15.75" hidden="false" customHeight="false" outlineLevel="0" collapsed="false">
      <c r="A46" s="16" t="s">
        <v>42</v>
      </c>
      <c r="B46" s="16" t="s">
        <v>925</v>
      </c>
      <c r="C46" s="71" t="s">
        <v>995</v>
      </c>
      <c r="D46" s="16" t="s">
        <v>999</v>
      </c>
      <c r="E46" s="16" t="s">
        <v>1000</v>
      </c>
      <c r="F46" s="16" t="n">
        <v>1325.4</v>
      </c>
      <c r="G46" s="16" t="n">
        <v>309</v>
      </c>
      <c r="H46" s="16" t="n">
        <v>1465</v>
      </c>
      <c r="I46" s="16" t="n">
        <v>778</v>
      </c>
      <c r="J46" s="16" t="n">
        <v>687</v>
      </c>
      <c r="K46" s="16" t="n">
        <v>0</v>
      </c>
      <c r="L46" s="19" t="n">
        <f aca="false">(K46/H46)*100</f>
        <v>0</v>
      </c>
      <c r="M46" s="16" t="n">
        <v>0</v>
      </c>
      <c r="N46" s="19" t="n">
        <f aca="false">(M46/H46)*100</f>
        <v>0</v>
      </c>
      <c r="O46" s="16" t="n">
        <v>0</v>
      </c>
      <c r="P46" s="16" t="n">
        <v>0</v>
      </c>
      <c r="Q46" s="200" t="s">
        <v>49</v>
      </c>
      <c r="R46" s="201" t="n">
        <v>45932</v>
      </c>
      <c r="S46" s="201"/>
      <c r="T46" s="89" t="n">
        <v>0</v>
      </c>
      <c r="U46" s="77"/>
      <c r="V46" s="77"/>
      <c r="W46" s="77"/>
      <c r="X46" s="77"/>
      <c r="Y46" s="77"/>
      <c r="Z46" s="77"/>
      <c r="AA46" s="147" t="s">
        <v>50</v>
      </c>
      <c r="AB46" s="202"/>
      <c r="AC46" s="36"/>
      <c r="AD46" s="20"/>
      <c r="AE46" s="20"/>
    </row>
    <row r="47" customFormat="false" ht="15.75" hidden="false" customHeight="false" outlineLevel="0" collapsed="false">
      <c r="A47" s="16" t="s">
        <v>42</v>
      </c>
      <c r="B47" s="16" t="s">
        <v>925</v>
      </c>
      <c r="C47" s="71" t="s">
        <v>1001</v>
      </c>
      <c r="D47" s="72" t="s">
        <v>1002</v>
      </c>
      <c r="E47" s="16" t="s">
        <v>1003</v>
      </c>
      <c r="F47" s="16" t="n">
        <v>2478.66</v>
      </c>
      <c r="G47" s="16" t="n">
        <v>369</v>
      </c>
      <c r="H47" s="16" t="n">
        <v>2443</v>
      </c>
      <c r="I47" s="16" t="n">
        <v>1288</v>
      </c>
      <c r="J47" s="16" t="n">
        <v>1155</v>
      </c>
      <c r="K47" s="16" t="n">
        <v>434</v>
      </c>
      <c r="L47" s="19" t="n">
        <f aca="false">(K47/H47)*100</f>
        <v>17.7650429799427</v>
      </c>
      <c r="M47" s="16" t="n">
        <v>65</v>
      </c>
      <c r="N47" s="19" t="n">
        <f aca="false">(M47/H47)*100</f>
        <v>2.66066311911584</v>
      </c>
      <c r="O47" s="16" t="n">
        <v>459.06</v>
      </c>
      <c r="P47" s="16" t="n">
        <v>0</v>
      </c>
      <c r="Q47" s="200" t="s">
        <v>49</v>
      </c>
      <c r="R47" s="201" t="n">
        <v>45932</v>
      </c>
      <c r="S47" s="201"/>
      <c r="T47" s="89" t="n">
        <v>294.83</v>
      </c>
      <c r="U47" s="77"/>
      <c r="V47" s="77"/>
      <c r="W47" s="77"/>
      <c r="X47" s="77"/>
      <c r="Y47" s="77"/>
      <c r="Z47" s="77"/>
      <c r="AA47" s="147" t="s">
        <v>50</v>
      </c>
      <c r="AB47" s="202" t="n">
        <v>18</v>
      </c>
      <c r="AC47" s="36" t="s">
        <v>1004</v>
      </c>
      <c r="AD47" s="20"/>
      <c r="AE47" s="20"/>
    </row>
    <row r="48" customFormat="false" ht="15.75" hidden="false" customHeight="false" outlineLevel="0" collapsed="false">
      <c r="A48" s="16" t="s">
        <v>42</v>
      </c>
      <c r="B48" s="16" t="s">
        <v>925</v>
      </c>
      <c r="C48" s="71" t="s">
        <v>1001</v>
      </c>
      <c r="D48" s="16" t="s">
        <v>1005</v>
      </c>
      <c r="E48" s="16" t="s">
        <v>1006</v>
      </c>
      <c r="F48" s="16" t="n">
        <v>1062.8</v>
      </c>
      <c r="G48" s="16" t="n">
        <v>155</v>
      </c>
      <c r="H48" s="16" t="n">
        <v>1013</v>
      </c>
      <c r="I48" s="16" t="n">
        <v>534</v>
      </c>
      <c r="J48" s="16" t="n">
        <v>479</v>
      </c>
      <c r="K48" s="16" t="n">
        <v>217</v>
      </c>
      <c r="L48" s="19" t="n">
        <f aca="false">(K48/H48)*100</f>
        <v>21.42152023692</v>
      </c>
      <c r="M48" s="16" t="n">
        <v>48</v>
      </c>
      <c r="N48" s="19" t="n">
        <f aca="false">(M48/H48)*100</f>
        <v>4.73840078973347</v>
      </c>
      <c r="O48" s="16" t="n">
        <v>175.57</v>
      </c>
      <c r="P48" s="16" t="n">
        <v>0</v>
      </c>
      <c r="Q48" s="200" t="s">
        <v>49</v>
      </c>
      <c r="R48" s="201" t="n">
        <v>45932</v>
      </c>
      <c r="S48" s="201"/>
      <c r="T48" s="89" t="n">
        <v>134.59</v>
      </c>
      <c r="U48" s="77"/>
      <c r="V48" s="77"/>
      <c r="W48" s="77"/>
      <c r="X48" s="77"/>
      <c r="Y48" s="77"/>
      <c r="Z48" s="77"/>
      <c r="AA48" s="147" t="s">
        <v>50</v>
      </c>
      <c r="AB48" s="202"/>
      <c r="AC48" s="36"/>
      <c r="AD48" s="20"/>
      <c r="AE48" s="20"/>
    </row>
    <row r="49" customFormat="false" ht="15.75" hidden="false" customHeight="false" outlineLevel="0" collapsed="false">
      <c r="A49" s="16" t="s">
        <v>42</v>
      </c>
      <c r="B49" s="16" t="s">
        <v>925</v>
      </c>
      <c r="C49" s="71" t="s">
        <v>1007</v>
      </c>
      <c r="D49" s="72" t="s">
        <v>1007</v>
      </c>
      <c r="E49" s="16" t="s">
        <v>1008</v>
      </c>
      <c r="F49" s="16" t="n">
        <v>3986.32</v>
      </c>
      <c r="G49" s="16" t="n">
        <v>620</v>
      </c>
      <c r="H49" s="16" t="n">
        <v>4173</v>
      </c>
      <c r="I49" s="16" t="n">
        <v>2199</v>
      </c>
      <c r="J49" s="16" t="n">
        <v>1974</v>
      </c>
      <c r="K49" s="16" t="n">
        <v>1080</v>
      </c>
      <c r="L49" s="19" t="n">
        <f aca="false">(K49/H49)*100</f>
        <v>25.8806613946801</v>
      </c>
      <c r="M49" s="16" t="n">
        <v>0</v>
      </c>
      <c r="N49" s="19" t="n">
        <f aca="false">(M49/H49)*100</f>
        <v>0</v>
      </c>
      <c r="O49" s="16" t="n">
        <v>16.8</v>
      </c>
      <c r="P49" s="16" t="n">
        <v>0</v>
      </c>
      <c r="Q49" s="200" t="s">
        <v>49</v>
      </c>
      <c r="R49" s="201" t="n">
        <v>45698</v>
      </c>
      <c r="S49" s="201"/>
      <c r="T49" s="89"/>
      <c r="U49" s="77"/>
      <c r="V49" s="77"/>
      <c r="W49" s="77"/>
      <c r="X49" s="77"/>
      <c r="Y49" s="77"/>
      <c r="Z49" s="77"/>
      <c r="AA49" s="202" t="s">
        <v>50</v>
      </c>
      <c r="AB49" s="202" t="n">
        <v>0</v>
      </c>
      <c r="AC49" s="36"/>
      <c r="AD49" s="95" t="n">
        <v>0</v>
      </c>
      <c r="AE49" s="95" t="n">
        <v>0</v>
      </c>
    </row>
    <row r="50" customFormat="false" ht="15.75" hidden="false" customHeight="false" outlineLevel="0" collapsed="false">
      <c r="A50" s="16" t="s">
        <v>42</v>
      </c>
      <c r="B50" s="16" t="s">
        <v>925</v>
      </c>
      <c r="C50" s="71" t="s">
        <v>1007</v>
      </c>
      <c r="D50" s="16" t="s">
        <v>1009</v>
      </c>
      <c r="E50" s="16" t="s">
        <v>1010</v>
      </c>
      <c r="F50" s="16" t="n">
        <v>1315.68</v>
      </c>
      <c r="G50" s="16" t="n">
        <v>130</v>
      </c>
      <c r="H50" s="16" t="n">
        <v>825</v>
      </c>
      <c r="I50" s="16" t="n">
        <v>434</v>
      </c>
      <c r="J50" s="16" t="n">
        <v>391</v>
      </c>
      <c r="K50" s="16" t="n">
        <v>15</v>
      </c>
      <c r="L50" s="19" t="n">
        <f aca="false">(K50/H50)*100</f>
        <v>1.81818181818182</v>
      </c>
      <c r="M50" s="16" t="n">
        <v>0</v>
      </c>
      <c r="N50" s="19" t="n">
        <f aca="false">(M50/H50)*100</f>
        <v>0</v>
      </c>
      <c r="O50" s="16" t="n">
        <v>7.2</v>
      </c>
      <c r="P50" s="16" t="n">
        <v>0</v>
      </c>
      <c r="Q50" s="200" t="s">
        <v>49</v>
      </c>
      <c r="R50" s="201" t="n">
        <v>45698</v>
      </c>
      <c r="S50" s="201"/>
      <c r="T50" s="89"/>
      <c r="U50" s="77"/>
      <c r="V50" s="77"/>
      <c r="W50" s="77"/>
      <c r="X50" s="77"/>
      <c r="Y50" s="77"/>
      <c r="Z50" s="77"/>
      <c r="AA50" s="202" t="s">
        <v>50</v>
      </c>
      <c r="AB50" s="202" t="n">
        <v>0</v>
      </c>
      <c r="AC50" s="36"/>
      <c r="AD50" s="95" t="n">
        <v>0</v>
      </c>
      <c r="AE50" s="95" t="n">
        <v>0</v>
      </c>
    </row>
    <row r="51" customFormat="false" ht="15.75" hidden="false" customHeight="false" outlineLevel="0" collapsed="false">
      <c r="A51" s="16" t="s">
        <v>42</v>
      </c>
      <c r="B51" s="16" t="s">
        <v>925</v>
      </c>
      <c r="C51" s="71" t="s">
        <v>1011</v>
      </c>
      <c r="D51" s="72" t="s">
        <v>1012</v>
      </c>
      <c r="E51" s="16" t="s">
        <v>1013</v>
      </c>
      <c r="F51" s="16" t="n">
        <v>5185.14</v>
      </c>
      <c r="G51" s="16" t="n">
        <v>1105</v>
      </c>
      <c r="H51" s="16" t="n">
        <v>6309</v>
      </c>
      <c r="I51" s="16" t="n">
        <v>3274</v>
      </c>
      <c r="J51" s="16" t="n">
        <v>3035</v>
      </c>
      <c r="K51" s="16" t="n">
        <v>931</v>
      </c>
      <c r="L51" s="19" t="n">
        <f aca="false">(K51/H51)*100</f>
        <v>14.7566967823744</v>
      </c>
      <c r="M51" s="16" t="n">
        <v>97</v>
      </c>
      <c r="N51" s="19" t="n">
        <f aca="false">(M51/H51)*100</f>
        <v>1.53748613092408</v>
      </c>
      <c r="O51" s="16" t="n">
        <v>298.88</v>
      </c>
      <c r="P51" s="16" t="n">
        <v>0</v>
      </c>
      <c r="Q51" s="146" t="s">
        <v>49</v>
      </c>
      <c r="R51" s="208" t="n">
        <v>45932</v>
      </c>
      <c r="S51" s="208"/>
      <c r="T51" s="92" t="n">
        <v>0</v>
      </c>
      <c r="U51" s="77"/>
      <c r="V51" s="77"/>
      <c r="W51" s="77"/>
      <c r="X51" s="77"/>
      <c r="Y51" s="77"/>
      <c r="Z51" s="77"/>
      <c r="AA51" s="147" t="s">
        <v>50</v>
      </c>
      <c r="AB51" s="147" t="n">
        <v>5</v>
      </c>
      <c r="AC51" s="57" t="s">
        <v>1014</v>
      </c>
      <c r="AD51" s="24"/>
      <c r="AE51" s="24"/>
    </row>
    <row r="52" customFormat="false" ht="15.75" hidden="false" customHeight="false" outlineLevel="0" collapsed="false">
      <c r="A52" s="16" t="s">
        <v>42</v>
      </c>
      <c r="B52" s="16" t="s">
        <v>925</v>
      </c>
      <c r="C52" s="71" t="s">
        <v>1015</v>
      </c>
      <c r="D52" s="72" t="s">
        <v>1015</v>
      </c>
      <c r="E52" s="16" t="s">
        <v>1016</v>
      </c>
      <c r="F52" s="16" t="n">
        <v>2396.38</v>
      </c>
      <c r="G52" s="16" t="n">
        <v>299</v>
      </c>
      <c r="H52" s="16" t="n">
        <v>2047</v>
      </c>
      <c r="I52" s="16" t="n">
        <v>1063</v>
      </c>
      <c r="J52" s="16" t="n">
        <v>984</v>
      </c>
      <c r="K52" s="16" t="n">
        <v>312</v>
      </c>
      <c r="L52" s="19" t="n">
        <f aca="false">(K52/H52)*100</f>
        <v>15.2418172936004</v>
      </c>
      <c r="M52" s="16" t="n">
        <v>102</v>
      </c>
      <c r="N52" s="19" t="n">
        <f aca="false">(M52/H52)*100</f>
        <v>4.98290180752321</v>
      </c>
      <c r="O52" s="16" t="n">
        <v>0</v>
      </c>
      <c r="P52" s="16" t="n">
        <v>0</v>
      </c>
      <c r="Q52" s="114"/>
      <c r="R52" s="114"/>
      <c r="S52" s="114"/>
      <c r="T52" s="88"/>
      <c r="U52" s="77"/>
      <c r="V52" s="77"/>
      <c r="W52" s="77"/>
      <c r="X52" s="77"/>
      <c r="Y52" s="77"/>
      <c r="Z52" s="77"/>
      <c r="AA52" s="115"/>
      <c r="AB52" s="115"/>
      <c r="AC52" s="28"/>
      <c r="AD52" s="16"/>
      <c r="AE52" s="16"/>
    </row>
    <row r="53" customFormat="false" ht="15.75" hidden="false" customHeight="false" outlineLevel="0" collapsed="false">
      <c r="A53" s="16" t="s">
        <v>42</v>
      </c>
      <c r="B53" s="16" t="s">
        <v>925</v>
      </c>
      <c r="C53" s="71" t="s">
        <v>1017</v>
      </c>
      <c r="D53" s="72" t="s">
        <v>1018</v>
      </c>
      <c r="E53" s="16" t="s">
        <v>1019</v>
      </c>
      <c r="F53" s="16" t="n">
        <v>898.64</v>
      </c>
      <c r="G53" s="16" t="n">
        <v>366</v>
      </c>
      <c r="H53" s="16" t="n">
        <v>2301</v>
      </c>
      <c r="I53" s="16" t="n">
        <v>1197</v>
      </c>
      <c r="J53" s="16" t="n">
        <v>1104</v>
      </c>
      <c r="K53" s="16" t="n">
        <v>904</v>
      </c>
      <c r="L53" s="19" t="n">
        <f aca="false">(K53/H53)*100</f>
        <v>39.2872664059105</v>
      </c>
      <c r="M53" s="16" t="n">
        <v>262</v>
      </c>
      <c r="N53" s="19" t="n">
        <f aca="false">(M53/H53)*100</f>
        <v>11.3863537592351</v>
      </c>
      <c r="O53" s="16" t="n">
        <v>30</v>
      </c>
      <c r="P53" s="16" t="n">
        <v>0</v>
      </c>
      <c r="Q53" s="114"/>
      <c r="R53" s="114"/>
      <c r="S53" s="114"/>
      <c r="T53" s="88"/>
      <c r="U53" s="77"/>
      <c r="V53" s="77"/>
      <c r="W53" s="77"/>
      <c r="X53" s="77"/>
      <c r="Y53" s="77"/>
      <c r="Z53" s="77"/>
      <c r="AA53" s="115"/>
      <c r="AB53" s="115"/>
      <c r="AC53" s="209"/>
      <c r="AD53" s="210"/>
      <c r="AE53" s="16"/>
    </row>
    <row r="54" customFormat="false" ht="15.75" hidden="false" customHeight="false" outlineLevel="0" collapsed="false">
      <c r="A54" s="16" t="s">
        <v>42</v>
      </c>
      <c r="B54" s="16" t="s">
        <v>925</v>
      </c>
      <c r="C54" s="71" t="s">
        <v>1017</v>
      </c>
      <c r="D54" s="16" t="s">
        <v>1020</v>
      </c>
      <c r="E54" s="16" t="s">
        <v>1021</v>
      </c>
      <c r="F54" s="16" t="n">
        <v>1304.38</v>
      </c>
      <c r="G54" s="16" t="n">
        <v>170</v>
      </c>
      <c r="H54" s="16" t="n">
        <v>1046</v>
      </c>
      <c r="I54" s="16" t="n">
        <v>524</v>
      </c>
      <c r="J54" s="16" t="n">
        <v>522</v>
      </c>
      <c r="K54" s="16" t="n">
        <v>83</v>
      </c>
      <c r="L54" s="19" t="n">
        <f aca="false">(K54/H54)*100</f>
        <v>7.93499043977056</v>
      </c>
      <c r="M54" s="16" t="n">
        <v>4</v>
      </c>
      <c r="N54" s="19" t="n">
        <f aca="false">(M54/H54)*100</f>
        <v>0.382409177820268</v>
      </c>
      <c r="O54" s="16" t="n">
        <v>64.09</v>
      </c>
      <c r="P54" s="16" t="n">
        <v>0</v>
      </c>
      <c r="Q54" s="114"/>
      <c r="R54" s="114"/>
      <c r="S54" s="114"/>
      <c r="T54" s="88"/>
      <c r="U54" s="77"/>
      <c r="V54" s="77"/>
      <c r="W54" s="77"/>
      <c r="X54" s="77"/>
      <c r="Y54" s="77"/>
      <c r="Z54" s="77"/>
      <c r="AA54" s="115"/>
      <c r="AB54" s="115"/>
      <c r="AC54" s="209"/>
      <c r="AD54" s="210"/>
      <c r="AE54" s="16"/>
    </row>
    <row r="55" customFormat="false" ht="15.75" hidden="false" customHeight="false" outlineLevel="0" collapsed="false">
      <c r="A55" s="16" t="s">
        <v>42</v>
      </c>
      <c r="B55" s="16" t="s">
        <v>925</v>
      </c>
      <c r="C55" s="71" t="s">
        <v>1022</v>
      </c>
      <c r="D55" s="72" t="s">
        <v>1023</v>
      </c>
      <c r="E55" s="16" t="s">
        <v>1024</v>
      </c>
      <c r="F55" s="16" t="n">
        <v>2072.27</v>
      </c>
      <c r="G55" s="16" t="n">
        <v>211</v>
      </c>
      <c r="H55" s="16" t="n">
        <v>1423</v>
      </c>
      <c r="I55" s="16" t="n">
        <v>746</v>
      </c>
      <c r="J55" s="16" t="n">
        <v>677</v>
      </c>
      <c r="K55" s="16" t="n">
        <v>12</v>
      </c>
      <c r="L55" s="19" t="n">
        <f aca="false">(K55/H55)*100</f>
        <v>0.84328882642305</v>
      </c>
      <c r="M55" s="16" t="n">
        <v>0</v>
      </c>
      <c r="N55" s="19" t="n">
        <f aca="false">(M55/H55)*100</f>
        <v>0</v>
      </c>
      <c r="O55" s="16" t="n">
        <v>0</v>
      </c>
      <c r="P55" s="16" t="n">
        <v>0</v>
      </c>
      <c r="Q55" s="114"/>
      <c r="R55" s="114"/>
      <c r="S55" s="114"/>
      <c r="T55" s="88"/>
      <c r="U55" s="77"/>
      <c r="V55" s="77"/>
      <c r="W55" s="77"/>
      <c r="X55" s="77"/>
      <c r="Y55" s="77"/>
      <c r="Z55" s="77"/>
      <c r="AA55" s="115"/>
      <c r="AB55" s="115"/>
      <c r="AC55" s="209"/>
      <c r="AD55" s="210"/>
      <c r="AE55" s="16"/>
    </row>
    <row r="56" customFormat="false" ht="15.75" hidden="false" customHeight="false" outlineLevel="0" collapsed="false">
      <c r="A56" s="16" t="s">
        <v>42</v>
      </c>
      <c r="B56" s="16" t="s">
        <v>925</v>
      </c>
      <c r="C56" s="71" t="s">
        <v>1022</v>
      </c>
      <c r="D56" s="16" t="s">
        <v>1025</v>
      </c>
      <c r="E56" s="16" t="s">
        <v>1026</v>
      </c>
      <c r="F56" s="16" t="n">
        <v>423.6</v>
      </c>
      <c r="G56" s="16" t="n">
        <v>92</v>
      </c>
      <c r="H56" s="16" t="n">
        <v>590</v>
      </c>
      <c r="I56" s="16" t="n">
        <v>309</v>
      </c>
      <c r="J56" s="16" t="n">
        <v>281</v>
      </c>
      <c r="K56" s="16" t="n">
        <v>50</v>
      </c>
      <c r="L56" s="19" t="n">
        <f aca="false">(K56/H56)*100</f>
        <v>8.47457627118644</v>
      </c>
      <c r="M56" s="16" t="n">
        <v>0</v>
      </c>
      <c r="N56" s="19" t="n">
        <f aca="false">(M56/H56)*100</f>
        <v>0</v>
      </c>
      <c r="O56" s="16" t="n">
        <v>0</v>
      </c>
      <c r="P56" s="16" t="n">
        <v>0</v>
      </c>
      <c r="Q56" s="114"/>
      <c r="R56" s="114"/>
      <c r="S56" s="114"/>
      <c r="T56" s="88"/>
      <c r="U56" s="77"/>
      <c r="V56" s="77"/>
      <c r="W56" s="77"/>
      <c r="X56" s="77"/>
      <c r="Y56" s="77"/>
      <c r="Z56" s="77"/>
      <c r="AA56" s="115"/>
      <c r="AB56" s="115"/>
      <c r="AC56" s="28"/>
      <c r="AD56" s="16"/>
      <c r="AE56" s="16"/>
    </row>
    <row r="57" customFormat="false" ht="15.75" hidden="false" customHeight="false" outlineLevel="0" collapsed="false">
      <c r="A57" s="16" t="s">
        <v>42</v>
      </c>
      <c r="B57" s="16" t="s">
        <v>925</v>
      </c>
      <c r="C57" s="71" t="s">
        <v>1027</v>
      </c>
      <c r="D57" s="72" t="s">
        <v>1028</v>
      </c>
      <c r="E57" s="16" t="s">
        <v>1029</v>
      </c>
      <c r="F57" s="16" t="n">
        <v>4764.5</v>
      </c>
      <c r="G57" s="16" t="n">
        <v>980</v>
      </c>
      <c r="H57" s="16" t="n">
        <v>5819</v>
      </c>
      <c r="I57" s="16" t="n">
        <v>2968</v>
      </c>
      <c r="J57" s="16" t="n">
        <v>2851</v>
      </c>
      <c r="K57" s="16" t="n">
        <v>1108</v>
      </c>
      <c r="L57" s="19" t="n">
        <f aca="false">(K57/H57)*100</f>
        <v>19.0410723492009</v>
      </c>
      <c r="M57" s="16" t="n">
        <v>193</v>
      </c>
      <c r="N57" s="19" t="n">
        <f aca="false">(M57/H57)*100</f>
        <v>3.31672108609727</v>
      </c>
      <c r="O57" s="16" t="n">
        <v>362.27</v>
      </c>
      <c r="P57" s="16" t="n">
        <v>0</v>
      </c>
      <c r="Q57" s="206" t="s">
        <v>49</v>
      </c>
      <c r="R57" s="206" t="s">
        <v>984</v>
      </c>
      <c r="S57" s="206"/>
      <c r="T57" s="56" t="n">
        <v>166.3418</v>
      </c>
      <c r="U57" s="77"/>
      <c r="V57" s="77"/>
      <c r="W57" s="77"/>
      <c r="X57" s="77"/>
      <c r="Y57" s="77"/>
      <c r="Z57" s="77"/>
      <c r="AA57" s="207" t="s">
        <v>50</v>
      </c>
      <c r="AB57" s="207" t="n">
        <v>90</v>
      </c>
      <c r="AC57" s="37" t="s">
        <v>1030</v>
      </c>
      <c r="AD57" s="131" t="n">
        <v>26.952176</v>
      </c>
      <c r="AE57" s="131" t="n">
        <v>73.102215</v>
      </c>
    </row>
    <row r="58" customFormat="false" ht="15.75" hidden="false" customHeight="false" outlineLevel="0" collapsed="false">
      <c r="A58" s="16"/>
      <c r="B58" s="16"/>
      <c r="C58" s="71"/>
      <c r="D58" s="72"/>
      <c r="E58" s="16"/>
      <c r="F58" s="16"/>
      <c r="G58" s="16"/>
      <c r="H58" s="16"/>
      <c r="I58" s="16"/>
      <c r="J58" s="16"/>
      <c r="K58" s="16"/>
      <c r="L58" s="19"/>
      <c r="M58" s="16"/>
      <c r="N58" s="19"/>
      <c r="O58" s="16"/>
      <c r="P58" s="16"/>
      <c r="Q58" s="198"/>
      <c r="R58" s="198"/>
      <c r="S58" s="198"/>
      <c r="T58" s="157"/>
      <c r="U58" s="77"/>
      <c r="V58" s="77"/>
      <c r="W58" s="77"/>
      <c r="X58" s="77"/>
      <c r="Y58" s="77"/>
      <c r="Z58" s="77"/>
      <c r="AA58" s="199" t="s">
        <v>50</v>
      </c>
      <c r="AB58" s="199" t="n">
        <v>25</v>
      </c>
      <c r="AC58" s="158" t="s">
        <v>1031</v>
      </c>
      <c r="AD58" s="155" t="n">
        <v>26.95254</v>
      </c>
      <c r="AE58" s="155" t="n">
        <v>73.102354</v>
      </c>
    </row>
    <row r="59" customFormat="false" ht="15.75" hidden="false" customHeight="false" outlineLevel="0" collapsed="false">
      <c r="A59" s="16"/>
      <c r="B59" s="16"/>
      <c r="C59" s="71"/>
      <c r="D59" s="72"/>
      <c r="E59" s="16"/>
      <c r="F59" s="16"/>
      <c r="G59" s="16"/>
      <c r="H59" s="16"/>
      <c r="I59" s="16"/>
      <c r="J59" s="16"/>
      <c r="K59" s="16"/>
      <c r="L59" s="19"/>
      <c r="M59" s="16"/>
      <c r="N59" s="19"/>
      <c r="O59" s="16"/>
      <c r="P59" s="16"/>
      <c r="Q59" s="198"/>
      <c r="R59" s="198"/>
      <c r="S59" s="198"/>
      <c r="T59" s="157"/>
      <c r="U59" s="77"/>
      <c r="V59" s="77"/>
      <c r="W59" s="77"/>
      <c r="X59" s="77"/>
      <c r="Y59" s="77"/>
      <c r="Z59" s="77"/>
      <c r="AA59" s="199" t="s">
        <v>50</v>
      </c>
      <c r="AB59" s="199" t="n">
        <v>5</v>
      </c>
      <c r="AC59" s="158" t="s">
        <v>1032</v>
      </c>
      <c r="AD59" s="155" t="n">
        <v>26.95357</v>
      </c>
      <c r="AE59" s="155" t="n">
        <v>7310951</v>
      </c>
    </row>
    <row r="60" customFormat="false" ht="15.75" hidden="false" customHeight="false" outlineLevel="0" collapsed="false">
      <c r="A60" s="16"/>
      <c r="B60" s="16"/>
      <c r="C60" s="71"/>
      <c r="D60" s="72"/>
      <c r="E60" s="16"/>
      <c r="F60" s="16"/>
      <c r="G60" s="16"/>
      <c r="H60" s="16"/>
      <c r="I60" s="16"/>
      <c r="J60" s="16"/>
      <c r="K60" s="16"/>
      <c r="L60" s="19"/>
      <c r="M60" s="16"/>
      <c r="N60" s="19"/>
      <c r="O60" s="16"/>
      <c r="P60" s="16"/>
      <c r="Q60" s="198"/>
      <c r="R60" s="198"/>
      <c r="S60" s="198"/>
      <c r="T60" s="157"/>
      <c r="U60" s="77"/>
      <c r="V60" s="77"/>
      <c r="W60" s="77"/>
      <c r="X60" s="77"/>
      <c r="Y60" s="77"/>
      <c r="Z60" s="77"/>
      <c r="AA60" s="199" t="s">
        <v>50</v>
      </c>
      <c r="AB60" s="199" t="n">
        <v>50</v>
      </c>
      <c r="AC60" s="158" t="s">
        <v>1033</v>
      </c>
      <c r="AD60" s="155" t="n">
        <v>26.91852</v>
      </c>
      <c r="AE60" s="155" t="n">
        <v>73.12753</v>
      </c>
    </row>
    <row r="61" customFormat="false" ht="15.75" hidden="false" customHeight="false" outlineLevel="0" collapsed="false">
      <c r="A61" s="16"/>
      <c r="B61" s="16"/>
      <c r="C61" s="71"/>
      <c r="D61" s="72"/>
      <c r="E61" s="16"/>
      <c r="F61" s="16"/>
      <c r="G61" s="16"/>
      <c r="H61" s="16"/>
      <c r="I61" s="16"/>
      <c r="J61" s="16"/>
      <c r="K61" s="16"/>
      <c r="L61" s="19"/>
      <c r="M61" s="16"/>
      <c r="N61" s="19"/>
      <c r="O61" s="16"/>
      <c r="P61" s="16"/>
      <c r="Q61" s="198"/>
      <c r="R61" s="198"/>
      <c r="S61" s="198"/>
      <c r="T61" s="157"/>
      <c r="U61" s="77"/>
      <c r="V61" s="77"/>
      <c r="W61" s="77"/>
      <c r="X61" s="77"/>
      <c r="Y61" s="77"/>
      <c r="Z61" s="77"/>
      <c r="AA61" s="199" t="s">
        <v>50</v>
      </c>
      <c r="AB61" s="199" t="n">
        <v>50</v>
      </c>
      <c r="AC61" s="158" t="s">
        <v>1034</v>
      </c>
      <c r="AD61" s="155" t="n">
        <v>26.915217</v>
      </c>
      <c r="AE61" s="155" t="n">
        <v>73.124013</v>
      </c>
    </row>
    <row r="62" customFormat="false" ht="31.5" hidden="false" customHeight="false" outlineLevel="0" collapsed="false">
      <c r="A62" s="16" t="s">
        <v>42</v>
      </c>
      <c r="B62" s="16" t="s">
        <v>925</v>
      </c>
      <c r="C62" s="71" t="s">
        <v>1035</v>
      </c>
      <c r="D62" s="72" t="s">
        <v>1035</v>
      </c>
      <c r="E62" s="16" t="s">
        <v>1036</v>
      </c>
      <c r="F62" s="16" t="n">
        <v>1661.67</v>
      </c>
      <c r="G62" s="16" t="n">
        <v>181</v>
      </c>
      <c r="H62" s="16" t="n">
        <v>1459</v>
      </c>
      <c r="I62" s="16" t="n">
        <v>767</v>
      </c>
      <c r="J62" s="16" t="n">
        <v>692</v>
      </c>
      <c r="K62" s="16" t="n">
        <v>42</v>
      </c>
      <c r="L62" s="19" t="n">
        <f aca="false">(K62/H62)*100</f>
        <v>2.87868403015764</v>
      </c>
      <c r="M62" s="16" t="n">
        <v>114</v>
      </c>
      <c r="N62" s="19" t="n">
        <f aca="false">(M62/H62)*100</f>
        <v>7.81357093899931</v>
      </c>
      <c r="O62" s="16" t="n">
        <v>646.18</v>
      </c>
      <c r="P62" s="16" t="n">
        <v>0</v>
      </c>
      <c r="Q62" s="206" t="s">
        <v>49</v>
      </c>
      <c r="R62" s="206" t="s">
        <v>1037</v>
      </c>
      <c r="S62" s="206"/>
      <c r="T62" s="56"/>
      <c r="U62" s="77"/>
      <c r="V62" s="77"/>
      <c r="W62" s="77"/>
      <c r="X62" s="77"/>
      <c r="Y62" s="77"/>
      <c r="Z62" s="77"/>
      <c r="AA62" s="207" t="s">
        <v>50</v>
      </c>
      <c r="AB62" s="207" t="n">
        <v>5</v>
      </c>
      <c r="AC62" s="37" t="s">
        <v>1038</v>
      </c>
      <c r="AD62" s="131" t="n">
        <v>27.0811329</v>
      </c>
      <c r="AE62" s="131" t="n">
        <v>73.0332708</v>
      </c>
    </row>
    <row r="63" customFormat="false" ht="31.5" hidden="false" customHeight="false" outlineLevel="0" collapsed="false">
      <c r="A63" s="16"/>
      <c r="B63" s="16"/>
      <c r="C63" s="71"/>
      <c r="D63" s="72"/>
      <c r="E63" s="16"/>
      <c r="F63" s="16"/>
      <c r="G63" s="16"/>
      <c r="H63" s="16"/>
      <c r="I63" s="16"/>
      <c r="J63" s="16"/>
      <c r="K63" s="16"/>
      <c r="L63" s="19"/>
      <c r="M63" s="16"/>
      <c r="N63" s="19"/>
      <c r="O63" s="16"/>
      <c r="P63" s="16"/>
      <c r="Q63" s="198" t="s">
        <v>49</v>
      </c>
      <c r="R63" s="198"/>
      <c r="S63" s="198"/>
      <c r="T63" s="157"/>
      <c r="U63" s="77"/>
      <c r="V63" s="77"/>
      <c r="W63" s="77"/>
      <c r="X63" s="77"/>
      <c r="Y63" s="77"/>
      <c r="Z63" s="77"/>
      <c r="AA63" s="199" t="s">
        <v>50</v>
      </c>
      <c r="AB63" s="199" t="n">
        <v>2</v>
      </c>
      <c r="AC63" s="158" t="s">
        <v>1039</v>
      </c>
      <c r="AD63" s="155" t="n">
        <v>27.08147</v>
      </c>
      <c r="AE63" s="155" t="n">
        <v>73.03214</v>
      </c>
    </row>
    <row r="64" customFormat="false" ht="31.5" hidden="false" customHeight="false" outlineLevel="0" collapsed="false">
      <c r="A64" s="16" t="s">
        <v>42</v>
      </c>
      <c r="B64" s="16" t="s">
        <v>925</v>
      </c>
      <c r="C64" s="71" t="s">
        <v>1035</v>
      </c>
      <c r="D64" s="16" t="s">
        <v>1040</v>
      </c>
      <c r="E64" s="16" t="s">
        <v>1041</v>
      </c>
      <c r="F64" s="16" t="n">
        <v>1550.06</v>
      </c>
      <c r="G64" s="16" t="n">
        <v>149</v>
      </c>
      <c r="H64" s="16" t="n">
        <v>879</v>
      </c>
      <c r="I64" s="16" t="n">
        <v>488</v>
      </c>
      <c r="J64" s="16" t="n">
        <v>391</v>
      </c>
      <c r="K64" s="16" t="n">
        <v>63</v>
      </c>
      <c r="L64" s="19" t="n">
        <f aca="false">(K64/H64)*100</f>
        <v>7.16723549488055</v>
      </c>
      <c r="M64" s="16" t="n">
        <v>198</v>
      </c>
      <c r="N64" s="19" t="n">
        <f aca="false">(M64/H64)*100</f>
        <v>22.5255972696246</v>
      </c>
      <c r="O64" s="16" t="n">
        <v>200.13</v>
      </c>
      <c r="P64" s="16" t="n">
        <v>0</v>
      </c>
      <c r="Q64" s="206"/>
      <c r="R64" s="206" t="s">
        <v>1037</v>
      </c>
      <c r="S64" s="206"/>
      <c r="T64" s="56" t="n">
        <v>179.7935</v>
      </c>
      <c r="U64" s="77"/>
      <c r="V64" s="77"/>
      <c r="W64" s="77"/>
      <c r="X64" s="77"/>
      <c r="Y64" s="77"/>
      <c r="Z64" s="77"/>
      <c r="AA64" s="207" t="s">
        <v>50</v>
      </c>
      <c r="AB64" s="207" t="n">
        <v>5</v>
      </c>
      <c r="AC64" s="37" t="s">
        <v>1042</v>
      </c>
      <c r="AD64" s="131" t="n">
        <v>27.0607133</v>
      </c>
      <c r="AE64" s="131" t="n">
        <v>72.9899206</v>
      </c>
    </row>
    <row r="65" customFormat="false" ht="15.75" hidden="false" customHeight="false" outlineLevel="0" collapsed="false">
      <c r="A65" s="58"/>
      <c r="B65" s="58"/>
      <c r="C65" s="58"/>
      <c r="D65" s="58"/>
      <c r="E65" s="58"/>
      <c r="F65" s="58" t="n">
        <f aca="false">SUM(F4:F64)</f>
        <v>63383.04</v>
      </c>
      <c r="G65" s="58" t="n">
        <f aca="false">SUM(G4:G64)</f>
        <v>10721</v>
      </c>
      <c r="H65" s="58" t="n">
        <f aca="false">SUM(H4:H64)</f>
        <v>66955</v>
      </c>
      <c r="I65" s="58" t="n">
        <f aca="false">SUM(I4:I64)</f>
        <v>34938</v>
      </c>
      <c r="J65" s="58" t="n">
        <f aca="false">SUM(J4:J64)</f>
        <v>32017</v>
      </c>
      <c r="K65" s="58" t="n">
        <f aca="false">SUM(K4:K64)</f>
        <v>12904</v>
      </c>
      <c r="L65" s="58"/>
      <c r="M65" s="58" t="n">
        <f aca="false">SUM(M4:M64)</f>
        <v>2803</v>
      </c>
      <c r="N65" s="58"/>
      <c r="O65" s="58" t="n">
        <f aca="false">SUM(O4:O64)</f>
        <v>5213.33</v>
      </c>
      <c r="P65" s="58" t="n">
        <f aca="false">SUM(P4:P64)</f>
        <v>0</v>
      </c>
      <c r="Q65" s="58"/>
      <c r="R65" s="58"/>
      <c r="S65" s="58"/>
      <c r="T65" s="58"/>
      <c r="AC65" s="59"/>
      <c r="AD65" s="58"/>
      <c r="AE65" s="58"/>
    </row>
  </sheetData>
  <autoFilter ref="A2:AE65"/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AE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AA3" activePane="bottomRight" state="frozen"/>
      <selection pane="topLeft" activeCell="A1" activeCellId="0" sqref="A1"/>
      <selection pane="topRight" activeCell="AA1" activeCellId="0" sqref="AA1"/>
      <selection pane="bottomLeft" activeCell="A3" activeCellId="0" sqref="A3"/>
      <selection pane="bottomRight" activeCell="AD1" activeCellId="0" sqref="AD1"/>
    </sheetView>
  </sheetViews>
  <sheetFormatPr defaultColWidth="32.4375" defaultRowHeight="15.7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.85"/>
    <col collapsed="false" customWidth="true" hidden="false" outlineLevel="0" max="4" min="3" style="1" width="21.28"/>
    <col collapsed="false" customWidth="true" hidden="false" outlineLevel="0" max="5" min="5" style="1" width="18.71"/>
    <col collapsed="false" customWidth="true" hidden="false" outlineLevel="0" max="6" min="6" style="1" width="23.28"/>
    <col collapsed="false" customWidth="true" hidden="false" outlineLevel="0" max="7" min="7" style="1" width="17"/>
    <col collapsed="false" customWidth="true" hidden="false" outlineLevel="0" max="8" min="8" style="1" width="16.14"/>
    <col collapsed="false" customWidth="true" hidden="false" outlineLevel="0" max="9" min="9" style="1" width="11.14"/>
    <col collapsed="false" customWidth="true" hidden="false" outlineLevel="0" max="10" min="10" style="1" width="13.28"/>
    <col collapsed="false" customWidth="true" hidden="false" outlineLevel="0" max="11" min="11" style="1" width="11.57"/>
    <col collapsed="false" customWidth="true" hidden="false" outlineLevel="0" max="12" min="12" style="1" width="10.14"/>
    <col collapsed="false" customWidth="true" hidden="false" outlineLevel="0" max="13" min="13" style="1" width="8.71"/>
    <col collapsed="false" customWidth="true" hidden="false" outlineLevel="0" max="14" min="14" style="1" width="8.85"/>
    <col collapsed="false" customWidth="true" hidden="false" outlineLevel="0" max="15" min="15" style="1" width="17.71"/>
    <col collapsed="false" customWidth="true" hidden="false" outlineLevel="0" max="22" min="16" style="1" width="15.85"/>
    <col collapsed="false" customWidth="true" hidden="false" outlineLevel="0" max="28" min="23" style="1" width="15.71"/>
    <col collapsed="false" customWidth="true" hidden="false" outlineLevel="0" max="29" min="29" style="2" width="29.42"/>
    <col collapsed="false" customWidth="true" hidden="false" outlineLevel="0" max="30" min="30" style="1" width="12.43"/>
    <col collapsed="false" customWidth="true" hidden="false" outlineLevel="0" max="31" min="31" style="1" width="14.57"/>
    <col collapsed="false" customWidth="false" hidden="false" outlineLevel="0" max="1024" min="32" style="1" width="32.43"/>
  </cols>
  <sheetData>
    <row r="1" s="211" customFormat="true" ht="19.5" hidden="false" customHeight="true" outlineLevel="0" collapsed="false">
      <c r="Q1" s="212" t="s">
        <v>0</v>
      </c>
      <c r="R1" s="212" t="s">
        <v>0</v>
      </c>
      <c r="S1" s="213" t="s">
        <v>1</v>
      </c>
      <c r="T1" s="212" t="s">
        <v>2</v>
      </c>
      <c r="U1" s="213" t="s">
        <v>2</v>
      </c>
      <c r="V1" s="213" t="s">
        <v>2</v>
      </c>
      <c r="W1" s="213" t="s">
        <v>2</v>
      </c>
      <c r="X1" s="213" t="s">
        <v>2</v>
      </c>
      <c r="Y1" s="213" t="s">
        <v>2</v>
      </c>
      <c r="Z1" s="214" t="s">
        <v>3</v>
      </c>
      <c r="AA1" s="214" t="s">
        <v>3</v>
      </c>
      <c r="AB1" s="214" t="s">
        <v>3</v>
      </c>
      <c r="AC1" s="215" t="s">
        <v>3</v>
      </c>
      <c r="AD1" s="5" t="s">
        <v>3</v>
      </c>
      <c r="AE1" s="5" t="s">
        <v>3</v>
      </c>
    </row>
    <row r="2" s="221" customFormat="true" ht="150" hidden="false" customHeight="true" outlineLevel="0" collapsed="false">
      <c r="A2" s="216" t="s">
        <v>4</v>
      </c>
      <c r="B2" s="216" t="s">
        <v>5</v>
      </c>
      <c r="C2" s="216" t="s">
        <v>6</v>
      </c>
      <c r="D2" s="216" t="s">
        <v>7</v>
      </c>
      <c r="E2" s="216" t="s">
        <v>8</v>
      </c>
      <c r="F2" s="216" t="s">
        <v>9</v>
      </c>
      <c r="G2" s="216" t="s">
        <v>10</v>
      </c>
      <c r="H2" s="216" t="s">
        <v>11</v>
      </c>
      <c r="I2" s="216" t="s">
        <v>12</v>
      </c>
      <c r="J2" s="216" t="s">
        <v>13</v>
      </c>
      <c r="K2" s="217" t="s">
        <v>14</v>
      </c>
      <c r="L2" s="217"/>
      <c r="M2" s="217" t="s">
        <v>15</v>
      </c>
      <c r="N2" s="217"/>
      <c r="O2" s="218" t="s">
        <v>16</v>
      </c>
      <c r="P2" s="219" t="s">
        <v>17</v>
      </c>
      <c r="Q2" s="162" t="s">
        <v>18</v>
      </c>
      <c r="R2" s="162" t="s">
        <v>19</v>
      </c>
      <c r="S2" s="162" t="s">
        <v>20</v>
      </c>
      <c r="T2" s="220" t="s">
        <v>21</v>
      </c>
      <c r="U2" s="162" t="s">
        <v>22</v>
      </c>
      <c r="V2" s="220" t="s">
        <v>23</v>
      </c>
      <c r="W2" s="162" t="s">
        <v>24</v>
      </c>
      <c r="X2" s="162" t="s">
        <v>25</v>
      </c>
      <c r="Y2" s="220" t="s">
        <v>26</v>
      </c>
      <c r="Z2" s="220" t="s">
        <v>27</v>
      </c>
      <c r="AA2" s="220" t="s">
        <v>1043</v>
      </c>
      <c r="AB2" s="220" t="s">
        <v>1044</v>
      </c>
      <c r="AC2" s="220" t="s">
        <v>30</v>
      </c>
      <c r="AD2" s="163" t="s">
        <v>31</v>
      </c>
      <c r="AE2" s="163"/>
    </row>
    <row r="3" s="13" customFormat="tru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14" t="s">
        <v>33</v>
      </c>
      <c r="L3" s="14" t="s">
        <v>34</v>
      </c>
      <c r="M3" s="14" t="s">
        <v>33</v>
      </c>
      <c r="N3" s="14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14" t="s">
        <v>1045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222" t="s">
        <v>40</v>
      </c>
      <c r="AE3" s="222" t="s">
        <v>41</v>
      </c>
    </row>
    <row r="4" customFormat="false" ht="15.75" hidden="false" customHeight="false" outlineLevel="0" collapsed="false">
      <c r="A4" s="16" t="s">
        <v>42</v>
      </c>
      <c r="B4" s="16" t="s">
        <v>1046</v>
      </c>
      <c r="C4" s="71" t="s">
        <v>1047</v>
      </c>
      <c r="D4" s="72" t="s">
        <v>1048</v>
      </c>
      <c r="E4" s="16" t="s">
        <v>1049</v>
      </c>
      <c r="F4" s="16" t="n">
        <v>2245</v>
      </c>
      <c r="G4" s="16" t="n">
        <v>659</v>
      </c>
      <c r="H4" s="16" t="n">
        <v>3343</v>
      </c>
      <c r="I4" s="16" t="n">
        <v>1740</v>
      </c>
      <c r="J4" s="16" t="n">
        <v>1603</v>
      </c>
      <c r="K4" s="16" t="n">
        <v>573</v>
      </c>
      <c r="L4" s="19" t="n">
        <f aca="false">(K4/H4)*100</f>
        <v>17.1402931498654</v>
      </c>
      <c r="M4" s="16" t="n">
        <v>11</v>
      </c>
      <c r="N4" s="19" t="n">
        <f aca="false">(M4/H4)*100</f>
        <v>0.329045767274903</v>
      </c>
      <c r="O4" s="16" t="n">
        <v>64</v>
      </c>
      <c r="P4" s="16" t="n">
        <v>0</v>
      </c>
      <c r="Q4" s="20" t="s">
        <v>49</v>
      </c>
      <c r="R4" s="34" t="n">
        <v>44836</v>
      </c>
      <c r="S4" s="34"/>
      <c r="T4" s="20"/>
      <c r="U4" s="223"/>
      <c r="V4" s="4"/>
      <c r="W4" s="20"/>
      <c r="X4" s="20"/>
      <c r="Y4" s="224"/>
      <c r="Z4" s="224"/>
      <c r="AA4" s="21" t="s">
        <v>50</v>
      </c>
      <c r="AB4" s="21" t="n">
        <v>10</v>
      </c>
      <c r="AC4" s="36" t="s">
        <v>276</v>
      </c>
      <c r="AD4" s="20"/>
      <c r="AE4" s="20"/>
    </row>
    <row r="5" customFormat="false" ht="15.75" hidden="false" customHeight="false" outlineLevel="0" collapsed="false">
      <c r="A5" s="16" t="s">
        <v>42</v>
      </c>
      <c r="B5" s="16" t="s">
        <v>1046</v>
      </c>
      <c r="C5" s="71" t="s">
        <v>1047</v>
      </c>
      <c r="D5" s="16" t="s">
        <v>1050</v>
      </c>
      <c r="E5" s="16" t="s">
        <v>1051</v>
      </c>
      <c r="F5" s="16" t="n">
        <v>996</v>
      </c>
      <c r="G5" s="16" t="n">
        <v>203</v>
      </c>
      <c r="H5" s="16" t="n">
        <v>1189</v>
      </c>
      <c r="I5" s="16" t="n">
        <v>627</v>
      </c>
      <c r="J5" s="16" t="n">
        <v>562</v>
      </c>
      <c r="K5" s="16" t="n">
        <v>198</v>
      </c>
      <c r="L5" s="19" t="n">
        <f aca="false">(K5/H5)*100</f>
        <v>16.6526492851135</v>
      </c>
      <c r="M5" s="16" t="n">
        <v>1</v>
      </c>
      <c r="N5" s="19" t="n">
        <f aca="false">(M5/H5)*100</f>
        <v>0.0841042893187553</v>
      </c>
      <c r="O5" s="16" t="n">
        <v>0</v>
      </c>
      <c r="P5" s="16" t="n">
        <v>0</v>
      </c>
      <c r="Q5" s="20" t="s">
        <v>1052</v>
      </c>
      <c r="R5" s="34" t="n">
        <v>44836</v>
      </c>
      <c r="S5" s="34"/>
      <c r="T5" s="20"/>
      <c r="U5" s="20"/>
      <c r="V5" s="9"/>
      <c r="W5" s="20"/>
      <c r="X5" s="20"/>
      <c r="Y5" s="34"/>
      <c r="Z5" s="34"/>
      <c r="AA5" s="21" t="s">
        <v>50</v>
      </c>
      <c r="AB5" s="21" t="n">
        <v>20</v>
      </c>
      <c r="AC5" s="36" t="s">
        <v>276</v>
      </c>
      <c r="AD5" s="20"/>
      <c r="AE5" s="20"/>
    </row>
    <row r="6" customFormat="false" ht="15.75" hidden="false" customHeight="false" outlineLevel="0" collapsed="false">
      <c r="A6" s="16" t="s">
        <v>42</v>
      </c>
      <c r="B6" s="16" t="s">
        <v>1046</v>
      </c>
      <c r="C6" s="71" t="s">
        <v>1053</v>
      </c>
      <c r="D6" s="72" t="s">
        <v>1053</v>
      </c>
      <c r="E6" s="16" t="s">
        <v>1054</v>
      </c>
      <c r="F6" s="16" t="n">
        <v>1962</v>
      </c>
      <c r="G6" s="16" t="n">
        <v>515</v>
      </c>
      <c r="H6" s="16" t="n">
        <v>2779</v>
      </c>
      <c r="I6" s="16" t="n">
        <v>1471</v>
      </c>
      <c r="J6" s="16" t="n">
        <v>1308</v>
      </c>
      <c r="K6" s="16" t="n">
        <v>453</v>
      </c>
      <c r="L6" s="19" t="n">
        <f aca="false">(K6/H6)*100</f>
        <v>16.3008276358402</v>
      </c>
      <c r="M6" s="16" t="n">
        <v>0</v>
      </c>
      <c r="N6" s="19" t="n">
        <f aca="false">(M6/H6)*100</f>
        <v>0</v>
      </c>
      <c r="O6" s="16" t="n">
        <v>10</v>
      </c>
      <c r="P6" s="16" t="n">
        <v>0</v>
      </c>
      <c r="Q6" s="20" t="s">
        <v>49</v>
      </c>
      <c r="R6" s="34" t="n">
        <v>44836</v>
      </c>
      <c r="S6" s="34"/>
      <c r="T6" s="20" t="n">
        <v>9.814</v>
      </c>
      <c r="U6" s="20"/>
      <c r="V6" s="14"/>
      <c r="W6" s="20"/>
      <c r="X6" s="20"/>
      <c r="Y6" s="34"/>
      <c r="Z6" s="34"/>
      <c r="AA6" s="21" t="s">
        <v>50</v>
      </c>
      <c r="AB6" s="21" t="n">
        <v>21</v>
      </c>
      <c r="AC6" s="36" t="s">
        <v>276</v>
      </c>
      <c r="AD6" s="20"/>
      <c r="AE6" s="20"/>
    </row>
    <row r="7" customFormat="false" ht="15.75" hidden="false" customHeight="false" outlineLevel="0" collapsed="false">
      <c r="A7" s="16" t="s">
        <v>42</v>
      </c>
      <c r="B7" s="16" t="s">
        <v>1046</v>
      </c>
      <c r="C7" s="71" t="s">
        <v>1055</v>
      </c>
      <c r="D7" s="72" t="s">
        <v>1056</v>
      </c>
      <c r="E7" s="16" t="s">
        <v>1057</v>
      </c>
      <c r="F7" s="16" t="n">
        <v>9455.4</v>
      </c>
      <c r="G7" s="16" t="n">
        <v>2261</v>
      </c>
      <c r="H7" s="16" t="n">
        <v>12611</v>
      </c>
      <c r="I7" s="16" t="n">
        <v>6514</v>
      </c>
      <c r="J7" s="16" t="n">
        <v>6097</v>
      </c>
      <c r="K7" s="16" t="n">
        <v>2968</v>
      </c>
      <c r="L7" s="19" t="n">
        <f aca="false">(K7/H7)*100</f>
        <v>23.5350091190231</v>
      </c>
      <c r="M7" s="16" t="n">
        <v>128</v>
      </c>
      <c r="N7" s="19" t="n">
        <f aca="false">(M7/H7)*100</f>
        <v>1.01498691618428</v>
      </c>
      <c r="O7" s="16" t="n">
        <v>434.05</v>
      </c>
      <c r="P7" s="16" t="n">
        <v>0</v>
      </c>
      <c r="Q7" s="20" t="s">
        <v>49</v>
      </c>
      <c r="R7" s="34" t="n">
        <v>44836</v>
      </c>
      <c r="S7" s="34"/>
      <c r="T7" s="20" t="n">
        <v>243.2549</v>
      </c>
      <c r="U7" s="20"/>
      <c r="V7" s="34"/>
      <c r="W7" s="20"/>
      <c r="X7" s="20"/>
      <c r="Y7" s="34"/>
      <c r="Z7" s="34"/>
      <c r="AA7" s="21" t="s">
        <v>266</v>
      </c>
      <c r="AB7" s="21" t="n">
        <v>43</v>
      </c>
      <c r="AC7" s="36" t="s">
        <v>276</v>
      </c>
      <c r="AD7" s="20" t="n">
        <v>26.794879</v>
      </c>
      <c r="AE7" s="20" t="n">
        <v>73.581681</v>
      </c>
    </row>
    <row r="8" customFormat="false" ht="15.75" hidden="false" customHeight="false" outlineLevel="0" collapsed="false">
      <c r="A8" s="16" t="s">
        <v>42</v>
      </c>
      <c r="B8" s="16" t="s">
        <v>1046</v>
      </c>
      <c r="C8" s="71" t="s">
        <v>1058</v>
      </c>
      <c r="D8" s="72" t="s">
        <v>1059</v>
      </c>
      <c r="E8" s="16" t="s">
        <v>1060</v>
      </c>
      <c r="F8" s="16" t="n">
        <v>1361.05</v>
      </c>
      <c r="G8" s="16" t="n">
        <v>443</v>
      </c>
      <c r="H8" s="16" t="n">
        <v>2581</v>
      </c>
      <c r="I8" s="16" t="n">
        <v>1326</v>
      </c>
      <c r="J8" s="16" t="n">
        <v>1255</v>
      </c>
      <c r="K8" s="16" t="n">
        <v>350</v>
      </c>
      <c r="L8" s="19" t="n">
        <f aca="false">(K8/H8)*100</f>
        <v>13.5606354126308</v>
      </c>
      <c r="M8" s="16" t="n">
        <v>0</v>
      </c>
      <c r="N8" s="19" t="n">
        <f aca="false">(M8/H8)*100</f>
        <v>0</v>
      </c>
      <c r="O8" s="16" t="n">
        <v>76.15</v>
      </c>
      <c r="P8" s="16" t="n">
        <v>0</v>
      </c>
      <c r="Q8" s="20" t="s">
        <v>1052</v>
      </c>
      <c r="R8" s="34" t="n">
        <v>44836</v>
      </c>
      <c r="S8" s="34"/>
      <c r="T8" s="20" t="n">
        <v>75.8218</v>
      </c>
      <c r="U8" s="20"/>
      <c r="V8" s="34"/>
      <c r="W8" s="20"/>
      <c r="X8" s="20"/>
      <c r="Y8" s="34"/>
      <c r="Z8" s="34"/>
      <c r="AA8" s="21" t="s">
        <v>266</v>
      </c>
      <c r="AB8" s="21" t="n">
        <v>11</v>
      </c>
      <c r="AC8" s="225" t="s">
        <v>317</v>
      </c>
      <c r="AD8" s="20"/>
      <c r="AE8" s="20"/>
    </row>
    <row r="9" customFormat="false" ht="15.75" hidden="false" customHeight="false" outlineLevel="0" collapsed="false">
      <c r="A9" s="16" t="s">
        <v>42</v>
      </c>
      <c r="B9" s="16" t="s">
        <v>1046</v>
      </c>
      <c r="C9" s="71" t="s">
        <v>1058</v>
      </c>
      <c r="D9" s="16" t="s">
        <v>1061</v>
      </c>
      <c r="E9" s="16" t="s">
        <v>1062</v>
      </c>
      <c r="F9" s="16" t="n">
        <v>927.87</v>
      </c>
      <c r="G9" s="16" t="n">
        <v>195</v>
      </c>
      <c r="H9" s="16" t="n">
        <v>1069</v>
      </c>
      <c r="I9" s="16" t="n">
        <v>515</v>
      </c>
      <c r="J9" s="16" t="n">
        <v>554</v>
      </c>
      <c r="K9" s="16" t="n">
        <v>306</v>
      </c>
      <c r="L9" s="19" t="n">
        <f aca="false">(K9/H9)*100</f>
        <v>28.6248830682881</v>
      </c>
      <c r="M9" s="16" t="n">
        <v>0</v>
      </c>
      <c r="N9" s="19" t="n">
        <f aca="false">(M9/H9)*100</f>
        <v>0</v>
      </c>
      <c r="O9" s="16" t="n">
        <v>1</v>
      </c>
      <c r="P9" s="16" t="n">
        <v>0</v>
      </c>
      <c r="Q9" s="20" t="s">
        <v>49</v>
      </c>
      <c r="R9" s="34" t="n">
        <v>44836</v>
      </c>
      <c r="S9" s="34"/>
      <c r="T9" s="20" t="n">
        <v>1.2707</v>
      </c>
      <c r="U9" s="20"/>
      <c r="V9" s="34"/>
      <c r="W9" s="20"/>
      <c r="X9" s="20"/>
      <c r="Y9" s="34"/>
      <c r="Z9" s="34"/>
      <c r="AA9" s="21" t="s">
        <v>50</v>
      </c>
      <c r="AB9" s="21" t="n">
        <v>23</v>
      </c>
      <c r="AC9" s="36" t="s">
        <v>276</v>
      </c>
      <c r="AD9" s="20"/>
      <c r="AE9" s="20"/>
    </row>
    <row r="10" customFormat="false" ht="31.5" hidden="false" customHeight="false" outlineLevel="0" collapsed="false">
      <c r="A10" s="16" t="s">
        <v>42</v>
      </c>
      <c r="B10" s="16" t="s">
        <v>1046</v>
      </c>
      <c r="C10" s="71" t="s">
        <v>1058</v>
      </c>
      <c r="D10" s="16" t="s">
        <v>1063</v>
      </c>
      <c r="E10" s="16" t="s">
        <v>1064</v>
      </c>
      <c r="F10" s="16" t="n">
        <v>573.11</v>
      </c>
      <c r="G10" s="16" t="n">
        <v>78</v>
      </c>
      <c r="H10" s="16" t="n">
        <v>438</v>
      </c>
      <c r="I10" s="16" t="n">
        <v>226</v>
      </c>
      <c r="J10" s="16" t="n">
        <v>212</v>
      </c>
      <c r="K10" s="16" t="n">
        <v>0</v>
      </c>
      <c r="L10" s="19" t="n">
        <f aca="false">(K10/H10)*100</f>
        <v>0</v>
      </c>
      <c r="M10" s="16" t="n">
        <v>0</v>
      </c>
      <c r="N10" s="19" t="n">
        <f aca="false">(M10/H10)*100</f>
        <v>0</v>
      </c>
      <c r="O10" s="16" t="n">
        <v>0</v>
      </c>
      <c r="P10" s="16" t="n">
        <v>0</v>
      </c>
      <c r="Q10" s="20" t="s">
        <v>1052</v>
      </c>
      <c r="R10" s="34" t="n">
        <v>44836</v>
      </c>
      <c r="S10" s="34"/>
      <c r="T10" s="20" t="n">
        <v>17.8385</v>
      </c>
      <c r="U10" s="20"/>
      <c r="V10" s="34"/>
      <c r="W10" s="20"/>
      <c r="X10" s="20"/>
      <c r="Y10" s="34"/>
      <c r="Z10" s="34"/>
      <c r="AA10" s="21" t="s">
        <v>50</v>
      </c>
      <c r="AB10" s="21" t="n">
        <v>14</v>
      </c>
      <c r="AC10" s="90" t="s">
        <v>1065</v>
      </c>
      <c r="AD10" s="20"/>
      <c r="AE10" s="20"/>
    </row>
    <row r="11" customFormat="false" ht="15.75" hidden="false" customHeight="false" outlineLevel="0" collapsed="false">
      <c r="A11" s="16" t="s">
        <v>42</v>
      </c>
      <c r="B11" s="16" t="s">
        <v>1046</v>
      </c>
      <c r="C11" s="71" t="s">
        <v>1066</v>
      </c>
      <c r="D11" s="72" t="s">
        <v>1067</v>
      </c>
      <c r="E11" s="16" t="s">
        <v>1068</v>
      </c>
      <c r="F11" s="16" t="n">
        <v>1960</v>
      </c>
      <c r="G11" s="16" t="n">
        <v>604</v>
      </c>
      <c r="H11" s="16" t="n">
        <v>3336</v>
      </c>
      <c r="I11" s="16" t="n">
        <v>1748</v>
      </c>
      <c r="J11" s="16" t="n">
        <v>1588</v>
      </c>
      <c r="K11" s="16" t="n">
        <v>630</v>
      </c>
      <c r="L11" s="19" t="n">
        <f aca="false">(K11/H11)*100</f>
        <v>18.8848920863309</v>
      </c>
      <c r="M11" s="16" t="n">
        <v>7</v>
      </c>
      <c r="N11" s="19" t="n">
        <f aca="false">(M11/H11)*100</f>
        <v>0.209832134292566</v>
      </c>
      <c r="O11" s="16" t="n">
        <v>21</v>
      </c>
      <c r="P11" s="16" t="n">
        <v>0</v>
      </c>
      <c r="Q11" s="20" t="s">
        <v>49</v>
      </c>
      <c r="R11" s="34" t="n">
        <v>44836</v>
      </c>
      <c r="S11" s="34"/>
      <c r="T11" s="20" t="n">
        <v>30.8208</v>
      </c>
      <c r="U11" s="20"/>
      <c r="V11" s="34"/>
      <c r="W11" s="20"/>
      <c r="X11" s="20"/>
      <c r="Y11" s="34"/>
      <c r="Z11" s="34"/>
      <c r="AA11" s="21" t="s">
        <v>50</v>
      </c>
      <c r="AB11" s="21" t="n">
        <v>14</v>
      </c>
      <c r="AC11" s="36" t="s">
        <v>276</v>
      </c>
      <c r="AD11" s="20" t="n">
        <v>26.704977</v>
      </c>
      <c r="AE11" s="20" t="n">
        <v>73.589943</v>
      </c>
    </row>
    <row r="12" customFormat="false" ht="15.75" hidden="false" customHeight="false" outlineLevel="0" collapsed="false">
      <c r="A12" s="16" t="s">
        <v>42</v>
      </c>
      <c r="B12" s="16" t="s">
        <v>1046</v>
      </c>
      <c r="C12" s="71" t="s">
        <v>1069</v>
      </c>
      <c r="D12" s="72" t="s">
        <v>1070</v>
      </c>
      <c r="E12" s="16" t="s">
        <v>1071</v>
      </c>
      <c r="F12" s="16" t="n">
        <v>2274.14</v>
      </c>
      <c r="G12" s="16" t="n">
        <v>545</v>
      </c>
      <c r="H12" s="16" t="n">
        <v>2897</v>
      </c>
      <c r="I12" s="16" t="n">
        <v>1500</v>
      </c>
      <c r="J12" s="16" t="n">
        <v>1397</v>
      </c>
      <c r="K12" s="16" t="n">
        <v>1076</v>
      </c>
      <c r="L12" s="19" t="n">
        <f aca="false">(K12/H12)*100</f>
        <v>37.141870900932</v>
      </c>
      <c r="M12" s="16" t="n">
        <v>5</v>
      </c>
      <c r="N12" s="19" t="n">
        <f aca="false">(M12/H12)*100</f>
        <v>0.172592336900242</v>
      </c>
      <c r="O12" s="16" t="n">
        <v>79.19</v>
      </c>
      <c r="P12" s="16" t="n">
        <v>0</v>
      </c>
      <c r="Q12" s="20"/>
      <c r="R12" s="21"/>
      <c r="S12" s="21"/>
      <c r="T12" s="20"/>
      <c r="U12" s="20"/>
      <c r="V12" s="34"/>
      <c r="W12" s="20"/>
      <c r="X12" s="20"/>
      <c r="Y12" s="34"/>
      <c r="Z12" s="34"/>
      <c r="AA12" s="21"/>
      <c r="AB12" s="21"/>
      <c r="AC12" s="36"/>
      <c r="AD12" s="20"/>
      <c r="AE12" s="20"/>
    </row>
    <row r="13" customFormat="false" ht="15.75" hidden="false" customHeight="false" outlineLevel="0" collapsed="false">
      <c r="A13" s="16" t="s">
        <v>42</v>
      </c>
      <c r="B13" s="16" t="s">
        <v>1046</v>
      </c>
      <c r="C13" s="71" t="s">
        <v>1069</v>
      </c>
      <c r="D13" s="16" t="s">
        <v>1072</v>
      </c>
      <c r="E13" s="16" t="s">
        <v>1073</v>
      </c>
      <c r="F13" s="16" t="n">
        <v>1662.98</v>
      </c>
      <c r="G13" s="16" t="n">
        <v>220</v>
      </c>
      <c r="H13" s="16" t="n">
        <v>1234</v>
      </c>
      <c r="I13" s="16" t="n">
        <v>648</v>
      </c>
      <c r="J13" s="16" t="n">
        <v>586</v>
      </c>
      <c r="K13" s="16" t="n">
        <v>242</v>
      </c>
      <c r="L13" s="19" t="n">
        <f aca="false">(K13/H13)*100</f>
        <v>19.6110210696921</v>
      </c>
      <c r="M13" s="16" t="n">
        <v>6</v>
      </c>
      <c r="N13" s="19" t="n">
        <f aca="false">(M13/H13)*100</f>
        <v>0.486223662884927</v>
      </c>
      <c r="O13" s="16" t="n">
        <v>36.1</v>
      </c>
      <c r="P13" s="16" t="n">
        <v>0</v>
      </c>
      <c r="Q13" s="20"/>
      <c r="R13" s="21"/>
      <c r="S13" s="21"/>
      <c r="T13" s="20"/>
      <c r="U13" s="20"/>
      <c r="V13" s="34"/>
      <c r="W13" s="20"/>
      <c r="X13" s="20"/>
      <c r="Y13" s="21"/>
      <c r="Z13" s="21"/>
      <c r="AA13" s="21"/>
      <c r="AB13" s="21"/>
      <c r="AC13" s="36"/>
      <c r="AD13" s="20"/>
      <c r="AE13" s="20"/>
    </row>
    <row r="14" customFormat="false" ht="15.75" hidden="false" customHeight="false" outlineLevel="0" collapsed="false">
      <c r="A14" s="16" t="s">
        <v>42</v>
      </c>
      <c r="B14" s="16" t="s">
        <v>1046</v>
      </c>
      <c r="C14" s="71" t="s">
        <v>1069</v>
      </c>
      <c r="D14" s="16" t="s">
        <v>1074</v>
      </c>
      <c r="E14" s="16" t="s">
        <v>1075</v>
      </c>
      <c r="F14" s="16" t="n">
        <v>1149.29</v>
      </c>
      <c r="G14" s="16" t="n">
        <v>203</v>
      </c>
      <c r="H14" s="16" t="n">
        <v>1120</v>
      </c>
      <c r="I14" s="16" t="n">
        <v>605</v>
      </c>
      <c r="J14" s="16" t="n">
        <v>515</v>
      </c>
      <c r="K14" s="16" t="n">
        <v>380</v>
      </c>
      <c r="L14" s="19" t="n">
        <f aca="false">(K14/H14)*100</f>
        <v>33.9285714285714</v>
      </c>
      <c r="M14" s="16" t="n">
        <v>0</v>
      </c>
      <c r="N14" s="19" t="n">
        <f aca="false">(M14/H14)*100</f>
        <v>0</v>
      </c>
      <c r="O14" s="16" t="n">
        <v>21.16</v>
      </c>
      <c r="P14" s="16" t="n">
        <v>0</v>
      </c>
      <c r="Q14" s="20"/>
      <c r="R14" s="21"/>
      <c r="S14" s="21"/>
      <c r="T14" s="20"/>
      <c r="U14" s="20"/>
      <c r="V14" s="34"/>
      <c r="W14" s="20"/>
      <c r="X14" s="20"/>
      <c r="Y14" s="21"/>
      <c r="Z14" s="21"/>
      <c r="AA14" s="21"/>
      <c r="AB14" s="21"/>
      <c r="AC14" s="36"/>
      <c r="AD14" s="20"/>
      <c r="AE14" s="20"/>
    </row>
    <row r="15" customFormat="false" ht="15.75" hidden="false" customHeight="false" outlineLevel="0" collapsed="false">
      <c r="A15" s="16" t="s">
        <v>42</v>
      </c>
      <c r="B15" s="16" t="s">
        <v>1046</v>
      </c>
      <c r="C15" s="71" t="s">
        <v>1076</v>
      </c>
      <c r="D15" s="72" t="s">
        <v>1076</v>
      </c>
      <c r="E15" s="16" t="s">
        <v>1077</v>
      </c>
      <c r="F15" s="16" t="n">
        <v>359.62</v>
      </c>
      <c r="G15" s="16" t="n">
        <v>49</v>
      </c>
      <c r="H15" s="16" t="n">
        <v>277</v>
      </c>
      <c r="I15" s="16" t="n">
        <v>127</v>
      </c>
      <c r="J15" s="16" t="n">
        <v>150</v>
      </c>
      <c r="K15" s="16" t="n">
        <v>63</v>
      </c>
      <c r="L15" s="19" t="n">
        <f aca="false">(K15/H15)*100</f>
        <v>22.7436823104693</v>
      </c>
      <c r="M15" s="16" t="n">
        <v>0</v>
      </c>
      <c r="N15" s="19" t="n">
        <f aca="false">(M15/H15)*100</f>
        <v>0</v>
      </c>
      <c r="O15" s="16" t="n">
        <v>117.1</v>
      </c>
      <c r="P15" s="16" t="n">
        <v>0</v>
      </c>
      <c r="Q15" s="20"/>
      <c r="R15" s="21"/>
      <c r="S15" s="21"/>
      <c r="T15" s="20"/>
      <c r="U15" s="20"/>
      <c r="V15" s="21"/>
      <c r="W15" s="20"/>
      <c r="X15" s="20"/>
      <c r="Y15" s="21"/>
      <c r="Z15" s="21"/>
      <c r="AA15" s="21"/>
      <c r="AB15" s="21"/>
      <c r="AC15" s="36"/>
      <c r="AD15" s="20"/>
      <c r="AE15" s="20"/>
    </row>
    <row r="16" customFormat="false" ht="15.75" hidden="false" customHeight="false" outlineLevel="0" collapsed="false">
      <c r="A16" s="16" t="s">
        <v>42</v>
      </c>
      <c r="B16" s="16" t="s">
        <v>1046</v>
      </c>
      <c r="C16" s="71" t="s">
        <v>1076</v>
      </c>
      <c r="D16" s="16" t="s">
        <v>1078</v>
      </c>
      <c r="E16" s="16" t="s">
        <v>1079</v>
      </c>
      <c r="F16" s="16" t="n">
        <v>119.07</v>
      </c>
      <c r="G16" s="16" t="n">
        <v>88</v>
      </c>
      <c r="H16" s="16" t="n">
        <v>479</v>
      </c>
      <c r="I16" s="16" t="n">
        <v>250</v>
      </c>
      <c r="J16" s="16" t="n">
        <v>229</v>
      </c>
      <c r="K16" s="16" t="n">
        <v>0</v>
      </c>
      <c r="L16" s="19" t="n">
        <f aca="false">(K16/H16)*100</f>
        <v>0</v>
      </c>
      <c r="M16" s="16" t="n">
        <v>0</v>
      </c>
      <c r="N16" s="19" t="n">
        <f aca="false">(M16/H16)*100</f>
        <v>0</v>
      </c>
      <c r="O16" s="16" t="n">
        <v>0</v>
      </c>
      <c r="P16" s="16" t="n">
        <v>0</v>
      </c>
      <c r="Q16" s="20"/>
      <c r="R16" s="21"/>
      <c r="S16" s="21"/>
      <c r="T16" s="20"/>
      <c r="U16" s="20"/>
      <c r="V16" s="21"/>
      <c r="W16" s="20"/>
      <c r="X16" s="20"/>
      <c r="Y16" s="21"/>
      <c r="Z16" s="21"/>
      <c r="AA16" s="21"/>
      <c r="AB16" s="21"/>
      <c r="AC16" s="36"/>
      <c r="AD16" s="20"/>
      <c r="AE16" s="20"/>
    </row>
    <row r="17" customFormat="false" ht="15.75" hidden="false" customHeight="false" outlineLevel="0" collapsed="false">
      <c r="A17" s="16" t="s">
        <v>42</v>
      </c>
      <c r="B17" s="16" t="s">
        <v>1046</v>
      </c>
      <c r="C17" s="71" t="s">
        <v>1076</v>
      </c>
      <c r="D17" s="16" t="s">
        <v>1080</v>
      </c>
      <c r="E17" s="16" t="s">
        <v>1081</v>
      </c>
      <c r="F17" s="16" t="n">
        <v>305.69</v>
      </c>
      <c r="G17" s="16" t="n">
        <v>107</v>
      </c>
      <c r="H17" s="16" t="n">
        <v>579</v>
      </c>
      <c r="I17" s="16" t="n">
        <v>303</v>
      </c>
      <c r="J17" s="16" t="n">
        <v>276</v>
      </c>
      <c r="K17" s="16" t="n">
        <v>0</v>
      </c>
      <c r="L17" s="19" t="n">
        <f aca="false">(K17/H17)*100</f>
        <v>0</v>
      </c>
      <c r="M17" s="16" t="n">
        <v>0</v>
      </c>
      <c r="N17" s="19" t="n">
        <f aca="false">(M17/H17)*100</f>
        <v>0</v>
      </c>
      <c r="O17" s="16" t="n">
        <v>0</v>
      </c>
      <c r="P17" s="16" t="n">
        <v>0</v>
      </c>
      <c r="Q17" s="20"/>
      <c r="R17" s="21"/>
      <c r="S17" s="21"/>
      <c r="T17" s="20"/>
      <c r="U17" s="20"/>
      <c r="V17" s="21"/>
      <c r="W17" s="20"/>
      <c r="X17" s="20"/>
      <c r="Y17" s="21"/>
      <c r="Z17" s="21"/>
      <c r="AA17" s="21"/>
      <c r="AB17" s="21"/>
      <c r="AC17" s="36"/>
      <c r="AD17" s="20"/>
      <c r="AE17" s="20"/>
    </row>
    <row r="18" customFormat="false" ht="15.75" hidden="false" customHeight="false" outlineLevel="0" collapsed="false">
      <c r="A18" s="16" t="s">
        <v>42</v>
      </c>
      <c r="B18" s="16" t="s">
        <v>1046</v>
      </c>
      <c r="C18" s="71" t="s">
        <v>1076</v>
      </c>
      <c r="D18" s="16" t="s">
        <v>1082</v>
      </c>
      <c r="E18" s="16" t="s">
        <v>1083</v>
      </c>
      <c r="F18" s="16" t="n">
        <v>253.13</v>
      </c>
      <c r="G18" s="16" t="n">
        <v>110</v>
      </c>
      <c r="H18" s="16" t="n">
        <v>600</v>
      </c>
      <c r="I18" s="16" t="n">
        <v>312</v>
      </c>
      <c r="J18" s="16" t="n">
        <v>288</v>
      </c>
      <c r="K18" s="16" t="n">
        <v>0</v>
      </c>
      <c r="L18" s="19" t="n">
        <f aca="false">(K18/H18)*100</f>
        <v>0</v>
      </c>
      <c r="M18" s="16" t="n">
        <v>0</v>
      </c>
      <c r="N18" s="19" t="n">
        <f aca="false">(M18/H18)*100</f>
        <v>0</v>
      </c>
      <c r="O18" s="16" t="n">
        <v>0</v>
      </c>
      <c r="P18" s="16" t="n">
        <v>0</v>
      </c>
      <c r="Q18" s="20"/>
      <c r="R18" s="21"/>
      <c r="S18" s="21"/>
      <c r="T18" s="20"/>
      <c r="U18" s="20"/>
      <c r="V18" s="21"/>
      <c r="W18" s="20"/>
      <c r="X18" s="20"/>
      <c r="Y18" s="21"/>
      <c r="Z18" s="21"/>
      <c r="AA18" s="21"/>
      <c r="AB18" s="21"/>
      <c r="AC18" s="36"/>
      <c r="AD18" s="20"/>
      <c r="AE18" s="20"/>
    </row>
    <row r="19" customFormat="false" ht="15.75" hidden="false" customHeight="false" outlineLevel="0" collapsed="false">
      <c r="A19" s="16" t="s">
        <v>42</v>
      </c>
      <c r="B19" s="16" t="s">
        <v>1046</v>
      </c>
      <c r="C19" s="71" t="s">
        <v>1076</v>
      </c>
      <c r="D19" s="16" t="s">
        <v>1084</v>
      </c>
      <c r="E19" s="16" t="s">
        <v>1085</v>
      </c>
      <c r="F19" s="16" t="n">
        <v>744.49</v>
      </c>
      <c r="G19" s="16" t="n">
        <v>108</v>
      </c>
      <c r="H19" s="16" t="n">
        <v>638</v>
      </c>
      <c r="I19" s="16" t="n">
        <v>335</v>
      </c>
      <c r="J19" s="16" t="n">
        <v>303</v>
      </c>
      <c r="K19" s="16" t="n">
        <v>0</v>
      </c>
      <c r="L19" s="19" t="n">
        <f aca="false">(K19/H19)*100</f>
        <v>0</v>
      </c>
      <c r="M19" s="16" t="n">
        <v>0</v>
      </c>
      <c r="N19" s="19" t="n">
        <f aca="false">(M19/H19)*100</f>
        <v>0</v>
      </c>
      <c r="O19" s="16" t="n">
        <v>2.03</v>
      </c>
      <c r="P19" s="16" t="n">
        <v>0</v>
      </c>
      <c r="Q19" s="20"/>
      <c r="R19" s="21"/>
      <c r="S19" s="21"/>
      <c r="T19" s="20"/>
      <c r="U19" s="20"/>
      <c r="V19" s="21"/>
      <c r="W19" s="20"/>
      <c r="X19" s="20"/>
      <c r="Y19" s="21"/>
      <c r="Z19" s="21"/>
      <c r="AA19" s="21"/>
      <c r="AB19" s="21"/>
      <c r="AC19" s="36"/>
      <c r="AD19" s="20"/>
      <c r="AE19" s="20"/>
    </row>
    <row r="20" customFormat="false" ht="31.5" hidden="false" customHeight="false" outlineLevel="0" collapsed="false">
      <c r="A20" s="16" t="s">
        <v>42</v>
      </c>
      <c r="B20" s="16" t="s">
        <v>1046</v>
      </c>
      <c r="C20" s="71" t="s">
        <v>1086</v>
      </c>
      <c r="D20" s="72" t="s">
        <v>1087</v>
      </c>
      <c r="E20" s="16" t="s">
        <v>1088</v>
      </c>
      <c r="F20" s="16" t="n">
        <v>1710.01</v>
      </c>
      <c r="G20" s="16" t="n">
        <v>463</v>
      </c>
      <c r="H20" s="16" t="n">
        <v>2792</v>
      </c>
      <c r="I20" s="16" t="n">
        <v>1464</v>
      </c>
      <c r="J20" s="16" t="n">
        <v>1328</v>
      </c>
      <c r="K20" s="16" t="n">
        <v>609</v>
      </c>
      <c r="L20" s="19" t="n">
        <f aca="false">(K20/H20)*100</f>
        <v>21.8123209169054</v>
      </c>
      <c r="M20" s="16" t="n">
        <v>0</v>
      </c>
      <c r="N20" s="19" t="n">
        <f aca="false">(M20/H20)*100</f>
        <v>0</v>
      </c>
      <c r="O20" s="16" t="n">
        <v>158.7</v>
      </c>
      <c r="P20" s="16" t="n">
        <v>0</v>
      </c>
      <c r="Q20" s="24" t="s">
        <v>49</v>
      </c>
      <c r="R20" s="25" t="n">
        <v>44836</v>
      </c>
      <c r="S20" s="25"/>
      <c r="T20" s="24" t="n">
        <v>109.0301</v>
      </c>
      <c r="U20" s="20"/>
      <c r="V20" s="21"/>
      <c r="W20" s="20"/>
      <c r="X20" s="20"/>
      <c r="Y20" s="21"/>
      <c r="Z20" s="21"/>
      <c r="AA20" s="47" t="s">
        <v>266</v>
      </c>
      <c r="AB20" s="26" t="n">
        <v>20</v>
      </c>
      <c r="AC20" s="96" t="s">
        <v>1089</v>
      </c>
      <c r="AD20" s="226" t="s">
        <v>1090</v>
      </c>
      <c r="AE20" s="227" t="n">
        <v>73.35</v>
      </c>
    </row>
    <row r="21" customFormat="false" ht="47.25" hidden="false" customHeight="false" outlineLevel="0" collapsed="false">
      <c r="A21" s="16"/>
      <c r="B21" s="16"/>
      <c r="C21" s="71"/>
      <c r="D21" s="72"/>
      <c r="E21" s="16"/>
      <c r="F21" s="16"/>
      <c r="G21" s="16"/>
      <c r="H21" s="16"/>
      <c r="I21" s="16"/>
      <c r="J21" s="16"/>
      <c r="K21" s="16"/>
      <c r="L21" s="19" t="e">
        <f aca="false">(K21/H21)*100</f>
        <v>#DIV/0!</v>
      </c>
      <c r="M21" s="16"/>
      <c r="N21" s="19" t="e">
        <f aca="false">(M21/H21)*100</f>
        <v>#DIV/0!</v>
      </c>
      <c r="O21" s="16"/>
      <c r="P21" s="16"/>
      <c r="Q21" s="228"/>
      <c r="R21" s="97"/>
      <c r="S21" s="97"/>
      <c r="T21" s="228"/>
      <c r="U21" s="20"/>
      <c r="V21" s="21"/>
      <c r="W21" s="20"/>
      <c r="X21" s="20"/>
      <c r="Y21" s="25"/>
      <c r="Z21" s="25"/>
      <c r="AA21" s="229" t="s">
        <v>266</v>
      </c>
      <c r="AB21" s="97" t="n">
        <v>8</v>
      </c>
      <c r="AC21" s="98" t="s">
        <v>1091</v>
      </c>
      <c r="AD21" s="230" t="s">
        <v>1092</v>
      </c>
      <c r="AE21" s="231" t="n">
        <v>73.33</v>
      </c>
    </row>
    <row r="22" customFormat="false" ht="47.25" hidden="false" customHeight="false" outlineLevel="0" collapsed="false">
      <c r="A22" s="16"/>
      <c r="B22" s="16"/>
      <c r="C22" s="71"/>
      <c r="D22" s="72"/>
      <c r="E22" s="16"/>
      <c r="F22" s="16"/>
      <c r="G22" s="16"/>
      <c r="H22" s="16"/>
      <c r="I22" s="16"/>
      <c r="J22" s="16"/>
      <c r="K22" s="16"/>
      <c r="L22" s="19" t="e">
        <f aca="false">(K22/H22)*100</f>
        <v>#DIV/0!</v>
      </c>
      <c r="M22" s="16"/>
      <c r="N22" s="19" t="e">
        <f aca="false">(M22/H22)*100</f>
        <v>#DIV/0!</v>
      </c>
      <c r="O22" s="16"/>
      <c r="P22" s="16"/>
      <c r="Q22" s="228"/>
      <c r="R22" s="97"/>
      <c r="S22" s="97"/>
      <c r="T22" s="228"/>
      <c r="U22" s="20"/>
      <c r="V22" s="21"/>
      <c r="W22" s="20"/>
      <c r="X22" s="20"/>
      <c r="Y22" s="97"/>
      <c r="Z22" s="97"/>
      <c r="AA22" s="229" t="s">
        <v>266</v>
      </c>
      <c r="AB22" s="97" t="n">
        <v>10</v>
      </c>
      <c r="AC22" s="98" t="s">
        <v>1093</v>
      </c>
      <c r="AD22" s="230" t="n">
        <v>26.59</v>
      </c>
      <c r="AE22" s="231" t="n">
        <v>73.33</v>
      </c>
    </row>
    <row r="23" customFormat="false" ht="47.25" hidden="false" customHeight="false" outlineLevel="0" collapsed="false">
      <c r="A23" s="16" t="s">
        <v>42</v>
      </c>
      <c r="B23" s="16" t="s">
        <v>1046</v>
      </c>
      <c r="C23" s="71" t="s">
        <v>1086</v>
      </c>
      <c r="D23" s="16" t="s">
        <v>1094</v>
      </c>
      <c r="E23" s="16" t="s">
        <v>1095</v>
      </c>
      <c r="F23" s="16" t="n">
        <v>1063.99</v>
      </c>
      <c r="G23" s="16" t="n">
        <v>214</v>
      </c>
      <c r="H23" s="16" t="n">
        <v>1187</v>
      </c>
      <c r="I23" s="16" t="n">
        <v>609</v>
      </c>
      <c r="J23" s="16" t="n">
        <v>578</v>
      </c>
      <c r="K23" s="16" t="n">
        <v>348</v>
      </c>
      <c r="L23" s="19" t="n">
        <f aca="false">(K23/H23)*100</f>
        <v>29.3176074136478</v>
      </c>
      <c r="M23" s="16" t="n">
        <v>3</v>
      </c>
      <c r="N23" s="19" t="n">
        <f aca="false">(M23/H23)*100</f>
        <v>0.25273799494524</v>
      </c>
      <c r="O23" s="16" t="n">
        <v>186.68</v>
      </c>
      <c r="P23" s="16" t="n">
        <v>0</v>
      </c>
      <c r="Q23" s="24" t="s">
        <v>49</v>
      </c>
      <c r="R23" s="25" t="n">
        <v>44836</v>
      </c>
      <c r="S23" s="25"/>
      <c r="T23" s="24" t="n">
        <v>29.9953</v>
      </c>
      <c r="U23" s="20"/>
      <c r="V23" s="25"/>
      <c r="W23" s="20"/>
      <c r="X23" s="20"/>
      <c r="Y23" s="97"/>
      <c r="Z23" s="97"/>
      <c r="AA23" s="47" t="s">
        <v>266</v>
      </c>
      <c r="AB23" s="26" t="n">
        <v>10</v>
      </c>
      <c r="AC23" s="96" t="s">
        <v>1096</v>
      </c>
      <c r="AD23" s="226" t="n">
        <v>26.59</v>
      </c>
      <c r="AE23" s="227" t="n">
        <v>73.33</v>
      </c>
    </row>
    <row r="24" customFormat="false" ht="31.5" hidden="false" customHeight="false" outlineLevel="0" collapsed="false">
      <c r="A24" s="16"/>
      <c r="B24" s="16"/>
      <c r="C24" s="71"/>
      <c r="D24" s="16"/>
      <c r="E24" s="16"/>
      <c r="F24" s="16"/>
      <c r="G24" s="16"/>
      <c r="H24" s="16"/>
      <c r="I24" s="16"/>
      <c r="J24" s="16"/>
      <c r="K24" s="16"/>
      <c r="L24" s="19" t="e">
        <f aca="false">(K24/H24)*100</f>
        <v>#DIV/0!</v>
      </c>
      <c r="M24" s="16"/>
      <c r="N24" s="19" t="e">
        <f aca="false">(M24/H24)*100</f>
        <v>#DIV/0!</v>
      </c>
      <c r="O24" s="16"/>
      <c r="P24" s="16"/>
      <c r="Q24" s="228"/>
      <c r="R24" s="97"/>
      <c r="S24" s="97"/>
      <c r="T24" s="228"/>
      <c r="U24" s="20"/>
      <c r="V24" s="97"/>
      <c r="W24" s="20"/>
      <c r="X24" s="20"/>
      <c r="Y24" s="25"/>
      <c r="Z24" s="25"/>
      <c r="AA24" s="229" t="s">
        <v>266</v>
      </c>
      <c r="AB24" s="97" t="n">
        <v>10</v>
      </c>
      <c r="AC24" s="98" t="s">
        <v>1097</v>
      </c>
      <c r="AD24" s="230" t="n">
        <v>26.63</v>
      </c>
      <c r="AE24" s="231" t="n">
        <v>73.34</v>
      </c>
    </row>
    <row r="25" customFormat="false" ht="15.75" hidden="false" customHeight="false" outlineLevel="0" collapsed="false">
      <c r="A25" s="16" t="s">
        <v>42</v>
      </c>
      <c r="B25" s="16" t="s">
        <v>1046</v>
      </c>
      <c r="C25" s="71" t="s">
        <v>1046</v>
      </c>
      <c r="D25" s="72" t="s">
        <v>1098</v>
      </c>
      <c r="E25" s="16" t="s">
        <v>1099</v>
      </c>
      <c r="F25" s="16" t="n">
        <v>6158.35</v>
      </c>
      <c r="G25" s="16" t="n">
        <v>3496</v>
      </c>
      <c r="H25" s="16" t="n">
        <v>19322</v>
      </c>
      <c r="I25" s="16" t="n">
        <v>9982</v>
      </c>
      <c r="J25" s="16" t="n">
        <v>9340</v>
      </c>
      <c r="K25" s="16" t="n">
        <v>3838</v>
      </c>
      <c r="L25" s="19" t="n">
        <f aca="false">(K25/H25)*100</f>
        <v>19.8633681813477</v>
      </c>
      <c r="M25" s="16" t="n">
        <v>537</v>
      </c>
      <c r="N25" s="19" t="n">
        <f aca="false">(M25/H25)*100</f>
        <v>2.77921540213228</v>
      </c>
      <c r="O25" s="16" t="n">
        <v>206.88</v>
      </c>
      <c r="P25" s="16" t="n">
        <v>0</v>
      </c>
      <c r="Q25" s="20"/>
      <c r="R25" s="21"/>
      <c r="S25" s="21"/>
      <c r="T25" s="20"/>
      <c r="U25" s="20"/>
      <c r="V25" s="97"/>
      <c r="W25" s="20"/>
      <c r="X25" s="20"/>
      <c r="Y25" s="97"/>
      <c r="Z25" s="97"/>
      <c r="AA25" s="21"/>
      <c r="AB25" s="21"/>
      <c r="AC25" s="36"/>
      <c r="AD25" s="20"/>
      <c r="AE25" s="20"/>
    </row>
    <row r="26" customFormat="false" ht="15.75" hidden="false" customHeight="false" outlineLevel="0" collapsed="false">
      <c r="A26" s="16" t="s">
        <v>42</v>
      </c>
      <c r="B26" s="16" t="s">
        <v>1046</v>
      </c>
      <c r="C26" s="71" t="s">
        <v>1100</v>
      </c>
      <c r="D26" s="72" t="s">
        <v>1101</v>
      </c>
      <c r="E26" s="16" t="s">
        <v>1102</v>
      </c>
      <c r="F26" s="16" t="n">
        <v>2369.13</v>
      </c>
      <c r="G26" s="16" t="n">
        <v>481</v>
      </c>
      <c r="H26" s="16" t="n">
        <v>2761</v>
      </c>
      <c r="I26" s="16" t="n">
        <v>1486</v>
      </c>
      <c r="J26" s="16" t="n">
        <v>1275</v>
      </c>
      <c r="K26" s="16" t="n">
        <v>481</v>
      </c>
      <c r="L26" s="19" t="n">
        <f aca="false">(K26/H26)*100</f>
        <v>17.4212241941326</v>
      </c>
      <c r="M26" s="16" t="n">
        <v>0</v>
      </c>
      <c r="N26" s="19" t="n">
        <f aca="false">(M26/H26)*100</f>
        <v>0</v>
      </c>
      <c r="O26" s="16" t="n">
        <v>3</v>
      </c>
      <c r="P26" s="16" t="n">
        <v>0</v>
      </c>
      <c r="Q26" s="20" t="s">
        <v>70</v>
      </c>
      <c r="R26" s="34" t="n">
        <v>44806</v>
      </c>
      <c r="S26" s="34"/>
      <c r="T26" s="20" t="n">
        <v>10.7404</v>
      </c>
      <c r="U26" s="20"/>
      <c r="V26" s="25"/>
      <c r="W26" s="20"/>
      <c r="X26" s="20"/>
      <c r="Y26" s="21"/>
      <c r="Z26" s="21"/>
      <c r="AA26" s="21" t="s">
        <v>50</v>
      </c>
      <c r="AB26" s="21" t="n">
        <v>23</v>
      </c>
      <c r="AC26" s="36" t="s">
        <v>276</v>
      </c>
      <c r="AD26" s="20"/>
      <c r="AE26" s="20"/>
    </row>
    <row r="27" customFormat="false" ht="15.75" hidden="false" customHeight="false" outlineLevel="0" collapsed="false">
      <c r="A27" s="16" t="s">
        <v>42</v>
      </c>
      <c r="B27" s="16" t="s">
        <v>1046</v>
      </c>
      <c r="C27" s="71" t="s">
        <v>1100</v>
      </c>
      <c r="D27" s="16" t="s">
        <v>146</v>
      </c>
      <c r="E27" s="16" t="s">
        <v>1103</v>
      </c>
      <c r="F27" s="16" t="n">
        <v>712.74</v>
      </c>
      <c r="G27" s="16" t="n">
        <v>107</v>
      </c>
      <c r="H27" s="16" t="n">
        <v>636</v>
      </c>
      <c r="I27" s="16" t="n">
        <v>321</v>
      </c>
      <c r="J27" s="16" t="n">
        <v>315</v>
      </c>
      <c r="K27" s="16" t="n">
        <v>4</v>
      </c>
      <c r="L27" s="19" t="n">
        <f aca="false">(K27/H27)*100</f>
        <v>0.628930817610063</v>
      </c>
      <c r="M27" s="16" t="n">
        <v>0</v>
      </c>
      <c r="N27" s="19" t="n">
        <f aca="false">(M27/H27)*100</f>
        <v>0</v>
      </c>
      <c r="O27" s="16" t="n">
        <v>0</v>
      </c>
      <c r="P27" s="16" t="n">
        <v>0</v>
      </c>
      <c r="Q27" s="20" t="s">
        <v>49</v>
      </c>
      <c r="R27" s="34" t="n">
        <v>44806</v>
      </c>
      <c r="S27" s="34"/>
      <c r="T27" s="20" t="n">
        <v>10.5908</v>
      </c>
      <c r="U27" s="20"/>
      <c r="V27" s="97"/>
      <c r="W27" s="20"/>
      <c r="X27" s="20"/>
      <c r="Y27" s="34"/>
      <c r="Z27" s="34"/>
      <c r="AA27" s="21" t="s">
        <v>50</v>
      </c>
      <c r="AB27" s="21" t="n">
        <v>8</v>
      </c>
      <c r="AC27" s="36" t="s">
        <v>276</v>
      </c>
      <c r="AD27" s="20"/>
      <c r="AE27" s="20"/>
    </row>
    <row r="28" customFormat="false" ht="47.25" hidden="false" customHeight="false" outlineLevel="0" collapsed="false">
      <c r="A28" s="16" t="s">
        <v>42</v>
      </c>
      <c r="B28" s="16" t="s">
        <v>1046</v>
      </c>
      <c r="C28" s="71" t="s">
        <v>1104</v>
      </c>
      <c r="D28" s="72" t="s">
        <v>1104</v>
      </c>
      <c r="E28" s="16" t="s">
        <v>1105</v>
      </c>
      <c r="F28" s="16" t="n">
        <v>1003.12</v>
      </c>
      <c r="G28" s="16" t="n">
        <v>241</v>
      </c>
      <c r="H28" s="16" t="n">
        <v>1253</v>
      </c>
      <c r="I28" s="16" t="n">
        <v>657</v>
      </c>
      <c r="J28" s="16" t="n">
        <v>596</v>
      </c>
      <c r="K28" s="16" t="n">
        <v>330</v>
      </c>
      <c r="L28" s="19" t="n">
        <f aca="false">(K28/H28)*100</f>
        <v>26.3367916999202</v>
      </c>
      <c r="M28" s="16" t="n">
        <v>0</v>
      </c>
      <c r="N28" s="19" t="n">
        <f aca="false">(M28/H28)*100</f>
        <v>0</v>
      </c>
      <c r="O28" s="16" t="n">
        <v>0.72</v>
      </c>
      <c r="P28" s="16" t="n">
        <v>0</v>
      </c>
      <c r="Q28" s="24" t="s">
        <v>49</v>
      </c>
      <c r="R28" s="25" t="n">
        <v>44836</v>
      </c>
      <c r="S28" s="25"/>
      <c r="T28" s="24"/>
      <c r="U28" s="20"/>
      <c r="V28" s="21"/>
      <c r="W28" s="20"/>
      <c r="X28" s="20"/>
      <c r="Y28" s="34"/>
      <c r="Z28" s="34"/>
      <c r="AA28" s="47" t="s">
        <v>266</v>
      </c>
      <c r="AB28" s="26" t="n">
        <v>10</v>
      </c>
      <c r="AC28" s="96" t="s">
        <v>1106</v>
      </c>
      <c r="AD28" s="226" t="n">
        <v>26.65</v>
      </c>
      <c r="AE28" s="227" t="n">
        <v>73.64</v>
      </c>
    </row>
    <row r="29" customFormat="false" ht="47.25" hidden="false" customHeight="false" outlineLevel="0" collapsed="false">
      <c r="A29" s="16" t="s">
        <v>42</v>
      </c>
      <c r="B29" s="16" t="s">
        <v>1046</v>
      </c>
      <c r="C29" s="71" t="s">
        <v>1104</v>
      </c>
      <c r="D29" s="16" t="s">
        <v>1107</v>
      </c>
      <c r="E29" s="16" t="s">
        <v>1108</v>
      </c>
      <c r="F29" s="16" t="n">
        <v>366.88</v>
      </c>
      <c r="G29" s="16" t="n">
        <v>138</v>
      </c>
      <c r="H29" s="16" t="n">
        <v>778</v>
      </c>
      <c r="I29" s="16" t="n">
        <v>409</v>
      </c>
      <c r="J29" s="16" t="n">
        <v>369</v>
      </c>
      <c r="K29" s="16" t="n">
        <v>0</v>
      </c>
      <c r="L29" s="19" t="n">
        <f aca="false">(K29/H29)*100</f>
        <v>0</v>
      </c>
      <c r="M29" s="16" t="n">
        <v>0</v>
      </c>
      <c r="N29" s="19" t="n">
        <f aca="false">(M29/H29)*100</f>
        <v>0</v>
      </c>
      <c r="O29" s="16" t="n">
        <v>24.28</v>
      </c>
      <c r="P29" s="16" t="n">
        <v>0</v>
      </c>
      <c r="Q29" s="24" t="s">
        <v>49</v>
      </c>
      <c r="R29" s="25" t="n">
        <v>44836</v>
      </c>
      <c r="S29" s="25"/>
      <c r="T29" s="24" t="n">
        <v>23.9655</v>
      </c>
      <c r="U29" s="20"/>
      <c r="V29" s="34"/>
      <c r="W29" s="20"/>
      <c r="X29" s="20"/>
      <c r="Y29" s="25"/>
      <c r="Z29" s="25"/>
      <c r="AA29" s="47" t="s">
        <v>266</v>
      </c>
      <c r="AB29" s="26" t="n">
        <v>10</v>
      </c>
      <c r="AC29" s="96" t="s">
        <v>1109</v>
      </c>
      <c r="AD29" s="226" t="n">
        <v>26.64</v>
      </c>
      <c r="AE29" s="227" t="n">
        <v>73.59</v>
      </c>
    </row>
    <row r="30" customFormat="false" ht="31.5" hidden="false" customHeight="false" outlineLevel="0" collapsed="false">
      <c r="A30" s="16" t="s">
        <v>42</v>
      </c>
      <c r="B30" s="16" t="s">
        <v>1046</v>
      </c>
      <c r="C30" s="71" t="s">
        <v>1104</v>
      </c>
      <c r="D30" s="16" t="s">
        <v>146</v>
      </c>
      <c r="E30" s="16" t="s">
        <v>1110</v>
      </c>
      <c r="F30" s="16" t="n">
        <v>632.66</v>
      </c>
      <c r="G30" s="16" t="n">
        <v>96</v>
      </c>
      <c r="H30" s="16" t="n">
        <v>516</v>
      </c>
      <c r="I30" s="16" t="n">
        <v>270</v>
      </c>
      <c r="J30" s="16" t="n">
        <v>246</v>
      </c>
      <c r="K30" s="16" t="n">
        <v>48</v>
      </c>
      <c r="L30" s="19" t="n">
        <f aca="false">(K30/H30)*100</f>
        <v>9.30232558139535</v>
      </c>
      <c r="M30" s="16" t="n">
        <v>0</v>
      </c>
      <c r="N30" s="19" t="n">
        <f aca="false">(M30/H30)*100</f>
        <v>0</v>
      </c>
      <c r="O30" s="16" t="n">
        <v>10.08</v>
      </c>
      <c r="P30" s="16" t="n">
        <v>0</v>
      </c>
      <c r="Q30" s="24" t="s">
        <v>49</v>
      </c>
      <c r="R30" s="25" t="n">
        <v>44836</v>
      </c>
      <c r="S30" s="25"/>
      <c r="T30" s="24"/>
      <c r="U30" s="20"/>
      <c r="V30" s="34"/>
      <c r="W30" s="20"/>
      <c r="X30" s="20"/>
      <c r="Y30" s="25"/>
      <c r="Z30" s="25"/>
      <c r="AA30" s="47" t="s">
        <v>266</v>
      </c>
      <c r="AB30" s="26" t="n">
        <v>10</v>
      </c>
      <c r="AC30" s="96" t="s">
        <v>1111</v>
      </c>
      <c r="AD30" s="226" t="n">
        <v>26.67</v>
      </c>
      <c r="AE30" s="227" t="n">
        <v>73.64</v>
      </c>
    </row>
    <row r="31" customFormat="false" ht="15.75" hidden="false" customHeight="false" outlineLevel="0" collapsed="false">
      <c r="A31" s="16" t="s">
        <v>42</v>
      </c>
      <c r="B31" s="16" t="s">
        <v>1046</v>
      </c>
      <c r="C31" s="71" t="s">
        <v>1112</v>
      </c>
      <c r="D31" s="72" t="s">
        <v>1113</v>
      </c>
      <c r="E31" s="16" t="s">
        <v>1114</v>
      </c>
      <c r="F31" s="16" t="n">
        <v>3621.9</v>
      </c>
      <c r="G31" s="16" t="n">
        <v>751</v>
      </c>
      <c r="H31" s="16" t="n">
        <v>4077</v>
      </c>
      <c r="I31" s="16" t="n">
        <v>2122</v>
      </c>
      <c r="J31" s="16" t="n">
        <v>1955</v>
      </c>
      <c r="K31" s="16" t="n">
        <v>1163</v>
      </c>
      <c r="L31" s="19" t="n">
        <f aca="false">(K31/H31)*100</f>
        <v>28.5258768702477</v>
      </c>
      <c r="M31" s="16" t="n">
        <v>61</v>
      </c>
      <c r="N31" s="19" t="n">
        <f aca="false">(M31/H31)*100</f>
        <v>1.49619818493991</v>
      </c>
      <c r="O31" s="16" t="n">
        <v>77.3</v>
      </c>
      <c r="P31" s="16" t="n">
        <v>0</v>
      </c>
      <c r="Q31" s="20" t="s">
        <v>49</v>
      </c>
      <c r="R31" s="34" t="n">
        <v>44836</v>
      </c>
      <c r="S31" s="34"/>
      <c r="T31" s="20" t="n">
        <v>78.2903</v>
      </c>
      <c r="U31" s="20"/>
      <c r="V31" s="25"/>
      <c r="W31" s="20" t="s">
        <v>266</v>
      </c>
      <c r="Y31" s="20" t="n">
        <v>2</v>
      </c>
      <c r="Z31" s="25"/>
      <c r="AA31" s="21" t="s">
        <v>266</v>
      </c>
      <c r="AB31" s="21" t="n">
        <v>10</v>
      </c>
      <c r="AC31" s="225" t="s">
        <v>317</v>
      </c>
      <c r="AD31" s="20" t="n">
        <v>26.539954</v>
      </c>
      <c r="AE31" s="20" t="n">
        <v>73.395454</v>
      </c>
    </row>
    <row r="32" customFormat="false" ht="15.75" hidden="false" customHeight="false" outlineLevel="0" collapsed="false">
      <c r="A32" s="16" t="s">
        <v>42</v>
      </c>
      <c r="B32" s="16" t="s">
        <v>1046</v>
      </c>
      <c r="C32" s="71" t="s">
        <v>1115</v>
      </c>
      <c r="D32" s="72" t="s">
        <v>1115</v>
      </c>
      <c r="E32" s="16" t="s">
        <v>1116</v>
      </c>
      <c r="F32" s="16" t="n">
        <v>1419</v>
      </c>
      <c r="G32" s="16" t="n">
        <v>327</v>
      </c>
      <c r="H32" s="16" t="n">
        <v>1914</v>
      </c>
      <c r="I32" s="16" t="n">
        <v>948</v>
      </c>
      <c r="J32" s="16" t="n">
        <v>966</v>
      </c>
      <c r="K32" s="16" t="n">
        <v>446</v>
      </c>
      <c r="L32" s="19" t="n">
        <f aca="false">(K32/H32)*100</f>
        <v>23.3019853709509</v>
      </c>
      <c r="M32" s="16" t="n">
        <v>0</v>
      </c>
      <c r="N32" s="19" t="n">
        <f aca="false">(M32/H32)*100</f>
        <v>0</v>
      </c>
      <c r="O32" s="16" t="n">
        <v>6</v>
      </c>
      <c r="P32" s="16" t="n">
        <v>0</v>
      </c>
      <c r="Q32" s="20"/>
      <c r="R32" s="21"/>
      <c r="S32" s="21"/>
      <c r="T32" s="20"/>
      <c r="U32" s="20" t="s">
        <v>1117</v>
      </c>
      <c r="V32" s="25"/>
      <c r="W32" s="20"/>
      <c r="X32" s="20"/>
      <c r="Y32" s="34"/>
      <c r="Z32" s="34"/>
      <c r="AA32" s="21"/>
      <c r="AB32" s="21"/>
      <c r="AC32" s="36"/>
      <c r="AD32" s="20"/>
      <c r="AE32" s="20"/>
    </row>
    <row r="33" customFormat="false" ht="15.75" hidden="false" customHeight="false" outlineLevel="0" collapsed="false">
      <c r="A33" s="16" t="s">
        <v>42</v>
      </c>
      <c r="B33" s="16" t="s">
        <v>1046</v>
      </c>
      <c r="C33" s="71" t="s">
        <v>1115</v>
      </c>
      <c r="D33" s="16" t="s">
        <v>1118</v>
      </c>
      <c r="E33" s="16" t="s">
        <v>1119</v>
      </c>
      <c r="F33" s="16" t="n">
        <v>1389.99</v>
      </c>
      <c r="G33" s="16" t="n">
        <v>169</v>
      </c>
      <c r="H33" s="16" t="n">
        <v>1079</v>
      </c>
      <c r="I33" s="16" t="n">
        <v>550</v>
      </c>
      <c r="J33" s="16" t="n">
        <v>529</v>
      </c>
      <c r="K33" s="16" t="n">
        <v>82</v>
      </c>
      <c r="L33" s="19" t="n">
        <f aca="false">(K33/H33)*100</f>
        <v>7.59962928637628</v>
      </c>
      <c r="M33" s="16" t="n">
        <v>0</v>
      </c>
      <c r="N33" s="19" t="n">
        <f aca="false">(M33/H33)*100</f>
        <v>0</v>
      </c>
      <c r="O33" s="16" t="n">
        <v>32.92</v>
      </c>
      <c r="P33" s="16" t="n">
        <v>0</v>
      </c>
      <c r="Q33" s="20"/>
      <c r="R33" s="21"/>
      <c r="S33" s="21"/>
      <c r="T33" s="20"/>
      <c r="U33" s="20"/>
      <c r="V33" s="25"/>
      <c r="W33" s="20"/>
      <c r="X33" s="20"/>
      <c r="Y33" s="21"/>
      <c r="Z33" s="21"/>
      <c r="AA33" s="21"/>
      <c r="AB33" s="21"/>
      <c r="AC33" s="36"/>
      <c r="AD33" s="20"/>
      <c r="AE33" s="20"/>
    </row>
    <row r="34" customFormat="false" ht="15.75" hidden="false" customHeight="false" outlineLevel="0" collapsed="false">
      <c r="A34" s="16" t="s">
        <v>42</v>
      </c>
      <c r="B34" s="16" t="s">
        <v>1046</v>
      </c>
      <c r="C34" s="71" t="s">
        <v>1115</v>
      </c>
      <c r="D34" s="16" t="s">
        <v>1120</v>
      </c>
      <c r="E34" s="16" t="s">
        <v>1121</v>
      </c>
      <c r="F34" s="16" t="n">
        <v>1292.72</v>
      </c>
      <c r="G34" s="16" t="n">
        <v>214</v>
      </c>
      <c r="H34" s="16" t="n">
        <v>1267</v>
      </c>
      <c r="I34" s="16" t="n">
        <v>638</v>
      </c>
      <c r="J34" s="16" t="n">
        <v>629</v>
      </c>
      <c r="K34" s="16" t="n">
        <v>149</v>
      </c>
      <c r="L34" s="19" t="n">
        <f aca="false">(K34/H34)*100</f>
        <v>11.7600631412786</v>
      </c>
      <c r="M34" s="16" t="n">
        <v>0</v>
      </c>
      <c r="N34" s="19" t="n">
        <f aca="false">(M34/H34)*100</f>
        <v>0</v>
      </c>
      <c r="O34" s="16" t="n">
        <v>33.47</v>
      </c>
      <c r="P34" s="16" t="n">
        <v>0</v>
      </c>
      <c r="Q34" s="20"/>
      <c r="R34" s="21"/>
      <c r="S34" s="21"/>
      <c r="T34" s="20"/>
      <c r="U34" s="20"/>
      <c r="V34" s="34"/>
      <c r="W34" s="20"/>
      <c r="X34" s="20"/>
      <c r="Y34" s="21"/>
      <c r="Z34" s="21"/>
      <c r="AA34" s="21"/>
      <c r="AB34" s="21"/>
      <c r="AC34" s="36"/>
      <c r="AD34" s="20"/>
      <c r="AE34" s="20"/>
    </row>
    <row r="35" customFormat="false" ht="15.75" hidden="false" customHeight="false" outlineLevel="0" collapsed="false">
      <c r="A35" s="16" t="s">
        <v>42</v>
      </c>
      <c r="B35" s="16" t="s">
        <v>1046</v>
      </c>
      <c r="C35" s="71" t="s">
        <v>1115</v>
      </c>
      <c r="D35" s="16" t="s">
        <v>1122</v>
      </c>
      <c r="E35" s="16" t="s">
        <v>1123</v>
      </c>
      <c r="F35" s="16" t="n">
        <v>516</v>
      </c>
      <c r="G35" s="16" t="n">
        <v>62</v>
      </c>
      <c r="H35" s="16" t="n">
        <v>315</v>
      </c>
      <c r="I35" s="16" t="n">
        <v>176</v>
      </c>
      <c r="J35" s="16" t="n">
        <v>139</v>
      </c>
      <c r="K35" s="16" t="n">
        <v>10</v>
      </c>
      <c r="L35" s="19" t="n">
        <f aca="false">(K35/H35)*100</f>
        <v>3.17460317460317</v>
      </c>
      <c r="M35" s="16" t="n">
        <v>0</v>
      </c>
      <c r="N35" s="19" t="n">
        <f aca="false">(M35/H35)*100</f>
        <v>0</v>
      </c>
      <c r="O35" s="16" t="n">
        <v>0</v>
      </c>
      <c r="P35" s="16" t="n">
        <v>0</v>
      </c>
      <c r="Q35" s="20" t="s">
        <v>49</v>
      </c>
      <c r="R35" s="34" t="n">
        <v>44836</v>
      </c>
      <c r="S35" s="34"/>
      <c r="T35" s="20"/>
      <c r="U35" s="20"/>
      <c r="V35" s="21"/>
      <c r="W35" s="20"/>
      <c r="X35" s="20"/>
      <c r="Y35" s="21"/>
      <c r="Z35" s="21"/>
      <c r="AA35" s="21" t="s">
        <v>50</v>
      </c>
      <c r="AB35" s="21" t="n">
        <v>30</v>
      </c>
      <c r="AC35" s="36" t="s">
        <v>276</v>
      </c>
      <c r="AD35" s="20" t="n">
        <v>26.834315</v>
      </c>
      <c r="AE35" s="20" t="n">
        <v>73.371403</v>
      </c>
    </row>
    <row r="36" customFormat="false" ht="15.75" hidden="false" customHeight="false" outlineLevel="0" collapsed="false">
      <c r="A36" s="16" t="s">
        <v>42</v>
      </c>
      <c r="B36" s="16" t="s">
        <v>1046</v>
      </c>
      <c r="C36" s="71" t="s">
        <v>1124</v>
      </c>
      <c r="D36" s="72" t="s">
        <v>1124</v>
      </c>
      <c r="E36" s="16" t="s">
        <v>1125</v>
      </c>
      <c r="F36" s="16" t="n">
        <v>1586</v>
      </c>
      <c r="G36" s="16" t="n">
        <v>399</v>
      </c>
      <c r="H36" s="16" t="n">
        <v>2389</v>
      </c>
      <c r="I36" s="16" t="n">
        <v>1255</v>
      </c>
      <c r="J36" s="16" t="n">
        <v>1134</v>
      </c>
      <c r="K36" s="16" t="n">
        <v>358</v>
      </c>
      <c r="L36" s="19" t="n">
        <f aca="false">(K36/H36)*100</f>
        <v>14.985349518627</v>
      </c>
      <c r="M36" s="16" t="n">
        <v>0</v>
      </c>
      <c r="N36" s="19" t="n">
        <f aca="false">(M36/H36)*100</f>
        <v>0</v>
      </c>
      <c r="O36" s="16" t="n">
        <v>0</v>
      </c>
      <c r="P36" s="16" t="n">
        <v>0</v>
      </c>
      <c r="Q36" s="20" t="s">
        <v>49</v>
      </c>
      <c r="R36" s="34" t="n">
        <v>44836</v>
      </c>
      <c r="S36" s="34"/>
      <c r="T36" s="20" t="n">
        <v>90.0424</v>
      </c>
      <c r="U36" s="20"/>
      <c r="V36" s="21"/>
      <c r="W36" s="20" t="s">
        <v>266</v>
      </c>
      <c r="X36" s="20"/>
      <c r="Y36" s="34"/>
      <c r="Z36" s="34"/>
      <c r="AA36" s="21" t="s">
        <v>50</v>
      </c>
      <c r="AB36" s="21" t="n">
        <v>10</v>
      </c>
      <c r="AC36" s="225" t="s">
        <v>317</v>
      </c>
      <c r="AD36" s="20"/>
      <c r="AE36" s="20"/>
    </row>
    <row r="37" customFormat="false" ht="15.75" hidden="false" customHeight="false" outlineLevel="0" collapsed="false">
      <c r="A37" s="16" t="s">
        <v>42</v>
      </c>
      <c r="B37" s="16" t="s">
        <v>1046</v>
      </c>
      <c r="C37" s="71" t="s">
        <v>1126</v>
      </c>
      <c r="D37" s="72" t="s">
        <v>1126</v>
      </c>
      <c r="E37" s="16" t="s">
        <v>1127</v>
      </c>
      <c r="F37" s="16" t="n">
        <v>1234.33</v>
      </c>
      <c r="G37" s="16" t="n">
        <v>313</v>
      </c>
      <c r="H37" s="16" t="n">
        <v>1855</v>
      </c>
      <c r="I37" s="16" t="n">
        <v>941</v>
      </c>
      <c r="J37" s="16" t="n">
        <v>914</v>
      </c>
      <c r="K37" s="16" t="n">
        <v>447</v>
      </c>
      <c r="L37" s="19" t="n">
        <f aca="false">(K37/H37)*100</f>
        <v>24.0970350404313</v>
      </c>
      <c r="M37" s="16" t="n">
        <v>0</v>
      </c>
      <c r="N37" s="19" t="n">
        <f aca="false">(M37/H37)*100</f>
        <v>0</v>
      </c>
      <c r="O37" s="16" t="n">
        <v>105.9</v>
      </c>
      <c r="P37" s="16" t="n">
        <v>0</v>
      </c>
      <c r="Q37" s="20"/>
      <c r="R37" s="21"/>
      <c r="S37" s="21"/>
      <c r="T37" s="20"/>
      <c r="U37" s="20" t="s">
        <v>1117</v>
      </c>
      <c r="V37" s="21"/>
      <c r="W37" s="20"/>
      <c r="X37" s="20"/>
      <c r="Y37" s="34"/>
      <c r="Z37" s="34"/>
      <c r="AA37" s="21"/>
      <c r="AB37" s="21"/>
      <c r="AC37" s="36"/>
      <c r="AD37" s="20"/>
      <c r="AE37" s="20"/>
    </row>
    <row r="38" customFormat="false" ht="15.75" hidden="false" customHeight="false" outlineLevel="0" collapsed="false">
      <c r="A38" s="16" t="s">
        <v>42</v>
      </c>
      <c r="B38" s="16" t="s">
        <v>1046</v>
      </c>
      <c r="C38" s="71" t="s">
        <v>1126</v>
      </c>
      <c r="D38" s="16" t="s">
        <v>1128</v>
      </c>
      <c r="E38" s="16" t="s">
        <v>1129</v>
      </c>
      <c r="F38" s="16" t="n">
        <v>773.41</v>
      </c>
      <c r="G38" s="16" t="n">
        <v>109</v>
      </c>
      <c r="H38" s="16" t="n">
        <v>637</v>
      </c>
      <c r="I38" s="16" t="n">
        <v>334</v>
      </c>
      <c r="J38" s="16" t="n">
        <v>303</v>
      </c>
      <c r="K38" s="16" t="n">
        <v>67</v>
      </c>
      <c r="L38" s="19" t="n">
        <f aca="false">(K38/H38)*100</f>
        <v>10.5180533751962</v>
      </c>
      <c r="M38" s="16" t="n">
        <v>0</v>
      </c>
      <c r="N38" s="19" t="n">
        <f aca="false">(M38/H38)*100</f>
        <v>0</v>
      </c>
      <c r="O38" s="16" t="n">
        <v>32.85</v>
      </c>
      <c r="P38" s="16" t="n">
        <v>0</v>
      </c>
      <c r="Q38" s="20"/>
      <c r="R38" s="21"/>
      <c r="S38" s="21"/>
      <c r="T38" s="20"/>
      <c r="U38" s="20"/>
      <c r="V38" s="34"/>
      <c r="W38" s="20"/>
      <c r="X38" s="20"/>
      <c r="Y38" s="21"/>
      <c r="Z38" s="21"/>
      <c r="AA38" s="21"/>
      <c r="AB38" s="21"/>
      <c r="AC38" s="36"/>
      <c r="AD38" s="20"/>
      <c r="AE38" s="20"/>
    </row>
    <row r="39" customFormat="false" ht="47.25" hidden="false" customHeight="false" outlineLevel="0" collapsed="false">
      <c r="A39" s="16" t="s">
        <v>42</v>
      </c>
      <c r="B39" s="16" t="s">
        <v>1046</v>
      </c>
      <c r="C39" s="71" t="s">
        <v>1130</v>
      </c>
      <c r="D39" s="72" t="s">
        <v>1131</v>
      </c>
      <c r="E39" s="16" t="s">
        <v>1132</v>
      </c>
      <c r="F39" s="16" t="n">
        <v>4405.29</v>
      </c>
      <c r="G39" s="16" t="n">
        <v>967</v>
      </c>
      <c r="H39" s="16" t="n">
        <v>5228</v>
      </c>
      <c r="I39" s="16" t="n">
        <v>2697</v>
      </c>
      <c r="J39" s="16" t="n">
        <v>2531</v>
      </c>
      <c r="K39" s="16" t="n">
        <v>1425</v>
      </c>
      <c r="L39" s="19" t="n">
        <f aca="false">(K39/H39)*100</f>
        <v>27.257077276205</v>
      </c>
      <c r="M39" s="16" t="n">
        <v>0</v>
      </c>
      <c r="N39" s="19" t="n">
        <f aca="false">(M39/H39)*100</f>
        <v>0</v>
      </c>
      <c r="O39" s="16" t="n">
        <v>195.4</v>
      </c>
      <c r="P39" s="16" t="n">
        <v>40.48</v>
      </c>
      <c r="Q39" s="24" t="s">
        <v>49</v>
      </c>
      <c r="R39" s="25" t="n">
        <v>44836</v>
      </c>
      <c r="S39" s="25"/>
      <c r="T39" s="24"/>
      <c r="U39" s="20"/>
      <c r="V39" s="34"/>
      <c r="W39" s="20"/>
      <c r="X39" s="20"/>
      <c r="Y39" s="21"/>
      <c r="Z39" s="21"/>
      <c r="AA39" s="47" t="s">
        <v>266</v>
      </c>
      <c r="AB39" s="26" t="n">
        <v>10</v>
      </c>
      <c r="AC39" s="96" t="s">
        <v>1133</v>
      </c>
      <c r="AD39" s="226" t="n">
        <v>26.86</v>
      </c>
      <c r="AE39" s="227" t="n">
        <v>73.45</v>
      </c>
    </row>
    <row r="40" customFormat="false" ht="31.5" hidden="false" customHeight="false" outlineLevel="0" collapsed="false">
      <c r="A40" s="16"/>
      <c r="B40" s="16"/>
      <c r="C40" s="71"/>
      <c r="D40" s="72"/>
      <c r="E40" s="16"/>
      <c r="F40" s="16"/>
      <c r="G40" s="16"/>
      <c r="H40" s="16"/>
      <c r="I40" s="16"/>
      <c r="J40" s="16"/>
      <c r="K40" s="16"/>
      <c r="L40" s="19" t="e">
        <f aca="false">(K40/H40)*100</f>
        <v>#DIV/0!</v>
      </c>
      <c r="M40" s="16"/>
      <c r="N40" s="19" t="e">
        <f aca="false">(M40/H40)*100</f>
        <v>#DIV/0!</v>
      </c>
      <c r="O40" s="16"/>
      <c r="P40" s="16"/>
      <c r="Q40" s="228"/>
      <c r="R40" s="97"/>
      <c r="S40" s="97"/>
      <c r="T40" s="228"/>
      <c r="U40" s="20"/>
      <c r="V40" s="21"/>
      <c r="W40" s="20"/>
      <c r="X40" s="20"/>
      <c r="Y40" s="25"/>
      <c r="Z40" s="25"/>
      <c r="AA40" s="229" t="s">
        <v>266</v>
      </c>
      <c r="AB40" s="97" t="n">
        <v>10</v>
      </c>
      <c r="AC40" s="98" t="s">
        <v>1134</v>
      </c>
      <c r="AD40" s="230" t="n">
        <v>26.85</v>
      </c>
      <c r="AE40" s="231" t="n">
        <v>73.47</v>
      </c>
    </row>
    <row r="41" customFormat="false" ht="31.5" hidden="false" customHeight="false" outlineLevel="0" collapsed="false">
      <c r="A41" s="16"/>
      <c r="B41" s="16"/>
      <c r="C41" s="71"/>
      <c r="D41" s="72"/>
      <c r="E41" s="16"/>
      <c r="F41" s="16"/>
      <c r="G41" s="16"/>
      <c r="H41" s="16"/>
      <c r="I41" s="16"/>
      <c r="J41" s="16"/>
      <c r="K41" s="16"/>
      <c r="L41" s="19" t="e">
        <f aca="false">(K41/H41)*100</f>
        <v>#DIV/0!</v>
      </c>
      <c r="M41" s="16"/>
      <c r="N41" s="19" t="e">
        <f aca="false">(M41/H41)*100</f>
        <v>#DIV/0!</v>
      </c>
      <c r="O41" s="16"/>
      <c r="P41" s="16"/>
      <c r="Q41" s="228"/>
      <c r="R41" s="97"/>
      <c r="S41" s="97"/>
      <c r="T41" s="228"/>
      <c r="U41" s="20"/>
      <c r="V41" s="21"/>
      <c r="W41" s="20"/>
      <c r="X41" s="20"/>
      <c r="Y41" s="97"/>
      <c r="Z41" s="97"/>
      <c r="AA41" s="229" t="s">
        <v>266</v>
      </c>
      <c r="AB41" s="97" t="n">
        <v>10</v>
      </c>
      <c r="AC41" s="98" t="s">
        <v>1135</v>
      </c>
      <c r="AD41" s="230" t="n">
        <v>26.82</v>
      </c>
      <c r="AE41" s="231" t="n">
        <v>73.46</v>
      </c>
    </row>
    <row r="42" customFormat="false" ht="15.75" hidden="false" customHeight="false" outlineLevel="0" collapsed="false">
      <c r="A42" s="16" t="s">
        <v>42</v>
      </c>
      <c r="B42" s="16" t="s">
        <v>1046</v>
      </c>
      <c r="C42" s="71" t="s">
        <v>1136</v>
      </c>
      <c r="D42" s="72" t="s">
        <v>1137</v>
      </c>
      <c r="E42" s="16" t="s">
        <v>1138</v>
      </c>
      <c r="F42" s="16" t="n">
        <v>2170.05</v>
      </c>
      <c r="G42" s="16" t="n">
        <v>611</v>
      </c>
      <c r="H42" s="16" t="n">
        <v>3030</v>
      </c>
      <c r="I42" s="16" t="n">
        <v>1575</v>
      </c>
      <c r="J42" s="16" t="n">
        <v>1455</v>
      </c>
      <c r="K42" s="16" t="n">
        <v>688</v>
      </c>
      <c r="L42" s="19" t="n">
        <f aca="false">(K42/H42)*100</f>
        <v>22.7062706270627</v>
      </c>
      <c r="M42" s="16" t="n">
        <v>0</v>
      </c>
      <c r="N42" s="19" t="n">
        <f aca="false">(M42/H42)*100</f>
        <v>0</v>
      </c>
      <c r="O42" s="16" t="n">
        <v>46.13</v>
      </c>
      <c r="P42" s="16" t="n">
        <v>0</v>
      </c>
      <c r="Q42" s="20" t="s">
        <v>49</v>
      </c>
      <c r="R42" s="34" t="n">
        <v>44836</v>
      </c>
      <c r="S42" s="34"/>
      <c r="T42" s="20" t="n">
        <v>45.6654</v>
      </c>
      <c r="U42" s="20"/>
      <c r="V42" s="25"/>
      <c r="W42" s="20"/>
      <c r="X42" s="20"/>
      <c r="Y42" s="97"/>
      <c r="Z42" s="97"/>
      <c r="AA42" s="21" t="s">
        <v>50</v>
      </c>
      <c r="AB42" s="21" t="n">
        <v>23</v>
      </c>
      <c r="AC42" s="36" t="s">
        <v>276</v>
      </c>
      <c r="AD42" s="20"/>
      <c r="AE42" s="20"/>
    </row>
    <row r="43" customFormat="false" ht="15.75" hidden="false" customHeight="false" outlineLevel="0" collapsed="false">
      <c r="A43" s="16" t="s">
        <v>42</v>
      </c>
      <c r="B43" s="16" t="s">
        <v>1046</v>
      </c>
      <c r="C43" s="71" t="s">
        <v>1136</v>
      </c>
      <c r="D43" s="16" t="s">
        <v>1139</v>
      </c>
      <c r="E43" s="16" t="s">
        <v>1140</v>
      </c>
      <c r="F43" s="16" t="n">
        <v>332.1</v>
      </c>
      <c r="G43" s="16" t="n">
        <v>58</v>
      </c>
      <c r="H43" s="16" t="n">
        <v>286</v>
      </c>
      <c r="I43" s="16" t="n">
        <v>141</v>
      </c>
      <c r="J43" s="16" t="n">
        <v>145</v>
      </c>
      <c r="K43" s="16" t="n">
        <v>60</v>
      </c>
      <c r="L43" s="19" t="n">
        <f aca="false">(K43/H43)*100</f>
        <v>20.979020979021</v>
      </c>
      <c r="M43" s="16" t="n">
        <v>4</v>
      </c>
      <c r="N43" s="19" t="n">
        <f aca="false">(M43/H43)*100</f>
        <v>1.3986013986014</v>
      </c>
      <c r="O43" s="16" t="n">
        <v>0</v>
      </c>
      <c r="P43" s="16" t="n">
        <v>0</v>
      </c>
      <c r="Q43" s="20" t="s">
        <v>49</v>
      </c>
      <c r="R43" s="34" t="n">
        <v>44836</v>
      </c>
      <c r="S43" s="34"/>
      <c r="T43" s="20"/>
      <c r="U43" s="20"/>
      <c r="V43" s="97"/>
      <c r="W43" s="20"/>
      <c r="X43" s="20"/>
      <c r="Y43" s="34"/>
      <c r="Z43" s="34"/>
      <c r="AA43" s="21" t="s">
        <v>50</v>
      </c>
      <c r="AB43" s="21" t="n">
        <v>14</v>
      </c>
      <c r="AC43" s="36" t="s">
        <v>276</v>
      </c>
      <c r="AD43" s="20"/>
      <c r="AE43" s="20"/>
    </row>
    <row r="44" customFormat="false" ht="31.5" hidden="false" customHeight="false" outlineLevel="0" collapsed="false">
      <c r="A44" s="16" t="s">
        <v>42</v>
      </c>
      <c r="B44" s="16" t="s">
        <v>1046</v>
      </c>
      <c r="C44" s="71" t="s">
        <v>1141</v>
      </c>
      <c r="D44" s="72" t="s">
        <v>1141</v>
      </c>
      <c r="E44" s="16" t="s">
        <v>1142</v>
      </c>
      <c r="F44" s="16" t="n">
        <v>1621</v>
      </c>
      <c r="G44" s="16" t="n">
        <v>351</v>
      </c>
      <c r="H44" s="16" t="n">
        <v>2173</v>
      </c>
      <c r="I44" s="16" t="n">
        <v>1110</v>
      </c>
      <c r="J44" s="16" t="n">
        <v>1063</v>
      </c>
      <c r="K44" s="16" t="n">
        <v>602</v>
      </c>
      <c r="L44" s="19" t="n">
        <f aca="false">(K44/H44)*100</f>
        <v>27.7036355269213</v>
      </c>
      <c r="M44" s="16" t="n">
        <v>3</v>
      </c>
      <c r="N44" s="19" t="n">
        <f aca="false">(M44/H44)*100</f>
        <v>0.138057984353428</v>
      </c>
      <c r="O44" s="16" t="n">
        <v>122.01</v>
      </c>
      <c r="P44" s="16" t="n">
        <v>0</v>
      </c>
      <c r="Q44" s="24" t="s">
        <v>49</v>
      </c>
      <c r="R44" s="25" t="n">
        <v>44836</v>
      </c>
      <c r="S44" s="25"/>
      <c r="T44" s="24" t="n">
        <v>13.3384</v>
      </c>
      <c r="U44" s="20"/>
      <c r="V44" s="97"/>
      <c r="W44" s="20"/>
      <c r="X44" s="20"/>
      <c r="Y44" s="34"/>
      <c r="Z44" s="34"/>
      <c r="AA44" s="47" t="s">
        <v>266</v>
      </c>
      <c r="AB44" s="26" t="n">
        <v>10</v>
      </c>
      <c r="AC44" s="96" t="s">
        <v>1143</v>
      </c>
      <c r="AD44" s="226" t="n">
        <v>26.71</v>
      </c>
      <c r="AE44" s="227" t="n">
        <v>73.51</v>
      </c>
    </row>
    <row r="45" customFormat="false" ht="31.5" hidden="false" customHeight="false" outlineLevel="0" collapsed="false">
      <c r="A45" s="16"/>
      <c r="B45" s="16"/>
      <c r="C45" s="71"/>
      <c r="D45" s="72"/>
      <c r="E45" s="16"/>
      <c r="F45" s="16"/>
      <c r="G45" s="16"/>
      <c r="H45" s="16"/>
      <c r="I45" s="16"/>
      <c r="J45" s="16"/>
      <c r="K45" s="16"/>
      <c r="L45" s="19" t="e">
        <f aca="false">(K45/H45)*100</f>
        <v>#DIV/0!</v>
      </c>
      <c r="M45" s="16"/>
      <c r="N45" s="19" t="e">
        <f aca="false">(M45/H45)*100</f>
        <v>#DIV/0!</v>
      </c>
      <c r="O45" s="16"/>
      <c r="P45" s="16"/>
      <c r="Q45" s="228"/>
      <c r="R45" s="97"/>
      <c r="S45" s="97"/>
      <c r="T45" s="228"/>
      <c r="U45" s="20"/>
      <c r="V45" s="34"/>
      <c r="W45" s="20"/>
      <c r="X45" s="20"/>
      <c r="Y45" s="25"/>
      <c r="Z45" s="25"/>
      <c r="AA45" s="229" t="s">
        <v>266</v>
      </c>
      <c r="AB45" s="97" t="n">
        <v>10</v>
      </c>
      <c r="AC45" s="98" t="s">
        <v>1144</v>
      </c>
      <c r="AD45" s="232" t="n">
        <v>26.73</v>
      </c>
      <c r="AE45" s="93" t="n">
        <v>73.48</v>
      </c>
    </row>
    <row r="46" customFormat="false" ht="15.75" hidden="false" customHeight="false" outlineLevel="0" collapsed="false">
      <c r="A46" s="16" t="s">
        <v>42</v>
      </c>
      <c r="B46" s="16" t="s">
        <v>1046</v>
      </c>
      <c r="C46" s="71" t="s">
        <v>1141</v>
      </c>
      <c r="D46" s="16" t="s">
        <v>1145</v>
      </c>
      <c r="E46" s="16" t="s">
        <v>1146</v>
      </c>
      <c r="F46" s="16" t="n">
        <v>1050.83</v>
      </c>
      <c r="G46" s="16" t="n">
        <v>166</v>
      </c>
      <c r="H46" s="16" t="n">
        <v>989</v>
      </c>
      <c r="I46" s="16" t="n">
        <v>507</v>
      </c>
      <c r="J46" s="16" t="n">
        <v>482</v>
      </c>
      <c r="K46" s="16" t="n">
        <v>11</v>
      </c>
      <c r="L46" s="19" t="n">
        <f aca="false">(K46/H46)*100</f>
        <v>1.11223458038423</v>
      </c>
      <c r="M46" s="16" t="n">
        <v>0</v>
      </c>
      <c r="N46" s="19" t="n">
        <f aca="false">(M46/H46)*100</f>
        <v>0</v>
      </c>
      <c r="O46" s="16" t="n">
        <v>0</v>
      </c>
      <c r="P46" s="16" t="n">
        <v>0</v>
      </c>
      <c r="Q46" s="24" t="s">
        <v>49</v>
      </c>
      <c r="R46" s="25" t="n">
        <v>44836</v>
      </c>
      <c r="S46" s="25"/>
      <c r="T46" s="24"/>
      <c r="U46" s="20"/>
      <c r="V46" s="34"/>
      <c r="W46" s="20"/>
      <c r="X46" s="20"/>
      <c r="Y46" s="97"/>
      <c r="Z46" s="97"/>
      <c r="AA46" s="47" t="s">
        <v>266</v>
      </c>
      <c r="AB46" s="26"/>
      <c r="AC46" s="96" t="n">
        <v>0</v>
      </c>
      <c r="AD46" s="119"/>
      <c r="AE46" s="92"/>
    </row>
    <row r="47" customFormat="false" ht="31.5" hidden="false" customHeight="false" outlineLevel="0" collapsed="false">
      <c r="A47" s="16" t="s">
        <v>42</v>
      </c>
      <c r="B47" s="16" t="s">
        <v>1046</v>
      </c>
      <c r="C47" s="71" t="s">
        <v>1141</v>
      </c>
      <c r="D47" s="16" t="s">
        <v>1147</v>
      </c>
      <c r="E47" s="16" t="s">
        <v>1148</v>
      </c>
      <c r="F47" s="16" t="n">
        <v>449</v>
      </c>
      <c r="G47" s="16" t="n">
        <v>105</v>
      </c>
      <c r="H47" s="16" t="n">
        <v>559</v>
      </c>
      <c r="I47" s="16" t="n">
        <v>295</v>
      </c>
      <c r="J47" s="16" t="n">
        <v>264</v>
      </c>
      <c r="K47" s="16" t="n">
        <v>79</v>
      </c>
      <c r="L47" s="19" t="n">
        <f aca="false">(K47/H47)*100</f>
        <v>14.1323792486583</v>
      </c>
      <c r="M47" s="16" t="n">
        <v>0</v>
      </c>
      <c r="N47" s="19" t="n">
        <f aca="false">(M47/H47)*100</f>
        <v>0</v>
      </c>
      <c r="O47" s="16" t="n">
        <v>73.16</v>
      </c>
      <c r="P47" s="16" t="n">
        <v>0</v>
      </c>
      <c r="Q47" s="24" t="s">
        <v>49</v>
      </c>
      <c r="R47" s="25" t="n">
        <v>44836</v>
      </c>
      <c r="S47" s="25"/>
      <c r="T47" s="24"/>
      <c r="U47" s="20"/>
      <c r="V47" s="25"/>
      <c r="W47" s="20"/>
      <c r="X47" s="20"/>
      <c r="Y47" s="25"/>
      <c r="Z47" s="25"/>
      <c r="AA47" s="47" t="s">
        <v>266</v>
      </c>
      <c r="AB47" s="26" t="n">
        <v>20</v>
      </c>
      <c r="AC47" s="96" t="s">
        <v>1149</v>
      </c>
      <c r="AD47" s="119" t="n">
        <v>26.74</v>
      </c>
      <c r="AE47" s="92" t="n">
        <v>73.49</v>
      </c>
    </row>
    <row r="48" customFormat="false" ht="15.75" hidden="false" customHeight="false" outlineLevel="0" collapsed="false">
      <c r="A48" s="16" t="s">
        <v>42</v>
      </c>
      <c r="B48" s="16" t="s">
        <v>1046</v>
      </c>
      <c r="C48" s="71" t="s">
        <v>1150</v>
      </c>
      <c r="D48" s="72" t="s">
        <v>1151</v>
      </c>
      <c r="E48" s="16" t="s">
        <v>1152</v>
      </c>
      <c r="F48" s="16" t="n">
        <v>1292.48</v>
      </c>
      <c r="G48" s="16" t="n">
        <v>572</v>
      </c>
      <c r="H48" s="16" t="n">
        <v>3205</v>
      </c>
      <c r="I48" s="16" t="n">
        <v>1631</v>
      </c>
      <c r="J48" s="16" t="n">
        <v>1574</v>
      </c>
      <c r="K48" s="16" t="n">
        <v>1066</v>
      </c>
      <c r="L48" s="19" t="n">
        <f aca="false">(K48/H48)*100</f>
        <v>33.2605304212168</v>
      </c>
      <c r="M48" s="16" t="n">
        <v>7</v>
      </c>
      <c r="N48" s="19" t="n">
        <f aca="false">(M48/H48)*100</f>
        <v>0.218408736349454</v>
      </c>
      <c r="O48" s="16" t="n">
        <v>28.03</v>
      </c>
      <c r="P48" s="16" t="n">
        <v>0</v>
      </c>
      <c r="Q48" s="20" t="s">
        <v>49</v>
      </c>
      <c r="R48" s="34" t="n">
        <v>44836</v>
      </c>
      <c r="S48" s="34"/>
      <c r="T48" s="20" t="n">
        <v>111.1912</v>
      </c>
      <c r="U48" s="20"/>
      <c r="V48" s="97"/>
      <c r="W48" s="20"/>
      <c r="X48" s="20"/>
      <c r="Y48" s="25"/>
      <c r="Z48" s="25"/>
      <c r="AA48" s="21" t="s">
        <v>50</v>
      </c>
      <c r="AB48" s="21" t="n">
        <v>10</v>
      </c>
      <c r="AC48" s="225" t="s">
        <v>317</v>
      </c>
      <c r="AD48" s="20"/>
      <c r="AE48" s="20"/>
    </row>
    <row r="49" customFormat="false" ht="15.75" hidden="false" customHeight="false" outlineLevel="0" collapsed="false">
      <c r="A49" s="16" t="s">
        <v>42</v>
      </c>
      <c r="B49" s="16" t="s">
        <v>1046</v>
      </c>
      <c r="C49" s="71" t="s">
        <v>1150</v>
      </c>
      <c r="D49" s="16" t="s">
        <v>1153</v>
      </c>
      <c r="E49" s="16" t="s">
        <v>1154</v>
      </c>
      <c r="F49" s="16" t="n">
        <v>727.35</v>
      </c>
      <c r="G49" s="16" t="n">
        <v>115</v>
      </c>
      <c r="H49" s="16" t="n">
        <v>725</v>
      </c>
      <c r="I49" s="16" t="n">
        <v>371</v>
      </c>
      <c r="J49" s="16" t="n">
        <v>354</v>
      </c>
      <c r="K49" s="16" t="n">
        <v>196</v>
      </c>
      <c r="L49" s="19" t="n">
        <f aca="false">(K49/H49)*100</f>
        <v>27.0344827586207</v>
      </c>
      <c r="M49" s="16" t="n">
        <v>2</v>
      </c>
      <c r="N49" s="19" t="n">
        <f aca="false">(M49/H49)*100</f>
        <v>0.275862068965517</v>
      </c>
      <c r="O49" s="16" t="n">
        <v>6.04</v>
      </c>
      <c r="P49" s="16" t="n">
        <v>0</v>
      </c>
      <c r="Q49" s="20"/>
      <c r="R49" s="21"/>
      <c r="S49" s="21"/>
      <c r="T49" s="20"/>
      <c r="U49" s="20"/>
      <c r="V49" s="25"/>
      <c r="W49" s="20"/>
      <c r="X49" s="20"/>
      <c r="Y49" s="34"/>
      <c r="Z49" s="34"/>
      <c r="AA49" s="21"/>
      <c r="AB49" s="21"/>
      <c r="AC49" s="36"/>
      <c r="AD49" s="20"/>
      <c r="AE49" s="20"/>
    </row>
    <row r="50" customFormat="false" ht="15.75" hidden="false" customHeight="false" outlineLevel="0" collapsed="false">
      <c r="A50" s="16" t="s">
        <v>42</v>
      </c>
      <c r="B50" s="16" t="s">
        <v>1046</v>
      </c>
      <c r="C50" s="71" t="s">
        <v>1150</v>
      </c>
      <c r="D50" s="16" t="s">
        <v>1155</v>
      </c>
      <c r="E50" s="16" t="s">
        <v>1156</v>
      </c>
      <c r="F50" s="16" t="n">
        <v>932.47</v>
      </c>
      <c r="G50" s="16" t="n">
        <v>252</v>
      </c>
      <c r="H50" s="16" t="n">
        <v>1288</v>
      </c>
      <c r="I50" s="16" t="n">
        <v>657</v>
      </c>
      <c r="J50" s="16" t="n">
        <v>631</v>
      </c>
      <c r="K50" s="16" t="n">
        <v>444</v>
      </c>
      <c r="L50" s="19" t="n">
        <f aca="false">(K50/H50)*100</f>
        <v>34.472049689441</v>
      </c>
      <c r="M50" s="16" t="n">
        <v>3</v>
      </c>
      <c r="N50" s="19" t="n">
        <f aca="false">(M50/H50)*100</f>
        <v>0.232919254658385</v>
      </c>
      <c r="O50" s="16" t="n">
        <v>21.02</v>
      </c>
      <c r="P50" s="16" t="n">
        <v>0</v>
      </c>
      <c r="Q50" s="20"/>
      <c r="R50" s="21"/>
      <c r="S50" s="21"/>
      <c r="T50" s="20"/>
      <c r="U50" s="20"/>
      <c r="V50" s="25"/>
      <c r="W50" s="20"/>
      <c r="X50" s="20"/>
      <c r="Y50" s="21"/>
      <c r="Z50" s="21"/>
      <c r="AA50" s="21"/>
      <c r="AB50" s="21"/>
      <c r="AC50" s="36"/>
      <c r="AD50" s="20"/>
      <c r="AE50" s="20"/>
    </row>
    <row r="51" customFormat="false" ht="15.75" hidden="false" customHeight="false" outlineLevel="0" collapsed="false">
      <c r="A51" s="16" t="s">
        <v>42</v>
      </c>
      <c r="B51" s="16" t="s">
        <v>1046</v>
      </c>
      <c r="C51" s="71" t="s">
        <v>1150</v>
      </c>
      <c r="D51" s="16" t="s">
        <v>1157</v>
      </c>
      <c r="E51" s="16" t="s">
        <v>1158</v>
      </c>
      <c r="F51" s="16" t="n">
        <v>1341.33</v>
      </c>
      <c r="G51" s="16" t="n">
        <v>240</v>
      </c>
      <c r="H51" s="16" t="n">
        <v>1264</v>
      </c>
      <c r="I51" s="16" t="n">
        <v>658</v>
      </c>
      <c r="J51" s="16" t="n">
        <v>606</v>
      </c>
      <c r="K51" s="16" t="n">
        <v>308</v>
      </c>
      <c r="L51" s="19" t="n">
        <f aca="false">(K51/H51)*100</f>
        <v>24.3670886075949</v>
      </c>
      <c r="M51" s="16" t="n">
        <v>0</v>
      </c>
      <c r="N51" s="19" t="n">
        <f aca="false">(M51/H51)*100</f>
        <v>0</v>
      </c>
      <c r="O51" s="16" t="n">
        <v>58.05</v>
      </c>
      <c r="P51" s="16" t="n">
        <v>0</v>
      </c>
      <c r="Q51" s="20"/>
      <c r="R51" s="21"/>
      <c r="S51" s="21"/>
      <c r="T51" s="20"/>
      <c r="U51" s="20"/>
      <c r="V51" s="34"/>
      <c r="W51" s="20"/>
      <c r="X51" s="20"/>
      <c r="Y51" s="21"/>
      <c r="Z51" s="21"/>
      <c r="AA51" s="21"/>
      <c r="AB51" s="21"/>
      <c r="AC51" s="36"/>
      <c r="AD51" s="20"/>
      <c r="AE51" s="20"/>
    </row>
    <row r="52" customFormat="false" ht="31.5" hidden="false" customHeight="false" outlineLevel="0" collapsed="false">
      <c r="A52" s="16" t="s">
        <v>42</v>
      </c>
      <c r="B52" s="16" t="s">
        <v>1046</v>
      </c>
      <c r="C52" s="71" t="s">
        <v>1159</v>
      </c>
      <c r="D52" s="72" t="s">
        <v>1159</v>
      </c>
      <c r="E52" s="16" t="s">
        <v>1160</v>
      </c>
      <c r="F52" s="16" t="n">
        <v>1522.2</v>
      </c>
      <c r="G52" s="16" t="n">
        <v>430</v>
      </c>
      <c r="H52" s="16" t="n">
        <v>2045</v>
      </c>
      <c r="I52" s="16" t="n">
        <v>1097</v>
      </c>
      <c r="J52" s="16" t="n">
        <v>948</v>
      </c>
      <c r="K52" s="16" t="n">
        <v>100</v>
      </c>
      <c r="L52" s="19" t="n">
        <f aca="false">(K52/H52)*100</f>
        <v>4.88997555012225</v>
      </c>
      <c r="M52" s="16" t="n">
        <v>0</v>
      </c>
      <c r="N52" s="19" t="n">
        <f aca="false">(M52/H52)*100</f>
        <v>0</v>
      </c>
      <c r="O52" s="16" t="n">
        <v>17.2</v>
      </c>
      <c r="P52" s="16" t="n">
        <v>0</v>
      </c>
      <c r="Q52" s="24" t="s">
        <v>49</v>
      </c>
      <c r="R52" s="25" t="n">
        <v>44836</v>
      </c>
      <c r="S52" s="25"/>
      <c r="T52" s="24" t="n">
        <v>11.485</v>
      </c>
      <c r="U52" s="20"/>
      <c r="V52" s="21"/>
      <c r="W52" s="20"/>
      <c r="X52" s="20"/>
      <c r="Y52" s="21"/>
      <c r="Z52" s="21"/>
      <c r="AA52" s="47" t="s">
        <v>266</v>
      </c>
      <c r="AB52" s="26" t="n">
        <v>10</v>
      </c>
      <c r="AC52" s="96" t="s">
        <v>1161</v>
      </c>
      <c r="AD52" s="226" t="n">
        <v>26.5</v>
      </c>
      <c r="AE52" s="227" t="n">
        <v>73.44</v>
      </c>
    </row>
    <row r="53" customFormat="false" ht="31.5" hidden="false" customHeight="false" outlineLevel="0" collapsed="false">
      <c r="A53" s="16"/>
      <c r="B53" s="16"/>
      <c r="C53" s="71"/>
      <c r="D53" s="72"/>
      <c r="E53" s="16"/>
      <c r="F53" s="16"/>
      <c r="G53" s="16"/>
      <c r="H53" s="16"/>
      <c r="I53" s="16"/>
      <c r="J53" s="16"/>
      <c r="K53" s="16"/>
      <c r="L53" s="19" t="e">
        <f aca="false">(K53/H53)*100</f>
        <v>#DIV/0!</v>
      </c>
      <c r="M53" s="16"/>
      <c r="N53" s="19" t="e">
        <f aca="false">(M53/H53)*100</f>
        <v>#DIV/0!</v>
      </c>
      <c r="O53" s="16"/>
      <c r="P53" s="16"/>
      <c r="Q53" s="228"/>
      <c r="R53" s="97"/>
      <c r="S53" s="97"/>
      <c r="T53" s="228"/>
      <c r="U53" s="20"/>
      <c r="V53" s="21"/>
      <c r="W53" s="20"/>
      <c r="X53" s="20"/>
      <c r="Y53" s="25"/>
      <c r="Z53" s="25"/>
      <c r="AA53" s="229" t="s">
        <v>266</v>
      </c>
      <c r="AB53" s="97" t="n">
        <v>10</v>
      </c>
      <c r="AC53" s="98" t="s">
        <v>1162</v>
      </c>
      <c r="AD53" s="230" t="n">
        <v>26.53</v>
      </c>
      <c r="AE53" s="231" t="n">
        <v>73.41</v>
      </c>
    </row>
    <row r="54" customFormat="false" ht="31.5" hidden="false" customHeight="false" outlineLevel="0" collapsed="false">
      <c r="A54" s="16" t="s">
        <v>42</v>
      </c>
      <c r="B54" s="16" t="s">
        <v>1046</v>
      </c>
      <c r="C54" s="71" t="s">
        <v>1159</v>
      </c>
      <c r="D54" s="16" t="s">
        <v>1163</v>
      </c>
      <c r="E54" s="16" t="s">
        <v>1164</v>
      </c>
      <c r="F54" s="16" t="n">
        <v>354</v>
      </c>
      <c r="G54" s="16" t="n">
        <v>170</v>
      </c>
      <c r="H54" s="16" t="n">
        <v>891</v>
      </c>
      <c r="I54" s="16" t="n">
        <v>452</v>
      </c>
      <c r="J54" s="16" t="n">
        <v>439</v>
      </c>
      <c r="K54" s="16" t="n">
        <v>142</v>
      </c>
      <c r="L54" s="19" t="n">
        <f aca="false">(K54/H54)*100</f>
        <v>15.9371492704826</v>
      </c>
      <c r="M54" s="16" t="n">
        <v>0</v>
      </c>
      <c r="N54" s="19" t="n">
        <f aca="false">(M54/H54)*100</f>
        <v>0</v>
      </c>
      <c r="O54" s="16" t="n">
        <v>1</v>
      </c>
      <c r="P54" s="16" t="n">
        <v>0</v>
      </c>
      <c r="Q54" s="24" t="s">
        <v>49</v>
      </c>
      <c r="R54" s="25" t="n">
        <v>44836</v>
      </c>
      <c r="S54" s="25"/>
      <c r="T54" s="24"/>
      <c r="U54" s="20"/>
      <c r="V54" s="21"/>
      <c r="W54" s="20"/>
      <c r="X54" s="20"/>
      <c r="Y54" s="97"/>
      <c r="Z54" s="97"/>
      <c r="AA54" s="47" t="s">
        <v>266</v>
      </c>
      <c r="AB54" s="26" t="n">
        <v>15</v>
      </c>
      <c r="AC54" s="96" t="s">
        <v>1165</v>
      </c>
      <c r="AD54" s="226" t="n">
        <v>26.53</v>
      </c>
      <c r="AE54" s="227" t="n">
        <v>73.39</v>
      </c>
    </row>
    <row r="55" customFormat="false" ht="15.75" hidden="false" customHeight="false" outlineLevel="0" collapsed="false">
      <c r="A55" s="16" t="s">
        <v>42</v>
      </c>
      <c r="B55" s="16" t="s">
        <v>1046</v>
      </c>
      <c r="C55" s="71" t="s">
        <v>1166</v>
      </c>
      <c r="D55" s="72" t="s">
        <v>1167</v>
      </c>
      <c r="E55" s="16" t="s">
        <v>1168</v>
      </c>
      <c r="F55" s="16" t="n">
        <v>643.09</v>
      </c>
      <c r="G55" s="16" t="n">
        <v>320</v>
      </c>
      <c r="H55" s="16" t="n">
        <v>1892</v>
      </c>
      <c r="I55" s="16" t="n">
        <v>961</v>
      </c>
      <c r="J55" s="16" t="n">
        <v>931</v>
      </c>
      <c r="K55" s="16" t="n">
        <v>40</v>
      </c>
      <c r="L55" s="19" t="n">
        <f aca="false">(K55/H55)*100</f>
        <v>2.11416490486258</v>
      </c>
      <c r="M55" s="16" t="n">
        <v>10</v>
      </c>
      <c r="N55" s="19" t="n">
        <f aca="false">(M55/H55)*100</f>
        <v>0.528541226215645</v>
      </c>
      <c r="O55" s="16" t="n">
        <v>30</v>
      </c>
      <c r="P55" s="16" t="n">
        <v>0</v>
      </c>
      <c r="Q55" s="20" t="s">
        <v>1052</v>
      </c>
      <c r="R55" s="34" t="n">
        <v>44836</v>
      </c>
      <c r="S55" s="34"/>
      <c r="T55" s="20" t="n">
        <v>6.43</v>
      </c>
      <c r="U55" s="20"/>
      <c r="V55" s="25"/>
      <c r="W55" s="20"/>
      <c r="X55" s="20"/>
      <c r="Y55" s="25"/>
      <c r="Z55" s="25"/>
      <c r="AA55" s="21" t="s">
        <v>50</v>
      </c>
      <c r="AB55" s="21" t="n">
        <v>5</v>
      </c>
      <c r="AC55" s="225" t="s">
        <v>317</v>
      </c>
      <c r="AD55" s="20" t="n">
        <v>26.448658</v>
      </c>
      <c r="AE55" s="20" t="n">
        <v>73.358695</v>
      </c>
    </row>
    <row r="56" customFormat="false" ht="15.75" hidden="false" customHeight="false" outlineLevel="0" collapsed="false">
      <c r="A56" s="16" t="s">
        <v>42</v>
      </c>
      <c r="B56" s="16" t="s">
        <v>1046</v>
      </c>
      <c r="C56" s="71" t="s">
        <v>1166</v>
      </c>
      <c r="D56" s="16" t="s">
        <v>1169</v>
      </c>
      <c r="E56" s="16" t="s">
        <v>1170</v>
      </c>
      <c r="F56" s="16" t="n">
        <v>509.17</v>
      </c>
      <c r="G56" s="16" t="n">
        <v>92</v>
      </c>
      <c r="H56" s="16" t="n">
        <v>547</v>
      </c>
      <c r="I56" s="16" t="n">
        <v>290</v>
      </c>
      <c r="J56" s="16" t="n">
        <v>257</v>
      </c>
      <c r="K56" s="16" t="n">
        <v>0</v>
      </c>
      <c r="L56" s="19" t="n">
        <f aca="false">(K56/H56)*100</f>
        <v>0</v>
      </c>
      <c r="M56" s="16" t="n">
        <v>0</v>
      </c>
      <c r="N56" s="19" t="n">
        <f aca="false">(M56/H56)*100</f>
        <v>0</v>
      </c>
      <c r="O56" s="16" t="n">
        <v>40</v>
      </c>
      <c r="P56" s="16" t="n">
        <v>0</v>
      </c>
      <c r="Q56" s="20" t="s">
        <v>49</v>
      </c>
      <c r="R56" s="34" t="n">
        <v>44836</v>
      </c>
      <c r="S56" s="34"/>
      <c r="T56" s="20"/>
      <c r="U56" s="20"/>
      <c r="V56" s="97"/>
      <c r="W56" s="20"/>
      <c r="X56" s="20"/>
      <c r="Y56" s="34"/>
      <c r="Z56" s="34"/>
      <c r="AA56" s="21" t="s">
        <v>266</v>
      </c>
      <c r="AB56" s="21" t="n">
        <v>24</v>
      </c>
      <c r="AC56" s="36" t="s">
        <v>276</v>
      </c>
      <c r="AD56" s="20" t="n">
        <v>26.432068</v>
      </c>
      <c r="AE56" s="20" t="n">
        <v>73.350664</v>
      </c>
    </row>
    <row r="57" customFormat="false" ht="15.75" hidden="false" customHeight="false" outlineLevel="0" collapsed="false">
      <c r="A57" s="16" t="s">
        <v>42</v>
      </c>
      <c r="B57" s="16" t="s">
        <v>1046</v>
      </c>
      <c r="C57" s="71" t="s">
        <v>1166</v>
      </c>
      <c r="D57" s="16" t="s">
        <v>1171</v>
      </c>
      <c r="E57" s="16" t="s">
        <v>1172</v>
      </c>
      <c r="F57" s="16" t="n">
        <v>508</v>
      </c>
      <c r="G57" s="16" t="n">
        <v>159</v>
      </c>
      <c r="H57" s="16" t="n">
        <v>828</v>
      </c>
      <c r="I57" s="16" t="n">
        <v>449</v>
      </c>
      <c r="J57" s="16" t="n">
        <v>379</v>
      </c>
      <c r="K57" s="16" t="n">
        <v>266</v>
      </c>
      <c r="L57" s="19" t="n">
        <f aca="false">(K57/H57)*100</f>
        <v>32.1256038647343</v>
      </c>
      <c r="M57" s="16" t="n">
        <v>0</v>
      </c>
      <c r="N57" s="19" t="n">
        <f aca="false">(M57/H57)*100</f>
        <v>0</v>
      </c>
      <c r="O57" s="16" t="n">
        <v>1</v>
      </c>
      <c r="P57" s="16" t="n">
        <v>0</v>
      </c>
      <c r="Q57" s="20" t="s">
        <v>49</v>
      </c>
      <c r="R57" s="34" t="n">
        <v>44836</v>
      </c>
      <c r="S57" s="34"/>
      <c r="T57" s="20"/>
      <c r="U57" s="20"/>
      <c r="V57" s="25"/>
      <c r="W57" s="20"/>
      <c r="X57" s="20"/>
      <c r="Y57" s="34"/>
      <c r="Z57" s="34"/>
      <c r="AA57" s="21" t="s">
        <v>50</v>
      </c>
      <c r="AB57" s="21" t="n">
        <v>24</v>
      </c>
      <c r="AC57" s="36" t="s">
        <v>276</v>
      </c>
      <c r="AD57" s="20" t="n">
        <v>26.437285</v>
      </c>
      <c r="AE57" s="20" t="n">
        <v>73.353647</v>
      </c>
    </row>
    <row r="58" customFormat="false" ht="15.75" hidden="false" customHeight="false" outlineLevel="0" collapsed="false">
      <c r="A58" s="16" t="s">
        <v>42</v>
      </c>
      <c r="B58" s="16" t="s">
        <v>1046</v>
      </c>
      <c r="C58" s="71" t="s">
        <v>1166</v>
      </c>
      <c r="D58" s="16" t="s">
        <v>1173</v>
      </c>
      <c r="E58" s="16" t="s">
        <v>1174</v>
      </c>
      <c r="F58" s="16" t="n">
        <v>200.05</v>
      </c>
      <c r="G58" s="16" t="n">
        <v>157</v>
      </c>
      <c r="H58" s="16" t="n">
        <v>998</v>
      </c>
      <c r="I58" s="16" t="n">
        <v>523</v>
      </c>
      <c r="J58" s="16" t="n">
        <v>475</v>
      </c>
      <c r="K58" s="16" t="n">
        <v>64</v>
      </c>
      <c r="L58" s="19" t="n">
        <f aca="false">(K58/H58)*100</f>
        <v>6.4128256513026</v>
      </c>
      <c r="M58" s="16" t="n">
        <v>0</v>
      </c>
      <c r="N58" s="19" t="n">
        <f aca="false">(M58/H58)*100</f>
        <v>0</v>
      </c>
      <c r="O58" s="16" t="n">
        <v>8.1</v>
      </c>
      <c r="P58" s="16" t="n">
        <v>0</v>
      </c>
      <c r="Q58" s="20"/>
      <c r="R58" s="21"/>
      <c r="S58" s="21"/>
      <c r="T58" s="20"/>
      <c r="U58" s="20"/>
      <c r="V58" s="34"/>
      <c r="W58" s="20"/>
      <c r="X58" s="20"/>
      <c r="Y58" s="34"/>
      <c r="Z58" s="34"/>
      <c r="AA58" s="21"/>
      <c r="AB58" s="21"/>
      <c r="AC58" s="36"/>
      <c r="AD58" s="20"/>
      <c r="AE58" s="20"/>
    </row>
    <row r="59" customFormat="false" ht="15.75" hidden="false" customHeight="false" outlineLevel="0" collapsed="false">
      <c r="A59" s="16" t="s">
        <v>42</v>
      </c>
      <c r="B59" s="16" t="s">
        <v>1046</v>
      </c>
      <c r="C59" s="71" t="s">
        <v>1166</v>
      </c>
      <c r="D59" s="16" t="s">
        <v>1175</v>
      </c>
      <c r="E59" s="16" t="s">
        <v>1176</v>
      </c>
      <c r="F59" s="16" t="n">
        <v>773.74</v>
      </c>
      <c r="G59" s="16" t="n">
        <v>179</v>
      </c>
      <c r="H59" s="16" t="n">
        <v>950</v>
      </c>
      <c r="I59" s="16" t="n">
        <v>475</v>
      </c>
      <c r="J59" s="16" t="n">
        <v>475</v>
      </c>
      <c r="K59" s="16" t="n">
        <v>132</v>
      </c>
      <c r="L59" s="19" t="n">
        <f aca="false">(K59/H59)*100</f>
        <v>13.8947368421053</v>
      </c>
      <c r="M59" s="16" t="n">
        <v>92</v>
      </c>
      <c r="N59" s="19" t="n">
        <f aca="false">(M59/H59)*100</f>
        <v>9.68421052631579</v>
      </c>
      <c r="O59" s="16" t="n">
        <v>30</v>
      </c>
      <c r="P59" s="16" t="n">
        <v>0</v>
      </c>
      <c r="Q59" s="20" t="s">
        <v>49</v>
      </c>
      <c r="R59" s="34" t="n">
        <v>44836</v>
      </c>
      <c r="S59" s="34"/>
      <c r="T59" s="20" t="n">
        <v>92.9842</v>
      </c>
      <c r="U59" s="20"/>
      <c r="V59" s="34"/>
      <c r="W59" s="20"/>
      <c r="X59" s="20"/>
      <c r="Y59" s="21"/>
      <c r="Z59" s="21"/>
      <c r="AA59" s="21" t="s">
        <v>50</v>
      </c>
      <c r="AB59" s="21" t="n">
        <v>24</v>
      </c>
      <c r="AC59" s="36" t="s">
        <v>276</v>
      </c>
      <c r="AD59" s="20" t="n">
        <v>26.448658</v>
      </c>
      <c r="AE59" s="20" t="n">
        <v>73.358695</v>
      </c>
    </row>
    <row r="60" customFormat="false" ht="15.75" hidden="false" customHeight="false" outlineLevel="0" collapsed="false">
      <c r="A60" s="16" t="s">
        <v>42</v>
      </c>
      <c r="B60" s="16" t="s">
        <v>1046</v>
      </c>
      <c r="C60" s="71" t="s">
        <v>1177</v>
      </c>
      <c r="D60" s="72" t="s">
        <v>1177</v>
      </c>
      <c r="E60" s="16" t="s">
        <v>1178</v>
      </c>
      <c r="F60" s="16" t="n">
        <v>1632</v>
      </c>
      <c r="G60" s="16" t="n">
        <v>390</v>
      </c>
      <c r="H60" s="16" t="n">
        <v>2026</v>
      </c>
      <c r="I60" s="16" t="n">
        <v>1008</v>
      </c>
      <c r="J60" s="16" t="n">
        <v>1018</v>
      </c>
      <c r="K60" s="16" t="n">
        <v>701</v>
      </c>
      <c r="L60" s="19" t="n">
        <f aca="false">(K60/H60)*100</f>
        <v>34.6001974333662</v>
      </c>
      <c r="M60" s="16" t="n">
        <v>0</v>
      </c>
      <c r="N60" s="19" t="n">
        <f aca="false">(M60/H60)*100</f>
        <v>0</v>
      </c>
      <c r="O60" s="16" t="n">
        <v>112.05</v>
      </c>
      <c r="P60" s="16" t="n">
        <v>0</v>
      </c>
      <c r="Q60" s="20"/>
      <c r="R60" s="21"/>
      <c r="S60" s="21"/>
      <c r="T60" s="20"/>
      <c r="U60" s="20"/>
      <c r="V60" s="34"/>
      <c r="W60" s="20"/>
      <c r="X60" s="20"/>
      <c r="Y60" s="34"/>
      <c r="Z60" s="34"/>
      <c r="AA60" s="21"/>
      <c r="AB60" s="21"/>
      <c r="AC60" s="36"/>
      <c r="AD60" s="20"/>
      <c r="AE60" s="20"/>
    </row>
    <row r="61" customFormat="false" ht="15.75" hidden="false" customHeight="false" outlineLevel="0" collapsed="false">
      <c r="A61" s="16" t="s">
        <v>42</v>
      </c>
      <c r="B61" s="16" t="s">
        <v>1046</v>
      </c>
      <c r="C61" s="71" t="s">
        <v>1177</v>
      </c>
      <c r="D61" s="16" t="s">
        <v>1179</v>
      </c>
      <c r="E61" s="16" t="s">
        <v>1180</v>
      </c>
      <c r="F61" s="16" t="n">
        <v>155.05</v>
      </c>
      <c r="G61" s="16" t="n">
        <v>58</v>
      </c>
      <c r="H61" s="16" t="n">
        <v>301</v>
      </c>
      <c r="I61" s="16" t="n">
        <v>159</v>
      </c>
      <c r="J61" s="16" t="n">
        <v>142</v>
      </c>
      <c r="K61" s="16" t="n">
        <v>4</v>
      </c>
      <c r="L61" s="19" t="n">
        <f aca="false">(K61/H61)*100</f>
        <v>1.32890365448505</v>
      </c>
      <c r="M61" s="16" t="n">
        <v>0</v>
      </c>
      <c r="N61" s="19" t="n">
        <f aca="false">(M61/H61)*100</f>
        <v>0</v>
      </c>
      <c r="O61" s="16" t="n">
        <v>0</v>
      </c>
      <c r="P61" s="16" t="n">
        <v>0</v>
      </c>
      <c r="Q61" s="20"/>
      <c r="R61" s="21"/>
      <c r="S61" s="21"/>
      <c r="T61" s="20"/>
      <c r="U61" s="20"/>
      <c r="V61" s="21"/>
      <c r="W61" s="20"/>
      <c r="X61" s="20"/>
      <c r="Y61" s="21"/>
      <c r="Z61" s="21"/>
      <c r="AA61" s="21"/>
      <c r="AB61" s="21"/>
      <c r="AC61" s="36"/>
      <c r="AD61" s="20"/>
      <c r="AE61" s="20"/>
    </row>
    <row r="62" customFormat="false" ht="15.75" hidden="false" customHeight="false" outlineLevel="0" collapsed="false">
      <c r="A62" s="16" t="s">
        <v>42</v>
      </c>
      <c r="B62" s="16" t="s">
        <v>1046</v>
      </c>
      <c r="C62" s="71" t="s">
        <v>1177</v>
      </c>
      <c r="D62" s="16" t="s">
        <v>1181</v>
      </c>
      <c r="E62" s="16" t="s">
        <v>1182</v>
      </c>
      <c r="F62" s="16" t="n">
        <v>541.13</v>
      </c>
      <c r="G62" s="16" t="n">
        <v>120</v>
      </c>
      <c r="H62" s="16" t="n">
        <v>666</v>
      </c>
      <c r="I62" s="16" t="n">
        <v>332</v>
      </c>
      <c r="J62" s="16" t="n">
        <v>334</v>
      </c>
      <c r="K62" s="16" t="n">
        <v>106</v>
      </c>
      <c r="L62" s="19" t="n">
        <f aca="false">(K62/H62)*100</f>
        <v>15.9159159159159</v>
      </c>
      <c r="M62" s="16" t="n">
        <v>0</v>
      </c>
      <c r="N62" s="19" t="n">
        <f aca="false">(M62/H62)*100</f>
        <v>0</v>
      </c>
      <c r="O62" s="16" t="n">
        <v>21.69</v>
      </c>
      <c r="P62" s="16" t="n">
        <v>0</v>
      </c>
      <c r="Q62" s="20"/>
      <c r="R62" s="21"/>
      <c r="S62" s="21"/>
      <c r="T62" s="20"/>
      <c r="U62" s="20"/>
      <c r="V62" s="34"/>
      <c r="W62" s="20"/>
      <c r="X62" s="20"/>
      <c r="Y62" s="21"/>
      <c r="Z62" s="21"/>
      <c r="AA62" s="21"/>
      <c r="AB62" s="21"/>
      <c r="AC62" s="36"/>
      <c r="AD62" s="20"/>
      <c r="AE62" s="20"/>
    </row>
    <row r="63" customFormat="false" ht="15.75" hidden="false" customHeight="false" outlineLevel="0" collapsed="false">
      <c r="A63" s="16" t="s">
        <v>42</v>
      </c>
      <c r="B63" s="16" t="s">
        <v>1046</v>
      </c>
      <c r="C63" s="71" t="s">
        <v>1183</v>
      </c>
      <c r="D63" s="72" t="s">
        <v>1184</v>
      </c>
      <c r="E63" s="16" t="s">
        <v>1185</v>
      </c>
      <c r="F63" s="16" t="n">
        <v>3215</v>
      </c>
      <c r="G63" s="16" t="n">
        <v>625</v>
      </c>
      <c r="H63" s="16" t="n">
        <v>3489</v>
      </c>
      <c r="I63" s="16" t="n">
        <v>1804</v>
      </c>
      <c r="J63" s="16" t="n">
        <v>1685</v>
      </c>
      <c r="K63" s="16" t="n">
        <v>571</v>
      </c>
      <c r="L63" s="19" t="n">
        <f aca="false">(K63/H63)*100</f>
        <v>16.365720836916</v>
      </c>
      <c r="M63" s="16" t="n">
        <v>1</v>
      </c>
      <c r="N63" s="19" t="n">
        <f aca="false">(M63/H63)*100</f>
        <v>0.0286615075952995</v>
      </c>
      <c r="O63" s="16" t="n">
        <v>39</v>
      </c>
      <c r="P63" s="16" t="n">
        <v>0</v>
      </c>
      <c r="Q63" s="20" t="s">
        <v>49</v>
      </c>
      <c r="R63" s="34" t="n">
        <v>44836</v>
      </c>
      <c r="S63" s="34"/>
      <c r="T63" s="20" t="n">
        <v>91.5397</v>
      </c>
      <c r="U63" s="20"/>
      <c r="V63" s="21"/>
      <c r="W63" s="20"/>
      <c r="X63" s="20"/>
      <c r="Y63" s="21"/>
      <c r="Z63" s="21"/>
      <c r="AA63" s="21" t="s">
        <v>50</v>
      </c>
      <c r="AB63" s="21" t="n">
        <v>10</v>
      </c>
      <c r="AC63" s="225" t="s">
        <v>317</v>
      </c>
      <c r="AD63" s="20"/>
      <c r="AE63" s="20"/>
    </row>
    <row r="64" customFormat="false" ht="15.75" hidden="false" customHeight="false" outlineLevel="0" collapsed="false">
      <c r="A64" s="16" t="s">
        <v>42</v>
      </c>
      <c r="B64" s="16" t="s">
        <v>1046</v>
      </c>
      <c r="C64" s="71" t="s">
        <v>1186</v>
      </c>
      <c r="D64" s="72" t="s">
        <v>1187</v>
      </c>
      <c r="E64" s="16" t="s">
        <v>1188</v>
      </c>
      <c r="F64" s="16" t="n">
        <v>2498</v>
      </c>
      <c r="G64" s="16" t="n">
        <v>552</v>
      </c>
      <c r="H64" s="16" t="n">
        <v>3096</v>
      </c>
      <c r="I64" s="16" t="n">
        <v>1581</v>
      </c>
      <c r="J64" s="16" t="n">
        <v>1515</v>
      </c>
      <c r="K64" s="16" t="n">
        <v>946</v>
      </c>
      <c r="L64" s="19" t="n">
        <f aca="false">(K64/H64)*100</f>
        <v>30.5555555555556</v>
      </c>
      <c r="M64" s="16" t="n">
        <v>6</v>
      </c>
      <c r="N64" s="19" t="n">
        <f aca="false">(M64/H64)*100</f>
        <v>0.193798449612403</v>
      </c>
      <c r="O64" s="16" t="n">
        <v>8</v>
      </c>
      <c r="P64" s="16" t="n">
        <v>0</v>
      </c>
      <c r="Q64" s="20" t="s">
        <v>49</v>
      </c>
      <c r="R64" s="34" t="n">
        <v>44836</v>
      </c>
      <c r="S64" s="34"/>
      <c r="T64" s="20" t="n">
        <v>8.0937</v>
      </c>
      <c r="U64" s="20"/>
      <c r="V64" s="21"/>
      <c r="W64" s="20"/>
      <c r="X64" s="20"/>
      <c r="Y64" s="34"/>
      <c r="Z64" s="34"/>
      <c r="AA64" s="21" t="s">
        <v>266</v>
      </c>
      <c r="AB64" s="21" t="n">
        <v>23</v>
      </c>
      <c r="AC64" s="36" t="s">
        <v>276</v>
      </c>
      <c r="AD64" s="20"/>
      <c r="AE64" s="20"/>
    </row>
    <row r="65" customFormat="false" ht="15.75" hidden="false" customHeight="false" outlineLevel="0" collapsed="false">
      <c r="A65" s="16" t="s">
        <v>42</v>
      </c>
      <c r="B65" s="16" t="s">
        <v>1046</v>
      </c>
      <c r="C65" s="71" t="s">
        <v>1189</v>
      </c>
      <c r="D65" s="72" t="s">
        <v>1189</v>
      </c>
      <c r="E65" s="16" t="s">
        <v>1190</v>
      </c>
      <c r="F65" s="16" t="n">
        <v>1059.34</v>
      </c>
      <c r="G65" s="16" t="n">
        <v>365</v>
      </c>
      <c r="H65" s="16" t="n">
        <v>2040</v>
      </c>
      <c r="I65" s="16" t="n">
        <v>1083</v>
      </c>
      <c r="J65" s="16" t="n">
        <v>957</v>
      </c>
      <c r="K65" s="16" t="n">
        <v>338</v>
      </c>
      <c r="L65" s="19" t="n">
        <f aca="false">(K65/H65)*100</f>
        <v>16.5686274509804</v>
      </c>
      <c r="M65" s="16" t="n">
        <v>0</v>
      </c>
      <c r="N65" s="19" t="n">
        <f aca="false">(M65/H65)*100</f>
        <v>0</v>
      </c>
      <c r="O65" s="16" t="n">
        <v>39.08</v>
      </c>
      <c r="P65" s="16" t="n">
        <v>0</v>
      </c>
      <c r="Q65" s="20" t="s">
        <v>49</v>
      </c>
      <c r="R65" s="34" t="n">
        <v>44836</v>
      </c>
      <c r="S65" s="34"/>
      <c r="T65" s="20" t="n">
        <v>38.7122</v>
      </c>
      <c r="U65" s="20"/>
      <c r="V65" s="21"/>
      <c r="W65" s="20"/>
      <c r="X65" s="20"/>
      <c r="Y65" s="34"/>
      <c r="Z65" s="34"/>
      <c r="AA65" s="21" t="s">
        <v>50</v>
      </c>
      <c r="AB65" s="21" t="n">
        <v>22</v>
      </c>
      <c r="AC65" s="233" t="s">
        <v>1191</v>
      </c>
      <c r="AD65" s="20" t="n">
        <v>26.521934</v>
      </c>
      <c r="AE65" s="20" t="n">
        <v>73.347662</v>
      </c>
    </row>
    <row r="66" customFormat="false" ht="31.5" hidden="false" customHeight="false" outlineLevel="0" collapsed="false">
      <c r="A66" s="16" t="s">
        <v>42</v>
      </c>
      <c r="B66" s="16" t="s">
        <v>1046</v>
      </c>
      <c r="C66" s="71" t="s">
        <v>1189</v>
      </c>
      <c r="D66" s="16" t="s">
        <v>129</v>
      </c>
      <c r="E66" s="16" t="s">
        <v>1192</v>
      </c>
      <c r="F66" s="16" t="n">
        <v>972.73</v>
      </c>
      <c r="G66" s="16" t="n">
        <v>213</v>
      </c>
      <c r="H66" s="16" t="n">
        <v>1258</v>
      </c>
      <c r="I66" s="16" t="n">
        <v>656</v>
      </c>
      <c r="J66" s="16" t="n">
        <v>602</v>
      </c>
      <c r="K66" s="16" t="n">
        <v>125</v>
      </c>
      <c r="L66" s="19" t="n">
        <f aca="false">(K66/H66)*100</f>
        <v>9.93640699523053</v>
      </c>
      <c r="M66" s="16" t="n">
        <v>0</v>
      </c>
      <c r="N66" s="19" t="n">
        <f aca="false">(M66/H66)*100</f>
        <v>0</v>
      </c>
      <c r="O66" s="16" t="n">
        <v>96.92</v>
      </c>
      <c r="P66" s="16" t="n">
        <v>96.96</v>
      </c>
      <c r="Q66" s="20" t="s">
        <v>49</v>
      </c>
      <c r="R66" s="34" t="n">
        <v>44836</v>
      </c>
      <c r="S66" s="34"/>
      <c r="T66" s="20" t="n">
        <v>96.1045</v>
      </c>
      <c r="U66" s="20"/>
      <c r="V66" s="34"/>
      <c r="W66" s="20"/>
      <c r="X66" s="20"/>
      <c r="Y66" s="34"/>
      <c r="Z66" s="34"/>
      <c r="AA66" s="21" t="s">
        <v>50</v>
      </c>
      <c r="AB66" s="21" t="n">
        <v>14</v>
      </c>
      <c r="AC66" s="90" t="s">
        <v>1193</v>
      </c>
      <c r="AD66" s="20" t="n">
        <v>26.54996</v>
      </c>
      <c r="AE66" s="20" t="n">
        <v>73.350155</v>
      </c>
    </row>
    <row r="67" customFormat="false" ht="15.75" hidden="false" customHeight="false" outlineLevel="0" collapsed="false">
      <c r="A67" s="16" t="s">
        <v>42</v>
      </c>
      <c r="B67" s="16" t="s">
        <v>1046</v>
      </c>
      <c r="C67" s="71" t="s">
        <v>1194</v>
      </c>
      <c r="D67" s="72" t="s">
        <v>1195</v>
      </c>
      <c r="E67" s="16" t="s">
        <v>1196</v>
      </c>
      <c r="F67" s="16" t="n">
        <v>4206.17</v>
      </c>
      <c r="G67" s="16" t="n">
        <v>1006</v>
      </c>
      <c r="H67" s="16" t="n">
        <v>5247</v>
      </c>
      <c r="I67" s="16" t="n">
        <v>2694</v>
      </c>
      <c r="J67" s="16" t="n">
        <v>2553</v>
      </c>
      <c r="K67" s="16" t="n">
        <v>1353</v>
      </c>
      <c r="L67" s="19" t="n">
        <f aca="false">(K67/H67)*100</f>
        <v>25.7861635220126</v>
      </c>
      <c r="M67" s="16" t="n">
        <v>6</v>
      </c>
      <c r="N67" s="19" t="n">
        <f aca="false">(M67/H67)*100</f>
        <v>0.114351057747284</v>
      </c>
      <c r="O67" s="16" t="n">
        <v>100</v>
      </c>
      <c r="P67" s="16" t="n">
        <v>0</v>
      </c>
      <c r="Q67" s="20" t="s">
        <v>1052</v>
      </c>
      <c r="R67" s="34" t="n">
        <v>44836</v>
      </c>
      <c r="S67" s="34"/>
      <c r="T67" s="20" t="n">
        <v>266.8169</v>
      </c>
      <c r="U67" s="20"/>
      <c r="V67" s="34"/>
      <c r="W67" s="20"/>
      <c r="X67" s="20"/>
      <c r="Y67" s="34"/>
      <c r="Z67" s="34"/>
      <c r="AA67" s="21" t="s">
        <v>50</v>
      </c>
      <c r="AB67" s="21" t="n">
        <v>35</v>
      </c>
      <c r="AC67" s="36" t="s">
        <v>276</v>
      </c>
      <c r="AD67" s="20"/>
      <c r="AE67" s="20"/>
    </row>
    <row r="68" customFormat="false" ht="15.75" hidden="false" customHeight="false" outlineLevel="0" collapsed="false">
      <c r="A68" s="16" t="s">
        <v>42</v>
      </c>
      <c r="B68" s="16" t="s">
        <v>1046</v>
      </c>
      <c r="C68" s="71" t="s">
        <v>1194</v>
      </c>
      <c r="D68" s="16" t="s">
        <v>53</v>
      </c>
      <c r="E68" s="16" t="s">
        <v>1197</v>
      </c>
      <c r="F68" s="16" t="n">
        <v>833.83</v>
      </c>
      <c r="G68" s="16" t="n">
        <v>38</v>
      </c>
      <c r="H68" s="16" t="n">
        <v>260</v>
      </c>
      <c r="I68" s="16" t="n">
        <v>129</v>
      </c>
      <c r="J68" s="16" t="n">
        <v>131</v>
      </c>
      <c r="K68" s="16" t="n">
        <v>0</v>
      </c>
      <c r="L68" s="19" t="n">
        <f aca="false">(K68/H68)*100</f>
        <v>0</v>
      </c>
      <c r="M68" s="16" t="n">
        <v>0</v>
      </c>
      <c r="N68" s="19" t="n">
        <f aca="false">(M68/H68)*100</f>
        <v>0</v>
      </c>
      <c r="O68" s="16" t="n">
        <v>61</v>
      </c>
      <c r="P68" s="16" t="n">
        <v>0</v>
      </c>
      <c r="Q68" s="20" t="s">
        <v>49</v>
      </c>
      <c r="R68" s="34" t="n">
        <v>44836</v>
      </c>
      <c r="S68" s="34"/>
      <c r="T68" s="20"/>
      <c r="U68" s="20"/>
      <c r="V68" s="34"/>
      <c r="W68" s="20"/>
      <c r="X68" s="20"/>
      <c r="Y68" s="34"/>
      <c r="Z68" s="34"/>
      <c r="AA68" s="21" t="s">
        <v>50</v>
      </c>
      <c r="AB68" s="21" t="n">
        <v>10</v>
      </c>
      <c r="AC68" s="36" t="s">
        <v>276</v>
      </c>
      <c r="AD68" s="20"/>
      <c r="AE68" s="20"/>
    </row>
    <row r="69" customFormat="false" ht="31.5" hidden="false" customHeight="false" outlineLevel="0" collapsed="false">
      <c r="A69" s="16" t="s">
        <v>42</v>
      </c>
      <c r="B69" s="16" t="s">
        <v>1046</v>
      </c>
      <c r="C69" s="71" t="s">
        <v>1198</v>
      </c>
      <c r="D69" s="72" t="s">
        <v>1199</v>
      </c>
      <c r="E69" s="16" t="s">
        <v>1200</v>
      </c>
      <c r="F69" s="16" t="n">
        <v>1805.86</v>
      </c>
      <c r="G69" s="16" t="n">
        <v>403</v>
      </c>
      <c r="H69" s="16" t="n">
        <v>2409</v>
      </c>
      <c r="I69" s="16" t="n">
        <v>1297</v>
      </c>
      <c r="J69" s="16" t="n">
        <v>1112</v>
      </c>
      <c r="K69" s="16" t="n">
        <v>628</v>
      </c>
      <c r="L69" s="19" t="n">
        <f aca="false">(K69/H69)*100</f>
        <v>26.0689082606891</v>
      </c>
      <c r="M69" s="16" t="n">
        <v>2</v>
      </c>
      <c r="N69" s="19" t="n">
        <f aca="false">(M69/H69)*100</f>
        <v>0.08302200083022</v>
      </c>
      <c r="O69" s="16" t="n">
        <v>221.47</v>
      </c>
      <c r="P69" s="16" t="n">
        <v>0</v>
      </c>
      <c r="Q69" s="24" t="s">
        <v>49</v>
      </c>
      <c r="R69" s="25" t="n">
        <v>44835</v>
      </c>
      <c r="S69" s="25"/>
      <c r="T69" s="24" t="n">
        <v>46.0208</v>
      </c>
      <c r="U69" s="20"/>
      <c r="V69" s="34"/>
      <c r="W69" s="20"/>
      <c r="X69" s="20"/>
      <c r="Y69" s="34"/>
      <c r="Z69" s="34"/>
      <c r="AA69" s="47" t="s">
        <v>266</v>
      </c>
      <c r="AB69" s="26" t="n">
        <v>20</v>
      </c>
      <c r="AC69" s="96" t="s">
        <v>1201</v>
      </c>
      <c r="AD69" s="226" t="n">
        <v>26.77</v>
      </c>
      <c r="AE69" s="227" t="n">
        <v>73.39</v>
      </c>
    </row>
    <row r="70" customFormat="false" ht="31.5" hidden="false" customHeight="false" outlineLevel="0" collapsed="false">
      <c r="A70" s="16"/>
      <c r="B70" s="16"/>
      <c r="C70" s="71"/>
      <c r="D70" s="72"/>
      <c r="E70" s="16"/>
      <c r="F70" s="16"/>
      <c r="G70" s="16"/>
      <c r="H70" s="16"/>
      <c r="I70" s="16"/>
      <c r="J70" s="16"/>
      <c r="K70" s="16"/>
      <c r="L70" s="19" t="e">
        <f aca="false">(K70/H70)*100</f>
        <v>#DIV/0!</v>
      </c>
      <c r="M70" s="16"/>
      <c r="N70" s="19" t="e">
        <f aca="false">(M70/H70)*100</f>
        <v>#DIV/0!</v>
      </c>
      <c r="O70" s="16"/>
      <c r="P70" s="16"/>
      <c r="Q70" s="228"/>
      <c r="R70" s="97"/>
      <c r="S70" s="97"/>
      <c r="T70" s="228"/>
      <c r="U70" s="20"/>
      <c r="V70" s="34"/>
      <c r="W70" s="20"/>
      <c r="X70" s="20"/>
      <c r="Y70" s="25"/>
      <c r="Z70" s="25"/>
      <c r="AA70" s="229" t="s">
        <v>266</v>
      </c>
      <c r="AB70" s="97" t="n">
        <v>20</v>
      </c>
      <c r="AC70" s="98" t="s">
        <v>1202</v>
      </c>
      <c r="AD70" s="230" t="s">
        <v>1203</v>
      </c>
      <c r="AE70" s="231" t="n">
        <v>73.41</v>
      </c>
    </row>
    <row r="71" customFormat="false" ht="31.5" hidden="false" customHeight="false" outlineLevel="0" collapsed="false">
      <c r="A71" s="16" t="s">
        <v>42</v>
      </c>
      <c r="B71" s="16" t="s">
        <v>1046</v>
      </c>
      <c r="C71" s="71" t="s">
        <v>1198</v>
      </c>
      <c r="D71" s="16" t="s">
        <v>1204</v>
      </c>
      <c r="E71" s="16" t="s">
        <v>1205</v>
      </c>
      <c r="F71" s="16" t="n">
        <v>1923.1</v>
      </c>
      <c r="G71" s="16" t="n">
        <v>215</v>
      </c>
      <c r="H71" s="16" t="n">
        <v>1190</v>
      </c>
      <c r="I71" s="16" t="n">
        <v>625</v>
      </c>
      <c r="J71" s="16" t="n">
        <v>565</v>
      </c>
      <c r="K71" s="16" t="n">
        <v>472</v>
      </c>
      <c r="L71" s="19" t="n">
        <f aca="false">(K71/H71)*100</f>
        <v>39.6638655462185</v>
      </c>
      <c r="M71" s="16" t="n">
        <v>0</v>
      </c>
      <c r="N71" s="19" t="n">
        <f aca="false">(M71/H71)*100</f>
        <v>0</v>
      </c>
      <c r="O71" s="16" t="n">
        <v>66.3</v>
      </c>
      <c r="P71" s="16" t="n">
        <v>204.4</v>
      </c>
      <c r="Q71" s="24" t="s">
        <v>49</v>
      </c>
      <c r="R71" s="25" t="n">
        <v>44836</v>
      </c>
      <c r="S71" s="25"/>
      <c r="T71" s="24" t="n">
        <v>104.0769</v>
      </c>
      <c r="U71" s="20"/>
      <c r="V71" s="34"/>
      <c r="W71" s="20"/>
      <c r="X71" s="20"/>
      <c r="Y71" s="97"/>
      <c r="Z71" s="97"/>
      <c r="AA71" s="47" t="s">
        <v>266</v>
      </c>
      <c r="AB71" s="26" t="n">
        <v>15</v>
      </c>
      <c r="AC71" s="96" t="s">
        <v>1206</v>
      </c>
      <c r="AD71" s="226" t="n">
        <v>26.75</v>
      </c>
      <c r="AE71" s="227" t="n">
        <v>73.37</v>
      </c>
    </row>
    <row r="72" customFormat="false" ht="31.5" hidden="false" customHeight="false" outlineLevel="0" collapsed="false">
      <c r="A72" s="16" t="s">
        <v>42</v>
      </c>
      <c r="B72" s="16" t="s">
        <v>1046</v>
      </c>
      <c r="C72" s="71" t="s">
        <v>1198</v>
      </c>
      <c r="D72" s="16" t="s">
        <v>1207</v>
      </c>
      <c r="E72" s="16" t="s">
        <v>1208</v>
      </c>
      <c r="F72" s="16" t="n">
        <v>1126.48</v>
      </c>
      <c r="G72" s="16" t="n">
        <v>145</v>
      </c>
      <c r="H72" s="16" t="n">
        <v>889</v>
      </c>
      <c r="I72" s="16" t="n">
        <v>459</v>
      </c>
      <c r="J72" s="16" t="n">
        <v>430</v>
      </c>
      <c r="K72" s="16" t="n">
        <v>245</v>
      </c>
      <c r="L72" s="19" t="n">
        <f aca="false">(K72/H72)*100</f>
        <v>27.5590551181102</v>
      </c>
      <c r="M72" s="16" t="n">
        <v>2</v>
      </c>
      <c r="N72" s="19" t="n">
        <f aca="false">(M72/H72)*100</f>
        <v>0.224971878515186</v>
      </c>
      <c r="O72" s="16" t="n">
        <v>37.1</v>
      </c>
      <c r="P72" s="16" t="n">
        <v>0</v>
      </c>
      <c r="Q72" s="24" t="s">
        <v>49</v>
      </c>
      <c r="R72" s="25" t="n">
        <v>44835</v>
      </c>
      <c r="S72" s="25"/>
      <c r="T72" s="24" t="n">
        <v>4.3301</v>
      </c>
      <c r="U72" s="20"/>
      <c r="V72" s="25"/>
      <c r="W72" s="20"/>
      <c r="X72" s="20"/>
      <c r="Y72" s="25"/>
      <c r="Z72" s="25"/>
      <c r="AA72" s="47" t="s">
        <v>266</v>
      </c>
      <c r="AB72" s="26" t="n">
        <v>10</v>
      </c>
      <c r="AC72" s="96" t="s">
        <v>1209</v>
      </c>
      <c r="AD72" s="226" t="n">
        <v>26.74</v>
      </c>
      <c r="AE72" s="227" t="n">
        <v>73.38</v>
      </c>
    </row>
    <row r="73" customFormat="false" ht="47.25" hidden="false" customHeight="false" outlineLevel="0" collapsed="false">
      <c r="A73" s="16" t="s">
        <v>42</v>
      </c>
      <c r="B73" s="16" t="s">
        <v>1046</v>
      </c>
      <c r="C73" s="71" t="s">
        <v>1198</v>
      </c>
      <c r="D73" s="16" t="s">
        <v>1210</v>
      </c>
      <c r="E73" s="16" t="s">
        <v>1211</v>
      </c>
      <c r="F73" s="16" t="n">
        <v>1018.14</v>
      </c>
      <c r="G73" s="16" t="n">
        <v>101</v>
      </c>
      <c r="H73" s="16" t="n">
        <v>749</v>
      </c>
      <c r="I73" s="16" t="n">
        <v>392</v>
      </c>
      <c r="J73" s="16" t="n">
        <v>357</v>
      </c>
      <c r="K73" s="16" t="n">
        <v>12</v>
      </c>
      <c r="L73" s="19" t="n">
        <f aca="false">(K73/H73)*100</f>
        <v>1.60213618157543</v>
      </c>
      <c r="M73" s="16" t="n">
        <v>0</v>
      </c>
      <c r="N73" s="19" t="n">
        <f aca="false">(M73/H73)*100</f>
        <v>0</v>
      </c>
      <c r="O73" s="16" t="n">
        <v>11.53</v>
      </c>
      <c r="P73" s="16" t="n">
        <v>0</v>
      </c>
      <c r="Q73" s="24" t="s">
        <v>49</v>
      </c>
      <c r="R73" s="25" t="n">
        <v>44835</v>
      </c>
      <c r="S73" s="25"/>
      <c r="T73" s="24"/>
      <c r="U73" s="20"/>
      <c r="V73" s="97"/>
      <c r="W73" s="20"/>
      <c r="X73" s="20"/>
      <c r="Y73" s="25"/>
      <c r="Z73" s="25"/>
      <c r="AA73" s="47" t="s">
        <v>266</v>
      </c>
      <c r="AB73" s="26" t="n">
        <v>10</v>
      </c>
      <c r="AC73" s="96" t="s">
        <v>1212</v>
      </c>
      <c r="AD73" s="226" t="n">
        <v>26.78</v>
      </c>
      <c r="AE73" s="227" t="n">
        <v>73.41</v>
      </c>
    </row>
    <row r="74" customFormat="false" ht="15.75" hidden="false" customHeight="false" outlineLevel="0" collapsed="false">
      <c r="A74" s="16" t="s">
        <v>42</v>
      </c>
      <c r="B74" s="16" t="s">
        <v>1046</v>
      </c>
      <c r="C74" s="71" t="s">
        <v>1213</v>
      </c>
      <c r="D74" s="72" t="s">
        <v>1214</v>
      </c>
      <c r="E74" s="16" t="s">
        <v>1215</v>
      </c>
      <c r="F74" s="16" t="n">
        <v>3639.22</v>
      </c>
      <c r="G74" s="16" t="n">
        <v>928</v>
      </c>
      <c r="H74" s="16" t="n">
        <v>4901</v>
      </c>
      <c r="I74" s="16" t="n">
        <v>2480</v>
      </c>
      <c r="J74" s="16" t="n">
        <v>2421</v>
      </c>
      <c r="K74" s="16" t="n">
        <v>1450</v>
      </c>
      <c r="L74" s="19" t="n">
        <f aca="false">(K74/H74)*100</f>
        <v>29.585798816568</v>
      </c>
      <c r="M74" s="16" t="n">
        <v>103</v>
      </c>
      <c r="N74" s="19" t="n">
        <f aca="false">(M74/H74)*100</f>
        <v>2.10161191593552</v>
      </c>
      <c r="O74" s="16" t="n">
        <v>18.02</v>
      </c>
      <c r="P74" s="16" t="n">
        <v>0</v>
      </c>
      <c r="Q74" s="20" t="s">
        <v>49</v>
      </c>
      <c r="R74" s="34" t="n">
        <v>44836</v>
      </c>
      <c r="S74" s="34"/>
      <c r="T74" s="20" t="n">
        <v>15.0624</v>
      </c>
      <c r="U74" s="20"/>
      <c r="V74" s="25"/>
      <c r="W74" s="20"/>
      <c r="X74" s="20"/>
      <c r="Y74" s="25"/>
      <c r="Z74" s="25"/>
      <c r="AA74" s="21" t="s">
        <v>50</v>
      </c>
      <c r="AB74" s="21" t="n">
        <v>14</v>
      </c>
      <c r="AC74" s="36" t="s">
        <v>276</v>
      </c>
      <c r="AD74" s="20"/>
      <c r="AE74" s="20"/>
    </row>
    <row r="75" customFormat="false" ht="15.75" hidden="false" customHeight="false" outlineLevel="0" collapsed="false">
      <c r="A75" s="16" t="s">
        <v>42</v>
      </c>
      <c r="B75" s="16" t="s">
        <v>1046</v>
      </c>
      <c r="C75" s="71" t="s">
        <v>1213</v>
      </c>
      <c r="D75" s="16" t="s">
        <v>855</v>
      </c>
      <c r="E75" s="16" t="s">
        <v>1216</v>
      </c>
      <c r="F75" s="16" t="n">
        <v>900.12</v>
      </c>
      <c r="G75" s="16" t="n">
        <v>115</v>
      </c>
      <c r="H75" s="16" t="n">
        <v>597</v>
      </c>
      <c r="I75" s="16" t="n">
        <v>303</v>
      </c>
      <c r="J75" s="16" t="n">
        <v>294</v>
      </c>
      <c r="K75" s="16" t="n">
        <v>141</v>
      </c>
      <c r="L75" s="19" t="n">
        <f aca="false">(K75/H75)*100</f>
        <v>23.6180904522613</v>
      </c>
      <c r="M75" s="16" t="n">
        <v>0</v>
      </c>
      <c r="N75" s="19" t="n">
        <f aca="false">(M75/H75)*100</f>
        <v>0</v>
      </c>
      <c r="O75" s="16" t="n">
        <v>0</v>
      </c>
      <c r="P75" s="16" t="n">
        <v>0</v>
      </c>
      <c r="Q75" s="20" t="s">
        <v>49</v>
      </c>
      <c r="R75" s="34" t="n">
        <v>44836</v>
      </c>
      <c r="S75" s="34"/>
      <c r="T75" s="20"/>
      <c r="U75" s="20"/>
      <c r="V75" s="25"/>
      <c r="W75" s="20"/>
      <c r="X75" s="20"/>
      <c r="Y75" s="34"/>
      <c r="Z75" s="34"/>
      <c r="AA75" s="21" t="s">
        <v>266</v>
      </c>
      <c r="AB75" s="21" t="n">
        <v>21</v>
      </c>
      <c r="AC75" s="36" t="s">
        <v>276</v>
      </c>
      <c r="AD75" s="20"/>
      <c r="AE75" s="20"/>
    </row>
    <row r="76" customFormat="false" ht="15.75" hidden="false" customHeight="false" outlineLevel="0" collapsed="false">
      <c r="A76" s="16" t="s">
        <v>42</v>
      </c>
      <c r="B76" s="16" t="s">
        <v>1046</v>
      </c>
      <c r="C76" s="71" t="s">
        <v>1217</v>
      </c>
      <c r="D76" s="72" t="s">
        <v>829</v>
      </c>
      <c r="E76" s="16" t="s">
        <v>1218</v>
      </c>
      <c r="F76" s="16" t="n">
        <v>1655.45</v>
      </c>
      <c r="G76" s="16" t="n">
        <v>253</v>
      </c>
      <c r="H76" s="16" t="n">
        <v>1353</v>
      </c>
      <c r="I76" s="16" t="n">
        <v>703</v>
      </c>
      <c r="J76" s="16" t="n">
        <v>650</v>
      </c>
      <c r="K76" s="16" t="n">
        <v>209</v>
      </c>
      <c r="L76" s="19" t="n">
        <f aca="false">(K76/H76)*100</f>
        <v>15.4471544715447</v>
      </c>
      <c r="M76" s="16" t="n">
        <v>10</v>
      </c>
      <c r="N76" s="19" t="n">
        <f aca="false">(M76/H76)*100</f>
        <v>0.73909830007391</v>
      </c>
      <c r="O76" s="16" t="n">
        <v>46.05</v>
      </c>
      <c r="P76" s="16" t="n">
        <v>0</v>
      </c>
      <c r="Q76" s="24" t="s">
        <v>49</v>
      </c>
      <c r="R76" s="25" t="n">
        <v>44836</v>
      </c>
      <c r="S76" s="25"/>
      <c r="T76" s="24" t="n">
        <v>46.2555</v>
      </c>
      <c r="U76" s="20"/>
      <c r="V76" s="25"/>
      <c r="W76" s="20"/>
      <c r="X76" s="20"/>
      <c r="Y76" s="34"/>
      <c r="Z76" s="34"/>
      <c r="AA76" s="47" t="s">
        <v>266</v>
      </c>
      <c r="AB76" s="26" t="n">
        <v>10</v>
      </c>
      <c r="AC76" s="96" t="s">
        <v>1219</v>
      </c>
      <c r="AD76" s="226" t="n">
        <v>26.72</v>
      </c>
      <c r="AE76" s="227" t="n">
        <v>73.65</v>
      </c>
    </row>
    <row r="77" customFormat="false" ht="31.5" hidden="false" customHeight="false" outlineLevel="0" collapsed="false">
      <c r="A77" s="16"/>
      <c r="B77" s="16"/>
      <c r="C77" s="71"/>
      <c r="D77" s="72"/>
      <c r="E77" s="16"/>
      <c r="F77" s="16"/>
      <c r="G77" s="16"/>
      <c r="H77" s="16"/>
      <c r="I77" s="16"/>
      <c r="J77" s="16"/>
      <c r="K77" s="16"/>
      <c r="L77" s="19" t="e">
        <f aca="false">(K77/H77)*100</f>
        <v>#DIV/0!</v>
      </c>
      <c r="M77" s="16"/>
      <c r="N77" s="19" t="e">
        <f aca="false">(M77/H77)*100</f>
        <v>#DIV/0!</v>
      </c>
      <c r="O77" s="16"/>
      <c r="P77" s="16"/>
      <c r="Q77" s="228"/>
      <c r="R77" s="97"/>
      <c r="S77" s="97"/>
      <c r="T77" s="228"/>
      <c r="U77" s="20"/>
      <c r="V77" s="34"/>
      <c r="W77" s="20"/>
      <c r="X77" s="20"/>
      <c r="Y77" s="25"/>
      <c r="Z77" s="25"/>
      <c r="AA77" s="229" t="s">
        <v>266</v>
      </c>
      <c r="AB77" s="97" t="n">
        <v>15</v>
      </c>
      <c r="AC77" s="98" t="s">
        <v>1220</v>
      </c>
      <c r="AD77" s="230" t="n">
        <v>26.74</v>
      </c>
      <c r="AE77" s="231" t="n">
        <v>73.63</v>
      </c>
    </row>
    <row r="78" customFormat="false" ht="15.75" hidden="false" customHeight="false" outlineLevel="0" collapsed="false">
      <c r="A78" s="16" t="s">
        <v>42</v>
      </c>
      <c r="B78" s="16" t="s">
        <v>1046</v>
      </c>
      <c r="C78" s="71" t="s">
        <v>1217</v>
      </c>
      <c r="D78" s="16" t="s">
        <v>1221</v>
      </c>
      <c r="E78" s="16" t="s">
        <v>1222</v>
      </c>
      <c r="F78" s="16" t="n">
        <v>1366.45</v>
      </c>
      <c r="G78" s="16" t="n">
        <v>489</v>
      </c>
      <c r="H78" s="16" t="n">
        <v>2487</v>
      </c>
      <c r="I78" s="16" t="n">
        <v>1283</v>
      </c>
      <c r="J78" s="16" t="n">
        <v>1204</v>
      </c>
      <c r="K78" s="16" t="n">
        <v>587</v>
      </c>
      <c r="L78" s="19" t="n">
        <f aca="false">(K78/H78)*100</f>
        <v>23.6027342179333</v>
      </c>
      <c r="M78" s="16" t="n">
        <v>1</v>
      </c>
      <c r="N78" s="19" t="n">
        <f aca="false">(M78/H78)*100</f>
        <v>0.0402090872537193</v>
      </c>
      <c r="O78" s="16" t="n">
        <v>113.05</v>
      </c>
      <c r="P78" s="16" t="n">
        <v>0</v>
      </c>
      <c r="Q78" s="20"/>
      <c r="R78" s="21"/>
      <c r="S78" s="21"/>
      <c r="T78" s="20"/>
      <c r="U78" s="20"/>
      <c r="V78" s="34"/>
      <c r="W78" s="20"/>
      <c r="X78" s="20"/>
      <c r="Y78" s="97"/>
      <c r="Z78" s="97"/>
      <c r="AA78" s="21"/>
      <c r="AB78" s="21"/>
      <c r="AC78" s="36"/>
      <c r="AD78" s="20"/>
      <c r="AE78" s="20"/>
    </row>
    <row r="79" customFormat="false" ht="31.5" hidden="false" customHeight="false" outlineLevel="0" collapsed="false">
      <c r="A79" s="16" t="s">
        <v>42</v>
      </c>
      <c r="B79" s="16" t="s">
        <v>1046</v>
      </c>
      <c r="C79" s="71" t="s">
        <v>1223</v>
      </c>
      <c r="D79" s="72" t="s">
        <v>1224</v>
      </c>
      <c r="E79" s="16" t="s">
        <v>1225</v>
      </c>
      <c r="F79" s="16" t="n">
        <v>2614.59</v>
      </c>
      <c r="G79" s="16" t="n">
        <v>518</v>
      </c>
      <c r="H79" s="16" t="n">
        <v>2754</v>
      </c>
      <c r="I79" s="16" t="n">
        <v>1396</v>
      </c>
      <c r="J79" s="16" t="n">
        <v>1358</v>
      </c>
      <c r="K79" s="16" t="n">
        <v>870</v>
      </c>
      <c r="L79" s="19" t="n">
        <f aca="false">(K79/H79)*100</f>
        <v>31.5904139433551</v>
      </c>
      <c r="M79" s="16" t="n">
        <v>3</v>
      </c>
      <c r="N79" s="19" t="n">
        <f aca="false">(M79/H79)*100</f>
        <v>0.108932461873638</v>
      </c>
      <c r="O79" s="16" t="n">
        <v>43.81</v>
      </c>
      <c r="P79" s="16" t="n">
        <v>0</v>
      </c>
      <c r="Q79" s="24" t="s">
        <v>49</v>
      </c>
      <c r="R79" s="25" t="n">
        <v>44836</v>
      </c>
      <c r="S79" s="25"/>
      <c r="T79" s="24" t="n">
        <v>42.5503</v>
      </c>
      <c r="U79" s="20"/>
      <c r="V79" s="25"/>
      <c r="W79" s="20"/>
      <c r="X79" s="20"/>
      <c r="Y79" s="21"/>
      <c r="Z79" s="21"/>
      <c r="AA79" s="47" t="s">
        <v>266</v>
      </c>
      <c r="AB79" s="26" t="n">
        <v>10</v>
      </c>
      <c r="AC79" s="96" t="s">
        <v>1226</v>
      </c>
      <c r="AD79" s="119" t="n">
        <v>26.8</v>
      </c>
      <c r="AE79" s="92" t="n">
        <v>73.51</v>
      </c>
    </row>
    <row r="80" customFormat="false" ht="31.5" hidden="false" customHeight="false" outlineLevel="0" collapsed="false">
      <c r="A80" s="16"/>
      <c r="B80" s="16"/>
      <c r="C80" s="71"/>
      <c r="D80" s="72"/>
      <c r="E80" s="16"/>
      <c r="F80" s="16"/>
      <c r="G80" s="16"/>
      <c r="H80" s="16"/>
      <c r="I80" s="16"/>
      <c r="J80" s="16"/>
      <c r="K80" s="16"/>
      <c r="L80" s="19" t="e">
        <f aca="false">(K80/H80)*100</f>
        <v>#DIV/0!</v>
      </c>
      <c r="M80" s="16"/>
      <c r="N80" s="19" t="e">
        <f aca="false">(M80/H80)*100</f>
        <v>#DIV/0!</v>
      </c>
      <c r="O80" s="16"/>
      <c r="P80" s="16"/>
      <c r="Q80" s="228"/>
      <c r="R80" s="97"/>
      <c r="S80" s="97"/>
      <c r="T80" s="228"/>
      <c r="U80" s="20"/>
      <c r="V80" s="97"/>
      <c r="W80" s="20"/>
      <c r="X80" s="20"/>
      <c r="Y80" s="25"/>
      <c r="Z80" s="25"/>
      <c r="AA80" s="229" t="s">
        <v>266</v>
      </c>
      <c r="AB80" s="97" t="n">
        <v>10</v>
      </c>
      <c r="AC80" s="98" t="s">
        <v>1227</v>
      </c>
      <c r="AD80" s="232" t="n">
        <v>26.78</v>
      </c>
      <c r="AE80" s="93" t="n">
        <v>73.5</v>
      </c>
    </row>
    <row r="81" customFormat="false" ht="31.5" hidden="false" customHeight="false" outlineLevel="0" collapsed="false">
      <c r="A81" s="16" t="s">
        <v>42</v>
      </c>
      <c r="B81" s="16" t="s">
        <v>1046</v>
      </c>
      <c r="C81" s="71" t="s">
        <v>1223</v>
      </c>
      <c r="D81" s="16" t="s">
        <v>1228</v>
      </c>
      <c r="E81" s="16" t="s">
        <v>1229</v>
      </c>
      <c r="F81" s="16" t="n">
        <v>1192.41</v>
      </c>
      <c r="G81" s="16" t="n">
        <v>133</v>
      </c>
      <c r="H81" s="16" t="n">
        <v>701</v>
      </c>
      <c r="I81" s="16" t="n">
        <v>355</v>
      </c>
      <c r="J81" s="16" t="n">
        <v>346</v>
      </c>
      <c r="K81" s="16" t="n">
        <v>147</v>
      </c>
      <c r="L81" s="19" t="n">
        <f aca="false">(K81/H81)*100</f>
        <v>20.9700427960057</v>
      </c>
      <c r="M81" s="16" t="n">
        <v>0</v>
      </c>
      <c r="N81" s="19" t="n">
        <f aca="false">(M81/H81)*100</f>
        <v>0</v>
      </c>
      <c r="O81" s="16" t="n">
        <v>51.19</v>
      </c>
      <c r="P81" s="16" t="n">
        <v>0</v>
      </c>
      <c r="Q81" s="24" t="s">
        <v>49</v>
      </c>
      <c r="R81" s="25" t="n">
        <v>44836</v>
      </c>
      <c r="S81" s="25"/>
      <c r="T81" s="24" t="n">
        <v>51.1927</v>
      </c>
      <c r="U81" s="20"/>
      <c r="V81" s="21"/>
      <c r="W81" s="20"/>
      <c r="X81" s="20"/>
      <c r="Y81" s="97"/>
      <c r="Z81" s="97"/>
      <c r="AA81" s="47" t="s">
        <v>266</v>
      </c>
      <c r="AB81" s="26" t="n">
        <v>15</v>
      </c>
      <c r="AC81" s="96" t="s">
        <v>1230</v>
      </c>
      <c r="AD81" s="119" t="n">
        <v>26.79</v>
      </c>
      <c r="AE81" s="92" t="n">
        <v>73.47</v>
      </c>
    </row>
    <row r="82" customFormat="false" ht="47.25" hidden="false" customHeight="false" outlineLevel="0" collapsed="false">
      <c r="A82" s="16" t="s">
        <v>42</v>
      </c>
      <c r="B82" s="16" t="s">
        <v>1046</v>
      </c>
      <c r="C82" s="71" t="s">
        <v>1231</v>
      </c>
      <c r="D82" s="72" t="s">
        <v>1232</v>
      </c>
      <c r="E82" s="16" t="s">
        <v>1233</v>
      </c>
      <c r="F82" s="16" t="n">
        <v>2596.45</v>
      </c>
      <c r="G82" s="16" t="n">
        <v>599</v>
      </c>
      <c r="H82" s="16" t="n">
        <v>3317</v>
      </c>
      <c r="I82" s="16" t="n">
        <v>1742</v>
      </c>
      <c r="J82" s="16" t="n">
        <v>1575</v>
      </c>
      <c r="K82" s="16" t="n">
        <v>870</v>
      </c>
      <c r="L82" s="19" t="n">
        <f aca="false">(K82/H82)*100</f>
        <v>26.2285197467591</v>
      </c>
      <c r="M82" s="16" t="n">
        <v>6</v>
      </c>
      <c r="N82" s="19" t="n">
        <f aca="false">(M82/H82)*100</f>
        <v>0.180886343081097</v>
      </c>
      <c r="O82" s="16" t="n">
        <v>319</v>
      </c>
      <c r="P82" s="16" t="n">
        <v>0</v>
      </c>
      <c r="Q82" s="24" t="s">
        <v>49</v>
      </c>
      <c r="R82" s="25" t="n">
        <v>44836</v>
      </c>
      <c r="S82" s="25"/>
      <c r="T82" s="24" t="n">
        <v>274.4654</v>
      </c>
      <c r="U82" s="20"/>
      <c r="V82" s="25"/>
      <c r="W82" s="20"/>
      <c r="X82" s="20"/>
      <c r="Y82" s="25"/>
      <c r="Z82" s="25"/>
      <c r="AA82" s="47" t="s">
        <v>266</v>
      </c>
      <c r="AB82" s="26" t="n">
        <v>10</v>
      </c>
      <c r="AC82" s="96" t="s">
        <v>1234</v>
      </c>
      <c r="AD82" s="226" t="n">
        <v>26.66</v>
      </c>
      <c r="AE82" s="227" t="n">
        <v>73.36</v>
      </c>
    </row>
    <row r="83" customFormat="false" ht="47.25" hidden="false" customHeight="false" outlineLevel="0" collapsed="false">
      <c r="A83" s="16"/>
      <c r="B83" s="16"/>
      <c r="C83" s="71"/>
      <c r="D83" s="72"/>
      <c r="E83" s="16"/>
      <c r="F83" s="16"/>
      <c r="G83" s="16"/>
      <c r="H83" s="16"/>
      <c r="I83" s="16"/>
      <c r="J83" s="16"/>
      <c r="K83" s="16"/>
      <c r="L83" s="19" t="e">
        <f aca="false">(K83/H83)*100</f>
        <v>#DIV/0!</v>
      </c>
      <c r="M83" s="16"/>
      <c r="N83" s="19" t="e">
        <f aca="false">(M83/H83)*100</f>
        <v>#DIV/0!</v>
      </c>
      <c r="O83" s="16"/>
      <c r="P83" s="16"/>
      <c r="Q83" s="228"/>
      <c r="R83" s="97"/>
      <c r="S83" s="97"/>
      <c r="T83" s="228"/>
      <c r="U83" s="20"/>
      <c r="V83" s="97"/>
      <c r="W83" s="20"/>
      <c r="X83" s="20"/>
      <c r="Y83" s="25"/>
      <c r="Z83" s="25"/>
      <c r="AA83" s="229" t="s">
        <v>266</v>
      </c>
      <c r="AB83" s="97" t="n">
        <v>10</v>
      </c>
      <c r="AC83" s="98" t="s">
        <v>1235</v>
      </c>
      <c r="AD83" s="230" t="n">
        <v>26.67</v>
      </c>
      <c r="AE83" s="231" t="n">
        <v>73.36</v>
      </c>
    </row>
    <row r="84" customFormat="false" ht="31.5" hidden="false" customHeight="false" outlineLevel="0" collapsed="false">
      <c r="A84" s="16"/>
      <c r="B84" s="16"/>
      <c r="C84" s="71"/>
      <c r="D84" s="72"/>
      <c r="E84" s="16"/>
      <c r="F84" s="16"/>
      <c r="G84" s="16"/>
      <c r="H84" s="16"/>
      <c r="I84" s="16"/>
      <c r="J84" s="16"/>
      <c r="K84" s="16"/>
      <c r="L84" s="19" t="e">
        <f aca="false">(K84/H84)*100</f>
        <v>#DIV/0!</v>
      </c>
      <c r="M84" s="16"/>
      <c r="N84" s="19" t="e">
        <f aca="false">(M84/H84)*100</f>
        <v>#DIV/0!</v>
      </c>
      <c r="O84" s="16"/>
      <c r="P84" s="16"/>
      <c r="Q84" s="228"/>
      <c r="R84" s="97"/>
      <c r="S84" s="97"/>
      <c r="T84" s="228"/>
      <c r="U84" s="20"/>
      <c r="V84" s="25"/>
      <c r="W84" s="20"/>
      <c r="X84" s="20"/>
      <c r="Y84" s="97"/>
      <c r="Z84" s="97"/>
      <c r="AA84" s="229" t="s">
        <v>266</v>
      </c>
      <c r="AB84" s="97" t="n">
        <v>15</v>
      </c>
      <c r="AC84" s="98" t="s">
        <v>1236</v>
      </c>
      <c r="AD84" s="230" t="n">
        <v>26.66</v>
      </c>
      <c r="AE84" s="231" t="n">
        <v>73.38</v>
      </c>
    </row>
    <row r="85" customFormat="false" ht="31.5" hidden="false" customHeight="false" outlineLevel="0" collapsed="false">
      <c r="A85" s="16" t="s">
        <v>42</v>
      </c>
      <c r="B85" s="16" t="s">
        <v>1046</v>
      </c>
      <c r="C85" s="71" t="s">
        <v>1231</v>
      </c>
      <c r="D85" s="16" t="s">
        <v>1237</v>
      </c>
      <c r="E85" s="16" t="s">
        <v>1238</v>
      </c>
      <c r="F85" s="16" t="n">
        <v>990.37</v>
      </c>
      <c r="G85" s="16" t="n">
        <v>240</v>
      </c>
      <c r="H85" s="16" t="n">
        <v>1267</v>
      </c>
      <c r="I85" s="16" t="n">
        <v>651</v>
      </c>
      <c r="J85" s="16" t="n">
        <v>616</v>
      </c>
      <c r="K85" s="16" t="n">
        <v>221</v>
      </c>
      <c r="L85" s="19" t="n">
        <f aca="false">(K85/H85)*100</f>
        <v>17.4427782162589</v>
      </c>
      <c r="M85" s="16" t="n">
        <v>1</v>
      </c>
      <c r="N85" s="19" t="n">
        <f aca="false">(M85/H85)*100</f>
        <v>0.0789265982636148</v>
      </c>
      <c r="O85" s="16" t="n">
        <v>55.01</v>
      </c>
      <c r="P85" s="16" t="n">
        <v>0</v>
      </c>
      <c r="Q85" s="24" t="s">
        <v>49</v>
      </c>
      <c r="R85" s="25" t="n">
        <v>44836</v>
      </c>
      <c r="S85" s="25"/>
      <c r="T85" s="24" t="n">
        <v>53.7827</v>
      </c>
      <c r="U85" s="20"/>
      <c r="V85" s="25"/>
      <c r="W85" s="20"/>
      <c r="X85" s="20"/>
      <c r="Y85" s="97"/>
      <c r="Z85" s="97"/>
      <c r="AA85" s="47" t="s">
        <v>266</v>
      </c>
      <c r="AB85" s="26" t="n">
        <v>10</v>
      </c>
      <c r="AC85" s="96" t="s">
        <v>1239</v>
      </c>
      <c r="AD85" s="226" t="n">
        <v>26.64</v>
      </c>
      <c r="AE85" s="227" t="n">
        <v>73.36</v>
      </c>
    </row>
    <row r="86" customFormat="false" ht="15.75" hidden="false" customHeight="false" outlineLevel="0" collapsed="false">
      <c r="A86" s="16" t="s">
        <v>42</v>
      </c>
      <c r="B86" s="16" t="s">
        <v>1046</v>
      </c>
      <c r="C86" s="71" t="s">
        <v>1240</v>
      </c>
      <c r="D86" s="72" t="s">
        <v>1241</v>
      </c>
      <c r="E86" s="16" t="s">
        <v>1242</v>
      </c>
      <c r="F86" s="16" t="n">
        <v>2512.18</v>
      </c>
      <c r="G86" s="16" t="n">
        <v>609</v>
      </c>
      <c r="H86" s="16" t="n">
        <v>3152</v>
      </c>
      <c r="I86" s="16" t="n">
        <v>1620</v>
      </c>
      <c r="J86" s="16" t="n">
        <v>1532</v>
      </c>
      <c r="K86" s="16" t="n">
        <v>1183</v>
      </c>
      <c r="L86" s="19" t="n">
        <f aca="false">(K86/H86)*100</f>
        <v>37.5317258883249</v>
      </c>
      <c r="M86" s="16" t="n">
        <v>1</v>
      </c>
      <c r="N86" s="19" t="n">
        <f aca="false">(M86/H86)*100</f>
        <v>0.0317258883248731</v>
      </c>
      <c r="O86" s="16" t="n">
        <v>96.08</v>
      </c>
      <c r="P86" s="16" t="n">
        <v>84.03</v>
      </c>
      <c r="Q86" s="20" t="s">
        <v>49</v>
      </c>
      <c r="R86" s="34" t="n">
        <v>44836</v>
      </c>
      <c r="S86" s="34"/>
      <c r="T86" s="20" t="n">
        <v>99.4554</v>
      </c>
      <c r="U86" s="20"/>
      <c r="V86" s="97"/>
      <c r="W86" s="20"/>
      <c r="X86" s="20"/>
      <c r="Y86" s="25"/>
      <c r="Z86" s="25"/>
      <c r="AA86" s="21" t="s">
        <v>50</v>
      </c>
      <c r="AB86" s="21" t="n">
        <v>10</v>
      </c>
      <c r="AC86" s="36" t="s">
        <v>276</v>
      </c>
      <c r="AD86" s="20"/>
      <c r="AE86" s="20"/>
    </row>
    <row r="87" customFormat="false" ht="15.75" hidden="false" customHeight="false" outlineLevel="0" collapsed="false">
      <c r="A87" s="16" t="s">
        <v>42</v>
      </c>
      <c r="B87" s="16" t="s">
        <v>1046</v>
      </c>
      <c r="C87" s="71" t="s">
        <v>1240</v>
      </c>
      <c r="D87" s="16" t="s">
        <v>1243</v>
      </c>
      <c r="E87" s="16" t="s">
        <v>1244</v>
      </c>
      <c r="F87" s="16" t="n">
        <v>384.82</v>
      </c>
      <c r="G87" s="16" t="n">
        <v>92</v>
      </c>
      <c r="H87" s="16" t="n">
        <v>458</v>
      </c>
      <c r="I87" s="16" t="n">
        <v>234</v>
      </c>
      <c r="J87" s="16" t="n">
        <v>224</v>
      </c>
      <c r="K87" s="16" t="n">
        <v>2</v>
      </c>
      <c r="L87" s="19" t="n">
        <f aca="false">(K87/H87)*100</f>
        <v>0.436681222707424</v>
      </c>
      <c r="M87" s="16" t="n">
        <v>0</v>
      </c>
      <c r="N87" s="19" t="n">
        <f aca="false">(M87/H87)*100</f>
        <v>0</v>
      </c>
      <c r="O87" s="16" t="n">
        <v>0</v>
      </c>
      <c r="P87" s="16" t="n">
        <v>0</v>
      </c>
      <c r="Q87" s="20" t="s">
        <v>49</v>
      </c>
      <c r="R87" s="34" t="n">
        <v>44836</v>
      </c>
      <c r="S87" s="34"/>
      <c r="T87" s="20"/>
      <c r="U87" s="20"/>
      <c r="V87" s="97"/>
      <c r="W87" s="20"/>
      <c r="X87" s="20"/>
      <c r="Y87" s="34"/>
      <c r="Z87" s="34"/>
      <c r="AA87" s="21" t="s">
        <v>266</v>
      </c>
      <c r="AB87" s="21" t="n">
        <v>6</v>
      </c>
      <c r="AC87" s="36" t="s">
        <v>276</v>
      </c>
      <c r="AD87" s="20"/>
      <c r="AE87" s="20"/>
    </row>
    <row r="88" customFormat="false" ht="31.5" hidden="false" customHeight="false" outlineLevel="0" collapsed="false">
      <c r="A88" s="16" t="s">
        <v>42</v>
      </c>
      <c r="B88" s="16" t="s">
        <v>1046</v>
      </c>
      <c r="C88" s="71" t="s">
        <v>1245</v>
      </c>
      <c r="D88" s="72" t="s">
        <v>1246</v>
      </c>
      <c r="E88" s="16" t="s">
        <v>1247</v>
      </c>
      <c r="F88" s="16" t="n">
        <v>2120.47</v>
      </c>
      <c r="G88" s="16" t="n">
        <v>380</v>
      </c>
      <c r="H88" s="16" t="n">
        <v>1945</v>
      </c>
      <c r="I88" s="16" t="n">
        <v>1012</v>
      </c>
      <c r="J88" s="16" t="n">
        <v>933</v>
      </c>
      <c r="K88" s="16" t="n">
        <v>655</v>
      </c>
      <c r="L88" s="19" t="n">
        <f aca="false">(K88/H88)*100</f>
        <v>33.6760925449871</v>
      </c>
      <c r="M88" s="16" t="n">
        <v>0</v>
      </c>
      <c r="N88" s="19" t="n">
        <f aca="false">(M88/H88)*100</f>
        <v>0</v>
      </c>
      <c r="O88" s="16" t="n">
        <v>131.35</v>
      </c>
      <c r="P88" s="16" t="n">
        <v>0</v>
      </c>
      <c r="Q88" s="24" t="s">
        <v>49</v>
      </c>
      <c r="R88" s="25" t="n">
        <v>44836</v>
      </c>
      <c r="S88" s="25"/>
      <c r="T88" s="24" t="n">
        <v>131.5631</v>
      </c>
      <c r="U88" s="20"/>
      <c r="V88" s="25"/>
      <c r="W88" s="20"/>
      <c r="X88" s="20"/>
      <c r="Y88" s="34"/>
      <c r="Z88" s="34"/>
      <c r="AA88" s="47" t="s">
        <v>266</v>
      </c>
      <c r="AB88" s="26" t="n">
        <v>20</v>
      </c>
      <c r="AC88" s="96" t="s">
        <v>1248</v>
      </c>
      <c r="AD88" s="119" t="n">
        <v>26.67</v>
      </c>
      <c r="AE88" s="92" t="n">
        <v>73.39</v>
      </c>
    </row>
    <row r="89" customFormat="false" ht="31.5" hidden="false" customHeight="false" outlineLevel="0" collapsed="false">
      <c r="A89" s="16"/>
      <c r="B89" s="16"/>
      <c r="C89" s="71"/>
      <c r="D89" s="72"/>
      <c r="E89" s="16"/>
      <c r="F89" s="16"/>
      <c r="G89" s="16"/>
      <c r="H89" s="16"/>
      <c r="I89" s="16"/>
      <c r="J89" s="16"/>
      <c r="K89" s="16"/>
      <c r="L89" s="19"/>
      <c r="M89" s="16"/>
      <c r="N89" s="19" t="e">
        <f aca="false">(M89/H89)*100</f>
        <v>#DIV/0!</v>
      </c>
      <c r="O89" s="16"/>
      <c r="P89" s="16"/>
      <c r="Q89" s="228"/>
      <c r="R89" s="234"/>
      <c r="S89" s="234"/>
      <c r="T89" s="228"/>
      <c r="U89" s="20"/>
      <c r="V89" s="34"/>
      <c r="W89" s="20"/>
      <c r="X89" s="20"/>
      <c r="Y89" s="25"/>
      <c r="Z89" s="25"/>
      <c r="AA89" s="229" t="s">
        <v>266</v>
      </c>
      <c r="AB89" s="97" t="n">
        <v>10</v>
      </c>
      <c r="AC89" s="98" t="s">
        <v>1249</v>
      </c>
      <c r="AD89" s="232" t="n">
        <v>26.71</v>
      </c>
      <c r="AE89" s="93" t="n">
        <v>73.41</v>
      </c>
    </row>
    <row r="90" customFormat="false" ht="31.5" hidden="false" customHeight="false" outlineLevel="0" collapsed="false">
      <c r="A90" s="16" t="s">
        <v>42</v>
      </c>
      <c r="B90" s="16" t="s">
        <v>1046</v>
      </c>
      <c r="C90" s="71" t="s">
        <v>1245</v>
      </c>
      <c r="D90" s="16" t="s">
        <v>1250</v>
      </c>
      <c r="E90" s="16" t="s">
        <v>1251</v>
      </c>
      <c r="F90" s="16" t="n">
        <v>1472.62</v>
      </c>
      <c r="G90" s="16" t="n">
        <v>180</v>
      </c>
      <c r="H90" s="16" t="n">
        <v>1009</v>
      </c>
      <c r="I90" s="16" t="n">
        <v>469</v>
      </c>
      <c r="J90" s="16" t="n">
        <v>540</v>
      </c>
      <c r="K90" s="16" t="n">
        <v>63</v>
      </c>
      <c r="L90" s="19" t="n">
        <f aca="false">(K90/H90)*100</f>
        <v>6.24380574826561</v>
      </c>
      <c r="M90" s="16" t="n">
        <v>0</v>
      </c>
      <c r="N90" s="19" t="n">
        <f aca="false">(M90/H90)*100</f>
        <v>0</v>
      </c>
      <c r="O90" s="16" t="n">
        <v>0</v>
      </c>
      <c r="P90" s="16" t="n">
        <v>0</v>
      </c>
      <c r="Q90" s="24" t="s">
        <v>49</v>
      </c>
      <c r="R90" s="25" t="n">
        <v>44836</v>
      </c>
      <c r="S90" s="25"/>
      <c r="T90" s="24"/>
      <c r="U90" s="20"/>
      <c r="V90" s="34"/>
      <c r="W90" s="20"/>
      <c r="X90" s="20"/>
      <c r="Y90" s="234"/>
      <c r="Z90" s="234"/>
      <c r="AA90" s="47" t="s">
        <v>266</v>
      </c>
      <c r="AB90" s="26" t="n">
        <v>20</v>
      </c>
      <c r="AC90" s="96" t="s">
        <v>1252</v>
      </c>
      <c r="AD90" s="119" t="n">
        <v>26.64</v>
      </c>
      <c r="AE90" s="92" t="n">
        <v>73.41</v>
      </c>
    </row>
    <row r="91" customFormat="false" ht="15.75" hidden="false" customHeight="false" outlineLevel="0" collapsed="false">
      <c r="A91" s="16" t="s">
        <v>42</v>
      </c>
      <c r="B91" s="16" t="s">
        <v>1046</v>
      </c>
      <c r="C91" s="71" t="s">
        <v>1245</v>
      </c>
      <c r="D91" s="16" t="s">
        <v>1253</v>
      </c>
      <c r="E91" s="16" t="s">
        <v>1254</v>
      </c>
      <c r="F91" s="16" t="n">
        <v>909.1</v>
      </c>
      <c r="G91" s="16" t="n">
        <v>131</v>
      </c>
      <c r="H91" s="16" t="n">
        <v>598</v>
      </c>
      <c r="I91" s="16" t="n">
        <v>304</v>
      </c>
      <c r="J91" s="16" t="n">
        <v>294</v>
      </c>
      <c r="K91" s="16" t="n">
        <v>215</v>
      </c>
      <c r="L91" s="19" t="n">
        <f aca="false">(K91/H91)*100</f>
        <v>35.9531772575251</v>
      </c>
      <c r="M91" s="16" t="n">
        <v>0</v>
      </c>
      <c r="N91" s="19" t="n">
        <f aca="false">(M91/H91)*100</f>
        <v>0</v>
      </c>
      <c r="O91" s="16" t="n">
        <v>4.65</v>
      </c>
      <c r="P91" s="16" t="n">
        <v>0</v>
      </c>
      <c r="Q91" s="24" t="s">
        <v>49</v>
      </c>
      <c r="R91" s="25" t="n">
        <v>44836</v>
      </c>
      <c r="S91" s="25"/>
      <c r="T91" s="24" t="n">
        <v>4.6539</v>
      </c>
      <c r="U91" s="20"/>
      <c r="V91" s="25"/>
      <c r="W91" s="20"/>
      <c r="X91" s="20"/>
      <c r="Y91" s="25"/>
      <c r="Z91" s="25"/>
      <c r="AA91" s="47" t="s">
        <v>266</v>
      </c>
      <c r="AB91" s="26"/>
      <c r="AC91" s="96" t="n">
        <v>0</v>
      </c>
      <c r="AD91" s="119"/>
      <c r="AE91" s="92"/>
    </row>
    <row r="92" customFormat="false" ht="15.75" hidden="false" customHeight="false" outlineLevel="0" collapsed="false">
      <c r="A92" s="16" t="s">
        <v>42</v>
      </c>
      <c r="B92" s="16" t="s">
        <v>1046</v>
      </c>
      <c r="C92" s="71" t="s">
        <v>1245</v>
      </c>
      <c r="D92" s="16" t="s">
        <v>1255</v>
      </c>
      <c r="E92" s="16" t="s">
        <v>1256</v>
      </c>
      <c r="F92" s="16" t="n">
        <v>468.9</v>
      </c>
      <c r="G92" s="16" t="n">
        <v>150</v>
      </c>
      <c r="H92" s="16" t="n">
        <v>767</v>
      </c>
      <c r="I92" s="16" t="n">
        <v>395</v>
      </c>
      <c r="J92" s="16" t="n">
        <v>372</v>
      </c>
      <c r="K92" s="16" t="n">
        <v>196</v>
      </c>
      <c r="L92" s="19" t="n">
        <f aca="false">(K92/H92)*100</f>
        <v>25.5541069100391</v>
      </c>
      <c r="M92" s="16" t="n">
        <v>1</v>
      </c>
      <c r="N92" s="19" t="n">
        <f aca="false">(M92/H92)*100</f>
        <v>0.130378096479791</v>
      </c>
      <c r="O92" s="16" t="n">
        <v>33.71</v>
      </c>
      <c r="P92" s="16" t="n">
        <v>0</v>
      </c>
      <c r="Q92" s="24" t="s">
        <v>49</v>
      </c>
      <c r="R92" s="25" t="n">
        <v>44836</v>
      </c>
      <c r="S92" s="25"/>
      <c r="T92" s="24" t="n">
        <v>31.274</v>
      </c>
      <c r="U92" s="20"/>
      <c r="V92" s="234"/>
      <c r="W92" s="20"/>
      <c r="X92" s="20"/>
      <c r="Y92" s="25"/>
      <c r="Z92" s="25"/>
      <c r="AA92" s="47" t="s">
        <v>266</v>
      </c>
      <c r="AB92" s="26" t="n">
        <v>10</v>
      </c>
      <c r="AC92" s="96" t="s">
        <v>1257</v>
      </c>
      <c r="AD92" s="119" t="n">
        <v>26.72</v>
      </c>
      <c r="AE92" s="92" t="n">
        <v>73.38</v>
      </c>
    </row>
    <row r="93" customFormat="false" ht="15.75" hidden="false" customHeight="false" outlineLevel="0" collapsed="false">
      <c r="A93" s="58"/>
      <c r="B93" s="58"/>
      <c r="C93" s="58"/>
      <c r="D93" s="58"/>
      <c r="E93" s="58"/>
      <c r="F93" s="58" t="n">
        <f aca="false">SUM(F4:F92)</f>
        <v>114841.2</v>
      </c>
      <c r="G93" s="58" t="n">
        <f aca="false">SUM(G4:G92)</f>
        <v>27960</v>
      </c>
      <c r="H93" s="58" t="n">
        <f aca="false">SUM(H4:H92)</f>
        <v>153772</v>
      </c>
      <c r="I93" s="58" t="n">
        <f aca="false">SUM(I4:I92)</f>
        <v>79464</v>
      </c>
      <c r="J93" s="58" t="n">
        <f aca="false">SUM(J4:J92)</f>
        <v>74308</v>
      </c>
      <c r="K93" s="58" t="n">
        <f aca="false">SUM(K4:K92)</f>
        <v>33552</v>
      </c>
      <c r="L93" s="58"/>
      <c r="M93" s="58" t="n">
        <f aca="false">SUM(M4:M92)</f>
        <v>1023</v>
      </c>
      <c r="N93" s="58"/>
      <c r="O93" s="58" t="n">
        <f aca="false">SUM(O4:O92)</f>
        <v>4143.76</v>
      </c>
      <c r="P93" s="58" t="n">
        <f aca="false">SUM(P4:P92)</f>
        <v>425.87</v>
      </c>
      <c r="Q93" s="58"/>
      <c r="R93" s="58"/>
      <c r="S93" s="58"/>
      <c r="T93" s="58"/>
      <c r="U93" s="20"/>
      <c r="V93" s="25"/>
      <c r="W93" s="58"/>
      <c r="X93" s="58"/>
      <c r="Y93" s="25"/>
      <c r="Z93" s="235"/>
      <c r="AA93" s="235"/>
      <c r="AB93" s="235"/>
    </row>
    <row r="94" customFormat="false" ht="15.75" hidden="false" customHeight="false" outlineLevel="0" collapsed="false">
      <c r="V94" s="25"/>
      <c r="Y94" s="58"/>
      <c r="Z94" s="58"/>
      <c r="AA94" s="58"/>
      <c r="AB94" s="58"/>
    </row>
    <row r="95" customFormat="false" ht="15.75" hidden="false" customHeight="false" outlineLevel="0" collapsed="false">
      <c r="V95" s="25"/>
    </row>
    <row r="96" customFormat="false" ht="15.75" hidden="false" customHeight="false" outlineLevel="0" collapsed="false">
      <c r="V96" s="58"/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4"/>
  </conditionalFormatting>
  <hyperlinks>
    <hyperlink ref="AC65" r:id="rId1" display="Sunari Nadi Khudai Karya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F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AA3" activePane="bottomRight" state="frozen"/>
      <selection pane="topLeft" activeCell="A1" activeCellId="0" sqref="A1"/>
      <selection pane="topRight" activeCell="AA1" activeCellId="0" sqref="AA1"/>
      <selection pane="bottomLeft" activeCell="A3" activeCellId="0" sqref="A3"/>
      <selection pane="bottomRight" activeCell="AD1" activeCellId="0" sqref="AD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58" width="9.28"/>
    <col collapsed="false" customWidth="true" hidden="false" outlineLevel="0" max="2" min="2" style="58" width="14.43"/>
    <col collapsed="false" customWidth="true" hidden="false" outlineLevel="0" max="4" min="3" style="58" width="20.28"/>
    <col collapsed="false" customWidth="true" hidden="false" outlineLevel="0" max="5" min="5" style="58" width="17.28"/>
    <col collapsed="false" customWidth="true" hidden="false" outlineLevel="0" max="6" min="6" style="58" width="9.85"/>
    <col collapsed="false" customWidth="true" hidden="false" outlineLevel="0" max="7" min="7" style="58" width="9.57"/>
    <col collapsed="false" customWidth="true" hidden="false" outlineLevel="0" max="8" min="8" style="58" width="9.71"/>
    <col collapsed="false" customWidth="true" hidden="false" outlineLevel="0" max="9" min="9" style="58" width="6.71"/>
    <col collapsed="false" customWidth="true" hidden="false" outlineLevel="0" max="10" min="10" style="58" width="7.71"/>
    <col collapsed="false" customWidth="true" hidden="false" outlineLevel="0" max="11" min="11" style="58" width="9.71"/>
    <col collapsed="false" customWidth="true" hidden="false" outlineLevel="0" max="12" min="12" style="58" width="8.28"/>
    <col collapsed="false" customWidth="true" hidden="false" outlineLevel="0" max="13" min="13" style="58" width="9.71"/>
    <col collapsed="false" customWidth="true" hidden="false" outlineLevel="0" max="14" min="14" style="58" width="8.14"/>
    <col collapsed="false" customWidth="true" hidden="false" outlineLevel="0" max="15" min="15" style="58" width="12.71"/>
    <col collapsed="false" customWidth="true" hidden="false" outlineLevel="0" max="19" min="16" style="58" width="11.85"/>
    <col collapsed="false" customWidth="true" hidden="false" outlineLevel="0" max="20" min="20" style="58" width="12.71"/>
    <col collapsed="false" customWidth="true" hidden="false" outlineLevel="0" max="24" min="21" style="58" width="15"/>
    <col collapsed="false" customWidth="true" hidden="false" outlineLevel="0" max="25" min="25" style="58" width="15.43"/>
    <col collapsed="false" customWidth="true" hidden="false" outlineLevel="0" max="26" min="26" style="58" width="15.85"/>
    <col collapsed="false" customWidth="true" hidden="false" outlineLevel="0" max="27" min="27" style="58" width="15"/>
    <col collapsed="false" customWidth="true" hidden="false" outlineLevel="0" max="28" min="28" style="58" width="14.14"/>
    <col collapsed="false" customWidth="true" hidden="false" outlineLevel="0" max="29" min="29" style="58" width="44.43"/>
    <col collapsed="false" customWidth="true" hidden="false" outlineLevel="0" max="30" min="30" style="58" width="11.85"/>
    <col collapsed="false" customWidth="true" hidden="false" outlineLevel="0" max="31" min="31" style="58" width="11.14"/>
    <col collapsed="false" customWidth="false" hidden="false" outlineLevel="0" max="1024" min="32" style="58" width="9.14"/>
  </cols>
  <sheetData>
    <row r="1" customFormat="false" ht="18.75" hidden="false" customHeight="false" outlineLevel="0" collapsed="false">
      <c r="Q1" s="3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213" t="s">
        <v>2</v>
      </c>
      <c r="W1" s="213" t="s">
        <v>2</v>
      </c>
      <c r="X1" s="213" t="s">
        <v>2</v>
      </c>
      <c r="Y1" s="213" t="s">
        <v>2</v>
      </c>
      <c r="Z1" s="214" t="s">
        <v>3</v>
      </c>
      <c r="AA1" s="214" t="s">
        <v>3</v>
      </c>
      <c r="AB1" s="214" t="s">
        <v>3</v>
      </c>
      <c r="AC1" s="215" t="s">
        <v>3</v>
      </c>
      <c r="AD1" s="5" t="s">
        <v>3</v>
      </c>
      <c r="AE1" s="5" t="s">
        <v>3</v>
      </c>
    </row>
    <row r="2" s="110" customFormat="true" ht="10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236" t="s">
        <v>1258</v>
      </c>
    </row>
    <row r="3" s="110" customFormat="tru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1259</v>
      </c>
      <c r="L3" s="6" t="s">
        <v>34</v>
      </c>
      <c r="M3" s="6" t="s">
        <v>1259</v>
      </c>
      <c r="N3" s="6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237" t="s">
        <v>38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71"/>
    </row>
    <row r="4" customFormat="false" ht="15.75" hidden="false" customHeight="false" outlineLevel="0" collapsed="false">
      <c r="A4" s="16" t="s">
        <v>42</v>
      </c>
      <c r="B4" s="16" t="s">
        <v>1260</v>
      </c>
      <c r="C4" s="71" t="s">
        <v>1261</v>
      </c>
      <c r="D4" s="72" t="s">
        <v>1262</v>
      </c>
      <c r="E4" s="16" t="s">
        <v>1263</v>
      </c>
      <c r="F4" s="16" t="n">
        <v>3406</v>
      </c>
      <c r="G4" s="16" t="n">
        <v>661</v>
      </c>
      <c r="H4" s="16" t="n">
        <v>3280</v>
      </c>
      <c r="I4" s="16" t="n">
        <v>1737</v>
      </c>
      <c r="J4" s="16" t="n">
        <v>1543</v>
      </c>
      <c r="K4" s="16" t="n">
        <v>961</v>
      </c>
      <c r="L4" s="19" t="n">
        <f aca="false">(K4/H4)*100</f>
        <v>29.2987804878049</v>
      </c>
      <c r="M4" s="16" t="n">
        <v>100</v>
      </c>
      <c r="N4" s="19" t="n">
        <f aca="false">(M4/H4)*100</f>
        <v>3.04878048780488</v>
      </c>
      <c r="O4" s="16" t="n">
        <v>261</v>
      </c>
      <c r="P4" s="16" t="n">
        <v>0</v>
      </c>
      <c r="Q4" s="24" t="s">
        <v>49</v>
      </c>
      <c r="R4" s="25" t="n">
        <v>44629</v>
      </c>
      <c r="S4" s="16"/>
      <c r="T4" s="24" t="n">
        <v>260.987</v>
      </c>
      <c r="U4" s="16"/>
      <c r="V4" s="16"/>
      <c r="W4" s="16"/>
      <c r="X4" s="16"/>
      <c r="Y4" s="16"/>
      <c r="Z4" s="238"/>
      <c r="AA4" s="26" t="s">
        <v>266</v>
      </c>
      <c r="AB4" s="26" t="n">
        <v>10</v>
      </c>
      <c r="AC4" s="239" t="s">
        <v>1264</v>
      </c>
      <c r="AD4" s="24" t="n">
        <v>26.168597</v>
      </c>
      <c r="AE4" s="24" t="n">
        <v>73.521658</v>
      </c>
      <c r="AF4" s="16"/>
    </row>
    <row r="5" customFormat="false" ht="15.75" hidden="false" customHeight="false" outlineLevel="0" collapsed="false">
      <c r="A5" s="16"/>
      <c r="B5" s="16"/>
      <c r="C5" s="71"/>
      <c r="D5" s="72"/>
      <c r="E5" s="16"/>
      <c r="F5" s="16"/>
      <c r="G5" s="16"/>
      <c r="H5" s="16"/>
      <c r="I5" s="16"/>
      <c r="J5" s="16"/>
      <c r="K5" s="16"/>
      <c r="L5" s="19"/>
      <c r="M5" s="16"/>
      <c r="N5" s="19"/>
      <c r="O5" s="16"/>
      <c r="P5" s="16"/>
      <c r="Q5" s="38" t="s">
        <v>49</v>
      </c>
      <c r="R5" s="39" t="n">
        <v>44629</v>
      </c>
      <c r="S5" s="16"/>
      <c r="T5" s="38" t="n">
        <v>260.987</v>
      </c>
      <c r="U5" s="16"/>
      <c r="V5" s="16"/>
      <c r="W5" s="16"/>
      <c r="X5" s="16"/>
      <c r="Y5" s="16"/>
      <c r="Z5" s="16"/>
      <c r="AA5" s="40" t="s">
        <v>266</v>
      </c>
      <c r="AB5" s="240" t="n">
        <v>200</v>
      </c>
      <c r="AC5" s="241" t="s">
        <v>1264</v>
      </c>
      <c r="AD5" s="38" t="n">
        <v>26.168597</v>
      </c>
      <c r="AE5" s="38" t="n">
        <v>73.521658</v>
      </c>
      <c r="AF5" s="16"/>
    </row>
    <row r="6" customFormat="false" ht="15.75" hidden="false" customHeight="false" outlineLevel="0" collapsed="false">
      <c r="A6" s="16" t="s">
        <v>42</v>
      </c>
      <c r="B6" s="16" t="s">
        <v>1260</v>
      </c>
      <c r="C6" s="71" t="s">
        <v>1261</v>
      </c>
      <c r="D6" s="16" t="s">
        <v>1265</v>
      </c>
      <c r="E6" s="16" t="s">
        <v>1266</v>
      </c>
      <c r="F6" s="16" t="n">
        <v>199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9"/>
      <c r="M6" s="16" t="n">
        <v>0</v>
      </c>
      <c r="N6" s="19"/>
      <c r="O6" s="16" t="n">
        <v>0</v>
      </c>
      <c r="P6" s="16" t="n">
        <v>0</v>
      </c>
      <c r="Q6" s="16"/>
      <c r="R6" s="87"/>
      <c r="S6" s="16"/>
      <c r="T6" s="16"/>
      <c r="U6" s="16"/>
      <c r="V6" s="16"/>
      <c r="W6" s="16"/>
      <c r="X6" s="16"/>
      <c r="Y6" s="16"/>
      <c r="Z6" s="16"/>
      <c r="AA6" s="87"/>
      <c r="AB6" s="87"/>
      <c r="AC6" s="16"/>
      <c r="AD6" s="16"/>
      <c r="AE6" s="16"/>
      <c r="AF6" s="16"/>
    </row>
    <row r="7" customFormat="false" ht="15.75" hidden="false" customHeight="false" outlineLevel="0" collapsed="false">
      <c r="A7" s="16" t="s">
        <v>42</v>
      </c>
      <c r="B7" s="16" t="s">
        <v>1260</v>
      </c>
      <c r="C7" s="71" t="s">
        <v>1261</v>
      </c>
      <c r="D7" s="16" t="s">
        <v>1267</v>
      </c>
      <c r="E7" s="16" t="s">
        <v>1268</v>
      </c>
      <c r="F7" s="16" t="n">
        <v>768</v>
      </c>
      <c r="G7" s="16" t="n">
        <v>142</v>
      </c>
      <c r="H7" s="16" t="n">
        <v>845</v>
      </c>
      <c r="I7" s="16" t="n">
        <v>428</v>
      </c>
      <c r="J7" s="16" t="n">
        <v>417</v>
      </c>
      <c r="K7" s="16" t="n">
        <v>0</v>
      </c>
      <c r="L7" s="19" t="n">
        <f aca="false">(K7/H7)*100</f>
        <v>0</v>
      </c>
      <c r="M7" s="16" t="n">
        <v>0</v>
      </c>
      <c r="N7" s="19" t="n">
        <f aca="false">(M7/H7)*100</f>
        <v>0</v>
      </c>
      <c r="O7" s="16" t="n">
        <v>0</v>
      </c>
      <c r="P7" s="16" t="n">
        <v>0</v>
      </c>
      <c r="Q7" s="24" t="s">
        <v>49</v>
      </c>
      <c r="R7" s="25" t="n">
        <v>44629</v>
      </c>
      <c r="S7" s="16"/>
      <c r="T7" s="24" t="n">
        <v>11.0106</v>
      </c>
      <c r="U7" s="16"/>
      <c r="V7" s="16"/>
      <c r="W7" s="16"/>
      <c r="X7" s="16"/>
      <c r="Y7" s="16"/>
      <c r="Z7" s="16"/>
      <c r="AA7" s="26" t="s">
        <v>266</v>
      </c>
      <c r="AB7" s="26" t="n">
        <v>2</v>
      </c>
      <c r="AC7" s="129" t="s">
        <v>276</v>
      </c>
      <c r="AD7" s="24" t="n">
        <v>26.233734</v>
      </c>
      <c r="AE7" s="24" t="n">
        <v>73.523153</v>
      </c>
      <c r="AF7" s="16"/>
    </row>
    <row r="8" customFormat="false" ht="15.75" hidden="false" customHeight="false" outlineLevel="0" collapsed="false">
      <c r="A8" s="16" t="s">
        <v>42</v>
      </c>
      <c r="B8" s="16" t="s">
        <v>1260</v>
      </c>
      <c r="C8" s="71" t="s">
        <v>1261</v>
      </c>
      <c r="D8" s="16" t="s">
        <v>1269</v>
      </c>
      <c r="E8" s="16" t="s">
        <v>1270</v>
      </c>
      <c r="F8" s="16" t="n">
        <v>502</v>
      </c>
      <c r="G8" s="16" t="n">
        <v>52</v>
      </c>
      <c r="H8" s="16" t="n">
        <v>285</v>
      </c>
      <c r="I8" s="16" t="n">
        <v>148</v>
      </c>
      <c r="J8" s="16" t="n">
        <v>137</v>
      </c>
      <c r="K8" s="16" t="n">
        <v>0</v>
      </c>
      <c r="L8" s="19" t="n">
        <f aca="false">(K8/H8)*100</f>
        <v>0</v>
      </c>
      <c r="M8" s="16" t="n">
        <v>0</v>
      </c>
      <c r="N8" s="19" t="n">
        <f aca="false">(M8/H8)*100</f>
        <v>0</v>
      </c>
      <c r="O8" s="16" t="n">
        <v>12</v>
      </c>
      <c r="P8" s="16" t="n">
        <v>0</v>
      </c>
      <c r="Q8" s="24" t="s">
        <v>49</v>
      </c>
      <c r="R8" s="25" t="n">
        <v>44629</v>
      </c>
      <c r="S8" s="16"/>
      <c r="T8" s="24" t="n">
        <v>6.2697</v>
      </c>
      <c r="U8" s="16"/>
      <c r="V8" s="16"/>
      <c r="W8" s="16"/>
      <c r="X8" s="16"/>
      <c r="Y8" s="16"/>
      <c r="Z8" s="16"/>
      <c r="AA8" s="26" t="s">
        <v>266</v>
      </c>
      <c r="AB8" s="26" t="n">
        <v>1</v>
      </c>
      <c r="AC8" s="129" t="s">
        <v>276</v>
      </c>
      <c r="AD8" s="24"/>
      <c r="AE8" s="24"/>
      <c r="AF8" s="16"/>
    </row>
    <row r="9" customFormat="false" ht="15.75" hidden="false" customHeight="false" outlineLevel="0" collapsed="false">
      <c r="A9" s="16" t="s">
        <v>42</v>
      </c>
      <c r="B9" s="16" t="s">
        <v>1260</v>
      </c>
      <c r="C9" s="71" t="s">
        <v>1271</v>
      </c>
      <c r="D9" s="72" t="s">
        <v>1272</v>
      </c>
      <c r="E9" s="16" t="s">
        <v>1273</v>
      </c>
      <c r="F9" s="16" t="n">
        <v>3188.25</v>
      </c>
      <c r="G9" s="16" t="n">
        <v>709</v>
      </c>
      <c r="H9" s="16" t="n">
        <v>3269</v>
      </c>
      <c r="I9" s="16" t="n">
        <v>1594</v>
      </c>
      <c r="J9" s="16" t="n">
        <v>1675</v>
      </c>
      <c r="K9" s="16" t="n">
        <v>1366</v>
      </c>
      <c r="L9" s="19" t="n">
        <f aca="false">(K9/H9)*100</f>
        <v>41.7864790455797</v>
      </c>
      <c r="M9" s="16" t="n">
        <v>0</v>
      </c>
      <c r="N9" s="19" t="n">
        <f aca="false">(M9/H9)*100</f>
        <v>0</v>
      </c>
      <c r="O9" s="16" t="n">
        <v>194</v>
      </c>
      <c r="P9" s="16" t="n">
        <v>0</v>
      </c>
      <c r="Q9" s="16"/>
      <c r="R9" s="87"/>
      <c r="S9" s="16"/>
      <c r="T9" s="16"/>
      <c r="U9" s="16"/>
      <c r="V9" s="16"/>
      <c r="W9" s="16"/>
      <c r="X9" s="16"/>
      <c r="Y9" s="16"/>
      <c r="Z9" s="16"/>
      <c r="AA9" s="87"/>
      <c r="AB9" s="87"/>
      <c r="AC9" s="16"/>
      <c r="AD9" s="16"/>
      <c r="AE9" s="16"/>
      <c r="AF9" s="16"/>
    </row>
    <row r="10" customFormat="false" ht="17.25" hidden="false" customHeight="false" outlineLevel="0" collapsed="false">
      <c r="A10" s="16" t="s">
        <v>42</v>
      </c>
      <c r="B10" s="16" t="s">
        <v>1260</v>
      </c>
      <c r="C10" s="71" t="s">
        <v>1274</v>
      </c>
      <c r="D10" s="72" t="s">
        <v>1274</v>
      </c>
      <c r="E10" s="16" t="s">
        <v>1275</v>
      </c>
      <c r="F10" s="16" t="n">
        <v>951.3</v>
      </c>
      <c r="G10" s="16" t="n">
        <v>147</v>
      </c>
      <c r="H10" s="16" t="n">
        <v>674</v>
      </c>
      <c r="I10" s="16" t="n">
        <v>308</v>
      </c>
      <c r="J10" s="16" t="n">
        <v>366</v>
      </c>
      <c r="K10" s="16" t="n">
        <v>265</v>
      </c>
      <c r="L10" s="19" t="n">
        <f aca="false">(K10/H10)*100</f>
        <v>39.3175074183976</v>
      </c>
      <c r="M10" s="16" t="n">
        <v>0</v>
      </c>
      <c r="N10" s="19" t="n">
        <f aca="false">(M10/H10)*100</f>
        <v>0</v>
      </c>
      <c r="O10" s="16" t="n">
        <v>81</v>
      </c>
      <c r="P10" s="16" t="n">
        <v>0</v>
      </c>
      <c r="Q10" s="24"/>
      <c r="R10" s="25" t="n">
        <v>46249</v>
      </c>
      <c r="S10" s="16"/>
      <c r="T10" s="24" t="n">
        <v>60.59</v>
      </c>
      <c r="U10" s="16"/>
      <c r="V10" s="16"/>
      <c r="W10" s="16"/>
      <c r="X10" s="16"/>
      <c r="Y10" s="16"/>
      <c r="Z10" s="16"/>
      <c r="AA10" s="26" t="s">
        <v>50</v>
      </c>
      <c r="AB10" s="26" t="n">
        <v>10</v>
      </c>
      <c r="AC10" s="27" t="s">
        <v>1276</v>
      </c>
      <c r="AD10" s="24" t="n">
        <v>26.173983</v>
      </c>
      <c r="AE10" s="24" t="n">
        <v>73.634454</v>
      </c>
      <c r="AF10" s="16" t="s">
        <v>1277</v>
      </c>
    </row>
    <row r="11" customFormat="false" ht="17.25" hidden="false" customHeight="false" outlineLevel="0" collapsed="false">
      <c r="A11" s="16"/>
      <c r="B11" s="16"/>
      <c r="C11" s="71"/>
      <c r="D11" s="72"/>
      <c r="E11" s="16"/>
      <c r="F11" s="16"/>
      <c r="G11" s="16"/>
      <c r="H11" s="16"/>
      <c r="I11" s="16"/>
      <c r="J11" s="16"/>
      <c r="K11" s="16"/>
      <c r="L11" s="19"/>
      <c r="M11" s="16"/>
      <c r="N11" s="19"/>
      <c r="O11" s="16"/>
      <c r="P11" s="16"/>
      <c r="Q11" s="242"/>
      <c r="R11" s="243"/>
      <c r="S11" s="16"/>
      <c r="T11" s="242"/>
      <c r="U11" s="16"/>
      <c r="V11" s="16"/>
      <c r="W11" s="16"/>
      <c r="X11" s="16"/>
      <c r="Y11" s="16"/>
      <c r="Z11" s="16"/>
      <c r="AA11" s="244" t="s">
        <v>50</v>
      </c>
      <c r="AB11" s="244" t="n">
        <v>11</v>
      </c>
      <c r="AC11" s="245" t="s">
        <v>1278</v>
      </c>
      <c r="AD11" s="242" t="n">
        <v>26.182055</v>
      </c>
      <c r="AE11" s="242" t="n">
        <v>73.654468</v>
      </c>
      <c r="AF11" s="16" t="s">
        <v>1277</v>
      </c>
    </row>
    <row r="12" customFormat="false" ht="15.75" hidden="false" customHeight="false" outlineLevel="0" collapsed="false">
      <c r="A12" s="16" t="s">
        <v>42</v>
      </c>
      <c r="B12" s="16" t="s">
        <v>1260</v>
      </c>
      <c r="C12" s="71" t="s">
        <v>1274</v>
      </c>
      <c r="D12" s="16" t="s">
        <v>1279</v>
      </c>
      <c r="E12" s="16" t="s">
        <v>1280</v>
      </c>
      <c r="F12" s="16" t="n">
        <v>383.5</v>
      </c>
      <c r="G12" s="16" t="n">
        <v>168</v>
      </c>
      <c r="H12" s="16" t="n">
        <v>778</v>
      </c>
      <c r="I12" s="16" t="n">
        <v>375</v>
      </c>
      <c r="J12" s="16" t="n">
        <v>403</v>
      </c>
      <c r="K12" s="16" t="n">
        <v>221</v>
      </c>
      <c r="L12" s="19" t="n">
        <f aca="false">(K12/H12)*100</f>
        <v>28.4061696658098</v>
      </c>
      <c r="M12" s="16" t="n">
        <v>1</v>
      </c>
      <c r="N12" s="19" t="n">
        <f aca="false">(M12/H12)*100</f>
        <v>0.12853470437018</v>
      </c>
      <c r="O12" s="16" t="n">
        <v>67</v>
      </c>
      <c r="P12" s="16" t="n">
        <v>0</v>
      </c>
      <c r="Q12" s="16"/>
      <c r="R12" s="87"/>
      <c r="S12" s="16"/>
      <c r="T12" s="16"/>
      <c r="U12" s="16"/>
      <c r="V12" s="16"/>
      <c r="W12" s="16"/>
      <c r="X12" s="16"/>
      <c r="Y12" s="16"/>
      <c r="Z12" s="16"/>
      <c r="AA12" s="87"/>
      <c r="AB12" s="87"/>
      <c r="AC12" s="16"/>
      <c r="AD12" s="16"/>
      <c r="AE12" s="16"/>
      <c r="AF12" s="16" t="s">
        <v>1277</v>
      </c>
    </row>
    <row r="13" customFormat="false" ht="15.75" hidden="false" customHeight="false" outlineLevel="0" collapsed="false">
      <c r="A13" s="16" t="s">
        <v>42</v>
      </c>
      <c r="B13" s="16" t="s">
        <v>1260</v>
      </c>
      <c r="C13" s="71" t="s">
        <v>1274</v>
      </c>
      <c r="D13" s="16" t="s">
        <v>1281</v>
      </c>
      <c r="E13" s="16" t="s">
        <v>1282</v>
      </c>
      <c r="F13" s="16" t="n">
        <v>267.49</v>
      </c>
      <c r="G13" s="16" t="n">
        <v>94</v>
      </c>
      <c r="H13" s="16" t="n">
        <v>486</v>
      </c>
      <c r="I13" s="16" t="n">
        <v>239</v>
      </c>
      <c r="J13" s="16" t="n">
        <v>247</v>
      </c>
      <c r="K13" s="16" t="n">
        <v>154</v>
      </c>
      <c r="L13" s="19" t="n">
        <f aca="false">(K13/H13)*100</f>
        <v>31.6872427983539</v>
      </c>
      <c r="M13" s="16" t="n">
        <v>0</v>
      </c>
      <c r="N13" s="19" t="n">
        <f aca="false">(M13/H13)*100</f>
        <v>0</v>
      </c>
      <c r="O13" s="16" t="n">
        <v>0</v>
      </c>
      <c r="P13" s="16" t="n">
        <v>0</v>
      </c>
      <c r="Q13" s="16"/>
      <c r="R13" s="87"/>
      <c r="S13" s="16"/>
      <c r="T13" s="16"/>
      <c r="U13" s="16"/>
      <c r="V13" s="16"/>
      <c r="W13" s="16"/>
      <c r="X13" s="16"/>
      <c r="Y13" s="16"/>
      <c r="Z13" s="16"/>
      <c r="AA13" s="87"/>
      <c r="AB13" s="87"/>
      <c r="AC13" s="16"/>
      <c r="AD13" s="16"/>
      <c r="AE13" s="16"/>
      <c r="AF13" s="16" t="s">
        <v>1277</v>
      </c>
    </row>
    <row r="14" customFormat="false" ht="15.75" hidden="false" customHeight="false" outlineLevel="0" collapsed="false">
      <c r="A14" s="16" t="s">
        <v>42</v>
      </c>
      <c r="B14" s="16" t="s">
        <v>1260</v>
      </c>
      <c r="C14" s="71" t="s">
        <v>1274</v>
      </c>
      <c r="D14" s="16" t="s">
        <v>1283</v>
      </c>
      <c r="E14" s="16" t="s">
        <v>1284</v>
      </c>
      <c r="F14" s="16" t="n">
        <v>655</v>
      </c>
      <c r="G14" s="16" t="n">
        <v>50</v>
      </c>
      <c r="H14" s="16" t="n">
        <v>204</v>
      </c>
      <c r="I14" s="16" t="n">
        <v>100</v>
      </c>
      <c r="J14" s="16" t="n">
        <v>104</v>
      </c>
      <c r="K14" s="16" t="n">
        <v>36</v>
      </c>
      <c r="L14" s="19" t="n">
        <f aca="false">(K14/H14)*100</f>
        <v>17.6470588235294</v>
      </c>
      <c r="M14" s="16" t="n">
        <v>1</v>
      </c>
      <c r="N14" s="19" t="n">
        <f aca="false">(M14/H14)*100</f>
        <v>0.490196078431373</v>
      </c>
      <c r="O14" s="16" t="n">
        <v>6</v>
      </c>
      <c r="P14" s="16" t="n">
        <v>0</v>
      </c>
      <c r="Q14" s="24"/>
      <c r="R14" s="25" t="n">
        <v>46249</v>
      </c>
      <c r="S14" s="16"/>
      <c r="T14" s="24" t="n">
        <v>9.68</v>
      </c>
      <c r="U14" s="16"/>
      <c r="V14" s="16"/>
      <c r="W14" s="16"/>
      <c r="X14" s="16"/>
      <c r="Y14" s="16"/>
      <c r="Z14" s="16"/>
      <c r="AA14" s="26" t="s">
        <v>50</v>
      </c>
      <c r="AB14" s="26" t="n">
        <v>0</v>
      </c>
      <c r="AC14" s="57"/>
      <c r="AD14" s="24"/>
      <c r="AE14" s="24"/>
      <c r="AF14" s="16" t="s">
        <v>1277</v>
      </c>
    </row>
    <row r="15" customFormat="false" ht="15.75" hidden="false" customHeight="false" outlineLevel="0" collapsed="false">
      <c r="A15" s="16" t="s">
        <v>42</v>
      </c>
      <c r="B15" s="16" t="s">
        <v>1260</v>
      </c>
      <c r="C15" s="71" t="s">
        <v>1274</v>
      </c>
      <c r="D15" s="16" t="s">
        <v>1285</v>
      </c>
      <c r="E15" s="16" t="s">
        <v>1286</v>
      </c>
      <c r="F15" s="16" t="n">
        <v>241.97</v>
      </c>
      <c r="G15" s="16" t="n">
        <v>102</v>
      </c>
      <c r="H15" s="16" t="n">
        <v>412</v>
      </c>
      <c r="I15" s="16" t="n">
        <v>213</v>
      </c>
      <c r="J15" s="16" t="n">
        <v>199</v>
      </c>
      <c r="K15" s="16" t="n">
        <v>19</v>
      </c>
      <c r="L15" s="19" t="n">
        <f aca="false">(K15/H15)*100</f>
        <v>4.61165048543689</v>
      </c>
      <c r="M15" s="16" t="n">
        <v>0</v>
      </c>
      <c r="N15" s="19" t="n">
        <f aca="false">(M15/H15)*100</f>
        <v>0</v>
      </c>
      <c r="O15" s="16" t="n">
        <v>0</v>
      </c>
      <c r="P15" s="16" t="n">
        <v>0</v>
      </c>
      <c r="Q15" s="16"/>
      <c r="R15" s="87"/>
      <c r="S15" s="16"/>
      <c r="T15" s="16"/>
      <c r="U15" s="16"/>
      <c r="V15" s="16"/>
      <c r="W15" s="16"/>
      <c r="X15" s="16"/>
      <c r="Y15" s="16"/>
      <c r="Z15" s="16"/>
      <c r="AA15" s="87"/>
      <c r="AB15" s="87"/>
      <c r="AC15" s="16"/>
      <c r="AD15" s="16"/>
      <c r="AE15" s="16"/>
      <c r="AF15" s="16" t="s">
        <v>1277</v>
      </c>
    </row>
    <row r="16" customFormat="false" ht="17.25" hidden="false" customHeight="false" outlineLevel="0" collapsed="false">
      <c r="A16" s="16" t="s">
        <v>42</v>
      </c>
      <c r="B16" s="16" t="s">
        <v>1260</v>
      </c>
      <c r="C16" s="71" t="s">
        <v>1287</v>
      </c>
      <c r="D16" s="72" t="s">
        <v>1288</v>
      </c>
      <c r="E16" s="16" t="s">
        <v>1289</v>
      </c>
      <c r="F16" s="16" t="n">
        <v>1006.2</v>
      </c>
      <c r="G16" s="16" t="n">
        <v>455</v>
      </c>
      <c r="H16" s="16" t="n">
        <v>1995</v>
      </c>
      <c r="I16" s="16" t="n">
        <v>993</v>
      </c>
      <c r="J16" s="16" t="n">
        <v>1002</v>
      </c>
      <c r="K16" s="16" t="n">
        <v>543</v>
      </c>
      <c r="L16" s="19" t="n">
        <f aca="false">(K16/H16)*100</f>
        <v>27.2180451127819</v>
      </c>
      <c r="M16" s="16" t="n">
        <v>0</v>
      </c>
      <c r="N16" s="19" t="n">
        <f aca="false">(M16/H16)*100</f>
        <v>0</v>
      </c>
      <c r="O16" s="16" t="n">
        <v>126</v>
      </c>
      <c r="P16" s="16" t="n">
        <v>0</v>
      </c>
      <c r="Q16" s="24"/>
      <c r="R16" s="25" t="n">
        <v>46249</v>
      </c>
      <c r="S16" s="16"/>
      <c r="T16" s="24" t="n">
        <v>116.61</v>
      </c>
      <c r="U16" s="16"/>
      <c r="V16" s="16"/>
      <c r="W16" s="16"/>
      <c r="X16" s="16"/>
      <c r="Y16" s="16"/>
      <c r="Z16" s="16"/>
      <c r="AA16" s="26" t="s">
        <v>50</v>
      </c>
      <c r="AB16" s="26" t="n">
        <v>5</v>
      </c>
      <c r="AC16" s="27" t="s">
        <v>1290</v>
      </c>
      <c r="AD16" s="24"/>
      <c r="AE16" s="24"/>
      <c r="AF16" s="16"/>
    </row>
    <row r="17" customFormat="false" ht="17.25" hidden="false" customHeight="false" outlineLevel="0" collapsed="false">
      <c r="A17" s="16"/>
      <c r="B17" s="16"/>
      <c r="C17" s="71"/>
      <c r="D17" s="72"/>
      <c r="E17" s="16"/>
      <c r="F17" s="16"/>
      <c r="G17" s="16"/>
      <c r="H17" s="16"/>
      <c r="I17" s="16"/>
      <c r="J17" s="16"/>
      <c r="K17" s="16"/>
      <c r="L17" s="19" t="e">
        <f aca="false">(K17/H17)*100</f>
        <v>#DIV/0!</v>
      </c>
      <c r="M17" s="16"/>
      <c r="N17" s="19" t="e">
        <f aca="false">(M17/H17)*100</f>
        <v>#DIV/0!</v>
      </c>
      <c r="O17" s="16"/>
      <c r="P17" s="16"/>
      <c r="Q17" s="242"/>
      <c r="R17" s="244"/>
      <c r="S17" s="16"/>
      <c r="T17" s="242"/>
      <c r="U17" s="16"/>
      <c r="V17" s="16"/>
      <c r="W17" s="16"/>
      <c r="X17" s="16"/>
      <c r="Y17" s="16"/>
      <c r="Z17" s="16"/>
      <c r="AA17" s="244" t="s">
        <v>50</v>
      </c>
      <c r="AB17" s="244" t="n">
        <v>10</v>
      </c>
      <c r="AC17" s="246" t="s">
        <v>1291</v>
      </c>
      <c r="AD17" s="242"/>
      <c r="AE17" s="242"/>
      <c r="AF17" s="16"/>
    </row>
    <row r="18" customFormat="false" ht="17.25" hidden="false" customHeight="false" outlineLevel="0" collapsed="false">
      <c r="A18" s="16"/>
      <c r="B18" s="16"/>
      <c r="C18" s="71"/>
      <c r="D18" s="72"/>
      <c r="E18" s="16"/>
      <c r="F18" s="16"/>
      <c r="G18" s="16"/>
      <c r="H18" s="16"/>
      <c r="I18" s="16"/>
      <c r="J18" s="16"/>
      <c r="K18" s="16"/>
      <c r="L18" s="19" t="e">
        <f aca="false">(K18/H18)*100</f>
        <v>#DIV/0!</v>
      </c>
      <c r="M18" s="16"/>
      <c r="N18" s="19" t="e">
        <f aca="false">(M18/H18)*100</f>
        <v>#DIV/0!</v>
      </c>
      <c r="O18" s="16"/>
      <c r="P18" s="16"/>
      <c r="Q18" s="242"/>
      <c r="R18" s="244"/>
      <c r="S18" s="16"/>
      <c r="T18" s="242"/>
      <c r="U18" s="16"/>
      <c r="V18" s="16"/>
      <c r="W18" s="16"/>
      <c r="X18" s="16"/>
      <c r="Y18" s="16"/>
      <c r="Z18" s="16"/>
      <c r="AA18" s="244" t="s">
        <v>50</v>
      </c>
      <c r="AB18" s="244" t="n">
        <v>10</v>
      </c>
      <c r="AC18" s="245" t="s">
        <v>1292</v>
      </c>
      <c r="AD18" s="242"/>
      <c r="AE18" s="242"/>
      <c r="AF18" s="16"/>
    </row>
    <row r="19" customFormat="false" ht="17.25" hidden="false" customHeight="false" outlineLevel="0" collapsed="false">
      <c r="A19" s="16"/>
      <c r="B19" s="16"/>
      <c r="C19" s="71"/>
      <c r="D19" s="72"/>
      <c r="E19" s="16"/>
      <c r="F19" s="16"/>
      <c r="G19" s="16"/>
      <c r="H19" s="16"/>
      <c r="I19" s="16"/>
      <c r="J19" s="16"/>
      <c r="K19" s="16"/>
      <c r="L19" s="19" t="e">
        <f aca="false">(K19/H19)*100</f>
        <v>#DIV/0!</v>
      </c>
      <c r="M19" s="16"/>
      <c r="N19" s="19" t="e">
        <f aca="false">(M19/H19)*100</f>
        <v>#DIV/0!</v>
      </c>
      <c r="O19" s="16"/>
      <c r="P19" s="16"/>
      <c r="Q19" s="242"/>
      <c r="R19" s="244"/>
      <c r="S19" s="16"/>
      <c r="T19" s="242"/>
      <c r="U19" s="16"/>
      <c r="V19" s="16"/>
      <c r="W19" s="16"/>
      <c r="X19" s="16"/>
      <c r="Y19" s="16"/>
      <c r="Z19" s="16"/>
      <c r="AA19" s="244" t="s">
        <v>50</v>
      </c>
      <c r="AB19" s="244" t="n">
        <v>15</v>
      </c>
      <c r="AC19" s="245" t="s">
        <v>1293</v>
      </c>
      <c r="AD19" s="242"/>
      <c r="AE19" s="242"/>
      <c r="AF19" s="16"/>
    </row>
    <row r="20" customFormat="false" ht="17.25" hidden="false" customHeight="false" outlineLevel="0" collapsed="false">
      <c r="A20" s="16"/>
      <c r="B20" s="16"/>
      <c r="C20" s="71"/>
      <c r="D20" s="72"/>
      <c r="E20" s="16"/>
      <c r="F20" s="16"/>
      <c r="G20" s="16"/>
      <c r="H20" s="16"/>
      <c r="I20" s="16"/>
      <c r="J20" s="16"/>
      <c r="K20" s="16"/>
      <c r="L20" s="19" t="e">
        <f aca="false">(K20/H20)*100</f>
        <v>#DIV/0!</v>
      </c>
      <c r="M20" s="16"/>
      <c r="N20" s="19" t="e">
        <f aca="false">(M20/H20)*100</f>
        <v>#DIV/0!</v>
      </c>
      <c r="O20" s="16"/>
      <c r="P20" s="16"/>
      <c r="Q20" s="242"/>
      <c r="R20" s="244"/>
      <c r="S20" s="16"/>
      <c r="T20" s="242"/>
      <c r="U20" s="16"/>
      <c r="V20" s="16"/>
      <c r="W20" s="16"/>
      <c r="X20" s="16"/>
      <c r="Y20" s="16"/>
      <c r="Z20" s="16"/>
      <c r="AA20" s="244" t="s">
        <v>50</v>
      </c>
      <c r="AB20" s="244" t="n">
        <v>20</v>
      </c>
      <c r="AC20" s="246" t="s">
        <v>1294</v>
      </c>
      <c r="AD20" s="242"/>
      <c r="AE20" s="242"/>
      <c r="AF20" s="16"/>
    </row>
    <row r="21" customFormat="false" ht="17.25" hidden="false" customHeight="false" outlineLevel="0" collapsed="false">
      <c r="A21" s="16"/>
      <c r="B21" s="16"/>
      <c r="C21" s="71"/>
      <c r="D21" s="72"/>
      <c r="E21" s="16"/>
      <c r="F21" s="16"/>
      <c r="G21" s="16"/>
      <c r="H21" s="16"/>
      <c r="I21" s="16"/>
      <c r="J21" s="16"/>
      <c r="K21" s="16"/>
      <c r="L21" s="19" t="e">
        <f aca="false">(K21/H21)*100</f>
        <v>#DIV/0!</v>
      </c>
      <c r="M21" s="16"/>
      <c r="N21" s="19" t="e">
        <f aca="false">(M21/H21)*100</f>
        <v>#DIV/0!</v>
      </c>
      <c r="O21" s="16"/>
      <c r="P21" s="16"/>
      <c r="Q21" s="242"/>
      <c r="R21" s="244"/>
      <c r="S21" s="16"/>
      <c r="T21" s="242"/>
      <c r="U21" s="16"/>
      <c r="V21" s="16"/>
      <c r="W21" s="16"/>
      <c r="X21" s="16"/>
      <c r="Y21" s="16"/>
      <c r="Z21" s="16"/>
      <c r="AA21" s="244" t="s">
        <v>50</v>
      </c>
      <c r="AB21" s="244" t="n">
        <v>7</v>
      </c>
      <c r="AC21" s="245" t="s">
        <v>1295</v>
      </c>
      <c r="AD21" s="242"/>
      <c r="AE21" s="242"/>
      <c r="AF21" s="16"/>
    </row>
    <row r="22" customFormat="false" ht="17.25" hidden="false" customHeight="false" outlineLevel="0" collapsed="false">
      <c r="A22" s="16"/>
      <c r="B22" s="16"/>
      <c r="C22" s="71"/>
      <c r="D22" s="72"/>
      <c r="E22" s="16"/>
      <c r="F22" s="16"/>
      <c r="G22" s="16"/>
      <c r="H22" s="16"/>
      <c r="I22" s="16"/>
      <c r="J22" s="16"/>
      <c r="K22" s="16"/>
      <c r="L22" s="19" t="e">
        <f aca="false">(K22/H22)*100</f>
        <v>#DIV/0!</v>
      </c>
      <c r="M22" s="16"/>
      <c r="N22" s="19" t="e">
        <f aca="false">(M22/H22)*100</f>
        <v>#DIV/0!</v>
      </c>
      <c r="O22" s="16"/>
      <c r="P22" s="16"/>
      <c r="Q22" s="242"/>
      <c r="R22" s="244"/>
      <c r="S22" s="16"/>
      <c r="T22" s="242"/>
      <c r="U22" s="16"/>
      <c r="V22" s="16"/>
      <c r="W22" s="16"/>
      <c r="X22" s="16"/>
      <c r="Y22" s="16"/>
      <c r="Z22" s="16"/>
      <c r="AA22" s="244" t="s">
        <v>50</v>
      </c>
      <c r="AB22" s="244" t="n">
        <v>8</v>
      </c>
      <c r="AC22" s="245" t="s">
        <v>1296</v>
      </c>
      <c r="AD22" s="242"/>
      <c r="AE22" s="242"/>
      <c r="AF22" s="16"/>
    </row>
    <row r="23" customFormat="false" ht="15.75" hidden="false" customHeight="false" outlineLevel="0" collapsed="false">
      <c r="A23" s="16" t="s">
        <v>42</v>
      </c>
      <c r="B23" s="16" t="s">
        <v>1260</v>
      </c>
      <c r="C23" s="71" t="s">
        <v>1287</v>
      </c>
      <c r="D23" s="16" t="s">
        <v>1297</v>
      </c>
      <c r="E23" s="16" t="s">
        <v>1298</v>
      </c>
      <c r="F23" s="16" t="n">
        <v>402.48</v>
      </c>
      <c r="G23" s="16" t="n">
        <v>196</v>
      </c>
      <c r="H23" s="16" t="n">
        <v>933</v>
      </c>
      <c r="I23" s="16" t="n">
        <v>483</v>
      </c>
      <c r="J23" s="16" t="n">
        <v>450</v>
      </c>
      <c r="K23" s="16" t="n">
        <v>488</v>
      </c>
      <c r="L23" s="19" t="n">
        <f aca="false">(K23/H23)*100</f>
        <v>52.3043944265809</v>
      </c>
      <c r="M23" s="16" t="n">
        <v>0</v>
      </c>
      <c r="N23" s="19" t="n">
        <f aca="false">(M23/H23)*100</f>
        <v>0</v>
      </c>
      <c r="O23" s="16" t="n">
        <v>0</v>
      </c>
      <c r="P23" s="16" t="n">
        <v>0</v>
      </c>
      <c r="Q23" s="16"/>
      <c r="R23" s="87"/>
      <c r="S23" s="16"/>
      <c r="T23" s="16"/>
      <c r="U23" s="16"/>
      <c r="V23" s="16"/>
      <c r="W23" s="16"/>
      <c r="X23" s="16"/>
      <c r="Y23" s="16"/>
      <c r="Z23" s="16"/>
      <c r="AA23" s="87"/>
      <c r="AB23" s="87"/>
      <c r="AC23" s="16"/>
      <c r="AD23" s="16"/>
      <c r="AE23" s="16"/>
      <c r="AF23" s="16"/>
    </row>
    <row r="24" customFormat="false" ht="15.75" hidden="false" customHeight="false" outlineLevel="0" collapsed="false">
      <c r="A24" s="16" t="s">
        <v>42</v>
      </c>
      <c r="B24" s="16" t="s">
        <v>1260</v>
      </c>
      <c r="C24" s="71" t="s">
        <v>1299</v>
      </c>
      <c r="D24" s="72" t="s">
        <v>1300</v>
      </c>
      <c r="E24" s="16" t="s">
        <v>1301</v>
      </c>
      <c r="F24" s="16" t="n">
        <v>6421</v>
      </c>
      <c r="G24" s="16" t="n">
        <v>1635</v>
      </c>
      <c r="H24" s="16" t="n">
        <v>8099</v>
      </c>
      <c r="I24" s="16" t="n">
        <v>4115</v>
      </c>
      <c r="J24" s="16" t="n">
        <v>3984</v>
      </c>
      <c r="K24" s="16" t="n">
        <v>1978</v>
      </c>
      <c r="L24" s="19" t="n">
        <f aca="false">(K24/H24)*100</f>
        <v>24.422768242993</v>
      </c>
      <c r="M24" s="16" t="n">
        <v>19</v>
      </c>
      <c r="N24" s="19" t="n">
        <f aca="false">(M24/H24)*100</f>
        <v>0.234596863810347</v>
      </c>
      <c r="O24" s="16" t="n">
        <v>0</v>
      </c>
      <c r="P24" s="16" t="n">
        <v>39</v>
      </c>
      <c r="Q24" s="247" t="s">
        <v>50</v>
      </c>
      <c r="R24" s="248" t="n">
        <v>44400</v>
      </c>
      <c r="S24" s="16"/>
      <c r="T24" s="249" t="n">
        <v>160.11</v>
      </c>
      <c r="U24" s="16" t="s">
        <v>50</v>
      </c>
      <c r="V24" s="16"/>
      <c r="W24" s="16" t="s">
        <v>50</v>
      </c>
      <c r="X24" s="16"/>
      <c r="Y24" s="16"/>
      <c r="Z24" s="16"/>
      <c r="AA24" s="73" t="s">
        <v>50</v>
      </c>
      <c r="AB24" s="79" t="n">
        <v>37.32</v>
      </c>
      <c r="AC24" s="94" t="s">
        <v>1302</v>
      </c>
      <c r="AD24" s="250" t="n">
        <v>26.23275</v>
      </c>
      <c r="AE24" s="250" t="n">
        <v>73.618559</v>
      </c>
      <c r="AF24" s="16"/>
    </row>
    <row r="25" customFormat="false" ht="15.75" hidden="false" customHeight="false" outlineLevel="0" collapsed="false">
      <c r="A25" s="16"/>
      <c r="B25" s="16"/>
      <c r="C25" s="71"/>
      <c r="D25" s="72"/>
      <c r="E25" s="16"/>
      <c r="F25" s="16"/>
      <c r="G25" s="16"/>
      <c r="H25" s="16"/>
      <c r="I25" s="16"/>
      <c r="J25" s="16"/>
      <c r="K25" s="16"/>
      <c r="L25" s="19" t="e">
        <f aca="false">(K25/H25)*100</f>
        <v>#DIV/0!</v>
      </c>
      <c r="M25" s="16"/>
      <c r="N25" s="19" t="e">
        <f aca="false">(M25/H25)*100</f>
        <v>#DIV/0!</v>
      </c>
      <c r="O25" s="16"/>
      <c r="P25" s="16"/>
      <c r="Q25" s="247" t="s">
        <v>50</v>
      </c>
      <c r="R25" s="248" t="n">
        <v>44400</v>
      </c>
      <c r="S25" s="16"/>
      <c r="T25" s="249"/>
      <c r="U25" s="16"/>
      <c r="V25" s="16"/>
      <c r="W25" s="16"/>
      <c r="X25" s="16"/>
      <c r="Y25" s="16"/>
      <c r="Z25" s="16"/>
      <c r="AA25" s="73" t="s">
        <v>50</v>
      </c>
      <c r="AB25" s="251" t="n">
        <v>11.97</v>
      </c>
      <c r="AC25" s="252" t="s">
        <v>1303</v>
      </c>
      <c r="AD25" s="253" t="n">
        <v>26.23275</v>
      </c>
      <c r="AE25" s="253" t="n">
        <v>73.618559</v>
      </c>
      <c r="AF25" s="16"/>
    </row>
    <row r="26" customFormat="false" ht="15.75" hidden="false" customHeight="false" outlineLevel="0" collapsed="false">
      <c r="A26" s="16" t="s">
        <v>42</v>
      </c>
      <c r="B26" s="16" t="s">
        <v>1260</v>
      </c>
      <c r="C26" s="71" t="s">
        <v>1304</v>
      </c>
      <c r="D26" s="72" t="s">
        <v>1304</v>
      </c>
      <c r="E26" s="16" t="s">
        <v>1305</v>
      </c>
      <c r="F26" s="16" t="n">
        <v>1884</v>
      </c>
      <c r="G26" s="16" t="n">
        <v>476</v>
      </c>
      <c r="H26" s="16" t="n">
        <v>2533</v>
      </c>
      <c r="I26" s="16" t="n">
        <v>1292</v>
      </c>
      <c r="J26" s="16" t="n">
        <v>1241</v>
      </c>
      <c r="K26" s="16" t="n">
        <v>748</v>
      </c>
      <c r="L26" s="19" t="n">
        <f aca="false">(K26/H26)*100</f>
        <v>29.5302013422819</v>
      </c>
      <c r="M26" s="16" t="n">
        <v>3</v>
      </c>
      <c r="N26" s="19" t="n">
        <f aca="false">(M26/H26)*100</f>
        <v>0.118436636399526</v>
      </c>
      <c r="O26" s="16" t="n">
        <v>127</v>
      </c>
      <c r="P26" s="16" t="n">
        <v>0</v>
      </c>
      <c r="Q26" s="20" t="s">
        <v>49</v>
      </c>
      <c r="R26" s="34" t="n">
        <v>45201</v>
      </c>
      <c r="S26" s="16"/>
      <c r="T26" s="20" t="n">
        <v>64.8</v>
      </c>
      <c r="U26" s="16" t="s">
        <v>50</v>
      </c>
      <c r="V26" s="16"/>
      <c r="W26" s="16"/>
      <c r="X26" s="16"/>
      <c r="Y26" s="16"/>
      <c r="Z26" s="16"/>
      <c r="AA26" s="21" t="s">
        <v>50</v>
      </c>
      <c r="AB26" s="21" t="n">
        <v>10</v>
      </c>
      <c r="AC26" s="254" t="s">
        <v>1306</v>
      </c>
      <c r="AD26" s="20"/>
      <c r="AE26" s="20"/>
      <c r="AF26" s="16"/>
    </row>
    <row r="27" customFormat="false" ht="15.75" hidden="false" customHeight="false" outlineLevel="0" collapsed="false">
      <c r="A27" s="16"/>
      <c r="B27" s="16"/>
      <c r="C27" s="71"/>
      <c r="D27" s="72"/>
      <c r="E27" s="16"/>
      <c r="F27" s="16"/>
      <c r="G27" s="16"/>
      <c r="H27" s="16"/>
      <c r="I27" s="16"/>
      <c r="J27" s="16"/>
      <c r="K27" s="16"/>
      <c r="L27" s="19" t="e">
        <f aca="false">(K27/H27)*100</f>
        <v>#DIV/0!</v>
      </c>
      <c r="M27" s="16"/>
      <c r="N27" s="19" t="e">
        <f aca="false">(M27/H27)*100</f>
        <v>#DIV/0!</v>
      </c>
      <c r="O27" s="16"/>
      <c r="P27" s="16"/>
      <c r="Q27" s="228"/>
      <c r="R27" s="97"/>
      <c r="S27" s="16"/>
      <c r="T27" s="228"/>
      <c r="U27" s="16"/>
      <c r="V27" s="16"/>
      <c r="W27" s="16"/>
      <c r="X27" s="16"/>
      <c r="Y27" s="16"/>
      <c r="Z27" s="16"/>
      <c r="AA27" s="97" t="s">
        <v>50</v>
      </c>
      <c r="AB27" s="97" t="n">
        <v>10</v>
      </c>
      <c r="AC27" s="255" t="s">
        <v>1307</v>
      </c>
      <c r="AD27" s="228"/>
      <c r="AE27" s="228"/>
      <c r="AF27" s="16"/>
    </row>
    <row r="28" customFormat="false" ht="15.75" hidden="false" customHeight="false" outlineLevel="0" collapsed="false">
      <c r="A28" s="16"/>
      <c r="B28" s="16"/>
      <c r="C28" s="71"/>
      <c r="D28" s="72"/>
      <c r="E28" s="16"/>
      <c r="F28" s="16"/>
      <c r="G28" s="16"/>
      <c r="H28" s="16"/>
      <c r="I28" s="16"/>
      <c r="J28" s="16"/>
      <c r="K28" s="16"/>
      <c r="L28" s="19" t="e">
        <f aca="false">(K28/H28)*100</f>
        <v>#DIV/0!</v>
      </c>
      <c r="M28" s="16"/>
      <c r="N28" s="19" t="e">
        <f aca="false">(M28/H28)*100</f>
        <v>#DIV/0!</v>
      </c>
      <c r="O28" s="16"/>
      <c r="P28" s="16"/>
      <c r="Q28" s="228"/>
      <c r="R28" s="97"/>
      <c r="S28" s="16"/>
      <c r="T28" s="228"/>
      <c r="U28" s="16"/>
      <c r="V28" s="16"/>
      <c r="W28" s="16"/>
      <c r="X28" s="16"/>
      <c r="Y28" s="16"/>
      <c r="Z28" s="16"/>
      <c r="AA28" s="97" t="s">
        <v>50</v>
      </c>
      <c r="AB28" s="97" t="n">
        <v>15</v>
      </c>
      <c r="AC28" s="255" t="s">
        <v>1308</v>
      </c>
      <c r="AD28" s="228"/>
      <c r="AE28" s="228"/>
      <c r="AF28" s="16"/>
    </row>
    <row r="29" customFormat="false" ht="15.75" hidden="false" customHeight="false" outlineLevel="0" collapsed="false">
      <c r="A29" s="16" t="s">
        <v>42</v>
      </c>
      <c r="B29" s="16" t="s">
        <v>1260</v>
      </c>
      <c r="C29" s="71" t="s">
        <v>1309</v>
      </c>
      <c r="D29" s="72" t="s">
        <v>1310</v>
      </c>
      <c r="E29" s="16" t="s">
        <v>1311</v>
      </c>
      <c r="F29" s="16" t="n">
        <v>2446</v>
      </c>
      <c r="G29" s="16" t="n">
        <v>401</v>
      </c>
      <c r="H29" s="16" t="n">
        <v>2201</v>
      </c>
      <c r="I29" s="16" t="n">
        <v>1157</v>
      </c>
      <c r="J29" s="16" t="n">
        <v>1044</v>
      </c>
      <c r="K29" s="16" t="n">
        <v>440</v>
      </c>
      <c r="L29" s="19" t="n">
        <f aca="false">(K29/H29)*100</f>
        <v>19.9909132212631</v>
      </c>
      <c r="M29" s="16" t="n">
        <v>0</v>
      </c>
      <c r="N29" s="19" t="n">
        <f aca="false">(M29/H29)*100</f>
        <v>0</v>
      </c>
      <c r="O29" s="16" t="n">
        <v>20</v>
      </c>
      <c r="P29" s="16" t="n">
        <v>0</v>
      </c>
      <c r="Q29" s="24" t="s">
        <v>49</v>
      </c>
      <c r="R29" s="25" t="n">
        <v>44629</v>
      </c>
      <c r="S29" s="16"/>
      <c r="T29" s="24" t="n">
        <v>20.1765</v>
      </c>
      <c r="U29" s="16" t="s">
        <v>50</v>
      </c>
      <c r="V29" s="16"/>
      <c r="W29" s="16" t="s">
        <v>50</v>
      </c>
      <c r="X29" s="16"/>
      <c r="Y29" s="16"/>
      <c r="Z29" s="16"/>
      <c r="AA29" s="26" t="s">
        <v>266</v>
      </c>
      <c r="AB29" s="26" t="n">
        <v>10</v>
      </c>
      <c r="AC29" s="239" t="s">
        <v>1312</v>
      </c>
      <c r="AD29" s="24" t="n">
        <v>26.263965</v>
      </c>
      <c r="AE29" s="24" t="n">
        <v>73.404522</v>
      </c>
      <c r="AF29" s="16"/>
    </row>
    <row r="30" customFormat="false" ht="34.5" hidden="false" customHeight="false" outlineLevel="0" collapsed="false">
      <c r="A30" s="16"/>
      <c r="B30" s="16"/>
      <c r="C30" s="71"/>
      <c r="D30" s="72"/>
      <c r="E30" s="16"/>
      <c r="F30" s="16"/>
      <c r="G30" s="16"/>
      <c r="H30" s="16"/>
      <c r="I30" s="16"/>
      <c r="J30" s="16"/>
      <c r="K30" s="16"/>
      <c r="L30" s="19" t="e">
        <f aca="false">(K30/H30)*100</f>
        <v>#DIV/0!</v>
      </c>
      <c r="M30" s="16"/>
      <c r="N30" s="19" t="e">
        <f aca="false">(M30/H30)*100</f>
        <v>#DIV/0!</v>
      </c>
      <c r="O30" s="16"/>
      <c r="P30" s="16"/>
      <c r="Q30" s="256"/>
      <c r="R30" s="173"/>
      <c r="S30" s="16"/>
      <c r="T30" s="256" t="n">
        <v>20.17</v>
      </c>
      <c r="U30" s="16"/>
      <c r="V30" s="16"/>
      <c r="W30" s="16"/>
      <c r="X30" s="16"/>
      <c r="Y30" s="16"/>
      <c r="Z30" s="16"/>
      <c r="AA30" s="172" t="s">
        <v>50</v>
      </c>
      <c r="AB30" s="172" t="n">
        <v>10</v>
      </c>
      <c r="AC30" s="257" t="s">
        <v>1313</v>
      </c>
      <c r="AD30" s="256" t="n">
        <v>26.263965</v>
      </c>
      <c r="AE30" s="256" t="n">
        <v>73.404522</v>
      </c>
      <c r="AF30" s="16"/>
    </row>
    <row r="31" customFormat="false" ht="34.5" hidden="false" customHeight="false" outlineLevel="0" collapsed="false">
      <c r="A31" s="16"/>
      <c r="B31" s="16"/>
      <c r="C31" s="71"/>
      <c r="D31" s="72"/>
      <c r="E31" s="16"/>
      <c r="F31" s="16"/>
      <c r="G31" s="16"/>
      <c r="H31" s="16"/>
      <c r="I31" s="16"/>
      <c r="J31" s="16"/>
      <c r="K31" s="16"/>
      <c r="L31" s="19" t="e">
        <f aca="false">(K31/H31)*100</f>
        <v>#DIV/0!</v>
      </c>
      <c r="M31" s="16"/>
      <c r="N31" s="19" t="e">
        <f aca="false">(M31/H31)*100</f>
        <v>#DIV/0!</v>
      </c>
      <c r="O31" s="16"/>
      <c r="P31" s="16"/>
      <c r="Q31" s="256"/>
      <c r="R31" s="173" t="n">
        <v>44807</v>
      </c>
      <c r="S31" s="16"/>
      <c r="T31" s="256"/>
      <c r="U31" s="16"/>
      <c r="V31" s="16"/>
      <c r="W31" s="16"/>
      <c r="X31" s="16"/>
      <c r="Y31" s="16"/>
      <c r="Z31" s="16"/>
      <c r="AA31" s="172" t="s">
        <v>50</v>
      </c>
      <c r="AB31" s="258" t="n">
        <v>15</v>
      </c>
      <c r="AC31" s="257" t="s">
        <v>1314</v>
      </c>
      <c r="AD31" s="256" t="n">
        <v>26.263969</v>
      </c>
      <c r="AE31" s="256" t="n">
        <v>73.404528</v>
      </c>
      <c r="AF31" s="16"/>
    </row>
    <row r="32" customFormat="false" ht="15.75" hidden="false" customHeight="false" outlineLevel="0" collapsed="false">
      <c r="A32" s="16" t="s">
        <v>42</v>
      </c>
      <c r="B32" s="16" t="s">
        <v>1260</v>
      </c>
      <c r="C32" s="71" t="s">
        <v>1309</v>
      </c>
      <c r="D32" s="16" t="s">
        <v>1315</v>
      </c>
      <c r="E32" s="16" t="s">
        <v>1316</v>
      </c>
      <c r="F32" s="16" t="n">
        <v>566</v>
      </c>
      <c r="G32" s="16" t="n">
        <v>91</v>
      </c>
      <c r="H32" s="16" t="n">
        <v>584</v>
      </c>
      <c r="I32" s="16" t="n">
        <v>303</v>
      </c>
      <c r="J32" s="16" t="n">
        <v>281</v>
      </c>
      <c r="K32" s="16" t="n">
        <v>0</v>
      </c>
      <c r="L32" s="19" t="n">
        <f aca="false">(K32/H32)*100</f>
        <v>0</v>
      </c>
      <c r="M32" s="16" t="n">
        <v>0</v>
      </c>
      <c r="N32" s="19" t="n">
        <f aca="false">(M32/H32)*100</f>
        <v>0</v>
      </c>
      <c r="O32" s="16" t="n">
        <v>92</v>
      </c>
      <c r="P32" s="16" t="n">
        <v>0</v>
      </c>
      <c r="Q32" s="24" t="s">
        <v>49</v>
      </c>
      <c r="R32" s="25" t="n">
        <v>44630</v>
      </c>
      <c r="S32" s="16"/>
      <c r="T32" s="24" t="n">
        <v>92.2745</v>
      </c>
      <c r="U32" s="16" t="s">
        <v>50</v>
      </c>
      <c r="V32" s="16"/>
      <c r="W32" s="16"/>
      <c r="X32" s="16"/>
      <c r="Y32" s="16"/>
      <c r="Z32" s="16"/>
      <c r="AA32" s="26" t="s">
        <v>266</v>
      </c>
      <c r="AB32" s="26" t="n">
        <v>10</v>
      </c>
      <c r="AC32" s="239" t="s">
        <v>1317</v>
      </c>
      <c r="AD32" s="24" t="n">
        <v>26.27228</v>
      </c>
      <c r="AE32" s="24" t="n">
        <v>73.411992</v>
      </c>
      <c r="AF32" s="16"/>
    </row>
    <row r="33" customFormat="false" ht="15.75" hidden="false" customHeight="false" outlineLevel="0" collapsed="false">
      <c r="A33" s="16" t="s">
        <v>42</v>
      </c>
      <c r="B33" s="16" t="s">
        <v>1260</v>
      </c>
      <c r="C33" s="71" t="s">
        <v>1318</v>
      </c>
      <c r="D33" s="72" t="s">
        <v>1319</v>
      </c>
      <c r="E33" s="16" t="s">
        <v>1320</v>
      </c>
      <c r="F33" s="16" t="n">
        <v>1464</v>
      </c>
      <c r="G33" s="16" t="n">
        <v>405</v>
      </c>
      <c r="H33" s="16" t="n">
        <v>1905</v>
      </c>
      <c r="I33" s="16" t="n">
        <v>961</v>
      </c>
      <c r="J33" s="16" t="n">
        <v>944</v>
      </c>
      <c r="K33" s="16" t="n">
        <v>415</v>
      </c>
      <c r="L33" s="19" t="n">
        <f aca="false">(K33/H33)*100</f>
        <v>21.7847769028871</v>
      </c>
      <c r="M33" s="16" t="n">
        <v>0</v>
      </c>
      <c r="N33" s="19" t="n">
        <f aca="false">(M33/H33)*100</f>
        <v>0</v>
      </c>
      <c r="O33" s="16" t="n">
        <v>48</v>
      </c>
      <c r="P33" s="16" t="n">
        <v>0</v>
      </c>
      <c r="Q33" s="16"/>
      <c r="R33" s="87"/>
      <c r="S33" s="16"/>
      <c r="T33" s="16"/>
      <c r="U33" s="16"/>
      <c r="V33" s="16"/>
      <c r="W33" s="16"/>
      <c r="X33" s="16"/>
      <c r="Y33" s="16"/>
      <c r="Z33" s="16"/>
      <c r="AA33" s="87"/>
      <c r="AB33" s="87"/>
      <c r="AC33" s="16"/>
      <c r="AD33" s="16"/>
      <c r="AE33" s="16"/>
      <c r="AF33" s="16"/>
    </row>
    <row r="34" customFormat="false" ht="15.75" hidden="false" customHeight="false" outlineLevel="0" collapsed="false">
      <c r="A34" s="16" t="s">
        <v>42</v>
      </c>
      <c r="B34" s="16" t="s">
        <v>1260</v>
      </c>
      <c r="C34" s="71" t="s">
        <v>1318</v>
      </c>
      <c r="D34" s="16" t="s">
        <v>1321</v>
      </c>
      <c r="E34" s="16" t="s">
        <v>1322</v>
      </c>
      <c r="F34" s="16" t="n">
        <v>2139</v>
      </c>
      <c r="G34" s="16" t="n">
        <v>396</v>
      </c>
      <c r="H34" s="16" t="n">
        <v>2146</v>
      </c>
      <c r="I34" s="16" t="n">
        <v>1082</v>
      </c>
      <c r="J34" s="16" t="n">
        <v>1064</v>
      </c>
      <c r="K34" s="16" t="n">
        <v>556</v>
      </c>
      <c r="L34" s="19" t="n">
        <f aca="false">(K34/H34)*100</f>
        <v>25.9086672879776</v>
      </c>
      <c r="M34" s="16" t="n">
        <v>0</v>
      </c>
      <c r="N34" s="19" t="n">
        <f aca="false">(M34/H34)*100</f>
        <v>0</v>
      </c>
      <c r="O34" s="16" t="n">
        <v>58</v>
      </c>
      <c r="P34" s="16" t="n">
        <v>0</v>
      </c>
      <c r="Q34" s="16"/>
      <c r="R34" s="87"/>
      <c r="S34" s="16"/>
      <c r="T34" s="16"/>
      <c r="U34" s="16"/>
      <c r="V34" s="16"/>
      <c r="W34" s="16"/>
      <c r="X34" s="16"/>
      <c r="Y34" s="16"/>
      <c r="Z34" s="16"/>
      <c r="AA34" s="87"/>
      <c r="AB34" s="87"/>
      <c r="AC34" s="16"/>
      <c r="AD34" s="16"/>
      <c r="AE34" s="16"/>
      <c r="AF34" s="16"/>
    </row>
    <row r="35" customFormat="false" ht="15.75" hidden="false" customHeight="false" outlineLevel="0" collapsed="false">
      <c r="A35" s="16" t="s">
        <v>42</v>
      </c>
      <c r="B35" s="16" t="s">
        <v>1260</v>
      </c>
      <c r="C35" s="71" t="s">
        <v>1323</v>
      </c>
      <c r="D35" s="72" t="s">
        <v>1324</v>
      </c>
      <c r="E35" s="16" t="s">
        <v>1325</v>
      </c>
      <c r="F35" s="16" t="n">
        <v>3080</v>
      </c>
      <c r="G35" s="16" t="n">
        <v>1151</v>
      </c>
      <c r="H35" s="16" t="n">
        <v>5966</v>
      </c>
      <c r="I35" s="16" t="n">
        <v>3075</v>
      </c>
      <c r="J35" s="16" t="n">
        <v>2891</v>
      </c>
      <c r="K35" s="16" t="n">
        <v>2173</v>
      </c>
      <c r="L35" s="19" t="n">
        <f aca="false">(K35/H35)*100</f>
        <v>36.4230640295005</v>
      </c>
      <c r="M35" s="16" t="n">
        <v>8</v>
      </c>
      <c r="N35" s="19" t="n">
        <f aca="false">(M35/H35)*100</f>
        <v>0.134093194770365</v>
      </c>
      <c r="O35" s="16" t="n">
        <v>185</v>
      </c>
      <c r="P35" s="16" t="n">
        <v>0</v>
      </c>
      <c r="Q35" s="20" t="s">
        <v>49</v>
      </c>
      <c r="R35" s="34" t="n">
        <v>45348</v>
      </c>
      <c r="S35" s="16"/>
      <c r="T35" s="20" t="n">
        <v>138.3552</v>
      </c>
      <c r="U35" s="16"/>
      <c r="V35" s="16"/>
      <c r="W35" s="16"/>
      <c r="X35" s="16"/>
      <c r="Y35" s="16"/>
      <c r="Z35" s="16"/>
      <c r="AA35" s="21" t="s">
        <v>50</v>
      </c>
      <c r="AB35" s="21" t="n">
        <v>15</v>
      </c>
      <c r="AC35" s="254" t="s">
        <v>1326</v>
      </c>
      <c r="AD35" s="20"/>
      <c r="AE35" s="20"/>
      <c r="AF35" s="16" t="s">
        <v>1277</v>
      </c>
    </row>
    <row r="36" customFormat="false" ht="15.75" hidden="false" customHeight="false" outlineLevel="0" collapsed="false">
      <c r="A36" s="16"/>
      <c r="B36" s="16"/>
      <c r="C36" s="71"/>
      <c r="D36" s="72"/>
      <c r="E36" s="16"/>
      <c r="F36" s="16"/>
      <c r="G36" s="16"/>
      <c r="H36" s="16"/>
      <c r="I36" s="16"/>
      <c r="J36" s="16"/>
      <c r="K36" s="16"/>
      <c r="L36" s="19" t="e">
        <f aca="false">(K36/H36)*100</f>
        <v>#DIV/0!</v>
      </c>
      <c r="M36" s="16"/>
      <c r="N36" s="19" t="e">
        <f aca="false">(M36/H36)*100</f>
        <v>#DIV/0!</v>
      </c>
      <c r="O36" s="16"/>
      <c r="P36" s="16"/>
      <c r="Q36" s="228"/>
      <c r="R36" s="97"/>
      <c r="S36" s="16"/>
      <c r="T36" s="228"/>
      <c r="U36" s="16"/>
      <c r="V36" s="16"/>
      <c r="W36" s="16"/>
      <c r="X36" s="16"/>
      <c r="Y36" s="16"/>
      <c r="Z36" s="16"/>
      <c r="AA36" s="97" t="s">
        <v>50</v>
      </c>
      <c r="AB36" s="97" t="n">
        <v>10</v>
      </c>
      <c r="AC36" s="255" t="s">
        <v>1327</v>
      </c>
      <c r="AD36" s="228"/>
      <c r="AE36" s="228"/>
      <c r="AF36" s="16" t="s">
        <v>1277</v>
      </c>
    </row>
    <row r="37" customFormat="false" ht="15.75" hidden="false" customHeight="false" outlineLevel="0" collapsed="false">
      <c r="A37" s="16"/>
      <c r="B37" s="16"/>
      <c r="C37" s="71"/>
      <c r="D37" s="72"/>
      <c r="E37" s="16"/>
      <c r="F37" s="16"/>
      <c r="G37" s="16"/>
      <c r="H37" s="16"/>
      <c r="I37" s="16"/>
      <c r="J37" s="16"/>
      <c r="K37" s="16"/>
      <c r="L37" s="19" t="e">
        <f aca="false">(K37/H37)*100</f>
        <v>#DIV/0!</v>
      </c>
      <c r="M37" s="16"/>
      <c r="N37" s="19" t="e">
        <f aca="false">(M37/H37)*100</f>
        <v>#DIV/0!</v>
      </c>
      <c r="O37" s="16"/>
      <c r="P37" s="16"/>
      <c r="Q37" s="228"/>
      <c r="R37" s="97"/>
      <c r="S37" s="16"/>
      <c r="T37" s="228"/>
      <c r="U37" s="16"/>
      <c r="V37" s="16"/>
      <c r="W37" s="16"/>
      <c r="X37" s="16"/>
      <c r="Y37" s="16"/>
      <c r="Z37" s="16"/>
      <c r="AA37" s="97" t="s">
        <v>50</v>
      </c>
      <c r="AB37" s="97" t="n">
        <v>10</v>
      </c>
      <c r="AC37" s="255" t="s">
        <v>1328</v>
      </c>
      <c r="AD37" s="228"/>
      <c r="AE37" s="228"/>
      <c r="AF37" s="16" t="s">
        <v>1277</v>
      </c>
    </row>
    <row r="38" customFormat="false" ht="15.75" hidden="false" customHeight="false" outlineLevel="0" collapsed="false">
      <c r="A38" s="16" t="s">
        <v>42</v>
      </c>
      <c r="B38" s="16" t="s">
        <v>1260</v>
      </c>
      <c r="C38" s="71" t="s">
        <v>1323</v>
      </c>
      <c r="D38" s="16" t="s">
        <v>348</v>
      </c>
      <c r="E38" s="16" t="s">
        <v>1329</v>
      </c>
      <c r="F38" s="16" t="n">
        <v>754</v>
      </c>
      <c r="G38" s="16" t="n">
        <v>149</v>
      </c>
      <c r="H38" s="16" t="n">
        <v>766</v>
      </c>
      <c r="I38" s="16" t="n">
        <v>385</v>
      </c>
      <c r="J38" s="16" t="n">
        <v>381</v>
      </c>
      <c r="K38" s="16" t="n">
        <v>82</v>
      </c>
      <c r="L38" s="19" t="n">
        <f aca="false">(K38/H38)*100</f>
        <v>10.7049608355091</v>
      </c>
      <c r="M38" s="16" t="n">
        <v>0</v>
      </c>
      <c r="N38" s="19" t="n">
        <f aca="false">(M38/H38)*100</f>
        <v>0</v>
      </c>
      <c r="O38" s="16" t="n">
        <v>61</v>
      </c>
      <c r="P38" s="16" t="n">
        <v>0</v>
      </c>
      <c r="Q38" s="20" t="s">
        <v>49</v>
      </c>
      <c r="R38" s="34" t="n">
        <v>45348</v>
      </c>
      <c r="S38" s="16"/>
      <c r="T38" s="20" t="n">
        <v>39.3984</v>
      </c>
      <c r="U38" s="16"/>
      <c r="V38" s="16"/>
      <c r="W38" s="16"/>
      <c r="X38" s="16"/>
      <c r="Y38" s="16"/>
      <c r="Z38" s="16"/>
      <c r="AA38" s="21" t="s">
        <v>50</v>
      </c>
      <c r="AB38" s="21" t="n">
        <v>12</v>
      </c>
      <c r="AC38" s="254" t="s">
        <v>1330</v>
      </c>
      <c r="AD38" s="20"/>
      <c r="AE38" s="20"/>
      <c r="AF38" s="16" t="s">
        <v>1277</v>
      </c>
    </row>
    <row r="39" customFormat="false" ht="15.75" hidden="false" customHeight="false" outlineLevel="0" collapsed="false">
      <c r="A39" s="16" t="s">
        <v>42</v>
      </c>
      <c r="B39" s="16" t="s">
        <v>1260</v>
      </c>
      <c r="C39" s="71" t="s">
        <v>1323</v>
      </c>
      <c r="D39" s="16" t="s">
        <v>1331</v>
      </c>
      <c r="E39" s="16" t="s">
        <v>1332</v>
      </c>
      <c r="F39" s="16" t="n">
        <v>1006</v>
      </c>
      <c r="G39" s="16" t="n">
        <v>132</v>
      </c>
      <c r="H39" s="16" t="n">
        <v>632</v>
      </c>
      <c r="I39" s="16" t="n">
        <v>328</v>
      </c>
      <c r="J39" s="16" t="n">
        <v>304</v>
      </c>
      <c r="K39" s="16" t="n">
        <v>5</v>
      </c>
      <c r="L39" s="19" t="n">
        <f aca="false">(K39/H39)*100</f>
        <v>0.791139240506329</v>
      </c>
      <c r="M39" s="16" t="n">
        <v>0</v>
      </c>
      <c r="N39" s="19" t="n">
        <f aca="false">(M39/H39)*100</f>
        <v>0</v>
      </c>
      <c r="O39" s="16" t="n">
        <v>65</v>
      </c>
      <c r="P39" s="16" t="n">
        <v>0</v>
      </c>
      <c r="Q39" s="20" t="s">
        <v>49</v>
      </c>
      <c r="R39" s="34" t="n">
        <v>45348</v>
      </c>
      <c r="S39" s="16"/>
      <c r="T39" s="20" t="n">
        <v>47.8685</v>
      </c>
      <c r="U39" s="16"/>
      <c r="V39" s="16"/>
      <c r="W39" s="16"/>
      <c r="X39" s="16"/>
      <c r="Y39" s="16"/>
      <c r="Z39" s="16"/>
      <c r="AA39" s="21" t="s">
        <v>50</v>
      </c>
      <c r="AB39" s="21" t="n">
        <v>12</v>
      </c>
      <c r="AC39" s="254" t="s">
        <v>1333</v>
      </c>
      <c r="AD39" s="20"/>
      <c r="AE39" s="20"/>
      <c r="AF39" s="16" t="s">
        <v>1277</v>
      </c>
    </row>
    <row r="40" customFormat="false" ht="17.25" hidden="false" customHeight="false" outlineLevel="0" collapsed="false">
      <c r="A40" s="16" t="s">
        <v>42</v>
      </c>
      <c r="B40" s="16" t="s">
        <v>1260</v>
      </c>
      <c r="C40" s="71" t="s">
        <v>1334</v>
      </c>
      <c r="D40" s="72" t="s">
        <v>1335</v>
      </c>
      <c r="E40" s="16" t="s">
        <v>1336</v>
      </c>
      <c r="F40" s="16" t="n">
        <v>2872</v>
      </c>
      <c r="G40" s="16" t="n">
        <v>414</v>
      </c>
      <c r="H40" s="16" t="n">
        <v>1922</v>
      </c>
      <c r="I40" s="16" t="n">
        <v>952</v>
      </c>
      <c r="J40" s="16" t="n">
        <v>970</v>
      </c>
      <c r="K40" s="16" t="n">
        <v>588</v>
      </c>
      <c r="L40" s="19" t="n">
        <f aca="false">(K40/H40)*100</f>
        <v>30.5931321540062</v>
      </c>
      <c r="M40" s="16" t="n">
        <v>0</v>
      </c>
      <c r="N40" s="19" t="n">
        <f aca="false">(M40/H40)*100</f>
        <v>0</v>
      </c>
      <c r="O40" s="16" t="n">
        <v>188</v>
      </c>
      <c r="P40" s="16" t="n">
        <v>228</v>
      </c>
      <c r="Q40" s="24"/>
      <c r="R40" s="25" t="n">
        <v>46249</v>
      </c>
      <c r="S40" s="16"/>
      <c r="T40" s="24" t="n">
        <v>136.87</v>
      </c>
      <c r="U40" s="16"/>
      <c r="V40" s="16"/>
      <c r="W40" s="16"/>
      <c r="X40" s="16"/>
      <c r="Y40" s="16"/>
      <c r="Z40" s="16"/>
      <c r="AA40" s="26" t="s">
        <v>50</v>
      </c>
      <c r="AB40" s="26" t="n">
        <v>10</v>
      </c>
      <c r="AC40" s="27" t="s">
        <v>1337</v>
      </c>
      <c r="AD40" s="24"/>
      <c r="AE40" s="24"/>
      <c r="AF40" s="16"/>
    </row>
    <row r="41" customFormat="false" ht="34.5" hidden="false" customHeight="false" outlineLevel="0" collapsed="false">
      <c r="A41" s="16"/>
      <c r="B41" s="16"/>
      <c r="C41" s="71"/>
      <c r="D41" s="72"/>
      <c r="E41" s="16"/>
      <c r="F41" s="16"/>
      <c r="G41" s="16"/>
      <c r="H41" s="16"/>
      <c r="I41" s="16"/>
      <c r="J41" s="16"/>
      <c r="K41" s="16"/>
      <c r="L41" s="19" t="e">
        <f aca="false">(K41/H41)*100</f>
        <v>#DIV/0!</v>
      </c>
      <c r="M41" s="16"/>
      <c r="N41" s="19" t="e">
        <f aca="false">(M41/H41)*100</f>
        <v>#DIV/0!</v>
      </c>
      <c r="O41" s="16"/>
      <c r="P41" s="16"/>
      <c r="Q41" s="242"/>
      <c r="R41" s="243"/>
      <c r="S41" s="16"/>
      <c r="T41" s="242"/>
      <c r="U41" s="16"/>
      <c r="V41" s="16"/>
      <c r="W41" s="16"/>
      <c r="X41" s="16"/>
      <c r="Y41" s="16"/>
      <c r="Z41" s="16"/>
      <c r="AA41" s="244" t="s">
        <v>50</v>
      </c>
      <c r="AB41" s="246" t="n">
        <v>10</v>
      </c>
      <c r="AC41" s="246" t="s">
        <v>1338</v>
      </c>
      <c r="AD41" s="242"/>
      <c r="AE41" s="242"/>
      <c r="AF41" s="16"/>
    </row>
    <row r="42" customFormat="false" ht="17.25" hidden="false" customHeight="false" outlineLevel="0" collapsed="false">
      <c r="A42" s="16"/>
      <c r="B42" s="16"/>
      <c r="C42" s="71"/>
      <c r="D42" s="72"/>
      <c r="E42" s="16"/>
      <c r="F42" s="16"/>
      <c r="G42" s="16"/>
      <c r="H42" s="16"/>
      <c r="I42" s="16"/>
      <c r="J42" s="16"/>
      <c r="K42" s="16"/>
      <c r="L42" s="19" t="e">
        <f aca="false">(K42/H42)*100</f>
        <v>#DIV/0!</v>
      </c>
      <c r="M42" s="16"/>
      <c r="N42" s="19" t="e">
        <f aca="false">(M42/H42)*100</f>
        <v>#DIV/0!</v>
      </c>
      <c r="O42" s="16"/>
      <c r="P42" s="16"/>
      <c r="Q42" s="242"/>
      <c r="R42" s="243"/>
      <c r="S42" s="16"/>
      <c r="T42" s="242"/>
      <c r="U42" s="16"/>
      <c r="V42" s="16"/>
      <c r="W42" s="16"/>
      <c r="X42" s="16"/>
      <c r="Y42" s="16"/>
      <c r="Z42" s="16"/>
      <c r="AA42" s="244" t="s">
        <v>50</v>
      </c>
      <c r="AB42" s="244" t="n">
        <v>10</v>
      </c>
      <c r="AC42" s="245" t="s">
        <v>1339</v>
      </c>
      <c r="AD42" s="242"/>
      <c r="AE42" s="242"/>
      <c r="AF42" s="16"/>
    </row>
    <row r="43" customFormat="false" ht="34.5" hidden="false" customHeight="false" outlineLevel="0" collapsed="false">
      <c r="A43" s="16"/>
      <c r="B43" s="16"/>
      <c r="C43" s="71"/>
      <c r="D43" s="72"/>
      <c r="E43" s="16"/>
      <c r="F43" s="16"/>
      <c r="G43" s="16"/>
      <c r="H43" s="16"/>
      <c r="I43" s="16"/>
      <c r="J43" s="16"/>
      <c r="K43" s="16"/>
      <c r="L43" s="19" t="e">
        <f aca="false">(K43/H43)*100</f>
        <v>#DIV/0!</v>
      </c>
      <c r="M43" s="16"/>
      <c r="N43" s="19" t="e">
        <f aca="false">(M43/H43)*100</f>
        <v>#DIV/0!</v>
      </c>
      <c r="O43" s="16"/>
      <c r="P43" s="16"/>
      <c r="Q43" s="242"/>
      <c r="R43" s="243"/>
      <c r="S43" s="16"/>
      <c r="T43" s="242"/>
      <c r="U43" s="16"/>
      <c r="V43" s="16"/>
      <c r="W43" s="16"/>
      <c r="X43" s="16"/>
      <c r="Y43" s="16"/>
      <c r="Z43" s="16"/>
      <c r="AA43" s="244" t="s">
        <v>50</v>
      </c>
      <c r="AB43" s="244" t="n">
        <v>20</v>
      </c>
      <c r="AC43" s="246" t="s">
        <v>1340</v>
      </c>
      <c r="AD43" s="242"/>
      <c r="AE43" s="242"/>
      <c r="AF43" s="16"/>
    </row>
    <row r="44" customFormat="false" ht="17.25" hidden="false" customHeight="false" outlineLevel="0" collapsed="false">
      <c r="A44" s="16"/>
      <c r="B44" s="16"/>
      <c r="C44" s="71"/>
      <c r="D44" s="72"/>
      <c r="E44" s="16"/>
      <c r="F44" s="16"/>
      <c r="G44" s="16"/>
      <c r="H44" s="16"/>
      <c r="I44" s="16"/>
      <c r="J44" s="16"/>
      <c r="K44" s="16"/>
      <c r="L44" s="19" t="e">
        <f aca="false">(K44/H44)*100</f>
        <v>#DIV/0!</v>
      </c>
      <c r="M44" s="16"/>
      <c r="N44" s="19" t="e">
        <f aca="false">(M44/H44)*100</f>
        <v>#DIV/0!</v>
      </c>
      <c r="O44" s="16"/>
      <c r="P44" s="16"/>
      <c r="Q44" s="242"/>
      <c r="R44" s="243"/>
      <c r="S44" s="16"/>
      <c r="T44" s="242"/>
      <c r="U44" s="16"/>
      <c r="V44" s="16"/>
      <c r="W44" s="16"/>
      <c r="X44" s="16"/>
      <c r="Y44" s="16"/>
      <c r="Z44" s="16"/>
      <c r="AA44" s="244" t="s">
        <v>50</v>
      </c>
      <c r="AB44" s="244" t="n">
        <v>10</v>
      </c>
      <c r="AC44" s="245" t="s">
        <v>1341</v>
      </c>
      <c r="AD44" s="242"/>
      <c r="AE44" s="242"/>
      <c r="AF44" s="16"/>
    </row>
    <row r="45" customFormat="false" ht="15.75" hidden="false" customHeight="false" outlineLevel="0" collapsed="false">
      <c r="A45" s="16" t="s">
        <v>42</v>
      </c>
      <c r="B45" s="16" t="s">
        <v>1260</v>
      </c>
      <c r="C45" s="71" t="s">
        <v>1334</v>
      </c>
      <c r="D45" s="16" t="s">
        <v>1342</v>
      </c>
      <c r="E45" s="16" t="s">
        <v>1343</v>
      </c>
      <c r="F45" s="16" t="n">
        <v>910</v>
      </c>
      <c r="G45" s="16" t="n">
        <v>227</v>
      </c>
      <c r="H45" s="16" t="n">
        <v>1031</v>
      </c>
      <c r="I45" s="16" t="n">
        <v>497</v>
      </c>
      <c r="J45" s="16" t="n">
        <v>534</v>
      </c>
      <c r="K45" s="16" t="n">
        <v>170</v>
      </c>
      <c r="L45" s="19" t="n">
        <f aca="false">(K45/H45)*100</f>
        <v>16.4888457807953</v>
      </c>
      <c r="M45" s="16" t="n">
        <v>1</v>
      </c>
      <c r="N45" s="19" t="n">
        <f aca="false">(M45/H45)*100</f>
        <v>0.0969932104752667</v>
      </c>
      <c r="O45" s="16" t="n">
        <v>99</v>
      </c>
      <c r="P45" s="16" t="n">
        <v>0</v>
      </c>
      <c r="Q45" s="16"/>
      <c r="R45" s="87"/>
      <c r="S45" s="16"/>
      <c r="T45" s="16"/>
      <c r="U45" s="16"/>
      <c r="V45" s="16"/>
      <c r="W45" s="16"/>
      <c r="X45" s="16"/>
      <c r="Y45" s="16"/>
      <c r="Z45" s="16"/>
      <c r="AA45" s="87"/>
      <c r="AB45" s="87"/>
      <c r="AC45" s="16"/>
      <c r="AD45" s="16"/>
      <c r="AE45" s="16"/>
      <c r="AF45" s="16"/>
    </row>
    <row r="46" customFormat="false" ht="15.75" hidden="false" customHeight="false" outlineLevel="0" collapsed="false">
      <c r="A46" s="16" t="s">
        <v>42</v>
      </c>
      <c r="B46" s="16" t="s">
        <v>1260</v>
      </c>
      <c r="C46" s="71" t="s">
        <v>1334</v>
      </c>
      <c r="D46" s="16" t="s">
        <v>1344</v>
      </c>
      <c r="E46" s="16" t="s">
        <v>1345</v>
      </c>
      <c r="F46" s="16" t="n">
        <v>615</v>
      </c>
      <c r="G46" s="16" t="n">
        <v>97</v>
      </c>
      <c r="H46" s="16" t="n">
        <v>529</v>
      </c>
      <c r="I46" s="16" t="n">
        <v>282</v>
      </c>
      <c r="J46" s="16" t="n">
        <v>247</v>
      </c>
      <c r="K46" s="16" t="n">
        <v>118</v>
      </c>
      <c r="L46" s="19" t="n">
        <f aca="false">(K46/H46)*100</f>
        <v>22.3062381852552</v>
      </c>
      <c r="M46" s="16" t="n">
        <v>0</v>
      </c>
      <c r="N46" s="19" t="n">
        <f aca="false">(M46/H46)*100</f>
        <v>0</v>
      </c>
      <c r="O46" s="16" t="n">
        <v>139</v>
      </c>
      <c r="P46" s="16" t="n">
        <v>0</v>
      </c>
      <c r="Q46" s="16"/>
      <c r="R46" s="87"/>
      <c r="S46" s="16"/>
      <c r="T46" s="16"/>
      <c r="U46" s="16"/>
      <c r="V46" s="16"/>
      <c r="W46" s="16"/>
      <c r="X46" s="16"/>
      <c r="Y46" s="16"/>
      <c r="Z46" s="16"/>
      <c r="AA46" s="87"/>
      <c r="AB46" s="87"/>
      <c r="AC46" s="16"/>
      <c r="AD46" s="16"/>
      <c r="AE46" s="16"/>
      <c r="AF46" s="16"/>
    </row>
    <row r="47" customFormat="false" ht="15.75" hidden="false" customHeight="false" outlineLevel="0" collapsed="false">
      <c r="A47" s="16" t="s">
        <v>42</v>
      </c>
      <c r="B47" s="16" t="s">
        <v>1260</v>
      </c>
      <c r="C47" s="71" t="s">
        <v>1346</v>
      </c>
      <c r="D47" s="72" t="s">
        <v>1346</v>
      </c>
      <c r="E47" s="16" t="s">
        <v>1347</v>
      </c>
      <c r="F47" s="16" t="n">
        <v>1379</v>
      </c>
      <c r="G47" s="16" t="n">
        <v>306</v>
      </c>
      <c r="H47" s="16" t="n">
        <v>1717</v>
      </c>
      <c r="I47" s="16" t="n">
        <v>904</v>
      </c>
      <c r="J47" s="16" t="n">
        <v>813</v>
      </c>
      <c r="K47" s="16" t="n">
        <v>106</v>
      </c>
      <c r="L47" s="19" t="n">
        <f aca="false">(K47/H47)*100</f>
        <v>6.17355853232382</v>
      </c>
      <c r="M47" s="16" t="n">
        <v>0</v>
      </c>
      <c r="N47" s="19" t="n">
        <f aca="false">(M47/H47)*100</f>
        <v>0</v>
      </c>
      <c r="O47" s="16" t="n">
        <v>0</v>
      </c>
      <c r="P47" s="16" t="n">
        <v>0</v>
      </c>
      <c r="Q47" s="20" t="s">
        <v>49</v>
      </c>
      <c r="R47" s="34" t="n">
        <v>45317</v>
      </c>
      <c r="S47" s="16"/>
      <c r="T47" s="20"/>
      <c r="U47" s="16"/>
      <c r="V47" s="16"/>
      <c r="W47" s="16"/>
      <c r="X47" s="16"/>
      <c r="Y47" s="16"/>
      <c r="Z47" s="16"/>
      <c r="AA47" s="21" t="s">
        <v>50</v>
      </c>
      <c r="AB47" s="21" t="n">
        <v>15</v>
      </c>
      <c r="AC47" s="254" t="s">
        <v>1348</v>
      </c>
      <c r="AD47" s="20"/>
      <c r="AE47" s="20"/>
      <c r="AF47" s="16"/>
    </row>
    <row r="48" customFormat="false" ht="15.75" hidden="false" customHeight="false" outlineLevel="0" collapsed="false">
      <c r="A48" s="16"/>
      <c r="B48" s="16"/>
      <c r="C48" s="71"/>
      <c r="D48" s="72"/>
      <c r="E48" s="16"/>
      <c r="F48" s="16"/>
      <c r="G48" s="16"/>
      <c r="H48" s="16"/>
      <c r="I48" s="16"/>
      <c r="J48" s="16"/>
      <c r="K48" s="16"/>
      <c r="L48" s="19" t="e">
        <f aca="false">(K48/H48)*100</f>
        <v>#DIV/0!</v>
      </c>
      <c r="M48" s="16"/>
      <c r="N48" s="19" t="e">
        <f aca="false">(M48/H48)*100</f>
        <v>#DIV/0!</v>
      </c>
      <c r="O48" s="16"/>
      <c r="P48" s="16"/>
      <c r="Q48" s="228"/>
      <c r="R48" s="97"/>
      <c r="S48" s="16"/>
      <c r="T48" s="228"/>
      <c r="U48" s="16"/>
      <c r="V48" s="16"/>
      <c r="W48" s="16"/>
      <c r="X48" s="16"/>
      <c r="Y48" s="16"/>
      <c r="Z48" s="16"/>
      <c r="AA48" s="97" t="s">
        <v>50</v>
      </c>
      <c r="AB48" s="97" t="n">
        <v>15</v>
      </c>
      <c r="AC48" s="255" t="s">
        <v>1349</v>
      </c>
      <c r="AD48" s="228"/>
      <c r="AE48" s="228"/>
      <c r="AF48" s="16"/>
    </row>
    <row r="49" customFormat="false" ht="15.75" hidden="false" customHeight="false" outlineLevel="0" collapsed="false">
      <c r="A49" s="16" t="s">
        <v>42</v>
      </c>
      <c r="B49" s="16" t="s">
        <v>1260</v>
      </c>
      <c r="C49" s="71" t="s">
        <v>1346</v>
      </c>
      <c r="D49" s="16" t="s">
        <v>1350</v>
      </c>
      <c r="E49" s="16" t="s">
        <v>1351</v>
      </c>
      <c r="F49" s="16" t="n">
        <v>638</v>
      </c>
      <c r="G49" s="16" t="n">
        <v>84</v>
      </c>
      <c r="H49" s="16" t="n">
        <v>423</v>
      </c>
      <c r="I49" s="16" t="n">
        <v>227</v>
      </c>
      <c r="J49" s="16" t="n">
        <v>196</v>
      </c>
      <c r="K49" s="16" t="n">
        <v>2</v>
      </c>
      <c r="L49" s="19" t="n">
        <f aca="false">(K49/H49)*100</f>
        <v>0.472813238770686</v>
      </c>
      <c r="M49" s="16" t="n">
        <v>0</v>
      </c>
      <c r="N49" s="19" t="n">
        <f aca="false">(M49/H49)*100</f>
        <v>0</v>
      </c>
      <c r="O49" s="16" t="n">
        <v>0</v>
      </c>
      <c r="P49" s="16" t="n">
        <v>0</v>
      </c>
      <c r="Q49" s="20" t="s">
        <v>49</v>
      </c>
      <c r="R49" s="34" t="n">
        <v>45317</v>
      </c>
      <c r="S49" s="16"/>
      <c r="T49" s="20"/>
      <c r="U49" s="16"/>
      <c r="V49" s="16"/>
      <c r="W49" s="16"/>
      <c r="X49" s="16"/>
      <c r="Y49" s="16"/>
      <c r="Z49" s="16"/>
      <c r="AA49" s="21" t="s">
        <v>50</v>
      </c>
      <c r="AB49" s="21" t="n">
        <v>12</v>
      </c>
      <c r="AC49" s="254" t="s">
        <v>1352</v>
      </c>
      <c r="AD49" s="20"/>
      <c r="AE49" s="20"/>
      <c r="AF49" s="16"/>
    </row>
    <row r="50" customFormat="false" ht="15.75" hidden="false" customHeight="false" outlineLevel="0" collapsed="false">
      <c r="A50" s="16" t="s">
        <v>42</v>
      </c>
      <c r="B50" s="16" t="s">
        <v>1260</v>
      </c>
      <c r="C50" s="71" t="s">
        <v>1346</v>
      </c>
      <c r="D50" s="16" t="s">
        <v>1353</v>
      </c>
      <c r="E50" s="16" t="s">
        <v>1354</v>
      </c>
      <c r="F50" s="16" t="n">
        <v>1615</v>
      </c>
      <c r="G50" s="16" t="n">
        <v>222</v>
      </c>
      <c r="H50" s="16" t="n">
        <v>1101</v>
      </c>
      <c r="I50" s="16" t="n">
        <v>545</v>
      </c>
      <c r="J50" s="16" t="n">
        <v>556</v>
      </c>
      <c r="K50" s="16" t="n">
        <v>368</v>
      </c>
      <c r="L50" s="19" t="n">
        <f aca="false">(K50/H50)*100</f>
        <v>33.4241598546776</v>
      </c>
      <c r="M50" s="16" t="n">
        <v>0</v>
      </c>
      <c r="N50" s="19" t="n">
        <f aca="false">(M50/H50)*100</f>
        <v>0</v>
      </c>
      <c r="O50" s="16" t="n">
        <v>349</v>
      </c>
      <c r="P50" s="16" t="n">
        <v>0</v>
      </c>
      <c r="Q50" s="20" t="s">
        <v>49</v>
      </c>
      <c r="R50" s="34" t="n">
        <v>45317</v>
      </c>
      <c r="S50" s="16"/>
      <c r="T50" s="20" t="n">
        <v>134.4559</v>
      </c>
      <c r="U50" s="16"/>
      <c r="V50" s="16"/>
      <c r="W50" s="16"/>
      <c r="X50" s="16"/>
      <c r="Y50" s="16"/>
      <c r="Z50" s="16"/>
      <c r="AA50" s="21" t="s">
        <v>50</v>
      </c>
      <c r="AB50" s="21" t="n">
        <v>12</v>
      </c>
      <c r="AC50" s="254" t="s">
        <v>1355</v>
      </c>
      <c r="AD50" s="20"/>
      <c r="AE50" s="20"/>
      <c r="AF50" s="16"/>
    </row>
    <row r="51" customFormat="false" ht="15.75" hidden="false" customHeight="false" outlineLevel="0" collapsed="false">
      <c r="A51" s="16" t="s">
        <v>42</v>
      </c>
      <c r="B51" s="16" t="s">
        <v>1260</v>
      </c>
      <c r="C51" s="71" t="s">
        <v>1356</v>
      </c>
      <c r="D51" s="72" t="s">
        <v>1356</v>
      </c>
      <c r="E51" s="16" t="s">
        <v>1357</v>
      </c>
      <c r="F51" s="16" t="n">
        <v>811</v>
      </c>
      <c r="G51" s="16" t="n">
        <v>257</v>
      </c>
      <c r="H51" s="16" t="n">
        <v>1208</v>
      </c>
      <c r="I51" s="16" t="n">
        <v>627</v>
      </c>
      <c r="J51" s="16" t="n">
        <v>581</v>
      </c>
      <c r="K51" s="16" t="n">
        <v>41</v>
      </c>
      <c r="L51" s="19" t="n">
        <f aca="false">(K51/H51)*100</f>
        <v>3.39403973509934</v>
      </c>
      <c r="M51" s="16" t="n">
        <v>6</v>
      </c>
      <c r="N51" s="19" t="n">
        <f aca="false">(M51/H51)*100</f>
        <v>0.496688741721854</v>
      </c>
      <c r="O51" s="16" t="n">
        <v>149</v>
      </c>
      <c r="P51" s="16" t="n">
        <v>0</v>
      </c>
      <c r="Q51" s="20" t="s">
        <v>49</v>
      </c>
      <c r="R51" s="34" t="n">
        <v>44748</v>
      </c>
      <c r="S51" s="16"/>
      <c r="T51" s="20" t="n">
        <v>150.1585</v>
      </c>
      <c r="U51" s="16"/>
      <c r="V51" s="16"/>
      <c r="W51" s="16"/>
      <c r="X51" s="16"/>
      <c r="Y51" s="16"/>
      <c r="Z51" s="16"/>
      <c r="AA51" s="21" t="s">
        <v>1358</v>
      </c>
      <c r="AB51" s="21" t="n">
        <v>11</v>
      </c>
      <c r="AC51" s="95" t="s">
        <v>317</v>
      </c>
      <c r="AD51" s="20" t="n">
        <v>26.24744</v>
      </c>
      <c r="AE51" s="20" t="n">
        <v>73.6938</v>
      </c>
      <c r="AF51" s="16"/>
    </row>
    <row r="52" customFormat="false" ht="15.75" hidden="false" customHeight="false" outlineLevel="0" collapsed="false">
      <c r="A52" s="16" t="s">
        <v>42</v>
      </c>
      <c r="B52" s="16" t="s">
        <v>1260</v>
      </c>
      <c r="C52" s="71" t="s">
        <v>1356</v>
      </c>
      <c r="D52" s="16" t="s">
        <v>1359</v>
      </c>
      <c r="E52" s="16" t="s">
        <v>1360</v>
      </c>
      <c r="F52" s="16" t="n">
        <v>559</v>
      </c>
      <c r="G52" s="16" t="n">
        <v>223</v>
      </c>
      <c r="H52" s="16" t="n">
        <v>1048</v>
      </c>
      <c r="I52" s="16" t="n">
        <v>542</v>
      </c>
      <c r="J52" s="16" t="n">
        <v>506</v>
      </c>
      <c r="K52" s="16" t="n">
        <v>649</v>
      </c>
      <c r="L52" s="19" t="n">
        <f aca="false">(K52/H52)*100</f>
        <v>61.9274809160305</v>
      </c>
      <c r="M52" s="16" t="n">
        <v>0</v>
      </c>
      <c r="N52" s="19" t="n">
        <f aca="false">(M52/H52)*100</f>
        <v>0</v>
      </c>
      <c r="O52" s="16" t="n">
        <v>20</v>
      </c>
      <c r="P52" s="16" t="n">
        <v>0</v>
      </c>
      <c r="Q52" s="20" t="s">
        <v>49</v>
      </c>
      <c r="R52" s="34" t="n">
        <v>44746</v>
      </c>
      <c r="S52" s="16"/>
      <c r="T52" s="20" t="n">
        <v>15.8564</v>
      </c>
      <c r="U52" s="16"/>
      <c r="V52" s="16"/>
      <c r="W52" s="16"/>
      <c r="X52" s="16"/>
      <c r="Y52" s="16"/>
      <c r="Z52" s="16"/>
      <c r="AA52" s="21" t="s">
        <v>266</v>
      </c>
      <c r="AB52" s="21" t="n">
        <v>2</v>
      </c>
      <c r="AC52" s="20" t="s">
        <v>1361</v>
      </c>
      <c r="AD52" s="20" t="n">
        <v>26.270261</v>
      </c>
      <c r="AE52" s="20" t="n">
        <v>73.72841</v>
      </c>
      <c r="AF52" s="16"/>
    </row>
    <row r="53" customFormat="false" ht="15.75" hidden="false" customHeight="false" outlineLevel="0" collapsed="false">
      <c r="A53" s="16" t="s">
        <v>42</v>
      </c>
      <c r="B53" s="16" t="s">
        <v>1260</v>
      </c>
      <c r="C53" s="71" t="s">
        <v>1356</v>
      </c>
      <c r="D53" s="16" t="s">
        <v>1362</v>
      </c>
      <c r="E53" s="16" t="s">
        <v>1363</v>
      </c>
      <c r="F53" s="16" t="n">
        <v>756</v>
      </c>
      <c r="G53" s="16" t="n">
        <v>167</v>
      </c>
      <c r="H53" s="16" t="n">
        <v>832</v>
      </c>
      <c r="I53" s="16" t="n">
        <v>408</v>
      </c>
      <c r="J53" s="16" t="n">
        <v>424</v>
      </c>
      <c r="K53" s="16" t="n">
        <v>102</v>
      </c>
      <c r="L53" s="19" t="n">
        <f aca="false">(K53/H53)*100</f>
        <v>12.2596153846154</v>
      </c>
      <c r="M53" s="16" t="n">
        <v>0</v>
      </c>
      <c r="N53" s="19" t="n">
        <f aca="false">(M53/H53)*100</f>
        <v>0</v>
      </c>
      <c r="O53" s="16" t="n">
        <v>100</v>
      </c>
      <c r="P53" s="16" t="n">
        <v>0</v>
      </c>
      <c r="Q53" s="20" t="s">
        <v>49</v>
      </c>
      <c r="R53" s="34" t="n">
        <v>44750</v>
      </c>
      <c r="S53" s="16"/>
      <c r="T53" s="20" t="n">
        <v>24.7554</v>
      </c>
      <c r="U53" s="16"/>
      <c r="V53" s="16"/>
      <c r="W53" s="16"/>
      <c r="X53" s="16"/>
      <c r="Y53" s="16"/>
      <c r="Z53" s="16"/>
      <c r="AA53" s="21" t="s">
        <v>50</v>
      </c>
      <c r="AB53" s="21" t="n">
        <v>2</v>
      </c>
      <c r="AC53" s="20" t="s">
        <v>1364</v>
      </c>
      <c r="AD53" s="20" t="n">
        <v>26.299323</v>
      </c>
      <c r="AE53" s="20" t="n">
        <v>73.700541</v>
      </c>
      <c r="AF53" s="16"/>
    </row>
    <row r="54" customFormat="false" ht="15.75" hidden="false" customHeight="false" outlineLevel="0" collapsed="false">
      <c r="A54" s="16" t="s">
        <v>42</v>
      </c>
      <c r="B54" s="16" t="s">
        <v>1260</v>
      </c>
      <c r="C54" s="71" t="s">
        <v>1365</v>
      </c>
      <c r="D54" s="72" t="s">
        <v>1366</v>
      </c>
      <c r="E54" s="16" t="s">
        <v>1367</v>
      </c>
      <c r="F54" s="16" t="n">
        <v>2315.81</v>
      </c>
      <c r="G54" s="16" t="n">
        <v>510</v>
      </c>
      <c r="H54" s="16" t="n">
        <v>2712</v>
      </c>
      <c r="I54" s="16" t="n">
        <v>1406</v>
      </c>
      <c r="J54" s="16" t="n">
        <v>1306</v>
      </c>
      <c r="K54" s="16" t="n">
        <v>582</v>
      </c>
      <c r="L54" s="19" t="n">
        <f aca="false">(K54/H54)*100</f>
        <v>21.4601769911504</v>
      </c>
      <c r="M54" s="16" t="n">
        <v>0</v>
      </c>
      <c r="N54" s="19" t="n">
        <f aca="false">(M54/H54)*100</f>
        <v>0</v>
      </c>
      <c r="O54" s="16" t="n">
        <v>152</v>
      </c>
      <c r="P54" s="16" t="n">
        <v>0</v>
      </c>
      <c r="Q54" s="20" t="s">
        <v>49</v>
      </c>
      <c r="R54" s="34" t="n">
        <v>44825</v>
      </c>
      <c r="S54" s="16"/>
      <c r="T54" s="20" t="n">
        <v>110.5013</v>
      </c>
      <c r="U54" s="16"/>
      <c r="V54" s="16"/>
      <c r="W54" s="16"/>
      <c r="X54" s="16"/>
      <c r="Y54" s="16"/>
      <c r="Z54" s="16"/>
      <c r="AA54" s="21" t="s">
        <v>266</v>
      </c>
      <c r="AB54" s="21" t="n">
        <v>5</v>
      </c>
      <c r="AC54" s="259" t="s">
        <v>1368</v>
      </c>
      <c r="AD54" s="20" t="n">
        <v>26.100512</v>
      </c>
      <c r="AE54" s="20" t="n">
        <v>73.664647</v>
      </c>
      <c r="AF54" s="16"/>
    </row>
    <row r="55" customFormat="false" ht="31.5" hidden="false" customHeight="false" outlineLevel="0" collapsed="false">
      <c r="A55" s="16" t="s">
        <v>42</v>
      </c>
      <c r="B55" s="16" t="s">
        <v>1260</v>
      </c>
      <c r="C55" s="71" t="s">
        <v>1369</v>
      </c>
      <c r="D55" s="72" t="s">
        <v>1370</v>
      </c>
      <c r="E55" s="16" t="s">
        <v>1371</v>
      </c>
      <c r="F55" s="16" t="n">
        <v>2508.01</v>
      </c>
      <c r="G55" s="16" t="n">
        <v>545</v>
      </c>
      <c r="H55" s="16" t="n">
        <v>2604</v>
      </c>
      <c r="I55" s="16" t="n">
        <v>1316</v>
      </c>
      <c r="J55" s="16" t="n">
        <v>1288</v>
      </c>
      <c r="K55" s="16" t="n">
        <v>528</v>
      </c>
      <c r="L55" s="19" t="n">
        <f aca="false">(K55/H55)*100</f>
        <v>20.2764976958525</v>
      </c>
      <c r="M55" s="16" t="n">
        <v>1</v>
      </c>
      <c r="N55" s="19" t="n">
        <f aca="false">(M55/H55)*100</f>
        <v>0.0384024577572965</v>
      </c>
      <c r="O55" s="16" t="n">
        <v>146.03</v>
      </c>
      <c r="P55" s="16" t="n">
        <v>24.59</v>
      </c>
      <c r="Q55" s="78" t="s">
        <v>49</v>
      </c>
      <c r="R55" s="46" t="n">
        <v>44043</v>
      </c>
      <c r="S55" s="16"/>
      <c r="T55" s="119" t="n">
        <v>146.03</v>
      </c>
      <c r="U55" s="16"/>
      <c r="V55" s="16"/>
      <c r="W55" s="16"/>
      <c r="X55" s="16"/>
      <c r="Y55" s="16"/>
      <c r="Z55" s="16"/>
      <c r="AA55" s="26" t="s">
        <v>50</v>
      </c>
      <c r="AB55" s="260" t="n">
        <v>0</v>
      </c>
      <c r="AC55" s="261" t="s">
        <v>1372</v>
      </c>
      <c r="AD55" s="262" t="n">
        <v>26.296305</v>
      </c>
      <c r="AE55" s="262" t="n">
        <v>73.771014</v>
      </c>
      <c r="AF55" s="16"/>
    </row>
    <row r="56" customFormat="false" ht="15.75" hidden="false" customHeight="false" outlineLevel="0" collapsed="false">
      <c r="A56" s="16"/>
      <c r="B56" s="16"/>
      <c r="C56" s="71"/>
      <c r="D56" s="72"/>
      <c r="E56" s="16"/>
      <c r="F56" s="16"/>
      <c r="G56" s="16"/>
      <c r="H56" s="16"/>
      <c r="I56" s="16"/>
      <c r="J56" s="16"/>
      <c r="K56" s="16"/>
      <c r="L56" s="19" t="e">
        <f aca="false">(K56/H56)*100</f>
        <v>#DIV/0!</v>
      </c>
      <c r="M56" s="16"/>
      <c r="N56" s="19" t="e">
        <f aca="false">(M56/H56)*100</f>
        <v>#DIV/0!</v>
      </c>
      <c r="O56" s="16"/>
      <c r="P56" s="16"/>
      <c r="Q56" s="228"/>
      <c r="R56" s="97"/>
      <c r="S56" s="16"/>
      <c r="T56" s="228"/>
      <c r="U56" s="16"/>
      <c r="V56" s="16"/>
      <c r="W56" s="16"/>
      <c r="X56" s="16"/>
      <c r="Y56" s="16"/>
      <c r="Z56" s="16"/>
      <c r="AA56" s="97" t="s">
        <v>50</v>
      </c>
      <c r="AB56" s="97" t="n">
        <v>15</v>
      </c>
      <c r="AC56" s="255" t="s">
        <v>1373</v>
      </c>
      <c r="AD56" s="228"/>
      <c r="AE56" s="228"/>
      <c r="AF56" s="16"/>
    </row>
    <row r="57" customFormat="false" ht="15.75" hidden="false" customHeight="false" outlineLevel="0" collapsed="false">
      <c r="A57" s="16"/>
      <c r="B57" s="16"/>
      <c r="C57" s="71"/>
      <c r="D57" s="72"/>
      <c r="E57" s="16"/>
      <c r="F57" s="16"/>
      <c r="G57" s="16"/>
      <c r="H57" s="16"/>
      <c r="I57" s="16"/>
      <c r="J57" s="16"/>
      <c r="K57" s="16"/>
      <c r="L57" s="19" t="e">
        <f aca="false">(K57/H57)*100</f>
        <v>#DIV/0!</v>
      </c>
      <c r="M57" s="16"/>
      <c r="N57" s="19" t="e">
        <f aca="false">(M57/H57)*100</f>
        <v>#DIV/0!</v>
      </c>
      <c r="O57" s="16"/>
      <c r="P57" s="16"/>
      <c r="Q57" s="228"/>
      <c r="R57" s="97"/>
      <c r="S57" s="16"/>
      <c r="T57" s="228"/>
      <c r="U57" s="16"/>
      <c r="V57" s="16"/>
      <c r="W57" s="16"/>
      <c r="X57" s="16"/>
      <c r="Y57" s="16"/>
      <c r="Z57" s="16"/>
      <c r="AA57" s="97" t="s">
        <v>50</v>
      </c>
      <c r="AB57" s="97" t="n">
        <v>15</v>
      </c>
      <c r="AC57" s="255" t="s">
        <v>1374</v>
      </c>
      <c r="AD57" s="228"/>
      <c r="AE57" s="228"/>
      <c r="AF57" s="16"/>
    </row>
    <row r="58" customFormat="false" ht="15.75" hidden="false" customHeight="false" outlineLevel="0" collapsed="false">
      <c r="A58" s="16"/>
      <c r="B58" s="16"/>
      <c r="C58" s="71"/>
      <c r="D58" s="72"/>
      <c r="E58" s="16"/>
      <c r="F58" s="16"/>
      <c r="G58" s="16"/>
      <c r="H58" s="16"/>
      <c r="I58" s="16"/>
      <c r="J58" s="16"/>
      <c r="K58" s="16"/>
      <c r="L58" s="19" t="e">
        <f aca="false">(K58/H58)*100</f>
        <v>#DIV/0!</v>
      </c>
      <c r="M58" s="16"/>
      <c r="N58" s="19" t="e">
        <f aca="false">(M58/H58)*100</f>
        <v>#DIV/0!</v>
      </c>
      <c r="O58" s="16"/>
      <c r="P58" s="16"/>
      <c r="Q58" s="228"/>
      <c r="R58" s="97"/>
      <c r="S58" s="16"/>
      <c r="T58" s="228"/>
      <c r="U58" s="16"/>
      <c r="V58" s="16"/>
      <c r="W58" s="16"/>
      <c r="X58" s="16"/>
      <c r="Y58" s="16"/>
      <c r="Z58" s="16"/>
      <c r="AA58" s="97" t="s">
        <v>50</v>
      </c>
      <c r="AB58" s="97" t="n">
        <v>15</v>
      </c>
      <c r="AC58" s="255" t="s">
        <v>1375</v>
      </c>
      <c r="AD58" s="228"/>
      <c r="AE58" s="228"/>
      <c r="AF58" s="16"/>
    </row>
    <row r="59" customFormat="false" ht="15.75" hidden="false" customHeight="false" outlineLevel="0" collapsed="false">
      <c r="A59" s="16" t="s">
        <v>42</v>
      </c>
      <c r="B59" s="16" t="s">
        <v>1260</v>
      </c>
      <c r="C59" s="71" t="s">
        <v>1369</v>
      </c>
      <c r="D59" s="16" t="s">
        <v>1376</v>
      </c>
      <c r="E59" s="16" t="s">
        <v>1377</v>
      </c>
      <c r="F59" s="16" t="n">
        <v>597.99</v>
      </c>
      <c r="G59" s="16" t="n">
        <v>171</v>
      </c>
      <c r="H59" s="16" t="n">
        <v>827</v>
      </c>
      <c r="I59" s="16" t="n">
        <v>438</v>
      </c>
      <c r="J59" s="16" t="n">
        <v>389</v>
      </c>
      <c r="K59" s="16" t="n">
        <v>5</v>
      </c>
      <c r="L59" s="19" t="n">
        <f aca="false">(K59/H59)*100</f>
        <v>0.60459492140266</v>
      </c>
      <c r="M59" s="16" t="n">
        <v>0</v>
      </c>
      <c r="N59" s="19" t="n">
        <f aca="false">(M59/H59)*100</f>
        <v>0</v>
      </c>
      <c r="O59" s="16" t="n">
        <v>28.97</v>
      </c>
      <c r="P59" s="16" t="n">
        <v>14.41</v>
      </c>
      <c r="Q59" s="20" t="s">
        <v>49</v>
      </c>
      <c r="R59" s="34" t="n">
        <v>45201</v>
      </c>
      <c r="S59" s="16"/>
      <c r="T59" s="20" t="n">
        <v>28.9622</v>
      </c>
      <c r="U59" s="16"/>
      <c r="V59" s="16"/>
      <c r="W59" s="16"/>
      <c r="X59" s="16"/>
      <c r="Y59" s="16"/>
      <c r="Z59" s="16"/>
      <c r="AA59" s="21" t="s">
        <v>50</v>
      </c>
      <c r="AB59" s="21" t="n">
        <v>15</v>
      </c>
      <c r="AC59" s="254" t="s">
        <v>1378</v>
      </c>
      <c r="AD59" s="20"/>
      <c r="AE59" s="20"/>
      <c r="AF59" s="16"/>
    </row>
    <row r="60" customFormat="false" ht="15.75" hidden="false" customHeight="false" outlineLevel="0" collapsed="false">
      <c r="A60" s="16" t="s">
        <v>42</v>
      </c>
      <c r="B60" s="16" t="s">
        <v>1260</v>
      </c>
      <c r="C60" s="71" t="s">
        <v>1369</v>
      </c>
      <c r="D60" s="16" t="s">
        <v>1379</v>
      </c>
      <c r="E60" s="16" t="s">
        <v>1380</v>
      </c>
      <c r="F60" s="16" t="n">
        <v>42.54</v>
      </c>
      <c r="G60" s="16" t="n">
        <v>43</v>
      </c>
      <c r="H60" s="16" t="n">
        <v>219</v>
      </c>
      <c r="I60" s="16" t="n">
        <v>114</v>
      </c>
      <c r="J60" s="16" t="n">
        <v>105</v>
      </c>
      <c r="K60" s="16" t="n">
        <v>163</v>
      </c>
      <c r="L60" s="19" t="n">
        <f aca="false">(K60/H60)*100</f>
        <v>74.4292237442923</v>
      </c>
      <c r="M60" s="16" t="n">
        <v>1</v>
      </c>
      <c r="N60" s="19" t="n">
        <f aca="false">(M60/H60)*100</f>
        <v>0.45662100456621</v>
      </c>
      <c r="O60" s="16" t="n">
        <v>12.11</v>
      </c>
      <c r="P60" s="16" t="n">
        <v>0</v>
      </c>
      <c r="Q60" s="20" t="s">
        <v>49</v>
      </c>
      <c r="R60" s="34" t="n">
        <v>45201</v>
      </c>
      <c r="S60" s="16"/>
      <c r="T60" s="20" t="n">
        <v>12.1062</v>
      </c>
      <c r="U60" s="16"/>
      <c r="V60" s="16"/>
      <c r="W60" s="16"/>
      <c r="X60" s="16"/>
      <c r="Y60" s="16"/>
      <c r="Z60" s="16"/>
      <c r="AA60" s="21" t="s">
        <v>50</v>
      </c>
      <c r="AB60" s="21" t="n">
        <v>10</v>
      </c>
      <c r="AC60" s="254" t="s">
        <v>1381</v>
      </c>
      <c r="AD60" s="20"/>
      <c r="AE60" s="20"/>
      <c r="AF60" s="16"/>
    </row>
    <row r="61" customFormat="false" ht="15.75" hidden="false" customHeight="false" outlineLevel="0" collapsed="false">
      <c r="A61" s="16" t="s">
        <v>42</v>
      </c>
      <c r="B61" s="16" t="s">
        <v>1260</v>
      </c>
      <c r="C61" s="71" t="s">
        <v>1369</v>
      </c>
      <c r="D61" s="16" t="s">
        <v>1382</v>
      </c>
      <c r="E61" s="16" t="s">
        <v>1383</v>
      </c>
      <c r="F61" s="16" t="n">
        <v>878.46</v>
      </c>
      <c r="G61" s="16" t="n">
        <v>279</v>
      </c>
      <c r="H61" s="16" t="n">
        <v>1403</v>
      </c>
      <c r="I61" s="16" t="n">
        <v>707</v>
      </c>
      <c r="J61" s="16" t="n">
        <v>696</v>
      </c>
      <c r="K61" s="16" t="n">
        <v>170</v>
      </c>
      <c r="L61" s="19" t="n">
        <f aca="false">(K61/H61)*100</f>
        <v>12.1168923734854</v>
      </c>
      <c r="M61" s="16" t="n">
        <v>165</v>
      </c>
      <c r="N61" s="19" t="n">
        <f aca="false">(M61/H61)*100</f>
        <v>11.7605131860299</v>
      </c>
      <c r="O61" s="16" t="n">
        <v>47.89</v>
      </c>
      <c r="P61" s="16" t="n">
        <v>4</v>
      </c>
      <c r="Q61" s="20" t="s">
        <v>49</v>
      </c>
      <c r="R61" s="34" t="n">
        <v>45201</v>
      </c>
      <c r="S61" s="16"/>
      <c r="T61" s="20" t="n">
        <v>51.6384</v>
      </c>
      <c r="U61" s="16"/>
      <c r="V61" s="16"/>
      <c r="W61" s="16"/>
      <c r="X61" s="16"/>
      <c r="Y61" s="16"/>
      <c r="Z61" s="16"/>
      <c r="AA61" s="21" t="s">
        <v>50</v>
      </c>
      <c r="AB61" s="21" t="n">
        <v>10</v>
      </c>
      <c r="AC61" s="254" t="s">
        <v>1384</v>
      </c>
      <c r="AD61" s="20"/>
      <c r="AE61" s="20"/>
      <c r="AF61" s="16"/>
    </row>
    <row r="62" customFormat="false" ht="15.75" hidden="false" customHeight="false" outlineLevel="0" collapsed="false">
      <c r="A62" s="16"/>
      <c r="B62" s="16"/>
      <c r="C62" s="71"/>
      <c r="D62" s="16"/>
      <c r="E62" s="16"/>
      <c r="F62" s="16"/>
      <c r="G62" s="16"/>
      <c r="H62" s="16"/>
      <c r="I62" s="16"/>
      <c r="J62" s="16"/>
      <c r="K62" s="16"/>
      <c r="L62" s="19" t="e">
        <f aca="false">(K62/H62)*100</f>
        <v>#DIV/0!</v>
      </c>
      <c r="M62" s="16"/>
      <c r="N62" s="19" t="e">
        <f aca="false">(M62/H62)*100</f>
        <v>#DIV/0!</v>
      </c>
      <c r="O62" s="16"/>
      <c r="P62" s="16"/>
      <c r="Q62" s="228"/>
      <c r="R62" s="97"/>
      <c r="S62" s="16"/>
      <c r="T62" s="228"/>
      <c r="U62" s="16"/>
      <c r="V62" s="16"/>
      <c r="W62" s="16"/>
      <c r="X62" s="16"/>
      <c r="Y62" s="16"/>
      <c r="Z62" s="16"/>
      <c r="AA62" s="97" t="s">
        <v>50</v>
      </c>
      <c r="AB62" s="97" t="n">
        <v>15</v>
      </c>
      <c r="AC62" s="255" t="s">
        <v>1385</v>
      </c>
      <c r="AD62" s="228"/>
      <c r="AE62" s="228"/>
      <c r="AF62" s="16"/>
    </row>
    <row r="63" customFormat="false" ht="15.75" hidden="false" customHeight="false" outlineLevel="0" collapsed="false">
      <c r="A63" s="16"/>
      <c r="B63" s="16"/>
      <c r="C63" s="71"/>
      <c r="D63" s="16"/>
      <c r="E63" s="16"/>
      <c r="F63" s="16"/>
      <c r="G63" s="16"/>
      <c r="H63" s="16"/>
      <c r="I63" s="16"/>
      <c r="J63" s="16"/>
      <c r="K63" s="16"/>
      <c r="L63" s="19" t="e">
        <f aca="false">(K63/H63)*100</f>
        <v>#DIV/0!</v>
      </c>
      <c r="M63" s="16"/>
      <c r="N63" s="19" t="e">
        <f aca="false">(M63/H63)*100</f>
        <v>#DIV/0!</v>
      </c>
      <c r="O63" s="16"/>
      <c r="P63" s="16"/>
      <c r="Q63" s="228"/>
      <c r="R63" s="97"/>
      <c r="S63" s="16"/>
      <c r="T63" s="228"/>
      <c r="U63" s="16"/>
      <c r="V63" s="16"/>
      <c r="W63" s="16"/>
      <c r="X63" s="16"/>
      <c r="Y63" s="16"/>
      <c r="Z63" s="16"/>
      <c r="AA63" s="97" t="s">
        <v>50</v>
      </c>
      <c r="AB63" s="97" t="n">
        <v>15</v>
      </c>
      <c r="AC63" s="255" t="s">
        <v>1386</v>
      </c>
      <c r="AD63" s="228"/>
      <c r="AE63" s="228"/>
      <c r="AF63" s="16"/>
    </row>
    <row r="64" customFormat="false" ht="30" hidden="false" customHeight="false" outlineLevel="0" collapsed="false">
      <c r="A64" s="16" t="s">
        <v>42</v>
      </c>
      <c r="B64" s="16" t="s">
        <v>1260</v>
      </c>
      <c r="C64" s="71" t="s">
        <v>1387</v>
      </c>
      <c r="D64" s="72" t="s">
        <v>1388</v>
      </c>
      <c r="E64" s="16" t="s">
        <v>1389</v>
      </c>
      <c r="F64" s="16" t="n">
        <v>2930</v>
      </c>
      <c r="G64" s="16" t="n">
        <v>586</v>
      </c>
      <c r="H64" s="16" t="n">
        <v>2781</v>
      </c>
      <c r="I64" s="16" t="n">
        <v>1440</v>
      </c>
      <c r="J64" s="16" t="n">
        <v>1341</v>
      </c>
      <c r="K64" s="16" t="n">
        <v>961</v>
      </c>
      <c r="L64" s="19" t="n">
        <f aca="false">(K64/H64)*100</f>
        <v>34.5559151384394</v>
      </c>
      <c r="M64" s="16" t="n">
        <v>5</v>
      </c>
      <c r="N64" s="19" t="n">
        <f aca="false">(M64/H64)*100</f>
        <v>0.179791441927364</v>
      </c>
      <c r="O64" s="16" t="n">
        <v>157</v>
      </c>
      <c r="P64" s="16" t="n">
        <v>0</v>
      </c>
      <c r="Q64" s="247" t="s">
        <v>50</v>
      </c>
      <c r="R64" s="74" t="n">
        <v>44043</v>
      </c>
      <c r="S64" s="16"/>
      <c r="T64" s="76" t="n">
        <v>157</v>
      </c>
      <c r="U64" s="16"/>
      <c r="V64" s="16"/>
      <c r="W64" s="16"/>
      <c r="X64" s="16"/>
      <c r="Y64" s="16"/>
      <c r="Z64" s="16"/>
      <c r="AA64" s="73" t="s">
        <v>50</v>
      </c>
      <c r="AB64" s="79" t="n">
        <v>32</v>
      </c>
      <c r="AC64" s="107" t="s">
        <v>1390</v>
      </c>
      <c r="AD64" s="250" t="n">
        <v>26.267279</v>
      </c>
      <c r="AE64" s="250" t="n">
        <v>73.741416</v>
      </c>
      <c r="AF64" s="16"/>
    </row>
    <row r="65" customFormat="false" ht="30" hidden="false" customHeight="false" outlineLevel="0" collapsed="false">
      <c r="A65" s="16" t="s">
        <v>42</v>
      </c>
      <c r="B65" s="16" t="s">
        <v>1260</v>
      </c>
      <c r="C65" s="71" t="s">
        <v>1391</v>
      </c>
      <c r="D65" s="72" t="s">
        <v>1392</v>
      </c>
      <c r="E65" s="16" t="s">
        <v>1393</v>
      </c>
      <c r="F65" s="16" t="n">
        <v>3682</v>
      </c>
      <c r="G65" s="16" t="n">
        <v>672</v>
      </c>
      <c r="H65" s="16" t="n">
        <v>3341</v>
      </c>
      <c r="I65" s="16" t="n">
        <v>1725</v>
      </c>
      <c r="J65" s="16" t="n">
        <v>1616</v>
      </c>
      <c r="K65" s="16" t="n">
        <v>1422</v>
      </c>
      <c r="L65" s="19" t="n">
        <f aca="false">(K65/H65)*100</f>
        <v>42.5621071535468</v>
      </c>
      <c r="M65" s="16" t="n">
        <v>1</v>
      </c>
      <c r="N65" s="19" t="n">
        <f aca="false">(M65/H65)*100</f>
        <v>0.0299311583358276</v>
      </c>
      <c r="O65" s="16" t="n">
        <v>257</v>
      </c>
      <c r="P65" s="16" t="n">
        <v>0</v>
      </c>
      <c r="Q65" s="247" t="s">
        <v>50</v>
      </c>
      <c r="R65" s="82" t="n">
        <v>44490</v>
      </c>
      <c r="S65" s="16"/>
      <c r="T65" s="84" t="n">
        <v>576</v>
      </c>
      <c r="U65" s="16"/>
      <c r="V65" s="16"/>
      <c r="W65" s="16"/>
      <c r="X65" s="16"/>
      <c r="Y65" s="16"/>
      <c r="Z65" s="16"/>
      <c r="AA65" s="73" t="s">
        <v>50</v>
      </c>
      <c r="AB65" s="263" t="n">
        <v>47.84</v>
      </c>
      <c r="AC65" s="107" t="s">
        <v>1394</v>
      </c>
      <c r="AD65" s="264" t="n">
        <v>26.282615002119</v>
      </c>
      <c r="AE65" s="264" t="n">
        <v>73.455284826271</v>
      </c>
      <c r="AF65" s="16"/>
    </row>
    <row r="66" customFormat="false" ht="30" hidden="false" customHeight="false" outlineLevel="0" collapsed="false">
      <c r="A66" s="16"/>
      <c r="B66" s="16"/>
      <c r="C66" s="71"/>
      <c r="D66" s="72"/>
      <c r="E66" s="16"/>
      <c r="F66" s="16"/>
      <c r="G66" s="16"/>
      <c r="H66" s="16"/>
      <c r="I66" s="16"/>
      <c r="J66" s="16"/>
      <c r="K66" s="16"/>
      <c r="L66" s="19" t="e">
        <f aca="false">(K66/H66)*100</f>
        <v>#DIV/0!</v>
      </c>
      <c r="M66" s="16"/>
      <c r="N66" s="19" t="e">
        <f aca="false">(M66/H66)*100</f>
        <v>#DIV/0!</v>
      </c>
      <c r="O66" s="16"/>
      <c r="P66" s="16"/>
      <c r="Q66" s="247" t="s">
        <v>50</v>
      </c>
      <c r="R66" s="248" t="n">
        <v>44491</v>
      </c>
      <c r="S66" s="16"/>
      <c r="T66" s="84"/>
      <c r="U66" s="16"/>
      <c r="V66" s="16"/>
      <c r="W66" s="16"/>
      <c r="X66" s="16"/>
      <c r="Y66" s="16"/>
      <c r="Z66" s="16"/>
      <c r="AA66" s="73" t="s">
        <v>50</v>
      </c>
      <c r="AB66" s="251" t="n">
        <v>11</v>
      </c>
      <c r="AC66" s="252" t="s">
        <v>1395</v>
      </c>
      <c r="AD66" s="265" t="n">
        <v>26.260653759115</v>
      </c>
      <c r="AE66" s="253" t="n">
        <v>73.462362639323</v>
      </c>
      <c r="AF66" s="16"/>
    </row>
    <row r="67" customFormat="false" ht="30" hidden="false" customHeight="false" outlineLevel="0" collapsed="false">
      <c r="A67" s="16"/>
      <c r="B67" s="16"/>
      <c r="C67" s="71"/>
      <c r="D67" s="72"/>
      <c r="E67" s="16"/>
      <c r="F67" s="16"/>
      <c r="G67" s="16"/>
      <c r="H67" s="16"/>
      <c r="I67" s="16"/>
      <c r="J67" s="16"/>
      <c r="K67" s="16"/>
      <c r="L67" s="19" t="e">
        <f aca="false">(K67/H67)*100</f>
        <v>#DIV/0!</v>
      </c>
      <c r="M67" s="16"/>
      <c r="N67" s="19" t="e">
        <f aca="false">(M67/H67)*100</f>
        <v>#DIV/0!</v>
      </c>
      <c r="O67" s="16"/>
      <c r="P67" s="16"/>
      <c r="Q67" s="247" t="s">
        <v>50</v>
      </c>
      <c r="R67" s="248" t="n">
        <v>44491</v>
      </c>
      <c r="S67" s="16"/>
      <c r="T67" s="84"/>
      <c r="U67" s="16"/>
      <c r="V67" s="16"/>
      <c r="W67" s="16"/>
      <c r="X67" s="16"/>
      <c r="Y67" s="16"/>
      <c r="Z67" s="16"/>
      <c r="AA67" s="73" t="s">
        <v>50</v>
      </c>
      <c r="AB67" s="266" t="n">
        <v>14</v>
      </c>
      <c r="AC67" s="252" t="s">
        <v>1396</v>
      </c>
      <c r="AD67" s="265" t="n">
        <v>26.260653759115</v>
      </c>
      <c r="AE67" s="253" t="n">
        <v>73.462362639323</v>
      </c>
      <c r="AF67" s="16"/>
    </row>
    <row r="68" customFormat="false" ht="15.75" hidden="false" customHeight="false" outlineLevel="0" collapsed="false">
      <c r="A68" s="16" t="s">
        <v>42</v>
      </c>
      <c r="B68" s="16" t="s">
        <v>1260</v>
      </c>
      <c r="C68" s="71" t="s">
        <v>1391</v>
      </c>
      <c r="D68" s="16" t="s">
        <v>1107</v>
      </c>
      <c r="E68" s="16" t="s">
        <v>1397</v>
      </c>
      <c r="F68" s="16" t="n">
        <v>444</v>
      </c>
      <c r="G68" s="16" t="n">
        <v>135</v>
      </c>
      <c r="H68" s="16" t="n">
        <v>728</v>
      </c>
      <c r="I68" s="16" t="n">
        <v>384</v>
      </c>
      <c r="J68" s="16" t="n">
        <v>344</v>
      </c>
      <c r="K68" s="16" t="n">
        <v>0</v>
      </c>
      <c r="L68" s="19" t="n">
        <f aca="false">(K68/H68)*100</f>
        <v>0</v>
      </c>
      <c r="M68" s="16" t="n">
        <v>0</v>
      </c>
      <c r="N68" s="19" t="n">
        <f aca="false">(M68/H68)*100</f>
        <v>0</v>
      </c>
      <c r="O68" s="16" t="n">
        <v>1</v>
      </c>
      <c r="P68" s="16" t="n">
        <v>0</v>
      </c>
      <c r="Q68" s="16"/>
      <c r="R68" s="87"/>
      <c r="S68" s="16"/>
      <c r="T68" s="16"/>
      <c r="U68" s="16"/>
      <c r="V68" s="16"/>
      <c r="W68" s="16"/>
      <c r="X68" s="16"/>
      <c r="Y68" s="16"/>
      <c r="Z68" s="16"/>
      <c r="AA68" s="87"/>
      <c r="AB68" s="87"/>
      <c r="AC68" s="16"/>
      <c r="AD68" s="16"/>
      <c r="AE68" s="16"/>
      <c r="AF68" s="16"/>
    </row>
    <row r="69" customFormat="false" ht="15.75" hidden="false" customHeight="false" outlineLevel="0" collapsed="false">
      <c r="A69" s="16" t="s">
        <v>42</v>
      </c>
      <c r="B69" s="16" t="s">
        <v>1260</v>
      </c>
      <c r="C69" s="71" t="s">
        <v>1391</v>
      </c>
      <c r="D69" s="16" t="s">
        <v>1398</v>
      </c>
      <c r="E69" s="16" t="s">
        <v>1399</v>
      </c>
      <c r="F69" s="16" t="n">
        <v>478</v>
      </c>
      <c r="G69" s="16" t="n">
        <v>79</v>
      </c>
      <c r="H69" s="16" t="n">
        <v>453</v>
      </c>
      <c r="I69" s="16" t="n">
        <v>238</v>
      </c>
      <c r="J69" s="16" t="n">
        <v>215</v>
      </c>
      <c r="K69" s="16" t="n">
        <v>0</v>
      </c>
      <c r="L69" s="19" t="n">
        <f aca="false">(K69/H69)*100</f>
        <v>0</v>
      </c>
      <c r="M69" s="16" t="n">
        <v>0</v>
      </c>
      <c r="N69" s="19" t="n">
        <f aca="false">(M69/H69)*100</f>
        <v>0</v>
      </c>
      <c r="O69" s="16" t="n">
        <v>0</v>
      </c>
      <c r="P69" s="16" t="n">
        <v>0</v>
      </c>
      <c r="Q69" s="16"/>
      <c r="R69" s="87"/>
      <c r="S69" s="16"/>
      <c r="T69" s="16"/>
      <c r="U69" s="16"/>
      <c r="V69" s="16"/>
      <c r="W69" s="16"/>
      <c r="X69" s="16"/>
      <c r="Y69" s="16"/>
      <c r="Z69" s="16"/>
      <c r="AA69" s="87"/>
      <c r="AB69" s="87"/>
      <c r="AC69" s="16"/>
      <c r="AD69" s="16"/>
      <c r="AE69" s="16"/>
      <c r="AF69" s="16"/>
    </row>
    <row r="70" customFormat="false" ht="15.75" hidden="false" customHeight="false" outlineLevel="0" collapsed="false">
      <c r="A70" s="16" t="s">
        <v>42</v>
      </c>
      <c r="B70" s="16" t="s">
        <v>1260</v>
      </c>
      <c r="C70" s="71" t="s">
        <v>1391</v>
      </c>
      <c r="D70" s="16" t="s">
        <v>1400</v>
      </c>
      <c r="E70" s="16" t="s">
        <v>1401</v>
      </c>
      <c r="F70" s="16" t="n">
        <v>249</v>
      </c>
      <c r="G70" s="16" t="n">
        <v>102</v>
      </c>
      <c r="H70" s="16" t="n">
        <v>500</v>
      </c>
      <c r="I70" s="16" t="n">
        <v>258</v>
      </c>
      <c r="J70" s="16" t="n">
        <v>242</v>
      </c>
      <c r="K70" s="16" t="n">
        <v>0</v>
      </c>
      <c r="L70" s="19" t="n">
        <f aca="false">(K70/H70)*100</f>
        <v>0</v>
      </c>
      <c r="M70" s="16" t="n">
        <v>0</v>
      </c>
      <c r="N70" s="19" t="n">
        <f aca="false">(M70/H70)*100</f>
        <v>0</v>
      </c>
      <c r="O70" s="16" t="n">
        <v>1</v>
      </c>
      <c r="P70" s="16" t="n">
        <v>0</v>
      </c>
      <c r="Q70" s="16"/>
      <c r="R70" s="87"/>
      <c r="S70" s="16"/>
      <c r="T70" s="16"/>
      <c r="U70" s="16"/>
      <c r="V70" s="16"/>
      <c r="W70" s="16"/>
      <c r="X70" s="16"/>
      <c r="Y70" s="16"/>
      <c r="Z70" s="16"/>
      <c r="AA70" s="87"/>
      <c r="AB70" s="87"/>
      <c r="AC70" s="16"/>
      <c r="AD70" s="16"/>
      <c r="AE70" s="16"/>
      <c r="AF70" s="16"/>
    </row>
    <row r="71" customFormat="false" ht="15.75" hidden="false" customHeight="false" outlineLevel="0" collapsed="false">
      <c r="A71" s="16" t="s">
        <v>42</v>
      </c>
      <c r="B71" s="16" t="s">
        <v>1260</v>
      </c>
      <c r="C71" s="71" t="s">
        <v>1391</v>
      </c>
      <c r="D71" s="16" t="s">
        <v>1402</v>
      </c>
      <c r="E71" s="16" t="s">
        <v>1403</v>
      </c>
      <c r="F71" s="16" t="n">
        <v>307</v>
      </c>
      <c r="G71" s="16" t="n">
        <v>54</v>
      </c>
      <c r="H71" s="16" t="n">
        <v>228</v>
      </c>
      <c r="I71" s="16" t="n">
        <v>114</v>
      </c>
      <c r="J71" s="16" t="n">
        <v>114</v>
      </c>
      <c r="K71" s="16" t="n">
        <v>0</v>
      </c>
      <c r="L71" s="19" t="n">
        <f aca="false">(K71/H71)*100</f>
        <v>0</v>
      </c>
      <c r="M71" s="16" t="n">
        <v>0</v>
      </c>
      <c r="N71" s="19" t="n">
        <f aca="false">(M71/H71)*100</f>
        <v>0</v>
      </c>
      <c r="O71" s="16" t="n">
        <v>10</v>
      </c>
      <c r="P71" s="16" t="n">
        <v>0</v>
      </c>
      <c r="Q71" s="16"/>
      <c r="R71" s="87"/>
      <c r="S71" s="16"/>
      <c r="T71" s="16"/>
      <c r="U71" s="16"/>
      <c r="V71" s="16"/>
      <c r="W71" s="16"/>
      <c r="X71" s="16"/>
      <c r="Y71" s="16"/>
      <c r="Z71" s="16"/>
      <c r="AA71" s="87"/>
      <c r="AB71" s="87"/>
      <c r="AC71" s="16"/>
      <c r="AD71" s="16"/>
      <c r="AE71" s="16"/>
      <c r="AF71" s="16"/>
    </row>
    <row r="72" customFormat="false" ht="31.5" hidden="false" customHeight="false" outlineLevel="0" collapsed="false">
      <c r="A72" s="16" t="s">
        <v>42</v>
      </c>
      <c r="B72" s="16" t="s">
        <v>1260</v>
      </c>
      <c r="C72" s="71" t="s">
        <v>1404</v>
      </c>
      <c r="D72" s="72" t="s">
        <v>1405</v>
      </c>
      <c r="E72" s="16" t="s">
        <v>1406</v>
      </c>
      <c r="F72" s="16" t="n">
        <v>2198.59</v>
      </c>
      <c r="G72" s="16" t="n">
        <v>1495</v>
      </c>
      <c r="H72" s="16" t="n">
        <v>7272</v>
      </c>
      <c r="I72" s="16" t="n">
        <v>3596</v>
      </c>
      <c r="J72" s="16" t="n">
        <v>3676</v>
      </c>
      <c r="K72" s="16" t="n">
        <v>1588</v>
      </c>
      <c r="L72" s="19" t="n">
        <f aca="false">(K72/H72)*100</f>
        <v>21.8371837183718</v>
      </c>
      <c r="M72" s="16" t="n">
        <v>213</v>
      </c>
      <c r="N72" s="19" t="n">
        <f aca="false">(M72/H72)*100</f>
        <v>2.92904290429043</v>
      </c>
      <c r="O72" s="16" t="n">
        <v>55.12</v>
      </c>
      <c r="P72" s="16" t="n">
        <v>6</v>
      </c>
      <c r="Q72" s="247" t="s">
        <v>50</v>
      </c>
      <c r="R72" s="79"/>
      <c r="S72" s="16"/>
      <c r="T72" s="76" t="n">
        <v>69.1</v>
      </c>
      <c r="U72" s="16"/>
      <c r="V72" s="16"/>
      <c r="W72" s="16"/>
      <c r="X72" s="16"/>
      <c r="Y72" s="16"/>
      <c r="Z72" s="16"/>
      <c r="AA72" s="78" t="s">
        <v>50</v>
      </c>
      <c r="AB72" s="79" t="n">
        <v>1.6</v>
      </c>
      <c r="AC72" s="94" t="s">
        <v>1407</v>
      </c>
      <c r="AD72" s="250" t="n">
        <v>26.20875</v>
      </c>
      <c r="AE72" s="250" t="n">
        <v>73.775545</v>
      </c>
      <c r="AF72" s="16"/>
    </row>
    <row r="73" customFormat="false" ht="15.75" hidden="false" customHeight="false" outlineLevel="0" collapsed="false">
      <c r="A73" s="16" t="s">
        <v>42</v>
      </c>
      <c r="B73" s="16" t="s">
        <v>1260</v>
      </c>
      <c r="C73" s="71" t="s">
        <v>1404</v>
      </c>
      <c r="D73" s="16" t="s">
        <v>539</v>
      </c>
      <c r="E73" s="16" t="s">
        <v>1408</v>
      </c>
      <c r="F73" s="16" t="n">
        <v>353.51</v>
      </c>
      <c r="G73" s="16" t="n">
        <v>120</v>
      </c>
      <c r="H73" s="16" t="n">
        <v>587</v>
      </c>
      <c r="I73" s="16" t="n">
        <v>289</v>
      </c>
      <c r="J73" s="16" t="n">
        <v>298</v>
      </c>
      <c r="K73" s="16" t="n">
        <v>73</v>
      </c>
      <c r="L73" s="19" t="n">
        <f aca="false">(K73/H73)*100</f>
        <v>12.4361158432709</v>
      </c>
      <c r="M73" s="16" t="n">
        <v>0</v>
      </c>
      <c r="N73" s="19" t="n">
        <f aca="false">(M73/H73)*100</f>
        <v>0</v>
      </c>
      <c r="O73" s="16" t="n">
        <v>49.88</v>
      </c>
      <c r="P73" s="16" t="n">
        <v>0</v>
      </c>
      <c r="Q73" s="16"/>
      <c r="R73" s="87"/>
      <c r="S73" s="16"/>
      <c r="T73" s="16"/>
      <c r="U73" s="16"/>
      <c r="V73" s="16"/>
      <c r="W73" s="16"/>
      <c r="X73" s="16"/>
      <c r="Y73" s="16"/>
      <c r="Z73" s="16"/>
      <c r="AA73" s="87"/>
      <c r="AB73" s="87"/>
      <c r="AC73" s="16"/>
      <c r="AD73" s="16"/>
      <c r="AE73" s="16"/>
      <c r="AF73" s="16"/>
    </row>
    <row r="74" customFormat="false" ht="34.5" hidden="false" customHeight="false" outlineLevel="0" collapsed="false">
      <c r="A74" s="16" t="s">
        <v>42</v>
      </c>
      <c r="B74" s="16" t="s">
        <v>1260</v>
      </c>
      <c r="C74" s="71" t="s">
        <v>1409</v>
      </c>
      <c r="D74" s="72" t="s">
        <v>1410</v>
      </c>
      <c r="E74" s="16" t="s">
        <v>1411</v>
      </c>
      <c r="F74" s="16" t="n">
        <v>3781</v>
      </c>
      <c r="G74" s="16" t="n">
        <v>1461</v>
      </c>
      <c r="H74" s="16" t="n">
        <v>7472</v>
      </c>
      <c r="I74" s="16" t="n">
        <v>3847</v>
      </c>
      <c r="J74" s="16" t="n">
        <v>3625</v>
      </c>
      <c r="K74" s="16" t="n">
        <v>1368</v>
      </c>
      <c r="L74" s="19" t="n">
        <f aca="false">(K74/H74)*100</f>
        <v>18.3083511777302</v>
      </c>
      <c r="M74" s="16" t="n">
        <v>5</v>
      </c>
      <c r="N74" s="19" t="n">
        <f aca="false">(M74/H74)*100</f>
        <v>0.0669164882226981</v>
      </c>
      <c r="O74" s="16" t="n">
        <v>375</v>
      </c>
      <c r="P74" s="16" t="n">
        <v>0</v>
      </c>
      <c r="Q74" s="24"/>
      <c r="R74" s="25" t="n">
        <v>46267</v>
      </c>
      <c r="S74" s="16"/>
      <c r="T74" s="24" t="n">
        <v>395.22</v>
      </c>
      <c r="U74" s="16"/>
      <c r="V74" s="16"/>
      <c r="W74" s="16"/>
      <c r="X74" s="16"/>
      <c r="Y74" s="16"/>
      <c r="Z74" s="16"/>
      <c r="AA74" s="26" t="s">
        <v>50</v>
      </c>
      <c r="AB74" s="26" t="n">
        <v>10</v>
      </c>
      <c r="AC74" s="29" t="s">
        <v>1412</v>
      </c>
      <c r="AD74" s="24" t="n">
        <v>26.319288</v>
      </c>
      <c r="AE74" s="24" t="n">
        <v>73.677754</v>
      </c>
      <c r="AF74" s="16" t="s">
        <v>1277</v>
      </c>
    </row>
    <row r="75" customFormat="false" ht="17.25" hidden="false" customHeight="false" outlineLevel="0" collapsed="false">
      <c r="A75" s="16"/>
      <c r="B75" s="16"/>
      <c r="C75" s="71"/>
      <c r="D75" s="72"/>
      <c r="E75" s="16"/>
      <c r="F75" s="16"/>
      <c r="G75" s="16"/>
      <c r="H75" s="16"/>
      <c r="I75" s="16"/>
      <c r="J75" s="16"/>
      <c r="K75" s="16"/>
      <c r="L75" s="19" t="e">
        <f aca="false">(K75/H75)*100</f>
        <v>#DIV/0!</v>
      </c>
      <c r="M75" s="16"/>
      <c r="N75" s="19" t="e">
        <f aca="false">(M75/H75)*100</f>
        <v>#DIV/0!</v>
      </c>
      <c r="O75" s="16"/>
      <c r="P75" s="16"/>
      <c r="Q75" s="242"/>
      <c r="R75" s="243"/>
      <c r="S75" s="16"/>
      <c r="T75" s="242"/>
      <c r="U75" s="16"/>
      <c r="V75" s="16"/>
      <c r="W75" s="16"/>
      <c r="X75" s="16"/>
      <c r="Y75" s="16"/>
      <c r="Z75" s="16"/>
      <c r="AA75" s="244" t="s">
        <v>50</v>
      </c>
      <c r="AB75" s="244" t="n">
        <v>10</v>
      </c>
      <c r="AC75" s="246" t="s">
        <v>1413</v>
      </c>
      <c r="AD75" s="242" t="n">
        <v>26.31960607</v>
      </c>
      <c r="AE75" s="242" t="n">
        <v>73.690607</v>
      </c>
      <c r="AF75" s="16" t="s">
        <v>1277</v>
      </c>
    </row>
    <row r="76" customFormat="false" ht="17.25" hidden="false" customHeight="false" outlineLevel="0" collapsed="false">
      <c r="A76" s="16"/>
      <c r="B76" s="16"/>
      <c r="C76" s="71"/>
      <c r="D76" s="72"/>
      <c r="E76" s="16"/>
      <c r="F76" s="16"/>
      <c r="G76" s="16"/>
      <c r="H76" s="16"/>
      <c r="I76" s="16"/>
      <c r="J76" s="16"/>
      <c r="K76" s="16"/>
      <c r="L76" s="19" t="e">
        <f aca="false">(K76/H76)*100</f>
        <v>#DIV/0!</v>
      </c>
      <c r="M76" s="16"/>
      <c r="N76" s="19" t="e">
        <f aca="false">(M76/H76)*100</f>
        <v>#DIV/0!</v>
      </c>
      <c r="O76" s="16"/>
      <c r="P76" s="16"/>
      <c r="Q76" s="242"/>
      <c r="R76" s="243"/>
      <c r="S76" s="16"/>
      <c r="T76" s="242"/>
      <c r="U76" s="16"/>
      <c r="V76" s="16"/>
      <c r="W76" s="16"/>
      <c r="X76" s="16"/>
      <c r="Y76" s="16"/>
      <c r="Z76" s="16"/>
      <c r="AA76" s="244" t="s">
        <v>50</v>
      </c>
      <c r="AB76" s="244" t="n">
        <v>12</v>
      </c>
      <c r="AC76" s="245" t="s">
        <v>1414</v>
      </c>
      <c r="AD76" s="242" t="n">
        <v>26.323372</v>
      </c>
      <c r="AE76" s="242" t="n">
        <v>73.673673</v>
      </c>
      <c r="AF76" s="16" t="s">
        <v>1277</v>
      </c>
    </row>
    <row r="77" customFormat="false" ht="17.25" hidden="false" customHeight="false" outlineLevel="0" collapsed="false">
      <c r="A77" s="16"/>
      <c r="B77" s="16"/>
      <c r="C77" s="71"/>
      <c r="D77" s="72"/>
      <c r="E77" s="16"/>
      <c r="F77" s="16"/>
      <c r="G77" s="16"/>
      <c r="H77" s="16"/>
      <c r="I77" s="16"/>
      <c r="J77" s="16"/>
      <c r="K77" s="16"/>
      <c r="L77" s="19" t="e">
        <f aca="false">(K77/H77)*100</f>
        <v>#DIV/0!</v>
      </c>
      <c r="M77" s="16"/>
      <c r="N77" s="19" t="e">
        <f aca="false">(M77/H77)*100</f>
        <v>#DIV/0!</v>
      </c>
      <c r="O77" s="16"/>
      <c r="P77" s="16"/>
      <c r="Q77" s="242"/>
      <c r="R77" s="243"/>
      <c r="S77" s="16"/>
      <c r="T77" s="242"/>
      <c r="U77" s="16"/>
      <c r="V77" s="16"/>
      <c r="W77" s="16"/>
      <c r="X77" s="16"/>
      <c r="Y77" s="16"/>
      <c r="Z77" s="16"/>
      <c r="AA77" s="244" t="s">
        <v>50</v>
      </c>
      <c r="AB77" s="244" t="n">
        <v>12</v>
      </c>
      <c r="AC77" s="245" t="s">
        <v>1415</v>
      </c>
      <c r="AD77" s="242" t="n">
        <v>26.321643</v>
      </c>
      <c r="AE77" s="242" t="n">
        <v>73.672228</v>
      </c>
      <c r="AF77" s="16" t="s">
        <v>1277</v>
      </c>
    </row>
    <row r="78" customFormat="false" ht="17.25" hidden="false" customHeight="false" outlineLevel="0" collapsed="false">
      <c r="A78" s="16"/>
      <c r="B78" s="16"/>
      <c r="C78" s="71"/>
      <c r="D78" s="72"/>
      <c r="E78" s="16"/>
      <c r="F78" s="16"/>
      <c r="G78" s="16"/>
      <c r="H78" s="16"/>
      <c r="I78" s="16"/>
      <c r="J78" s="16"/>
      <c r="K78" s="16"/>
      <c r="L78" s="19" t="e">
        <f aca="false">(K78/H78)*100</f>
        <v>#DIV/0!</v>
      </c>
      <c r="M78" s="16"/>
      <c r="N78" s="19" t="e">
        <f aca="false">(M78/H78)*100</f>
        <v>#DIV/0!</v>
      </c>
      <c r="O78" s="16"/>
      <c r="P78" s="16"/>
      <c r="Q78" s="242"/>
      <c r="R78" s="243"/>
      <c r="S78" s="16"/>
      <c r="T78" s="242"/>
      <c r="U78" s="16"/>
      <c r="V78" s="16"/>
      <c r="W78" s="16"/>
      <c r="X78" s="16"/>
      <c r="Y78" s="16"/>
      <c r="Z78" s="16"/>
      <c r="AA78" s="244" t="s">
        <v>50</v>
      </c>
      <c r="AB78" s="244" t="n">
        <v>20</v>
      </c>
      <c r="AC78" s="245" t="s">
        <v>1416</v>
      </c>
      <c r="AD78" s="242" t="n">
        <v>26.321002</v>
      </c>
      <c r="AE78" s="242" t="n">
        <v>73.687767</v>
      </c>
      <c r="AF78" s="16" t="s">
        <v>1277</v>
      </c>
    </row>
    <row r="79" customFormat="false" ht="17.25" hidden="false" customHeight="false" outlineLevel="0" collapsed="false">
      <c r="A79" s="16"/>
      <c r="B79" s="16"/>
      <c r="C79" s="71"/>
      <c r="D79" s="72"/>
      <c r="E79" s="16"/>
      <c r="F79" s="16"/>
      <c r="G79" s="16"/>
      <c r="H79" s="16"/>
      <c r="I79" s="16"/>
      <c r="J79" s="16"/>
      <c r="K79" s="16"/>
      <c r="L79" s="19" t="e">
        <f aca="false">(K79/H79)*100</f>
        <v>#DIV/0!</v>
      </c>
      <c r="M79" s="16"/>
      <c r="N79" s="19" t="e">
        <f aca="false">(M79/H79)*100</f>
        <v>#DIV/0!</v>
      </c>
      <c r="O79" s="16"/>
      <c r="P79" s="16"/>
      <c r="Q79" s="242"/>
      <c r="R79" s="243"/>
      <c r="S79" s="16"/>
      <c r="T79" s="242"/>
      <c r="U79" s="16"/>
      <c r="V79" s="16"/>
      <c r="W79" s="16"/>
      <c r="X79" s="16"/>
      <c r="Y79" s="16"/>
      <c r="Z79" s="16"/>
      <c r="AA79" s="244" t="s">
        <v>50</v>
      </c>
      <c r="AB79" s="244" t="n">
        <v>15</v>
      </c>
      <c r="AC79" s="245" t="s">
        <v>1417</v>
      </c>
      <c r="AD79" s="242" t="n">
        <v>26.829387</v>
      </c>
      <c r="AE79" s="242" t="n">
        <v>72.687856</v>
      </c>
      <c r="AF79" s="16" t="s">
        <v>1277</v>
      </c>
    </row>
    <row r="80" customFormat="false" ht="15.75" hidden="false" customHeight="false" outlineLevel="0" collapsed="false">
      <c r="A80" s="16" t="s">
        <v>42</v>
      </c>
      <c r="B80" s="16" t="s">
        <v>1260</v>
      </c>
      <c r="C80" s="71" t="s">
        <v>1418</v>
      </c>
      <c r="D80" s="72" t="s">
        <v>1419</v>
      </c>
      <c r="E80" s="16" t="s">
        <v>1420</v>
      </c>
      <c r="F80" s="16" t="n">
        <v>3037.23</v>
      </c>
      <c r="G80" s="16" t="n">
        <v>722</v>
      </c>
      <c r="H80" s="16" t="n">
        <v>4178</v>
      </c>
      <c r="I80" s="16" t="n">
        <v>2110</v>
      </c>
      <c r="J80" s="16" t="n">
        <v>2068</v>
      </c>
      <c r="K80" s="16" t="n">
        <v>510</v>
      </c>
      <c r="L80" s="19" t="n">
        <f aca="false">(K80/H80)*100</f>
        <v>12.2067975107707</v>
      </c>
      <c r="M80" s="16" t="n">
        <v>0</v>
      </c>
      <c r="N80" s="19" t="n">
        <f aca="false">(M80/H80)*100</f>
        <v>0</v>
      </c>
      <c r="O80" s="16" t="n">
        <v>0</v>
      </c>
      <c r="P80" s="16" t="n">
        <v>0</v>
      </c>
      <c r="Q80" s="20" t="s">
        <v>49</v>
      </c>
      <c r="R80" s="34" t="n">
        <v>45348</v>
      </c>
      <c r="S80" s="16"/>
      <c r="T80" s="20"/>
      <c r="U80" s="16"/>
      <c r="V80" s="16"/>
      <c r="W80" s="16"/>
      <c r="X80" s="16"/>
      <c r="Y80" s="16"/>
      <c r="Z80" s="16"/>
      <c r="AA80" s="21" t="s">
        <v>50</v>
      </c>
      <c r="AB80" s="21" t="n">
        <v>10</v>
      </c>
      <c r="AC80" s="254" t="s">
        <v>1421</v>
      </c>
      <c r="AD80" s="20"/>
      <c r="AE80" s="20"/>
      <c r="AF80" s="16"/>
    </row>
    <row r="81" customFormat="false" ht="15.75" hidden="false" customHeight="false" outlineLevel="0" collapsed="false">
      <c r="A81" s="16"/>
      <c r="B81" s="16"/>
      <c r="C81" s="71"/>
      <c r="D81" s="72"/>
      <c r="E81" s="16"/>
      <c r="F81" s="16"/>
      <c r="G81" s="16"/>
      <c r="H81" s="16"/>
      <c r="I81" s="16"/>
      <c r="J81" s="16"/>
      <c r="K81" s="16"/>
      <c r="L81" s="19" t="e">
        <f aca="false">(K81/H81)*100</f>
        <v>#DIV/0!</v>
      </c>
      <c r="M81" s="16"/>
      <c r="N81" s="19" t="e">
        <f aca="false">(M81/H81)*100</f>
        <v>#DIV/0!</v>
      </c>
      <c r="O81" s="16"/>
      <c r="P81" s="16"/>
      <c r="Q81" s="228"/>
      <c r="R81" s="97"/>
      <c r="S81" s="16"/>
      <c r="T81" s="228"/>
      <c r="U81" s="16"/>
      <c r="V81" s="16"/>
      <c r="W81" s="16"/>
      <c r="X81" s="16"/>
      <c r="Y81" s="16"/>
      <c r="Z81" s="16"/>
      <c r="AA81" s="97" t="s">
        <v>50</v>
      </c>
      <c r="AB81" s="97" t="n">
        <v>8</v>
      </c>
      <c r="AC81" s="255" t="s">
        <v>1422</v>
      </c>
      <c r="AD81" s="228"/>
      <c r="AE81" s="228"/>
      <c r="AF81" s="16"/>
    </row>
    <row r="82" customFormat="false" ht="15.75" hidden="false" customHeight="false" outlineLevel="0" collapsed="false">
      <c r="A82" s="16"/>
      <c r="B82" s="16"/>
      <c r="C82" s="71"/>
      <c r="D82" s="72"/>
      <c r="E82" s="16"/>
      <c r="F82" s="16"/>
      <c r="G82" s="16"/>
      <c r="H82" s="16"/>
      <c r="I82" s="16"/>
      <c r="J82" s="16"/>
      <c r="K82" s="16"/>
      <c r="L82" s="19" t="e">
        <f aca="false">(K82/H82)*100</f>
        <v>#DIV/0!</v>
      </c>
      <c r="M82" s="16"/>
      <c r="N82" s="19" t="e">
        <f aca="false">(M82/H82)*100</f>
        <v>#DIV/0!</v>
      </c>
      <c r="O82" s="16"/>
      <c r="P82" s="16"/>
      <c r="Q82" s="228"/>
      <c r="R82" s="97"/>
      <c r="S82" s="16"/>
      <c r="T82" s="228"/>
      <c r="U82" s="16"/>
      <c r="V82" s="16"/>
      <c r="W82" s="16"/>
      <c r="X82" s="16"/>
      <c r="Y82" s="16"/>
      <c r="Z82" s="16"/>
      <c r="AA82" s="97" t="s">
        <v>50</v>
      </c>
      <c r="AB82" s="97" t="n">
        <v>10</v>
      </c>
      <c r="AC82" s="255" t="s">
        <v>1423</v>
      </c>
      <c r="AD82" s="228"/>
      <c r="AE82" s="228"/>
      <c r="AF82" s="16"/>
    </row>
    <row r="83" customFormat="false" ht="15.75" hidden="false" customHeight="false" outlineLevel="0" collapsed="false">
      <c r="A83" s="16" t="s">
        <v>42</v>
      </c>
      <c r="B83" s="16" t="s">
        <v>1260</v>
      </c>
      <c r="C83" s="71" t="s">
        <v>1424</v>
      </c>
      <c r="D83" s="72" t="s">
        <v>1425</v>
      </c>
      <c r="E83" s="16" t="s">
        <v>1426</v>
      </c>
      <c r="F83" s="16" t="n">
        <v>3115.52</v>
      </c>
      <c r="G83" s="16" t="n">
        <v>511</v>
      </c>
      <c r="H83" s="16" t="n">
        <v>2692</v>
      </c>
      <c r="I83" s="16" t="n">
        <v>1391</v>
      </c>
      <c r="J83" s="16" t="n">
        <v>1301</v>
      </c>
      <c r="K83" s="16" t="n">
        <v>1100</v>
      </c>
      <c r="L83" s="19" t="n">
        <f aca="false">(K83/H83)*100</f>
        <v>40.8618127786033</v>
      </c>
      <c r="M83" s="16" t="n">
        <v>7</v>
      </c>
      <c r="N83" s="19" t="n">
        <f aca="false">(M83/H83)*100</f>
        <v>0.260029717682021</v>
      </c>
      <c r="O83" s="16" t="n">
        <v>135.89</v>
      </c>
      <c r="P83" s="16" t="n">
        <v>0</v>
      </c>
      <c r="Q83" s="20" t="s">
        <v>49</v>
      </c>
      <c r="R83" s="34" t="n">
        <v>45348</v>
      </c>
      <c r="S83" s="16"/>
      <c r="T83" s="20" t="n">
        <v>135.8797</v>
      </c>
      <c r="U83" s="16"/>
      <c r="V83" s="16"/>
      <c r="W83" s="16"/>
      <c r="X83" s="16"/>
      <c r="Y83" s="16"/>
      <c r="Z83" s="16"/>
      <c r="AA83" s="21" t="s">
        <v>50</v>
      </c>
      <c r="AB83" s="21" t="n">
        <v>12</v>
      </c>
      <c r="AC83" s="254" t="s">
        <v>1427</v>
      </c>
      <c r="AD83" s="20"/>
      <c r="AE83" s="20"/>
      <c r="AF83" s="16"/>
    </row>
    <row r="84" customFormat="false" ht="15.75" hidden="false" customHeight="false" outlineLevel="0" collapsed="false">
      <c r="A84" s="16"/>
      <c r="B84" s="16"/>
      <c r="C84" s="71"/>
      <c r="D84" s="72"/>
      <c r="E84" s="16"/>
      <c r="F84" s="16"/>
      <c r="G84" s="16"/>
      <c r="H84" s="16"/>
      <c r="I84" s="16"/>
      <c r="J84" s="16"/>
      <c r="K84" s="16"/>
      <c r="L84" s="19"/>
      <c r="M84" s="16"/>
      <c r="N84" s="19" t="e">
        <f aca="false">(M84/H84)*100</f>
        <v>#DIV/0!</v>
      </c>
      <c r="O84" s="16"/>
      <c r="P84" s="16"/>
      <c r="Q84" s="228"/>
      <c r="R84" s="97"/>
      <c r="S84" s="16"/>
      <c r="T84" s="228"/>
      <c r="U84" s="16"/>
      <c r="V84" s="16"/>
      <c r="W84" s="16"/>
      <c r="X84" s="16"/>
      <c r="Y84" s="16"/>
      <c r="Z84" s="16"/>
      <c r="AA84" s="97" t="s">
        <v>50</v>
      </c>
      <c r="AB84" s="97" t="n">
        <v>12</v>
      </c>
      <c r="AC84" s="255" t="s">
        <v>1428</v>
      </c>
      <c r="AD84" s="228"/>
      <c r="AE84" s="228"/>
      <c r="AF84" s="16"/>
    </row>
    <row r="85" customFormat="false" ht="15.75" hidden="false" customHeight="false" outlineLevel="0" collapsed="false">
      <c r="A85" s="16"/>
      <c r="B85" s="16"/>
      <c r="C85" s="71"/>
      <c r="D85" s="72"/>
      <c r="E85" s="16"/>
      <c r="F85" s="16"/>
      <c r="G85" s="16"/>
      <c r="H85" s="16"/>
      <c r="I85" s="16"/>
      <c r="J85" s="16"/>
      <c r="K85" s="16"/>
      <c r="L85" s="19"/>
      <c r="M85" s="16"/>
      <c r="N85" s="19" t="e">
        <f aca="false">(M85/H85)*100</f>
        <v>#DIV/0!</v>
      </c>
      <c r="O85" s="16"/>
      <c r="P85" s="16"/>
      <c r="Q85" s="228"/>
      <c r="R85" s="97"/>
      <c r="S85" s="16"/>
      <c r="T85" s="228"/>
      <c r="U85" s="16"/>
      <c r="V85" s="16"/>
      <c r="W85" s="16"/>
      <c r="X85" s="16"/>
      <c r="Y85" s="16"/>
      <c r="Z85" s="16"/>
      <c r="AA85" s="97" t="s">
        <v>50</v>
      </c>
      <c r="AB85" s="97" t="n">
        <v>15</v>
      </c>
      <c r="AC85" s="255" t="s">
        <v>1429</v>
      </c>
      <c r="AD85" s="228"/>
      <c r="AE85" s="228"/>
      <c r="AF85" s="16"/>
    </row>
    <row r="86" customFormat="false" ht="15.75" hidden="false" customHeight="false" outlineLevel="0" collapsed="false">
      <c r="A86" s="16"/>
      <c r="B86" s="16"/>
      <c r="C86" s="71"/>
      <c r="D86" s="72"/>
      <c r="E86" s="16"/>
      <c r="F86" s="16"/>
      <c r="G86" s="16"/>
      <c r="H86" s="16"/>
      <c r="I86" s="16"/>
      <c r="J86" s="16"/>
      <c r="K86" s="16"/>
      <c r="L86" s="19"/>
      <c r="M86" s="16"/>
      <c r="N86" s="19" t="e">
        <f aca="false">(M86/H86)*100</f>
        <v>#DIV/0!</v>
      </c>
      <c r="O86" s="16"/>
      <c r="P86" s="16"/>
      <c r="Q86" s="228"/>
      <c r="R86" s="97"/>
      <c r="S86" s="16"/>
      <c r="T86" s="228"/>
      <c r="U86" s="16"/>
      <c r="V86" s="16"/>
      <c r="W86" s="16"/>
      <c r="X86" s="16"/>
      <c r="Y86" s="16"/>
      <c r="Z86" s="16"/>
      <c r="AA86" s="97" t="s">
        <v>50</v>
      </c>
      <c r="AB86" s="97" t="n">
        <v>12</v>
      </c>
      <c r="AC86" s="255" t="s">
        <v>1430</v>
      </c>
      <c r="AD86" s="228"/>
      <c r="AE86" s="228"/>
      <c r="AF86" s="16"/>
    </row>
    <row r="87" customFormat="false" ht="15.75" hidden="false" customHeight="false" outlineLevel="0" collapsed="false">
      <c r="A87" s="16" t="s">
        <v>42</v>
      </c>
      <c r="B87" s="16" t="s">
        <v>1260</v>
      </c>
      <c r="C87" s="71" t="s">
        <v>1431</v>
      </c>
      <c r="D87" s="72" t="s">
        <v>1432</v>
      </c>
      <c r="E87" s="16" t="s">
        <v>1433</v>
      </c>
      <c r="F87" s="16" t="n">
        <v>3338</v>
      </c>
      <c r="G87" s="16" t="n">
        <v>442</v>
      </c>
      <c r="H87" s="16" t="n">
        <v>2305</v>
      </c>
      <c r="I87" s="16" t="n">
        <v>1200</v>
      </c>
      <c r="J87" s="16" t="n">
        <v>1105</v>
      </c>
      <c r="K87" s="16" t="n">
        <v>539</v>
      </c>
      <c r="L87" s="19" t="n">
        <f aca="false">(K87/H87)*100</f>
        <v>23.3839479392625</v>
      </c>
      <c r="M87" s="16" t="n">
        <v>169</v>
      </c>
      <c r="N87" s="19" t="n">
        <f aca="false">(M87/H87)*100</f>
        <v>7.33188720173536</v>
      </c>
      <c r="O87" s="16" t="n">
        <v>401</v>
      </c>
      <c r="P87" s="16" t="n">
        <v>0</v>
      </c>
      <c r="Q87" s="20" t="s">
        <v>49</v>
      </c>
      <c r="R87" s="34" t="n">
        <v>44855</v>
      </c>
      <c r="S87" s="16"/>
      <c r="T87" s="20" t="n">
        <v>29.9324</v>
      </c>
      <c r="U87" s="16"/>
      <c r="V87" s="16"/>
      <c r="W87" s="16"/>
      <c r="X87" s="16"/>
      <c r="Y87" s="16"/>
      <c r="Z87" s="16"/>
      <c r="AA87" s="21"/>
      <c r="AB87" s="21" t="n">
        <v>70</v>
      </c>
      <c r="AC87" s="254" t="s">
        <v>1434</v>
      </c>
      <c r="AD87" s="267" t="n">
        <v>26.19</v>
      </c>
      <c r="AE87" s="20" t="n">
        <v>73.43</v>
      </c>
      <c r="AF87" s="16"/>
    </row>
    <row r="88" customFormat="false" ht="15.75" hidden="false" customHeight="false" outlineLevel="0" collapsed="false">
      <c r="A88" s="16" t="s">
        <v>42</v>
      </c>
      <c r="B88" s="16" t="s">
        <v>1260</v>
      </c>
      <c r="C88" s="71" t="s">
        <v>1431</v>
      </c>
      <c r="D88" s="16" t="s">
        <v>1435</v>
      </c>
      <c r="E88" s="16" t="s">
        <v>1436</v>
      </c>
      <c r="F88" s="16" t="n">
        <v>361</v>
      </c>
      <c r="G88" s="16" t="n">
        <v>83</v>
      </c>
      <c r="H88" s="16" t="n">
        <v>404</v>
      </c>
      <c r="I88" s="16" t="n">
        <v>215</v>
      </c>
      <c r="J88" s="16" t="n">
        <v>189</v>
      </c>
      <c r="K88" s="16" t="n">
        <v>0</v>
      </c>
      <c r="L88" s="19" t="n">
        <f aca="false">(K88/H88)*100</f>
        <v>0</v>
      </c>
      <c r="M88" s="16" t="n">
        <v>0</v>
      </c>
      <c r="N88" s="19" t="n">
        <f aca="false">(M88/H88)*100</f>
        <v>0</v>
      </c>
      <c r="O88" s="16" t="n">
        <v>58</v>
      </c>
      <c r="P88" s="16" t="n">
        <v>0</v>
      </c>
      <c r="Q88" s="20" t="s">
        <v>49</v>
      </c>
      <c r="R88" s="34" t="n">
        <v>44855</v>
      </c>
      <c r="S88" s="16"/>
      <c r="T88" s="20" t="n">
        <v>57.8031</v>
      </c>
      <c r="U88" s="16"/>
      <c r="V88" s="16"/>
      <c r="W88" s="16"/>
      <c r="X88" s="16"/>
      <c r="Y88" s="16"/>
      <c r="Z88" s="16"/>
      <c r="AA88" s="21" t="s">
        <v>50</v>
      </c>
      <c r="AB88" s="21" t="n">
        <v>20</v>
      </c>
      <c r="AC88" s="254" t="s">
        <v>1437</v>
      </c>
      <c r="AD88" s="267" t="s">
        <v>1438</v>
      </c>
      <c r="AE88" s="20" t="n">
        <v>73.41</v>
      </c>
      <c r="AF88" s="16"/>
    </row>
    <row r="89" customFormat="false" ht="15.75" hidden="false" customHeight="false" outlineLevel="0" collapsed="false">
      <c r="A89" s="16" t="s">
        <v>42</v>
      </c>
      <c r="B89" s="16" t="s">
        <v>1260</v>
      </c>
      <c r="C89" s="71" t="s">
        <v>1431</v>
      </c>
      <c r="D89" s="16" t="s">
        <v>1439</v>
      </c>
      <c r="E89" s="16" t="s">
        <v>1440</v>
      </c>
      <c r="F89" s="16" t="n">
        <v>649</v>
      </c>
      <c r="G89" s="16" t="n">
        <v>184</v>
      </c>
      <c r="H89" s="16" t="n">
        <v>825</v>
      </c>
      <c r="I89" s="16" t="n">
        <v>401</v>
      </c>
      <c r="J89" s="16" t="n">
        <v>424</v>
      </c>
      <c r="K89" s="16" t="n">
        <v>92</v>
      </c>
      <c r="L89" s="19" t="n">
        <f aca="false">(K89/H89)*100</f>
        <v>11.1515151515152</v>
      </c>
      <c r="M89" s="16" t="n">
        <v>19</v>
      </c>
      <c r="N89" s="19" t="n">
        <f aca="false">(M89/H89)*100</f>
        <v>2.3030303030303</v>
      </c>
      <c r="O89" s="16" t="n">
        <v>40</v>
      </c>
      <c r="P89" s="16" t="n">
        <v>0</v>
      </c>
      <c r="Q89" s="20" t="s">
        <v>49</v>
      </c>
      <c r="R89" s="34" t="n">
        <v>44855</v>
      </c>
      <c r="S89" s="16"/>
      <c r="T89" s="20" t="n">
        <v>38.3062</v>
      </c>
      <c r="U89" s="16"/>
      <c r="V89" s="16"/>
      <c r="W89" s="16"/>
      <c r="X89" s="16"/>
      <c r="Y89" s="16"/>
      <c r="Z89" s="16"/>
      <c r="AA89" s="21" t="s">
        <v>50</v>
      </c>
      <c r="AB89" s="21" t="n">
        <v>20</v>
      </c>
      <c r="AC89" s="254" t="s">
        <v>1441</v>
      </c>
      <c r="AD89" s="267" t="n">
        <v>26.19</v>
      </c>
      <c r="AE89" s="20" t="n">
        <v>73.42</v>
      </c>
      <c r="AF89" s="16"/>
    </row>
    <row r="90" customFormat="false" ht="15.75" hidden="false" customHeight="false" outlineLevel="0" collapsed="false">
      <c r="A90" s="16" t="s">
        <v>42</v>
      </c>
      <c r="B90" s="16" t="s">
        <v>1260</v>
      </c>
      <c r="C90" s="71" t="s">
        <v>1442</v>
      </c>
      <c r="D90" s="72" t="s">
        <v>1443</v>
      </c>
      <c r="E90" s="16" t="s">
        <v>1444</v>
      </c>
      <c r="F90" s="16" t="n">
        <v>1523</v>
      </c>
      <c r="G90" s="16" t="n">
        <v>283</v>
      </c>
      <c r="H90" s="16" t="n">
        <v>1162</v>
      </c>
      <c r="I90" s="16" t="n">
        <v>593</v>
      </c>
      <c r="J90" s="16" t="n">
        <v>569</v>
      </c>
      <c r="K90" s="16" t="n">
        <v>326</v>
      </c>
      <c r="L90" s="19" t="n">
        <f aca="false">(K90/H90)*100</f>
        <v>28.0550774526678</v>
      </c>
      <c r="M90" s="16" t="n">
        <v>0</v>
      </c>
      <c r="N90" s="19" t="n">
        <f aca="false">(M90/H90)*100</f>
        <v>0</v>
      </c>
      <c r="O90" s="16" t="n">
        <v>0</v>
      </c>
      <c r="P90" s="16" t="n">
        <v>62</v>
      </c>
      <c r="Q90" s="16"/>
      <c r="R90" s="87"/>
      <c r="S90" s="16"/>
      <c r="T90" s="16"/>
      <c r="U90" s="16"/>
      <c r="V90" s="16"/>
      <c r="W90" s="16"/>
      <c r="X90" s="16"/>
      <c r="Y90" s="16"/>
      <c r="Z90" s="16"/>
      <c r="AA90" s="87"/>
      <c r="AB90" s="87"/>
      <c r="AC90" s="16"/>
      <c r="AD90" s="16"/>
      <c r="AE90" s="16"/>
      <c r="AF90" s="16"/>
    </row>
    <row r="91" customFormat="false" ht="15.75" hidden="false" customHeight="false" outlineLevel="0" collapsed="false">
      <c r="A91" s="16" t="s">
        <v>42</v>
      </c>
      <c r="B91" s="16" t="s">
        <v>1260</v>
      </c>
      <c r="C91" s="71" t="s">
        <v>1442</v>
      </c>
      <c r="D91" s="16" t="s">
        <v>1445</v>
      </c>
      <c r="E91" s="16" t="s">
        <v>1446</v>
      </c>
      <c r="F91" s="16" t="n">
        <v>752</v>
      </c>
      <c r="G91" s="16" t="n">
        <v>166</v>
      </c>
      <c r="H91" s="16" t="n">
        <v>948</v>
      </c>
      <c r="I91" s="16" t="n">
        <v>503</v>
      </c>
      <c r="J91" s="16" t="n">
        <v>445</v>
      </c>
      <c r="K91" s="16" t="n">
        <v>37</v>
      </c>
      <c r="L91" s="19" t="n">
        <f aca="false">(K91/H91)*100</f>
        <v>3.90295358649789</v>
      </c>
      <c r="M91" s="16" t="n">
        <v>0</v>
      </c>
      <c r="N91" s="19" t="n">
        <f aca="false">(M91/H91)*100</f>
        <v>0</v>
      </c>
      <c r="O91" s="16" t="n">
        <v>74</v>
      </c>
      <c r="P91" s="16" t="n">
        <v>0</v>
      </c>
      <c r="Q91" s="16"/>
      <c r="R91" s="87"/>
      <c r="S91" s="16"/>
      <c r="T91" s="16"/>
      <c r="U91" s="16"/>
      <c r="V91" s="16"/>
      <c r="W91" s="16"/>
      <c r="X91" s="16"/>
      <c r="Y91" s="16"/>
      <c r="Z91" s="16"/>
      <c r="AA91" s="87"/>
      <c r="AB91" s="87"/>
      <c r="AC91" s="16"/>
      <c r="AD91" s="16"/>
      <c r="AE91" s="16"/>
      <c r="AF91" s="16"/>
    </row>
    <row r="92" customFormat="false" ht="15.75" hidden="false" customHeight="false" outlineLevel="0" collapsed="false">
      <c r="A92" s="16" t="s">
        <v>42</v>
      </c>
      <c r="B92" s="16" t="s">
        <v>1260</v>
      </c>
      <c r="C92" s="71" t="s">
        <v>1442</v>
      </c>
      <c r="D92" s="16" t="s">
        <v>1447</v>
      </c>
      <c r="E92" s="16" t="s">
        <v>1448</v>
      </c>
      <c r="F92" s="16" t="n">
        <v>740</v>
      </c>
      <c r="G92" s="16" t="n">
        <v>170</v>
      </c>
      <c r="H92" s="16" t="n">
        <v>803</v>
      </c>
      <c r="I92" s="16" t="n">
        <v>394</v>
      </c>
      <c r="J92" s="16" t="n">
        <v>409</v>
      </c>
      <c r="K92" s="16" t="n">
        <v>178</v>
      </c>
      <c r="L92" s="19" t="n">
        <f aca="false">(K92/H92)*100</f>
        <v>22.1668742216687</v>
      </c>
      <c r="M92" s="16" t="n">
        <v>0</v>
      </c>
      <c r="N92" s="19" t="n">
        <f aca="false">(M92/H92)*100</f>
        <v>0</v>
      </c>
      <c r="O92" s="16" t="n">
        <v>94</v>
      </c>
      <c r="P92" s="16" t="n">
        <v>0</v>
      </c>
      <c r="Q92" s="16"/>
      <c r="R92" s="87"/>
      <c r="S92" s="16"/>
      <c r="T92" s="16"/>
      <c r="U92" s="16"/>
      <c r="V92" s="16"/>
      <c r="W92" s="16"/>
      <c r="X92" s="16"/>
      <c r="Y92" s="16"/>
      <c r="Z92" s="16"/>
      <c r="AA92" s="87"/>
      <c r="AB92" s="87"/>
      <c r="AC92" s="16"/>
      <c r="AD92" s="16"/>
      <c r="AE92" s="16"/>
      <c r="AF92" s="16"/>
    </row>
    <row r="93" customFormat="false" ht="15.75" hidden="false" customHeight="false" outlineLevel="0" collapsed="false">
      <c r="A93" s="16" t="s">
        <v>42</v>
      </c>
      <c r="B93" s="16" t="s">
        <v>1260</v>
      </c>
      <c r="C93" s="71" t="s">
        <v>1449</v>
      </c>
      <c r="D93" s="72" t="s">
        <v>1450</v>
      </c>
      <c r="E93" s="16" t="s">
        <v>1451</v>
      </c>
      <c r="F93" s="16" t="n">
        <v>1889</v>
      </c>
      <c r="G93" s="16" t="n">
        <v>501</v>
      </c>
      <c r="H93" s="16" t="n">
        <v>2382</v>
      </c>
      <c r="I93" s="16" t="n">
        <v>1153</v>
      </c>
      <c r="J93" s="16" t="n">
        <v>1229</v>
      </c>
      <c r="K93" s="16" t="n">
        <v>275</v>
      </c>
      <c r="L93" s="19" t="n">
        <f aca="false">(K93/H93)*100</f>
        <v>11.5449202350966</v>
      </c>
      <c r="M93" s="16" t="n">
        <v>0</v>
      </c>
      <c r="N93" s="19" t="n">
        <f aca="false">(M93/H93)*100</f>
        <v>0</v>
      </c>
      <c r="O93" s="16" t="n">
        <v>0</v>
      </c>
      <c r="P93" s="16" t="n">
        <v>0</v>
      </c>
      <c r="Q93" s="20" t="s">
        <v>49</v>
      </c>
      <c r="R93" s="34" t="n">
        <v>45317</v>
      </c>
      <c r="S93" s="16"/>
      <c r="T93" s="20"/>
      <c r="U93" s="16"/>
      <c r="V93" s="16"/>
      <c r="W93" s="16"/>
      <c r="X93" s="16"/>
      <c r="Y93" s="16"/>
      <c r="Z93" s="16"/>
      <c r="AA93" s="21" t="s">
        <v>50</v>
      </c>
      <c r="AB93" s="21" t="n">
        <v>10</v>
      </c>
      <c r="AC93" s="254" t="s">
        <v>1452</v>
      </c>
      <c r="AD93" s="20"/>
      <c r="AE93" s="20"/>
      <c r="AF93" s="16"/>
    </row>
    <row r="94" customFormat="false" ht="15.75" hidden="false" customHeight="false" outlineLevel="0" collapsed="false">
      <c r="A94" s="16"/>
      <c r="B94" s="16"/>
      <c r="C94" s="71"/>
      <c r="D94" s="72"/>
      <c r="E94" s="16"/>
      <c r="F94" s="16"/>
      <c r="G94" s="16"/>
      <c r="H94" s="16"/>
      <c r="I94" s="16"/>
      <c r="J94" s="16"/>
      <c r="K94" s="16"/>
      <c r="L94" s="19"/>
      <c r="M94" s="16"/>
      <c r="N94" s="19" t="e">
        <f aca="false">(M94/H94)*100</f>
        <v>#DIV/0!</v>
      </c>
      <c r="O94" s="16"/>
      <c r="P94" s="16"/>
      <c r="Q94" s="228"/>
      <c r="R94" s="97"/>
      <c r="S94" s="16"/>
      <c r="T94" s="228"/>
      <c r="U94" s="16"/>
      <c r="V94" s="16"/>
      <c r="W94" s="16"/>
      <c r="X94" s="16"/>
      <c r="Y94" s="16"/>
      <c r="Z94" s="16"/>
      <c r="AA94" s="21" t="s">
        <v>50</v>
      </c>
      <c r="AB94" s="97" t="n">
        <v>15</v>
      </c>
      <c r="AC94" s="255" t="s">
        <v>1453</v>
      </c>
      <c r="AD94" s="228"/>
      <c r="AE94" s="228"/>
      <c r="AF94" s="16"/>
    </row>
    <row r="95" customFormat="false" ht="15.75" hidden="false" customHeight="false" outlineLevel="0" collapsed="false">
      <c r="A95" s="16"/>
      <c r="B95" s="16"/>
      <c r="C95" s="71"/>
      <c r="D95" s="72"/>
      <c r="E95" s="16"/>
      <c r="F95" s="16"/>
      <c r="G95" s="16"/>
      <c r="H95" s="16"/>
      <c r="I95" s="16"/>
      <c r="J95" s="16"/>
      <c r="K95" s="16"/>
      <c r="L95" s="19"/>
      <c r="M95" s="16"/>
      <c r="N95" s="19" t="e">
        <f aca="false">(M95/H95)*100</f>
        <v>#DIV/0!</v>
      </c>
      <c r="O95" s="16"/>
      <c r="P95" s="16"/>
      <c r="Q95" s="228"/>
      <c r="R95" s="97"/>
      <c r="S95" s="16"/>
      <c r="T95" s="228"/>
      <c r="U95" s="16"/>
      <c r="V95" s="16"/>
      <c r="W95" s="16"/>
      <c r="X95" s="16"/>
      <c r="Y95" s="16"/>
      <c r="Z95" s="16"/>
      <c r="AA95" s="21" t="s">
        <v>50</v>
      </c>
      <c r="AB95" s="97" t="n">
        <v>15</v>
      </c>
      <c r="AC95" s="255" t="s">
        <v>1454</v>
      </c>
      <c r="AD95" s="228"/>
      <c r="AE95" s="228"/>
      <c r="AF95" s="16"/>
    </row>
    <row r="96" customFormat="false" ht="15.75" hidden="false" customHeight="false" outlineLevel="0" collapsed="false">
      <c r="A96" s="16" t="s">
        <v>42</v>
      </c>
      <c r="B96" s="16" t="s">
        <v>1260</v>
      </c>
      <c r="C96" s="71" t="s">
        <v>1455</v>
      </c>
      <c r="D96" s="72" t="s">
        <v>1456</v>
      </c>
      <c r="E96" s="16" t="s">
        <v>1457</v>
      </c>
      <c r="F96" s="16" t="n">
        <v>2074</v>
      </c>
      <c r="G96" s="16" t="n">
        <v>1011</v>
      </c>
      <c r="H96" s="16" t="n">
        <v>5438</v>
      </c>
      <c r="I96" s="16" t="n">
        <v>2769</v>
      </c>
      <c r="J96" s="16" t="n">
        <v>2669</v>
      </c>
      <c r="K96" s="16" t="n">
        <v>1148</v>
      </c>
      <c r="L96" s="19" t="n">
        <f aca="false">(K96/H96)*100</f>
        <v>21.1107024641412</v>
      </c>
      <c r="M96" s="16" t="n">
        <v>12</v>
      </c>
      <c r="N96" s="19" t="n">
        <f aca="false">(M96/H96)*100</f>
        <v>0.220669363736668</v>
      </c>
      <c r="O96" s="16" t="n">
        <v>45</v>
      </c>
      <c r="P96" s="16" t="n">
        <v>0</v>
      </c>
      <c r="Q96" s="20" t="s">
        <v>49</v>
      </c>
      <c r="R96" s="34" t="n">
        <v>44748</v>
      </c>
      <c r="S96" s="16"/>
      <c r="T96" s="20" t="n">
        <v>44.9076</v>
      </c>
      <c r="U96" s="16"/>
      <c r="V96" s="16"/>
      <c r="W96" s="16"/>
      <c r="X96" s="16"/>
      <c r="Y96" s="16"/>
      <c r="Z96" s="16"/>
      <c r="AA96" s="21" t="s">
        <v>50</v>
      </c>
      <c r="AB96" s="21" t="n">
        <v>5</v>
      </c>
      <c r="AC96" s="95" t="s">
        <v>317</v>
      </c>
      <c r="AD96" s="20" t="n">
        <v>26.21497</v>
      </c>
      <c r="AE96" s="20" t="n">
        <v>73.661585</v>
      </c>
      <c r="AF96" s="16"/>
    </row>
    <row r="97" customFormat="false" ht="15.75" hidden="false" customHeight="false" outlineLevel="0" collapsed="false">
      <c r="A97" s="16" t="s">
        <v>42</v>
      </c>
      <c r="B97" s="16" t="s">
        <v>1260</v>
      </c>
      <c r="C97" s="71" t="s">
        <v>1455</v>
      </c>
      <c r="D97" s="16" t="s">
        <v>1458</v>
      </c>
      <c r="E97" s="16" t="s">
        <v>1459</v>
      </c>
      <c r="F97" s="16" t="n">
        <v>466</v>
      </c>
      <c r="G97" s="16" t="n">
        <v>64</v>
      </c>
      <c r="H97" s="16" t="n">
        <v>355</v>
      </c>
      <c r="I97" s="16" t="n">
        <v>171</v>
      </c>
      <c r="J97" s="16" t="n">
        <v>184</v>
      </c>
      <c r="K97" s="16" t="n">
        <v>4</v>
      </c>
      <c r="L97" s="19" t="n">
        <f aca="false">(K97/H97)*100</f>
        <v>1.12676056338028</v>
      </c>
      <c r="M97" s="16" t="n">
        <v>0</v>
      </c>
      <c r="N97" s="19" t="n">
        <f aca="false">(M97/H97)*100</f>
        <v>0</v>
      </c>
      <c r="O97" s="16" t="n">
        <v>0</v>
      </c>
      <c r="P97" s="16" t="n">
        <v>0</v>
      </c>
      <c r="Q97" s="20" t="s">
        <v>49</v>
      </c>
      <c r="R97" s="34" t="n">
        <v>44778</v>
      </c>
      <c r="S97" s="16"/>
      <c r="T97" s="20" t="n">
        <v>5</v>
      </c>
      <c r="U97" s="16"/>
      <c r="V97" s="16"/>
      <c r="W97" s="16"/>
      <c r="X97" s="16"/>
      <c r="Y97" s="16"/>
      <c r="Z97" s="16"/>
      <c r="AA97" s="21" t="s">
        <v>50</v>
      </c>
      <c r="AB97" s="21" t="n">
        <v>2</v>
      </c>
      <c r="AC97" s="20" t="s">
        <v>276</v>
      </c>
      <c r="AD97" s="20" t="n">
        <v>26.177499</v>
      </c>
      <c r="AE97" s="20" t="n">
        <v>73.656748</v>
      </c>
      <c r="AF97" s="16"/>
    </row>
    <row r="98" customFormat="false" ht="15.75" hidden="false" customHeight="false" outlineLevel="0" collapsed="false">
      <c r="A98" s="16" t="s">
        <v>42</v>
      </c>
      <c r="B98" s="16" t="s">
        <v>1260</v>
      </c>
      <c r="C98" s="71" t="s">
        <v>1455</v>
      </c>
      <c r="D98" s="16" t="s">
        <v>1460</v>
      </c>
      <c r="E98" s="16" t="s">
        <v>1461</v>
      </c>
      <c r="F98" s="16" t="n">
        <v>1436</v>
      </c>
      <c r="G98" s="16" t="n">
        <v>58</v>
      </c>
      <c r="H98" s="16" t="n">
        <v>315</v>
      </c>
      <c r="I98" s="16" t="n">
        <v>167</v>
      </c>
      <c r="J98" s="16" t="n">
        <v>148</v>
      </c>
      <c r="K98" s="16" t="n">
        <v>55</v>
      </c>
      <c r="L98" s="19" t="n">
        <f aca="false">(K98/H98)*100</f>
        <v>17.4603174603175</v>
      </c>
      <c r="M98" s="16" t="n">
        <v>1</v>
      </c>
      <c r="N98" s="19" t="n">
        <f aca="false">(M98/H98)*100</f>
        <v>0.317460317460317</v>
      </c>
      <c r="O98" s="16" t="n">
        <v>0</v>
      </c>
      <c r="P98" s="16" t="n">
        <v>0</v>
      </c>
      <c r="Q98" s="20" t="s">
        <v>49</v>
      </c>
      <c r="R98" s="34" t="n">
        <v>44778</v>
      </c>
      <c r="S98" s="16"/>
      <c r="T98" s="20" t="n">
        <v>2</v>
      </c>
      <c r="U98" s="16"/>
      <c r="V98" s="16"/>
      <c r="W98" s="16"/>
      <c r="X98" s="16"/>
      <c r="Y98" s="16"/>
      <c r="Z98" s="16"/>
      <c r="AA98" s="21" t="s">
        <v>50</v>
      </c>
      <c r="AB98" s="21" t="n">
        <v>2</v>
      </c>
      <c r="AC98" s="20" t="s">
        <v>276</v>
      </c>
      <c r="AD98" s="20" t="n">
        <v>26.201807</v>
      </c>
      <c r="AE98" s="20" t="n">
        <v>73.72066</v>
      </c>
      <c r="AF98" s="16"/>
    </row>
    <row r="99" customFormat="false" ht="15.75" hidden="false" customHeight="false" outlineLevel="0" collapsed="false">
      <c r="A99" s="16" t="s">
        <v>42</v>
      </c>
      <c r="B99" s="16" t="s">
        <v>1260</v>
      </c>
      <c r="C99" s="71" t="s">
        <v>1462</v>
      </c>
      <c r="D99" s="72" t="s">
        <v>1463</v>
      </c>
      <c r="E99" s="16" t="s">
        <v>1464</v>
      </c>
      <c r="F99" s="16" t="n">
        <v>2615</v>
      </c>
      <c r="G99" s="16" t="n">
        <v>328</v>
      </c>
      <c r="H99" s="16" t="n">
        <v>1940</v>
      </c>
      <c r="I99" s="16" t="n">
        <v>1007</v>
      </c>
      <c r="J99" s="16" t="n">
        <v>933</v>
      </c>
      <c r="K99" s="16" t="n">
        <v>468</v>
      </c>
      <c r="L99" s="19" t="n">
        <f aca="false">(K99/H99)*100</f>
        <v>24.1237113402062</v>
      </c>
      <c r="M99" s="16" t="n">
        <v>0</v>
      </c>
      <c r="N99" s="19" t="n">
        <f aca="false">(M99/H99)*100</f>
        <v>0</v>
      </c>
      <c r="O99" s="16" t="n">
        <v>177</v>
      </c>
      <c r="P99" s="16" t="n">
        <v>0</v>
      </c>
      <c r="Q99" s="20" t="s">
        <v>49</v>
      </c>
      <c r="R99" s="34" t="n">
        <v>44840</v>
      </c>
      <c r="S99" s="16"/>
      <c r="T99" s="20" t="n">
        <v>193.9254</v>
      </c>
      <c r="U99" s="16"/>
      <c r="V99" s="16"/>
      <c r="W99" s="16"/>
      <c r="X99" s="16"/>
      <c r="Y99" s="16"/>
      <c r="Z99" s="16"/>
      <c r="AA99" s="21"/>
      <c r="AB99" s="21" t="n">
        <v>43.84</v>
      </c>
      <c r="AC99" s="254" t="s">
        <v>1465</v>
      </c>
      <c r="AD99" s="267" t="n">
        <v>26.2</v>
      </c>
      <c r="AE99" s="20" t="n">
        <v>73.38</v>
      </c>
      <c r="AF99" s="16"/>
    </row>
    <row r="100" customFormat="false" ht="15.75" hidden="false" customHeight="false" outlineLevel="0" collapsed="false">
      <c r="A100" s="16" t="s">
        <v>42</v>
      </c>
      <c r="B100" s="16" t="s">
        <v>1260</v>
      </c>
      <c r="C100" s="71" t="s">
        <v>1462</v>
      </c>
      <c r="D100" s="16" t="s">
        <v>146</v>
      </c>
      <c r="E100" s="16" t="s">
        <v>1466</v>
      </c>
      <c r="F100" s="16" t="n">
        <v>559</v>
      </c>
      <c r="G100" s="16" t="n">
        <v>53</v>
      </c>
      <c r="H100" s="16" t="n">
        <v>304</v>
      </c>
      <c r="I100" s="16" t="n">
        <v>161</v>
      </c>
      <c r="J100" s="16" t="n">
        <v>143</v>
      </c>
      <c r="K100" s="16" t="n">
        <v>14</v>
      </c>
      <c r="L100" s="19" t="n">
        <f aca="false">(K100/H100)*100</f>
        <v>4.60526315789474</v>
      </c>
      <c r="M100" s="16" t="n">
        <v>0</v>
      </c>
      <c r="N100" s="19" t="n">
        <f aca="false">(M100/H100)*100</f>
        <v>0</v>
      </c>
      <c r="O100" s="16" t="n">
        <v>0</v>
      </c>
      <c r="P100" s="16" t="n">
        <v>0</v>
      </c>
      <c r="Q100" s="20" t="s">
        <v>49</v>
      </c>
      <c r="R100" s="34" t="n">
        <v>44840</v>
      </c>
      <c r="S100" s="16"/>
      <c r="T100" s="20"/>
      <c r="U100" s="16"/>
      <c r="V100" s="16"/>
      <c r="W100" s="16"/>
      <c r="X100" s="16"/>
      <c r="Y100" s="16"/>
      <c r="Z100" s="16"/>
      <c r="AA100" s="21" t="s">
        <v>50</v>
      </c>
      <c r="AB100" s="21" t="n">
        <v>10</v>
      </c>
      <c r="AC100" s="254" t="s">
        <v>1467</v>
      </c>
      <c r="AD100" s="267" t="s">
        <v>1468</v>
      </c>
      <c r="AE100" s="20" t="n">
        <v>73.4</v>
      </c>
      <c r="AF100" s="16"/>
    </row>
    <row r="101" customFormat="false" ht="15.75" hidden="false" customHeight="false" outlineLevel="0" collapsed="false">
      <c r="A101" s="16" t="s">
        <v>42</v>
      </c>
      <c r="B101" s="16" t="s">
        <v>1260</v>
      </c>
      <c r="C101" s="71" t="s">
        <v>1469</v>
      </c>
      <c r="D101" s="72" t="s">
        <v>1470</v>
      </c>
      <c r="E101" s="16" t="s">
        <v>1471</v>
      </c>
      <c r="F101" s="16" t="n">
        <v>5428.17</v>
      </c>
      <c r="G101" s="16" t="n">
        <v>1542</v>
      </c>
      <c r="H101" s="16" t="n">
        <v>8418</v>
      </c>
      <c r="I101" s="16" t="n">
        <v>4360</v>
      </c>
      <c r="J101" s="16" t="n">
        <v>4058</v>
      </c>
      <c r="K101" s="16" t="n">
        <v>1718</v>
      </c>
      <c r="L101" s="19" t="n">
        <f aca="false">(K101/H101)*100</f>
        <v>20.4086481349489</v>
      </c>
      <c r="M101" s="16" t="n">
        <v>1</v>
      </c>
      <c r="N101" s="19" t="n">
        <f aca="false">(M101/H101)*100</f>
        <v>0.0118793062485151</v>
      </c>
      <c r="O101" s="16" t="n">
        <v>164</v>
      </c>
      <c r="P101" s="16" t="n">
        <v>0</v>
      </c>
      <c r="Q101" s="20" t="s">
        <v>49</v>
      </c>
      <c r="R101" s="34" t="n">
        <v>44793</v>
      </c>
      <c r="S101" s="16"/>
      <c r="T101" s="20" t="n">
        <v>36.96</v>
      </c>
      <c r="U101" s="16"/>
      <c r="V101" s="16"/>
      <c r="W101" s="16"/>
      <c r="X101" s="16"/>
      <c r="Y101" s="16"/>
      <c r="Z101" s="16"/>
      <c r="AA101" s="21" t="s">
        <v>50</v>
      </c>
      <c r="AB101" s="21" t="n">
        <v>4</v>
      </c>
      <c r="AC101" s="95" t="s">
        <v>317</v>
      </c>
      <c r="AD101" s="20" t="n">
        <v>26.35731</v>
      </c>
      <c r="AE101" s="20" t="n">
        <v>73.763236</v>
      </c>
      <c r="AF101" s="16"/>
    </row>
    <row r="102" customFormat="false" ht="15.75" hidden="false" customHeight="false" outlineLevel="0" collapsed="false">
      <c r="A102" s="16" t="s">
        <v>42</v>
      </c>
      <c r="B102" s="16" t="s">
        <v>1260</v>
      </c>
      <c r="C102" s="71" t="s">
        <v>1472</v>
      </c>
      <c r="D102" s="72" t="s">
        <v>1473</v>
      </c>
      <c r="E102" s="16" t="s">
        <v>1474</v>
      </c>
      <c r="F102" s="16" t="n">
        <v>2842</v>
      </c>
      <c r="G102" s="16" t="n">
        <v>807</v>
      </c>
      <c r="H102" s="16" t="n">
        <v>4238</v>
      </c>
      <c r="I102" s="16" t="n">
        <v>2182</v>
      </c>
      <c r="J102" s="16" t="n">
        <v>2056</v>
      </c>
      <c r="K102" s="16" t="n">
        <v>350</v>
      </c>
      <c r="L102" s="19" t="n">
        <f aca="false">(K102/H102)*100</f>
        <v>8.25861255309108</v>
      </c>
      <c r="M102" s="16" t="n">
        <v>0</v>
      </c>
      <c r="N102" s="19" t="n">
        <f aca="false">(M102/H102)*100</f>
        <v>0</v>
      </c>
      <c r="O102" s="16" t="n">
        <v>54</v>
      </c>
      <c r="P102" s="16" t="n">
        <v>0</v>
      </c>
      <c r="Q102" s="133" t="s">
        <v>49</v>
      </c>
      <c r="R102" s="134" t="n">
        <v>45348</v>
      </c>
      <c r="S102" s="16"/>
      <c r="T102" s="133" t="n">
        <v>57.9891</v>
      </c>
      <c r="U102" s="16"/>
      <c r="V102" s="16"/>
      <c r="W102" s="16"/>
      <c r="X102" s="16"/>
      <c r="Y102" s="16"/>
      <c r="Z102" s="16"/>
      <c r="AA102" s="135" t="s">
        <v>50</v>
      </c>
      <c r="AB102" s="135" t="n">
        <v>15</v>
      </c>
      <c r="AC102" s="268" t="s">
        <v>1475</v>
      </c>
      <c r="AD102" s="133"/>
      <c r="AE102" s="133"/>
      <c r="AF102" s="16"/>
    </row>
    <row r="103" customFormat="false" ht="15.75" hidden="false" customHeight="false" outlineLevel="0" collapsed="false">
      <c r="A103" s="16"/>
      <c r="B103" s="16"/>
      <c r="C103" s="71"/>
      <c r="D103" s="72"/>
      <c r="E103" s="16"/>
      <c r="F103" s="16"/>
      <c r="G103" s="16"/>
      <c r="H103" s="16"/>
      <c r="I103" s="16"/>
      <c r="J103" s="16"/>
      <c r="K103" s="16"/>
      <c r="L103" s="19"/>
      <c r="M103" s="16"/>
      <c r="N103" s="19" t="e">
        <f aca="false">(M103/H103)*100</f>
        <v>#DIV/0!</v>
      </c>
      <c r="O103" s="16"/>
      <c r="P103" s="16"/>
      <c r="Q103" s="228"/>
      <c r="R103" s="97"/>
      <c r="S103" s="16"/>
      <c r="T103" s="228"/>
      <c r="U103" s="16"/>
      <c r="V103" s="16"/>
      <c r="W103" s="16"/>
      <c r="X103" s="16"/>
      <c r="Y103" s="16"/>
      <c r="Z103" s="16"/>
      <c r="AA103" s="97" t="s">
        <v>50</v>
      </c>
      <c r="AB103" s="97" t="n">
        <v>15</v>
      </c>
      <c r="AC103" s="255" t="s">
        <v>1476</v>
      </c>
      <c r="AD103" s="228"/>
      <c r="AE103" s="228"/>
      <c r="AF103" s="16"/>
    </row>
    <row r="104" customFormat="false" ht="15.75" hidden="false" customHeight="false" outlineLevel="0" collapsed="false">
      <c r="A104" s="16"/>
      <c r="B104" s="16"/>
      <c r="C104" s="71"/>
      <c r="D104" s="72"/>
      <c r="E104" s="16"/>
      <c r="F104" s="16"/>
      <c r="G104" s="16"/>
      <c r="H104" s="16"/>
      <c r="I104" s="16"/>
      <c r="J104" s="16"/>
      <c r="K104" s="16"/>
      <c r="L104" s="19"/>
      <c r="M104" s="16"/>
      <c r="N104" s="19" t="e">
        <f aca="false">(M104/H104)*100</f>
        <v>#DIV/0!</v>
      </c>
      <c r="O104" s="16"/>
      <c r="P104" s="16"/>
      <c r="Q104" s="228"/>
      <c r="R104" s="97"/>
      <c r="S104" s="16"/>
      <c r="T104" s="228"/>
      <c r="U104" s="16"/>
      <c r="V104" s="16"/>
      <c r="W104" s="16"/>
      <c r="X104" s="16"/>
      <c r="Y104" s="16"/>
      <c r="Z104" s="16"/>
      <c r="AA104" s="97" t="s">
        <v>50</v>
      </c>
      <c r="AB104" s="97" t="n">
        <v>15</v>
      </c>
      <c r="AC104" s="255" t="s">
        <v>1477</v>
      </c>
      <c r="AD104" s="228"/>
      <c r="AE104" s="228"/>
      <c r="AF104" s="16"/>
    </row>
    <row r="105" customFormat="false" ht="15.75" hidden="false" customHeight="false" outlineLevel="0" collapsed="false">
      <c r="A105" s="16" t="s">
        <v>42</v>
      </c>
      <c r="B105" s="16" t="s">
        <v>1260</v>
      </c>
      <c r="C105" s="71" t="s">
        <v>1478</v>
      </c>
      <c r="D105" s="72" t="s">
        <v>1479</v>
      </c>
      <c r="E105" s="16" t="s">
        <v>1480</v>
      </c>
      <c r="F105" s="16" t="n">
        <v>1338</v>
      </c>
      <c r="G105" s="16" t="n">
        <v>390</v>
      </c>
      <c r="H105" s="16" t="n">
        <v>2061</v>
      </c>
      <c r="I105" s="16" t="n">
        <v>1070</v>
      </c>
      <c r="J105" s="16" t="n">
        <v>991</v>
      </c>
      <c r="K105" s="16" t="n">
        <v>572</v>
      </c>
      <c r="L105" s="19" t="n">
        <f aca="false">(K105/H105)*100</f>
        <v>27.7535177098496</v>
      </c>
      <c r="M105" s="16" t="n">
        <v>234</v>
      </c>
      <c r="N105" s="19" t="n">
        <f aca="false">(M105/H105)*100</f>
        <v>11.353711790393</v>
      </c>
      <c r="O105" s="16" t="n">
        <v>315</v>
      </c>
      <c r="P105" s="16" t="n">
        <v>0</v>
      </c>
      <c r="Q105" s="20" t="s">
        <v>49</v>
      </c>
      <c r="R105" s="34" t="n">
        <v>45348</v>
      </c>
      <c r="S105" s="16"/>
      <c r="T105" s="20" t="n">
        <v>297.1683</v>
      </c>
      <c r="U105" s="16"/>
      <c r="V105" s="16"/>
      <c r="W105" s="16"/>
      <c r="X105" s="16"/>
      <c r="Y105" s="16"/>
      <c r="Z105" s="16"/>
      <c r="AA105" s="21" t="s">
        <v>50</v>
      </c>
      <c r="AB105" s="21" t="n">
        <v>10</v>
      </c>
      <c r="AC105" s="254" t="s">
        <v>1481</v>
      </c>
      <c r="AD105" s="20"/>
      <c r="AE105" s="20"/>
      <c r="AF105" s="16"/>
    </row>
    <row r="106" customFormat="false" ht="15.75" hidden="false" customHeight="false" outlineLevel="0" collapsed="false">
      <c r="A106" s="16" t="s">
        <v>42</v>
      </c>
      <c r="B106" s="16" t="s">
        <v>1260</v>
      </c>
      <c r="C106" s="71" t="s">
        <v>1478</v>
      </c>
      <c r="D106" s="16" t="s">
        <v>1482</v>
      </c>
      <c r="E106" s="16" t="s">
        <v>1483</v>
      </c>
      <c r="F106" s="16" t="n">
        <v>707</v>
      </c>
      <c r="G106" s="16" t="n">
        <v>159</v>
      </c>
      <c r="H106" s="16" t="n">
        <v>854</v>
      </c>
      <c r="I106" s="16" t="n">
        <v>433</v>
      </c>
      <c r="J106" s="16" t="n">
        <v>421</v>
      </c>
      <c r="K106" s="16" t="n">
        <v>279</v>
      </c>
      <c r="L106" s="19" t="n">
        <f aca="false">(K106/H106)*100</f>
        <v>32.6697892271663</v>
      </c>
      <c r="M106" s="16" t="n">
        <v>0</v>
      </c>
      <c r="N106" s="19" t="n">
        <f aca="false">(M106/H106)*100</f>
        <v>0</v>
      </c>
      <c r="O106" s="16" t="n">
        <v>44</v>
      </c>
      <c r="P106" s="16" t="n">
        <v>0</v>
      </c>
      <c r="Q106" s="20" t="s">
        <v>49</v>
      </c>
      <c r="R106" s="34" t="n">
        <v>45348</v>
      </c>
      <c r="S106" s="16"/>
      <c r="T106" s="20" t="n">
        <v>43.8882</v>
      </c>
      <c r="U106" s="16"/>
      <c r="V106" s="16"/>
      <c r="W106" s="16"/>
      <c r="X106" s="16"/>
      <c r="Y106" s="16"/>
      <c r="Z106" s="16"/>
      <c r="AA106" s="21" t="s">
        <v>50</v>
      </c>
      <c r="AB106" s="21" t="n">
        <v>10</v>
      </c>
      <c r="AC106" s="254" t="s">
        <v>1484</v>
      </c>
      <c r="AD106" s="20"/>
      <c r="AE106" s="20"/>
      <c r="AF106" s="16"/>
    </row>
    <row r="107" customFormat="false" ht="17.25" hidden="false" customHeight="false" outlineLevel="0" collapsed="false">
      <c r="A107" s="16" t="s">
        <v>42</v>
      </c>
      <c r="B107" s="16" t="s">
        <v>1260</v>
      </c>
      <c r="C107" s="71" t="s">
        <v>1485</v>
      </c>
      <c r="D107" s="72" t="s">
        <v>1485</v>
      </c>
      <c r="E107" s="16" t="s">
        <v>1486</v>
      </c>
      <c r="F107" s="16" t="n">
        <v>933</v>
      </c>
      <c r="G107" s="16" t="n">
        <v>506</v>
      </c>
      <c r="H107" s="16" t="n">
        <v>2592</v>
      </c>
      <c r="I107" s="16" t="n">
        <v>1365</v>
      </c>
      <c r="J107" s="16" t="n">
        <v>1227</v>
      </c>
      <c r="K107" s="16" t="n">
        <v>0</v>
      </c>
      <c r="L107" s="19" t="n">
        <f aca="false">(K107/H107)*100</f>
        <v>0</v>
      </c>
      <c r="M107" s="16" t="n">
        <v>0</v>
      </c>
      <c r="N107" s="19" t="n">
        <f aca="false">(M107/H107)*100</f>
        <v>0</v>
      </c>
      <c r="O107" s="16" t="n">
        <v>53</v>
      </c>
      <c r="P107" s="16" t="n">
        <v>0</v>
      </c>
      <c r="Q107" s="24"/>
      <c r="R107" s="25" t="n">
        <v>46249</v>
      </c>
      <c r="S107" s="16"/>
      <c r="T107" s="24" t="n">
        <v>40.86</v>
      </c>
      <c r="U107" s="16"/>
      <c r="V107" s="16"/>
      <c r="W107" s="16"/>
      <c r="X107" s="16"/>
      <c r="Y107" s="16"/>
      <c r="Z107" s="16"/>
      <c r="AA107" s="26" t="s">
        <v>50</v>
      </c>
      <c r="AB107" s="26" t="n">
        <v>5</v>
      </c>
      <c r="AC107" s="27" t="s">
        <v>1487</v>
      </c>
      <c r="AD107" s="24"/>
      <c r="AE107" s="24"/>
      <c r="AF107" s="16" t="s">
        <v>1277</v>
      </c>
    </row>
    <row r="108" customFormat="false" ht="17.25" hidden="false" customHeight="false" outlineLevel="0" collapsed="false">
      <c r="A108" s="16"/>
      <c r="B108" s="16"/>
      <c r="C108" s="71"/>
      <c r="D108" s="72"/>
      <c r="E108" s="16"/>
      <c r="F108" s="16"/>
      <c r="G108" s="16"/>
      <c r="H108" s="16"/>
      <c r="I108" s="16"/>
      <c r="J108" s="16"/>
      <c r="K108" s="16"/>
      <c r="L108" s="19"/>
      <c r="M108" s="16"/>
      <c r="N108" s="19"/>
      <c r="O108" s="16"/>
      <c r="P108" s="16"/>
      <c r="Q108" s="269"/>
      <c r="R108" s="270"/>
      <c r="S108" s="16"/>
      <c r="T108" s="269"/>
      <c r="U108" s="16"/>
      <c r="V108" s="16"/>
      <c r="W108" s="16"/>
      <c r="X108" s="16"/>
      <c r="Y108" s="16"/>
      <c r="Z108" s="16"/>
      <c r="AA108" s="271" t="s">
        <v>50</v>
      </c>
      <c r="AB108" s="271" t="n">
        <v>6</v>
      </c>
      <c r="AC108" s="272" t="s">
        <v>1488</v>
      </c>
      <c r="AD108" s="269"/>
      <c r="AE108" s="269"/>
      <c r="AF108" s="16" t="s">
        <v>1277</v>
      </c>
    </row>
    <row r="109" customFormat="false" ht="17.25" hidden="false" customHeight="false" outlineLevel="0" collapsed="false">
      <c r="A109" s="16"/>
      <c r="B109" s="16"/>
      <c r="C109" s="71"/>
      <c r="D109" s="72"/>
      <c r="E109" s="16"/>
      <c r="F109" s="16"/>
      <c r="G109" s="16"/>
      <c r="H109" s="16"/>
      <c r="I109" s="16"/>
      <c r="J109" s="16"/>
      <c r="K109" s="16"/>
      <c r="L109" s="19"/>
      <c r="M109" s="16"/>
      <c r="N109" s="19"/>
      <c r="O109" s="16"/>
      <c r="P109" s="16"/>
      <c r="Q109" s="269"/>
      <c r="R109" s="270"/>
      <c r="S109" s="16"/>
      <c r="T109" s="269"/>
      <c r="U109" s="16"/>
      <c r="V109" s="16"/>
      <c r="W109" s="16"/>
      <c r="X109" s="16"/>
      <c r="Y109" s="16"/>
      <c r="Z109" s="16"/>
      <c r="AA109" s="271" t="s">
        <v>50</v>
      </c>
      <c r="AB109" s="271" t="n">
        <v>3</v>
      </c>
      <c r="AC109" s="272" t="s">
        <v>1489</v>
      </c>
      <c r="AD109" s="269"/>
      <c r="AE109" s="269"/>
      <c r="AF109" s="16" t="s">
        <v>1277</v>
      </c>
    </row>
    <row r="110" customFormat="false" ht="17.25" hidden="false" customHeight="false" outlineLevel="0" collapsed="false">
      <c r="A110" s="16"/>
      <c r="B110" s="16"/>
      <c r="C110" s="71"/>
      <c r="D110" s="72"/>
      <c r="E110" s="16"/>
      <c r="F110" s="16"/>
      <c r="G110" s="16"/>
      <c r="H110" s="16"/>
      <c r="I110" s="16"/>
      <c r="J110" s="16"/>
      <c r="K110" s="16"/>
      <c r="L110" s="19"/>
      <c r="M110" s="16"/>
      <c r="N110" s="19"/>
      <c r="O110" s="16"/>
      <c r="P110" s="16"/>
      <c r="Q110" s="269"/>
      <c r="R110" s="270"/>
      <c r="S110" s="16"/>
      <c r="T110" s="269"/>
      <c r="U110" s="16"/>
      <c r="V110" s="16"/>
      <c r="W110" s="16"/>
      <c r="X110" s="16"/>
      <c r="Y110" s="16"/>
      <c r="Z110" s="16"/>
      <c r="AA110" s="271" t="s">
        <v>50</v>
      </c>
      <c r="AB110" s="271" t="n">
        <v>10</v>
      </c>
      <c r="AC110" s="272" t="s">
        <v>1490</v>
      </c>
      <c r="AD110" s="269"/>
      <c r="AE110" s="269"/>
      <c r="AF110" s="16" t="s">
        <v>1277</v>
      </c>
    </row>
    <row r="111" customFormat="false" ht="15.75" hidden="false" customHeight="false" outlineLevel="0" collapsed="false">
      <c r="A111" s="16" t="s">
        <v>42</v>
      </c>
      <c r="B111" s="16" t="s">
        <v>1260</v>
      </c>
      <c r="C111" s="71" t="s">
        <v>1491</v>
      </c>
      <c r="D111" s="72" t="s">
        <v>1492</v>
      </c>
      <c r="E111" s="16" t="s">
        <v>1493</v>
      </c>
      <c r="F111" s="16" t="n">
        <v>688</v>
      </c>
      <c r="G111" s="16" t="n">
        <v>626</v>
      </c>
      <c r="H111" s="16" t="n">
        <v>3068</v>
      </c>
      <c r="I111" s="16" t="n">
        <v>1534</v>
      </c>
      <c r="J111" s="16" t="n">
        <v>1534</v>
      </c>
      <c r="K111" s="16" t="n">
        <v>862</v>
      </c>
      <c r="L111" s="19" t="n">
        <f aca="false">(K111/H111)*100</f>
        <v>28.096479791395</v>
      </c>
      <c r="M111" s="16" t="n">
        <v>0</v>
      </c>
      <c r="N111" s="19" t="n">
        <f aca="false">(M111/H111)*100</f>
        <v>0</v>
      </c>
      <c r="O111" s="16" t="n">
        <v>53</v>
      </c>
      <c r="P111" s="16" t="n">
        <v>0</v>
      </c>
      <c r="Q111" s="26" t="s">
        <v>49</v>
      </c>
      <c r="R111" s="25" t="n">
        <v>44725</v>
      </c>
      <c r="S111" s="16"/>
      <c r="T111" s="92" t="n">
        <v>45.8703</v>
      </c>
      <c r="U111" s="16"/>
      <c r="V111" s="16"/>
      <c r="W111" s="16"/>
      <c r="X111" s="16"/>
      <c r="Y111" s="16"/>
      <c r="Z111" s="16"/>
      <c r="AA111" s="273" t="s">
        <v>50</v>
      </c>
      <c r="AB111" s="79" t="n">
        <v>10</v>
      </c>
      <c r="AC111" s="21" t="s">
        <v>276</v>
      </c>
      <c r="AD111" s="274" t="n">
        <v>26.240208</v>
      </c>
      <c r="AE111" s="274" t="n">
        <v>73.761416</v>
      </c>
      <c r="AF111" s="16"/>
    </row>
    <row r="112" customFormat="false" ht="15.75" hidden="false" customHeight="false" outlineLevel="0" collapsed="false">
      <c r="A112" s="16" t="s">
        <v>42</v>
      </c>
      <c r="B112" s="16" t="s">
        <v>1260</v>
      </c>
      <c r="C112" s="71" t="s">
        <v>1491</v>
      </c>
      <c r="D112" s="16" t="s">
        <v>1494</v>
      </c>
      <c r="E112" s="16" t="s">
        <v>1495</v>
      </c>
      <c r="F112" s="16" t="n">
        <v>371</v>
      </c>
      <c r="G112" s="16" t="n">
        <v>149</v>
      </c>
      <c r="H112" s="16" t="n">
        <v>612</v>
      </c>
      <c r="I112" s="16" t="n">
        <v>310</v>
      </c>
      <c r="J112" s="16" t="n">
        <v>302</v>
      </c>
      <c r="K112" s="16" t="n">
        <v>146</v>
      </c>
      <c r="L112" s="19" t="n">
        <f aca="false">(K112/H112)*100</f>
        <v>23.8562091503268</v>
      </c>
      <c r="M112" s="16" t="n">
        <v>6</v>
      </c>
      <c r="N112" s="19" t="n">
        <f aca="false">(M112/H112)*100</f>
        <v>0.980392156862745</v>
      </c>
      <c r="O112" s="16" t="n">
        <v>18</v>
      </c>
      <c r="P112" s="16" t="n">
        <v>0</v>
      </c>
      <c r="Q112" s="20" t="s">
        <v>49</v>
      </c>
      <c r="R112" s="34" t="n">
        <v>44726</v>
      </c>
      <c r="S112" s="16"/>
      <c r="T112" s="275" t="n">
        <v>21.9644</v>
      </c>
      <c r="U112" s="16"/>
      <c r="V112" s="16"/>
      <c r="W112" s="16"/>
      <c r="X112" s="16"/>
      <c r="Y112" s="16"/>
      <c r="Z112" s="16"/>
      <c r="AA112" s="21" t="s">
        <v>50</v>
      </c>
      <c r="AB112" s="21" t="n">
        <v>5</v>
      </c>
      <c r="AC112" s="95" t="s">
        <v>276</v>
      </c>
      <c r="AD112" s="20" t="n">
        <v>26.252453</v>
      </c>
      <c r="AE112" s="20" t="n">
        <v>73.764171</v>
      </c>
      <c r="AF112" s="16"/>
    </row>
    <row r="113" customFormat="false" ht="15.75" hidden="false" customHeight="false" outlineLevel="0" collapsed="false">
      <c r="A113" s="16" t="s">
        <v>42</v>
      </c>
      <c r="B113" s="16" t="s">
        <v>1260</v>
      </c>
      <c r="C113" s="16"/>
      <c r="D113" s="16" t="s">
        <v>1496</v>
      </c>
      <c r="E113" s="16" t="s">
        <v>1497</v>
      </c>
      <c r="F113" s="16" t="n">
        <v>0</v>
      </c>
      <c r="G113" s="16" t="n">
        <v>0</v>
      </c>
      <c r="H113" s="16" t="n">
        <v>0</v>
      </c>
      <c r="I113" s="16" t="n">
        <v>0</v>
      </c>
      <c r="J113" s="16" t="n">
        <v>0</v>
      </c>
      <c r="K113" s="16" t="n">
        <v>0</v>
      </c>
      <c r="L113" s="19"/>
      <c r="M113" s="16" t="n">
        <v>0</v>
      </c>
      <c r="N113" s="19"/>
      <c r="O113" s="16" t="n">
        <v>0</v>
      </c>
      <c r="P113" s="16" t="n">
        <v>0</v>
      </c>
      <c r="Q113" s="16"/>
      <c r="R113" s="87"/>
      <c r="S113" s="16"/>
      <c r="T113" s="16"/>
      <c r="U113" s="16"/>
      <c r="V113" s="16"/>
      <c r="W113" s="16"/>
      <c r="X113" s="16"/>
      <c r="Y113" s="16"/>
      <c r="Z113" s="16"/>
      <c r="AA113" s="87"/>
      <c r="AB113" s="87"/>
      <c r="AC113" s="16"/>
      <c r="AD113" s="16"/>
      <c r="AE113" s="16"/>
      <c r="AF113" s="16"/>
    </row>
    <row r="114" customFormat="false" ht="15.75" hidden="false" customHeight="false" outlineLevel="0" collapsed="false">
      <c r="F114" s="58" t="n">
        <f aca="false">SUM(F4:F113)</f>
        <v>97514.02</v>
      </c>
      <c r="G114" s="58" t="n">
        <f aca="false">SUM(G4:G113)</f>
        <v>24616</v>
      </c>
      <c r="H114" s="58" t="n">
        <f aca="false">SUM(H4:H113)</f>
        <v>124825</v>
      </c>
      <c r="I114" s="58" t="n">
        <f aca="false">SUM(I4:I113)</f>
        <v>63661</v>
      </c>
      <c r="J114" s="58" t="n">
        <f aca="false">SUM(J4:J113)</f>
        <v>61164</v>
      </c>
      <c r="K114" s="58" t="n">
        <f aca="false">SUM(K4:K113)</f>
        <v>28127</v>
      </c>
      <c r="M114" s="58" t="n">
        <f aca="false">SUM(M4:M113)</f>
        <v>979</v>
      </c>
      <c r="O114" s="58" t="n">
        <f aca="false">SUM(O4:O113)</f>
        <v>5465.89</v>
      </c>
      <c r="P114" s="58" t="n">
        <f aca="false">SUM(P4:P113)</f>
        <v>378</v>
      </c>
      <c r="Z114" s="16"/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5"/>
  </conditionalFormatting>
  <hyperlinks>
    <hyperlink ref="AC54" r:id="rId1" display="खसरा नम्बर 764 जैतीवास में गैर मुमकिन गोचर भूमि विकास कार्य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Y3" activePane="bottomRight" state="frozen"/>
      <selection pane="topLeft" activeCell="A1" activeCellId="0" sqref="A1"/>
      <selection pane="topRight" activeCell="Y1" activeCellId="0" sqref="Y1"/>
      <selection pane="bottomLeft" activeCell="A3" activeCellId="0" sqref="A3"/>
      <selection pane="bottomRight" activeCell="AD1" activeCellId="0" sqref="AD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58" width="10.57"/>
    <col collapsed="false" customWidth="true" hidden="false" outlineLevel="0" max="2" min="2" style="58" width="8.85"/>
    <col collapsed="false" customWidth="true" hidden="false" outlineLevel="0" max="3" min="3" style="58" width="20.28"/>
    <col collapsed="false" customWidth="true" hidden="false" outlineLevel="0" max="4" min="4" style="58" width="24.43"/>
    <col collapsed="false" customWidth="true" hidden="false" outlineLevel="0" max="5" min="5" style="58" width="18.71"/>
    <col collapsed="false" customWidth="true" hidden="false" outlineLevel="0" max="6" min="6" style="58" width="11.43"/>
    <col collapsed="false" customWidth="true" hidden="false" outlineLevel="0" max="7" min="7" style="58" width="12.57"/>
    <col collapsed="false" customWidth="true" hidden="false" outlineLevel="0" max="8" min="8" style="58" width="12.71"/>
    <col collapsed="false" customWidth="true" hidden="false" outlineLevel="0" max="9" min="9" style="58" width="10.85"/>
    <col collapsed="false" customWidth="true" hidden="false" outlineLevel="0" max="10" min="10" style="58" width="8"/>
    <col collapsed="false" customWidth="true" hidden="false" outlineLevel="0" max="11" min="11" style="58" width="10.71"/>
    <col collapsed="false" customWidth="true" hidden="false" outlineLevel="0" max="12" min="12" style="58" width="8.57"/>
    <col collapsed="false" customWidth="true" hidden="false" outlineLevel="0" max="13" min="13" style="58" width="7.85"/>
    <col collapsed="false" customWidth="true" hidden="false" outlineLevel="0" max="14" min="14" style="58" width="8.57"/>
    <col collapsed="false" customWidth="true" hidden="false" outlineLevel="0" max="15" min="15" style="58" width="12.85"/>
    <col collapsed="false" customWidth="true" hidden="false" outlineLevel="0" max="16" min="16" style="58" width="11.57"/>
    <col collapsed="false" customWidth="true" hidden="false" outlineLevel="0" max="17" min="17" style="58" width="15.14"/>
    <col collapsed="false" customWidth="true" hidden="false" outlineLevel="0" max="19" min="18" style="58" width="13"/>
    <col collapsed="false" customWidth="true" hidden="false" outlineLevel="0" max="20" min="20" style="58" width="12.85"/>
    <col collapsed="false" customWidth="true" hidden="false" outlineLevel="0" max="24" min="21" style="58" width="13.28"/>
    <col collapsed="false" customWidth="true" hidden="false" outlineLevel="0" max="25" min="25" style="58" width="13.71"/>
    <col collapsed="false" customWidth="true" hidden="false" outlineLevel="0" max="26" min="26" style="58" width="13.28"/>
    <col collapsed="false" customWidth="true" hidden="false" outlineLevel="0" max="27" min="27" style="58" width="17"/>
    <col collapsed="false" customWidth="true" hidden="false" outlineLevel="0" max="28" min="28" style="58" width="15"/>
    <col collapsed="false" customWidth="true" hidden="false" outlineLevel="0" max="29" min="29" style="58" width="28.14"/>
    <col collapsed="false" customWidth="true" hidden="false" outlineLevel="0" max="30" min="30" style="58" width="10.85"/>
    <col collapsed="false" customWidth="true" hidden="false" outlineLevel="0" max="31" min="31" style="58" width="11.43"/>
    <col collapsed="false" customWidth="false" hidden="false" outlineLevel="0" max="1024" min="32" style="58" width="9.14"/>
  </cols>
  <sheetData>
    <row r="1" s="13" customFormat="true" ht="18.75" hidden="false" customHeight="false" outlineLevel="0" collapsed="false">
      <c r="A1" s="6"/>
      <c r="B1" s="6"/>
      <c r="C1" s="6"/>
      <c r="D1" s="6"/>
      <c r="E1" s="6"/>
      <c r="F1" s="6"/>
      <c r="G1" s="6"/>
      <c r="H1" s="6"/>
      <c r="I1" s="6"/>
      <c r="J1" s="6"/>
      <c r="K1" s="14"/>
      <c r="L1" s="14"/>
      <c r="M1" s="14"/>
      <c r="N1" s="8"/>
      <c r="O1" s="14"/>
      <c r="P1" s="14"/>
      <c r="Q1" s="3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213" t="s">
        <v>2</v>
      </c>
      <c r="W1" s="213" t="s">
        <v>2</v>
      </c>
      <c r="X1" s="213" t="s">
        <v>2</v>
      </c>
      <c r="Y1" s="213" t="s">
        <v>2</v>
      </c>
      <c r="Z1" s="214" t="s">
        <v>3</v>
      </c>
      <c r="AA1" s="214" t="s">
        <v>3</v>
      </c>
      <c r="AB1" s="214" t="s">
        <v>3</v>
      </c>
      <c r="AC1" s="215" t="s">
        <v>3</v>
      </c>
      <c r="AD1" s="5" t="s">
        <v>3</v>
      </c>
      <c r="AE1" s="5" t="s">
        <v>3</v>
      </c>
    </row>
    <row r="2" s="110" customFormat="true" ht="141.7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276" t="s">
        <v>1258</v>
      </c>
    </row>
    <row r="3" s="110" customFormat="tru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1259</v>
      </c>
      <c r="L3" s="6" t="s">
        <v>34</v>
      </c>
      <c r="M3" s="6" t="s">
        <v>1259</v>
      </c>
      <c r="N3" s="6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71"/>
    </row>
    <row r="4" customFormat="false" ht="15.75" hidden="false" customHeight="false" outlineLevel="0" collapsed="false">
      <c r="A4" s="16" t="s">
        <v>42</v>
      </c>
      <c r="B4" s="16" t="s">
        <v>1498</v>
      </c>
      <c r="C4" s="71" t="s">
        <v>1499</v>
      </c>
      <c r="D4" s="72" t="s">
        <v>1500</v>
      </c>
      <c r="E4" s="16" t="s">
        <v>1501</v>
      </c>
      <c r="F4" s="16" t="n">
        <v>440.3</v>
      </c>
      <c r="G4" s="16" t="n">
        <v>76</v>
      </c>
      <c r="H4" s="16" t="n">
        <v>552</v>
      </c>
      <c r="I4" s="16" t="n">
        <v>300</v>
      </c>
      <c r="J4" s="16" t="n">
        <v>252</v>
      </c>
      <c r="K4" s="16" t="n">
        <v>21</v>
      </c>
      <c r="L4" s="19" t="n">
        <f aca="false">(K4/H4)*100</f>
        <v>3.80434782608696</v>
      </c>
      <c r="M4" s="16" t="n">
        <v>0</v>
      </c>
      <c r="N4" s="19" t="n">
        <f aca="false">(M4/H4)*100</f>
        <v>0</v>
      </c>
      <c r="O4" s="16" t="n">
        <v>32.25</v>
      </c>
      <c r="P4" s="16" t="n">
        <v>0</v>
      </c>
      <c r="Q4" s="24" t="s">
        <v>49</v>
      </c>
      <c r="R4" s="25" t="n">
        <v>44628</v>
      </c>
      <c r="S4" s="16"/>
      <c r="T4" s="24" t="n">
        <v>9.6</v>
      </c>
      <c r="U4" s="16"/>
      <c r="V4" s="16"/>
      <c r="W4" s="16"/>
      <c r="X4" s="16"/>
      <c r="Y4" s="16"/>
      <c r="Z4" s="16"/>
      <c r="AA4" s="26" t="s">
        <v>266</v>
      </c>
      <c r="AB4" s="26" t="n">
        <v>2</v>
      </c>
      <c r="AC4" s="129" t="s">
        <v>1502</v>
      </c>
      <c r="AD4" s="24" t="n">
        <v>26.816709</v>
      </c>
      <c r="AE4" s="24" t="n">
        <v>72.555435</v>
      </c>
      <c r="AF4" s="16"/>
    </row>
    <row r="5" customFormat="false" ht="15.75" hidden="false" customHeight="false" outlineLevel="0" collapsed="false">
      <c r="A5" s="16" t="s">
        <v>42</v>
      </c>
      <c r="B5" s="16" t="s">
        <v>1498</v>
      </c>
      <c r="C5" s="71" t="s">
        <v>1499</v>
      </c>
      <c r="D5" s="16" t="s">
        <v>1503</v>
      </c>
      <c r="E5" s="16" t="s">
        <v>1504</v>
      </c>
      <c r="F5" s="16" t="n">
        <v>557.03</v>
      </c>
      <c r="G5" s="16" t="n">
        <v>36</v>
      </c>
      <c r="H5" s="16" t="n">
        <v>259</v>
      </c>
      <c r="I5" s="16" t="n">
        <v>132</v>
      </c>
      <c r="J5" s="16" t="n">
        <v>127</v>
      </c>
      <c r="K5" s="16" t="n">
        <v>54</v>
      </c>
      <c r="L5" s="19" t="n">
        <f aca="false">(K5/H5)*100</f>
        <v>20.8494208494208</v>
      </c>
      <c r="M5" s="16" t="n">
        <v>0</v>
      </c>
      <c r="N5" s="19" t="n">
        <f aca="false">(M5/H5)*100</f>
        <v>0</v>
      </c>
      <c r="O5" s="16" t="n">
        <v>21</v>
      </c>
      <c r="P5" s="16" t="n">
        <v>0</v>
      </c>
      <c r="Q5" s="24" t="s">
        <v>49</v>
      </c>
      <c r="R5" s="25" t="n">
        <v>44627</v>
      </c>
      <c r="S5" s="16"/>
      <c r="T5" s="24" t="n">
        <v>12.8</v>
      </c>
      <c r="U5" s="16"/>
      <c r="V5" s="16"/>
      <c r="W5" s="16"/>
      <c r="X5" s="16"/>
      <c r="Y5" s="16"/>
      <c r="Z5" s="16"/>
      <c r="AA5" s="26" t="s">
        <v>266</v>
      </c>
      <c r="AB5" s="26" t="n">
        <v>5</v>
      </c>
      <c r="AC5" s="129" t="s">
        <v>1502</v>
      </c>
      <c r="AD5" s="24" t="n">
        <v>26.77431</v>
      </c>
      <c r="AE5" s="24" t="n">
        <v>72.504387</v>
      </c>
      <c r="AF5" s="16"/>
    </row>
    <row r="6" customFormat="false" ht="15.75" hidden="false" customHeight="false" outlineLevel="0" collapsed="false">
      <c r="A6" s="16" t="s">
        <v>42</v>
      </c>
      <c r="B6" s="16" t="s">
        <v>1498</v>
      </c>
      <c r="C6" s="71" t="s">
        <v>1499</v>
      </c>
      <c r="D6" s="16" t="s">
        <v>1505</v>
      </c>
      <c r="E6" s="16" t="s">
        <v>1506</v>
      </c>
      <c r="F6" s="16" t="n">
        <v>489.4</v>
      </c>
      <c r="G6" s="16" t="n">
        <v>58</v>
      </c>
      <c r="H6" s="16" t="n">
        <v>432</v>
      </c>
      <c r="I6" s="16" t="n">
        <v>216</v>
      </c>
      <c r="J6" s="16" t="n">
        <v>216</v>
      </c>
      <c r="K6" s="16" t="n">
        <v>24</v>
      </c>
      <c r="L6" s="19" t="n">
        <f aca="false">(K6/H6)*100</f>
        <v>5.55555555555556</v>
      </c>
      <c r="M6" s="16" t="n">
        <v>0</v>
      </c>
      <c r="N6" s="19" t="n">
        <f aca="false">(M6/H6)*100</f>
        <v>0</v>
      </c>
      <c r="O6" s="16" t="n">
        <v>0</v>
      </c>
      <c r="P6" s="16" t="n">
        <v>0</v>
      </c>
      <c r="Q6" s="24" t="s">
        <v>49</v>
      </c>
      <c r="R6" s="25" t="n">
        <v>44825</v>
      </c>
      <c r="S6" s="16"/>
      <c r="T6" s="24"/>
      <c r="U6" s="16"/>
      <c r="V6" s="16"/>
      <c r="W6" s="16"/>
      <c r="X6" s="16"/>
      <c r="Y6" s="16"/>
      <c r="Z6" s="16"/>
      <c r="AA6" s="26" t="n">
        <v>0</v>
      </c>
      <c r="AB6" s="26" t="n">
        <v>0</v>
      </c>
      <c r="AC6" s="57" t="n">
        <v>0</v>
      </c>
      <c r="AD6" s="24"/>
      <c r="AE6" s="24"/>
      <c r="AF6" s="16"/>
    </row>
    <row r="7" customFormat="false" ht="15.75" hidden="false" customHeight="false" outlineLevel="0" collapsed="false">
      <c r="A7" s="16" t="s">
        <v>42</v>
      </c>
      <c r="B7" s="16" t="s">
        <v>1498</v>
      </c>
      <c r="C7" s="71" t="s">
        <v>1499</v>
      </c>
      <c r="D7" s="16" t="s">
        <v>535</v>
      </c>
      <c r="E7" s="16" t="s">
        <v>1507</v>
      </c>
      <c r="F7" s="16" t="n">
        <v>305.06</v>
      </c>
      <c r="G7" s="16" t="n">
        <v>85</v>
      </c>
      <c r="H7" s="16" t="n">
        <v>525</v>
      </c>
      <c r="I7" s="16" t="n">
        <v>284</v>
      </c>
      <c r="J7" s="16" t="n">
        <v>241</v>
      </c>
      <c r="K7" s="16" t="n">
        <v>11</v>
      </c>
      <c r="L7" s="19" t="n">
        <f aca="false">(K7/H7)*100</f>
        <v>2.0952380952381</v>
      </c>
      <c r="M7" s="16" t="n">
        <v>0</v>
      </c>
      <c r="N7" s="19" t="n">
        <f aca="false">(M7/H7)*100</f>
        <v>0</v>
      </c>
      <c r="O7" s="16" t="n">
        <v>15</v>
      </c>
      <c r="P7" s="16" t="n">
        <v>0</v>
      </c>
      <c r="Q7" s="24" t="s">
        <v>49</v>
      </c>
      <c r="R7" s="25" t="n">
        <v>44825</v>
      </c>
      <c r="S7" s="16"/>
      <c r="T7" s="24"/>
      <c r="U7" s="16"/>
      <c r="V7" s="16"/>
      <c r="W7" s="16"/>
      <c r="X7" s="16"/>
      <c r="Y7" s="16"/>
      <c r="Z7" s="16"/>
      <c r="AA7" s="26" t="n">
        <v>0</v>
      </c>
      <c r="AB7" s="26" t="n">
        <v>0</v>
      </c>
      <c r="AC7" s="57" t="n">
        <v>0</v>
      </c>
      <c r="AD7" s="24"/>
      <c r="AE7" s="24"/>
      <c r="AF7" s="16"/>
    </row>
    <row r="8" customFormat="false" ht="15.75" hidden="false" customHeight="false" outlineLevel="0" collapsed="false">
      <c r="A8" s="16" t="s">
        <v>42</v>
      </c>
      <c r="B8" s="16" t="s">
        <v>1498</v>
      </c>
      <c r="C8" s="71" t="s">
        <v>1499</v>
      </c>
      <c r="D8" s="16" t="s">
        <v>1508</v>
      </c>
      <c r="E8" s="16" t="s">
        <v>1509</v>
      </c>
      <c r="F8" s="16" t="n">
        <v>213.39</v>
      </c>
      <c r="G8" s="16" t="n">
        <v>61</v>
      </c>
      <c r="H8" s="16" t="n">
        <v>377</v>
      </c>
      <c r="I8" s="16" t="n">
        <v>192</v>
      </c>
      <c r="J8" s="16" t="n">
        <v>185</v>
      </c>
      <c r="K8" s="16" t="n">
        <v>150</v>
      </c>
      <c r="L8" s="19" t="n">
        <f aca="false">(K8/H8)*100</f>
        <v>39.7877984084881</v>
      </c>
      <c r="M8" s="16" t="n">
        <v>0</v>
      </c>
      <c r="N8" s="19" t="n">
        <f aca="false">(M8/H8)*100</f>
        <v>0</v>
      </c>
      <c r="O8" s="16" t="n">
        <v>0</v>
      </c>
      <c r="P8" s="16" t="n">
        <v>0</v>
      </c>
      <c r="Q8" s="24" t="s">
        <v>49</v>
      </c>
      <c r="R8" s="25" t="n">
        <v>44825</v>
      </c>
      <c r="S8" s="16"/>
      <c r="T8" s="24" t="n">
        <v>0</v>
      </c>
      <c r="U8" s="16"/>
      <c r="V8" s="16"/>
      <c r="W8" s="16"/>
      <c r="X8" s="16"/>
      <c r="Y8" s="16"/>
      <c r="Z8" s="16"/>
      <c r="AA8" s="26" t="n">
        <v>0</v>
      </c>
      <c r="AB8" s="26" t="n">
        <v>0</v>
      </c>
      <c r="AC8" s="57" t="n">
        <v>0</v>
      </c>
      <c r="AD8" s="24" t="n">
        <v>0</v>
      </c>
      <c r="AE8" s="24" t="n">
        <v>0</v>
      </c>
      <c r="AF8" s="16"/>
    </row>
    <row r="9" customFormat="false" ht="15.75" hidden="false" customHeight="false" outlineLevel="0" collapsed="false">
      <c r="A9" s="16" t="s">
        <v>42</v>
      </c>
      <c r="B9" s="16" t="s">
        <v>1498</v>
      </c>
      <c r="C9" s="71" t="s">
        <v>1499</v>
      </c>
      <c r="D9" s="16" t="s">
        <v>1510</v>
      </c>
      <c r="E9" s="16" t="s">
        <v>1511</v>
      </c>
      <c r="F9" s="16" t="n">
        <v>398.23</v>
      </c>
      <c r="G9" s="16" t="n">
        <v>47</v>
      </c>
      <c r="H9" s="16" t="n">
        <v>278</v>
      </c>
      <c r="I9" s="16" t="n">
        <v>158</v>
      </c>
      <c r="J9" s="16" t="n">
        <v>120</v>
      </c>
      <c r="K9" s="16" t="n">
        <v>0</v>
      </c>
      <c r="L9" s="19" t="n">
        <f aca="false">(K9/H9)*100</f>
        <v>0</v>
      </c>
      <c r="M9" s="16" t="n">
        <v>0</v>
      </c>
      <c r="N9" s="19" t="n">
        <f aca="false">(M9/H9)*100</f>
        <v>0</v>
      </c>
      <c r="O9" s="16" t="n">
        <v>30</v>
      </c>
      <c r="P9" s="16" t="n">
        <v>0</v>
      </c>
      <c r="Q9" s="24" t="s">
        <v>49</v>
      </c>
      <c r="R9" s="25" t="n">
        <v>44825</v>
      </c>
      <c r="S9" s="16"/>
      <c r="T9" s="24"/>
      <c r="U9" s="16"/>
      <c r="V9" s="16"/>
      <c r="W9" s="16"/>
      <c r="X9" s="16"/>
      <c r="Y9" s="16"/>
      <c r="Z9" s="16"/>
      <c r="AA9" s="26" t="n">
        <v>0</v>
      </c>
      <c r="AB9" s="26" t="n">
        <v>0</v>
      </c>
      <c r="AC9" s="57" t="n">
        <v>0</v>
      </c>
      <c r="AD9" s="24"/>
      <c r="AE9" s="24"/>
      <c r="AF9" s="16"/>
    </row>
    <row r="10" customFormat="false" ht="15.75" hidden="false" customHeight="false" outlineLevel="0" collapsed="false">
      <c r="A10" s="16" t="s">
        <v>42</v>
      </c>
      <c r="B10" s="16" t="s">
        <v>1498</v>
      </c>
      <c r="C10" s="71" t="s">
        <v>1499</v>
      </c>
      <c r="D10" s="16" t="s">
        <v>1512</v>
      </c>
      <c r="E10" s="16" t="s">
        <v>1513</v>
      </c>
      <c r="F10" s="16" t="n">
        <v>413.56</v>
      </c>
      <c r="G10" s="16" t="n">
        <v>73</v>
      </c>
      <c r="H10" s="16" t="n">
        <v>505</v>
      </c>
      <c r="I10" s="16" t="n">
        <v>264</v>
      </c>
      <c r="J10" s="16" t="n">
        <v>241</v>
      </c>
      <c r="K10" s="16" t="n">
        <v>109</v>
      </c>
      <c r="L10" s="19" t="n">
        <f aca="false">(K10/H10)*100</f>
        <v>21.5841584158416</v>
      </c>
      <c r="M10" s="16" t="n">
        <v>0</v>
      </c>
      <c r="N10" s="19" t="n">
        <f aca="false">(M10/H10)*100</f>
        <v>0</v>
      </c>
      <c r="O10" s="16" t="n">
        <v>0</v>
      </c>
      <c r="P10" s="16" t="n">
        <v>0</v>
      </c>
      <c r="Q10" s="24" t="s">
        <v>49</v>
      </c>
      <c r="R10" s="25" t="n">
        <v>44825</v>
      </c>
      <c r="S10" s="16"/>
      <c r="T10" s="24"/>
      <c r="U10" s="16"/>
      <c r="V10" s="16"/>
      <c r="W10" s="16"/>
      <c r="X10" s="16"/>
      <c r="Y10" s="16"/>
      <c r="Z10" s="16"/>
      <c r="AA10" s="26" t="s">
        <v>50</v>
      </c>
      <c r="AB10" s="26" t="n">
        <v>2</v>
      </c>
      <c r="AC10" s="57" t="s">
        <v>276</v>
      </c>
      <c r="AD10" s="24"/>
      <c r="AE10" s="24"/>
      <c r="AF10" s="16"/>
    </row>
    <row r="11" customFormat="false" ht="15.75" hidden="false" customHeight="false" outlineLevel="0" collapsed="false">
      <c r="A11" s="16" t="s">
        <v>42</v>
      </c>
      <c r="B11" s="16" t="s">
        <v>1498</v>
      </c>
      <c r="C11" s="71" t="s">
        <v>1499</v>
      </c>
      <c r="D11" s="16" t="s">
        <v>1514</v>
      </c>
      <c r="E11" s="16" t="s">
        <v>1515</v>
      </c>
      <c r="F11" s="16" t="n">
        <v>598.87</v>
      </c>
      <c r="G11" s="16" t="n">
        <v>78</v>
      </c>
      <c r="H11" s="16" t="n">
        <v>633</v>
      </c>
      <c r="I11" s="16" t="n">
        <v>325</v>
      </c>
      <c r="J11" s="16" t="n">
        <v>308</v>
      </c>
      <c r="K11" s="16" t="n">
        <v>0</v>
      </c>
      <c r="L11" s="19" t="n">
        <f aca="false">(K11/H11)*100</f>
        <v>0</v>
      </c>
      <c r="M11" s="16" t="n">
        <v>0</v>
      </c>
      <c r="N11" s="19" t="n">
        <f aca="false">(M11/H11)*100</f>
        <v>0</v>
      </c>
      <c r="O11" s="16" t="n">
        <v>32</v>
      </c>
      <c r="P11" s="16" t="n">
        <v>0</v>
      </c>
      <c r="Q11" s="24" t="s">
        <v>49</v>
      </c>
      <c r="R11" s="25" t="n">
        <v>44825</v>
      </c>
      <c r="S11" s="16"/>
      <c r="T11" s="24"/>
      <c r="U11" s="16"/>
      <c r="V11" s="16"/>
      <c r="W11" s="16"/>
      <c r="X11" s="16"/>
      <c r="Y11" s="16"/>
      <c r="Z11" s="16"/>
      <c r="AA11" s="26" t="s">
        <v>50</v>
      </c>
      <c r="AB11" s="26" t="n">
        <v>2</v>
      </c>
      <c r="AC11" s="57" t="s">
        <v>276</v>
      </c>
      <c r="AD11" s="24"/>
      <c r="AE11" s="24"/>
      <c r="AF11" s="16"/>
    </row>
    <row r="12" customFormat="false" ht="15.75" hidden="false" customHeight="false" outlineLevel="0" collapsed="false">
      <c r="A12" s="16" t="s">
        <v>42</v>
      </c>
      <c r="B12" s="16" t="s">
        <v>1498</v>
      </c>
      <c r="C12" s="71" t="s">
        <v>1516</v>
      </c>
      <c r="D12" s="72" t="s">
        <v>1516</v>
      </c>
      <c r="E12" s="16" t="s">
        <v>1517</v>
      </c>
      <c r="F12" s="16" t="n">
        <v>1328</v>
      </c>
      <c r="G12" s="16" t="n">
        <v>139</v>
      </c>
      <c r="H12" s="16" t="n">
        <v>830</v>
      </c>
      <c r="I12" s="16" t="n">
        <v>435</v>
      </c>
      <c r="J12" s="16" t="n">
        <v>395</v>
      </c>
      <c r="K12" s="16" t="n">
        <v>99</v>
      </c>
      <c r="L12" s="19" t="n">
        <f aca="false">(K12/H12)*100</f>
        <v>11.9277108433735</v>
      </c>
      <c r="M12" s="16" t="n">
        <v>42</v>
      </c>
      <c r="N12" s="19" t="n">
        <f aca="false">(M12/H12)*100</f>
        <v>5.06024096385542</v>
      </c>
      <c r="O12" s="16" t="n">
        <v>0</v>
      </c>
      <c r="P12" s="16" t="n">
        <v>0</v>
      </c>
      <c r="Q12" s="20" t="s">
        <v>49</v>
      </c>
      <c r="R12" s="34" t="n">
        <v>44825</v>
      </c>
      <c r="S12" s="16"/>
      <c r="T12" s="20"/>
      <c r="U12" s="16"/>
      <c r="V12" s="16"/>
      <c r="W12" s="16"/>
      <c r="X12" s="16"/>
      <c r="Y12" s="16"/>
      <c r="Z12" s="16"/>
      <c r="AA12" s="21" t="s">
        <v>50</v>
      </c>
      <c r="AB12" s="21" t="n">
        <v>36</v>
      </c>
      <c r="AC12" s="254" t="s">
        <v>1518</v>
      </c>
      <c r="AD12" s="277" t="s">
        <v>1519</v>
      </c>
      <c r="AE12" s="20" t="n">
        <v>72.51</v>
      </c>
      <c r="AF12" s="16"/>
    </row>
    <row r="13" customFormat="false" ht="15.75" hidden="false" customHeight="false" outlineLevel="0" collapsed="false">
      <c r="A13" s="16" t="s">
        <v>42</v>
      </c>
      <c r="B13" s="16" t="s">
        <v>1498</v>
      </c>
      <c r="C13" s="71" t="s">
        <v>1516</v>
      </c>
      <c r="D13" s="16" t="s">
        <v>572</v>
      </c>
      <c r="E13" s="16" t="s">
        <v>1520</v>
      </c>
      <c r="F13" s="16" t="n">
        <v>367</v>
      </c>
      <c r="G13" s="16" t="n">
        <v>121</v>
      </c>
      <c r="H13" s="16" t="n">
        <v>723</v>
      </c>
      <c r="I13" s="16" t="n">
        <v>381</v>
      </c>
      <c r="J13" s="16" t="n">
        <v>342</v>
      </c>
      <c r="K13" s="16" t="n">
        <v>311</v>
      </c>
      <c r="L13" s="19" t="n">
        <f aca="false">(K13/H13)*100</f>
        <v>43.015214384509</v>
      </c>
      <c r="M13" s="16" t="n">
        <v>1</v>
      </c>
      <c r="N13" s="19" t="n">
        <f aca="false">(M13/H13)*100</f>
        <v>0.138312586445367</v>
      </c>
      <c r="O13" s="16" t="n">
        <v>0</v>
      </c>
      <c r="P13" s="16" t="n">
        <v>0</v>
      </c>
      <c r="Q13" s="20" t="s">
        <v>49</v>
      </c>
      <c r="R13" s="34" t="n">
        <v>44825</v>
      </c>
      <c r="S13" s="16"/>
      <c r="T13" s="20" t="n">
        <v>0</v>
      </c>
      <c r="U13" s="16"/>
      <c r="V13" s="16"/>
      <c r="W13" s="16"/>
      <c r="X13" s="16"/>
      <c r="Y13" s="16"/>
      <c r="Z13" s="16"/>
      <c r="AA13" s="21" t="n">
        <v>0</v>
      </c>
      <c r="AB13" s="21" t="n">
        <v>0</v>
      </c>
      <c r="AC13" s="36" t="n">
        <v>0</v>
      </c>
      <c r="AD13" s="20" t="n">
        <v>0</v>
      </c>
      <c r="AE13" s="20" t="n">
        <v>0</v>
      </c>
      <c r="AF13" s="16"/>
    </row>
    <row r="14" customFormat="false" ht="15.75" hidden="false" customHeight="false" outlineLevel="0" collapsed="false">
      <c r="A14" s="16" t="s">
        <v>42</v>
      </c>
      <c r="B14" s="16" t="s">
        <v>1498</v>
      </c>
      <c r="C14" s="71" t="s">
        <v>1516</v>
      </c>
      <c r="D14" s="16" t="s">
        <v>1521</v>
      </c>
      <c r="E14" s="16" t="s">
        <v>1522</v>
      </c>
      <c r="F14" s="16" t="n">
        <v>200.6</v>
      </c>
      <c r="G14" s="16" t="n">
        <v>35</v>
      </c>
      <c r="H14" s="16" t="n">
        <v>210</v>
      </c>
      <c r="I14" s="16" t="n">
        <v>110</v>
      </c>
      <c r="J14" s="16" t="n">
        <v>100</v>
      </c>
      <c r="K14" s="16" t="n">
        <v>22</v>
      </c>
      <c r="L14" s="19" t="n">
        <f aca="false">(K14/H14)*100</f>
        <v>10.4761904761905</v>
      </c>
      <c r="M14" s="16" t="n">
        <v>0</v>
      </c>
      <c r="N14" s="19" t="n">
        <f aca="false">(M14/H14)*100</f>
        <v>0</v>
      </c>
      <c r="O14" s="16" t="n">
        <v>0</v>
      </c>
      <c r="P14" s="16" t="n">
        <v>0</v>
      </c>
      <c r="Q14" s="20" t="s">
        <v>49</v>
      </c>
      <c r="R14" s="34" t="n">
        <v>44825</v>
      </c>
      <c r="S14" s="16"/>
      <c r="T14" s="20" t="n">
        <v>0</v>
      </c>
      <c r="U14" s="16"/>
      <c r="V14" s="16"/>
      <c r="W14" s="16"/>
      <c r="X14" s="16"/>
      <c r="Y14" s="16"/>
      <c r="Z14" s="16"/>
      <c r="AA14" s="21" t="n">
        <v>0</v>
      </c>
      <c r="AB14" s="21" t="n">
        <v>0</v>
      </c>
      <c r="AC14" s="36" t="n">
        <v>0</v>
      </c>
      <c r="AD14" s="20" t="n">
        <v>0</v>
      </c>
      <c r="AE14" s="20" t="n">
        <v>0</v>
      </c>
      <c r="AF14" s="16"/>
    </row>
    <row r="15" customFormat="false" ht="15.75" hidden="false" customHeight="false" outlineLevel="0" collapsed="false">
      <c r="A15" s="16" t="s">
        <v>42</v>
      </c>
      <c r="B15" s="16" t="s">
        <v>1498</v>
      </c>
      <c r="C15" s="71" t="s">
        <v>1516</v>
      </c>
      <c r="D15" s="16" t="s">
        <v>1523</v>
      </c>
      <c r="E15" s="16" t="s">
        <v>1524</v>
      </c>
      <c r="F15" s="16" t="n">
        <v>385</v>
      </c>
      <c r="G15" s="16" t="n">
        <v>65</v>
      </c>
      <c r="H15" s="16" t="n">
        <v>292</v>
      </c>
      <c r="I15" s="16" t="n">
        <v>154</v>
      </c>
      <c r="J15" s="16" t="n">
        <v>138</v>
      </c>
      <c r="K15" s="16" t="n">
        <v>8</v>
      </c>
      <c r="L15" s="19" t="n">
        <f aca="false">(K15/H15)*100</f>
        <v>2.73972602739726</v>
      </c>
      <c r="M15" s="16" t="n">
        <v>0</v>
      </c>
      <c r="N15" s="19" t="n">
        <f aca="false">(M15/H15)*100</f>
        <v>0</v>
      </c>
      <c r="O15" s="16" t="n">
        <v>0</v>
      </c>
      <c r="P15" s="16" t="n">
        <v>0</v>
      </c>
      <c r="Q15" s="20" t="s">
        <v>49</v>
      </c>
      <c r="R15" s="34" t="n">
        <v>44825</v>
      </c>
      <c r="S15" s="16"/>
      <c r="T15" s="20" t="n">
        <v>35.6365</v>
      </c>
      <c r="U15" s="16"/>
      <c r="V15" s="16"/>
      <c r="W15" s="16"/>
      <c r="X15" s="16"/>
      <c r="Y15" s="16"/>
      <c r="Z15" s="16"/>
      <c r="AA15" s="21" t="n">
        <v>0</v>
      </c>
      <c r="AB15" s="21" t="n">
        <v>0</v>
      </c>
      <c r="AC15" s="36"/>
      <c r="AD15" s="20" t="n">
        <v>0</v>
      </c>
      <c r="AE15" s="20" t="n">
        <v>0</v>
      </c>
      <c r="AF15" s="16"/>
    </row>
    <row r="16" customFormat="false" ht="15.75" hidden="false" customHeight="false" outlineLevel="0" collapsed="false">
      <c r="A16" s="16" t="s">
        <v>42</v>
      </c>
      <c r="B16" s="16" t="s">
        <v>1498</v>
      </c>
      <c r="C16" s="71" t="s">
        <v>1516</v>
      </c>
      <c r="D16" s="16" t="s">
        <v>1525</v>
      </c>
      <c r="E16" s="16" t="s">
        <v>1526</v>
      </c>
      <c r="F16" s="16" t="n">
        <v>458.6</v>
      </c>
      <c r="G16" s="16" t="n">
        <v>70</v>
      </c>
      <c r="H16" s="16" t="n">
        <v>366</v>
      </c>
      <c r="I16" s="16" t="n">
        <v>190</v>
      </c>
      <c r="J16" s="16" t="n">
        <v>176</v>
      </c>
      <c r="K16" s="16" t="n">
        <v>92</v>
      </c>
      <c r="L16" s="19" t="n">
        <f aca="false">(K16/H16)*100</f>
        <v>25.1366120218579</v>
      </c>
      <c r="M16" s="16" t="n">
        <v>0</v>
      </c>
      <c r="N16" s="19" t="n">
        <f aca="false">(M16/H16)*100</f>
        <v>0</v>
      </c>
      <c r="O16" s="16" t="n">
        <v>0</v>
      </c>
      <c r="P16" s="16" t="n">
        <v>0</v>
      </c>
      <c r="Q16" s="20" t="s">
        <v>49</v>
      </c>
      <c r="R16" s="34" t="n">
        <v>44825</v>
      </c>
      <c r="S16" s="16"/>
      <c r="T16" s="20"/>
      <c r="U16" s="16"/>
      <c r="V16" s="16"/>
      <c r="W16" s="16"/>
      <c r="X16" s="16"/>
      <c r="Y16" s="16"/>
      <c r="Z16" s="16"/>
      <c r="AA16" s="21" t="n">
        <v>0</v>
      </c>
      <c r="AB16" s="21" t="n">
        <v>0</v>
      </c>
      <c r="AC16" s="36" t="n">
        <v>0</v>
      </c>
      <c r="AD16" s="20" t="n">
        <v>0</v>
      </c>
      <c r="AE16" s="20" t="n">
        <v>0</v>
      </c>
      <c r="AF16" s="16"/>
    </row>
    <row r="17" customFormat="false" ht="15.75" hidden="false" customHeight="false" outlineLevel="0" collapsed="false">
      <c r="A17" s="16" t="s">
        <v>42</v>
      </c>
      <c r="B17" s="16" t="s">
        <v>1498</v>
      </c>
      <c r="C17" s="71" t="s">
        <v>1516</v>
      </c>
      <c r="D17" s="16" t="s">
        <v>1527</v>
      </c>
      <c r="E17" s="16" t="s">
        <v>1528</v>
      </c>
      <c r="F17" s="16" t="n">
        <v>337</v>
      </c>
      <c r="G17" s="16" t="n">
        <v>55</v>
      </c>
      <c r="H17" s="16" t="n">
        <v>332</v>
      </c>
      <c r="I17" s="16" t="n">
        <v>177</v>
      </c>
      <c r="J17" s="16" t="n">
        <v>155</v>
      </c>
      <c r="K17" s="16" t="n">
        <v>85</v>
      </c>
      <c r="L17" s="19" t="n">
        <f aca="false">(K17/H17)*100</f>
        <v>25.6024096385542</v>
      </c>
      <c r="M17" s="16" t="n">
        <v>0</v>
      </c>
      <c r="N17" s="19" t="n">
        <f aca="false">(M17/H17)*100</f>
        <v>0</v>
      </c>
      <c r="O17" s="16" t="n">
        <v>0</v>
      </c>
      <c r="P17" s="16" t="n">
        <v>0</v>
      </c>
      <c r="Q17" s="20" t="s">
        <v>49</v>
      </c>
      <c r="R17" s="34" t="n">
        <v>44825</v>
      </c>
      <c r="S17" s="16"/>
      <c r="T17" s="20" t="n">
        <v>0</v>
      </c>
      <c r="U17" s="16"/>
      <c r="V17" s="16"/>
      <c r="W17" s="16"/>
      <c r="X17" s="16"/>
      <c r="Y17" s="16"/>
      <c r="Z17" s="16"/>
      <c r="AA17" s="21" t="n">
        <v>0</v>
      </c>
      <c r="AB17" s="21" t="n">
        <v>0</v>
      </c>
      <c r="AC17" s="36" t="n">
        <v>0</v>
      </c>
      <c r="AD17" s="20" t="n">
        <v>0</v>
      </c>
      <c r="AE17" s="20" t="n">
        <v>0</v>
      </c>
      <c r="AF17" s="16"/>
    </row>
    <row r="18" customFormat="false" ht="15.75" hidden="false" customHeight="false" outlineLevel="0" collapsed="false">
      <c r="A18" s="16" t="s">
        <v>42</v>
      </c>
      <c r="B18" s="16" t="s">
        <v>1498</v>
      </c>
      <c r="C18" s="71" t="s">
        <v>1498</v>
      </c>
      <c r="D18" s="72" t="s">
        <v>1529</v>
      </c>
      <c r="E18" s="16" t="s">
        <v>1530</v>
      </c>
      <c r="F18" s="16" t="n">
        <v>413</v>
      </c>
      <c r="G18" s="16" t="n">
        <v>377</v>
      </c>
      <c r="H18" s="16" t="n">
        <v>2185</v>
      </c>
      <c r="I18" s="16" t="n">
        <v>1149</v>
      </c>
      <c r="J18" s="16" t="n">
        <v>1036</v>
      </c>
      <c r="K18" s="16" t="n">
        <v>147</v>
      </c>
      <c r="L18" s="19" t="n">
        <f aca="false">(K18/H18)*100</f>
        <v>6.72768878718535</v>
      </c>
      <c r="M18" s="16" t="n">
        <v>285</v>
      </c>
      <c r="N18" s="19" t="n">
        <f aca="false">(M18/H18)*100</f>
        <v>13.0434782608696</v>
      </c>
      <c r="O18" s="16" t="n">
        <v>55.72</v>
      </c>
      <c r="P18" s="16" t="n">
        <v>0</v>
      </c>
      <c r="Q18" s="20" t="s">
        <v>49</v>
      </c>
      <c r="R18" s="34" t="n">
        <v>44826</v>
      </c>
      <c r="S18" s="16"/>
      <c r="T18" s="20" t="n">
        <v>25.1876</v>
      </c>
      <c r="U18" s="16"/>
      <c r="V18" s="16"/>
      <c r="W18" s="16"/>
      <c r="X18" s="16"/>
      <c r="Y18" s="16"/>
      <c r="Z18" s="16"/>
      <c r="AA18" s="21"/>
      <c r="AB18" s="21" t="n">
        <v>3</v>
      </c>
      <c r="AC18" s="254" t="s">
        <v>1531</v>
      </c>
      <c r="AD18" s="267" t="n">
        <v>26.65</v>
      </c>
      <c r="AE18" s="20" t="n">
        <v>72.59</v>
      </c>
      <c r="AF18" s="16"/>
    </row>
    <row r="19" customFormat="false" ht="15.75" hidden="false" customHeight="false" outlineLevel="0" collapsed="false">
      <c r="A19" s="16" t="s">
        <v>42</v>
      </c>
      <c r="B19" s="16" t="s">
        <v>1498</v>
      </c>
      <c r="C19" s="71" t="s">
        <v>1498</v>
      </c>
      <c r="D19" s="16" t="s">
        <v>1532</v>
      </c>
      <c r="E19" s="16" t="s">
        <v>1533</v>
      </c>
      <c r="F19" s="16" t="n">
        <v>545</v>
      </c>
      <c r="G19" s="16" t="n">
        <v>77</v>
      </c>
      <c r="H19" s="16" t="n">
        <v>547</v>
      </c>
      <c r="I19" s="16" t="n">
        <v>272</v>
      </c>
      <c r="J19" s="16" t="n">
        <v>275</v>
      </c>
      <c r="K19" s="16" t="n">
        <v>0</v>
      </c>
      <c r="L19" s="19" t="n">
        <f aca="false">(K19/H19)*100</f>
        <v>0</v>
      </c>
      <c r="M19" s="16" t="n">
        <v>0</v>
      </c>
      <c r="N19" s="19" t="n">
        <f aca="false">(M19/H19)*100</f>
        <v>0</v>
      </c>
      <c r="O19" s="16" t="n">
        <v>0</v>
      </c>
      <c r="P19" s="16" t="n">
        <v>0</v>
      </c>
      <c r="Q19" s="20" t="s">
        <v>70</v>
      </c>
      <c r="R19" s="34" t="n">
        <v>44826</v>
      </c>
      <c r="S19" s="16"/>
      <c r="T19" s="20" t="n">
        <v>0</v>
      </c>
      <c r="U19" s="16"/>
      <c r="V19" s="16"/>
      <c r="W19" s="16"/>
      <c r="X19" s="16"/>
      <c r="Y19" s="16"/>
      <c r="Z19" s="16"/>
      <c r="AA19" s="21" t="n">
        <v>0</v>
      </c>
      <c r="AB19" s="21" t="n">
        <v>0</v>
      </c>
      <c r="AC19" s="36" t="n">
        <v>0</v>
      </c>
      <c r="AD19" s="20" t="n">
        <v>0</v>
      </c>
      <c r="AE19" s="20" t="n">
        <v>0</v>
      </c>
      <c r="AF19" s="16"/>
    </row>
    <row r="20" customFormat="false" ht="17.25" hidden="false" customHeight="false" outlineLevel="0" collapsed="false">
      <c r="A20" s="16" t="s">
        <v>42</v>
      </c>
      <c r="B20" s="16" t="s">
        <v>1498</v>
      </c>
      <c r="C20" s="71" t="s">
        <v>1534</v>
      </c>
      <c r="D20" s="72" t="s">
        <v>1535</v>
      </c>
      <c r="E20" s="16" t="s">
        <v>1536</v>
      </c>
      <c r="F20" s="16" t="n">
        <v>2136</v>
      </c>
      <c r="G20" s="16" t="n">
        <v>305</v>
      </c>
      <c r="H20" s="16" t="n">
        <v>2055</v>
      </c>
      <c r="I20" s="16" t="n">
        <v>1059</v>
      </c>
      <c r="J20" s="16" t="n">
        <v>996</v>
      </c>
      <c r="K20" s="16" t="n">
        <v>995</v>
      </c>
      <c r="L20" s="19" t="n">
        <f aca="false">(K20/H20)*100</f>
        <v>48.4184914841849</v>
      </c>
      <c r="M20" s="16" t="n">
        <v>84</v>
      </c>
      <c r="N20" s="19" t="n">
        <f aca="false">(M20/H20)*100</f>
        <v>4.08759124087591</v>
      </c>
      <c r="O20" s="16" t="n">
        <v>77.92</v>
      </c>
      <c r="P20" s="16" t="n">
        <v>0</v>
      </c>
      <c r="Q20" s="24" t="s">
        <v>49</v>
      </c>
      <c r="R20" s="25" t="n">
        <v>45932</v>
      </c>
      <c r="S20" s="16"/>
      <c r="T20" s="278" t="n">
        <v>56.53</v>
      </c>
      <c r="U20" s="16"/>
      <c r="V20" s="16"/>
      <c r="W20" s="16"/>
      <c r="X20" s="16"/>
      <c r="Y20" s="16"/>
      <c r="Z20" s="16"/>
      <c r="AA20" s="26" t="s">
        <v>50</v>
      </c>
      <c r="AB20" s="26" t="n">
        <v>5</v>
      </c>
      <c r="AC20" s="279" t="s">
        <v>1537</v>
      </c>
      <c r="AD20" s="278" t="n">
        <v>26.412449</v>
      </c>
      <c r="AE20" s="278" t="n">
        <v>72.341237</v>
      </c>
      <c r="AF20" s="16" t="s">
        <v>1277</v>
      </c>
    </row>
    <row r="21" customFormat="false" ht="17.25" hidden="false" customHeight="false" outlineLevel="0" collapsed="false">
      <c r="A21" s="16"/>
      <c r="B21" s="16"/>
      <c r="C21" s="71"/>
      <c r="D21" s="72"/>
      <c r="E21" s="16"/>
      <c r="F21" s="16"/>
      <c r="G21" s="16"/>
      <c r="H21" s="16"/>
      <c r="I21" s="16"/>
      <c r="J21" s="16"/>
      <c r="K21" s="16"/>
      <c r="L21" s="19"/>
      <c r="M21" s="16"/>
      <c r="N21" s="19" t="e">
        <f aca="false">(M21/H21)*100</f>
        <v>#DIV/0!</v>
      </c>
      <c r="O21" s="16"/>
      <c r="P21" s="16"/>
      <c r="Q21" s="256"/>
      <c r="R21" s="172"/>
      <c r="S21" s="16"/>
      <c r="T21" s="256"/>
      <c r="U21" s="16"/>
      <c r="V21" s="16"/>
      <c r="W21" s="16"/>
      <c r="X21" s="16"/>
      <c r="Y21" s="16"/>
      <c r="Z21" s="16"/>
      <c r="AA21" s="172" t="s">
        <v>50</v>
      </c>
      <c r="AB21" s="172" t="n">
        <v>10</v>
      </c>
      <c r="AC21" s="280" t="s">
        <v>1538</v>
      </c>
      <c r="AD21" s="256" t="n">
        <v>26.405265</v>
      </c>
      <c r="AE21" s="256" t="n">
        <v>72.333548</v>
      </c>
      <c r="AF21" s="16"/>
    </row>
    <row r="22" customFormat="false" ht="17.25" hidden="false" customHeight="false" outlineLevel="0" collapsed="false">
      <c r="A22" s="16"/>
      <c r="B22" s="16"/>
      <c r="C22" s="71"/>
      <c r="D22" s="72"/>
      <c r="E22" s="16"/>
      <c r="F22" s="16"/>
      <c r="G22" s="16"/>
      <c r="H22" s="16"/>
      <c r="I22" s="16"/>
      <c r="J22" s="16"/>
      <c r="K22" s="16"/>
      <c r="L22" s="19"/>
      <c r="M22" s="16"/>
      <c r="N22" s="19" t="e">
        <f aca="false">(M22/H22)*100</f>
        <v>#DIV/0!</v>
      </c>
      <c r="O22" s="16"/>
      <c r="P22" s="16"/>
      <c r="Q22" s="256"/>
      <c r="R22" s="172"/>
      <c r="S22" s="16"/>
      <c r="T22" s="256"/>
      <c r="U22" s="16"/>
      <c r="V22" s="16"/>
      <c r="W22" s="16"/>
      <c r="X22" s="16"/>
      <c r="Y22" s="16"/>
      <c r="Z22" s="16"/>
      <c r="AA22" s="172" t="s">
        <v>50</v>
      </c>
      <c r="AB22" s="172" t="n">
        <v>10</v>
      </c>
      <c r="AC22" s="280" t="s">
        <v>1539</v>
      </c>
      <c r="AD22" s="256" t="n">
        <v>26.393608</v>
      </c>
      <c r="AE22" s="256" t="n">
        <v>72.322526</v>
      </c>
      <c r="AF22" s="16"/>
    </row>
    <row r="23" customFormat="false" ht="17.25" hidden="false" customHeight="false" outlineLevel="0" collapsed="false">
      <c r="A23" s="16"/>
      <c r="B23" s="16"/>
      <c r="C23" s="71"/>
      <c r="D23" s="72"/>
      <c r="E23" s="16"/>
      <c r="F23" s="16"/>
      <c r="G23" s="16"/>
      <c r="H23" s="16"/>
      <c r="I23" s="16"/>
      <c r="J23" s="16"/>
      <c r="K23" s="16"/>
      <c r="L23" s="19"/>
      <c r="M23" s="16"/>
      <c r="N23" s="19" t="e">
        <f aca="false">(M23/H23)*100</f>
        <v>#DIV/0!</v>
      </c>
      <c r="O23" s="16"/>
      <c r="P23" s="16"/>
      <c r="Q23" s="256"/>
      <c r="R23" s="172"/>
      <c r="S23" s="16"/>
      <c r="T23" s="256"/>
      <c r="U23" s="16"/>
      <c r="V23" s="16"/>
      <c r="W23" s="16"/>
      <c r="X23" s="16"/>
      <c r="Y23" s="16"/>
      <c r="Z23" s="16"/>
      <c r="AA23" s="172" t="s">
        <v>50</v>
      </c>
      <c r="AB23" s="172" t="n">
        <v>15</v>
      </c>
      <c r="AC23" s="280" t="s">
        <v>1540</v>
      </c>
      <c r="AD23" s="256" t="n">
        <v>26.385702</v>
      </c>
      <c r="AE23" s="256" t="n">
        <v>72.303145</v>
      </c>
      <c r="AF23" s="16"/>
    </row>
    <row r="24" customFormat="false" ht="17.25" hidden="false" customHeight="false" outlineLevel="0" collapsed="false">
      <c r="A24" s="16"/>
      <c r="B24" s="16"/>
      <c r="C24" s="71"/>
      <c r="D24" s="72"/>
      <c r="E24" s="16"/>
      <c r="F24" s="16"/>
      <c r="G24" s="16"/>
      <c r="H24" s="16"/>
      <c r="I24" s="16"/>
      <c r="J24" s="16"/>
      <c r="K24" s="16"/>
      <c r="L24" s="19"/>
      <c r="M24" s="16"/>
      <c r="N24" s="19" t="e">
        <f aca="false">(M24/H24)*100</f>
        <v>#DIV/0!</v>
      </c>
      <c r="O24" s="16"/>
      <c r="P24" s="16"/>
      <c r="Q24" s="256"/>
      <c r="R24" s="172"/>
      <c r="S24" s="16"/>
      <c r="T24" s="256"/>
      <c r="U24" s="16"/>
      <c r="V24" s="16"/>
      <c r="W24" s="16"/>
      <c r="X24" s="16"/>
      <c r="Y24" s="16"/>
      <c r="Z24" s="16"/>
      <c r="AA24" s="172" t="s">
        <v>50</v>
      </c>
      <c r="AB24" s="172" t="n">
        <v>5</v>
      </c>
      <c r="AC24" s="280" t="s">
        <v>1541</v>
      </c>
      <c r="AD24" s="256" t="n">
        <v>26.963779</v>
      </c>
      <c r="AE24" s="256" t="n">
        <v>72.311264</v>
      </c>
      <c r="AF24" s="16"/>
    </row>
    <row r="25" customFormat="false" ht="15.75" hidden="false" customHeight="false" outlineLevel="0" collapsed="false">
      <c r="A25" s="16" t="s">
        <v>42</v>
      </c>
      <c r="B25" s="16" t="s">
        <v>1498</v>
      </c>
      <c r="C25" s="71" t="s">
        <v>1534</v>
      </c>
      <c r="D25" s="16" t="s">
        <v>1542</v>
      </c>
      <c r="E25" s="16" t="s">
        <v>1543</v>
      </c>
      <c r="F25" s="16" t="n">
        <v>382.71</v>
      </c>
      <c r="G25" s="16" t="n">
        <v>58</v>
      </c>
      <c r="H25" s="16" t="n">
        <v>392</v>
      </c>
      <c r="I25" s="16" t="n">
        <v>200</v>
      </c>
      <c r="J25" s="16" t="n">
        <v>192</v>
      </c>
      <c r="K25" s="16" t="n">
        <v>0</v>
      </c>
      <c r="L25" s="19" t="n">
        <f aca="false">(K25/H25)*100</f>
        <v>0</v>
      </c>
      <c r="M25" s="16" t="n">
        <v>0</v>
      </c>
      <c r="N25" s="19" t="n">
        <f aca="false">(M25/H25)*100</f>
        <v>0</v>
      </c>
      <c r="O25" s="16" t="n">
        <v>13.08</v>
      </c>
      <c r="P25" s="16" t="n">
        <v>0</v>
      </c>
      <c r="Q25" s="20" t="s">
        <v>49</v>
      </c>
      <c r="R25" s="34" t="n">
        <v>44829</v>
      </c>
      <c r="S25" s="16"/>
      <c r="T25" s="20" t="n">
        <v>0</v>
      </c>
      <c r="U25" s="16"/>
      <c r="V25" s="16"/>
      <c r="W25" s="16"/>
      <c r="X25" s="16"/>
      <c r="Y25" s="16"/>
      <c r="Z25" s="16"/>
      <c r="AA25" s="21" t="n">
        <v>0</v>
      </c>
      <c r="AB25" s="21" t="n">
        <v>0</v>
      </c>
      <c r="AC25" s="36" t="n">
        <v>0</v>
      </c>
      <c r="AD25" s="20" t="n">
        <v>0</v>
      </c>
      <c r="AE25" s="20" t="n">
        <v>0</v>
      </c>
      <c r="AF25" s="16" t="s">
        <v>1277</v>
      </c>
    </row>
    <row r="26" customFormat="false" ht="31.5" hidden="false" customHeight="false" outlineLevel="0" collapsed="false">
      <c r="A26" s="16" t="s">
        <v>42</v>
      </c>
      <c r="B26" s="16" t="s">
        <v>1498</v>
      </c>
      <c r="C26" s="71" t="s">
        <v>1544</v>
      </c>
      <c r="D26" s="72" t="s">
        <v>1545</v>
      </c>
      <c r="E26" s="16" t="s">
        <v>1546</v>
      </c>
      <c r="F26" s="16" t="n">
        <v>897.22</v>
      </c>
      <c r="G26" s="16" t="n">
        <v>156</v>
      </c>
      <c r="H26" s="16" t="n">
        <v>1023</v>
      </c>
      <c r="I26" s="16" t="n">
        <v>547</v>
      </c>
      <c r="J26" s="16" t="n">
        <v>476</v>
      </c>
      <c r="K26" s="16" t="n">
        <v>19</v>
      </c>
      <c r="L26" s="19" t="n">
        <f aca="false">(K26/H26)*100</f>
        <v>1.85728250244379</v>
      </c>
      <c r="M26" s="16" t="n">
        <v>46</v>
      </c>
      <c r="N26" s="19" t="n">
        <f aca="false">(M26/H26)*100</f>
        <v>4.49657869012708</v>
      </c>
      <c r="O26" s="16" t="n">
        <v>15</v>
      </c>
      <c r="P26" s="16" t="n">
        <v>0</v>
      </c>
      <c r="Q26" s="24"/>
      <c r="R26" s="25" t="n">
        <v>45932</v>
      </c>
      <c r="S26" s="16"/>
      <c r="T26" s="24" t="n">
        <v>41.63</v>
      </c>
      <c r="U26" s="16"/>
      <c r="V26" s="16"/>
      <c r="W26" s="16"/>
      <c r="X26" s="16"/>
      <c r="Y26" s="16"/>
      <c r="Z26" s="16"/>
      <c r="AA26" s="26" t="s">
        <v>50</v>
      </c>
      <c r="AB26" s="26" t="n">
        <v>2</v>
      </c>
      <c r="AC26" s="57" t="s">
        <v>1547</v>
      </c>
      <c r="AD26" s="24" t="n">
        <v>26.733725</v>
      </c>
      <c r="AE26" s="24" t="n">
        <v>72.528188</v>
      </c>
      <c r="AF26" s="16" t="s">
        <v>1277</v>
      </c>
    </row>
    <row r="27" customFormat="false" ht="15.75" hidden="false" customHeight="false" outlineLevel="0" collapsed="false">
      <c r="A27" s="16" t="s">
        <v>42</v>
      </c>
      <c r="B27" s="16" t="s">
        <v>1498</v>
      </c>
      <c r="C27" s="71" t="s">
        <v>1544</v>
      </c>
      <c r="D27" s="16" t="s">
        <v>53</v>
      </c>
      <c r="E27" s="16" t="s">
        <v>1548</v>
      </c>
      <c r="F27" s="16" t="n">
        <v>319.74</v>
      </c>
      <c r="G27" s="16" t="n">
        <v>48</v>
      </c>
      <c r="H27" s="16" t="n">
        <v>374</v>
      </c>
      <c r="I27" s="16" t="n">
        <v>198</v>
      </c>
      <c r="J27" s="16" t="n">
        <v>176</v>
      </c>
      <c r="K27" s="16" t="n">
        <v>218</v>
      </c>
      <c r="L27" s="19" t="n">
        <f aca="false">(K27/H27)*100</f>
        <v>58.2887700534759</v>
      </c>
      <c r="M27" s="16" t="n">
        <v>156</v>
      </c>
      <c r="N27" s="19" t="n">
        <f aca="false">(M27/H27)*100</f>
        <v>41.7112299465241</v>
      </c>
      <c r="O27" s="16" t="n">
        <v>0</v>
      </c>
      <c r="P27" s="16" t="n">
        <v>0</v>
      </c>
      <c r="Q27" s="24"/>
      <c r="R27" s="25" t="n">
        <v>45932</v>
      </c>
      <c r="S27" s="16"/>
      <c r="T27" s="24" t="n">
        <v>0</v>
      </c>
      <c r="U27" s="16"/>
      <c r="V27" s="16"/>
      <c r="W27" s="16"/>
      <c r="X27" s="16"/>
      <c r="Y27" s="16"/>
      <c r="Z27" s="16"/>
      <c r="AA27" s="26" t="s">
        <v>50</v>
      </c>
      <c r="AB27" s="26" t="n">
        <v>0</v>
      </c>
      <c r="AC27" s="57"/>
      <c r="AD27" s="24"/>
      <c r="AE27" s="24"/>
      <c r="AF27" s="16" t="s">
        <v>1277</v>
      </c>
    </row>
    <row r="28" customFormat="false" ht="15.75" hidden="false" customHeight="false" outlineLevel="0" collapsed="false">
      <c r="A28" s="16" t="s">
        <v>42</v>
      </c>
      <c r="B28" s="16" t="s">
        <v>1498</v>
      </c>
      <c r="C28" s="71" t="s">
        <v>1544</v>
      </c>
      <c r="D28" s="16" t="s">
        <v>1549</v>
      </c>
      <c r="E28" s="16" t="s">
        <v>1550</v>
      </c>
      <c r="F28" s="16" t="n">
        <v>736.04</v>
      </c>
      <c r="G28" s="16" t="n">
        <v>125</v>
      </c>
      <c r="H28" s="16" t="n">
        <v>784</v>
      </c>
      <c r="I28" s="16" t="n">
        <v>422</v>
      </c>
      <c r="J28" s="16" t="n">
        <v>362</v>
      </c>
      <c r="K28" s="16" t="n">
        <v>0</v>
      </c>
      <c r="L28" s="19" t="n">
        <f aca="false">(K28/H28)*100</f>
        <v>0</v>
      </c>
      <c r="M28" s="16" t="n">
        <v>0</v>
      </c>
      <c r="N28" s="19" t="n">
        <f aca="false">(M28/H28)*100</f>
        <v>0</v>
      </c>
      <c r="O28" s="16" t="n">
        <v>0</v>
      </c>
      <c r="P28" s="16" t="n">
        <v>0</v>
      </c>
      <c r="Q28" s="24"/>
      <c r="R28" s="25" t="n">
        <v>45932</v>
      </c>
      <c r="S28" s="16"/>
      <c r="T28" s="24" t="n">
        <v>0</v>
      </c>
      <c r="U28" s="16"/>
      <c r="V28" s="16"/>
      <c r="W28" s="16"/>
      <c r="X28" s="16"/>
      <c r="Y28" s="16"/>
      <c r="Z28" s="16"/>
      <c r="AA28" s="26" t="s">
        <v>50</v>
      </c>
      <c r="AB28" s="26" t="n">
        <v>0</v>
      </c>
      <c r="AC28" s="57"/>
      <c r="AD28" s="24"/>
      <c r="AE28" s="24"/>
      <c r="AF28" s="16" t="s">
        <v>1277</v>
      </c>
    </row>
    <row r="29" customFormat="false" ht="15.75" hidden="false" customHeight="false" outlineLevel="0" collapsed="false">
      <c r="A29" s="16" t="s">
        <v>42</v>
      </c>
      <c r="B29" s="16" t="s">
        <v>1498</v>
      </c>
      <c r="C29" s="71" t="s">
        <v>1544</v>
      </c>
      <c r="D29" s="16" t="s">
        <v>1551</v>
      </c>
      <c r="E29" s="16" t="s">
        <v>1552</v>
      </c>
      <c r="F29" s="16" t="n">
        <v>568</v>
      </c>
      <c r="G29" s="16" t="n">
        <v>76</v>
      </c>
      <c r="H29" s="16" t="n">
        <v>467</v>
      </c>
      <c r="I29" s="16" t="n">
        <v>258</v>
      </c>
      <c r="J29" s="16" t="n">
        <v>209</v>
      </c>
      <c r="K29" s="16" t="n">
        <v>0</v>
      </c>
      <c r="L29" s="19" t="n">
        <f aca="false">(K29/H29)*100</f>
        <v>0</v>
      </c>
      <c r="M29" s="16" t="n">
        <v>0</v>
      </c>
      <c r="N29" s="19" t="n">
        <f aca="false">(M29/H29)*100</f>
        <v>0</v>
      </c>
      <c r="O29" s="16" t="n">
        <v>0</v>
      </c>
      <c r="P29" s="16" t="n">
        <v>0</v>
      </c>
      <c r="Q29" s="24"/>
      <c r="R29" s="25" t="n">
        <v>45932</v>
      </c>
      <c r="S29" s="16"/>
      <c r="T29" s="24" t="n">
        <v>1</v>
      </c>
      <c r="U29" s="16"/>
      <c r="V29" s="16"/>
      <c r="W29" s="16"/>
      <c r="X29" s="16"/>
      <c r="Y29" s="16"/>
      <c r="Z29" s="16"/>
      <c r="AA29" s="26" t="s">
        <v>50</v>
      </c>
      <c r="AB29" s="26" t="n">
        <v>0</v>
      </c>
      <c r="AC29" s="57"/>
      <c r="AD29" s="24"/>
      <c r="AE29" s="24"/>
      <c r="AF29" s="16" t="s">
        <v>1277</v>
      </c>
    </row>
    <row r="30" customFormat="false" ht="31.5" hidden="false" customHeight="false" outlineLevel="0" collapsed="false">
      <c r="A30" s="16" t="s">
        <v>42</v>
      </c>
      <c r="B30" s="16" t="s">
        <v>1498</v>
      </c>
      <c r="C30" s="71" t="s">
        <v>1553</v>
      </c>
      <c r="D30" s="72" t="s">
        <v>1554</v>
      </c>
      <c r="E30" s="16" t="s">
        <v>1555</v>
      </c>
      <c r="F30" s="16" t="n">
        <v>638</v>
      </c>
      <c r="G30" s="16" t="n">
        <v>340</v>
      </c>
      <c r="H30" s="16" t="n">
        <v>1833</v>
      </c>
      <c r="I30" s="16" t="n">
        <v>952</v>
      </c>
      <c r="J30" s="16" t="n">
        <v>881</v>
      </c>
      <c r="K30" s="16" t="n">
        <v>663</v>
      </c>
      <c r="L30" s="19" t="n">
        <f aca="false">(K30/H30)*100</f>
        <v>36.1702127659575</v>
      </c>
      <c r="M30" s="16" t="n">
        <v>0</v>
      </c>
      <c r="N30" s="19" t="n">
        <f aca="false">(M30/H30)*100</f>
        <v>0</v>
      </c>
      <c r="O30" s="16" t="n">
        <v>43</v>
      </c>
      <c r="P30" s="16" t="n">
        <v>0</v>
      </c>
      <c r="Q30" s="24"/>
      <c r="R30" s="25" t="n">
        <v>45932</v>
      </c>
      <c r="S30" s="16"/>
      <c r="T30" s="24" t="n">
        <v>118.18</v>
      </c>
      <c r="U30" s="16" t="s">
        <v>50</v>
      </c>
      <c r="V30" s="16"/>
      <c r="W30" s="16"/>
      <c r="X30" s="16"/>
      <c r="Y30" s="16"/>
      <c r="Z30" s="16"/>
      <c r="AA30" s="26" t="s">
        <v>50</v>
      </c>
      <c r="AB30" s="26" t="n">
        <v>15</v>
      </c>
      <c r="AC30" s="57" t="s">
        <v>1556</v>
      </c>
      <c r="AD30" s="24" t="n">
        <v>26.654124</v>
      </c>
      <c r="AE30" s="24" t="n">
        <v>72.445628</v>
      </c>
      <c r="AF30" s="16" t="s">
        <v>1277</v>
      </c>
    </row>
    <row r="31" customFormat="false" ht="15.75" hidden="false" customHeight="false" outlineLevel="0" collapsed="false">
      <c r="A31" s="16" t="s">
        <v>42</v>
      </c>
      <c r="B31" s="16" t="s">
        <v>1498</v>
      </c>
      <c r="C31" s="71" t="s">
        <v>1553</v>
      </c>
      <c r="D31" s="16" t="s">
        <v>1557</v>
      </c>
      <c r="E31" s="16" t="s">
        <v>1558</v>
      </c>
      <c r="F31" s="16" t="n">
        <v>364</v>
      </c>
      <c r="G31" s="16" t="n">
        <v>68</v>
      </c>
      <c r="H31" s="16" t="n">
        <v>437</v>
      </c>
      <c r="I31" s="16" t="n">
        <v>248</v>
      </c>
      <c r="J31" s="16" t="n">
        <v>189</v>
      </c>
      <c r="K31" s="16" t="n">
        <v>0</v>
      </c>
      <c r="L31" s="19" t="n">
        <f aca="false">(K31/H31)*100</f>
        <v>0</v>
      </c>
      <c r="M31" s="16" t="n">
        <v>0</v>
      </c>
      <c r="N31" s="19" t="n">
        <f aca="false">(M31/H31)*100</f>
        <v>0</v>
      </c>
      <c r="O31" s="16" t="n">
        <v>2</v>
      </c>
      <c r="P31" s="16" t="n">
        <v>0</v>
      </c>
      <c r="Q31" s="24"/>
      <c r="R31" s="25" t="n">
        <v>45932</v>
      </c>
      <c r="S31" s="16"/>
      <c r="T31" s="24" t="n">
        <v>0</v>
      </c>
      <c r="U31" s="16"/>
      <c r="V31" s="16"/>
      <c r="W31" s="16"/>
      <c r="X31" s="16"/>
      <c r="Y31" s="16"/>
      <c r="Z31" s="16"/>
      <c r="AA31" s="26" t="s">
        <v>50</v>
      </c>
      <c r="AB31" s="26" t="n">
        <v>0</v>
      </c>
      <c r="AC31" s="57"/>
      <c r="AD31" s="24"/>
      <c r="AE31" s="24"/>
      <c r="AF31" s="16" t="s">
        <v>1277</v>
      </c>
    </row>
    <row r="32" customFormat="false" ht="15.75" hidden="false" customHeight="false" outlineLevel="0" collapsed="false">
      <c r="A32" s="16" t="s">
        <v>42</v>
      </c>
      <c r="B32" s="16" t="s">
        <v>1498</v>
      </c>
      <c r="C32" s="71" t="s">
        <v>1553</v>
      </c>
      <c r="D32" s="16" t="s">
        <v>296</v>
      </c>
      <c r="E32" s="16" t="s">
        <v>1559</v>
      </c>
      <c r="F32" s="16" t="n">
        <v>876</v>
      </c>
      <c r="G32" s="16" t="n">
        <v>101</v>
      </c>
      <c r="H32" s="16" t="n">
        <v>582</v>
      </c>
      <c r="I32" s="16" t="n">
        <v>319</v>
      </c>
      <c r="J32" s="16" t="n">
        <v>263</v>
      </c>
      <c r="K32" s="16" t="n">
        <v>170</v>
      </c>
      <c r="L32" s="19" t="n">
        <f aca="false">(K32/H32)*100</f>
        <v>29.2096219931272</v>
      </c>
      <c r="M32" s="16" t="n">
        <v>0</v>
      </c>
      <c r="N32" s="19" t="n">
        <f aca="false">(M32/H32)*100</f>
        <v>0</v>
      </c>
      <c r="O32" s="16" t="n">
        <v>65</v>
      </c>
      <c r="P32" s="16" t="n">
        <v>0</v>
      </c>
      <c r="Q32" s="24"/>
      <c r="R32" s="25" t="n">
        <v>45932</v>
      </c>
      <c r="S32" s="16"/>
      <c r="T32" s="24" t="n">
        <v>13.28</v>
      </c>
      <c r="U32" s="16" t="s">
        <v>50</v>
      </c>
      <c r="V32" s="16"/>
      <c r="W32" s="16"/>
      <c r="X32" s="16"/>
      <c r="Y32" s="16"/>
      <c r="Z32" s="16"/>
      <c r="AA32" s="26" t="s">
        <v>50</v>
      </c>
      <c r="AB32" s="26" t="n">
        <v>0</v>
      </c>
      <c r="AC32" s="57"/>
      <c r="AD32" s="24"/>
      <c r="AE32" s="24"/>
      <c r="AF32" s="16" t="s">
        <v>1277</v>
      </c>
    </row>
    <row r="33" customFormat="false" ht="15.75" hidden="false" customHeight="false" outlineLevel="0" collapsed="false">
      <c r="A33" s="16" t="s">
        <v>42</v>
      </c>
      <c r="B33" s="16" t="s">
        <v>1498</v>
      </c>
      <c r="C33" s="71" t="s">
        <v>1553</v>
      </c>
      <c r="D33" s="16" t="s">
        <v>1560</v>
      </c>
      <c r="E33" s="16" t="s">
        <v>1561</v>
      </c>
      <c r="F33" s="16" t="n">
        <v>419</v>
      </c>
      <c r="G33" s="16" t="n">
        <v>81</v>
      </c>
      <c r="H33" s="16" t="n">
        <v>471</v>
      </c>
      <c r="I33" s="16" t="n">
        <v>249</v>
      </c>
      <c r="J33" s="16" t="n">
        <v>222</v>
      </c>
      <c r="K33" s="16" t="n">
        <v>0</v>
      </c>
      <c r="L33" s="19" t="n">
        <f aca="false">(K33/H33)*100</f>
        <v>0</v>
      </c>
      <c r="M33" s="16" t="n">
        <v>0</v>
      </c>
      <c r="N33" s="19" t="n">
        <f aca="false">(M33/H33)*100</f>
        <v>0</v>
      </c>
      <c r="O33" s="16" t="n">
        <v>10</v>
      </c>
      <c r="P33" s="16" t="n">
        <v>0</v>
      </c>
      <c r="Q33" s="24"/>
      <c r="R33" s="25" t="n">
        <v>45932</v>
      </c>
      <c r="S33" s="16"/>
      <c r="T33" s="24" t="n">
        <v>0</v>
      </c>
      <c r="U33" s="16"/>
      <c r="V33" s="16"/>
      <c r="W33" s="16"/>
      <c r="X33" s="16"/>
      <c r="Y33" s="16"/>
      <c r="Z33" s="16"/>
      <c r="AA33" s="26" t="s">
        <v>50</v>
      </c>
      <c r="AB33" s="26" t="n">
        <v>0</v>
      </c>
      <c r="AC33" s="57"/>
      <c r="AD33" s="24"/>
      <c r="AE33" s="24"/>
      <c r="AF33" s="16" t="s">
        <v>1277</v>
      </c>
    </row>
    <row r="34" customFormat="false" ht="15.75" hidden="false" customHeight="false" outlineLevel="0" collapsed="false">
      <c r="A34" s="16" t="s">
        <v>42</v>
      </c>
      <c r="B34" s="16" t="s">
        <v>1498</v>
      </c>
      <c r="C34" s="71" t="s">
        <v>1553</v>
      </c>
      <c r="D34" s="16" t="s">
        <v>1562</v>
      </c>
      <c r="E34" s="16" t="s">
        <v>1563</v>
      </c>
      <c r="F34" s="16" t="n">
        <v>598</v>
      </c>
      <c r="G34" s="16" t="n">
        <v>78</v>
      </c>
      <c r="H34" s="16" t="n">
        <v>458</v>
      </c>
      <c r="I34" s="16" t="n">
        <v>252</v>
      </c>
      <c r="J34" s="16" t="n">
        <v>206</v>
      </c>
      <c r="K34" s="16" t="n">
        <v>0</v>
      </c>
      <c r="L34" s="19" t="n">
        <f aca="false">(K34/H34)*100</f>
        <v>0</v>
      </c>
      <c r="M34" s="16" t="n">
        <v>0</v>
      </c>
      <c r="N34" s="19" t="n">
        <f aca="false">(M34/H34)*100</f>
        <v>0</v>
      </c>
      <c r="O34" s="16" t="n">
        <v>14</v>
      </c>
      <c r="P34" s="16" t="n">
        <v>0</v>
      </c>
      <c r="Q34" s="24"/>
      <c r="R34" s="25" t="n">
        <v>45932</v>
      </c>
      <c r="S34" s="16"/>
      <c r="T34" s="24" t="n">
        <v>0</v>
      </c>
      <c r="U34" s="16" t="s">
        <v>50</v>
      </c>
      <c r="V34" s="16"/>
      <c r="W34" s="16"/>
      <c r="X34" s="16"/>
      <c r="Y34" s="16"/>
      <c r="Z34" s="16"/>
      <c r="AA34" s="26" t="s">
        <v>50</v>
      </c>
      <c r="AB34" s="26" t="n">
        <v>0</v>
      </c>
      <c r="AC34" s="57"/>
      <c r="AD34" s="24"/>
      <c r="AE34" s="24"/>
      <c r="AF34" s="16" t="s">
        <v>1277</v>
      </c>
    </row>
    <row r="35" customFormat="false" ht="15.75" hidden="false" customHeight="false" outlineLevel="0" collapsed="false">
      <c r="A35" s="16" t="s">
        <v>42</v>
      </c>
      <c r="B35" s="16" t="s">
        <v>1498</v>
      </c>
      <c r="C35" s="71" t="s">
        <v>1553</v>
      </c>
      <c r="D35" s="16" t="s">
        <v>1564</v>
      </c>
      <c r="E35" s="16" t="s">
        <v>1565</v>
      </c>
      <c r="F35" s="16" t="n">
        <v>595</v>
      </c>
      <c r="G35" s="16" t="n">
        <v>96</v>
      </c>
      <c r="H35" s="16" t="n">
        <v>588</v>
      </c>
      <c r="I35" s="16" t="n">
        <v>307</v>
      </c>
      <c r="J35" s="16" t="n">
        <v>281</v>
      </c>
      <c r="K35" s="16" t="n">
        <v>175</v>
      </c>
      <c r="L35" s="19" t="n">
        <f aca="false">(K35/H35)*100</f>
        <v>29.7619047619048</v>
      </c>
      <c r="M35" s="16" t="n">
        <v>0</v>
      </c>
      <c r="N35" s="19" t="n">
        <f aca="false">(M35/H35)*100</f>
        <v>0</v>
      </c>
      <c r="O35" s="16" t="n">
        <v>23</v>
      </c>
      <c r="P35" s="16" t="n">
        <v>0</v>
      </c>
      <c r="Q35" s="24"/>
      <c r="R35" s="25" t="n">
        <v>45932</v>
      </c>
      <c r="S35" s="16"/>
      <c r="T35" s="24" t="n">
        <v>18.48</v>
      </c>
      <c r="U35" s="16" t="s">
        <v>50</v>
      </c>
      <c r="V35" s="16"/>
      <c r="W35" s="16"/>
      <c r="X35" s="16"/>
      <c r="Y35" s="16"/>
      <c r="Z35" s="16"/>
      <c r="AA35" s="26" t="s">
        <v>50</v>
      </c>
      <c r="AB35" s="26" t="n">
        <v>0</v>
      </c>
      <c r="AC35" s="57"/>
      <c r="AD35" s="24"/>
      <c r="AE35" s="24"/>
      <c r="AF35" s="16" t="s">
        <v>1277</v>
      </c>
    </row>
    <row r="36" customFormat="false" ht="15.75" hidden="false" customHeight="false" outlineLevel="0" collapsed="false">
      <c r="A36" s="16" t="s">
        <v>42</v>
      </c>
      <c r="B36" s="16" t="s">
        <v>1498</v>
      </c>
      <c r="C36" s="71" t="s">
        <v>1553</v>
      </c>
      <c r="D36" s="16" t="s">
        <v>1566</v>
      </c>
      <c r="E36" s="16" t="s">
        <v>1567</v>
      </c>
      <c r="F36" s="16" t="n">
        <v>404</v>
      </c>
      <c r="G36" s="16" t="n">
        <v>114</v>
      </c>
      <c r="H36" s="16" t="n">
        <v>568</v>
      </c>
      <c r="I36" s="16" t="n">
        <v>302</v>
      </c>
      <c r="J36" s="16" t="n">
        <v>266</v>
      </c>
      <c r="K36" s="16" t="n">
        <v>292</v>
      </c>
      <c r="L36" s="19" t="n">
        <f aca="false">(K36/H36)*100</f>
        <v>51.4084507042254</v>
      </c>
      <c r="M36" s="16" t="n">
        <v>2</v>
      </c>
      <c r="N36" s="19" t="n">
        <f aca="false">(M36/H36)*100</f>
        <v>0.352112676056338</v>
      </c>
      <c r="O36" s="16" t="n">
        <v>17</v>
      </c>
      <c r="P36" s="16" t="n">
        <v>0</v>
      </c>
      <c r="Q36" s="24"/>
      <c r="R36" s="25" t="n">
        <v>45932</v>
      </c>
      <c r="S36" s="16"/>
      <c r="T36" s="24" t="n">
        <v>0.54</v>
      </c>
      <c r="U36" s="16"/>
      <c r="V36" s="16"/>
      <c r="W36" s="16"/>
      <c r="X36" s="16"/>
      <c r="Y36" s="16"/>
      <c r="Z36" s="16"/>
      <c r="AA36" s="26" t="s">
        <v>50</v>
      </c>
      <c r="AB36" s="26" t="n">
        <v>0</v>
      </c>
      <c r="AC36" s="57"/>
      <c r="AD36" s="24"/>
      <c r="AE36" s="24"/>
      <c r="AF36" s="16" t="s">
        <v>1277</v>
      </c>
    </row>
    <row r="37" customFormat="false" ht="15.75" hidden="false" customHeight="false" outlineLevel="0" collapsed="false">
      <c r="A37" s="16" t="s">
        <v>42</v>
      </c>
      <c r="B37" s="16" t="s">
        <v>1498</v>
      </c>
      <c r="C37" s="71" t="s">
        <v>1553</v>
      </c>
      <c r="D37" s="16" t="s">
        <v>1568</v>
      </c>
      <c r="E37" s="16" t="s">
        <v>1569</v>
      </c>
      <c r="F37" s="16" t="n">
        <v>430</v>
      </c>
      <c r="G37" s="16" t="n">
        <v>83</v>
      </c>
      <c r="H37" s="16" t="n">
        <v>433</v>
      </c>
      <c r="I37" s="16" t="n">
        <v>235</v>
      </c>
      <c r="J37" s="16" t="n">
        <v>198</v>
      </c>
      <c r="K37" s="16" t="n">
        <v>99</v>
      </c>
      <c r="L37" s="19" t="n">
        <f aca="false">(K37/H37)*100</f>
        <v>22.8637413394919</v>
      </c>
      <c r="M37" s="16" t="n">
        <v>0</v>
      </c>
      <c r="N37" s="19" t="n">
        <f aca="false">(M37/H37)*100</f>
        <v>0</v>
      </c>
      <c r="O37" s="16" t="n">
        <v>3</v>
      </c>
      <c r="P37" s="16" t="n">
        <v>0</v>
      </c>
      <c r="Q37" s="24"/>
      <c r="R37" s="25" t="n">
        <v>45932</v>
      </c>
      <c r="S37" s="16"/>
      <c r="T37" s="24" t="n">
        <v>0</v>
      </c>
      <c r="U37" s="16"/>
      <c r="V37" s="16"/>
      <c r="W37" s="16"/>
      <c r="X37" s="16"/>
      <c r="Y37" s="16"/>
      <c r="Z37" s="16"/>
      <c r="AA37" s="26" t="s">
        <v>50</v>
      </c>
      <c r="AB37" s="26" t="n">
        <v>0</v>
      </c>
      <c r="AC37" s="57"/>
      <c r="AD37" s="24"/>
      <c r="AE37" s="24"/>
      <c r="AF37" s="16" t="s">
        <v>1277</v>
      </c>
    </row>
    <row r="38" customFormat="false" ht="15.75" hidden="false" customHeight="false" outlineLevel="0" collapsed="false">
      <c r="A38" s="16" t="s">
        <v>42</v>
      </c>
      <c r="B38" s="16" t="s">
        <v>1498</v>
      </c>
      <c r="C38" s="71" t="s">
        <v>1553</v>
      </c>
      <c r="D38" s="16" t="s">
        <v>1570</v>
      </c>
      <c r="E38" s="16" t="s">
        <v>1571</v>
      </c>
      <c r="F38" s="16" t="n">
        <v>353</v>
      </c>
      <c r="G38" s="16" t="n">
        <v>35</v>
      </c>
      <c r="H38" s="16" t="n">
        <v>248</v>
      </c>
      <c r="I38" s="16" t="n">
        <v>131</v>
      </c>
      <c r="J38" s="16" t="n">
        <v>117</v>
      </c>
      <c r="K38" s="16" t="n">
        <v>6</v>
      </c>
      <c r="L38" s="19" t="n">
        <f aca="false">(K38/H38)*100</f>
        <v>2.41935483870968</v>
      </c>
      <c r="M38" s="16" t="n">
        <v>0</v>
      </c>
      <c r="N38" s="19" t="n">
        <f aca="false">(M38/H38)*100</f>
        <v>0</v>
      </c>
      <c r="O38" s="16" t="n">
        <v>13</v>
      </c>
      <c r="P38" s="16" t="n">
        <v>0</v>
      </c>
      <c r="Q38" s="24"/>
      <c r="R38" s="25" t="n">
        <v>45932</v>
      </c>
      <c r="S38" s="16"/>
      <c r="T38" s="24" t="n">
        <v>0</v>
      </c>
      <c r="U38" s="16"/>
      <c r="V38" s="16"/>
      <c r="W38" s="16"/>
      <c r="X38" s="16"/>
      <c r="Y38" s="16"/>
      <c r="Z38" s="16"/>
      <c r="AA38" s="26" t="s">
        <v>50</v>
      </c>
      <c r="AB38" s="26"/>
      <c r="AC38" s="57"/>
      <c r="AD38" s="24"/>
      <c r="AE38" s="24"/>
      <c r="AF38" s="16" t="s">
        <v>1277</v>
      </c>
    </row>
    <row r="39" customFormat="false" ht="31.5" hidden="false" customHeight="false" outlineLevel="0" collapsed="false">
      <c r="A39" s="16" t="s">
        <v>42</v>
      </c>
      <c r="B39" s="16" t="s">
        <v>1498</v>
      </c>
      <c r="C39" s="71" t="s">
        <v>1553</v>
      </c>
      <c r="D39" s="16" t="s">
        <v>1572</v>
      </c>
      <c r="E39" s="16" t="s">
        <v>1573</v>
      </c>
      <c r="F39" s="16" t="n">
        <v>617</v>
      </c>
      <c r="G39" s="16" t="n">
        <v>50</v>
      </c>
      <c r="H39" s="16" t="n">
        <v>320</v>
      </c>
      <c r="I39" s="16" t="n">
        <v>159</v>
      </c>
      <c r="J39" s="16" t="n">
        <v>161</v>
      </c>
      <c r="K39" s="16" t="n">
        <v>105</v>
      </c>
      <c r="L39" s="19" t="n">
        <f aca="false">(K39/H39)*100</f>
        <v>32.8125</v>
      </c>
      <c r="M39" s="16" t="n">
        <v>0</v>
      </c>
      <c r="N39" s="19" t="n">
        <f aca="false">(M39/H39)*100</f>
        <v>0</v>
      </c>
      <c r="O39" s="16" t="n">
        <v>67</v>
      </c>
      <c r="P39" s="16" t="n">
        <v>0</v>
      </c>
      <c r="Q39" s="24"/>
      <c r="R39" s="25" t="n">
        <v>45932</v>
      </c>
      <c r="S39" s="16"/>
      <c r="T39" s="24" t="n">
        <v>58.96</v>
      </c>
      <c r="U39" s="16" t="s">
        <v>50</v>
      </c>
      <c r="V39" s="16"/>
      <c r="W39" s="16"/>
      <c r="X39" s="16"/>
      <c r="Y39" s="16"/>
      <c r="Z39" s="16"/>
      <c r="AA39" s="26" t="s">
        <v>50</v>
      </c>
      <c r="AB39" s="26" t="n">
        <v>5</v>
      </c>
      <c r="AC39" s="57" t="s">
        <v>1574</v>
      </c>
      <c r="AD39" s="24" t="n">
        <v>26.684561</v>
      </c>
      <c r="AE39" s="24" t="n">
        <v>72.478952</v>
      </c>
      <c r="AF39" s="16" t="s">
        <v>1277</v>
      </c>
    </row>
    <row r="40" customFormat="false" ht="15.75" hidden="false" customHeight="false" outlineLevel="0" collapsed="false">
      <c r="A40" s="16" t="s">
        <v>42</v>
      </c>
      <c r="B40" s="16" t="s">
        <v>1498</v>
      </c>
      <c r="C40" s="71" t="s">
        <v>646</v>
      </c>
      <c r="D40" s="72" t="s">
        <v>646</v>
      </c>
      <c r="E40" s="16"/>
      <c r="F40" s="16"/>
      <c r="G40" s="16"/>
      <c r="H40" s="16"/>
      <c r="I40" s="16"/>
      <c r="J40" s="16"/>
      <c r="K40" s="16"/>
      <c r="L40" s="19" t="e">
        <f aca="false">(K40/H40)*100</f>
        <v>#DIV/0!</v>
      </c>
      <c r="M40" s="16"/>
      <c r="N40" s="19" t="e">
        <f aca="false">(M40/H40)*100</f>
        <v>#DIV/0!</v>
      </c>
      <c r="O40" s="16"/>
      <c r="P40" s="16"/>
      <c r="Q40" s="16"/>
      <c r="R40" s="87"/>
      <c r="S40" s="16"/>
      <c r="T40" s="16"/>
      <c r="U40" s="16"/>
      <c r="V40" s="16"/>
      <c r="W40" s="16"/>
      <c r="X40" s="16"/>
      <c r="Y40" s="16"/>
      <c r="Z40" s="16"/>
      <c r="AA40" s="87"/>
      <c r="AB40" s="87"/>
      <c r="AC40" s="16"/>
      <c r="AD40" s="16"/>
      <c r="AE40" s="16"/>
      <c r="AF40" s="16"/>
    </row>
    <row r="41" customFormat="false" ht="15.75" hidden="false" customHeight="false" outlineLevel="0" collapsed="false">
      <c r="A41" s="16" t="s">
        <v>42</v>
      </c>
      <c r="B41" s="16" t="s">
        <v>1498</v>
      </c>
      <c r="C41" s="71" t="s">
        <v>646</v>
      </c>
      <c r="D41" s="16" t="s">
        <v>1575</v>
      </c>
      <c r="E41" s="16" t="s">
        <v>1576</v>
      </c>
      <c r="F41" s="16" t="n">
        <v>1385</v>
      </c>
      <c r="G41" s="16" t="n">
        <v>327</v>
      </c>
      <c r="H41" s="16" t="n">
        <v>2168</v>
      </c>
      <c r="I41" s="16" t="n">
        <v>1135</v>
      </c>
      <c r="J41" s="16" t="n">
        <v>1033</v>
      </c>
      <c r="K41" s="16" t="n">
        <v>379</v>
      </c>
      <c r="L41" s="19" t="n">
        <f aca="false">(K41/H41)*100</f>
        <v>17.4815498154982</v>
      </c>
      <c r="M41" s="16" t="n">
        <v>31</v>
      </c>
      <c r="N41" s="19" t="n">
        <f aca="false">(M41/H41)*100</f>
        <v>1.42988929889299</v>
      </c>
      <c r="O41" s="16" t="n">
        <v>32</v>
      </c>
      <c r="P41" s="16" t="n">
        <v>0</v>
      </c>
      <c r="Q41" s="24" t="s">
        <v>49</v>
      </c>
      <c r="R41" s="25" t="n">
        <v>44836</v>
      </c>
      <c r="S41" s="16"/>
      <c r="T41" s="24" t="n">
        <v>20.2585</v>
      </c>
      <c r="U41" s="16"/>
      <c r="V41" s="16"/>
      <c r="W41" s="16"/>
      <c r="X41" s="16"/>
      <c r="Y41" s="16"/>
      <c r="Z41" s="16"/>
      <c r="AA41" s="26" t="s">
        <v>50</v>
      </c>
      <c r="AB41" s="281" t="n">
        <v>13</v>
      </c>
      <c r="AC41" s="57" t="s">
        <v>276</v>
      </c>
      <c r="AD41" s="24"/>
      <c r="AE41" s="24"/>
      <c r="AF41" s="16"/>
    </row>
    <row r="42" customFormat="false" ht="17.25" hidden="false" customHeight="true" outlineLevel="0" collapsed="false">
      <c r="A42" s="16"/>
      <c r="B42" s="16"/>
      <c r="C42" s="71"/>
      <c r="D42" s="16"/>
      <c r="E42" s="16"/>
      <c r="F42" s="16"/>
      <c r="G42" s="16"/>
      <c r="H42" s="16"/>
      <c r="I42" s="16"/>
      <c r="J42" s="16"/>
      <c r="K42" s="16"/>
      <c r="L42" s="19" t="e">
        <f aca="false">(K42/H42)*100</f>
        <v>#DIV/0!</v>
      </c>
      <c r="M42" s="16"/>
      <c r="N42" s="19" t="e">
        <f aca="false">(M42/H42)*100</f>
        <v>#DIV/0!</v>
      </c>
      <c r="O42" s="16"/>
      <c r="P42" s="16"/>
      <c r="Q42" s="256"/>
      <c r="R42" s="173"/>
      <c r="S42" s="16"/>
      <c r="T42" s="282"/>
      <c r="U42" s="16"/>
      <c r="V42" s="16"/>
      <c r="W42" s="16"/>
      <c r="X42" s="16"/>
      <c r="Y42" s="16"/>
      <c r="Z42" s="16"/>
      <c r="AA42" s="172" t="s">
        <v>50</v>
      </c>
      <c r="AB42" s="172" t="n">
        <v>8</v>
      </c>
      <c r="AC42" s="257" t="s">
        <v>1577</v>
      </c>
      <c r="AD42" s="282" t="n">
        <v>26.423578</v>
      </c>
      <c r="AE42" s="282" t="n">
        <v>72.322389</v>
      </c>
      <c r="AF42" s="16"/>
    </row>
    <row r="43" customFormat="false" ht="18" hidden="false" customHeight="true" outlineLevel="0" collapsed="false">
      <c r="A43" s="16"/>
      <c r="B43" s="16"/>
      <c r="C43" s="71"/>
      <c r="D43" s="16"/>
      <c r="E43" s="16"/>
      <c r="F43" s="16"/>
      <c r="G43" s="16"/>
      <c r="H43" s="16"/>
      <c r="I43" s="16"/>
      <c r="J43" s="16"/>
      <c r="K43" s="16"/>
      <c r="L43" s="19" t="e">
        <f aca="false">(K43/H43)*100</f>
        <v>#DIV/0!</v>
      </c>
      <c r="M43" s="16"/>
      <c r="N43" s="19" t="e">
        <f aca="false">(M43/H43)*100</f>
        <v>#DIV/0!</v>
      </c>
      <c r="O43" s="16"/>
      <c r="P43" s="16"/>
      <c r="Q43" s="256"/>
      <c r="R43" s="173"/>
      <c r="S43" s="16"/>
      <c r="T43" s="282"/>
      <c r="U43" s="16"/>
      <c r="V43" s="16"/>
      <c r="W43" s="16"/>
      <c r="X43" s="16"/>
      <c r="Y43" s="16"/>
      <c r="Z43" s="16"/>
      <c r="AA43" s="172" t="s">
        <v>50</v>
      </c>
      <c r="AB43" s="172" t="n">
        <v>5</v>
      </c>
      <c r="AC43" s="280" t="s">
        <v>1578</v>
      </c>
      <c r="AD43" s="282" t="n">
        <v>26.435373</v>
      </c>
      <c r="AE43" s="282" t="n">
        <v>72.322042</v>
      </c>
      <c r="AF43" s="16"/>
    </row>
    <row r="44" customFormat="false" ht="15.75" hidden="false" customHeight="false" outlineLevel="0" collapsed="false">
      <c r="A44" s="16" t="s">
        <v>42</v>
      </c>
      <c r="B44" s="16" t="s">
        <v>1498</v>
      </c>
      <c r="C44" s="71" t="s">
        <v>646</v>
      </c>
      <c r="D44" s="16" t="s">
        <v>109</v>
      </c>
      <c r="E44" s="16" t="s">
        <v>1579</v>
      </c>
      <c r="F44" s="16" t="n">
        <v>529.67</v>
      </c>
      <c r="G44" s="16" t="n">
        <v>83</v>
      </c>
      <c r="H44" s="16" t="n">
        <v>622</v>
      </c>
      <c r="I44" s="16" t="n">
        <v>345</v>
      </c>
      <c r="J44" s="16" t="n">
        <v>277</v>
      </c>
      <c r="K44" s="16" t="n">
        <v>38</v>
      </c>
      <c r="L44" s="19" t="n">
        <f aca="false">(K44/H44)*100</f>
        <v>6.10932475884244</v>
      </c>
      <c r="M44" s="16" t="n">
        <v>0</v>
      </c>
      <c r="N44" s="19" t="n">
        <f aca="false">(M44/H44)*100</f>
        <v>0</v>
      </c>
      <c r="O44" s="16" t="n">
        <v>10</v>
      </c>
      <c r="P44" s="16" t="n">
        <v>0</v>
      </c>
      <c r="Q44" s="24" t="s">
        <v>49</v>
      </c>
      <c r="R44" s="25" t="n">
        <v>44836</v>
      </c>
      <c r="S44" s="16"/>
      <c r="T44" s="24" t="n">
        <v>1.6187</v>
      </c>
      <c r="U44" s="16"/>
      <c r="V44" s="16"/>
      <c r="W44" s="16"/>
      <c r="X44" s="16"/>
      <c r="Y44" s="16"/>
      <c r="Z44" s="16"/>
      <c r="AA44" s="26" t="n">
        <v>0</v>
      </c>
      <c r="AB44" s="26" t="n">
        <v>0</v>
      </c>
      <c r="AC44" s="57" t="n">
        <v>0</v>
      </c>
      <c r="AD44" s="24" t="n">
        <v>0</v>
      </c>
      <c r="AE44" s="24" t="n">
        <v>0</v>
      </c>
      <c r="AF44" s="16"/>
    </row>
    <row r="45" customFormat="false" ht="15.75" hidden="false" customHeight="false" outlineLevel="0" collapsed="false">
      <c r="A45" s="16" t="s">
        <v>42</v>
      </c>
      <c r="B45" s="16" t="s">
        <v>1498</v>
      </c>
      <c r="C45" s="71" t="s">
        <v>646</v>
      </c>
      <c r="D45" s="16" t="s">
        <v>1580</v>
      </c>
      <c r="E45" s="16" t="s">
        <v>1581</v>
      </c>
      <c r="F45" s="16" t="n">
        <v>388.33</v>
      </c>
      <c r="G45" s="16" t="n">
        <v>54</v>
      </c>
      <c r="H45" s="16" t="n">
        <v>362</v>
      </c>
      <c r="I45" s="16" t="n">
        <v>204</v>
      </c>
      <c r="J45" s="16" t="n">
        <v>158</v>
      </c>
      <c r="K45" s="16" t="n">
        <v>0</v>
      </c>
      <c r="L45" s="19" t="n">
        <f aca="false">(K45/H45)*100</f>
        <v>0</v>
      </c>
      <c r="M45" s="16" t="n">
        <v>0</v>
      </c>
      <c r="N45" s="19" t="n">
        <f aca="false">(M45/H45)*100</f>
        <v>0</v>
      </c>
      <c r="O45" s="16" t="n">
        <v>0</v>
      </c>
      <c r="P45" s="16" t="n">
        <v>0</v>
      </c>
      <c r="Q45" s="24" t="s">
        <v>49</v>
      </c>
      <c r="R45" s="25" t="n">
        <v>44836</v>
      </c>
      <c r="S45" s="16"/>
      <c r="T45" s="24"/>
      <c r="U45" s="16"/>
      <c r="V45" s="16"/>
      <c r="W45" s="16"/>
      <c r="X45" s="16"/>
      <c r="Y45" s="16"/>
      <c r="Z45" s="16"/>
      <c r="AA45" s="26" t="n">
        <v>0</v>
      </c>
      <c r="AB45" s="26" t="n">
        <v>0</v>
      </c>
      <c r="AC45" s="57" t="n">
        <v>0</v>
      </c>
      <c r="AD45" s="24"/>
      <c r="AE45" s="24"/>
      <c r="AF45" s="16"/>
    </row>
    <row r="46" customFormat="false" ht="15.75" hidden="false" customHeight="false" outlineLevel="0" collapsed="false">
      <c r="A46" s="16" t="s">
        <v>42</v>
      </c>
      <c r="B46" s="16" t="s">
        <v>1498</v>
      </c>
      <c r="C46" s="71" t="s">
        <v>1582</v>
      </c>
      <c r="D46" s="72" t="s">
        <v>1583</v>
      </c>
      <c r="E46" s="16" t="s">
        <v>1584</v>
      </c>
      <c r="F46" s="16" t="n">
        <v>1039</v>
      </c>
      <c r="G46" s="16" t="n">
        <v>352</v>
      </c>
      <c r="H46" s="16" t="n">
        <v>1944</v>
      </c>
      <c r="I46" s="16" t="n">
        <v>1024</v>
      </c>
      <c r="J46" s="16" t="n">
        <v>920</v>
      </c>
      <c r="K46" s="16" t="n">
        <v>432</v>
      </c>
      <c r="L46" s="19" t="n">
        <f aca="false">(K46/H46)*100</f>
        <v>22.2222222222222</v>
      </c>
      <c r="M46" s="16" t="n">
        <v>310</v>
      </c>
      <c r="N46" s="19" t="n">
        <f aca="false">(M46/H46)*100</f>
        <v>15.9465020576132</v>
      </c>
      <c r="O46" s="16" t="n">
        <v>134</v>
      </c>
      <c r="P46" s="16" t="n">
        <v>0</v>
      </c>
      <c r="Q46" s="20" t="s">
        <v>49</v>
      </c>
      <c r="R46" s="34" t="n">
        <v>44825</v>
      </c>
      <c r="S46" s="16"/>
      <c r="T46" s="20"/>
      <c r="U46" s="16"/>
      <c r="V46" s="16"/>
      <c r="W46" s="16"/>
      <c r="X46" s="16"/>
      <c r="Y46" s="16"/>
      <c r="Z46" s="16"/>
      <c r="AA46" s="26" t="s">
        <v>266</v>
      </c>
      <c r="AB46" s="21" t="n">
        <v>5</v>
      </c>
      <c r="AC46" s="254" t="s">
        <v>1585</v>
      </c>
      <c r="AD46" s="267" t="n">
        <v>26.76</v>
      </c>
      <c r="AE46" s="20" t="n">
        <v>72.45</v>
      </c>
      <c r="AF46" s="16"/>
    </row>
    <row r="47" customFormat="false" ht="15.75" hidden="false" customHeight="false" outlineLevel="0" collapsed="false">
      <c r="A47" s="16" t="s">
        <v>42</v>
      </c>
      <c r="B47" s="16" t="s">
        <v>1498</v>
      </c>
      <c r="C47" s="71" t="s">
        <v>1582</v>
      </c>
      <c r="D47" s="16" t="s">
        <v>1586</v>
      </c>
      <c r="E47" s="16" t="s">
        <v>1587</v>
      </c>
      <c r="F47" s="16" t="n">
        <v>199</v>
      </c>
      <c r="G47" s="16" t="n">
        <v>77</v>
      </c>
      <c r="H47" s="16" t="n">
        <v>396</v>
      </c>
      <c r="I47" s="16" t="n">
        <v>215</v>
      </c>
      <c r="J47" s="16" t="n">
        <v>181</v>
      </c>
      <c r="K47" s="16" t="n">
        <v>265</v>
      </c>
      <c r="L47" s="19" t="n">
        <f aca="false">(K47/H47)*100</f>
        <v>66.9191919191919</v>
      </c>
      <c r="M47" s="16" t="n">
        <v>0</v>
      </c>
      <c r="N47" s="19" t="n">
        <f aca="false">(M47/H47)*100</f>
        <v>0</v>
      </c>
      <c r="O47" s="16" t="n">
        <v>0</v>
      </c>
      <c r="P47" s="16" t="n">
        <v>0</v>
      </c>
      <c r="Q47" s="20" t="s">
        <v>49</v>
      </c>
      <c r="R47" s="34" t="n">
        <v>44825</v>
      </c>
      <c r="S47" s="16"/>
      <c r="T47" s="20"/>
      <c r="U47" s="16"/>
      <c r="V47" s="16"/>
      <c r="W47" s="16"/>
      <c r="X47" s="16"/>
      <c r="Y47" s="16"/>
      <c r="Z47" s="16"/>
      <c r="AA47" s="21" t="n">
        <v>0</v>
      </c>
      <c r="AB47" s="21" t="n">
        <v>0</v>
      </c>
      <c r="AC47" s="36" t="n">
        <v>0</v>
      </c>
      <c r="AD47" s="20"/>
      <c r="AE47" s="20"/>
      <c r="AF47" s="16"/>
    </row>
    <row r="48" customFormat="false" ht="15.75" hidden="false" customHeight="false" outlineLevel="0" collapsed="false">
      <c r="A48" s="16" t="s">
        <v>42</v>
      </c>
      <c r="B48" s="16" t="s">
        <v>1498</v>
      </c>
      <c r="C48" s="71" t="s">
        <v>1582</v>
      </c>
      <c r="D48" s="16" t="s">
        <v>1588</v>
      </c>
      <c r="E48" s="16" t="s">
        <v>1589</v>
      </c>
      <c r="F48" s="16" t="n">
        <v>677</v>
      </c>
      <c r="G48" s="16" t="n">
        <v>52</v>
      </c>
      <c r="H48" s="16" t="n">
        <v>300</v>
      </c>
      <c r="I48" s="16" t="n">
        <v>154</v>
      </c>
      <c r="J48" s="16" t="n">
        <v>146</v>
      </c>
      <c r="K48" s="16" t="n">
        <v>33</v>
      </c>
      <c r="L48" s="19" t="n">
        <f aca="false">(K48/H48)*100</f>
        <v>11</v>
      </c>
      <c r="M48" s="16" t="n">
        <v>0</v>
      </c>
      <c r="N48" s="19" t="n">
        <f aca="false">(M48/H48)*100</f>
        <v>0</v>
      </c>
      <c r="O48" s="16" t="n">
        <v>35</v>
      </c>
      <c r="P48" s="16" t="n">
        <v>0</v>
      </c>
      <c r="Q48" s="20" t="s">
        <v>49</v>
      </c>
      <c r="R48" s="34" t="n">
        <v>44825</v>
      </c>
      <c r="S48" s="16"/>
      <c r="T48" s="20" t="n">
        <v>0</v>
      </c>
      <c r="U48" s="16"/>
      <c r="V48" s="16"/>
      <c r="W48" s="16"/>
      <c r="X48" s="16"/>
      <c r="Y48" s="16"/>
      <c r="Z48" s="16"/>
      <c r="AA48" s="21" t="n">
        <v>0</v>
      </c>
      <c r="AB48" s="21" t="n">
        <v>0</v>
      </c>
      <c r="AC48" s="36" t="n">
        <v>0</v>
      </c>
      <c r="AD48" s="20" t="n">
        <v>0</v>
      </c>
      <c r="AE48" s="20" t="n">
        <v>0</v>
      </c>
      <c r="AF48" s="16"/>
    </row>
    <row r="49" customFormat="false" ht="15.75" hidden="false" customHeight="false" outlineLevel="0" collapsed="false">
      <c r="A49" s="16" t="s">
        <v>42</v>
      </c>
      <c r="B49" s="16" t="s">
        <v>1498</v>
      </c>
      <c r="C49" s="71" t="s">
        <v>1582</v>
      </c>
      <c r="D49" s="16" t="s">
        <v>1590</v>
      </c>
      <c r="E49" s="16" t="s">
        <v>1591</v>
      </c>
      <c r="F49" s="16" t="n">
        <v>451</v>
      </c>
      <c r="G49" s="16" t="n">
        <v>73</v>
      </c>
      <c r="H49" s="16" t="n">
        <v>401</v>
      </c>
      <c r="I49" s="16" t="n">
        <v>214</v>
      </c>
      <c r="J49" s="16" t="n">
        <v>187</v>
      </c>
      <c r="K49" s="16" t="n">
        <v>0</v>
      </c>
      <c r="L49" s="19" t="n">
        <f aca="false">(K49/H49)*100</f>
        <v>0</v>
      </c>
      <c r="M49" s="16" t="n">
        <v>0</v>
      </c>
      <c r="N49" s="19" t="n">
        <f aca="false">(M49/H49)*100</f>
        <v>0</v>
      </c>
      <c r="O49" s="16" t="n">
        <v>20</v>
      </c>
      <c r="P49" s="16" t="n">
        <v>0</v>
      </c>
      <c r="Q49" s="20" t="s">
        <v>49</v>
      </c>
      <c r="R49" s="34" t="n">
        <v>44825</v>
      </c>
      <c r="S49" s="16"/>
      <c r="T49" s="20"/>
      <c r="U49" s="16"/>
      <c r="V49" s="16"/>
      <c r="W49" s="16"/>
      <c r="X49" s="16"/>
      <c r="Y49" s="16"/>
      <c r="Z49" s="16"/>
      <c r="AA49" s="26" t="s">
        <v>266</v>
      </c>
      <c r="AB49" s="21" t="n">
        <v>0</v>
      </c>
      <c r="AC49" s="36" t="n">
        <v>0</v>
      </c>
      <c r="AD49" s="20" t="n">
        <v>0</v>
      </c>
      <c r="AE49" s="20" t="n">
        <v>0</v>
      </c>
      <c r="AF49" s="16"/>
    </row>
    <row r="50" customFormat="false" ht="15.75" hidden="false" customHeight="false" outlineLevel="0" collapsed="false">
      <c r="A50" s="16" t="s">
        <v>42</v>
      </c>
      <c r="B50" s="16" t="s">
        <v>1498</v>
      </c>
      <c r="C50" s="71" t="s">
        <v>1582</v>
      </c>
      <c r="D50" s="16" t="s">
        <v>556</v>
      </c>
      <c r="E50" s="16" t="s">
        <v>1592</v>
      </c>
      <c r="F50" s="16" t="n">
        <v>668</v>
      </c>
      <c r="G50" s="16" t="n">
        <v>80</v>
      </c>
      <c r="H50" s="16" t="n">
        <v>461</v>
      </c>
      <c r="I50" s="16" t="n">
        <v>251</v>
      </c>
      <c r="J50" s="16" t="n">
        <v>210</v>
      </c>
      <c r="K50" s="16" t="n">
        <v>0</v>
      </c>
      <c r="L50" s="19" t="n">
        <f aca="false">(K50/H50)*100</f>
        <v>0</v>
      </c>
      <c r="M50" s="16" t="n">
        <v>20</v>
      </c>
      <c r="N50" s="19" t="n">
        <f aca="false">(M50/H50)*100</f>
        <v>4.33839479392625</v>
      </c>
      <c r="O50" s="16" t="n">
        <v>47</v>
      </c>
      <c r="P50" s="16" t="n">
        <v>0</v>
      </c>
      <c r="Q50" s="20" t="s">
        <v>49</v>
      </c>
      <c r="R50" s="34" t="n">
        <v>44825</v>
      </c>
      <c r="S50" s="16"/>
      <c r="T50" s="20"/>
      <c r="U50" s="16"/>
      <c r="V50" s="16"/>
      <c r="W50" s="16"/>
      <c r="X50" s="16"/>
      <c r="Y50" s="16"/>
      <c r="Z50" s="16"/>
      <c r="AA50" s="26" t="s">
        <v>266</v>
      </c>
      <c r="AB50" s="21" t="n">
        <v>10</v>
      </c>
      <c r="AC50" s="36" t="s">
        <v>1593</v>
      </c>
      <c r="AD50" s="20"/>
      <c r="AE50" s="20"/>
      <c r="AF50" s="16"/>
    </row>
    <row r="51" customFormat="false" ht="17.25" hidden="false" customHeight="false" outlineLevel="0" collapsed="false">
      <c r="A51" s="16" t="s">
        <v>42</v>
      </c>
      <c r="B51" s="16" t="s">
        <v>1498</v>
      </c>
      <c r="C51" s="71" t="s">
        <v>1594</v>
      </c>
      <c r="D51" s="72" t="s">
        <v>1595</v>
      </c>
      <c r="E51" s="16" t="s">
        <v>1596</v>
      </c>
      <c r="F51" s="16" t="n">
        <v>1349.81</v>
      </c>
      <c r="G51" s="16" t="n">
        <v>322</v>
      </c>
      <c r="H51" s="16" t="n">
        <v>1692</v>
      </c>
      <c r="I51" s="16" t="n">
        <v>902</v>
      </c>
      <c r="J51" s="16" t="n">
        <v>790</v>
      </c>
      <c r="K51" s="16" t="n">
        <v>144</v>
      </c>
      <c r="L51" s="19" t="n">
        <f aca="false">(K51/H51)*100</f>
        <v>8.51063829787234</v>
      </c>
      <c r="M51" s="16" t="n">
        <v>26</v>
      </c>
      <c r="N51" s="19" t="n">
        <f aca="false">(M51/H51)*100</f>
        <v>1.53664302600473</v>
      </c>
      <c r="O51" s="16" t="n">
        <v>44.38</v>
      </c>
      <c r="P51" s="16" t="n">
        <v>0</v>
      </c>
      <c r="Q51" s="24" t="s">
        <v>49</v>
      </c>
      <c r="R51" s="25" t="n">
        <v>45932</v>
      </c>
      <c r="S51" s="16"/>
      <c r="T51" s="278" t="n">
        <v>18.75</v>
      </c>
      <c r="U51" s="16"/>
      <c r="V51" s="16"/>
      <c r="W51" s="16"/>
      <c r="X51" s="16"/>
      <c r="Y51" s="16"/>
      <c r="Z51" s="16"/>
      <c r="AA51" s="26" t="s">
        <v>50</v>
      </c>
      <c r="AB51" s="26" t="n">
        <v>10</v>
      </c>
      <c r="AC51" s="283" t="s">
        <v>1597</v>
      </c>
      <c r="AD51" s="278" t="n">
        <v>26.401619</v>
      </c>
      <c r="AE51" s="278" t="n">
        <v>72.321691</v>
      </c>
      <c r="AF51" s="16" t="s">
        <v>1277</v>
      </c>
    </row>
    <row r="52" customFormat="false" ht="17.25" hidden="false" customHeight="false" outlineLevel="0" collapsed="false">
      <c r="A52" s="16"/>
      <c r="B52" s="16"/>
      <c r="C52" s="71"/>
      <c r="D52" s="72"/>
      <c r="E52" s="16"/>
      <c r="F52" s="16"/>
      <c r="G52" s="16"/>
      <c r="H52" s="16"/>
      <c r="I52" s="16"/>
      <c r="J52" s="16"/>
      <c r="K52" s="16"/>
      <c r="L52" s="19" t="e">
        <f aca="false">(K52/H52)*100</f>
        <v>#DIV/0!</v>
      </c>
      <c r="M52" s="16"/>
      <c r="N52" s="19" t="e">
        <f aca="false">(M52/H52)*100</f>
        <v>#DIV/0!</v>
      </c>
      <c r="O52" s="16"/>
      <c r="P52" s="16"/>
      <c r="Q52" s="256"/>
      <c r="R52" s="173"/>
      <c r="S52" s="16"/>
      <c r="T52" s="282"/>
      <c r="U52" s="16"/>
      <c r="V52" s="16"/>
      <c r="W52" s="16"/>
      <c r="X52" s="16"/>
      <c r="Y52" s="16"/>
      <c r="Z52" s="16"/>
      <c r="AA52" s="172" t="s">
        <v>50</v>
      </c>
      <c r="AB52" s="172" t="n">
        <v>5</v>
      </c>
      <c r="AC52" s="280" t="s">
        <v>1598</v>
      </c>
      <c r="AD52" s="282" t="n">
        <v>26.393605</v>
      </c>
      <c r="AE52" s="282" t="n">
        <v>72.314845</v>
      </c>
      <c r="AF52" s="16" t="s">
        <v>1277</v>
      </c>
    </row>
    <row r="53" customFormat="false" ht="15.75" hidden="false" customHeight="false" outlineLevel="0" collapsed="false">
      <c r="A53" s="16" t="s">
        <v>42</v>
      </c>
      <c r="B53" s="16" t="s">
        <v>1498</v>
      </c>
      <c r="C53" s="71" t="s">
        <v>1594</v>
      </c>
      <c r="D53" s="16" t="s">
        <v>131</v>
      </c>
      <c r="E53" s="16" t="s">
        <v>1599</v>
      </c>
      <c r="F53" s="16" t="n">
        <v>237.3</v>
      </c>
      <c r="G53" s="16" t="n">
        <v>100</v>
      </c>
      <c r="H53" s="16" t="n">
        <v>605</v>
      </c>
      <c r="I53" s="16" t="n">
        <v>322</v>
      </c>
      <c r="J53" s="16" t="n">
        <v>283</v>
      </c>
      <c r="K53" s="16" t="n">
        <v>0</v>
      </c>
      <c r="L53" s="19" t="n">
        <f aca="false">(K53/H53)*100</f>
        <v>0</v>
      </c>
      <c r="M53" s="16" t="n">
        <v>0</v>
      </c>
      <c r="N53" s="19" t="n">
        <f aca="false">(M53/H53)*100</f>
        <v>0</v>
      </c>
      <c r="O53" s="16" t="n">
        <v>0</v>
      </c>
      <c r="P53" s="16" t="n">
        <v>0</v>
      </c>
      <c r="Q53" s="24" t="s">
        <v>49</v>
      </c>
      <c r="R53" s="25" t="n">
        <v>45932</v>
      </c>
      <c r="S53" s="16"/>
      <c r="T53" s="278" t="n">
        <v>0</v>
      </c>
      <c r="U53" s="16"/>
      <c r="V53" s="16"/>
      <c r="W53" s="16"/>
      <c r="X53" s="16"/>
      <c r="Y53" s="16"/>
      <c r="Z53" s="16"/>
      <c r="AA53" s="26" t="s">
        <v>50</v>
      </c>
      <c r="AB53" s="26" t="n">
        <v>0</v>
      </c>
      <c r="AC53" s="57"/>
      <c r="AD53" s="278"/>
      <c r="AE53" s="278"/>
      <c r="AF53" s="16" t="s">
        <v>1277</v>
      </c>
    </row>
    <row r="54" customFormat="false" ht="17.25" hidden="false" customHeight="false" outlineLevel="0" collapsed="false">
      <c r="A54" s="16" t="s">
        <v>42</v>
      </c>
      <c r="B54" s="16" t="s">
        <v>1498</v>
      </c>
      <c r="C54" s="71" t="s">
        <v>1594</v>
      </c>
      <c r="D54" s="16" t="s">
        <v>1600</v>
      </c>
      <c r="E54" s="16" t="s">
        <v>1601</v>
      </c>
      <c r="F54" s="16" t="n">
        <v>435.66</v>
      </c>
      <c r="G54" s="16" t="n">
        <v>68</v>
      </c>
      <c r="H54" s="16" t="n">
        <v>344</v>
      </c>
      <c r="I54" s="16" t="n">
        <v>191</v>
      </c>
      <c r="J54" s="16" t="n">
        <v>153</v>
      </c>
      <c r="K54" s="16" t="n">
        <v>0</v>
      </c>
      <c r="L54" s="19" t="n">
        <f aca="false">(K54/H54)*100</f>
        <v>0</v>
      </c>
      <c r="M54" s="16" t="n">
        <v>0</v>
      </c>
      <c r="N54" s="19" t="n">
        <f aca="false">(M54/H54)*100</f>
        <v>0</v>
      </c>
      <c r="O54" s="16" t="n">
        <v>20.14</v>
      </c>
      <c r="P54" s="16" t="n">
        <v>0</v>
      </c>
      <c r="Q54" s="24" t="s">
        <v>49</v>
      </c>
      <c r="R54" s="25" t="n">
        <v>45932</v>
      </c>
      <c r="S54" s="16"/>
      <c r="T54" s="278" t="n">
        <v>10.07</v>
      </c>
      <c r="U54" s="16"/>
      <c r="V54" s="16"/>
      <c r="W54" s="16"/>
      <c r="X54" s="16"/>
      <c r="Y54" s="16"/>
      <c r="Z54" s="16"/>
      <c r="AA54" s="26" t="s">
        <v>50</v>
      </c>
      <c r="AB54" s="26" t="n">
        <v>5</v>
      </c>
      <c r="AC54" s="283" t="s">
        <v>1602</v>
      </c>
      <c r="AD54" s="278" t="n">
        <v>26.401098</v>
      </c>
      <c r="AE54" s="278" t="n">
        <v>72.44195</v>
      </c>
      <c r="AF54" s="16" t="s">
        <v>1277</v>
      </c>
    </row>
    <row r="55" customFormat="false" ht="15.75" hidden="false" customHeight="false" outlineLevel="0" collapsed="false">
      <c r="A55" s="16" t="s">
        <v>42</v>
      </c>
      <c r="B55" s="16" t="s">
        <v>1498</v>
      </c>
      <c r="C55" s="71" t="s">
        <v>1594</v>
      </c>
      <c r="D55" s="16" t="s">
        <v>1603</v>
      </c>
      <c r="E55" s="16" t="s">
        <v>1604</v>
      </c>
      <c r="F55" s="16" t="n">
        <v>561.02</v>
      </c>
      <c r="G55" s="16" t="n">
        <v>115</v>
      </c>
      <c r="H55" s="16" t="n">
        <v>700</v>
      </c>
      <c r="I55" s="16" t="n">
        <v>348</v>
      </c>
      <c r="J55" s="16" t="n">
        <v>352</v>
      </c>
      <c r="K55" s="16" t="n">
        <v>0</v>
      </c>
      <c r="L55" s="19" t="n">
        <f aca="false">(K55/H55)*100</f>
        <v>0</v>
      </c>
      <c r="M55" s="16" t="n">
        <v>0</v>
      </c>
      <c r="N55" s="19" t="n">
        <f aca="false">(M55/H55)*100</f>
        <v>0</v>
      </c>
      <c r="O55" s="16" t="n">
        <v>0</v>
      </c>
      <c r="P55" s="16" t="n">
        <v>0</v>
      </c>
      <c r="Q55" s="24" t="s">
        <v>49</v>
      </c>
      <c r="R55" s="25" t="n">
        <v>45932</v>
      </c>
      <c r="S55" s="16"/>
      <c r="T55" s="278" t="n">
        <v>0</v>
      </c>
      <c r="U55" s="16"/>
      <c r="V55" s="16"/>
      <c r="W55" s="16"/>
      <c r="X55" s="16"/>
      <c r="Y55" s="16"/>
      <c r="Z55" s="16"/>
      <c r="AA55" s="26" t="s">
        <v>50</v>
      </c>
      <c r="AB55" s="26" t="n">
        <v>0</v>
      </c>
      <c r="AC55" s="57"/>
      <c r="AD55" s="278"/>
      <c r="AE55" s="278"/>
      <c r="AF55" s="16" t="s">
        <v>1277</v>
      </c>
    </row>
    <row r="56" customFormat="false" ht="13.5" hidden="false" customHeight="true" outlineLevel="0" collapsed="false">
      <c r="A56" s="16" t="s">
        <v>42</v>
      </c>
      <c r="B56" s="16" t="s">
        <v>1498</v>
      </c>
      <c r="C56" s="71" t="s">
        <v>1605</v>
      </c>
      <c r="D56" s="72" t="s">
        <v>1605</v>
      </c>
      <c r="E56" s="16" t="s">
        <v>1606</v>
      </c>
      <c r="F56" s="16" t="n">
        <v>1035.95</v>
      </c>
      <c r="G56" s="16" t="n">
        <v>138</v>
      </c>
      <c r="H56" s="16" t="n">
        <v>791</v>
      </c>
      <c r="I56" s="16" t="n">
        <v>399</v>
      </c>
      <c r="J56" s="16" t="n">
        <v>392</v>
      </c>
      <c r="K56" s="16" t="n">
        <v>51</v>
      </c>
      <c r="L56" s="19" t="n">
        <f aca="false">(K56/H56)*100</f>
        <v>6.44753476611884</v>
      </c>
      <c r="M56" s="16" t="n">
        <v>0</v>
      </c>
      <c r="N56" s="19" t="n">
        <f aca="false">(M56/H56)*100</f>
        <v>0</v>
      </c>
      <c r="O56" s="16" t="n">
        <v>55</v>
      </c>
      <c r="P56" s="16" t="n">
        <v>0</v>
      </c>
      <c r="Q56" s="24" t="s">
        <v>49</v>
      </c>
      <c r="R56" s="25" t="n">
        <v>45932</v>
      </c>
      <c r="S56" s="16"/>
      <c r="T56" s="278" t="n">
        <v>0</v>
      </c>
      <c r="U56" s="16"/>
      <c r="V56" s="16"/>
      <c r="W56" s="16"/>
      <c r="X56" s="16"/>
      <c r="Y56" s="16"/>
      <c r="Z56" s="16"/>
      <c r="AA56" s="26" t="s">
        <v>50</v>
      </c>
      <c r="AB56" s="26" t="n">
        <v>5</v>
      </c>
      <c r="AC56" s="283" t="s">
        <v>1607</v>
      </c>
      <c r="AD56" s="278" t="n">
        <v>26.472388</v>
      </c>
      <c r="AE56" s="278" t="n">
        <v>72.3636</v>
      </c>
      <c r="AF56" s="16" t="s">
        <v>1277</v>
      </c>
    </row>
    <row r="57" customFormat="false" ht="15.75" hidden="false" customHeight="false" outlineLevel="0" collapsed="false">
      <c r="A57" s="16" t="s">
        <v>42</v>
      </c>
      <c r="B57" s="16" t="s">
        <v>1498</v>
      </c>
      <c r="C57" s="71" t="s">
        <v>1605</v>
      </c>
      <c r="D57" s="16" t="s">
        <v>1608</v>
      </c>
      <c r="E57" s="16" t="s">
        <v>1609</v>
      </c>
      <c r="F57" s="16" t="n">
        <v>340</v>
      </c>
      <c r="G57" s="16" t="n">
        <v>58</v>
      </c>
      <c r="H57" s="16" t="n">
        <v>365</v>
      </c>
      <c r="I57" s="16" t="n">
        <v>175</v>
      </c>
      <c r="J57" s="16" t="n">
        <v>190</v>
      </c>
      <c r="K57" s="16" t="n">
        <v>143</v>
      </c>
      <c r="L57" s="19" t="n">
        <f aca="false">(K57/H57)*100</f>
        <v>39.1780821917808</v>
      </c>
      <c r="M57" s="16" t="n">
        <v>0</v>
      </c>
      <c r="N57" s="19" t="n">
        <f aca="false">(M57/H57)*100</f>
        <v>0</v>
      </c>
      <c r="O57" s="16" t="n">
        <v>0</v>
      </c>
      <c r="P57" s="16" t="n">
        <v>0</v>
      </c>
      <c r="Q57" s="24" t="s">
        <v>49</v>
      </c>
      <c r="R57" s="25" t="n">
        <v>44623</v>
      </c>
      <c r="S57" s="16"/>
      <c r="T57" s="24" t="n">
        <v>6.5</v>
      </c>
      <c r="U57" s="16"/>
      <c r="V57" s="16"/>
      <c r="W57" s="16"/>
      <c r="X57" s="16"/>
      <c r="Y57" s="16"/>
      <c r="Z57" s="16"/>
      <c r="AA57" s="26" t="s">
        <v>266</v>
      </c>
      <c r="AB57" s="26" t="n">
        <v>2</v>
      </c>
      <c r="AC57" s="129" t="s">
        <v>1610</v>
      </c>
      <c r="AD57" s="24" t="n">
        <v>27.056195</v>
      </c>
      <c r="AE57" s="24" t="n">
        <v>72.504808</v>
      </c>
      <c r="AF57" s="16" t="s">
        <v>1277</v>
      </c>
    </row>
    <row r="58" customFormat="false" ht="15.75" hidden="false" customHeight="false" outlineLevel="0" collapsed="false">
      <c r="A58" s="16" t="s">
        <v>42</v>
      </c>
      <c r="B58" s="16" t="s">
        <v>1498</v>
      </c>
      <c r="C58" s="71" t="s">
        <v>1605</v>
      </c>
      <c r="D58" s="16" t="s">
        <v>1611</v>
      </c>
      <c r="E58" s="16" t="s">
        <v>1612</v>
      </c>
      <c r="F58" s="16" t="n">
        <v>518.27</v>
      </c>
      <c r="G58" s="16" t="n">
        <v>72</v>
      </c>
      <c r="H58" s="16" t="n">
        <v>497</v>
      </c>
      <c r="I58" s="16" t="n">
        <v>260</v>
      </c>
      <c r="J58" s="16" t="n">
        <v>237</v>
      </c>
      <c r="K58" s="16" t="n">
        <v>43</v>
      </c>
      <c r="L58" s="19" t="n">
        <f aca="false">(K58/H58)*100</f>
        <v>8.65191146881288</v>
      </c>
      <c r="M58" s="16" t="n">
        <v>0</v>
      </c>
      <c r="N58" s="19" t="n">
        <f aca="false">(M58/H58)*100</f>
        <v>0</v>
      </c>
      <c r="O58" s="16" t="n">
        <v>35</v>
      </c>
      <c r="P58" s="16" t="n">
        <v>0</v>
      </c>
      <c r="Q58" s="24" t="s">
        <v>49</v>
      </c>
      <c r="R58" s="25" t="n">
        <v>44625</v>
      </c>
      <c r="S58" s="16"/>
      <c r="T58" s="24" t="n">
        <v>4.96</v>
      </c>
      <c r="U58" s="16"/>
      <c r="V58" s="16"/>
      <c r="W58" s="16"/>
      <c r="X58" s="16"/>
      <c r="Y58" s="16"/>
      <c r="Z58" s="16"/>
      <c r="AA58" s="26" t="s">
        <v>266</v>
      </c>
      <c r="AB58" s="26" t="n">
        <v>2</v>
      </c>
      <c r="AC58" s="129" t="s">
        <v>1613</v>
      </c>
      <c r="AD58" s="24"/>
      <c r="AE58" s="24"/>
      <c r="AF58" s="16" t="s">
        <v>1277</v>
      </c>
    </row>
    <row r="59" customFormat="false" ht="15.75" hidden="false" customHeight="false" outlineLevel="0" collapsed="false">
      <c r="A59" s="16" t="s">
        <v>42</v>
      </c>
      <c r="B59" s="16" t="s">
        <v>1498</v>
      </c>
      <c r="C59" s="71" t="s">
        <v>1605</v>
      </c>
      <c r="D59" s="16" t="s">
        <v>1614</v>
      </c>
      <c r="E59" s="16" t="s">
        <v>1615</v>
      </c>
      <c r="F59" s="16" t="n">
        <v>396.91</v>
      </c>
      <c r="G59" s="16" t="n">
        <v>111</v>
      </c>
      <c r="H59" s="16" t="n">
        <v>622</v>
      </c>
      <c r="I59" s="16" t="n">
        <v>317</v>
      </c>
      <c r="J59" s="16" t="n">
        <v>305</v>
      </c>
      <c r="K59" s="16" t="n">
        <v>552</v>
      </c>
      <c r="L59" s="19" t="n">
        <f aca="false">(K59/H59)*100</f>
        <v>88.7459807073955</v>
      </c>
      <c r="M59" s="16" t="n">
        <v>0</v>
      </c>
      <c r="N59" s="19" t="n">
        <f aca="false">(M59/H59)*100</f>
        <v>0</v>
      </c>
      <c r="O59" s="16" t="n">
        <v>0</v>
      </c>
      <c r="P59" s="16" t="n">
        <v>0</v>
      </c>
      <c r="Q59" s="24" t="s">
        <v>49</v>
      </c>
      <c r="R59" s="25" t="n">
        <v>44610</v>
      </c>
      <c r="S59" s="16"/>
      <c r="T59" s="24" t="n">
        <v>6</v>
      </c>
      <c r="U59" s="16"/>
      <c r="V59" s="16"/>
      <c r="W59" s="16"/>
      <c r="X59" s="16"/>
      <c r="Y59" s="16"/>
      <c r="Z59" s="16"/>
      <c r="AA59" s="26" t="s">
        <v>266</v>
      </c>
      <c r="AB59" s="26" t="n">
        <v>1</v>
      </c>
      <c r="AC59" s="129" t="s">
        <v>1616</v>
      </c>
      <c r="AD59" s="24" t="n">
        <v>26.775594</v>
      </c>
      <c r="AE59" s="24" t="n">
        <v>72.53337</v>
      </c>
      <c r="AF59" s="16" t="s">
        <v>1277</v>
      </c>
    </row>
    <row r="60" customFormat="false" ht="15.75" hidden="false" customHeight="false" outlineLevel="0" collapsed="false">
      <c r="A60" s="16" t="s">
        <v>42</v>
      </c>
      <c r="B60" s="16" t="s">
        <v>1498</v>
      </c>
      <c r="C60" s="71" t="s">
        <v>1605</v>
      </c>
      <c r="D60" s="16" t="s">
        <v>237</v>
      </c>
      <c r="E60" s="16" t="s">
        <v>1617</v>
      </c>
      <c r="F60" s="16" t="n">
        <v>175.2</v>
      </c>
      <c r="G60" s="16" t="n">
        <v>27</v>
      </c>
      <c r="H60" s="16" t="n">
        <v>197</v>
      </c>
      <c r="I60" s="16" t="n">
        <v>99</v>
      </c>
      <c r="J60" s="16" t="n">
        <v>98</v>
      </c>
      <c r="K60" s="16" t="n">
        <v>0</v>
      </c>
      <c r="L60" s="19" t="n">
        <f aca="false">(K60/H60)*100</f>
        <v>0</v>
      </c>
      <c r="M60" s="16" t="n">
        <v>0</v>
      </c>
      <c r="N60" s="19" t="n">
        <f aca="false">(M60/H60)*100</f>
        <v>0</v>
      </c>
      <c r="O60" s="16" t="n">
        <v>0</v>
      </c>
      <c r="P60" s="16" t="n">
        <v>0</v>
      </c>
      <c r="Q60" s="24" t="s">
        <v>49</v>
      </c>
      <c r="R60" s="25" t="n">
        <v>45932</v>
      </c>
      <c r="S60" s="16"/>
      <c r="T60" s="278" t="n">
        <v>0</v>
      </c>
      <c r="U60" s="16"/>
      <c r="V60" s="16"/>
      <c r="W60" s="16"/>
      <c r="X60" s="16"/>
      <c r="Y60" s="16"/>
      <c r="Z60" s="16"/>
      <c r="AA60" s="26" t="s">
        <v>50</v>
      </c>
      <c r="AB60" s="26" t="n">
        <v>0</v>
      </c>
      <c r="AC60" s="57"/>
      <c r="AD60" s="278"/>
      <c r="AE60" s="278"/>
      <c r="AF60" s="16" t="s">
        <v>1277</v>
      </c>
    </row>
    <row r="61" customFormat="false" ht="34.5" hidden="false" customHeight="false" outlineLevel="0" collapsed="false">
      <c r="A61" s="16" t="s">
        <v>42</v>
      </c>
      <c r="B61" s="16" t="s">
        <v>1498</v>
      </c>
      <c r="C61" s="71" t="s">
        <v>1605</v>
      </c>
      <c r="D61" s="16" t="s">
        <v>281</v>
      </c>
      <c r="E61" s="16" t="s">
        <v>1618</v>
      </c>
      <c r="F61" s="16" t="n">
        <v>194.19</v>
      </c>
      <c r="G61" s="16" t="n">
        <v>28</v>
      </c>
      <c r="H61" s="16" t="n">
        <v>239</v>
      </c>
      <c r="I61" s="16" t="n">
        <v>124</v>
      </c>
      <c r="J61" s="16" t="n">
        <v>115</v>
      </c>
      <c r="K61" s="16" t="n">
        <v>0</v>
      </c>
      <c r="L61" s="19" t="n">
        <f aca="false">(K61/H61)*100</f>
        <v>0</v>
      </c>
      <c r="M61" s="16" t="n">
        <v>0</v>
      </c>
      <c r="N61" s="19" t="n">
        <f aca="false">(M61/H61)*100</f>
        <v>0</v>
      </c>
      <c r="O61" s="16" t="n">
        <v>0</v>
      </c>
      <c r="P61" s="16" t="n">
        <v>0</v>
      </c>
      <c r="Q61" s="24" t="s">
        <v>49</v>
      </c>
      <c r="R61" s="25" t="n">
        <v>45932</v>
      </c>
      <c r="S61" s="16"/>
      <c r="T61" s="278" t="n">
        <v>0</v>
      </c>
      <c r="U61" s="16"/>
      <c r="V61" s="16"/>
      <c r="W61" s="16"/>
      <c r="X61" s="16"/>
      <c r="Y61" s="16"/>
      <c r="Z61" s="16"/>
      <c r="AA61" s="26" t="s">
        <v>50</v>
      </c>
      <c r="AB61" s="26" t="n">
        <v>2</v>
      </c>
      <c r="AC61" s="130" t="s">
        <v>1619</v>
      </c>
      <c r="AD61" s="278" t="n">
        <v>26.464658</v>
      </c>
      <c r="AE61" s="278" t="n">
        <v>72.36045</v>
      </c>
      <c r="AF61" s="16" t="s">
        <v>1277</v>
      </c>
    </row>
    <row r="62" customFormat="false" ht="15.75" hidden="false" customHeight="false" outlineLevel="0" collapsed="false">
      <c r="A62" s="16" t="s">
        <v>42</v>
      </c>
      <c r="B62" s="16" t="s">
        <v>1498</v>
      </c>
      <c r="C62" s="71" t="s">
        <v>1605</v>
      </c>
      <c r="D62" s="16" t="s">
        <v>1035</v>
      </c>
      <c r="E62" s="16" t="s">
        <v>1620</v>
      </c>
      <c r="F62" s="16" t="n">
        <v>187.52</v>
      </c>
      <c r="G62" s="16" t="n">
        <v>37</v>
      </c>
      <c r="H62" s="16" t="n">
        <v>334</v>
      </c>
      <c r="I62" s="16" t="n">
        <v>175</v>
      </c>
      <c r="J62" s="16" t="n">
        <v>159</v>
      </c>
      <c r="K62" s="16" t="n">
        <v>0</v>
      </c>
      <c r="L62" s="19" t="n">
        <f aca="false">(K62/H62)*100</f>
        <v>0</v>
      </c>
      <c r="M62" s="16" t="n">
        <v>0</v>
      </c>
      <c r="N62" s="19" t="n">
        <f aca="false">(M62/H62)*100</f>
        <v>0</v>
      </c>
      <c r="O62" s="16" t="n">
        <v>0</v>
      </c>
      <c r="P62" s="16" t="n">
        <v>0</v>
      </c>
      <c r="Q62" s="24" t="s">
        <v>49</v>
      </c>
      <c r="R62" s="25" t="n">
        <v>45932</v>
      </c>
      <c r="S62" s="16"/>
      <c r="T62" s="278" t="n">
        <v>0</v>
      </c>
      <c r="U62" s="16"/>
      <c r="V62" s="16"/>
      <c r="W62" s="16"/>
      <c r="X62" s="16"/>
      <c r="Y62" s="16"/>
      <c r="Z62" s="16"/>
      <c r="AA62" s="26" t="s">
        <v>50</v>
      </c>
      <c r="AB62" s="26" t="n">
        <v>0</v>
      </c>
      <c r="AC62" s="57"/>
      <c r="AD62" s="278"/>
      <c r="AE62" s="278"/>
      <c r="AF62" s="16" t="s">
        <v>1277</v>
      </c>
    </row>
    <row r="63" customFormat="false" ht="15.75" hidden="false" customHeight="false" outlineLevel="0" collapsed="false">
      <c r="A63" s="16" t="s">
        <v>42</v>
      </c>
      <c r="B63" s="16" t="s">
        <v>1498</v>
      </c>
      <c r="C63" s="71" t="s">
        <v>1621</v>
      </c>
      <c r="D63" s="72" t="s">
        <v>1622</v>
      </c>
      <c r="E63" s="16" t="s">
        <v>1623</v>
      </c>
      <c r="F63" s="16" t="n">
        <v>2250</v>
      </c>
      <c r="G63" s="16" t="n">
        <v>265</v>
      </c>
      <c r="H63" s="16" t="n">
        <v>1743</v>
      </c>
      <c r="I63" s="16" t="n">
        <v>877</v>
      </c>
      <c r="J63" s="16" t="n">
        <v>866</v>
      </c>
      <c r="K63" s="16" t="n">
        <v>291</v>
      </c>
      <c r="L63" s="19" t="n">
        <f aca="false">(K63/H63)*100</f>
        <v>16.6953528399312</v>
      </c>
      <c r="M63" s="16" t="n">
        <v>0</v>
      </c>
      <c r="N63" s="19" t="n">
        <f aca="false">(M63/H63)*100</f>
        <v>0</v>
      </c>
      <c r="O63" s="16" t="n">
        <v>197</v>
      </c>
      <c r="P63" s="16" t="n">
        <v>0</v>
      </c>
      <c r="Q63" s="24" t="s">
        <v>49</v>
      </c>
      <c r="R63" s="25" t="n">
        <v>44879</v>
      </c>
      <c r="S63" s="16"/>
      <c r="T63" s="24" t="n">
        <v>127.1862</v>
      </c>
      <c r="U63" s="16"/>
      <c r="V63" s="16"/>
      <c r="W63" s="16"/>
      <c r="X63" s="16"/>
      <c r="Y63" s="16"/>
      <c r="Z63" s="16"/>
      <c r="AA63" s="47" t="s">
        <v>266</v>
      </c>
      <c r="AB63" s="26" t="n">
        <v>6</v>
      </c>
      <c r="AC63" s="284" t="s">
        <v>1624</v>
      </c>
      <c r="AD63" s="119" t="n">
        <v>26.72</v>
      </c>
      <c r="AE63" s="92" t="n">
        <v>72.44</v>
      </c>
      <c r="AF63" s="16"/>
    </row>
    <row r="64" customFormat="false" ht="15.75" hidden="false" customHeight="false" outlineLevel="0" collapsed="false">
      <c r="A64" s="16" t="s">
        <v>42</v>
      </c>
      <c r="B64" s="16" t="s">
        <v>1498</v>
      </c>
      <c r="C64" s="71" t="s">
        <v>1621</v>
      </c>
      <c r="D64" s="16" t="s">
        <v>430</v>
      </c>
      <c r="E64" s="16" t="s">
        <v>1625</v>
      </c>
      <c r="F64" s="16" t="n">
        <v>867</v>
      </c>
      <c r="G64" s="16" t="n">
        <v>61</v>
      </c>
      <c r="H64" s="16" t="n">
        <v>463</v>
      </c>
      <c r="I64" s="16" t="n">
        <v>251</v>
      </c>
      <c r="J64" s="16" t="n">
        <v>212</v>
      </c>
      <c r="K64" s="16" t="n">
        <v>170</v>
      </c>
      <c r="L64" s="19" t="n">
        <f aca="false">(K64/H64)*100</f>
        <v>36.7170626349892</v>
      </c>
      <c r="M64" s="16" t="n">
        <v>73</v>
      </c>
      <c r="N64" s="19" t="n">
        <f aca="false">(M64/H64)*100</f>
        <v>15.7667386609071</v>
      </c>
      <c r="O64" s="16" t="n">
        <v>105</v>
      </c>
      <c r="P64" s="16" t="n">
        <v>0</v>
      </c>
      <c r="Q64" s="24" t="s">
        <v>49</v>
      </c>
      <c r="R64" s="25" t="n">
        <v>44879</v>
      </c>
      <c r="S64" s="16"/>
      <c r="T64" s="24" t="n">
        <v>108.6164</v>
      </c>
      <c r="U64" s="16"/>
      <c r="V64" s="16"/>
      <c r="W64" s="16"/>
      <c r="X64" s="16"/>
      <c r="Y64" s="16"/>
      <c r="Z64" s="16"/>
      <c r="AA64" s="47" t="s">
        <v>266</v>
      </c>
      <c r="AB64" s="26" t="n">
        <v>16</v>
      </c>
      <c r="AC64" s="284" t="s">
        <v>1626</v>
      </c>
      <c r="AD64" s="119" t="n">
        <v>26.73</v>
      </c>
      <c r="AE64" s="92" t="n">
        <v>72.45</v>
      </c>
      <c r="AF64" s="16"/>
    </row>
    <row r="65" customFormat="false" ht="15.75" hidden="false" customHeight="false" outlineLevel="0" collapsed="false">
      <c r="A65" s="16" t="s">
        <v>42</v>
      </c>
      <c r="B65" s="16" t="s">
        <v>1498</v>
      </c>
      <c r="C65" s="71" t="s">
        <v>1627</v>
      </c>
      <c r="D65" s="72" t="s">
        <v>1627</v>
      </c>
      <c r="E65" s="16" t="s">
        <v>1628</v>
      </c>
      <c r="F65" s="16" t="n">
        <v>2473</v>
      </c>
      <c r="G65" s="16" t="n">
        <v>273</v>
      </c>
      <c r="H65" s="16" t="n">
        <v>1761</v>
      </c>
      <c r="I65" s="16" t="n">
        <v>953</v>
      </c>
      <c r="J65" s="16" t="n">
        <v>808</v>
      </c>
      <c r="K65" s="16" t="n">
        <v>348</v>
      </c>
      <c r="L65" s="19" t="n">
        <f aca="false">(K65/H65)*100</f>
        <v>19.7614991482112</v>
      </c>
      <c r="M65" s="16" t="n">
        <v>0</v>
      </c>
      <c r="N65" s="19" t="n">
        <f aca="false">(M65/H65)*100</f>
        <v>0</v>
      </c>
      <c r="O65" s="16" t="n">
        <v>202</v>
      </c>
      <c r="P65" s="16" t="n">
        <v>0</v>
      </c>
      <c r="Q65" s="24" t="s">
        <v>1629</v>
      </c>
      <c r="R65" s="25" t="n">
        <v>45931</v>
      </c>
      <c r="S65" s="16"/>
      <c r="T65" s="24" t="n">
        <v>81.5</v>
      </c>
      <c r="U65" s="16"/>
      <c r="V65" s="16"/>
      <c r="W65" s="16"/>
      <c r="X65" s="16"/>
      <c r="Y65" s="16"/>
      <c r="Z65" s="16"/>
      <c r="AA65" s="26" t="s">
        <v>50</v>
      </c>
      <c r="AB65" s="26" t="n">
        <v>5</v>
      </c>
      <c r="AC65" s="129" t="s">
        <v>1630</v>
      </c>
      <c r="AD65" s="24" t="n">
        <v>26.434623</v>
      </c>
      <c r="AE65" s="24" t="n">
        <v>72.254854</v>
      </c>
      <c r="AF65" s="16" t="s">
        <v>1277</v>
      </c>
    </row>
    <row r="66" customFormat="false" ht="15.75" hidden="false" customHeight="false" outlineLevel="0" collapsed="false">
      <c r="A66" s="16" t="s">
        <v>42</v>
      </c>
      <c r="B66" s="16" t="s">
        <v>1498</v>
      </c>
      <c r="C66" s="71" t="s">
        <v>1627</v>
      </c>
      <c r="D66" s="16" t="s">
        <v>1631</v>
      </c>
      <c r="E66" s="16" t="s">
        <v>1632</v>
      </c>
      <c r="F66" s="16" t="n">
        <v>489</v>
      </c>
      <c r="G66" s="16" t="n">
        <v>43</v>
      </c>
      <c r="H66" s="16" t="n">
        <v>280</v>
      </c>
      <c r="I66" s="16" t="n">
        <v>154</v>
      </c>
      <c r="J66" s="16" t="n">
        <v>126</v>
      </c>
      <c r="K66" s="16" t="n">
        <v>0</v>
      </c>
      <c r="L66" s="19" t="n">
        <f aca="false">(K66/H66)*100</f>
        <v>0</v>
      </c>
      <c r="M66" s="16" t="n">
        <v>0</v>
      </c>
      <c r="N66" s="19" t="n">
        <f aca="false">(M66/H66)*100</f>
        <v>0</v>
      </c>
      <c r="O66" s="16" t="n">
        <v>0</v>
      </c>
      <c r="P66" s="16" t="n">
        <v>0</v>
      </c>
      <c r="Q66" s="24"/>
      <c r="R66" s="25" t="n">
        <v>45931</v>
      </c>
      <c r="S66" s="16"/>
      <c r="T66" s="24" t="n">
        <v>0</v>
      </c>
      <c r="U66" s="16"/>
      <c r="V66" s="16"/>
      <c r="W66" s="16"/>
      <c r="X66" s="16"/>
      <c r="Y66" s="16"/>
      <c r="Z66" s="16"/>
      <c r="AA66" s="26" t="s">
        <v>50</v>
      </c>
      <c r="AB66" s="26" t="n">
        <v>0</v>
      </c>
      <c r="AC66" s="57"/>
      <c r="AD66" s="24"/>
      <c r="AE66" s="24"/>
      <c r="AF66" s="16" t="s">
        <v>1277</v>
      </c>
    </row>
    <row r="67" customFormat="false" ht="15.75" hidden="false" customHeight="false" outlineLevel="0" collapsed="false">
      <c r="A67" s="16" t="s">
        <v>42</v>
      </c>
      <c r="B67" s="16" t="s">
        <v>1498</v>
      </c>
      <c r="C67" s="71" t="s">
        <v>1627</v>
      </c>
      <c r="D67" s="16" t="s">
        <v>1633</v>
      </c>
      <c r="E67" s="16" t="s">
        <v>1634</v>
      </c>
      <c r="F67" s="16" t="n">
        <v>515</v>
      </c>
      <c r="G67" s="16" t="n">
        <v>95</v>
      </c>
      <c r="H67" s="16" t="n">
        <v>534</v>
      </c>
      <c r="I67" s="16" t="n">
        <v>268</v>
      </c>
      <c r="J67" s="16" t="n">
        <v>266</v>
      </c>
      <c r="K67" s="16" t="n">
        <v>0</v>
      </c>
      <c r="L67" s="19" t="n">
        <f aca="false">(K67/H67)*100</f>
        <v>0</v>
      </c>
      <c r="M67" s="16" t="n">
        <v>0</v>
      </c>
      <c r="N67" s="19" t="n">
        <f aca="false">(M67/H67)*100</f>
        <v>0</v>
      </c>
      <c r="O67" s="16" t="n">
        <v>0</v>
      </c>
      <c r="P67" s="16" t="n">
        <v>0</v>
      </c>
      <c r="Q67" s="24"/>
      <c r="R67" s="25" t="n">
        <v>45931</v>
      </c>
      <c r="S67" s="16"/>
      <c r="T67" s="24" t="n">
        <v>0</v>
      </c>
      <c r="U67" s="16"/>
      <c r="V67" s="16"/>
      <c r="W67" s="16"/>
      <c r="X67" s="16"/>
      <c r="Y67" s="16"/>
      <c r="Z67" s="16"/>
      <c r="AA67" s="26" t="s">
        <v>50</v>
      </c>
      <c r="AB67" s="26" t="n">
        <v>0</v>
      </c>
      <c r="AC67" s="57"/>
      <c r="AD67" s="24"/>
      <c r="AE67" s="24"/>
      <c r="AF67" s="16" t="s">
        <v>1277</v>
      </c>
    </row>
    <row r="68" customFormat="false" ht="15.75" hidden="false" customHeight="false" outlineLevel="0" collapsed="false">
      <c r="A68" s="16" t="s">
        <v>42</v>
      </c>
      <c r="B68" s="16" t="s">
        <v>1498</v>
      </c>
      <c r="C68" s="71" t="s">
        <v>1635</v>
      </c>
      <c r="D68" s="72" t="s">
        <v>1635</v>
      </c>
      <c r="E68" s="16" t="s">
        <v>1636</v>
      </c>
      <c r="F68" s="16" t="n">
        <v>380</v>
      </c>
      <c r="G68" s="16" t="n">
        <v>105</v>
      </c>
      <c r="H68" s="16" t="n">
        <v>745</v>
      </c>
      <c r="I68" s="16" t="n">
        <v>378</v>
      </c>
      <c r="J68" s="16" t="n">
        <v>367</v>
      </c>
      <c r="K68" s="16" t="n">
        <v>7</v>
      </c>
      <c r="L68" s="19" t="n">
        <f aca="false">(K68/H68)*100</f>
        <v>0.939597315436242</v>
      </c>
      <c r="M68" s="16" t="n">
        <v>0</v>
      </c>
      <c r="N68" s="19" t="n">
        <f aca="false">(M68/H68)*100</f>
        <v>0</v>
      </c>
      <c r="O68" s="16" t="n">
        <v>0</v>
      </c>
      <c r="P68" s="16" t="n">
        <v>0</v>
      </c>
      <c r="Q68" s="24" t="s">
        <v>49</v>
      </c>
      <c r="R68" s="25" t="n">
        <v>44879</v>
      </c>
      <c r="S68" s="16"/>
      <c r="T68" s="24"/>
      <c r="U68" s="16"/>
      <c r="V68" s="16"/>
      <c r="W68" s="16"/>
      <c r="X68" s="16"/>
      <c r="Y68" s="16"/>
      <c r="Z68" s="16"/>
      <c r="AA68" s="47" t="s">
        <v>266</v>
      </c>
      <c r="AB68" s="26" t="n">
        <v>12</v>
      </c>
      <c r="AC68" s="284" t="s">
        <v>1637</v>
      </c>
      <c r="AD68" s="119" t="n">
        <v>26.64</v>
      </c>
      <c r="AE68" s="92" t="n">
        <v>72.6</v>
      </c>
      <c r="AF68" s="16"/>
    </row>
    <row r="69" customFormat="false" ht="15.75" hidden="false" customHeight="false" outlineLevel="0" collapsed="false">
      <c r="A69" s="16" t="s">
        <v>42</v>
      </c>
      <c r="B69" s="16" t="s">
        <v>1498</v>
      </c>
      <c r="C69" s="71" t="s">
        <v>1635</v>
      </c>
      <c r="D69" s="16" t="s">
        <v>1638</v>
      </c>
      <c r="E69" s="16" t="s">
        <v>1639</v>
      </c>
      <c r="F69" s="16" t="n">
        <v>255</v>
      </c>
      <c r="G69" s="16" t="n">
        <v>73</v>
      </c>
      <c r="H69" s="16" t="n">
        <v>491</v>
      </c>
      <c r="I69" s="16" t="n">
        <v>261</v>
      </c>
      <c r="J69" s="16" t="n">
        <v>230</v>
      </c>
      <c r="K69" s="16" t="n">
        <v>261</v>
      </c>
      <c r="L69" s="19" t="n">
        <f aca="false">(K69/H69)*100</f>
        <v>53.1568228105906</v>
      </c>
      <c r="M69" s="16" t="n">
        <v>0</v>
      </c>
      <c r="N69" s="19" t="n">
        <f aca="false">(M69/H69)*100</f>
        <v>0</v>
      </c>
      <c r="O69" s="16" t="n">
        <v>13.27</v>
      </c>
      <c r="P69" s="16" t="n">
        <v>0</v>
      </c>
      <c r="Q69" s="24" t="s">
        <v>49</v>
      </c>
      <c r="R69" s="25" t="n">
        <v>44879</v>
      </c>
      <c r="S69" s="16"/>
      <c r="T69" s="24" t="n">
        <v>9.7124</v>
      </c>
      <c r="U69" s="16"/>
      <c r="V69" s="16"/>
      <c r="W69" s="16"/>
      <c r="X69" s="16"/>
      <c r="Y69" s="16"/>
      <c r="Z69" s="16"/>
      <c r="AA69" s="47" t="s">
        <v>266</v>
      </c>
      <c r="AB69" s="26" t="n">
        <v>0</v>
      </c>
      <c r="AC69" s="57" t="n">
        <v>0</v>
      </c>
      <c r="AD69" s="119"/>
      <c r="AE69" s="92"/>
      <c r="AF69" s="16"/>
    </row>
    <row r="70" customFormat="false" ht="15.75" hidden="false" customHeight="false" outlineLevel="0" collapsed="false">
      <c r="A70" s="16" t="s">
        <v>42</v>
      </c>
      <c r="B70" s="16" t="s">
        <v>1498</v>
      </c>
      <c r="C70" s="71" t="s">
        <v>1635</v>
      </c>
      <c r="D70" s="16" t="s">
        <v>1253</v>
      </c>
      <c r="E70" s="16" t="s">
        <v>1640</v>
      </c>
      <c r="F70" s="16" t="n">
        <v>890</v>
      </c>
      <c r="G70" s="16" t="n">
        <v>115</v>
      </c>
      <c r="H70" s="16" t="n">
        <v>691</v>
      </c>
      <c r="I70" s="16" t="n">
        <v>376</v>
      </c>
      <c r="J70" s="16" t="n">
        <v>315</v>
      </c>
      <c r="K70" s="16" t="n">
        <v>249</v>
      </c>
      <c r="L70" s="19" t="n">
        <f aca="false">(K70/H70)*100</f>
        <v>36.0347322720695</v>
      </c>
      <c r="M70" s="16" t="n">
        <v>0</v>
      </c>
      <c r="N70" s="19" t="n">
        <f aca="false">(M70/H70)*100</f>
        <v>0</v>
      </c>
      <c r="O70" s="16" t="n">
        <v>20</v>
      </c>
      <c r="P70" s="16" t="n">
        <v>0</v>
      </c>
      <c r="Q70" s="24" t="s">
        <v>49</v>
      </c>
      <c r="R70" s="25" t="n">
        <v>44879</v>
      </c>
      <c r="S70" s="16"/>
      <c r="T70" s="24"/>
      <c r="U70" s="16"/>
      <c r="V70" s="16"/>
      <c r="W70" s="16"/>
      <c r="X70" s="16"/>
      <c r="Y70" s="16"/>
      <c r="Z70" s="16"/>
      <c r="AA70" s="47" t="s">
        <v>266</v>
      </c>
      <c r="AB70" s="26" t="n">
        <v>0</v>
      </c>
      <c r="AC70" s="57" t="n">
        <v>0</v>
      </c>
      <c r="AD70" s="119"/>
      <c r="AE70" s="92"/>
      <c r="AF70" s="16"/>
    </row>
    <row r="71" customFormat="false" ht="15.75" hidden="false" customHeight="false" outlineLevel="0" collapsed="false">
      <c r="A71" s="16" t="s">
        <v>42</v>
      </c>
      <c r="B71" s="16" t="s">
        <v>1498</v>
      </c>
      <c r="C71" s="71" t="s">
        <v>1635</v>
      </c>
      <c r="D71" s="16" t="s">
        <v>1641</v>
      </c>
      <c r="E71" s="16" t="s">
        <v>1642</v>
      </c>
      <c r="F71" s="16" t="n">
        <v>384</v>
      </c>
      <c r="G71" s="16" t="n">
        <v>112</v>
      </c>
      <c r="H71" s="16" t="n">
        <v>707</v>
      </c>
      <c r="I71" s="16" t="n">
        <v>364</v>
      </c>
      <c r="J71" s="16" t="n">
        <v>343</v>
      </c>
      <c r="K71" s="16" t="n">
        <v>209</v>
      </c>
      <c r="L71" s="19" t="n">
        <f aca="false">(K71/H71)*100</f>
        <v>29.5615275813296</v>
      </c>
      <c r="M71" s="16" t="n">
        <v>0</v>
      </c>
      <c r="N71" s="19" t="n">
        <f aca="false">(M71/H71)*100</f>
        <v>0</v>
      </c>
      <c r="O71" s="16" t="n">
        <v>0</v>
      </c>
      <c r="P71" s="16" t="n">
        <v>0</v>
      </c>
      <c r="Q71" s="24" t="s">
        <v>49</v>
      </c>
      <c r="R71" s="25" t="n">
        <v>44879</v>
      </c>
      <c r="S71" s="16"/>
      <c r="T71" s="24" t="n">
        <v>0</v>
      </c>
      <c r="U71" s="16"/>
      <c r="V71" s="16"/>
      <c r="W71" s="16"/>
      <c r="X71" s="16"/>
      <c r="Y71" s="16"/>
      <c r="Z71" s="16"/>
      <c r="AA71" s="47" t="s">
        <v>266</v>
      </c>
      <c r="AB71" s="26" t="n">
        <v>0</v>
      </c>
      <c r="AC71" s="57" t="n">
        <v>0</v>
      </c>
      <c r="AD71" s="119" t="n">
        <v>0</v>
      </c>
      <c r="AE71" s="92" t="n">
        <v>0</v>
      </c>
      <c r="AF71" s="16"/>
    </row>
    <row r="72" customFormat="false" ht="45.75" hidden="false" customHeight="false" outlineLevel="0" collapsed="false">
      <c r="A72" s="16" t="s">
        <v>42</v>
      </c>
      <c r="B72" s="16" t="s">
        <v>1498</v>
      </c>
      <c r="C72" s="71" t="s">
        <v>1643</v>
      </c>
      <c r="D72" s="72" t="s">
        <v>1644</v>
      </c>
      <c r="E72" s="16" t="s">
        <v>1645</v>
      </c>
      <c r="F72" s="16" t="n">
        <v>709.43</v>
      </c>
      <c r="G72" s="16" t="n">
        <v>345</v>
      </c>
      <c r="H72" s="16" t="n">
        <v>1749</v>
      </c>
      <c r="I72" s="16" t="n">
        <v>915</v>
      </c>
      <c r="J72" s="16" t="n">
        <v>834</v>
      </c>
      <c r="K72" s="16" t="n">
        <v>785</v>
      </c>
      <c r="L72" s="19" t="n">
        <f aca="false">(K72/H72)*100</f>
        <v>44.882790165809</v>
      </c>
      <c r="M72" s="16" t="n">
        <v>7</v>
      </c>
      <c r="N72" s="19" t="n">
        <f aca="false">(M72/H72)*100</f>
        <v>0.400228702115495</v>
      </c>
      <c r="O72" s="16" t="n">
        <v>42.25</v>
      </c>
      <c r="P72" s="16" t="n">
        <v>0</v>
      </c>
      <c r="Q72" s="247" t="s">
        <v>50</v>
      </c>
      <c r="R72" s="34" t="n">
        <v>44611</v>
      </c>
      <c r="S72" s="16"/>
      <c r="T72" s="20" t="n">
        <v>32</v>
      </c>
      <c r="U72" s="16"/>
      <c r="V72" s="16"/>
      <c r="W72" s="16"/>
      <c r="X72" s="16"/>
      <c r="Y72" s="16"/>
      <c r="Z72" s="16"/>
      <c r="AA72" s="73" t="s">
        <v>50</v>
      </c>
      <c r="AB72" s="21" t="n">
        <v>5</v>
      </c>
      <c r="AC72" s="285" t="s">
        <v>1646</v>
      </c>
      <c r="AD72" s="20" t="n">
        <v>26.773872</v>
      </c>
      <c r="AE72" s="20" t="n">
        <v>72.503801</v>
      </c>
      <c r="AF72" s="16"/>
    </row>
    <row r="73" customFormat="false" ht="15.75" hidden="false" customHeight="false" outlineLevel="0" collapsed="false">
      <c r="A73" s="16" t="s">
        <v>42</v>
      </c>
      <c r="B73" s="16" t="s">
        <v>1498</v>
      </c>
      <c r="C73" s="71" t="s">
        <v>1643</v>
      </c>
      <c r="D73" s="16" t="s">
        <v>1647</v>
      </c>
      <c r="E73" s="16" t="s">
        <v>1648</v>
      </c>
      <c r="F73" s="16" t="n">
        <v>605.3</v>
      </c>
      <c r="G73" s="16" t="n">
        <v>67</v>
      </c>
      <c r="H73" s="16" t="n">
        <v>412</v>
      </c>
      <c r="I73" s="16" t="n">
        <v>205</v>
      </c>
      <c r="J73" s="16" t="n">
        <v>207</v>
      </c>
      <c r="K73" s="16" t="n">
        <v>46</v>
      </c>
      <c r="L73" s="19" t="n">
        <f aca="false">(K73/H73)*100</f>
        <v>11.1650485436893</v>
      </c>
      <c r="M73" s="16" t="n">
        <v>114</v>
      </c>
      <c r="N73" s="19" t="n">
        <f aca="false">(M73/H73)*100</f>
        <v>27.6699029126214</v>
      </c>
      <c r="O73" s="16" t="n">
        <v>50.75</v>
      </c>
      <c r="P73" s="16" t="n">
        <v>0</v>
      </c>
      <c r="Q73" s="24" t="s">
        <v>49</v>
      </c>
      <c r="R73" s="25" t="n">
        <v>44825</v>
      </c>
      <c r="S73" s="16"/>
      <c r="T73" s="24"/>
      <c r="U73" s="16"/>
      <c r="V73" s="16"/>
      <c r="W73" s="16"/>
      <c r="X73" s="16"/>
      <c r="Y73" s="16"/>
      <c r="Z73" s="16"/>
      <c r="AA73" s="26" t="s">
        <v>266</v>
      </c>
      <c r="AB73" s="26" t="n">
        <v>10</v>
      </c>
      <c r="AC73" s="57" t="s">
        <v>276</v>
      </c>
      <c r="AD73" s="24"/>
      <c r="AE73" s="24"/>
      <c r="AF73" s="16"/>
    </row>
    <row r="74" customFormat="false" ht="15.75" hidden="false" customHeight="false" outlineLevel="0" collapsed="false">
      <c r="A74" s="16" t="s">
        <v>42</v>
      </c>
      <c r="B74" s="16" t="s">
        <v>1498</v>
      </c>
      <c r="C74" s="71" t="s">
        <v>1643</v>
      </c>
      <c r="D74" s="16" t="s">
        <v>1649</v>
      </c>
      <c r="E74" s="16" t="s">
        <v>1650</v>
      </c>
      <c r="F74" s="16" t="n">
        <v>595.7</v>
      </c>
      <c r="G74" s="16" t="n">
        <v>133</v>
      </c>
      <c r="H74" s="16" t="n">
        <v>886</v>
      </c>
      <c r="I74" s="16" t="n">
        <v>443</v>
      </c>
      <c r="J74" s="16" t="n">
        <v>443</v>
      </c>
      <c r="K74" s="16" t="n">
        <v>192</v>
      </c>
      <c r="L74" s="19" t="n">
        <f aca="false">(K74/H74)*100</f>
        <v>21.6704288939052</v>
      </c>
      <c r="M74" s="16" t="n">
        <v>268</v>
      </c>
      <c r="N74" s="19" t="n">
        <f aca="false">(M74/H74)*100</f>
        <v>30.2483069977427</v>
      </c>
      <c r="O74" s="16" t="n">
        <v>45</v>
      </c>
      <c r="P74" s="16" t="n">
        <v>0</v>
      </c>
      <c r="Q74" s="24" t="s">
        <v>49</v>
      </c>
      <c r="R74" s="25" t="n">
        <v>44825</v>
      </c>
      <c r="S74" s="16"/>
      <c r="T74" s="24"/>
      <c r="U74" s="16"/>
      <c r="V74" s="16"/>
      <c r="W74" s="16"/>
      <c r="X74" s="16"/>
      <c r="Y74" s="16"/>
      <c r="Z74" s="16"/>
      <c r="AA74" s="26" t="n">
        <v>0</v>
      </c>
      <c r="AB74" s="26" t="n">
        <v>0</v>
      </c>
      <c r="AC74" s="57" t="n">
        <v>0</v>
      </c>
      <c r="AD74" s="24"/>
      <c r="AE74" s="24"/>
      <c r="AF74" s="16"/>
    </row>
    <row r="75" customFormat="false" ht="15.75" hidden="false" customHeight="false" outlineLevel="0" collapsed="false">
      <c r="A75" s="16" t="s">
        <v>42</v>
      </c>
      <c r="B75" s="16" t="s">
        <v>1498</v>
      </c>
      <c r="C75" s="71" t="s">
        <v>1643</v>
      </c>
      <c r="D75" s="16" t="s">
        <v>1651</v>
      </c>
      <c r="E75" s="16" t="s">
        <v>1652</v>
      </c>
      <c r="F75" s="16" t="n">
        <v>179.57</v>
      </c>
      <c r="G75" s="16" t="n">
        <v>48</v>
      </c>
      <c r="H75" s="16" t="n">
        <v>323</v>
      </c>
      <c r="I75" s="16" t="n">
        <v>169</v>
      </c>
      <c r="J75" s="16" t="n">
        <v>154</v>
      </c>
      <c r="K75" s="16" t="n">
        <v>234</v>
      </c>
      <c r="L75" s="19" t="n">
        <f aca="false">(K75/H75)*100</f>
        <v>72.4458204334365</v>
      </c>
      <c r="M75" s="16" t="n">
        <v>0</v>
      </c>
      <c r="N75" s="19" t="n">
        <f aca="false">(M75/H75)*100</f>
        <v>0</v>
      </c>
      <c r="O75" s="16" t="n">
        <v>0</v>
      </c>
      <c r="P75" s="16" t="n">
        <v>0</v>
      </c>
      <c r="Q75" s="24" t="s">
        <v>49</v>
      </c>
      <c r="R75" s="25" t="n">
        <v>44825</v>
      </c>
      <c r="S75" s="16"/>
      <c r="T75" s="24" t="n">
        <v>0</v>
      </c>
      <c r="U75" s="16"/>
      <c r="V75" s="16"/>
      <c r="W75" s="16"/>
      <c r="X75" s="16"/>
      <c r="Y75" s="16"/>
      <c r="Z75" s="16"/>
      <c r="AA75" s="26" t="n">
        <v>0</v>
      </c>
      <c r="AB75" s="26" t="n">
        <v>0</v>
      </c>
      <c r="AC75" s="57" t="n">
        <v>0</v>
      </c>
      <c r="AD75" s="24" t="n">
        <v>0</v>
      </c>
      <c r="AE75" s="24" t="n">
        <v>0</v>
      </c>
      <c r="AF75" s="16"/>
    </row>
    <row r="76" customFormat="false" ht="15.75" hidden="false" customHeight="false" outlineLevel="0" collapsed="false">
      <c r="A76" s="16" t="s">
        <v>42</v>
      </c>
      <c r="B76" s="16" t="s">
        <v>1498</v>
      </c>
      <c r="C76" s="71" t="s">
        <v>1643</v>
      </c>
      <c r="D76" s="16" t="s">
        <v>1653</v>
      </c>
      <c r="E76" s="16" t="s">
        <v>1654</v>
      </c>
      <c r="F76" s="16" t="n">
        <v>252.75</v>
      </c>
      <c r="G76" s="16" t="n">
        <v>56</v>
      </c>
      <c r="H76" s="16" t="n">
        <v>372</v>
      </c>
      <c r="I76" s="16" t="n">
        <v>183</v>
      </c>
      <c r="J76" s="16" t="n">
        <v>189</v>
      </c>
      <c r="K76" s="16" t="n">
        <v>15</v>
      </c>
      <c r="L76" s="19" t="n">
        <f aca="false">(K76/H76)*100</f>
        <v>4.03225806451613</v>
      </c>
      <c r="M76" s="16" t="n">
        <v>91</v>
      </c>
      <c r="N76" s="19" t="n">
        <f aca="false">(M76/H76)*100</f>
        <v>24.4623655913978</v>
      </c>
      <c r="O76" s="16" t="n">
        <v>0</v>
      </c>
      <c r="P76" s="16" t="n">
        <v>0</v>
      </c>
      <c r="Q76" s="24" t="s">
        <v>49</v>
      </c>
      <c r="R76" s="25" t="n">
        <v>44825</v>
      </c>
      <c r="S76" s="16"/>
      <c r="T76" s="24"/>
      <c r="U76" s="16"/>
      <c r="V76" s="16"/>
      <c r="W76" s="16"/>
      <c r="X76" s="16"/>
      <c r="Y76" s="16"/>
      <c r="Z76" s="16"/>
      <c r="AA76" s="26"/>
      <c r="AB76" s="26" t="n">
        <v>0</v>
      </c>
      <c r="AC76" s="57" t="n">
        <v>0</v>
      </c>
      <c r="AD76" s="24"/>
      <c r="AE76" s="24"/>
      <c r="AF76" s="16"/>
    </row>
    <row r="77" customFormat="false" ht="15.75" hidden="false" customHeight="false" outlineLevel="0" collapsed="false">
      <c r="A77" s="16" t="s">
        <v>42</v>
      </c>
      <c r="B77" s="16" t="s">
        <v>1498</v>
      </c>
      <c r="C77" s="71" t="s">
        <v>1643</v>
      </c>
      <c r="D77" s="16" t="s">
        <v>1655</v>
      </c>
      <c r="E77" s="16" t="s">
        <v>1656</v>
      </c>
      <c r="F77" s="16" t="n">
        <v>258.35</v>
      </c>
      <c r="G77" s="16" t="n">
        <v>64</v>
      </c>
      <c r="H77" s="16" t="n">
        <v>398</v>
      </c>
      <c r="I77" s="16" t="n">
        <v>205</v>
      </c>
      <c r="J77" s="16" t="n">
        <v>193</v>
      </c>
      <c r="K77" s="16" t="n">
        <v>191</v>
      </c>
      <c r="L77" s="19" t="n">
        <f aca="false">(K77/H77)*100</f>
        <v>47.9899497487437</v>
      </c>
      <c r="M77" s="16" t="n">
        <v>33</v>
      </c>
      <c r="N77" s="19" t="n">
        <f aca="false">(M77/H77)*100</f>
        <v>8.29145728643216</v>
      </c>
      <c r="O77" s="16" t="n">
        <v>0</v>
      </c>
      <c r="P77" s="16" t="n">
        <v>0</v>
      </c>
      <c r="Q77" s="24" t="s">
        <v>49</v>
      </c>
      <c r="R77" s="25"/>
      <c r="S77" s="16"/>
      <c r="T77" s="24"/>
      <c r="U77" s="16"/>
      <c r="V77" s="16"/>
      <c r="W77" s="16"/>
      <c r="X77" s="16"/>
      <c r="Y77" s="16"/>
      <c r="Z77" s="16"/>
      <c r="AA77" s="26" t="s">
        <v>266</v>
      </c>
      <c r="AB77" s="26"/>
      <c r="AC77" s="129" t="s">
        <v>1502</v>
      </c>
      <c r="AD77" s="24" t="n">
        <v>26.794473</v>
      </c>
      <c r="AE77" s="24" t="n">
        <v>72.504899</v>
      </c>
      <c r="AF77" s="16"/>
    </row>
    <row r="78" customFormat="false" ht="15.75" hidden="false" customHeight="false" outlineLevel="0" collapsed="false">
      <c r="A78" s="16" t="s">
        <v>42</v>
      </c>
      <c r="B78" s="16" t="s">
        <v>1498</v>
      </c>
      <c r="C78" s="71" t="s">
        <v>1657</v>
      </c>
      <c r="D78" s="72" t="s">
        <v>1657</v>
      </c>
      <c r="E78" s="16" t="s">
        <v>1658</v>
      </c>
      <c r="F78" s="16" t="n">
        <v>1040.95</v>
      </c>
      <c r="G78" s="16" t="n">
        <v>153</v>
      </c>
      <c r="H78" s="16" t="n">
        <v>872</v>
      </c>
      <c r="I78" s="16" t="n">
        <v>467</v>
      </c>
      <c r="J78" s="16" t="n">
        <v>405</v>
      </c>
      <c r="K78" s="16" t="n">
        <v>232</v>
      </c>
      <c r="L78" s="19" t="n">
        <f aca="false">(K78/H78)*100</f>
        <v>26.605504587156</v>
      </c>
      <c r="M78" s="16" t="n">
        <v>1</v>
      </c>
      <c r="N78" s="19" t="n">
        <f aca="false">(M78/H78)*100</f>
        <v>0.114678899082569</v>
      </c>
      <c r="O78" s="16" t="n">
        <v>263.35</v>
      </c>
      <c r="P78" s="16" t="n">
        <v>0</v>
      </c>
      <c r="Q78" s="24" t="s">
        <v>49</v>
      </c>
      <c r="R78" s="25" t="n">
        <v>44836</v>
      </c>
      <c r="S78" s="16"/>
      <c r="T78" s="24"/>
      <c r="U78" s="16" t="s">
        <v>50</v>
      </c>
      <c r="V78" s="16"/>
      <c r="W78" s="16"/>
      <c r="X78" s="16"/>
      <c r="Y78" s="16"/>
      <c r="Z78" s="16"/>
      <c r="AA78" s="26" t="s">
        <v>50</v>
      </c>
      <c r="AB78" s="26" t="n">
        <v>10</v>
      </c>
      <c r="AC78" s="57" t="s">
        <v>276</v>
      </c>
      <c r="AD78" s="24"/>
      <c r="AE78" s="24"/>
      <c r="AF78" s="16"/>
    </row>
    <row r="79" customFormat="false" ht="15.75" hidden="false" customHeight="false" outlineLevel="0" collapsed="false">
      <c r="A79" s="16" t="s">
        <v>42</v>
      </c>
      <c r="B79" s="16" t="s">
        <v>1498</v>
      </c>
      <c r="C79" s="71" t="s">
        <v>1657</v>
      </c>
      <c r="D79" s="16" t="s">
        <v>1659</v>
      </c>
      <c r="E79" s="16" t="s">
        <v>1660</v>
      </c>
      <c r="F79" s="16" t="n">
        <v>512</v>
      </c>
      <c r="G79" s="16" t="n">
        <v>70</v>
      </c>
      <c r="H79" s="16" t="n">
        <v>454</v>
      </c>
      <c r="I79" s="16" t="n">
        <v>253</v>
      </c>
      <c r="J79" s="16" t="n">
        <v>201</v>
      </c>
      <c r="K79" s="16" t="n">
        <v>0</v>
      </c>
      <c r="L79" s="19" t="n">
        <f aca="false">(K79/H79)*100</f>
        <v>0</v>
      </c>
      <c r="M79" s="16" t="n">
        <v>0</v>
      </c>
      <c r="N79" s="19" t="n">
        <f aca="false">(M79/H79)*100</f>
        <v>0</v>
      </c>
      <c r="O79" s="16" t="n">
        <v>0</v>
      </c>
      <c r="P79" s="16" t="n">
        <v>0</v>
      </c>
      <c r="Q79" s="24" t="s">
        <v>49</v>
      </c>
      <c r="R79" s="25" t="n">
        <v>44836</v>
      </c>
      <c r="S79" s="16"/>
      <c r="T79" s="24"/>
      <c r="U79" s="16"/>
      <c r="V79" s="16"/>
      <c r="W79" s="16"/>
      <c r="X79" s="16"/>
      <c r="Y79" s="16"/>
      <c r="Z79" s="16"/>
      <c r="AA79" s="26" t="s">
        <v>50</v>
      </c>
      <c r="AB79" s="26" t="n">
        <v>1</v>
      </c>
      <c r="AC79" s="57" t="s">
        <v>276</v>
      </c>
      <c r="AD79" s="24"/>
      <c r="AE79" s="24"/>
      <c r="AF79" s="16"/>
    </row>
    <row r="80" customFormat="false" ht="15.75" hidden="false" customHeight="false" outlineLevel="0" collapsed="false">
      <c r="A80" s="16" t="s">
        <v>42</v>
      </c>
      <c r="B80" s="16" t="s">
        <v>1498</v>
      </c>
      <c r="C80" s="71" t="s">
        <v>1657</v>
      </c>
      <c r="D80" s="16" t="s">
        <v>1661</v>
      </c>
      <c r="E80" s="16" t="s">
        <v>1662</v>
      </c>
      <c r="F80" s="16" t="n">
        <v>687.05</v>
      </c>
      <c r="G80" s="16" t="n">
        <v>194</v>
      </c>
      <c r="H80" s="16" t="n">
        <v>1285</v>
      </c>
      <c r="I80" s="16" t="n">
        <v>663</v>
      </c>
      <c r="J80" s="16" t="n">
        <v>622</v>
      </c>
      <c r="K80" s="16" t="n">
        <v>208</v>
      </c>
      <c r="L80" s="19" t="n">
        <f aca="false">(K80/H80)*100</f>
        <v>16.1867704280156</v>
      </c>
      <c r="M80" s="16" t="n">
        <v>22</v>
      </c>
      <c r="N80" s="19" t="n">
        <f aca="false">(M80/H80)*100</f>
        <v>1.71206225680934</v>
      </c>
      <c r="O80" s="16" t="n">
        <v>20.65</v>
      </c>
      <c r="P80" s="16" t="n">
        <v>0</v>
      </c>
      <c r="Q80" s="24" t="s">
        <v>49</v>
      </c>
      <c r="R80" s="25" t="n">
        <v>44836</v>
      </c>
      <c r="S80" s="16"/>
      <c r="T80" s="24"/>
      <c r="U80" s="16" t="s">
        <v>50</v>
      </c>
      <c r="V80" s="16"/>
      <c r="W80" s="16"/>
      <c r="X80" s="16"/>
      <c r="Y80" s="16"/>
      <c r="Z80" s="16"/>
      <c r="AA80" s="26" t="s">
        <v>50</v>
      </c>
      <c r="AB80" s="26" t="n">
        <v>10</v>
      </c>
      <c r="AC80" s="57" t="s">
        <v>276</v>
      </c>
      <c r="AD80" s="24"/>
      <c r="AE80" s="24"/>
      <c r="AF80" s="16"/>
    </row>
    <row r="81" customFormat="false" ht="15.75" hidden="false" customHeight="false" outlineLevel="0" collapsed="false">
      <c r="A81" s="16" t="s">
        <v>42</v>
      </c>
      <c r="B81" s="16" t="s">
        <v>1498</v>
      </c>
      <c r="C81" s="71" t="s">
        <v>1663</v>
      </c>
      <c r="D81" s="72" t="s">
        <v>1664</v>
      </c>
      <c r="E81" s="16" t="s">
        <v>1665</v>
      </c>
      <c r="F81" s="16" t="n">
        <v>1189</v>
      </c>
      <c r="G81" s="16" t="n">
        <v>277</v>
      </c>
      <c r="H81" s="16" t="n">
        <v>1675</v>
      </c>
      <c r="I81" s="16" t="n">
        <v>874</v>
      </c>
      <c r="J81" s="16" t="n">
        <v>801</v>
      </c>
      <c r="K81" s="16" t="n">
        <v>30</v>
      </c>
      <c r="L81" s="19" t="n">
        <f aca="false">(K81/H81)*100</f>
        <v>1.7910447761194</v>
      </c>
      <c r="M81" s="16" t="n">
        <v>0</v>
      </c>
      <c r="N81" s="19" t="n">
        <f aca="false">(M81/H81)*100</f>
        <v>0</v>
      </c>
      <c r="O81" s="16" t="n">
        <v>106</v>
      </c>
      <c r="P81" s="16" t="n">
        <v>0</v>
      </c>
      <c r="Q81" s="20" t="s">
        <v>49</v>
      </c>
      <c r="R81" s="34" t="n">
        <v>44825</v>
      </c>
      <c r="S81" s="16"/>
      <c r="T81" s="20"/>
      <c r="U81" s="16"/>
      <c r="V81" s="16"/>
      <c r="W81" s="16"/>
      <c r="X81" s="16"/>
      <c r="Y81" s="16"/>
      <c r="Z81" s="16"/>
      <c r="AA81" s="21" t="s">
        <v>50</v>
      </c>
      <c r="AB81" s="21" t="n">
        <v>18.51</v>
      </c>
      <c r="AC81" s="254" t="s">
        <v>1666</v>
      </c>
      <c r="AD81" s="267" t="n">
        <v>26.68</v>
      </c>
      <c r="AE81" s="20" t="n">
        <v>72.61</v>
      </c>
      <c r="AF81" s="16"/>
    </row>
    <row r="82" customFormat="false" ht="15.75" hidden="false" customHeight="false" outlineLevel="0" collapsed="false">
      <c r="A82" s="16" t="s">
        <v>42</v>
      </c>
      <c r="B82" s="16" t="s">
        <v>1498</v>
      </c>
      <c r="C82" s="71" t="s">
        <v>1663</v>
      </c>
      <c r="D82" s="16" t="s">
        <v>1667</v>
      </c>
      <c r="E82" s="16" t="s">
        <v>1668</v>
      </c>
      <c r="F82" s="16" t="n">
        <v>1313</v>
      </c>
      <c r="G82" s="16" t="n">
        <v>185</v>
      </c>
      <c r="H82" s="16" t="n">
        <v>1216</v>
      </c>
      <c r="I82" s="16" t="n">
        <v>630</v>
      </c>
      <c r="J82" s="16" t="n">
        <v>586</v>
      </c>
      <c r="K82" s="16" t="n">
        <v>218</v>
      </c>
      <c r="L82" s="19" t="n">
        <f aca="false">(K82/H82)*100</f>
        <v>17.9276315789474</v>
      </c>
      <c r="M82" s="16" t="n">
        <v>0</v>
      </c>
      <c r="N82" s="19" t="n">
        <f aca="false">(M82/H82)*100</f>
        <v>0</v>
      </c>
      <c r="O82" s="16" t="n">
        <v>0</v>
      </c>
      <c r="P82" s="16" t="n">
        <v>0</v>
      </c>
      <c r="Q82" s="20" t="s">
        <v>49</v>
      </c>
      <c r="R82" s="34" t="n">
        <v>44825</v>
      </c>
      <c r="S82" s="16"/>
      <c r="T82" s="20" t="n">
        <v>12.869</v>
      </c>
      <c r="U82" s="16"/>
      <c r="V82" s="16"/>
      <c r="W82" s="16"/>
      <c r="X82" s="16"/>
      <c r="Y82" s="16"/>
      <c r="Z82" s="16"/>
      <c r="AA82" s="21" t="s">
        <v>50</v>
      </c>
      <c r="AB82" s="21" t="n">
        <v>10</v>
      </c>
      <c r="AC82" s="254" t="s">
        <v>1669</v>
      </c>
      <c r="AD82" s="267" t="n">
        <v>26.64</v>
      </c>
      <c r="AE82" s="20" t="n">
        <v>72.63</v>
      </c>
      <c r="AF82" s="16"/>
    </row>
    <row r="83" customFormat="false" ht="15.75" hidden="false" customHeight="false" outlineLevel="0" collapsed="false">
      <c r="A83" s="16" t="s">
        <v>42</v>
      </c>
      <c r="B83" s="16" t="s">
        <v>1498</v>
      </c>
      <c r="C83" s="71" t="s">
        <v>1670</v>
      </c>
      <c r="D83" s="72" t="s">
        <v>1671</v>
      </c>
      <c r="E83" s="16" t="s">
        <v>1672</v>
      </c>
      <c r="F83" s="16" t="n">
        <v>937</v>
      </c>
      <c r="G83" s="16" t="n">
        <v>153</v>
      </c>
      <c r="H83" s="16" t="n">
        <v>984</v>
      </c>
      <c r="I83" s="16" t="n">
        <v>525</v>
      </c>
      <c r="J83" s="16" t="n">
        <v>459</v>
      </c>
      <c r="K83" s="16" t="n">
        <v>555</v>
      </c>
      <c r="L83" s="19" t="n">
        <f aca="false">(K83/H83)*100</f>
        <v>56.4024390243902</v>
      </c>
      <c r="M83" s="16" t="n">
        <v>0</v>
      </c>
      <c r="N83" s="19" t="n">
        <f aca="false">(M83/H83)*100</f>
        <v>0</v>
      </c>
      <c r="O83" s="16" t="n">
        <v>0</v>
      </c>
      <c r="P83" s="16" t="n">
        <v>0</v>
      </c>
      <c r="Q83" s="24"/>
      <c r="R83" s="25" t="n">
        <v>45932</v>
      </c>
      <c r="S83" s="16"/>
      <c r="T83" s="24" t="n">
        <v>0</v>
      </c>
      <c r="U83" s="16"/>
      <c r="V83" s="16"/>
      <c r="W83" s="16"/>
      <c r="X83" s="16"/>
      <c r="Y83" s="16"/>
      <c r="Z83" s="16"/>
      <c r="AA83" s="26" t="s">
        <v>50</v>
      </c>
      <c r="AB83" s="26" t="n">
        <v>0</v>
      </c>
      <c r="AC83" s="57"/>
      <c r="AD83" s="24"/>
      <c r="AE83" s="24"/>
      <c r="AF83" s="16" t="s">
        <v>1277</v>
      </c>
    </row>
    <row r="84" customFormat="false" ht="15.75" hidden="false" customHeight="false" outlineLevel="0" collapsed="false">
      <c r="A84" s="16" t="s">
        <v>42</v>
      </c>
      <c r="B84" s="16" t="s">
        <v>1498</v>
      </c>
      <c r="C84" s="71" t="s">
        <v>1670</v>
      </c>
      <c r="D84" s="16" t="s">
        <v>1673</v>
      </c>
      <c r="E84" s="16" t="s">
        <v>1674</v>
      </c>
      <c r="F84" s="16" t="n">
        <v>669</v>
      </c>
      <c r="G84" s="16" t="n">
        <v>69</v>
      </c>
      <c r="H84" s="16" t="n">
        <v>403</v>
      </c>
      <c r="I84" s="16" t="n">
        <v>217</v>
      </c>
      <c r="J84" s="16" t="n">
        <v>186</v>
      </c>
      <c r="K84" s="16" t="n">
        <v>0</v>
      </c>
      <c r="L84" s="19" t="n">
        <f aca="false">(K84/H84)*100</f>
        <v>0</v>
      </c>
      <c r="M84" s="16" t="n">
        <v>0</v>
      </c>
      <c r="N84" s="19" t="n">
        <f aca="false">(M84/H84)*100</f>
        <v>0</v>
      </c>
      <c r="O84" s="16" t="n">
        <v>0</v>
      </c>
      <c r="P84" s="16" t="n">
        <v>0</v>
      </c>
      <c r="Q84" s="24"/>
      <c r="R84" s="25" t="n">
        <v>45932</v>
      </c>
      <c r="S84" s="16"/>
      <c r="T84" s="24" t="n">
        <v>0</v>
      </c>
      <c r="U84" s="16"/>
      <c r="V84" s="16"/>
      <c r="W84" s="16"/>
      <c r="X84" s="16"/>
      <c r="Y84" s="16"/>
      <c r="Z84" s="16"/>
      <c r="AA84" s="26" t="s">
        <v>50</v>
      </c>
      <c r="AB84" s="26" t="n">
        <v>0</v>
      </c>
      <c r="AC84" s="57"/>
      <c r="AD84" s="24"/>
      <c r="AE84" s="24"/>
      <c r="AF84" s="16" t="s">
        <v>1277</v>
      </c>
    </row>
    <row r="85" customFormat="false" ht="15.75" hidden="false" customHeight="false" outlineLevel="0" collapsed="false">
      <c r="A85" s="16" t="s">
        <v>42</v>
      </c>
      <c r="B85" s="16" t="s">
        <v>1498</v>
      </c>
      <c r="C85" s="71" t="s">
        <v>1670</v>
      </c>
      <c r="D85" s="16" t="s">
        <v>1675</v>
      </c>
      <c r="E85" s="16" t="s">
        <v>1676</v>
      </c>
      <c r="F85" s="16" t="n">
        <v>236.86</v>
      </c>
      <c r="G85" s="16" t="n">
        <v>110</v>
      </c>
      <c r="H85" s="16" t="n">
        <v>610</v>
      </c>
      <c r="I85" s="16" t="n">
        <v>347</v>
      </c>
      <c r="J85" s="16" t="n">
        <v>263</v>
      </c>
      <c r="K85" s="16" t="n">
        <v>0</v>
      </c>
      <c r="L85" s="19" t="n">
        <f aca="false">(K85/H85)*100</f>
        <v>0</v>
      </c>
      <c r="M85" s="16" t="n">
        <v>358</v>
      </c>
      <c r="N85" s="19" t="n">
        <f aca="false">(M85/H85)*100</f>
        <v>58.6885245901639</v>
      </c>
      <c r="O85" s="16" t="n">
        <v>5.01</v>
      </c>
      <c r="P85" s="16" t="n">
        <v>0</v>
      </c>
      <c r="Q85" s="24"/>
      <c r="R85" s="25" t="n">
        <v>45932</v>
      </c>
      <c r="S85" s="16"/>
      <c r="T85" s="24" t="n">
        <v>0</v>
      </c>
      <c r="U85" s="16"/>
      <c r="V85" s="16"/>
      <c r="W85" s="16"/>
      <c r="X85" s="16"/>
      <c r="Y85" s="16"/>
      <c r="Z85" s="16"/>
      <c r="AA85" s="26" t="s">
        <v>50</v>
      </c>
      <c r="AB85" s="26" t="n">
        <v>0</v>
      </c>
      <c r="AC85" s="57"/>
      <c r="AD85" s="24"/>
      <c r="AE85" s="24"/>
      <c r="AF85" s="16" t="s">
        <v>1277</v>
      </c>
    </row>
    <row r="86" customFormat="false" ht="31.5" hidden="false" customHeight="false" outlineLevel="0" collapsed="false">
      <c r="A86" s="16" t="s">
        <v>42</v>
      </c>
      <c r="B86" s="16" t="s">
        <v>1498</v>
      </c>
      <c r="C86" s="71" t="s">
        <v>1670</v>
      </c>
      <c r="D86" s="16" t="s">
        <v>1677</v>
      </c>
      <c r="E86" s="16" t="s">
        <v>1678</v>
      </c>
      <c r="F86" s="16" t="n">
        <v>518</v>
      </c>
      <c r="G86" s="16" t="n">
        <v>140</v>
      </c>
      <c r="H86" s="16" t="n">
        <v>848</v>
      </c>
      <c r="I86" s="16" t="n">
        <v>433</v>
      </c>
      <c r="J86" s="16" t="n">
        <v>415</v>
      </c>
      <c r="K86" s="16" t="n">
        <v>324</v>
      </c>
      <c r="L86" s="19" t="n">
        <f aca="false">(K86/H86)*100</f>
        <v>38.2075471698113</v>
      </c>
      <c r="M86" s="16" t="n">
        <v>0</v>
      </c>
      <c r="N86" s="19" t="n">
        <f aca="false">(M86/H86)*100</f>
        <v>0</v>
      </c>
      <c r="O86" s="16" t="n">
        <v>0</v>
      </c>
      <c r="P86" s="16" t="n">
        <v>0</v>
      </c>
      <c r="Q86" s="24"/>
      <c r="R86" s="25" t="n">
        <v>45932</v>
      </c>
      <c r="S86" s="16"/>
      <c r="T86" s="24" t="n">
        <v>10.33</v>
      </c>
      <c r="U86" s="16"/>
      <c r="V86" s="16"/>
      <c r="W86" s="16"/>
      <c r="X86" s="16"/>
      <c r="Y86" s="16"/>
      <c r="Z86" s="16"/>
      <c r="AA86" s="26" t="s">
        <v>50</v>
      </c>
      <c r="AB86" s="26" t="n">
        <v>8</v>
      </c>
      <c r="AC86" s="57" t="s">
        <v>1679</v>
      </c>
      <c r="AD86" s="24" t="n">
        <v>26.37738</v>
      </c>
      <c r="AE86" s="24" t="n">
        <v>72.371798</v>
      </c>
      <c r="AF86" s="16"/>
    </row>
    <row r="87" customFormat="false" ht="15.75" hidden="false" customHeight="false" outlineLevel="0" collapsed="false">
      <c r="A87" s="16" t="s">
        <v>42</v>
      </c>
      <c r="B87" s="16" t="s">
        <v>1498</v>
      </c>
      <c r="C87" s="71" t="s">
        <v>1680</v>
      </c>
      <c r="D87" s="72" t="s">
        <v>1680</v>
      </c>
      <c r="E87" s="16" t="s">
        <v>1681</v>
      </c>
      <c r="F87" s="16" t="n">
        <v>2503</v>
      </c>
      <c r="G87" s="16" t="n">
        <v>322</v>
      </c>
      <c r="H87" s="16" t="n">
        <v>1978</v>
      </c>
      <c r="I87" s="16" t="n">
        <v>1008</v>
      </c>
      <c r="J87" s="16" t="n">
        <v>970</v>
      </c>
      <c r="K87" s="16" t="n">
        <v>338</v>
      </c>
      <c r="L87" s="19" t="n">
        <f aca="false">(K87/H87)*100</f>
        <v>17.0879676440849</v>
      </c>
      <c r="M87" s="16" t="n">
        <v>0</v>
      </c>
      <c r="N87" s="19" t="n">
        <f aca="false">(M87/H87)*100</f>
        <v>0</v>
      </c>
      <c r="O87" s="16" t="n">
        <v>42</v>
      </c>
      <c r="P87" s="16" t="n">
        <v>0</v>
      </c>
      <c r="Q87" s="20" t="s">
        <v>49</v>
      </c>
      <c r="R87" s="34" t="n">
        <v>44827</v>
      </c>
      <c r="S87" s="16"/>
      <c r="T87" s="20"/>
      <c r="U87" s="16"/>
      <c r="V87" s="16"/>
      <c r="W87" s="16"/>
      <c r="X87" s="16"/>
      <c r="Y87" s="16"/>
      <c r="Z87" s="16"/>
      <c r="AA87" s="21" t="s">
        <v>50</v>
      </c>
      <c r="AB87" s="21" t="n">
        <v>20</v>
      </c>
      <c r="AC87" s="254" t="s">
        <v>1682</v>
      </c>
      <c r="AD87" s="267" t="n">
        <v>26.7</v>
      </c>
      <c r="AE87" s="20" t="n">
        <v>72.47</v>
      </c>
      <c r="AF87" s="16"/>
    </row>
    <row r="88" customFormat="false" ht="15.75" hidden="false" customHeight="false" outlineLevel="0" collapsed="false">
      <c r="A88" s="16" t="s">
        <v>42</v>
      </c>
      <c r="B88" s="16" t="s">
        <v>1498</v>
      </c>
      <c r="C88" s="71" t="s">
        <v>1680</v>
      </c>
      <c r="D88" s="16" t="s">
        <v>1683</v>
      </c>
      <c r="E88" s="16" t="s">
        <v>1684</v>
      </c>
      <c r="F88" s="16" t="n">
        <v>158.14</v>
      </c>
      <c r="G88" s="16" t="n">
        <v>48</v>
      </c>
      <c r="H88" s="16" t="n">
        <v>257</v>
      </c>
      <c r="I88" s="16" t="n">
        <v>130</v>
      </c>
      <c r="J88" s="16" t="n">
        <v>127</v>
      </c>
      <c r="K88" s="16" t="n">
        <v>0</v>
      </c>
      <c r="L88" s="19" t="n">
        <f aca="false">(K88/H88)*100</f>
        <v>0</v>
      </c>
      <c r="M88" s="16" t="n">
        <v>0</v>
      </c>
      <c r="N88" s="19" t="n">
        <f aca="false">(M88/H88)*100</f>
        <v>0</v>
      </c>
      <c r="O88" s="16" t="n">
        <v>0</v>
      </c>
      <c r="P88" s="16" t="n">
        <v>0</v>
      </c>
      <c r="Q88" s="20" t="s">
        <v>49</v>
      </c>
      <c r="R88" s="34" t="n">
        <v>44827</v>
      </c>
      <c r="S88" s="16"/>
      <c r="T88" s="20" t="n">
        <v>0</v>
      </c>
      <c r="U88" s="16"/>
      <c r="V88" s="16"/>
      <c r="W88" s="16"/>
      <c r="X88" s="16"/>
      <c r="Y88" s="16"/>
      <c r="Z88" s="16"/>
      <c r="AA88" s="21" t="n">
        <v>0</v>
      </c>
      <c r="AB88" s="21" t="n">
        <v>0</v>
      </c>
      <c r="AC88" s="36" t="n">
        <v>0</v>
      </c>
      <c r="AD88" s="20" t="n">
        <v>0</v>
      </c>
      <c r="AE88" s="20" t="n">
        <v>0</v>
      </c>
      <c r="AF88" s="16"/>
    </row>
    <row r="89" customFormat="false" ht="15.75" hidden="false" customHeight="false" outlineLevel="0" collapsed="false">
      <c r="A89" s="16" t="s">
        <v>42</v>
      </c>
      <c r="B89" s="16" t="s">
        <v>1498</v>
      </c>
      <c r="C89" s="71" t="s">
        <v>1680</v>
      </c>
      <c r="D89" s="16" t="s">
        <v>1685</v>
      </c>
      <c r="E89" s="16" t="s">
        <v>1686</v>
      </c>
      <c r="F89" s="16" t="n">
        <v>157.75</v>
      </c>
      <c r="G89" s="16" t="n">
        <v>60</v>
      </c>
      <c r="H89" s="16" t="n">
        <v>298</v>
      </c>
      <c r="I89" s="16" t="n">
        <v>160</v>
      </c>
      <c r="J89" s="16" t="n">
        <v>138</v>
      </c>
      <c r="K89" s="16" t="n">
        <v>74</v>
      </c>
      <c r="L89" s="19" t="n">
        <f aca="false">(K89/H89)*100</f>
        <v>24.8322147651007</v>
      </c>
      <c r="M89" s="16" t="n">
        <v>0</v>
      </c>
      <c r="N89" s="19" t="n">
        <f aca="false">(M89/H89)*100</f>
        <v>0</v>
      </c>
      <c r="O89" s="16" t="n">
        <v>0</v>
      </c>
      <c r="P89" s="16" t="n">
        <v>0</v>
      </c>
      <c r="Q89" s="20" t="s">
        <v>49</v>
      </c>
      <c r="R89" s="34" t="n">
        <v>44827</v>
      </c>
      <c r="S89" s="16"/>
      <c r="T89" s="20" t="n">
        <v>4.8077</v>
      </c>
      <c r="U89" s="16"/>
      <c r="V89" s="16"/>
      <c r="W89" s="16"/>
      <c r="X89" s="16"/>
      <c r="Y89" s="16"/>
      <c r="Z89" s="16"/>
      <c r="AA89" s="21" t="n">
        <v>0</v>
      </c>
      <c r="AB89" s="21" t="n">
        <v>0</v>
      </c>
      <c r="AC89" s="36" t="n">
        <v>0</v>
      </c>
      <c r="AD89" s="20" t="n">
        <v>0</v>
      </c>
      <c r="AE89" s="20" t="n">
        <v>0</v>
      </c>
      <c r="AF89" s="16"/>
    </row>
    <row r="90" customFormat="false" ht="15.75" hidden="false" customHeight="false" outlineLevel="0" collapsed="false">
      <c r="A90" s="16" t="s">
        <v>42</v>
      </c>
      <c r="B90" s="16" t="s">
        <v>1498</v>
      </c>
      <c r="C90" s="71" t="s">
        <v>1687</v>
      </c>
      <c r="D90" s="72" t="s">
        <v>1687</v>
      </c>
      <c r="E90" s="16" t="s">
        <v>1688</v>
      </c>
      <c r="F90" s="16" t="n">
        <v>416.48</v>
      </c>
      <c r="G90" s="16" t="n">
        <v>131</v>
      </c>
      <c r="H90" s="16" t="n">
        <v>786</v>
      </c>
      <c r="I90" s="16" t="n">
        <v>427</v>
      </c>
      <c r="J90" s="16" t="n">
        <v>359</v>
      </c>
      <c r="K90" s="16" t="n">
        <v>0</v>
      </c>
      <c r="L90" s="19" t="n">
        <f aca="false">(K90/H90)*100</f>
        <v>0</v>
      </c>
      <c r="M90" s="16" t="n">
        <v>0</v>
      </c>
      <c r="N90" s="19" t="n">
        <f aca="false">(M90/H90)*100</f>
        <v>0</v>
      </c>
      <c r="O90" s="16" t="n">
        <v>4</v>
      </c>
      <c r="P90" s="16" t="n">
        <v>0</v>
      </c>
      <c r="Q90" s="16"/>
      <c r="R90" s="87"/>
      <c r="S90" s="16"/>
      <c r="T90" s="16"/>
      <c r="U90" s="16"/>
      <c r="V90" s="16"/>
      <c r="W90" s="16"/>
      <c r="X90" s="16"/>
      <c r="Y90" s="16"/>
      <c r="Z90" s="16"/>
      <c r="AA90" s="87"/>
      <c r="AB90" s="87"/>
      <c r="AC90" s="16"/>
      <c r="AD90" s="16"/>
      <c r="AE90" s="16"/>
      <c r="AF90" s="16"/>
    </row>
    <row r="91" customFormat="false" ht="15.75" hidden="false" customHeight="false" outlineLevel="0" collapsed="false">
      <c r="A91" s="16" t="s">
        <v>42</v>
      </c>
      <c r="B91" s="16" t="s">
        <v>1498</v>
      </c>
      <c r="C91" s="71" t="s">
        <v>1687</v>
      </c>
      <c r="D91" s="16" t="s">
        <v>1689</v>
      </c>
      <c r="E91" s="16" t="s">
        <v>1690</v>
      </c>
      <c r="F91" s="16" t="n">
        <v>982</v>
      </c>
      <c r="G91" s="16" t="n">
        <v>123</v>
      </c>
      <c r="H91" s="16" t="n">
        <v>752</v>
      </c>
      <c r="I91" s="16" t="n">
        <v>400</v>
      </c>
      <c r="J91" s="16" t="n">
        <v>352</v>
      </c>
      <c r="K91" s="16" t="n">
        <v>177</v>
      </c>
      <c r="L91" s="19" t="n">
        <f aca="false">(K91/H91)*100</f>
        <v>23.5372340425532</v>
      </c>
      <c r="M91" s="16" t="n">
        <v>0</v>
      </c>
      <c r="N91" s="19" t="n">
        <f aca="false">(M91/H91)*100</f>
        <v>0</v>
      </c>
      <c r="O91" s="16" t="n">
        <v>0</v>
      </c>
      <c r="P91" s="16" t="n">
        <v>0</v>
      </c>
      <c r="Q91" s="16"/>
      <c r="R91" s="87"/>
      <c r="S91" s="16"/>
      <c r="T91" s="16"/>
      <c r="U91" s="16"/>
      <c r="V91" s="16"/>
      <c r="W91" s="16"/>
      <c r="X91" s="16"/>
      <c r="Y91" s="16"/>
      <c r="Z91" s="16"/>
      <c r="AA91" s="87"/>
      <c r="AB91" s="87"/>
      <c r="AC91" s="16"/>
      <c r="AD91" s="16"/>
      <c r="AE91" s="16"/>
      <c r="AF91" s="16"/>
    </row>
    <row r="92" customFormat="false" ht="15.75" hidden="false" customHeight="false" outlineLevel="0" collapsed="false">
      <c r="A92" s="16" t="s">
        <v>42</v>
      </c>
      <c r="B92" s="16" t="s">
        <v>1498</v>
      </c>
      <c r="C92" s="71" t="s">
        <v>1687</v>
      </c>
      <c r="D92" s="16" t="s">
        <v>1691</v>
      </c>
      <c r="E92" s="16" t="s">
        <v>1692</v>
      </c>
      <c r="F92" s="16" t="n">
        <v>446.79</v>
      </c>
      <c r="G92" s="16" t="n">
        <v>56</v>
      </c>
      <c r="H92" s="16" t="n">
        <v>298</v>
      </c>
      <c r="I92" s="16" t="n">
        <v>162</v>
      </c>
      <c r="J92" s="16" t="n">
        <v>136</v>
      </c>
      <c r="K92" s="16" t="n">
        <v>112</v>
      </c>
      <c r="L92" s="19" t="n">
        <f aca="false">(K92/H92)*100</f>
        <v>37.5838926174497</v>
      </c>
      <c r="M92" s="16" t="n">
        <v>20</v>
      </c>
      <c r="N92" s="19" t="n">
        <f aca="false">(M92/H92)*100</f>
        <v>6.71140939597315</v>
      </c>
      <c r="O92" s="16" t="n">
        <v>69</v>
      </c>
      <c r="P92" s="16" t="n">
        <v>0</v>
      </c>
      <c r="Q92" s="16"/>
      <c r="R92" s="87"/>
      <c r="S92" s="16"/>
      <c r="T92" s="16"/>
      <c r="U92" s="16"/>
      <c r="V92" s="16"/>
      <c r="W92" s="16"/>
      <c r="X92" s="16"/>
      <c r="Y92" s="16"/>
      <c r="Z92" s="16"/>
      <c r="AA92" s="87"/>
      <c r="AB92" s="87"/>
      <c r="AC92" s="16"/>
      <c r="AD92" s="16"/>
      <c r="AE92" s="16"/>
      <c r="AF92" s="16"/>
    </row>
    <row r="93" customFormat="false" ht="15.75" hidden="false" customHeight="false" outlineLevel="0" collapsed="false">
      <c r="A93" s="16" t="s">
        <v>42</v>
      </c>
      <c r="B93" s="16" t="s">
        <v>1498</v>
      </c>
      <c r="C93" s="71" t="s">
        <v>1687</v>
      </c>
      <c r="D93" s="16" t="s">
        <v>1693</v>
      </c>
      <c r="E93" s="16" t="s">
        <v>1694</v>
      </c>
      <c r="F93" s="16" t="n">
        <v>209.16</v>
      </c>
      <c r="G93" s="16" t="n">
        <v>40</v>
      </c>
      <c r="H93" s="16" t="n">
        <v>262</v>
      </c>
      <c r="I93" s="16" t="n">
        <v>132</v>
      </c>
      <c r="J93" s="16" t="n">
        <v>130</v>
      </c>
      <c r="K93" s="16" t="n">
        <v>0</v>
      </c>
      <c r="L93" s="19" t="n">
        <f aca="false">(K93/H93)*100</f>
        <v>0</v>
      </c>
      <c r="M93" s="16" t="n">
        <v>0</v>
      </c>
      <c r="N93" s="19" t="n">
        <f aca="false">(M93/H93)*100</f>
        <v>0</v>
      </c>
      <c r="O93" s="16" t="n">
        <v>0</v>
      </c>
      <c r="P93" s="16" t="n">
        <v>0</v>
      </c>
      <c r="Q93" s="16"/>
      <c r="R93" s="87"/>
      <c r="S93" s="16"/>
      <c r="T93" s="16"/>
      <c r="U93" s="16"/>
      <c r="V93" s="16"/>
      <c r="W93" s="16"/>
      <c r="X93" s="16"/>
      <c r="Y93" s="16"/>
      <c r="Z93" s="16"/>
      <c r="AA93" s="87"/>
      <c r="AB93" s="87"/>
      <c r="AC93" s="16"/>
      <c r="AD93" s="16"/>
      <c r="AE93" s="16"/>
      <c r="AF93" s="16"/>
    </row>
    <row r="94" customFormat="false" ht="15.75" hidden="false" customHeight="false" outlineLevel="0" collapsed="false">
      <c r="A94" s="16" t="s">
        <v>42</v>
      </c>
      <c r="B94" s="16" t="s">
        <v>1498</v>
      </c>
      <c r="C94" s="71" t="s">
        <v>1687</v>
      </c>
      <c r="D94" s="16" t="s">
        <v>1695</v>
      </c>
      <c r="E94" s="16" t="s">
        <v>1696</v>
      </c>
      <c r="F94" s="16" t="n">
        <v>326.99</v>
      </c>
      <c r="G94" s="16" t="n">
        <v>65</v>
      </c>
      <c r="H94" s="16" t="n">
        <v>403</v>
      </c>
      <c r="I94" s="16" t="n">
        <v>181</v>
      </c>
      <c r="J94" s="16" t="n">
        <v>222</v>
      </c>
      <c r="K94" s="16" t="n">
        <v>0</v>
      </c>
      <c r="L94" s="19" t="n">
        <f aca="false">(K94/H94)*100</f>
        <v>0</v>
      </c>
      <c r="M94" s="16" t="n">
        <v>70</v>
      </c>
      <c r="N94" s="19" t="n">
        <f aca="false">(M94/H94)*100</f>
        <v>17.3697270471464</v>
      </c>
      <c r="O94" s="16" t="n">
        <v>0</v>
      </c>
      <c r="P94" s="16" t="n">
        <v>0</v>
      </c>
      <c r="Q94" s="16"/>
      <c r="R94" s="87"/>
      <c r="S94" s="16"/>
      <c r="T94" s="16"/>
      <c r="U94" s="16"/>
      <c r="V94" s="16"/>
      <c r="W94" s="16"/>
      <c r="X94" s="16"/>
      <c r="Y94" s="16"/>
      <c r="Z94" s="16"/>
      <c r="AA94" s="87"/>
      <c r="AB94" s="87"/>
      <c r="AC94" s="16"/>
      <c r="AD94" s="16"/>
      <c r="AE94" s="16"/>
      <c r="AF94" s="16"/>
    </row>
    <row r="95" customFormat="false" ht="15.75" hidden="false" customHeight="false" outlineLevel="0" collapsed="false">
      <c r="A95" s="16" t="s">
        <v>42</v>
      </c>
      <c r="B95" s="16" t="s">
        <v>1498</v>
      </c>
      <c r="C95" s="71" t="s">
        <v>1697</v>
      </c>
      <c r="D95" s="72" t="s">
        <v>1698</v>
      </c>
      <c r="E95" s="16" t="s">
        <v>1699</v>
      </c>
      <c r="F95" s="16" t="n">
        <v>1287</v>
      </c>
      <c r="G95" s="16" t="n">
        <v>397</v>
      </c>
      <c r="H95" s="16" t="n">
        <v>2624</v>
      </c>
      <c r="I95" s="16" t="n">
        <v>1398</v>
      </c>
      <c r="J95" s="16" t="n">
        <v>1226</v>
      </c>
      <c r="K95" s="16" t="n">
        <v>597</v>
      </c>
      <c r="L95" s="19" t="n">
        <f aca="false">(K95/H95)*100</f>
        <v>22.7515243902439</v>
      </c>
      <c r="M95" s="16" t="n">
        <v>259</v>
      </c>
      <c r="N95" s="19" t="n">
        <f aca="false">(M95/H95)*100</f>
        <v>9.87042682926829</v>
      </c>
      <c r="O95" s="16" t="n">
        <v>24</v>
      </c>
      <c r="P95" s="16" t="n">
        <v>0</v>
      </c>
      <c r="Q95" s="20" t="s">
        <v>49</v>
      </c>
      <c r="R95" s="34" t="n">
        <v>44825</v>
      </c>
      <c r="S95" s="16"/>
      <c r="T95" s="20"/>
      <c r="U95" s="16"/>
      <c r="V95" s="16"/>
      <c r="W95" s="16"/>
      <c r="X95" s="16"/>
      <c r="Y95" s="16"/>
      <c r="Z95" s="16"/>
      <c r="AA95" s="21" t="s">
        <v>50</v>
      </c>
      <c r="AB95" s="21" t="n">
        <v>20</v>
      </c>
      <c r="AC95" s="254" t="s">
        <v>1700</v>
      </c>
      <c r="AD95" s="267" t="n">
        <v>26.79</v>
      </c>
      <c r="AE95" s="20" t="n">
        <v>72.49</v>
      </c>
      <c r="AF95" s="16"/>
    </row>
    <row r="96" customFormat="false" ht="15.75" hidden="false" customHeight="false" outlineLevel="0" collapsed="false">
      <c r="A96" s="16" t="s">
        <v>42</v>
      </c>
      <c r="B96" s="16" t="s">
        <v>1498</v>
      </c>
      <c r="C96" s="71" t="s">
        <v>1697</v>
      </c>
      <c r="D96" s="16" t="s">
        <v>1701</v>
      </c>
      <c r="E96" s="16" t="s">
        <v>1702</v>
      </c>
      <c r="F96" s="16" t="n">
        <v>1089</v>
      </c>
      <c r="G96" s="16" t="n">
        <v>71</v>
      </c>
      <c r="H96" s="16" t="n">
        <v>438</v>
      </c>
      <c r="I96" s="16" t="n">
        <v>226</v>
      </c>
      <c r="J96" s="16" t="n">
        <v>212</v>
      </c>
      <c r="K96" s="16" t="n">
        <v>206</v>
      </c>
      <c r="L96" s="19" t="n">
        <f aca="false">(K96/H96)*100</f>
        <v>47.0319634703196</v>
      </c>
      <c r="M96" s="16" t="n">
        <v>0</v>
      </c>
      <c r="N96" s="19" t="n">
        <f aca="false">(M96/H96)*100</f>
        <v>0</v>
      </c>
      <c r="O96" s="16" t="n">
        <v>0</v>
      </c>
      <c r="P96" s="16" t="n">
        <v>0</v>
      </c>
      <c r="Q96" s="20" t="s">
        <v>49</v>
      </c>
      <c r="R96" s="34" t="n">
        <v>44825</v>
      </c>
      <c r="S96" s="16"/>
      <c r="T96" s="20" t="n">
        <v>0</v>
      </c>
      <c r="U96" s="16"/>
      <c r="V96" s="16"/>
      <c r="W96" s="16"/>
      <c r="X96" s="16"/>
      <c r="Y96" s="16"/>
      <c r="Z96" s="16"/>
      <c r="AA96" s="21" t="n">
        <v>0</v>
      </c>
      <c r="AB96" s="21" t="n">
        <v>0</v>
      </c>
      <c r="AC96" s="36" t="n">
        <v>0</v>
      </c>
      <c r="AD96" s="20" t="n">
        <v>0</v>
      </c>
      <c r="AE96" s="20" t="n">
        <v>0</v>
      </c>
      <c r="AF96" s="16"/>
    </row>
    <row r="97" customFormat="false" ht="15.75" hidden="false" customHeight="false" outlineLevel="0" collapsed="false">
      <c r="A97" s="16" t="s">
        <v>42</v>
      </c>
      <c r="B97" s="16" t="s">
        <v>1498</v>
      </c>
      <c r="C97" s="71" t="s">
        <v>1697</v>
      </c>
      <c r="D97" s="16" t="s">
        <v>1703</v>
      </c>
      <c r="E97" s="16" t="s">
        <v>1704</v>
      </c>
      <c r="F97" s="16" t="n">
        <v>671</v>
      </c>
      <c r="G97" s="16" t="n">
        <v>83</v>
      </c>
      <c r="H97" s="16" t="n">
        <v>535</v>
      </c>
      <c r="I97" s="16" t="n">
        <v>283</v>
      </c>
      <c r="J97" s="16" t="n">
        <v>252</v>
      </c>
      <c r="K97" s="16" t="n">
        <v>0</v>
      </c>
      <c r="L97" s="19" t="n">
        <f aca="false">(K97/H97)*100</f>
        <v>0</v>
      </c>
      <c r="M97" s="16" t="n">
        <v>0</v>
      </c>
      <c r="N97" s="19" t="n">
        <f aca="false">(M97/H97)*100</f>
        <v>0</v>
      </c>
      <c r="O97" s="16" t="n">
        <v>0</v>
      </c>
      <c r="P97" s="16" t="n">
        <v>0</v>
      </c>
      <c r="Q97" s="20" t="s">
        <v>49</v>
      </c>
      <c r="R97" s="34" t="n">
        <v>44825</v>
      </c>
      <c r="S97" s="16"/>
      <c r="T97" s="20" t="n">
        <v>0</v>
      </c>
      <c r="U97" s="16"/>
      <c r="V97" s="16"/>
      <c r="W97" s="16"/>
      <c r="X97" s="16"/>
      <c r="Y97" s="16"/>
      <c r="Z97" s="16"/>
      <c r="AA97" s="21" t="n">
        <v>0</v>
      </c>
      <c r="AB97" s="21" t="n">
        <v>0</v>
      </c>
      <c r="AC97" s="36" t="n">
        <v>0</v>
      </c>
      <c r="AD97" s="20" t="n">
        <v>0</v>
      </c>
      <c r="AE97" s="20" t="n">
        <v>0</v>
      </c>
      <c r="AF97" s="16"/>
    </row>
    <row r="98" customFormat="false" ht="31.5" hidden="false" customHeight="false" outlineLevel="0" collapsed="false">
      <c r="A98" s="16" t="s">
        <v>42</v>
      </c>
      <c r="B98" s="16" t="s">
        <v>1498</v>
      </c>
      <c r="C98" s="71" t="s">
        <v>1705</v>
      </c>
      <c r="D98" s="72" t="s">
        <v>1705</v>
      </c>
      <c r="E98" s="16" t="s">
        <v>1706</v>
      </c>
      <c r="F98" s="16" t="n">
        <v>628</v>
      </c>
      <c r="G98" s="16" t="n">
        <v>179</v>
      </c>
      <c r="H98" s="16" t="n">
        <v>1049</v>
      </c>
      <c r="I98" s="16" t="n">
        <v>538</v>
      </c>
      <c r="J98" s="16" t="n">
        <v>511</v>
      </c>
      <c r="K98" s="16" t="n">
        <v>283</v>
      </c>
      <c r="L98" s="19" t="n">
        <f aca="false">(K98/H98)*100</f>
        <v>26.97807435653</v>
      </c>
      <c r="M98" s="16" t="n">
        <v>120</v>
      </c>
      <c r="N98" s="19" t="n">
        <f aca="false">(M98/H98)*100</f>
        <v>11.439466158246</v>
      </c>
      <c r="O98" s="16" t="n">
        <v>0</v>
      </c>
      <c r="P98" s="16" t="n">
        <v>0</v>
      </c>
      <c r="Q98" s="24"/>
      <c r="R98" s="25" t="n">
        <v>45932</v>
      </c>
      <c r="S98" s="16"/>
      <c r="T98" s="24" t="n">
        <v>0</v>
      </c>
      <c r="U98" s="16"/>
      <c r="V98" s="16"/>
      <c r="W98" s="16"/>
      <c r="X98" s="16"/>
      <c r="Y98" s="16"/>
      <c r="Z98" s="16"/>
      <c r="AA98" s="26" t="s">
        <v>50</v>
      </c>
      <c r="AB98" s="26" t="n">
        <v>5</v>
      </c>
      <c r="AC98" s="57" t="s">
        <v>1707</v>
      </c>
      <c r="AD98" s="24" t="n">
        <v>26.762541</v>
      </c>
      <c r="AE98" s="24" t="n">
        <v>72.382581</v>
      </c>
      <c r="AF98" s="16" t="s">
        <v>1277</v>
      </c>
    </row>
    <row r="99" customFormat="false" ht="15.75" hidden="false" customHeight="false" outlineLevel="0" collapsed="false">
      <c r="A99" s="16" t="s">
        <v>42</v>
      </c>
      <c r="B99" s="16" t="s">
        <v>1498</v>
      </c>
      <c r="C99" s="71" t="s">
        <v>1705</v>
      </c>
      <c r="D99" s="16" t="s">
        <v>1708</v>
      </c>
      <c r="E99" s="16" t="s">
        <v>1709</v>
      </c>
      <c r="F99" s="16" t="n">
        <v>653.16</v>
      </c>
      <c r="G99" s="16" t="n">
        <v>147</v>
      </c>
      <c r="H99" s="16" t="n">
        <v>727</v>
      </c>
      <c r="I99" s="16" t="n">
        <v>378</v>
      </c>
      <c r="J99" s="16" t="n">
        <v>349</v>
      </c>
      <c r="K99" s="16" t="n">
        <v>111</v>
      </c>
      <c r="L99" s="19" t="n">
        <f aca="false">(K99/H99)*100</f>
        <v>15.2682255845942</v>
      </c>
      <c r="M99" s="16" t="n">
        <v>0</v>
      </c>
      <c r="N99" s="19" t="n">
        <f aca="false">(M99/H99)*100</f>
        <v>0</v>
      </c>
      <c r="O99" s="16" t="n">
        <v>0</v>
      </c>
      <c r="P99" s="16" t="n">
        <v>0</v>
      </c>
      <c r="Q99" s="24"/>
      <c r="R99" s="25" t="n">
        <v>45932</v>
      </c>
      <c r="S99" s="16"/>
      <c r="T99" s="24" t="n">
        <v>0</v>
      </c>
      <c r="U99" s="16"/>
      <c r="V99" s="16"/>
      <c r="W99" s="16"/>
      <c r="X99" s="16"/>
      <c r="Y99" s="16"/>
      <c r="Z99" s="16"/>
      <c r="AA99" s="26" t="s">
        <v>50</v>
      </c>
      <c r="AB99" s="26" t="n">
        <v>0</v>
      </c>
      <c r="AC99" s="57"/>
      <c r="AD99" s="24"/>
      <c r="AE99" s="24"/>
      <c r="AF99" s="16" t="s">
        <v>1277</v>
      </c>
    </row>
    <row r="100" customFormat="false" ht="31.5" hidden="false" customHeight="false" outlineLevel="0" collapsed="false">
      <c r="A100" s="16" t="s">
        <v>42</v>
      </c>
      <c r="B100" s="16" t="s">
        <v>1498</v>
      </c>
      <c r="C100" s="71" t="s">
        <v>1705</v>
      </c>
      <c r="D100" s="16" t="s">
        <v>1710</v>
      </c>
      <c r="E100" s="16" t="s">
        <v>1711</v>
      </c>
      <c r="F100" s="16" t="n">
        <v>552.47</v>
      </c>
      <c r="G100" s="16" t="n">
        <v>202</v>
      </c>
      <c r="H100" s="16" t="n">
        <v>1001</v>
      </c>
      <c r="I100" s="16" t="n">
        <v>515</v>
      </c>
      <c r="J100" s="16" t="n">
        <v>486</v>
      </c>
      <c r="K100" s="16" t="n">
        <v>326</v>
      </c>
      <c r="L100" s="19" t="n">
        <f aca="false">(K100/H100)*100</f>
        <v>32.5674325674326</v>
      </c>
      <c r="M100" s="16" t="n">
        <v>62</v>
      </c>
      <c r="N100" s="19" t="n">
        <f aca="false">(M100/H100)*100</f>
        <v>6.19380619380619</v>
      </c>
      <c r="O100" s="16" t="n">
        <v>0</v>
      </c>
      <c r="P100" s="16" t="n">
        <v>0</v>
      </c>
      <c r="Q100" s="24"/>
      <c r="R100" s="25" t="n">
        <v>45932</v>
      </c>
      <c r="S100" s="16"/>
      <c r="T100" s="24" t="n">
        <v>0</v>
      </c>
      <c r="U100" s="16"/>
      <c r="V100" s="16"/>
      <c r="W100" s="16"/>
      <c r="X100" s="16"/>
      <c r="Y100" s="16"/>
      <c r="Z100" s="16"/>
      <c r="AA100" s="26" t="s">
        <v>50</v>
      </c>
      <c r="AB100" s="26" t="n">
        <v>15</v>
      </c>
      <c r="AC100" s="57" t="s">
        <v>1712</v>
      </c>
      <c r="AD100" s="24" t="n">
        <v>26.786952</v>
      </c>
      <c r="AE100" s="24" t="n">
        <v>72.401521</v>
      </c>
      <c r="AF100" s="16" t="s">
        <v>1277</v>
      </c>
    </row>
    <row r="101" customFormat="false" ht="15.75" hidden="false" customHeight="false" outlineLevel="0" collapsed="false">
      <c r="A101" s="16" t="s">
        <v>42</v>
      </c>
      <c r="B101" s="16" t="s">
        <v>1498</v>
      </c>
      <c r="C101" s="71" t="s">
        <v>1705</v>
      </c>
      <c r="D101" s="16" t="s">
        <v>1713</v>
      </c>
      <c r="E101" s="16" t="s">
        <v>1714</v>
      </c>
      <c r="F101" s="16" t="n">
        <v>545.31</v>
      </c>
      <c r="G101" s="16" t="n">
        <v>110</v>
      </c>
      <c r="H101" s="16" t="n">
        <v>511</v>
      </c>
      <c r="I101" s="16" t="n">
        <v>263</v>
      </c>
      <c r="J101" s="16" t="n">
        <v>248</v>
      </c>
      <c r="K101" s="16" t="n">
        <v>0</v>
      </c>
      <c r="L101" s="19" t="n">
        <f aca="false">(K101/H101)*100</f>
        <v>0</v>
      </c>
      <c r="M101" s="16" t="n">
        <v>6</v>
      </c>
      <c r="N101" s="19" t="n">
        <f aca="false">(M101/H101)*100</f>
        <v>1.17416829745597</v>
      </c>
      <c r="O101" s="16" t="n">
        <v>0</v>
      </c>
      <c r="P101" s="16" t="n">
        <v>0</v>
      </c>
      <c r="Q101" s="24"/>
      <c r="R101" s="25" t="n">
        <v>45932</v>
      </c>
      <c r="S101" s="16"/>
      <c r="T101" s="24" t="n">
        <v>0</v>
      </c>
      <c r="U101" s="16"/>
      <c r="V101" s="16"/>
      <c r="W101" s="16"/>
      <c r="X101" s="16"/>
      <c r="Y101" s="16"/>
      <c r="Z101" s="16"/>
      <c r="AA101" s="26" t="s">
        <v>50</v>
      </c>
      <c r="AB101" s="26" t="n">
        <v>0</v>
      </c>
      <c r="AC101" s="57"/>
      <c r="AD101" s="24"/>
      <c r="AE101" s="24"/>
      <c r="AF101" s="16" t="s">
        <v>1277</v>
      </c>
    </row>
    <row r="102" customFormat="false" ht="15.75" hidden="false" customHeight="false" outlineLevel="0" collapsed="false">
      <c r="F102" s="58" t="n">
        <f aca="false">SUM(F4:F101)</f>
        <v>57385.79</v>
      </c>
      <c r="G102" s="58" t="n">
        <f aca="false">SUM(G4:G101)</f>
        <v>10681</v>
      </c>
      <c r="H102" s="58" t="n">
        <f aca="false">SUM(H4:H101)</f>
        <v>64940</v>
      </c>
      <c r="I102" s="58" t="n">
        <f aca="false">SUM(I4:I101)</f>
        <v>34043</v>
      </c>
      <c r="J102" s="58" t="n">
        <f aca="false">SUM(J4:J101)</f>
        <v>30897</v>
      </c>
      <c r="K102" s="58" t="n">
        <f aca="false">SUM(K4:K101)</f>
        <v>12744</v>
      </c>
      <c r="M102" s="58" t="n">
        <f aca="false">SUM(M4:M101)</f>
        <v>2507</v>
      </c>
      <c r="O102" s="58" t="n">
        <f aca="false">SUM(O4:O101)</f>
        <v>2190.77</v>
      </c>
      <c r="P102" s="58" t="n">
        <f aca="false">SUM(P4:P101)</f>
        <v>0</v>
      </c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F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AB3" activePane="bottomRight" state="frozen"/>
      <selection pane="topLeft" activeCell="A1" activeCellId="0" sqref="A1"/>
      <selection pane="topRight" activeCell="AB1" activeCellId="0" sqref="AB1"/>
      <selection pane="bottomLeft" activeCell="A3" activeCellId="0" sqref="A3"/>
      <selection pane="bottomRight" activeCell="AD1" activeCellId="0" sqref="AD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58" width="10"/>
    <col collapsed="false" customWidth="true" hidden="false" outlineLevel="0" max="2" min="2" style="58" width="7.71"/>
    <col collapsed="false" customWidth="true" hidden="false" outlineLevel="0" max="3" min="3" style="58" width="22"/>
    <col collapsed="false" customWidth="true" hidden="false" outlineLevel="0" max="4" min="4" style="58" width="30.57"/>
    <col collapsed="false" customWidth="true" hidden="false" outlineLevel="0" max="5" min="5" style="58" width="21.28"/>
    <col collapsed="false" customWidth="true" hidden="false" outlineLevel="0" max="6" min="6" style="58" width="13.57"/>
    <col collapsed="false" customWidth="true" hidden="false" outlineLevel="0" max="7" min="7" style="58" width="12"/>
    <col collapsed="false" customWidth="true" hidden="false" outlineLevel="0" max="8" min="8" style="58" width="11.28"/>
    <col collapsed="false" customWidth="true" hidden="false" outlineLevel="0" max="9" min="9" style="58" width="10.71"/>
    <col collapsed="false" customWidth="true" hidden="false" outlineLevel="0" max="10" min="10" style="58" width="13"/>
    <col collapsed="false" customWidth="true" hidden="false" outlineLevel="0" max="11" min="11" style="58" width="7.28"/>
    <col collapsed="false" customWidth="true" hidden="false" outlineLevel="0" max="12" min="12" style="58" width="8.57"/>
    <col collapsed="false" customWidth="true" hidden="false" outlineLevel="0" max="13" min="13" style="58" width="9.28"/>
    <col collapsed="false" customWidth="true" hidden="false" outlineLevel="0" max="14" min="14" style="58" width="9.71"/>
    <col collapsed="false" customWidth="true" hidden="false" outlineLevel="0" max="15" min="15" style="58" width="16"/>
    <col collapsed="false" customWidth="true" hidden="false" outlineLevel="0" max="16" min="16" style="58" width="12.43"/>
    <col collapsed="false" customWidth="true" hidden="false" outlineLevel="0" max="17" min="17" style="112" width="15.28"/>
    <col collapsed="false" customWidth="true" hidden="false" outlineLevel="0" max="18" min="18" style="58" width="13.85"/>
    <col collapsed="false" customWidth="true" hidden="false" outlineLevel="0" max="19" min="19" style="58" width="14.57"/>
    <col collapsed="false" customWidth="true" hidden="false" outlineLevel="0" max="20" min="20" style="58" width="14.14"/>
    <col collapsed="false" customWidth="true" hidden="false" outlineLevel="0" max="21" min="21" style="58" width="19.71"/>
    <col collapsed="false" customWidth="true" hidden="false" outlineLevel="0" max="22" min="22" style="58" width="15.43"/>
    <col collapsed="false" customWidth="true" hidden="false" outlineLevel="0" max="28" min="23" style="58" width="19.71"/>
    <col collapsed="false" customWidth="true" hidden="false" outlineLevel="0" max="29" min="29" style="58" width="37.71"/>
    <col collapsed="false" customWidth="true" hidden="false" outlineLevel="0" max="30" min="30" style="58" width="12.14"/>
    <col collapsed="false" customWidth="true" hidden="false" outlineLevel="0" max="31" min="31" style="58" width="14.28"/>
    <col collapsed="false" customWidth="false" hidden="false" outlineLevel="0" max="1024" min="32" style="58" width="9.14"/>
  </cols>
  <sheetData>
    <row r="1" customFormat="false" ht="18.75" hidden="false" customHeight="false" outlineLevel="0" collapsed="false">
      <c r="Q1" s="4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213" t="s">
        <v>2</v>
      </c>
      <c r="W1" s="213" t="s">
        <v>2</v>
      </c>
      <c r="X1" s="213" t="s">
        <v>2</v>
      </c>
      <c r="Y1" s="213" t="s">
        <v>2</v>
      </c>
      <c r="Z1" s="214" t="s">
        <v>3</v>
      </c>
      <c r="AA1" s="214" t="s">
        <v>3</v>
      </c>
      <c r="AB1" s="214" t="s">
        <v>3</v>
      </c>
      <c r="AC1" s="215" t="s">
        <v>3</v>
      </c>
      <c r="AD1" s="5" t="s">
        <v>3</v>
      </c>
      <c r="AE1" s="5" t="s">
        <v>3</v>
      </c>
    </row>
    <row r="2" s="110" customFormat="true" ht="110.2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236" t="s">
        <v>1715</v>
      </c>
    </row>
    <row r="3" s="110" customFormat="tru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1259</v>
      </c>
      <c r="L3" s="6" t="s">
        <v>34</v>
      </c>
      <c r="M3" s="6" t="s">
        <v>1259</v>
      </c>
      <c r="N3" s="6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4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71"/>
    </row>
    <row r="4" customFormat="false" ht="15.75" hidden="false" customHeight="false" outlineLevel="0" collapsed="false">
      <c r="A4" s="16" t="s">
        <v>42</v>
      </c>
      <c r="B4" s="16" t="s">
        <v>1716</v>
      </c>
      <c r="C4" s="71" t="s">
        <v>1717</v>
      </c>
      <c r="D4" s="72" t="s">
        <v>1718</v>
      </c>
      <c r="E4" s="16" t="s">
        <v>1719</v>
      </c>
      <c r="F4" s="16" t="n">
        <v>647</v>
      </c>
      <c r="G4" s="16" t="n">
        <v>167</v>
      </c>
      <c r="H4" s="16" t="n">
        <v>854</v>
      </c>
      <c r="I4" s="16" t="n">
        <v>429</v>
      </c>
      <c r="J4" s="16" t="n">
        <v>425</v>
      </c>
      <c r="K4" s="16" t="n">
        <v>109</v>
      </c>
      <c r="L4" s="19" t="n">
        <f aca="false">(K4/H4)*100</f>
        <v>12.7634660421546</v>
      </c>
      <c r="M4" s="16" t="n">
        <v>325</v>
      </c>
      <c r="N4" s="19" t="n">
        <f aca="false">(M4/H4)*100</f>
        <v>38.056206088993</v>
      </c>
      <c r="O4" s="16" t="n">
        <v>162</v>
      </c>
      <c r="P4" s="16" t="n">
        <v>0</v>
      </c>
      <c r="Q4" s="89" t="s">
        <v>49</v>
      </c>
      <c r="R4" s="34" t="n">
        <v>45097</v>
      </c>
      <c r="S4" s="16"/>
      <c r="T4" s="20" t="n">
        <v>95.0363</v>
      </c>
      <c r="U4" s="16"/>
      <c r="V4" s="16"/>
      <c r="W4" s="16"/>
      <c r="X4" s="16"/>
      <c r="Y4" s="16"/>
      <c r="Z4" s="16"/>
      <c r="AA4" s="119" t="s">
        <v>266</v>
      </c>
      <c r="AB4" s="89" t="n">
        <v>15</v>
      </c>
      <c r="AC4" s="254" t="s">
        <v>1720</v>
      </c>
      <c r="AD4" s="89" t="n">
        <v>26.69</v>
      </c>
      <c r="AE4" s="89" t="n">
        <v>72.27</v>
      </c>
      <c r="AF4" s="16"/>
    </row>
    <row r="5" customFormat="false" ht="15.75" hidden="false" customHeight="false" outlineLevel="0" collapsed="false">
      <c r="A5" s="16" t="s">
        <v>42</v>
      </c>
      <c r="B5" s="16" t="s">
        <v>1716</v>
      </c>
      <c r="C5" s="71" t="s">
        <v>1717</v>
      </c>
      <c r="D5" s="16" t="s">
        <v>1721</v>
      </c>
      <c r="E5" s="16" t="s">
        <v>1722</v>
      </c>
      <c r="F5" s="16" t="n">
        <v>375</v>
      </c>
      <c r="G5" s="16" t="n">
        <v>49</v>
      </c>
      <c r="H5" s="16" t="n">
        <v>283</v>
      </c>
      <c r="I5" s="16" t="n">
        <v>148</v>
      </c>
      <c r="J5" s="16" t="n">
        <v>135</v>
      </c>
      <c r="K5" s="16" t="n">
        <v>37</v>
      </c>
      <c r="L5" s="19" t="n">
        <f aca="false">(K5/H5)*100</f>
        <v>13.0742049469965</v>
      </c>
      <c r="M5" s="16" t="n">
        <v>0</v>
      </c>
      <c r="N5" s="19" t="n">
        <f aca="false">(M5/H5)*100</f>
        <v>0</v>
      </c>
      <c r="O5" s="16" t="n">
        <v>14</v>
      </c>
      <c r="P5" s="16" t="n">
        <v>0</v>
      </c>
      <c r="Q5" s="89" t="s">
        <v>49</v>
      </c>
      <c r="R5" s="34" t="n">
        <v>45097</v>
      </c>
      <c r="S5" s="16"/>
      <c r="T5" s="20"/>
      <c r="U5" s="16"/>
      <c r="V5" s="16"/>
      <c r="W5" s="16"/>
      <c r="X5" s="16"/>
      <c r="Y5" s="16"/>
      <c r="Z5" s="16"/>
      <c r="AA5" s="119" t="s">
        <v>266</v>
      </c>
      <c r="AB5" s="89" t="n">
        <v>0</v>
      </c>
      <c r="AC5" s="20" t="n">
        <v>0</v>
      </c>
      <c r="AD5" s="89" t="n">
        <v>0</v>
      </c>
      <c r="AE5" s="89" t="n">
        <v>0</v>
      </c>
      <c r="AF5" s="16"/>
    </row>
    <row r="6" customFormat="false" ht="15.75" hidden="false" customHeight="false" outlineLevel="0" collapsed="false">
      <c r="A6" s="16" t="s">
        <v>42</v>
      </c>
      <c r="B6" s="16" t="s">
        <v>1716</v>
      </c>
      <c r="C6" s="71" t="s">
        <v>1717</v>
      </c>
      <c r="D6" s="16" t="s">
        <v>1723</v>
      </c>
      <c r="E6" s="16" t="s">
        <v>1724</v>
      </c>
      <c r="F6" s="16" t="n">
        <v>461</v>
      </c>
      <c r="G6" s="16" t="n">
        <v>21</v>
      </c>
      <c r="H6" s="16" t="n">
        <v>131</v>
      </c>
      <c r="I6" s="16" t="n">
        <v>76</v>
      </c>
      <c r="J6" s="16" t="n">
        <v>55</v>
      </c>
      <c r="K6" s="16" t="n">
        <v>0</v>
      </c>
      <c r="L6" s="19" t="n">
        <f aca="false">(K6/H6)*100</f>
        <v>0</v>
      </c>
      <c r="M6" s="16" t="n">
        <v>0</v>
      </c>
      <c r="N6" s="19" t="n">
        <f aca="false">(M6/H6)*100</f>
        <v>0</v>
      </c>
      <c r="O6" s="16" t="n">
        <v>13</v>
      </c>
      <c r="P6" s="16" t="n">
        <v>0</v>
      </c>
      <c r="Q6" s="89" t="s">
        <v>49</v>
      </c>
      <c r="R6" s="34" t="n">
        <v>45097</v>
      </c>
      <c r="S6" s="16"/>
      <c r="T6" s="20"/>
      <c r="U6" s="16"/>
      <c r="V6" s="16"/>
      <c r="W6" s="16"/>
      <c r="X6" s="16"/>
      <c r="Y6" s="16"/>
      <c r="Z6" s="16"/>
      <c r="AA6" s="119" t="s">
        <v>266</v>
      </c>
      <c r="AB6" s="89" t="n">
        <v>10</v>
      </c>
      <c r="AC6" s="254" t="s">
        <v>1725</v>
      </c>
      <c r="AD6" s="89" t="n">
        <v>26.68</v>
      </c>
      <c r="AE6" s="89" t="n">
        <v>72.25</v>
      </c>
      <c r="AF6" s="16"/>
    </row>
    <row r="7" customFormat="false" ht="15.75" hidden="false" customHeight="false" outlineLevel="0" collapsed="false">
      <c r="A7" s="16" t="s">
        <v>42</v>
      </c>
      <c r="B7" s="16" t="s">
        <v>1716</v>
      </c>
      <c r="C7" s="71" t="s">
        <v>1717</v>
      </c>
      <c r="D7" s="16" t="s">
        <v>1726</v>
      </c>
      <c r="E7" s="16" t="s">
        <v>1727</v>
      </c>
      <c r="F7" s="16" t="n">
        <v>96</v>
      </c>
      <c r="G7" s="16" t="n">
        <v>36</v>
      </c>
      <c r="H7" s="16" t="n">
        <v>238</v>
      </c>
      <c r="I7" s="16" t="n">
        <v>127</v>
      </c>
      <c r="J7" s="16" t="n">
        <v>111</v>
      </c>
      <c r="K7" s="16" t="n">
        <v>2</v>
      </c>
      <c r="L7" s="19" t="n">
        <f aca="false">(K7/H7)*100</f>
        <v>0.840336134453782</v>
      </c>
      <c r="M7" s="16" t="n">
        <v>0</v>
      </c>
      <c r="N7" s="19" t="n">
        <f aca="false">(M7/H7)*100</f>
        <v>0</v>
      </c>
      <c r="O7" s="16" t="n">
        <v>0</v>
      </c>
      <c r="P7" s="16" t="n">
        <v>0</v>
      </c>
      <c r="Q7" s="89" t="s">
        <v>49</v>
      </c>
      <c r="R7" s="34" t="n">
        <v>45097</v>
      </c>
      <c r="S7" s="16"/>
      <c r="T7" s="20" t="n">
        <v>0</v>
      </c>
      <c r="U7" s="16"/>
      <c r="V7" s="16"/>
      <c r="W7" s="16"/>
      <c r="X7" s="16"/>
      <c r="Y7" s="16"/>
      <c r="Z7" s="16"/>
      <c r="AA7" s="119" t="s">
        <v>266</v>
      </c>
      <c r="AB7" s="89" t="n">
        <v>0</v>
      </c>
      <c r="AC7" s="20" t="n">
        <v>0</v>
      </c>
      <c r="AD7" s="89" t="n">
        <v>0</v>
      </c>
      <c r="AE7" s="89" t="n">
        <v>0</v>
      </c>
      <c r="AF7" s="16"/>
    </row>
    <row r="8" customFormat="false" ht="15.75" hidden="false" customHeight="false" outlineLevel="0" collapsed="false">
      <c r="A8" s="16" t="s">
        <v>42</v>
      </c>
      <c r="B8" s="16" t="s">
        <v>1716</v>
      </c>
      <c r="C8" s="71" t="s">
        <v>1717</v>
      </c>
      <c r="D8" s="16" t="s">
        <v>1728</v>
      </c>
      <c r="E8" s="16" t="s">
        <v>1729</v>
      </c>
      <c r="F8" s="16" t="n">
        <v>658</v>
      </c>
      <c r="G8" s="16" t="n">
        <v>112</v>
      </c>
      <c r="H8" s="16" t="n">
        <v>633</v>
      </c>
      <c r="I8" s="16" t="n">
        <v>343</v>
      </c>
      <c r="J8" s="16" t="n">
        <v>290</v>
      </c>
      <c r="K8" s="16" t="n">
        <v>0</v>
      </c>
      <c r="L8" s="19" t="n">
        <f aca="false">(K8/H8)*100</f>
        <v>0</v>
      </c>
      <c r="M8" s="16" t="n">
        <v>0</v>
      </c>
      <c r="N8" s="19" t="n">
        <f aca="false">(M8/H8)*100</f>
        <v>0</v>
      </c>
      <c r="O8" s="16" t="n">
        <v>0</v>
      </c>
      <c r="P8" s="16" t="n">
        <v>0</v>
      </c>
      <c r="Q8" s="89" t="s">
        <v>49</v>
      </c>
      <c r="R8" s="34" t="n">
        <v>45097</v>
      </c>
      <c r="S8" s="16"/>
      <c r="T8" s="20"/>
      <c r="U8" s="16"/>
      <c r="V8" s="16"/>
      <c r="W8" s="16"/>
      <c r="X8" s="16"/>
      <c r="Y8" s="16"/>
      <c r="Z8" s="16"/>
      <c r="AA8" s="119" t="s">
        <v>266</v>
      </c>
      <c r="AB8" s="89" t="n">
        <v>0</v>
      </c>
      <c r="AC8" s="20" t="n">
        <v>0</v>
      </c>
      <c r="AD8" s="89" t="n">
        <v>0</v>
      </c>
      <c r="AE8" s="89" t="n">
        <v>0</v>
      </c>
      <c r="AF8" s="16"/>
    </row>
    <row r="9" customFormat="false" ht="15.75" hidden="false" customHeight="false" outlineLevel="0" collapsed="false">
      <c r="A9" s="16" t="s">
        <v>42</v>
      </c>
      <c r="B9" s="16" t="s">
        <v>1716</v>
      </c>
      <c r="C9" s="71" t="s">
        <v>1717</v>
      </c>
      <c r="D9" s="16" t="s">
        <v>541</v>
      </c>
      <c r="E9" s="16" t="s">
        <v>1730</v>
      </c>
      <c r="F9" s="16" t="n">
        <v>621</v>
      </c>
      <c r="G9" s="16" t="n">
        <v>44</v>
      </c>
      <c r="H9" s="16" t="n">
        <v>228</v>
      </c>
      <c r="I9" s="16" t="n">
        <v>125</v>
      </c>
      <c r="J9" s="16" t="n">
        <v>103</v>
      </c>
      <c r="K9" s="16" t="n">
        <v>0</v>
      </c>
      <c r="L9" s="19" t="n">
        <f aca="false">(K9/H9)*100</f>
        <v>0</v>
      </c>
      <c r="M9" s="16" t="n">
        <v>0</v>
      </c>
      <c r="N9" s="19" t="n">
        <f aca="false">(M9/H9)*100</f>
        <v>0</v>
      </c>
      <c r="O9" s="16" t="n">
        <v>38</v>
      </c>
      <c r="P9" s="16" t="n">
        <v>0</v>
      </c>
      <c r="Q9" s="89" t="s">
        <v>49</v>
      </c>
      <c r="R9" s="34" t="n">
        <v>45097</v>
      </c>
      <c r="S9" s="16"/>
      <c r="T9" s="20"/>
      <c r="U9" s="16"/>
      <c r="V9" s="16"/>
      <c r="W9" s="16"/>
      <c r="X9" s="16"/>
      <c r="Y9" s="16"/>
      <c r="Z9" s="16"/>
      <c r="AA9" s="119" t="s">
        <v>266</v>
      </c>
      <c r="AB9" s="89" t="n">
        <v>0</v>
      </c>
      <c r="AC9" s="20" t="n">
        <v>0</v>
      </c>
      <c r="AD9" s="89" t="n">
        <v>0</v>
      </c>
      <c r="AE9" s="89" t="n">
        <v>0</v>
      </c>
      <c r="AF9" s="16"/>
    </row>
    <row r="10" customFormat="false" ht="15.75" hidden="false" customHeight="false" outlineLevel="0" collapsed="false">
      <c r="A10" s="16" t="s">
        <v>42</v>
      </c>
      <c r="B10" s="16" t="s">
        <v>1716</v>
      </c>
      <c r="C10" s="71" t="s">
        <v>1717</v>
      </c>
      <c r="D10" s="16" t="s">
        <v>1731</v>
      </c>
      <c r="E10" s="16" t="s">
        <v>1732</v>
      </c>
      <c r="F10" s="16" t="n">
        <v>630</v>
      </c>
      <c r="G10" s="16" t="n">
        <v>142</v>
      </c>
      <c r="H10" s="16" t="n">
        <v>827</v>
      </c>
      <c r="I10" s="16" t="n">
        <v>445</v>
      </c>
      <c r="J10" s="16" t="n">
        <v>382</v>
      </c>
      <c r="K10" s="16" t="n">
        <v>0</v>
      </c>
      <c r="L10" s="19" t="n">
        <f aca="false">(K10/H10)*100</f>
        <v>0</v>
      </c>
      <c r="M10" s="16" t="n">
        <v>8</v>
      </c>
      <c r="N10" s="19" t="n">
        <f aca="false">(M10/H10)*100</f>
        <v>0.967351874244256</v>
      </c>
      <c r="O10" s="16" t="n">
        <v>0</v>
      </c>
      <c r="P10" s="16" t="n">
        <v>0</v>
      </c>
      <c r="Q10" s="89" t="s">
        <v>49</v>
      </c>
      <c r="R10" s="34" t="n">
        <v>45097</v>
      </c>
      <c r="S10" s="16"/>
      <c r="T10" s="20" t="n">
        <v>0.2914</v>
      </c>
      <c r="U10" s="16"/>
      <c r="V10" s="16"/>
      <c r="W10" s="16"/>
      <c r="X10" s="16"/>
      <c r="Y10" s="16"/>
      <c r="Z10" s="16"/>
      <c r="AA10" s="119" t="s">
        <v>266</v>
      </c>
      <c r="AB10" s="89" t="n">
        <v>0</v>
      </c>
      <c r="AC10" s="20" t="n">
        <v>0</v>
      </c>
      <c r="AD10" s="89" t="n">
        <v>0</v>
      </c>
      <c r="AE10" s="89" t="n">
        <v>0</v>
      </c>
      <c r="AF10" s="16"/>
    </row>
    <row r="11" customFormat="false" ht="15.75" hidden="false" customHeight="false" outlineLevel="0" collapsed="false">
      <c r="A11" s="16" t="s">
        <v>42</v>
      </c>
      <c r="B11" s="16" t="s">
        <v>1716</v>
      </c>
      <c r="C11" s="71" t="s">
        <v>1717</v>
      </c>
      <c r="D11" s="16" t="s">
        <v>1733</v>
      </c>
      <c r="E11" s="16" t="s">
        <v>1734</v>
      </c>
      <c r="F11" s="16" t="n">
        <v>481</v>
      </c>
      <c r="G11" s="16" t="n">
        <v>54</v>
      </c>
      <c r="H11" s="16" t="n">
        <v>394</v>
      </c>
      <c r="I11" s="16" t="n">
        <v>201</v>
      </c>
      <c r="J11" s="16" t="n">
        <v>193</v>
      </c>
      <c r="K11" s="16" t="n">
        <v>135</v>
      </c>
      <c r="L11" s="19" t="n">
        <f aca="false">(K11/H11)*100</f>
        <v>34.2639593908629</v>
      </c>
      <c r="M11" s="16" t="n">
        <v>0</v>
      </c>
      <c r="N11" s="19" t="n">
        <f aca="false">(M11/H11)*100</f>
        <v>0</v>
      </c>
      <c r="O11" s="16" t="n">
        <v>3</v>
      </c>
      <c r="P11" s="16" t="n">
        <v>0</v>
      </c>
      <c r="Q11" s="89" t="s">
        <v>49</v>
      </c>
      <c r="R11" s="34" t="n">
        <v>45097</v>
      </c>
      <c r="S11" s="16"/>
      <c r="T11" s="20" t="n">
        <v>2.2177</v>
      </c>
      <c r="U11" s="16"/>
      <c r="V11" s="16"/>
      <c r="W11" s="16"/>
      <c r="X11" s="16"/>
      <c r="Y11" s="16"/>
      <c r="Z11" s="16"/>
      <c r="AA11" s="119" t="s">
        <v>266</v>
      </c>
      <c r="AB11" s="89" t="n">
        <v>0</v>
      </c>
      <c r="AC11" s="20" t="n">
        <v>0</v>
      </c>
      <c r="AD11" s="89" t="n">
        <v>0</v>
      </c>
      <c r="AE11" s="89" t="n">
        <v>0</v>
      </c>
      <c r="AF11" s="16"/>
    </row>
    <row r="12" customFormat="false" ht="15.75" hidden="false" customHeight="false" outlineLevel="0" collapsed="false">
      <c r="A12" s="16" t="s">
        <v>42</v>
      </c>
      <c r="B12" s="16" t="s">
        <v>1716</v>
      </c>
      <c r="C12" s="71" t="s">
        <v>1735</v>
      </c>
      <c r="D12" s="72" t="s">
        <v>1735</v>
      </c>
      <c r="E12" s="16" t="s">
        <v>1736</v>
      </c>
      <c r="F12" s="16" t="n">
        <v>1607</v>
      </c>
      <c r="G12" s="16" t="n">
        <v>93</v>
      </c>
      <c r="H12" s="16" t="n">
        <v>494</v>
      </c>
      <c r="I12" s="16" t="n">
        <v>264</v>
      </c>
      <c r="J12" s="16" t="n">
        <v>230</v>
      </c>
      <c r="K12" s="16" t="n">
        <v>0</v>
      </c>
      <c r="L12" s="19" t="n">
        <f aca="false">(K12/H12)*100</f>
        <v>0</v>
      </c>
      <c r="M12" s="16" t="n">
        <v>0</v>
      </c>
      <c r="N12" s="19" t="n">
        <f aca="false">(M12/H12)*100</f>
        <v>0</v>
      </c>
      <c r="O12" s="16" t="n">
        <v>414</v>
      </c>
      <c r="P12" s="16" t="n">
        <v>0</v>
      </c>
      <c r="Q12" s="89" t="s">
        <v>49</v>
      </c>
      <c r="R12" s="34" t="n">
        <v>44916</v>
      </c>
      <c r="S12" s="16"/>
      <c r="T12" s="20" t="n">
        <v>442.7254</v>
      </c>
      <c r="U12" s="16"/>
      <c r="V12" s="16"/>
      <c r="W12" s="16"/>
      <c r="X12" s="16"/>
      <c r="Y12" s="16"/>
      <c r="Z12" s="16"/>
      <c r="AA12" s="119" t="s">
        <v>266</v>
      </c>
      <c r="AB12" s="56" t="n">
        <v>15</v>
      </c>
      <c r="AC12" s="254" t="s">
        <v>1737</v>
      </c>
      <c r="AD12" s="20"/>
      <c r="AE12" s="20"/>
      <c r="AF12" s="16"/>
    </row>
    <row r="13" customFormat="false" ht="15.75" hidden="false" customHeight="false" outlineLevel="0" collapsed="false">
      <c r="A13" s="16"/>
      <c r="B13" s="16"/>
      <c r="C13" s="71"/>
      <c r="D13" s="72"/>
      <c r="E13" s="16"/>
      <c r="F13" s="16"/>
      <c r="G13" s="16"/>
      <c r="H13" s="16"/>
      <c r="I13" s="16"/>
      <c r="J13" s="16"/>
      <c r="K13" s="16"/>
      <c r="L13" s="19"/>
      <c r="M13" s="16"/>
      <c r="N13" s="16"/>
      <c r="O13" s="16"/>
      <c r="P13" s="16"/>
      <c r="Q13" s="93"/>
      <c r="R13" s="229" t="s">
        <v>266</v>
      </c>
      <c r="S13" s="16"/>
      <c r="T13" s="228"/>
      <c r="AA13" s="232" t="n">
        <v>15</v>
      </c>
      <c r="AB13" s="232" t="n">
        <v>0</v>
      </c>
      <c r="AC13" s="255" t="s">
        <v>1738</v>
      </c>
      <c r="AD13" s="228"/>
      <c r="AE13" s="228"/>
    </row>
    <row r="14" customFormat="false" ht="15.75" hidden="false" customHeight="false" outlineLevel="0" collapsed="false">
      <c r="A14" s="16"/>
      <c r="B14" s="16"/>
      <c r="C14" s="71"/>
      <c r="D14" s="72"/>
      <c r="E14" s="16"/>
      <c r="F14" s="16"/>
      <c r="G14" s="16"/>
      <c r="H14" s="16"/>
      <c r="I14" s="16"/>
      <c r="J14" s="16"/>
      <c r="K14" s="16"/>
      <c r="L14" s="19"/>
      <c r="M14" s="16"/>
      <c r="N14" s="16"/>
      <c r="O14" s="16"/>
      <c r="P14" s="16"/>
      <c r="Q14" s="93"/>
      <c r="R14" s="229" t="s">
        <v>266</v>
      </c>
      <c r="S14" s="16"/>
      <c r="T14" s="228"/>
      <c r="AA14" s="232" t="n">
        <v>15</v>
      </c>
      <c r="AB14" s="232" t="n">
        <v>0</v>
      </c>
      <c r="AC14" s="255" t="s">
        <v>1739</v>
      </c>
      <c r="AD14" s="228"/>
      <c r="AE14" s="228"/>
    </row>
    <row r="15" customFormat="false" ht="15.75" hidden="false" customHeight="false" outlineLevel="0" collapsed="false">
      <c r="A15" s="16" t="s">
        <v>42</v>
      </c>
      <c r="B15" s="16" t="s">
        <v>1716</v>
      </c>
      <c r="C15" s="71" t="s">
        <v>1735</v>
      </c>
      <c r="D15" s="16" t="s">
        <v>1740</v>
      </c>
      <c r="E15" s="16" t="s">
        <v>1741</v>
      </c>
      <c r="F15" s="16" t="n">
        <v>343</v>
      </c>
      <c r="G15" s="16" t="n">
        <v>54</v>
      </c>
      <c r="H15" s="16" t="n">
        <v>333</v>
      </c>
      <c r="I15" s="16" t="n">
        <v>167</v>
      </c>
      <c r="J15" s="16" t="n">
        <v>166</v>
      </c>
      <c r="K15" s="16" t="n">
        <v>4</v>
      </c>
      <c r="L15" s="19" t="n">
        <f aca="false">(K15/H15)*100</f>
        <v>1.2012012012012</v>
      </c>
      <c r="M15" s="16" t="n">
        <v>0</v>
      </c>
      <c r="N15" s="19" t="n">
        <f aca="false">(M15/H15)*100</f>
        <v>0</v>
      </c>
      <c r="O15" s="16" t="n">
        <v>10</v>
      </c>
      <c r="P15" s="16" t="n">
        <v>0</v>
      </c>
      <c r="Q15" s="89" t="s">
        <v>49</v>
      </c>
      <c r="R15" s="34" t="n">
        <v>44916</v>
      </c>
      <c r="S15" s="16"/>
      <c r="T15" s="20" t="n">
        <v>0</v>
      </c>
      <c r="U15" s="16"/>
      <c r="V15" s="16"/>
      <c r="W15" s="16"/>
      <c r="X15" s="16"/>
      <c r="Y15" s="16"/>
      <c r="Z15" s="16"/>
      <c r="AA15" s="119" t="n">
        <v>0</v>
      </c>
      <c r="AB15" s="56" t="n">
        <v>0</v>
      </c>
      <c r="AC15" s="36" t="n">
        <v>0</v>
      </c>
      <c r="AD15" s="20" t="n">
        <v>0</v>
      </c>
      <c r="AE15" s="20" t="n">
        <v>0</v>
      </c>
      <c r="AF15" s="16"/>
    </row>
    <row r="16" customFormat="false" ht="15.75" hidden="false" customHeight="false" outlineLevel="0" collapsed="false">
      <c r="A16" s="16" t="s">
        <v>42</v>
      </c>
      <c r="B16" s="16" t="s">
        <v>1716</v>
      </c>
      <c r="C16" s="71" t="s">
        <v>1735</v>
      </c>
      <c r="D16" s="16" t="s">
        <v>1742</v>
      </c>
      <c r="E16" s="16" t="s">
        <v>1743</v>
      </c>
      <c r="F16" s="16" t="n">
        <v>373</v>
      </c>
      <c r="G16" s="16" t="n">
        <v>34</v>
      </c>
      <c r="H16" s="16" t="n">
        <v>206</v>
      </c>
      <c r="I16" s="16" t="n">
        <v>110</v>
      </c>
      <c r="J16" s="16" t="n">
        <v>96</v>
      </c>
      <c r="K16" s="16" t="n">
        <v>0</v>
      </c>
      <c r="L16" s="19" t="n">
        <f aca="false">(K16/H16)*100</f>
        <v>0</v>
      </c>
      <c r="M16" s="16" t="n">
        <v>0</v>
      </c>
      <c r="N16" s="19" t="n">
        <f aca="false">(M16/H16)*100</f>
        <v>0</v>
      </c>
      <c r="O16" s="16" t="n">
        <v>0</v>
      </c>
      <c r="P16" s="16" t="n">
        <v>0</v>
      </c>
      <c r="Q16" s="89" t="s">
        <v>49</v>
      </c>
      <c r="R16" s="34" t="n">
        <v>44916</v>
      </c>
      <c r="S16" s="16"/>
      <c r="T16" s="20" t="n">
        <v>0</v>
      </c>
      <c r="U16" s="16"/>
      <c r="V16" s="16"/>
      <c r="W16" s="16"/>
      <c r="X16" s="16"/>
      <c r="Y16" s="16"/>
      <c r="Z16" s="16"/>
      <c r="AA16" s="119" t="n">
        <v>0</v>
      </c>
      <c r="AB16" s="119" t="n">
        <v>0</v>
      </c>
      <c r="AC16" s="36" t="n">
        <v>0</v>
      </c>
      <c r="AD16" s="20" t="n">
        <v>0</v>
      </c>
      <c r="AE16" s="20" t="n">
        <v>0</v>
      </c>
      <c r="AF16" s="16"/>
    </row>
    <row r="17" customFormat="false" ht="15.75" hidden="false" customHeight="false" outlineLevel="0" collapsed="false">
      <c r="A17" s="16" t="s">
        <v>42</v>
      </c>
      <c r="B17" s="16" t="s">
        <v>1716</v>
      </c>
      <c r="C17" s="71" t="s">
        <v>1735</v>
      </c>
      <c r="D17" s="16" t="s">
        <v>1744</v>
      </c>
      <c r="E17" s="16" t="s">
        <v>1745</v>
      </c>
      <c r="F17" s="16" t="n">
        <v>320</v>
      </c>
      <c r="G17" s="16" t="n">
        <v>67</v>
      </c>
      <c r="H17" s="16" t="n">
        <v>376</v>
      </c>
      <c r="I17" s="16" t="n">
        <v>210</v>
      </c>
      <c r="J17" s="16" t="n">
        <v>166</v>
      </c>
      <c r="K17" s="16" t="n">
        <v>0</v>
      </c>
      <c r="L17" s="19" t="n">
        <f aca="false">(K17/H17)*100</f>
        <v>0</v>
      </c>
      <c r="M17" s="16" t="n">
        <v>0</v>
      </c>
      <c r="N17" s="19" t="n">
        <f aca="false">(M17/H17)*100</f>
        <v>0</v>
      </c>
      <c r="O17" s="16" t="n">
        <v>6</v>
      </c>
      <c r="P17" s="16" t="n">
        <v>0</v>
      </c>
      <c r="Q17" s="89" t="s">
        <v>49</v>
      </c>
      <c r="R17" s="34" t="n">
        <v>44916</v>
      </c>
      <c r="S17" s="16"/>
      <c r="T17" s="20" t="n">
        <v>0</v>
      </c>
      <c r="U17" s="16"/>
      <c r="V17" s="16"/>
      <c r="W17" s="16"/>
      <c r="X17" s="16"/>
      <c r="Y17" s="16"/>
      <c r="Z17" s="16"/>
      <c r="AA17" s="119" t="n">
        <v>0</v>
      </c>
      <c r="AB17" s="119" t="n">
        <v>0</v>
      </c>
      <c r="AC17" s="36" t="n">
        <v>0</v>
      </c>
      <c r="AD17" s="20" t="n">
        <v>0</v>
      </c>
      <c r="AE17" s="20" t="n">
        <v>0</v>
      </c>
      <c r="AF17" s="16"/>
    </row>
    <row r="18" customFormat="false" ht="15.75" hidden="false" customHeight="false" outlineLevel="0" collapsed="false">
      <c r="A18" s="16" t="s">
        <v>42</v>
      </c>
      <c r="B18" s="16" t="s">
        <v>1716</v>
      </c>
      <c r="C18" s="71" t="s">
        <v>1735</v>
      </c>
      <c r="D18" s="16" t="s">
        <v>1746</v>
      </c>
      <c r="E18" s="16" t="s">
        <v>1747</v>
      </c>
      <c r="F18" s="16" t="n">
        <v>841</v>
      </c>
      <c r="G18" s="16" t="n">
        <v>102</v>
      </c>
      <c r="H18" s="16" t="n">
        <v>736</v>
      </c>
      <c r="I18" s="16" t="n">
        <v>379</v>
      </c>
      <c r="J18" s="16" t="n">
        <v>357</v>
      </c>
      <c r="K18" s="16" t="n">
        <v>0</v>
      </c>
      <c r="L18" s="19" t="n">
        <f aca="false">(K18/H18)*100</f>
        <v>0</v>
      </c>
      <c r="M18" s="16" t="n">
        <v>0</v>
      </c>
      <c r="N18" s="19" t="n">
        <f aca="false">(M18/H18)*100</f>
        <v>0</v>
      </c>
      <c r="O18" s="16" t="n">
        <v>61</v>
      </c>
      <c r="P18" s="16" t="n">
        <v>0</v>
      </c>
      <c r="Q18" s="89" t="s">
        <v>49</v>
      </c>
      <c r="R18" s="34" t="n">
        <v>44916</v>
      </c>
      <c r="S18" s="16"/>
      <c r="T18" s="20" t="n">
        <v>0.8094</v>
      </c>
      <c r="U18" s="16"/>
      <c r="V18" s="16"/>
      <c r="W18" s="16"/>
      <c r="X18" s="16"/>
      <c r="Y18" s="16"/>
      <c r="Z18" s="16"/>
      <c r="AA18" s="56" t="n">
        <v>0</v>
      </c>
      <c r="AB18" s="56" t="n">
        <v>0</v>
      </c>
      <c r="AC18" s="36" t="n">
        <v>0</v>
      </c>
      <c r="AD18" s="20"/>
      <c r="AE18" s="20"/>
      <c r="AF18" s="16"/>
    </row>
    <row r="19" customFormat="false" ht="15.75" hidden="false" customHeight="false" outlineLevel="0" collapsed="false">
      <c r="A19" s="16" t="s">
        <v>42</v>
      </c>
      <c r="B19" s="16" t="s">
        <v>1716</v>
      </c>
      <c r="C19" s="71" t="s">
        <v>1735</v>
      </c>
      <c r="D19" s="16" t="s">
        <v>1748</v>
      </c>
      <c r="E19" s="16" t="s">
        <v>1749</v>
      </c>
      <c r="F19" s="16" t="n">
        <v>734</v>
      </c>
      <c r="G19" s="16" t="n">
        <v>53</v>
      </c>
      <c r="H19" s="16" t="n">
        <v>374</v>
      </c>
      <c r="I19" s="16" t="n">
        <v>201</v>
      </c>
      <c r="J19" s="16" t="n">
        <v>173</v>
      </c>
      <c r="K19" s="16" t="n">
        <v>0</v>
      </c>
      <c r="L19" s="19" t="n">
        <f aca="false">(K19/H19)*100</f>
        <v>0</v>
      </c>
      <c r="M19" s="16" t="n">
        <v>0</v>
      </c>
      <c r="N19" s="19" t="n">
        <f aca="false">(M19/H19)*100</f>
        <v>0</v>
      </c>
      <c r="O19" s="16" t="n">
        <v>35</v>
      </c>
      <c r="P19" s="16" t="n">
        <v>0</v>
      </c>
      <c r="Q19" s="89" t="s">
        <v>49</v>
      </c>
      <c r="R19" s="34" t="n">
        <v>44916</v>
      </c>
      <c r="S19" s="16"/>
      <c r="T19" s="20"/>
      <c r="U19" s="16"/>
      <c r="V19" s="16"/>
      <c r="W19" s="16"/>
      <c r="X19" s="16"/>
      <c r="Y19" s="16"/>
      <c r="Z19" s="16"/>
      <c r="AA19" s="119" t="s">
        <v>266</v>
      </c>
      <c r="AB19" s="56" t="n">
        <v>10</v>
      </c>
      <c r="AC19" s="254" t="s">
        <v>1750</v>
      </c>
      <c r="AD19" s="20"/>
      <c r="AE19" s="20"/>
      <c r="AF19" s="16"/>
    </row>
    <row r="20" customFormat="false" ht="15.75" hidden="false" customHeight="false" outlineLevel="0" collapsed="false">
      <c r="A20" s="16"/>
      <c r="B20" s="16"/>
      <c r="C20" s="71"/>
      <c r="D20" s="16"/>
      <c r="E20" s="16"/>
      <c r="F20" s="16"/>
      <c r="G20" s="16"/>
      <c r="H20" s="16"/>
      <c r="I20" s="16"/>
      <c r="J20" s="16"/>
      <c r="K20" s="16"/>
      <c r="L20" s="19" t="e">
        <f aca="false">(K20/H20)*100</f>
        <v>#DIV/0!</v>
      </c>
      <c r="M20" s="16"/>
      <c r="N20" s="19" t="e">
        <f aca="false">(M20/H20)*100</f>
        <v>#DIV/0!</v>
      </c>
      <c r="O20" s="16"/>
      <c r="P20" s="16"/>
      <c r="Q20" s="93" t="s">
        <v>49</v>
      </c>
      <c r="R20" s="97"/>
      <c r="S20" s="16"/>
      <c r="T20" s="228"/>
      <c r="U20" s="16"/>
      <c r="V20" s="16"/>
      <c r="W20" s="16"/>
      <c r="X20" s="16"/>
      <c r="Y20" s="16"/>
      <c r="Z20" s="16"/>
      <c r="AA20" s="232" t="s">
        <v>266</v>
      </c>
      <c r="AB20" s="232" t="n">
        <v>10</v>
      </c>
      <c r="AC20" s="255" t="s">
        <v>1751</v>
      </c>
      <c r="AD20" s="228"/>
      <c r="AE20" s="228"/>
      <c r="AF20" s="16"/>
    </row>
    <row r="21" customFormat="false" ht="15.75" hidden="false" customHeight="false" outlineLevel="0" collapsed="false">
      <c r="A21" s="16" t="s">
        <v>42</v>
      </c>
      <c r="B21" s="16" t="s">
        <v>1716</v>
      </c>
      <c r="C21" s="71" t="s">
        <v>1752</v>
      </c>
      <c r="D21" s="72" t="s">
        <v>1753</v>
      </c>
      <c r="E21" s="16" t="s">
        <v>1754</v>
      </c>
      <c r="F21" s="16" t="n">
        <v>777</v>
      </c>
      <c r="G21" s="16" t="n">
        <v>324</v>
      </c>
      <c r="H21" s="16" t="n">
        <v>1758</v>
      </c>
      <c r="I21" s="16" t="n">
        <v>925</v>
      </c>
      <c r="J21" s="16" t="n">
        <v>833</v>
      </c>
      <c r="K21" s="16" t="n">
        <v>354</v>
      </c>
      <c r="L21" s="19" t="n">
        <f aca="false">(K21/H21)*100</f>
        <v>20.1365187713311</v>
      </c>
      <c r="M21" s="16" t="n">
        <v>192</v>
      </c>
      <c r="N21" s="19" t="n">
        <f aca="false">(M21/H21)*100</f>
        <v>10.9215017064846</v>
      </c>
      <c r="O21" s="16" t="n">
        <v>30</v>
      </c>
      <c r="P21" s="16" t="n">
        <v>0</v>
      </c>
      <c r="Q21" s="89" t="s">
        <v>49</v>
      </c>
      <c r="R21" s="34" t="n">
        <v>44938</v>
      </c>
      <c r="S21" s="16"/>
      <c r="T21" s="20"/>
      <c r="U21" s="16"/>
      <c r="V21" s="16"/>
      <c r="W21" s="16"/>
      <c r="X21" s="16"/>
      <c r="Y21" s="16"/>
      <c r="Z21" s="16"/>
      <c r="AA21" s="119" t="s">
        <v>266</v>
      </c>
      <c r="AB21" s="56" t="n">
        <v>10</v>
      </c>
      <c r="AC21" s="254" t="s">
        <v>1755</v>
      </c>
      <c r="AD21" s="20"/>
      <c r="AE21" s="20"/>
      <c r="AF21" s="16"/>
    </row>
    <row r="22" customFormat="false" ht="15.75" hidden="false" customHeight="false" outlineLevel="0" collapsed="false">
      <c r="A22" s="16"/>
      <c r="B22" s="16"/>
      <c r="C22" s="71"/>
      <c r="D22" s="72"/>
      <c r="E22" s="16"/>
      <c r="F22" s="16"/>
      <c r="G22" s="16"/>
      <c r="H22" s="16"/>
      <c r="I22" s="16"/>
      <c r="J22" s="16"/>
      <c r="K22" s="16"/>
      <c r="L22" s="19" t="e">
        <f aca="false">(K22/H22)*100</f>
        <v>#DIV/0!</v>
      </c>
      <c r="M22" s="16"/>
      <c r="N22" s="19" t="e">
        <f aca="false">(M22/H22)*100</f>
        <v>#DIV/0!</v>
      </c>
      <c r="O22" s="16"/>
      <c r="P22" s="16"/>
      <c r="Q22" s="93" t="s">
        <v>49</v>
      </c>
      <c r="R22" s="97"/>
      <c r="S22" s="16"/>
      <c r="T22" s="228"/>
      <c r="U22" s="16"/>
      <c r="V22" s="16"/>
      <c r="W22" s="16"/>
      <c r="X22" s="16"/>
      <c r="Y22" s="16"/>
      <c r="Z22" s="16"/>
      <c r="AA22" s="232" t="s">
        <v>266</v>
      </c>
      <c r="AB22" s="232" t="n">
        <v>10</v>
      </c>
      <c r="AC22" s="255" t="s">
        <v>1756</v>
      </c>
      <c r="AD22" s="228"/>
      <c r="AE22" s="228"/>
      <c r="AF22" s="16"/>
    </row>
    <row r="23" customFormat="false" ht="15.75" hidden="false" customHeight="false" outlineLevel="0" collapsed="false">
      <c r="A23" s="16" t="s">
        <v>42</v>
      </c>
      <c r="B23" s="16" t="s">
        <v>1716</v>
      </c>
      <c r="C23" s="71" t="s">
        <v>1752</v>
      </c>
      <c r="D23" s="16" t="s">
        <v>1757</v>
      </c>
      <c r="E23" s="16" t="s">
        <v>1758</v>
      </c>
      <c r="F23" s="16" t="n">
        <v>597.35</v>
      </c>
      <c r="G23" s="16" t="n">
        <v>86</v>
      </c>
      <c r="H23" s="16" t="n">
        <v>578</v>
      </c>
      <c r="I23" s="16" t="n">
        <v>296</v>
      </c>
      <c r="J23" s="16" t="n">
        <v>282</v>
      </c>
      <c r="K23" s="16" t="n">
        <v>1</v>
      </c>
      <c r="L23" s="19" t="n">
        <f aca="false">(K23/H23)*100</f>
        <v>0.173010380622837</v>
      </c>
      <c r="M23" s="16" t="n">
        <v>0</v>
      </c>
      <c r="N23" s="19" t="n">
        <f aca="false">(M23/H23)*100</f>
        <v>0</v>
      </c>
      <c r="O23" s="16" t="n">
        <v>40.43</v>
      </c>
      <c r="P23" s="16" t="n">
        <v>0</v>
      </c>
      <c r="Q23" s="89" t="s">
        <v>49</v>
      </c>
      <c r="R23" s="34" t="n">
        <v>44938</v>
      </c>
      <c r="S23" s="16"/>
      <c r="T23" s="20" t="n">
        <v>36.4702</v>
      </c>
      <c r="U23" s="16"/>
      <c r="V23" s="16"/>
      <c r="W23" s="16"/>
      <c r="X23" s="16"/>
      <c r="Y23" s="16"/>
      <c r="Z23" s="16"/>
      <c r="AA23" s="119" t="s">
        <v>266</v>
      </c>
      <c r="AB23" s="56" t="n">
        <v>10</v>
      </c>
      <c r="AC23" s="254" t="s">
        <v>1759</v>
      </c>
      <c r="AD23" s="20"/>
      <c r="AE23" s="20"/>
      <c r="AF23" s="16"/>
    </row>
    <row r="24" customFormat="false" ht="15.75" hidden="false" customHeight="false" outlineLevel="0" collapsed="false">
      <c r="A24" s="16" t="s">
        <v>42</v>
      </c>
      <c r="B24" s="16" t="s">
        <v>1716</v>
      </c>
      <c r="C24" s="71" t="s">
        <v>1760</v>
      </c>
      <c r="D24" s="72" t="s">
        <v>1760</v>
      </c>
      <c r="E24" s="16" t="s">
        <v>1761</v>
      </c>
      <c r="F24" s="16" t="n">
        <v>1282.55</v>
      </c>
      <c r="G24" s="16" t="n">
        <v>158</v>
      </c>
      <c r="H24" s="16" t="n">
        <v>1047</v>
      </c>
      <c r="I24" s="16" t="n">
        <v>542</v>
      </c>
      <c r="J24" s="16" t="n">
        <v>505</v>
      </c>
      <c r="K24" s="16" t="n">
        <v>125</v>
      </c>
      <c r="L24" s="19" t="n">
        <f aca="false">(K24/H24)*100</f>
        <v>11.9388729703916</v>
      </c>
      <c r="M24" s="16" t="n">
        <v>23</v>
      </c>
      <c r="N24" s="19" t="n">
        <f aca="false">(M24/H24)*100</f>
        <v>2.19675262655205</v>
      </c>
      <c r="O24" s="16" t="n">
        <v>142.38</v>
      </c>
      <c r="P24" s="16" t="n">
        <v>0</v>
      </c>
      <c r="Q24" s="89" t="s">
        <v>49</v>
      </c>
      <c r="R24" s="34" t="n">
        <v>44879</v>
      </c>
      <c r="S24" s="16"/>
      <c r="T24" s="20"/>
      <c r="U24" s="16"/>
      <c r="V24" s="16"/>
      <c r="W24" s="16"/>
      <c r="X24" s="16"/>
      <c r="Y24" s="16"/>
      <c r="Z24" s="16"/>
      <c r="AA24" s="119" t="s">
        <v>266</v>
      </c>
      <c r="AB24" s="89" t="n">
        <v>11</v>
      </c>
      <c r="AC24" s="254" t="s">
        <v>1762</v>
      </c>
      <c r="AD24" s="89" t="n">
        <v>26.73</v>
      </c>
      <c r="AE24" s="89" t="n">
        <v>72.17</v>
      </c>
      <c r="AF24" s="16"/>
    </row>
    <row r="25" customFormat="false" ht="15.75" hidden="false" customHeight="false" outlineLevel="0" collapsed="false">
      <c r="A25" s="16" t="s">
        <v>42</v>
      </c>
      <c r="B25" s="16" t="s">
        <v>1716</v>
      </c>
      <c r="C25" s="71" t="s">
        <v>1760</v>
      </c>
      <c r="D25" s="16" t="s">
        <v>1763</v>
      </c>
      <c r="E25" s="16" t="s">
        <v>1764</v>
      </c>
      <c r="F25" s="16" t="n">
        <v>665.56</v>
      </c>
      <c r="G25" s="16" t="n">
        <v>81</v>
      </c>
      <c r="H25" s="16" t="n">
        <v>499</v>
      </c>
      <c r="I25" s="16" t="n">
        <v>250</v>
      </c>
      <c r="J25" s="16" t="n">
        <v>249</v>
      </c>
      <c r="K25" s="16" t="n">
        <v>0</v>
      </c>
      <c r="L25" s="19" t="n">
        <f aca="false">(K25/H25)*100</f>
        <v>0</v>
      </c>
      <c r="M25" s="16" t="n">
        <v>0</v>
      </c>
      <c r="N25" s="19" t="n">
        <f aca="false">(M25/H25)*100</f>
        <v>0</v>
      </c>
      <c r="O25" s="16" t="n">
        <v>0</v>
      </c>
      <c r="P25" s="16" t="n">
        <v>0</v>
      </c>
      <c r="Q25" s="89" t="s">
        <v>49</v>
      </c>
      <c r="R25" s="34" t="n">
        <v>44879</v>
      </c>
      <c r="S25" s="16"/>
      <c r="T25" s="20" t="n">
        <v>0</v>
      </c>
      <c r="U25" s="16"/>
      <c r="V25" s="16"/>
      <c r="W25" s="16"/>
      <c r="X25" s="16"/>
      <c r="Y25" s="16"/>
      <c r="Z25" s="16"/>
      <c r="AA25" s="119" t="s">
        <v>266</v>
      </c>
      <c r="AB25" s="89" t="n">
        <v>0</v>
      </c>
      <c r="AC25" s="36" t="n">
        <v>0</v>
      </c>
      <c r="AD25" s="89" t="n">
        <v>0</v>
      </c>
      <c r="AE25" s="89" t="n">
        <v>0</v>
      </c>
      <c r="AF25" s="16"/>
    </row>
    <row r="26" customFormat="false" ht="15.75" hidden="false" customHeight="false" outlineLevel="0" collapsed="false">
      <c r="A26" s="16" t="s">
        <v>42</v>
      </c>
      <c r="B26" s="16" t="s">
        <v>1716</v>
      </c>
      <c r="C26" s="71" t="s">
        <v>1760</v>
      </c>
      <c r="D26" s="16" t="s">
        <v>1765</v>
      </c>
      <c r="E26" s="16" t="s">
        <v>1766</v>
      </c>
      <c r="F26" s="16" t="n">
        <v>516.37</v>
      </c>
      <c r="G26" s="16" t="n">
        <v>40</v>
      </c>
      <c r="H26" s="16" t="n">
        <v>300</v>
      </c>
      <c r="I26" s="16" t="n">
        <v>157</v>
      </c>
      <c r="J26" s="16" t="n">
        <v>143</v>
      </c>
      <c r="K26" s="16" t="n">
        <v>2</v>
      </c>
      <c r="L26" s="19" t="n">
        <f aca="false">(K26/H26)*100</f>
        <v>0.666666666666667</v>
      </c>
      <c r="M26" s="16" t="n">
        <v>0</v>
      </c>
      <c r="N26" s="19" t="n">
        <f aca="false">(M26/H26)*100</f>
        <v>0</v>
      </c>
      <c r="O26" s="16" t="n">
        <v>0</v>
      </c>
      <c r="P26" s="16" t="n">
        <v>0</v>
      </c>
      <c r="Q26" s="89" t="s">
        <v>49</v>
      </c>
      <c r="R26" s="34" t="n">
        <v>44879</v>
      </c>
      <c r="S26" s="16"/>
      <c r="T26" s="20" t="n">
        <v>0</v>
      </c>
      <c r="U26" s="16"/>
      <c r="V26" s="16"/>
      <c r="W26" s="16"/>
      <c r="X26" s="16"/>
      <c r="Y26" s="16"/>
      <c r="Z26" s="16"/>
      <c r="AA26" s="119" t="s">
        <v>266</v>
      </c>
      <c r="AB26" s="89" t="n">
        <v>0</v>
      </c>
      <c r="AC26" s="36" t="n">
        <v>0</v>
      </c>
      <c r="AD26" s="89" t="n">
        <v>0</v>
      </c>
      <c r="AE26" s="89" t="n">
        <v>0</v>
      </c>
      <c r="AF26" s="16"/>
    </row>
    <row r="27" customFormat="false" ht="15.75" hidden="false" customHeight="false" outlineLevel="0" collapsed="false">
      <c r="A27" s="16" t="s">
        <v>42</v>
      </c>
      <c r="B27" s="16" t="s">
        <v>1716</v>
      </c>
      <c r="C27" s="71" t="s">
        <v>1760</v>
      </c>
      <c r="D27" s="16" t="s">
        <v>1767</v>
      </c>
      <c r="E27" s="16" t="s">
        <v>1768</v>
      </c>
      <c r="F27" s="16" t="n">
        <v>624.08</v>
      </c>
      <c r="G27" s="16" t="n">
        <v>54</v>
      </c>
      <c r="H27" s="16" t="n">
        <v>425</v>
      </c>
      <c r="I27" s="16" t="n">
        <v>217</v>
      </c>
      <c r="J27" s="16" t="n">
        <v>208</v>
      </c>
      <c r="K27" s="16" t="n">
        <v>145</v>
      </c>
      <c r="L27" s="19" t="n">
        <f aca="false">(K27/H27)*100</f>
        <v>34.1176470588235</v>
      </c>
      <c r="M27" s="16" t="n">
        <v>0</v>
      </c>
      <c r="N27" s="19" t="n">
        <f aca="false">(M27/H27)*100</f>
        <v>0</v>
      </c>
      <c r="O27" s="16" t="n">
        <v>11.49</v>
      </c>
      <c r="P27" s="16" t="n">
        <v>0</v>
      </c>
      <c r="Q27" s="89" t="s">
        <v>49</v>
      </c>
      <c r="R27" s="34" t="n">
        <v>44879</v>
      </c>
      <c r="S27" s="16"/>
      <c r="T27" s="20"/>
      <c r="U27" s="16"/>
      <c r="V27" s="16"/>
      <c r="W27" s="16"/>
      <c r="X27" s="16"/>
      <c r="Y27" s="16"/>
      <c r="Z27" s="16"/>
      <c r="AA27" s="119" t="s">
        <v>266</v>
      </c>
      <c r="AB27" s="89" t="n">
        <v>5</v>
      </c>
      <c r="AC27" s="254" t="s">
        <v>1769</v>
      </c>
      <c r="AD27" s="89" t="n">
        <v>26.69</v>
      </c>
      <c r="AE27" s="89" t="n">
        <v>72.2</v>
      </c>
      <c r="AF27" s="16"/>
    </row>
    <row r="28" customFormat="false" ht="15.75" hidden="false" customHeight="false" outlineLevel="0" collapsed="false">
      <c r="A28" s="16" t="s">
        <v>42</v>
      </c>
      <c r="B28" s="16" t="s">
        <v>1716</v>
      </c>
      <c r="C28" s="71" t="s">
        <v>1760</v>
      </c>
      <c r="D28" s="16" t="s">
        <v>1770</v>
      </c>
      <c r="E28" s="16" t="s">
        <v>1771</v>
      </c>
      <c r="F28" s="16" t="n">
        <v>696.9</v>
      </c>
      <c r="G28" s="16" t="n">
        <v>42</v>
      </c>
      <c r="H28" s="16" t="n">
        <v>298</v>
      </c>
      <c r="I28" s="16" t="n">
        <v>161</v>
      </c>
      <c r="J28" s="16" t="n">
        <v>137</v>
      </c>
      <c r="K28" s="16" t="n">
        <v>0</v>
      </c>
      <c r="L28" s="19" t="n">
        <f aca="false">(K28/H28)*100</f>
        <v>0</v>
      </c>
      <c r="M28" s="16" t="n">
        <v>16</v>
      </c>
      <c r="N28" s="19" t="n">
        <f aca="false">(M28/H28)*100</f>
        <v>5.36912751677852</v>
      </c>
      <c r="O28" s="16" t="n">
        <v>65.72</v>
      </c>
      <c r="P28" s="16" t="n">
        <v>0</v>
      </c>
      <c r="Q28" s="89" t="s">
        <v>49</v>
      </c>
      <c r="R28" s="34" t="n">
        <v>44879</v>
      </c>
      <c r="S28" s="16"/>
      <c r="T28" s="20"/>
      <c r="U28" s="16"/>
      <c r="V28" s="16"/>
      <c r="W28" s="16"/>
      <c r="X28" s="16"/>
      <c r="Y28" s="16"/>
      <c r="Z28" s="16"/>
      <c r="AA28" s="119" t="s">
        <v>266</v>
      </c>
      <c r="AB28" s="89" t="n">
        <v>4</v>
      </c>
      <c r="AC28" s="254" t="s">
        <v>1772</v>
      </c>
      <c r="AD28" s="89" t="n">
        <v>26.7</v>
      </c>
      <c r="AE28" s="89" t="n">
        <v>72.16</v>
      </c>
      <c r="AF28" s="16"/>
    </row>
    <row r="29" customFormat="false" ht="15.75" hidden="false" customHeight="false" outlineLevel="0" collapsed="false">
      <c r="A29" s="16" t="s">
        <v>42</v>
      </c>
      <c r="B29" s="16" t="s">
        <v>1716</v>
      </c>
      <c r="C29" s="71" t="s">
        <v>1760</v>
      </c>
      <c r="D29" s="16" t="s">
        <v>1773</v>
      </c>
      <c r="E29" s="16" t="s">
        <v>1774</v>
      </c>
      <c r="F29" s="16" t="n">
        <v>1180.8</v>
      </c>
      <c r="G29" s="16" t="n">
        <v>171</v>
      </c>
      <c r="H29" s="16" t="n">
        <v>1142</v>
      </c>
      <c r="I29" s="16" t="n">
        <v>610</v>
      </c>
      <c r="J29" s="16" t="n">
        <v>532</v>
      </c>
      <c r="K29" s="16" t="n">
        <v>2</v>
      </c>
      <c r="L29" s="19" t="n">
        <f aca="false">(K29/H29)*100</f>
        <v>0.175131348511384</v>
      </c>
      <c r="M29" s="16" t="n">
        <v>40</v>
      </c>
      <c r="N29" s="19" t="n">
        <f aca="false">(M29/H29)*100</f>
        <v>3.50262697022767</v>
      </c>
      <c r="O29" s="16" t="n">
        <v>17.02</v>
      </c>
      <c r="P29" s="16" t="n">
        <v>0</v>
      </c>
      <c r="Q29" s="89" t="s">
        <v>49</v>
      </c>
      <c r="R29" s="34" t="n">
        <v>44879</v>
      </c>
      <c r="S29" s="16"/>
      <c r="T29" s="20"/>
      <c r="U29" s="16"/>
      <c r="V29" s="16"/>
      <c r="W29" s="16"/>
      <c r="X29" s="16"/>
      <c r="Y29" s="16"/>
      <c r="Z29" s="16"/>
      <c r="AA29" s="119" t="s">
        <v>266</v>
      </c>
      <c r="AB29" s="89" t="n">
        <v>0</v>
      </c>
      <c r="AC29" s="36" t="n">
        <v>0</v>
      </c>
      <c r="AD29" s="89"/>
      <c r="AE29" s="89"/>
      <c r="AF29" s="16"/>
    </row>
    <row r="30" customFormat="false" ht="15.75" hidden="false" customHeight="false" outlineLevel="0" collapsed="false">
      <c r="A30" s="16" t="s">
        <v>42</v>
      </c>
      <c r="B30" s="16" t="s">
        <v>1716</v>
      </c>
      <c r="C30" s="71" t="s">
        <v>1775</v>
      </c>
      <c r="D30" s="72" t="s">
        <v>1776</v>
      </c>
      <c r="E30" s="16" t="s">
        <v>1777</v>
      </c>
      <c r="F30" s="16" t="n">
        <v>2208</v>
      </c>
      <c r="G30" s="16" t="n">
        <v>319</v>
      </c>
      <c r="H30" s="16" t="n">
        <v>1802</v>
      </c>
      <c r="I30" s="16" t="n">
        <v>936</v>
      </c>
      <c r="J30" s="16" t="n">
        <v>866</v>
      </c>
      <c r="K30" s="16" t="n">
        <v>59</v>
      </c>
      <c r="L30" s="19" t="n">
        <f aca="false">(K30/H30)*100</f>
        <v>3.27413984461709</v>
      </c>
      <c r="M30" s="16" t="n">
        <v>0</v>
      </c>
      <c r="N30" s="19" t="n">
        <f aca="false">(M30/H30)*100</f>
        <v>0</v>
      </c>
      <c r="O30" s="16" t="n">
        <v>243</v>
      </c>
      <c r="P30" s="16" t="n">
        <v>0</v>
      </c>
      <c r="Q30" s="89" t="s">
        <v>49</v>
      </c>
      <c r="R30" s="34" t="n">
        <v>45112</v>
      </c>
      <c r="S30" s="16"/>
      <c r="T30" s="20" t="n">
        <v>239.6625</v>
      </c>
      <c r="U30" s="16"/>
      <c r="V30" s="16"/>
      <c r="W30" s="16"/>
      <c r="X30" s="16"/>
      <c r="Y30" s="16"/>
      <c r="Z30" s="16"/>
      <c r="AA30" s="89" t="s">
        <v>50</v>
      </c>
      <c r="AB30" s="89" t="n">
        <v>8</v>
      </c>
      <c r="AC30" s="254" t="s">
        <v>1778</v>
      </c>
      <c r="AD30" s="89" t="n">
        <v>26.78</v>
      </c>
      <c r="AE30" s="89" t="n">
        <v>72.16</v>
      </c>
      <c r="AF30" s="16"/>
    </row>
    <row r="31" customFormat="false" ht="15.75" hidden="false" customHeight="false" outlineLevel="0" collapsed="false">
      <c r="A31" s="16"/>
      <c r="B31" s="16"/>
      <c r="C31" s="71"/>
      <c r="D31" s="72"/>
      <c r="E31" s="16"/>
      <c r="F31" s="16"/>
      <c r="G31" s="16"/>
      <c r="H31" s="16"/>
      <c r="I31" s="16"/>
      <c r="J31" s="16"/>
      <c r="K31" s="16"/>
      <c r="L31" s="19" t="e">
        <f aca="false">(K31/H31)*100</f>
        <v>#DIV/0!</v>
      </c>
      <c r="M31" s="16"/>
      <c r="N31" s="19" t="e">
        <f aca="false">(M31/H31)*100</f>
        <v>#DIV/0!</v>
      </c>
      <c r="O31" s="16"/>
      <c r="P31" s="16"/>
      <c r="Q31" s="93" t="s">
        <v>49</v>
      </c>
      <c r="R31" s="97"/>
      <c r="S31" s="16"/>
      <c r="T31" s="228"/>
      <c r="U31" s="16"/>
      <c r="V31" s="16"/>
      <c r="W31" s="16"/>
      <c r="X31" s="16"/>
      <c r="Y31" s="16"/>
      <c r="Z31" s="16"/>
      <c r="AA31" s="93" t="s">
        <v>50</v>
      </c>
      <c r="AB31" s="93" t="n">
        <v>7</v>
      </c>
      <c r="AC31" s="255" t="s">
        <v>1779</v>
      </c>
      <c r="AD31" s="93" t="n">
        <v>26.79</v>
      </c>
      <c r="AE31" s="93" t="n">
        <v>72.16</v>
      </c>
      <c r="AF31" s="16"/>
    </row>
    <row r="32" customFormat="false" ht="15.75" hidden="false" customHeight="false" outlineLevel="0" collapsed="false">
      <c r="A32" s="16"/>
      <c r="B32" s="16"/>
      <c r="C32" s="71"/>
      <c r="D32" s="72"/>
      <c r="E32" s="16"/>
      <c r="F32" s="16"/>
      <c r="G32" s="16"/>
      <c r="H32" s="16"/>
      <c r="I32" s="16"/>
      <c r="J32" s="16"/>
      <c r="K32" s="16"/>
      <c r="L32" s="19" t="e">
        <f aca="false">(K32/H32)*100</f>
        <v>#DIV/0!</v>
      </c>
      <c r="M32" s="16"/>
      <c r="N32" s="19" t="e">
        <f aca="false">(M32/H32)*100</f>
        <v>#DIV/0!</v>
      </c>
      <c r="O32" s="16"/>
      <c r="P32" s="16"/>
      <c r="Q32" s="93" t="s">
        <v>49</v>
      </c>
      <c r="R32" s="97"/>
      <c r="S32" s="16"/>
      <c r="T32" s="228"/>
      <c r="U32" s="16"/>
      <c r="V32" s="16"/>
      <c r="W32" s="16"/>
      <c r="X32" s="16"/>
      <c r="Y32" s="16"/>
      <c r="Z32" s="16"/>
      <c r="AA32" s="93" t="s">
        <v>50</v>
      </c>
      <c r="AB32" s="93" t="n">
        <v>15</v>
      </c>
      <c r="AC32" s="255" t="s">
        <v>1780</v>
      </c>
      <c r="AD32" s="93" t="n">
        <v>26.77</v>
      </c>
      <c r="AE32" s="93" t="n">
        <v>72.15</v>
      </c>
      <c r="AF32" s="16"/>
    </row>
    <row r="33" customFormat="false" ht="15.75" hidden="false" customHeight="false" outlineLevel="0" collapsed="false">
      <c r="A33" s="16"/>
      <c r="B33" s="16"/>
      <c r="C33" s="71"/>
      <c r="D33" s="72"/>
      <c r="E33" s="16"/>
      <c r="F33" s="16"/>
      <c r="G33" s="16"/>
      <c r="H33" s="16"/>
      <c r="I33" s="16"/>
      <c r="J33" s="16"/>
      <c r="K33" s="16"/>
      <c r="L33" s="19" t="e">
        <f aca="false">(K33/H33)*100</f>
        <v>#DIV/0!</v>
      </c>
      <c r="M33" s="16"/>
      <c r="N33" s="19" t="e">
        <f aca="false">(M33/H33)*100</f>
        <v>#DIV/0!</v>
      </c>
      <c r="O33" s="16"/>
      <c r="P33" s="16"/>
      <c r="Q33" s="93" t="s">
        <v>49</v>
      </c>
      <c r="R33" s="97"/>
      <c r="S33" s="16"/>
      <c r="T33" s="228"/>
      <c r="U33" s="16"/>
      <c r="V33" s="16"/>
      <c r="W33" s="16"/>
      <c r="X33" s="16"/>
      <c r="Y33" s="16"/>
      <c r="Z33" s="16"/>
      <c r="AA33" s="93" t="s">
        <v>50</v>
      </c>
      <c r="AB33" s="93" t="n">
        <v>12</v>
      </c>
      <c r="AC33" s="255" t="s">
        <v>1781</v>
      </c>
      <c r="AD33" s="93" t="n">
        <v>26.79</v>
      </c>
      <c r="AE33" s="93" t="n">
        <v>72.16</v>
      </c>
      <c r="AF33" s="16"/>
    </row>
    <row r="34" customFormat="false" ht="15.75" hidden="false" customHeight="false" outlineLevel="0" collapsed="false">
      <c r="A34" s="16"/>
      <c r="B34" s="16"/>
      <c r="C34" s="71"/>
      <c r="D34" s="72"/>
      <c r="E34" s="16"/>
      <c r="F34" s="16"/>
      <c r="G34" s="16"/>
      <c r="H34" s="16"/>
      <c r="I34" s="16"/>
      <c r="J34" s="16"/>
      <c r="K34" s="16"/>
      <c r="L34" s="19" t="e">
        <f aca="false">(K34/H34)*100</f>
        <v>#DIV/0!</v>
      </c>
      <c r="M34" s="16"/>
      <c r="N34" s="19" t="e">
        <f aca="false">(M34/H34)*100</f>
        <v>#DIV/0!</v>
      </c>
      <c r="O34" s="16"/>
      <c r="P34" s="16"/>
      <c r="Q34" s="93" t="s">
        <v>49</v>
      </c>
      <c r="R34" s="97"/>
      <c r="S34" s="16"/>
      <c r="T34" s="228"/>
      <c r="U34" s="16"/>
      <c r="V34" s="16"/>
      <c r="W34" s="16"/>
      <c r="X34" s="16"/>
      <c r="Y34" s="16"/>
      <c r="Z34" s="16"/>
      <c r="AA34" s="93" t="s">
        <v>50</v>
      </c>
      <c r="AB34" s="93" t="n">
        <v>8</v>
      </c>
      <c r="AC34" s="255" t="s">
        <v>1782</v>
      </c>
      <c r="AD34" s="93" t="n">
        <v>26.78</v>
      </c>
      <c r="AE34" s="93" t="n">
        <v>72.15</v>
      </c>
      <c r="AF34" s="16"/>
    </row>
    <row r="35" customFormat="false" ht="15.75" hidden="false" customHeight="false" outlineLevel="0" collapsed="false">
      <c r="A35" s="16" t="s">
        <v>42</v>
      </c>
      <c r="B35" s="16" t="s">
        <v>1716</v>
      </c>
      <c r="C35" s="71" t="s">
        <v>1775</v>
      </c>
      <c r="D35" s="16" t="s">
        <v>1783</v>
      </c>
      <c r="E35" s="16" t="s">
        <v>1784</v>
      </c>
      <c r="F35" s="16" t="n">
        <v>1764</v>
      </c>
      <c r="G35" s="16" t="n">
        <v>159</v>
      </c>
      <c r="H35" s="16" t="n">
        <v>990</v>
      </c>
      <c r="I35" s="16" t="n">
        <v>516</v>
      </c>
      <c r="J35" s="16" t="n">
        <v>474</v>
      </c>
      <c r="K35" s="16" t="n">
        <v>460</v>
      </c>
      <c r="L35" s="19" t="n">
        <f aca="false">(K35/H35)*100</f>
        <v>46.4646464646465</v>
      </c>
      <c r="M35" s="16" t="n">
        <v>348</v>
      </c>
      <c r="N35" s="19" t="n">
        <f aca="false">(M35/H35)*100</f>
        <v>35.1515151515151</v>
      </c>
      <c r="O35" s="16" t="n">
        <v>0</v>
      </c>
      <c r="P35" s="16" t="n">
        <v>0</v>
      </c>
      <c r="Q35" s="89" t="s">
        <v>49</v>
      </c>
      <c r="R35" s="34" t="n">
        <v>45112</v>
      </c>
      <c r="S35" s="16"/>
      <c r="T35" s="20" t="n">
        <v>0</v>
      </c>
      <c r="U35" s="16"/>
      <c r="V35" s="16"/>
      <c r="W35" s="16"/>
      <c r="X35" s="16"/>
      <c r="Y35" s="16"/>
      <c r="Z35" s="16"/>
      <c r="AA35" s="89" t="s">
        <v>50</v>
      </c>
      <c r="AB35" s="89" t="n">
        <v>0</v>
      </c>
      <c r="AC35" s="36" t="n">
        <v>0</v>
      </c>
      <c r="AD35" s="89" t="n">
        <v>0</v>
      </c>
      <c r="AE35" s="89" t="n">
        <v>0</v>
      </c>
      <c r="AF35" s="16"/>
    </row>
    <row r="36" customFormat="false" ht="15.75" hidden="false" customHeight="false" outlineLevel="0" collapsed="false">
      <c r="A36" s="16" t="s">
        <v>42</v>
      </c>
      <c r="B36" s="16" t="s">
        <v>1716</v>
      </c>
      <c r="C36" s="71" t="s">
        <v>1785</v>
      </c>
      <c r="D36" s="72" t="s">
        <v>1786</v>
      </c>
      <c r="E36" s="16" t="s">
        <v>1787</v>
      </c>
      <c r="F36" s="16" t="n">
        <v>1282</v>
      </c>
      <c r="G36" s="16" t="n">
        <v>346</v>
      </c>
      <c r="H36" s="16" t="n">
        <v>2102</v>
      </c>
      <c r="I36" s="16" t="n">
        <v>1071</v>
      </c>
      <c r="J36" s="16" t="n">
        <v>1031</v>
      </c>
      <c r="K36" s="16" t="n">
        <v>683</v>
      </c>
      <c r="L36" s="19" t="n">
        <f aca="false">(K36/H36)*100</f>
        <v>32.4928639391056</v>
      </c>
      <c r="M36" s="16" t="n">
        <v>327</v>
      </c>
      <c r="N36" s="19" t="n">
        <f aca="false">(M36/H36)*100</f>
        <v>15.5566127497621</v>
      </c>
      <c r="O36" s="16" t="n">
        <v>39</v>
      </c>
      <c r="P36" s="16" t="n">
        <v>0</v>
      </c>
      <c r="Q36" s="92" t="s">
        <v>49</v>
      </c>
      <c r="R36" s="25" t="n">
        <v>44879</v>
      </c>
      <c r="S36" s="16"/>
      <c r="T36" s="24" t="n">
        <v>28.8216</v>
      </c>
      <c r="U36" s="16"/>
      <c r="V36" s="16"/>
      <c r="W36" s="16"/>
      <c r="X36" s="16"/>
      <c r="Y36" s="16"/>
      <c r="Z36" s="16"/>
      <c r="AA36" s="119" t="s">
        <v>266</v>
      </c>
      <c r="AB36" s="92" t="n">
        <v>7</v>
      </c>
      <c r="AC36" s="284" t="s">
        <v>1788</v>
      </c>
      <c r="AD36" s="119" t="n">
        <v>26.64</v>
      </c>
      <c r="AE36" s="92" t="n">
        <v>72.29</v>
      </c>
      <c r="AF36" s="16"/>
    </row>
    <row r="37" customFormat="false" ht="15.75" hidden="false" customHeight="false" outlineLevel="0" collapsed="false">
      <c r="A37" s="16"/>
      <c r="B37" s="16"/>
      <c r="C37" s="71"/>
      <c r="D37" s="72"/>
      <c r="E37" s="16"/>
      <c r="F37" s="16"/>
      <c r="G37" s="16"/>
      <c r="H37" s="16"/>
      <c r="I37" s="16"/>
      <c r="J37" s="16"/>
      <c r="K37" s="16"/>
      <c r="L37" s="19" t="e">
        <f aca="false">(K37/H37)*100</f>
        <v>#DIV/0!</v>
      </c>
      <c r="M37" s="16"/>
      <c r="N37" s="19" t="e">
        <f aca="false">(M37/H37)*100</f>
        <v>#DIV/0!</v>
      </c>
      <c r="O37" s="16"/>
      <c r="P37" s="16"/>
      <c r="Q37" s="93"/>
      <c r="R37" s="97"/>
      <c r="S37" s="16"/>
      <c r="T37" s="228"/>
      <c r="U37" s="16"/>
      <c r="V37" s="16"/>
      <c r="W37" s="16"/>
      <c r="X37" s="16"/>
      <c r="Y37" s="16"/>
      <c r="Z37" s="16"/>
      <c r="AA37" s="232" t="s">
        <v>266</v>
      </c>
      <c r="AB37" s="93" t="n">
        <v>9</v>
      </c>
      <c r="AC37" s="255" t="s">
        <v>1789</v>
      </c>
      <c r="AD37" s="232" t="n">
        <v>26.63</v>
      </c>
      <c r="AE37" s="93" t="n">
        <v>72.32</v>
      </c>
      <c r="AF37" s="16"/>
    </row>
    <row r="38" customFormat="false" ht="15.75" hidden="false" customHeight="false" outlineLevel="0" collapsed="false">
      <c r="A38" s="16" t="s">
        <v>42</v>
      </c>
      <c r="B38" s="16" t="s">
        <v>1716</v>
      </c>
      <c r="C38" s="71" t="s">
        <v>1785</v>
      </c>
      <c r="D38" s="16" t="s">
        <v>1790</v>
      </c>
      <c r="E38" s="16" t="s">
        <v>1791</v>
      </c>
      <c r="F38" s="16" t="n">
        <v>693</v>
      </c>
      <c r="G38" s="16" t="n">
        <v>83</v>
      </c>
      <c r="H38" s="16" t="n">
        <v>456</v>
      </c>
      <c r="I38" s="16" t="n">
        <v>237</v>
      </c>
      <c r="J38" s="16" t="n">
        <v>219</v>
      </c>
      <c r="K38" s="16" t="n">
        <v>84</v>
      </c>
      <c r="L38" s="19" t="n">
        <f aca="false">(K38/H38)*100</f>
        <v>18.4210526315789</v>
      </c>
      <c r="M38" s="16" t="n">
        <v>82</v>
      </c>
      <c r="N38" s="19" t="n">
        <f aca="false">(M38/H38)*100</f>
        <v>17.9824561403509</v>
      </c>
      <c r="O38" s="16" t="n">
        <v>50</v>
      </c>
      <c r="P38" s="16" t="n">
        <v>0</v>
      </c>
      <c r="Q38" s="92" t="s">
        <v>49</v>
      </c>
      <c r="R38" s="25" t="n">
        <v>44879</v>
      </c>
      <c r="S38" s="16"/>
      <c r="T38" s="24" t="n">
        <v>47.251</v>
      </c>
      <c r="U38" s="16"/>
      <c r="V38" s="16"/>
      <c r="W38" s="16"/>
      <c r="X38" s="16"/>
      <c r="Y38" s="16"/>
      <c r="Z38" s="16"/>
      <c r="AA38" s="119" t="s">
        <v>266</v>
      </c>
      <c r="AB38" s="92" t="n">
        <v>10</v>
      </c>
      <c r="AC38" s="284" t="s">
        <v>1792</v>
      </c>
      <c r="AD38" s="119" t="n">
        <v>26.64</v>
      </c>
      <c r="AE38" s="92" t="n">
        <v>72.29</v>
      </c>
      <c r="AF38" s="16"/>
    </row>
    <row r="39" customFormat="false" ht="15.75" hidden="false" customHeight="false" outlineLevel="0" collapsed="false">
      <c r="A39" s="16"/>
      <c r="B39" s="16"/>
      <c r="C39" s="71"/>
      <c r="D39" s="16"/>
      <c r="E39" s="16"/>
      <c r="F39" s="16"/>
      <c r="G39" s="16"/>
      <c r="H39" s="16"/>
      <c r="I39" s="16"/>
      <c r="J39" s="16"/>
      <c r="K39" s="16"/>
      <c r="L39" s="19" t="e">
        <f aca="false">(K39/H39)*100</f>
        <v>#DIV/0!</v>
      </c>
      <c r="M39" s="16"/>
      <c r="N39" s="19" t="e">
        <f aca="false">(M39/H39)*100</f>
        <v>#DIV/0!</v>
      </c>
      <c r="O39" s="16"/>
      <c r="P39" s="16"/>
      <c r="Q39" s="93"/>
      <c r="R39" s="97"/>
      <c r="S39" s="16"/>
      <c r="T39" s="228"/>
      <c r="U39" s="16"/>
      <c r="V39" s="16"/>
      <c r="W39" s="16"/>
      <c r="X39" s="16"/>
      <c r="Y39" s="16"/>
      <c r="Z39" s="16"/>
      <c r="AA39" s="232" t="s">
        <v>266</v>
      </c>
      <c r="AB39" s="93" t="n">
        <v>8</v>
      </c>
      <c r="AC39" s="255" t="s">
        <v>1793</v>
      </c>
      <c r="AD39" s="232" t="n">
        <v>26.63</v>
      </c>
      <c r="AE39" s="93" t="n">
        <v>72.28</v>
      </c>
      <c r="AF39" s="16"/>
    </row>
    <row r="40" customFormat="false" ht="15.75" hidden="false" customHeight="false" outlineLevel="0" collapsed="false">
      <c r="A40" s="16" t="s">
        <v>42</v>
      </c>
      <c r="B40" s="16" t="s">
        <v>1716</v>
      </c>
      <c r="C40" s="71" t="s">
        <v>1785</v>
      </c>
      <c r="D40" s="16" t="s">
        <v>1794</v>
      </c>
      <c r="E40" s="16" t="s">
        <v>1795</v>
      </c>
      <c r="F40" s="16" t="n">
        <v>324</v>
      </c>
      <c r="G40" s="16" t="n">
        <v>82</v>
      </c>
      <c r="H40" s="16" t="n">
        <v>547</v>
      </c>
      <c r="I40" s="16" t="n">
        <v>274</v>
      </c>
      <c r="J40" s="16" t="n">
        <v>273</v>
      </c>
      <c r="K40" s="16" t="n">
        <v>255</v>
      </c>
      <c r="L40" s="19" t="n">
        <f aca="false">(K40/H40)*100</f>
        <v>46.617915904936</v>
      </c>
      <c r="M40" s="16" t="n">
        <v>107</v>
      </c>
      <c r="N40" s="19" t="n">
        <f aca="false">(M40/H40)*100</f>
        <v>19.5612431444241</v>
      </c>
      <c r="O40" s="16" t="n">
        <v>42</v>
      </c>
      <c r="P40" s="16" t="n">
        <v>0</v>
      </c>
      <c r="Q40" s="92" t="s">
        <v>49</v>
      </c>
      <c r="R40" s="25" t="n">
        <v>44879</v>
      </c>
      <c r="S40" s="16"/>
      <c r="T40" s="24"/>
      <c r="U40" s="16"/>
      <c r="V40" s="16"/>
      <c r="W40" s="16"/>
      <c r="X40" s="16"/>
      <c r="Y40" s="16"/>
      <c r="Z40" s="16"/>
      <c r="AA40" s="119" t="s">
        <v>266</v>
      </c>
      <c r="AB40" s="92" t="n">
        <v>11</v>
      </c>
      <c r="AC40" s="284" t="s">
        <v>1796</v>
      </c>
      <c r="AD40" s="119" t="n">
        <v>26.62</v>
      </c>
      <c r="AE40" s="92" t="n">
        <v>72.29</v>
      </c>
      <c r="AF40" s="16"/>
    </row>
    <row r="41" customFormat="false" ht="15.75" hidden="false" customHeight="false" outlineLevel="0" collapsed="false">
      <c r="A41" s="16" t="s">
        <v>42</v>
      </c>
      <c r="B41" s="16" t="s">
        <v>1716</v>
      </c>
      <c r="C41" s="71" t="s">
        <v>1716</v>
      </c>
      <c r="D41" s="72" t="s">
        <v>1797</v>
      </c>
      <c r="E41" s="16" t="s">
        <v>1798</v>
      </c>
      <c r="F41" s="16" t="n">
        <v>4458</v>
      </c>
      <c r="G41" s="16" t="n">
        <v>996</v>
      </c>
      <c r="H41" s="16" t="n">
        <v>6121</v>
      </c>
      <c r="I41" s="16" t="n">
        <v>3198</v>
      </c>
      <c r="J41" s="16" t="n">
        <v>2923</v>
      </c>
      <c r="K41" s="16" t="n">
        <v>934</v>
      </c>
      <c r="L41" s="19" t="n">
        <f aca="false">(K41/H41)*100</f>
        <v>15.2589446168927</v>
      </c>
      <c r="M41" s="16" t="n">
        <v>662</v>
      </c>
      <c r="N41" s="19" t="n">
        <f aca="false">(M41/H41)*100</f>
        <v>10.8152262702173</v>
      </c>
      <c r="O41" s="16" t="n">
        <v>483</v>
      </c>
      <c r="P41" s="16" t="n">
        <v>0</v>
      </c>
      <c r="Q41" s="88"/>
      <c r="R41" s="87"/>
      <c r="S41" s="16"/>
      <c r="T41" s="16"/>
      <c r="U41" s="16"/>
      <c r="V41" s="16"/>
      <c r="W41" s="16"/>
      <c r="X41" s="16"/>
      <c r="Y41" s="16"/>
      <c r="Z41" s="16"/>
      <c r="AA41" s="88"/>
      <c r="AB41" s="88"/>
      <c r="AC41" s="16"/>
      <c r="AD41" s="16"/>
      <c r="AE41" s="16"/>
      <c r="AF41" s="16"/>
    </row>
    <row r="42" customFormat="false" ht="15.75" hidden="false" customHeight="false" outlineLevel="0" collapsed="false">
      <c r="A42" s="16" t="s">
        <v>42</v>
      </c>
      <c r="B42" s="16" t="s">
        <v>1716</v>
      </c>
      <c r="C42" s="71" t="s">
        <v>1799</v>
      </c>
      <c r="D42" s="72" t="s">
        <v>1800</v>
      </c>
      <c r="E42" s="16" t="s">
        <v>1801</v>
      </c>
      <c r="F42" s="16" t="n">
        <v>544.98</v>
      </c>
      <c r="G42" s="16" t="n">
        <v>176</v>
      </c>
      <c r="H42" s="16" t="n">
        <v>949</v>
      </c>
      <c r="I42" s="16" t="n">
        <v>514</v>
      </c>
      <c r="J42" s="16" t="n">
        <v>435</v>
      </c>
      <c r="K42" s="16" t="n">
        <v>20</v>
      </c>
      <c r="L42" s="19" t="n">
        <f aca="false">(K42/H42)*100</f>
        <v>2.10748155953635</v>
      </c>
      <c r="M42" s="16" t="n">
        <v>0</v>
      </c>
      <c r="N42" s="19" t="n">
        <f aca="false">(M42/H42)*100</f>
        <v>0</v>
      </c>
      <c r="O42" s="16" t="n">
        <v>0</v>
      </c>
      <c r="P42" s="16" t="n">
        <v>0</v>
      </c>
      <c r="Q42" s="88"/>
      <c r="R42" s="87"/>
      <c r="S42" s="16"/>
      <c r="T42" s="16"/>
      <c r="U42" s="16"/>
      <c r="V42" s="16"/>
      <c r="W42" s="16"/>
      <c r="X42" s="16"/>
      <c r="Y42" s="16"/>
      <c r="Z42" s="16"/>
      <c r="AA42" s="88"/>
      <c r="AB42" s="88"/>
      <c r="AC42" s="16"/>
      <c r="AD42" s="16"/>
      <c r="AE42" s="16"/>
      <c r="AF42" s="16"/>
    </row>
    <row r="43" customFormat="false" ht="15.75" hidden="false" customHeight="false" outlineLevel="0" collapsed="false">
      <c r="A43" s="16" t="s">
        <v>42</v>
      </c>
      <c r="B43" s="16" t="s">
        <v>1716</v>
      </c>
      <c r="C43" s="71" t="s">
        <v>1799</v>
      </c>
      <c r="D43" s="16" t="s">
        <v>1802</v>
      </c>
      <c r="E43" s="16" t="s">
        <v>1803</v>
      </c>
      <c r="F43" s="16" t="n">
        <v>528.02</v>
      </c>
      <c r="G43" s="16" t="n">
        <v>119</v>
      </c>
      <c r="H43" s="16" t="n">
        <v>658</v>
      </c>
      <c r="I43" s="16" t="n">
        <v>348</v>
      </c>
      <c r="J43" s="16" t="n">
        <v>310</v>
      </c>
      <c r="K43" s="16" t="n">
        <v>0</v>
      </c>
      <c r="L43" s="19" t="n">
        <f aca="false">(K43/H43)*100</f>
        <v>0</v>
      </c>
      <c r="M43" s="16" t="n">
        <v>0</v>
      </c>
      <c r="N43" s="19" t="n">
        <f aca="false">(M43/H43)*100</f>
        <v>0</v>
      </c>
      <c r="O43" s="16" t="n">
        <v>0</v>
      </c>
      <c r="P43" s="16" t="n">
        <v>0</v>
      </c>
      <c r="Q43" s="88"/>
      <c r="R43" s="87"/>
      <c r="S43" s="16"/>
      <c r="T43" s="16"/>
      <c r="U43" s="16"/>
      <c r="V43" s="16"/>
      <c r="W43" s="16"/>
      <c r="X43" s="16"/>
      <c r="Y43" s="16"/>
      <c r="Z43" s="16"/>
      <c r="AA43" s="88"/>
      <c r="AB43" s="88"/>
      <c r="AC43" s="16"/>
      <c r="AD43" s="16"/>
      <c r="AE43" s="16"/>
      <c r="AF43" s="16"/>
    </row>
    <row r="44" customFormat="false" ht="15.75" hidden="false" customHeight="false" outlineLevel="0" collapsed="false">
      <c r="A44" s="16" t="s">
        <v>42</v>
      </c>
      <c r="B44" s="16" t="s">
        <v>1716</v>
      </c>
      <c r="C44" s="71" t="s">
        <v>1799</v>
      </c>
      <c r="D44" s="16" t="s">
        <v>1804</v>
      </c>
      <c r="E44" s="16" t="s">
        <v>1805</v>
      </c>
      <c r="F44" s="16" t="n">
        <v>326.24</v>
      </c>
      <c r="G44" s="16" t="n">
        <v>93</v>
      </c>
      <c r="H44" s="16" t="n">
        <v>571</v>
      </c>
      <c r="I44" s="16" t="n">
        <v>289</v>
      </c>
      <c r="J44" s="16" t="n">
        <v>282</v>
      </c>
      <c r="K44" s="16" t="n">
        <v>0</v>
      </c>
      <c r="L44" s="19" t="n">
        <f aca="false">(K44/H44)*100</f>
        <v>0</v>
      </c>
      <c r="M44" s="16" t="n">
        <v>0</v>
      </c>
      <c r="N44" s="19" t="n">
        <f aca="false">(M44/H44)*100</f>
        <v>0</v>
      </c>
      <c r="O44" s="16" t="n">
        <v>0</v>
      </c>
      <c r="P44" s="16" t="n">
        <v>0</v>
      </c>
      <c r="Q44" s="88"/>
      <c r="R44" s="87"/>
      <c r="S44" s="16"/>
      <c r="T44" s="16"/>
      <c r="U44" s="16"/>
      <c r="V44" s="16"/>
      <c r="W44" s="16"/>
      <c r="X44" s="16"/>
      <c r="Y44" s="16"/>
      <c r="Z44" s="16"/>
      <c r="AA44" s="88"/>
      <c r="AB44" s="88"/>
      <c r="AC44" s="16"/>
      <c r="AD44" s="16"/>
      <c r="AE44" s="16"/>
      <c r="AF44" s="16"/>
    </row>
    <row r="45" customFormat="false" ht="15.75" hidden="false" customHeight="false" outlineLevel="0" collapsed="false">
      <c r="A45" s="16" t="s">
        <v>42</v>
      </c>
      <c r="B45" s="16" t="s">
        <v>1716</v>
      </c>
      <c r="C45" s="71" t="s">
        <v>1799</v>
      </c>
      <c r="D45" s="16" t="s">
        <v>1806</v>
      </c>
      <c r="E45" s="16" t="s">
        <v>1807</v>
      </c>
      <c r="F45" s="16" t="n">
        <v>404.79</v>
      </c>
      <c r="G45" s="16" t="n">
        <v>88</v>
      </c>
      <c r="H45" s="16" t="n">
        <v>524</v>
      </c>
      <c r="I45" s="16" t="n">
        <v>273</v>
      </c>
      <c r="J45" s="16" t="n">
        <v>251</v>
      </c>
      <c r="K45" s="16" t="n">
        <v>0</v>
      </c>
      <c r="L45" s="19" t="n">
        <f aca="false">(K45/H45)*100</f>
        <v>0</v>
      </c>
      <c r="M45" s="16" t="n">
        <v>0</v>
      </c>
      <c r="N45" s="19" t="n">
        <f aca="false">(M45/H45)*100</f>
        <v>0</v>
      </c>
      <c r="O45" s="16" t="n">
        <v>15.3</v>
      </c>
      <c r="P45" s="16" t="n">
        <v>0</v>
      </c>
      <c r="Q45" s="88"/>
      <c r="R45" s="87"/>
      <c r="S45" s="16"/>
      <c r="T45" s="16"/>
      <c r="U45" s="16"/>
      <c r="V45" s="16"/>
      <c r="W45" s="16"/>
      <c r="X45" s="16"/>
      <c r="Y45" s="16"/>
      <c r="Z45" s="16"/>
      <c r="AA45" s="88"/>
      <c r="AB45" s="88"/>
      <c r="AC45" s="16"/>
      <c r="AD45" s="16"/>
      <c r="AE45" s="16"/>
      <c r="AF45" s="16"/>
    </row>
    <row r="46" customFormat="false" ht="15.75" hidden="false" customHeight="false" outlineLevel="0" collapsed="false">
      <c r="A46" s="16" t="s">
        <v>42</v>
      </c>
      <c r="B46" s="16" t="s">
        <v>1716</v>
      </c>
      <c r="C46" s="71" t="s">
        <v>1799</v>
      </c>
      <c r="D46" s="16" t="s">
        <v>1808</v>
      </c>
      <c r="E46" s="16" t="s">
        <v>1809</v>
      </c>
      <c r="F46" s="16" t="n">
        <v>654.94</v>
      </c>
      <c r="G46" s="16" t="n">
        <v>170</v>
      </c>
      <c r="H46" s="16" t="n">
        <v>1019</v>
      </c>
      <c r="I46" s="16" t="n">
        <v>531</v>
      </c>
      <c r="J46" s="16" t="n">
        <v>488</v>
      </c>
      <c r="K46" s="16" t="n">
        <v>0</v>
      </c>
      <c r="L46" s="19" t="n">
        <f aca="false">(K46/H46)*100</f>
        <v>0</v>
      </c>
      <c r="M46" s="16" t="n">
        <v>0</v>
      </c>
      <c r="N46" s="19" t="n">
        <f aca="false">(M46/H46)*100</f>
        <v>0</v>
      </c>
      <c r="O46" s="16" t="n">
        <v>16.7</v>
      </c>
      <c r="P46" s="16" t="n">
        <v>0</v>
      </c>
      <c r="Q46" s="88"/>
      <c r="R46" s="87"/>
      <c r="S46" s="16"/>
      <c r="T46" s="16"/>
      <c r="U46" s="16"/>
      <c r="V46" s="16"/>
      <c r="W46" s="16"/>
      <c r="X46" s="16"/>
      <c r="Y46" s="16"/>
      <c r="Z46" s="16"/>
      <c r="AA46" s="88"/>
      <c r="AB46" s="88"/>
      <c r="AC46" s="16"/>
      <c r="AD46" s="16"/>
      <c r="AE46" s="16"/>
      <c r="AF46" s="16"/>
    </row>
    <row r="47" customFormat="false" ht="15.75" hidden="false" customHeight="false" outlineLevel="0" collapsed="false">
      <c r="A47" s="16" t="s">
        <v>42</v>
      </c>
      <c r="B47" s="16" t="s">
        <v>1716</v>
      </c>
      <c r="C47" s="71" t="s">
        <v>1810</v>
      </c>
      <c r="D47" s="72" t="s">
        <v>1810</v>
      </c>
      <c r="E47" s="16" t="s">
        <v>1811</v>
      </c>
      <c r="F47" s="16" t="n">
        <v>1271</v>
      </c>
      <c r="G47" s="16" t="n">
        <v>246</v>
      </c>
      <c r="H47" s="16" t="n">
        <v>1784</v>
      </c>
      <c r="I47" s="16" t="n">
        <v>926</v>
      </c>
      <c r="J47" s="16" t="n">
        <v>858</v>
      </c>
      <c r="K47" s="16" t="n">
        <v>65</v>
      </c>
      <c r="L47" s="19" t="n">
        <f aca="false">(K47/H47)*100</f>
        <v>3.64349775784753</v>
      </c>
      <c r="M47" s="16" t="n">
        <v>204</v>
      </c>
      <c r="N47" s="19" t="n">
        <f aca="false">(M47/H47)*100</f>
        <v>11.4349775784753</v>
      </c>
      <c r="O47" s="16" t="n">
        <v>14</v>
      </c>
      <c r="P47" s="16" t="n">
        <v>0</v>
      </c>
      <c r="Q47" s="88"/>
      <c r="R47" s="87"/>
      <c r="S47" s="16"/>
      <c r="T47" s="16"/>
      <c r="U47" s="16"/>
      <c r="V47" s="16"/>
      <c r="W47" s="16"/>
      <c r="X47" s="16"/>
      <c r="Y47" s="16"/>
      <c r="Z47" s="16"/>
      <c r="AA47" s="88"/>
      <c r="AB47" s="88"/>
      <c r="AC47" s="16"/>
      <c r="AD47" s="16"/>
      <c r="AE47" s="16"/>
      <c r="AF47" s="16"/>
    </row>
    <row r="48" customFormat="false" ht="15.75" hidden="false" customHeight="false" outlineLevel="0" collapsed="false">
      <c r="A48" s="16" t="s">
        <v>42</v>
      </c>
      <c r="B48" s="16" t="s">
        <v>1716</v>
      </c>
      <c r="C48" s="71" t="s">
        <v>1810</v>
      </c>
      <c r="D48" s="16" t="s">
        <v>1812</v>
      </c>
      <c r="E48" s="16" t="s">
        <v>1813</v>
      </c>
      <c r="F48" s="16" t="n">
        <v>711</v>
      </c>
      <c r="G48" s="16" t="n">
        <v>159</v>
      </c>
      <c r="H48" s="16" t="n">
        <v>848</v>
      </c>
      <c r="I48" s="16" t="n">
        <v>440</v>
      </c>
      <c r="J48" s="16" t="n">
        <v>408</v>
      </c>
      <c r="K48" s="16" t="n">
        <v>121</v>
      </c>
      <c r="L48" s="19" t="n">
        <f aca="false">(K48/H48)*100</f>
        <v>14.2688679245283</v>
      </c>
      <c r="M48" s="16" t="n">
        <v>0</v>
      </c>
      <c r="N48" s="19" t="n">
        <f aca="false">(M48/H48)*100</f>
        <v>0</v>
      </c>
      <c r="O48" s="16" t="n">
        <v>121</v>
      </c>
      <c r="P48" s="16" t="n">
        <v>0</v>
      </c>
      <c r="Q48" s="88"/>
      <c r="R48" s="87"/>
      <c r="S48" s="16"/>
      <c r="T48" s="16"/>
      <c r="U48" s="16"/>
      <c r="V48" s="16"/>
      <c r="W48" s="16"/>
      <c r="X48" s="16"/>
      <c r="Y48" s="16"/>
      <c r="Z48" s="16"/>
      <c r="AA48" s="88"/>
      <c r="AB48" s="88"/>
      <c r="AC48" s="16"/>
      <c r="AD48" s="16"/>
      <c r="AE48" s="16"/>
      <c r="AF48" s="16"/>
    </row>
    <row r="49" customFormat="false" ht="15.75" hidden="false" customHeight="false" outlineLevel="0" collapsed="false">
      <c r="A49" s="16" t="s">
        <v>42</v>
      </c>
      <c r="B49" s="16" t="s">
        <v>1716</v>
      </c>
      <c r="C49" s="71" t="s">
        <v>1139</v>
      </c>
      <c r="D49" s="72" t="s">
        <v>1139</v>
      </c>
      <c r="E49" s="16" t="s">
        <v>1814</v>
      </c>
      <c r="F49" s="16" t="n">
        <v>1124</v>
      </c>
      <c r="G49" s="16" t="n">
        <v>213</v>
      </c>
      <c r="H49" s="16" t="n">
        <v>1322</v>
      </c>
      <c r="I49" s="16" t="n">
        <v>678</v>
      </c>
      <c r="J49" s="16" t="n">
        <v>644</v>
      </c>
      <c r="K49" s="16" t="n">
        <v>329</v>
      </c>
      <c r="L49" s="19" t="n">
        <f aca="false">(K49/H49)*100</f>
        <v>24.8865355521936</v>
      </c>
      <c r="M49" s="16" t="n">
        <v>29</v>
      </c>
      <c r="N49" s="19" t="n">
        <f aca="false">(M49/H49)*100</f>
        <v>2.19364599092284</v>
      </c>
      <c r="O49" s="16" t="n">
        <v>0</v>
      </c>
      <c r="P49" s="16" t="n">
        <v>0</v>
      </c>
      <c r="Q49" s="89" t="s">
        <v>49</v>
      </c>
      <c r="R49" s="34" t="n">
        <v>44879</v>
      </c>
      <c r="S49" s="16"/>
      <c r="T49" s="20" t="n">
        <v>1.036</v>
      </c>
      <c r="U49" s="16"/>
      <c r="V49" s="16"/>
      <c r="W49" s="16"/>
      <c r="X49" s="16"/>
      <c r="Y49" s="16"/>
      <c r="Z49" s="16"/>
      <c r="AA49" s="119" t="s">
        <v>266</v>
      </c>
      <c r="AB49" s="89" t="n">
        <v>0</v>
      </c>
      <c r="AC49" s="36" t="n">
        <v>0</v>
      </c>
      <c r="AD49" s="89"/>
      <c r="AE49" s="89"/>
      <c r="AF49" s="16"/>
    </row>
    <row r="50" customFormat="false" ht="15.75" hidden="false" customHeight="false" outlineLevel="0" collapsed="false">
      <c r="A50" s="16" t="s">
        <v>42</v>
      </c>
      <c r="B50" s="16" t="s">
        <v>1716</v>
      </c>
      <c r="C50" s="71" t="s">
        <v>1139</v>
      </c>
      <c r="D50" s="16" t="s">
        <v>1815</v>
      </c>
      <c r="E50" s="16" t="s">
        <v>1816</v>
      </c>
      <c r="F50" s="16" t="n">
        <v>476.08</v>
      </c>
      <c r="G50" s="16" t="n">
        <v>73</v>
      </c>
      <c r="H50" s="16" t="n">
        <v>370</v>
      </c>
      <c r="I50" s="16" t="n">
        <v>210</v>
      </c>
      <c r="J50" s="16" t="n">
        <v>160</v>
      </c>
      <c r="K50" s="16" t="n">
        <v>0</v>
      </c>
      <c r="L50" s="19" t="n">
        <f aca="false">(K50/H50)*100</f>
        <v>0</v>
      </c>
      <c r="M50" s="16" t="n">
        <v>0</v>
      </c>
      <c r="N50" s="19" t="n">
        <f aca="false">(M50/H50)*100</f>
        <v>0</v>
      </c>
      <c r="O50" s="16" t="n">
        <v>0</v>
      </c>
      <c r="P50" s="16" t="n">
        <v>0</v>
      </c>
      <c r="Q50" s="89" t="s">
        <v>49</v>
      </c>
      <c r="R50" s="34" t="n">
        <v>44879</v>
      </c>
      <c r="S50" s="16"/>
      <c r="T50" s="20" t="n">
        <v>8.7007</v>
      </c>
      <c r="U50" s="16"/>
      <c r="V50" s="16"/>
      <c r="W50" s="16"/>
      <c r="X50" s="16"/>
      <c r="Y50" s="16"/>
      <c r="Z50" s="16"/>
      <c r="AA50" s="119" t="s">
        <v>266</v>
      </c>
      <c r="AB50" s="89" t="n">
        <v>5</v>
      </c>
      <c r="AC50" s="254" t="s">
        <v>1817</v>
      </c>
      <c r="AD50" s="89" t="n">
        <v>26.76</v>
      </c>
      <c r="AE50" s="89" t="n">
        <v>72.15</v>
      </c>
      <c r="AF50" s="16"/>
    </row>
    <row r="51" customFormat="false" ht="15.75" hidden="false" customHeight="false" outlineLevel="0" collapsed="false">
      <c r="A51" s="16" t="s">
        <v>42</v>
      </c>
      <c r="B51" s="16" t="s">
        <v>1716</v>
      </c>
      <c r="C51" s="71" t="s">
        <v>1139</v>
      </c>
      <c r="D51" s="16" t="s">
        <v>1818</v>
      </c>
      <c r="E51" s="16" t="s">
        <v>1819</v>
      </c>
      <c r="F51" s="16" t="n">
        <v>1001</v>
      </c>
      <c r="G51" s="16" t="n">
        <v>158</v>
      </c>
      <c r="H51" s="16" t="n">
        <v>916</v>
      </c>
      <c r="I51" s="16" t="n">
        <v>488</v>
      </c>
      <c r="J51" s="16" t="n">
        <v>428</v>
      </c>
      <c r="K51" s="16" t="n">
        <v>51</v>
      </c>
      <c r="L51" s="19" t="n">
        <f aca="false">(K51/H51)*100</f>
        <v>5.56768558951965</v>
      </c>
      <c r="M51" s="16" t="n">
        <v>0</v>
      </c>
      <c r="N51" s="19" t="n">
        <f aca="false">(M51/H51)*100</f>
        <v>0</v>
      </c>
      <c r="O51" s="16" t="n">
        <v>1</v>
      </c>
      <c r="P51" s="16" t="n">
        <v>0</v>
      </c>
      <c r="Q51" s="89" t="s">
        <v>49</v>
      </c>
      <c r="R51" s="34" t="n">
        <v>44879</v>
      </c>
      <c r="S51" s="16"/>
      <c r="T51" s="20"/>
      <c r="U51" s="16"/>
      <c r="V51" s="16"/>
      <c r="W51" s="16"/>
      <c r="X51" s="16"/>
      <c r="Y51" s="16"/>
      <c r="Z51" s="16"/>
      <c r="AA51" s="119" t="s">
        <v>266</v>
      </c>
      <c r="AB51" s="89" t="n">
        <v>14</v>
      </c>
      <c r="AC51" s="254" t="s">
        <v>1820</v>
      </c>
      <c r="AD51" s="89" t="n">
        <v>26.76</v>
      </c>
      <c r="AE51" s="89" t="n">
        <v>72.15</v>
      </c>
      <c r="AF51" s="16"/>
    </row>
    <row r="52" customFormat="false" ht="15.75" hidden="false" customHeight="false" outlineLevel="0" collapsed="false">
      <c r="A52" s="16" t="s">
        <v>42</v>
      </c>
      <c r="B52" s="16" t="s">
        <v>1716</v>
      </c>
      <c r="C52" s="71" t="s">
        <v>1821</v>
      </c>
      <c r="D52" s="72" t="s">
        <v>1822</v>
      </c>
      <c r="E52" s="16" t="s">
        <v>1823</v>
      </c>
      <c r="F52" s="16" t="n">
        <v>3935</v>
      </c>
      <c r="G52" s="16" t="n">
        <v>401</v>
      </c>
      <c r="H52" s="16" t="n">
        <v>2680</v>
      </c>
      <c r="I52" s="16" t="n">
        <v>1412</v>
      </c>
      <c r="J52" s="16" t="n">
        <v>1268</v>
      </c>
      <c r="K52" s="16" t="n">
        <v>290</v>
      </c>
      <c r="L52" s="19" t="n">
        <f aca="false">(K52/H52)*100</f>
        <v>10.8208955223881</v>
      </c>
      <c r="M52" s="16" t="n">
        <v>153</v>
      </c>
      <c r="N52" s="19" t="n">
        <f aca="false">(M52/H52)*100</f>
        <v>5.7089552238806</v>
      </c>
      <c r="O52" s="16" t="n">
        <v>517</v>
      </c>
      <c r="P52" s="16" t="n">
        <v>0</v>
      </c>
      <c r="Q52" s="286" t="s">
        <v>49</v>
      </c>
      <c r="R52" s="46" t="n">
        <v>45847</v>
      </c>
      <c r="S52" s="16"/>
      <c r="T52" s="45"/>
      <c r="U52" s="16"/>
      <c r="V52" s="16"/>
      <c r="W52" s="16"/>
      <c r="X52" s="16"/>
      <c r="Y52" s="16"/>
      <c r="Z52" s="16"/>
      <c r="AA52" s="119" t="s">
        <v>50</v>
      </c>
      <c r="AB52" s="119" t="n">
        <v>10</v>
      </c>
      <c r="AC52" s="287" t="s">
        <v>1824</v>
      </c>
      <c r="AD52" s="45" t="n">
        <v>26.811616</v>
      </c>
      <c r="AE52" s="45" t="n">
        <v>72.290165</v>
      </c>
      <c r="AF52" s="16" t="s">
        <v>52</v>
      </c>
    </row>
    <row r="53" customFormat="false" ht="17.25" hidden="false" customHeight="false" outlineLevel="0" collapsed="false">
      <c r="A53" s="16"/>
      <c r="B53" s="16"/>
      <c r="C53" s="71"/>
      <c r="D53" s="72"/>
      <c r="E53" s="16"/>
      <c r="F53" s="16"/>
      <c r="G53" s="16"/>
      <c r="H53" s="16"/>
      <c r="I53" s="16"/>
      <c r="J53" s="16"/>
      <c r="K53" s="16"/>
      <c r="L53" s="19" t="e">
        <f aca="false">(K53/H53)*100</f>
        <v>#DIV/0!</v>
      </c>
      <c r="M53" s="16"/>
      <c r="N53" s="19" t="e">
        <f aca="false">(M53/H53)*100</f>
        <v>#DIV/0!</v>
      </c>
      <c r="O53" s="16"/>
      <c r="P53" s="16"/>
      <c r="Q53" s="288"/>
      <c r="R53" s="122"/>
      <c r="S53" s="16"/>
      <c r="T53" s="123"/>
      <c r="U53" s="16"/>
      <c r="V53" s="16"/>
      <c r="W53" s="16"/>
      <c r="X53" s="16"/>
      <c r="Y53" s="16"/>
      <c r="Z53" s="16"/>
      <c r="AA53" s="125" t="s">
        <v>50</v>
      </c>
      <c r="AB53" s="125" t="n">
        <v>15</v>
      </c>
      <c r="AC53" s="126" t="s">
        <v>1825</v>
      </c>
      <c r="AD53" s="123" t="n">
        <v>26.824399</v>
      </c>
      <c r="AE53" s="123" t="n">
        <v>72.304407</v>
      </c>
      <c r="AF53" s="16" t="s">
        <v>52</v>
      </c>
    </row>
    <row r="54" customFormat="false" ht="15.75" hidden="false" customHeight="false" outlineLevel="0" collapsed="false">
      <c r="A54" s="16" t="s">
        <v>42</v>
      </c>
      <c r="B54" s="16" t="s">
        <v>1716</v>
      </c>
      <c r="C54" s="71" t="s">
        <v>1821</v>
      </c>
      <c r="D54" s="16" t="s">
        <v>1826</v>
      </c>
      <c r="E54" s="16" t="s">
        <v>1827</v>
      </c>
      <c r="F54" s="16" t="n">
        <v>1149</v>
      </c>
      <c r="G54" s="16" t="n">
        <v>118</v>
      </c>
      <c r="H54" s="16" t="n">
        <v>667</v>
      </c>
      <c r="I54" s="16" t="n">
        <v>367</v>
      </c>
      <c r="J54" s="16" t="n">
        <v>300</v>
      </c>
      <c r="K54" s="16" t="n">
        <v>111</v>
      </c>
      <c r="L54" s="19" t="n">
        <f aca="false">(K54/H54)*100</f>
        <v>16.6416791604198</v>
      </c>
      <c r="M54" s="16" t="n">
        <v>0</v>
      </c>
      <c r="N54" s="19" t="n">
        <f aca="false">(M54/H54)*100</f>
        <v>0</v>
      </c>
      <c r="O54" s="16" t="n">
        <v>10</v>
      </c>
      <c r="P54" s="16" t="n">
        <v>0</v>
      </c>
      <c r="Q54" s="286" t="s">
        <v>49</v>
      </c>
      <c r="R54" s="46" t="n">
        <v>45847</v>
      </c>
      <c r="S54" s="16"/>
      <c r="T54" s="45"/>
      <c r="U54" s="16"/>
      <c r="V54" s="16"/>
      <c r="W54" s="16"/>
      <c r="X54" s="16"/>
      <c r="Y54" s="16"/>
      <c r="Z54" s="16"/>
      <c r="AA54" s="119" t="s">
        <v>50</v>
      </c>
      <c r="AB54" s="119" t="n">
        <v>0</v>
      </c>
      <c r="AC54" s="128"/>
      <c r="AD54" s="45" t="n">
        <v>0</v>
      </c>
      <c r="AE54" s="45" t="n">
        <v>0</v>
      </c>
      <c r="AF54" s="16" t="s">
        <v>52</v>
      </c>
    </row>
    <row r="55" customFormat="false" ht="34.5" hidden="false" customHeight="false" outlineLevel="0" collapsed="false">
      <c r="A55" s="16" t="s">
        <v>42</v>
      </c>
      <c r="B55" s="16" t="s">
        <v>1716</v>
      </c>
      <c r="C55" s="71" t="s">
        <v>1821</v>
      </c>
      <c r="D55" s="16" t="s">
        <v>1828</v>
      </c>
      <c r="E55" s="16" t="s">
        <v>1829</v>
      </c>
      <c r="F55" s="16" t="n">
        <v>710</v>
      </c>
      <c r="G55" s="16" t="n">
        <v>202</v>
      </c>
      <c r="H55" s="16" t="n">
        <v>1251</v>
      </c>
      <c r="I55" s="16" t="n">
        <v>669</v>
      </c>
      <c r="J55" s="16" t="n">
        <v>582</v>
      </c>
      <c r="K55" s="16" t="n">
        <v>707</v>
      </c>
      <c r="L55" s="19" t="n">
        <f aca="false">(K55/H55)*100</f>
        <v>56.5147881694644</v>
      </c>
      <c r="M55" s="16" t="n">
        <v>0</v>
      </c>
      <c r="N55" s="19" t="n">
        <f aca="false">(M55/H55)*100</f>
        <v>0</v>
      </c>
      <c r="O55" s="16" t="n">
        <v>37</v>
      </c>
      <c r="P55" s="16" t="n">
        <v>0</v>
      </c>
      <c r="Q55" s="286" t="s">
        <v>49</v>
      </c>
      <c r="R55" s="46" t="n">
        <v>45847</v>
      </c>
      <c r="S55" s="16"/>
      <c r="T55" s="45"/>
      <c r="U55" s="16"/>
      <c r="V55" s="16"/>
      <c r="W55" s="16"/>
      <c r="X55" s="16"/>
      <c r="Y55" s="16"/>
      <c r="Z55" s="16"/>
      <c r="AA55" s="119" t="s">
        <v>50</v>
      </c>
      <c r="AB55" s="119" t="n">
        <v>5</v>
      </c>
      <c r="AC55" s="127" t="s">
        <v>1830</v>
      </c>
      <c r="AD55" s="45" t="n">
        <v>26.802714</v>
      </c>
      <c r="AE55" s="45" t="n">
        <v>72.332619</v>
      </c>
      <c r="AF55" s="16"/>
    </row>
    <row r="56" customFormat="false" ht="15.75" hidden="false" customHeight="false" outlineLevel="0" collapsed="false">
      <c r="A56" s="16" t="s">
        <v>42</v>
      </c>
      <c r="B56" s="16" t="s">
        <v>1716</v>
      </c>
      <c r="C56" s="71" t="s">
        <v>434</v>
      </c>
      <c r="D56" s="72" t="s">
        <v>437</v>
      </c>
      <c r="E56" s="16" t="s">
        <v>1831</v>
      </c>
      <c r="F56" s="16" t="n">
        <v>638</v>
      </c>
      <c r="G56" s="16" t="n">
        <v>139</v>
      </c>
      <c r="H56" s="16" t="n">
        <v>789</v>
      </c>
      <c r="I56" s="16" t="n">
        <v>405</v>
      </c>
      <c r="J56" s="16" t="n">
        <v>384</v>
      </c>
      <c r="K56" s="16" t="n">
        <v>168</v>
      </c>
      <c r="L56" s="19" t="n">
        <f aca="false">(K56/H56)*100</f>
        <v>21.2927756653992</v>
      </c>
      <c r="M56" s="16" t="n">
        <v>0</v>
      </c>
      <c r="N56" s="19" t="n">
        <f aca="false">(M56/H56)*100</f>
        <v>0</v>
      </c>
      <c r="O56" s="16" t="n">
        <v>0</v>
      </c>
      <c r="P56" s="16" t="n">
        <v>0</v>
      </c>
      <c r="Q56" s="89" t="s">
        <v>49</v>
      </c>
      <c r="R56" s="34" t="n">
        <v>45132</v>
      </c>
      <c r="S56" s="16"/>
      <c r="T56" s="20" t="n">
        <v>0</v>
      </c>
      <c r="U56" s="16"/>
      <c r="V56" s="16"/>
      <c r="W56" s="16"/>
      <c r="X56" s="16"/>
      <c r="Y56" s="16"/>
      <c r="Z56" s="16"/>
      <c r="AA56" s="119" t="s">
        <v>266</v>
      </c>
      <c r="AB56" s="89" t="n">
        <v>0</v>
      </c>
      <c r="AC56" s="36" t="n">
        <v>0</v>
      </c>
      <c r="AD56" s="89" t="n">
        <v>0</v>
      </c>
      <c r="AE56" s="89" t="n">
        <v>0</v>
      </c>
      <c r="AF56" s="16"/>
    </row>
    <row r="57" customFormat="false" ht="15.75" hidden="false" customHeight="false" outlineLevel="0" collapsed="false">
      <c r="A57" s="16" t="s">
        <v>42</v>
      </c>
      <c r="B57" s="16" t="s">
        <v>1716</v>
      </c>
      <c r="C57" s="71" t="s">
        <v>434</v>
      </c>
      <c r="D57" s="16" t="s">
        <v>524</v>
      </c>
      <c r="E57" s="16" t="s">
        <v>1832</v>
      </c>
      <c r="F57" s="16" t="n">
        <v>239</v>
      </c>
      <c r="G57" s="16" t="n">
        <v>52</v>
      </c>
      <c r="H57" s="16" t="n">
        <v>315</v>
      </c>
      <c r="I57" s="16" t="n">
        <v>167</v>
      </c>
      <c r="J57" s="16" t="n">
        <v>148</v>
      </c>
      <c r="K57" s="16" t="n">
        <v>45</v>
      </c>
      <c r="L57" s="19" t="n">
        <f aca="false">(K57/H57)*100</f>
        <v>14.2857142857143</v>
      </c>
      <c r="M57" s="16" t="n">
        <v>0</v>
      </c>
      <c r="N57" s="19" t="n">
        <f aca="false">(M57/H57)*100</f>
        <v>0</v>
      </c>
      <c r="O57" s="16" t="n">
        <v>0</v>
      </c>
      <c r="P57" s="16" t="n">
        <v>0</v>
      </c>
      <c r="Q57" s="89" t="s">
        <v>49</v>
      </c>
      <c r="R57" s="34" t="n">
        <v>45132</v>
      </c>
      <c r="S57" s="16"/>
      <c r="T57" s="20" t="n">
        <v>0</v>
      </c>
      <c r="U57" s="16"/>
      <c r="V57" s="16"/>
      <c r="W57" s="16"/>
      <c r="X57" s="16"/>
      <c r="Y57" s="16"/>
      <c r="Z57" s="16"/>
      <c r="AA57" s="119" t="s">
        <v>266</v>
      </c>
      <c r="AB57" s="89" t="n">
        <v>0</v>
      </c>
      <c r="AC57" s="36" t="n">
        <v>0</v>
      </c>
      <c r="AD57" s="89" t="n">
        <v>0</v>
      </c>
      <c r="AE57" s="89" t="n">
        <v>0</v>
      </c>
      <c r="AF57" s="16"/>
    </row>
    <row r="58" customFormat="false" ht="15.75" hidden="false" customHeight="false" outlineLevel="0" collapsed="false">
      <c r="A58" s="16" t="s">
        <v>42</v>
      </c>
      <c r="B58" s="16" t="s">
        <v>1716</v>
      </c>
      <c r="C58" s="71" t="s">
        <v>434</v>
      </c>
      <c r="D58" s="16" t="s">
        <v>1833</v>
      </c>
      <c r="E58" s="16" t="s">
        <v>1834</v>
      </c>
      <c r="F58" s="16" t="n">
        <v>483</v>
      </c>
      <c r="G58" s="16" t="n">
        <v>61</v>
      </c>
      <c r="H58" s="16" t="n">
        <v>309</v>
      </c>
      <c r="I58" s="16" t="n">
        <v>165</v>
      </c>
      <c r="J58" s="16" t="n">
        <v>144</v>
      </c>
      <c r="K58" s="16" t="n">
        <v>154</v>
      </c>
      <c r="L58" s="19" t="n">
        <f aca="false">(K58/H58)*100</f>
        <v>49.8381877022654</v>
      </c>
      <c r="M58" s="16" t="n">
        <v>0</v>
      </c>
      <c r="N58" s="19" t="n">
        <f aca="false">(M58/H58)*100</f>
        <v>0</v>
      </c>
      <c r="O58" s="16" t="n">
        <v>0</v>
      </c>
      <c r="P58" s="16" t="n">
        <v>0</v>
      </c>
      <c r="Q58" s="89" t="s">
        <v>49</v>
      </c>
      <c r="R58" s="34" t="n">
        <v>45132</v>
      </c>
      <c r="S58" s="16"/>
      <c r="T58" s="20" t="n">
        <v>0</v>
      </c>
      <c r="U58" s="16"/>
      <c r="V58" s="16"/>
      <c r="W58" s="16"/>
      <c r="X58" s="16"/>
      <c r="Y58" s="16"/>
      <c r="Z58" s="16"/>
      <c r="AA58" s="119" t="s">
        <v>266</v>
      </c>
      <c r="AB58" s="89" t="n">
        <v>0</v>
      </c>
      <c r="AC58" s="36" t="n">
        <v>0</v>
      </c>
      <c r="AD58" s="89" t="n">
        <v>0</v>
      </c>
      <c r="AE58" s="89" t="n">
        <v>0</v>
      </c>
      <c r="AF58" s="16"/>
    </row>
    <row r="59" customFormat="false" ht="15.75" hidden="false" customHeight="false" outlineLevel="0" collapsed="false">
      <c r="A59" s="16" t="s">
        <v>42</v>
      </c>
      <c r="B59" s="16" t="s">
        <v>1716</v>
      </c>
      <c r="C59" s="71" t="s">
        <v>434</v>
      </c>
      <c r="D59" s="16" t="s">
        <v>1835</v>
      </c>
      <c r="E59" s="16" t="s">
        <v>1836</v>
      </c>
      <c r="F59" s="16" t="n">
        <v>470</v>
      </c>
      <c r="G59" s="16" t="n">
        <v>66</v>
      </c>
      <c r="H59" s="16" t="n">
        <v>400</v>
      </c>
      <c r="I59" s="16" t="n">
        <v>220</v>
      </c>
      <c r="J59" s="16" t="n">
        <v>180</v>
      </c>
      <c r="K59" s="16" t="n">
        <v>40</v>
      </c>
      <c r="L59" s="19" t="n">
        <f aca="false">(K59/H59)*100</f>
        <v>10</v>
      </c>
      <c r="M59" s="16" t="n">
        <v>26</v>
      </c>
      <c r="N59" s="19" t="n">
        <f aca="false">(M59/H59)*100</f>
        <v>6.5</v>
      </c>
      <c r="O59" s="16" t="n">
        <v>2</v>
      </c>
      <c r="P59" s="16" t="n">
        <v>0</v>
      </c>
      <c r="Q59" s="89" t="s">
        <v>49</v>
      </c>
      <c r="R59" s="34" t="n">
        <v>45132</v>
      </c>
      <c r="S59" s="16"/>
      <c r="T59" s="20" t="n">
        <v>0</v>
      </c>
      <c r="U59" s="16"/>
      <c r="V59" s="16"/>
      <c r="W59" s="16"/>
      <c r="X59" s="16"/>
      <c r="Y59" s="16"/>
      <c r="Z59" s="16"/>
      <c r="AA59" s="119" t="s">
        <v>266</v>
      </c>
      <c r="AB59" s="89" t="n">
        <v>0</v>
      </c>
      <c r="AC59" s="36" t="n">
        <v>0</v>
      </c>
      <c r="AD59" s="89" t="n">
        <v>0</v>
      </c>
      <c r="AE59" s="89" t="n">
        <v>0</v>
      </c>
      <c r="AF59" s="16"/>
    </row>
    <row r="60" customFormat="false" ht="15.75" hidden="false" customHeight="false" outlineLevel="0" collapsed="false">
      <c r="A60" s="16" t="s">
        <v>42</v>
      </c>
      <c r="B60" s="16" t="s">
        <v>1716</v>
      </c>
      <c r="C60" s="71" t="s">
        <v>434</v>
      </c>
      <c r="D60" s="16" t="s">
        <v>1837</v>
      </c>
      <c r="E60" s="16" t="s">
        <v>1838</v>
      </c>
      <c r="F60" s="16" t="n">
        <v>408</v>
      </c>
      <c r="G60" s="16" t="n">
        <v>25</v>
      </c>
      <c r="H60" s="16" t="n">
        <v>163</v>
      </c>
      <c r="I60" s="16" t="n">
        <v>76</v>
      </c>
      <c r="J60" s="16" t="n">
        <v>87</v>
      </c>
      <c r="K60" s="16" t="n">
        <v>53</v>
      </c>
      <c r="L60" s="19" t="n">
        <f aca="false">(K60/H60)*100</f>
        <v>32.5153374233129</v>
      </c>
      <c r="M60" s="16" t="n">
        <v>0</v>
      </c>
      <c r="N60" s="19" t="n">
        <f aca="false">(M60/H60)*100</f>
        <v>0</v>
      </c>
      <c r="O60" s="16" t="n">
        <v>0</v>
      </c>
      <c r="P60" s="16" t="n">
        <v>0</v>
      </c>
      <c r="Q60" s="89" t="s">
        <v>49</v>
      </c>
      <c r="R60" s="34" t="n">
        <v>45132</v>
      </c>
      <c r="S60" s="16"/>
      <c r="T60" s="20" t="n">
        <v>0</v>
      </c>
      <c r="U60" s="16"/>
      <c r="V60" s="16"/>
      <c r="W60" s="16"/>
      <c r="X60" s="16"/>
      <c r="Y60" s="16"/>
      <c r="Z60" s="16"/>
      <c r="AA60" s="119" t="s">
        <v>266</v>
      </c>
      <c r="AB60" s="89" t="n">
        <v>0</v>
      </c>
      <c r="AC60" s="36" t="n">
        <v>0</v>
      </c>
      <c r="AD60" s="89" t="n">
        <v>0</v>
      </c>
      <c r="AE60" s="89" t="n">
        <v>0</v>
      </c>
      <c r="AF60" s="16"/>
    </row>
    <row r="61" customFormat="false" ht="15.75" hidden="false" customHeight="false" outlineLevel="0" collapsed="false">
      <c r="A61" s="16" t="s">
        <v>42</v>
      </c>
      <c r="B61" s="16" t="s">
        <v>1716</v>
      </c>
      <c r="C61" s="71" t="s">
        <v>1839</v>
      </c>
      <c r="D61" s="72" t="s">
        <v>1840</v>
      </c>
      <c r="E61" s="16" t="s">
        <v>1841</v>
      </c>
      <c r="F61" s="16" t="n">
        <v>1546</v>
      </c>
      <c r="G61" s="16" t="n">
        <v>273</v>
      </c>
      <c r="H61" s="16" t="n">
        <v>1498</v>
      </c>
      <c r="I61" s="16" t="n">
        <v>772</v>
      </c>
      <c r="J61" s="16" t="n">
        <v>726</v>
      </c>
      <c r="K61" s="16" t="n">
        <v>344</v>
      </c>
      <c r="L61" s="19" t="n">
        <f aca="false">(K61/H61)*100</f>
        <v>22.9639519359146</v>
      </c>
      <c r="M61" s="16" t="n">
        <v>0</v>
      </c>
      <c r="N61" s="19" t="n">
        <f aca="false">(M61/H61)*100</f>
        <v>0</v>
      </c>
      <c r="O61" s="16" t="n">
        <v>57</v>
      </c>
      <c r="P61" s="16" t="n">
        <v>0</v>
      </c>
      <c r="Q61" s="89" t="s">
        <v>49</v>
      </c>
      <c r="R61" s="34" t="n">
        <v>44916</v>
      </c>
      <c r="S61" s="16"/>
      <c r="T61" s="20" t="n">
        <v>48.3276</v>
      </c>
      <c r="U61" s="16"/>
      <c r="V61" s="16"/>
      <c r="W61" s="16"/>
      <c r="X61" s="16"/>
      <c r="Y61" s="16"/>
      <c r="Z61" s="16"/>
      <c r="AA61" s="119" t="s">
        <v>266</v>
      </c>
      <c r="AB61" s="56" t="n">
        <v>10</v>
      </c>
      <c r="AC61" s="254" t="s">
        <v>1842</v>
      </c>
      <c r="AD61" s="20"/>
      <c r="AE61" s="20"/>
      <c r="AF61" s="16"/>
    </row>
    <row r="62" customFormat="false" ht="15.75" hidden="false" customHeight="false" outlineLevel="0" collapsed="false">
      <c r="A62" s="16"/>
      <c r="B62" s="16"/>
      <c r="C62" s="71"/>
      <c r="D62" s="72"/>
      <c r="E62" s="16"/>
      <c r="F62" s="16"/>
      <c r="G62" s="16"/>
      <c r="H62" s="16"/>
      <c r="I62" s="16"/>
      <c r="J62" s="16"/>
      <c r="K62" s="16"/>
      <c r="L62" s="19" t="e">
        <f aca="false">(K62/H62)*100</f>
        <v>#DIV/0!</v>
      </c>
      <c r="M62" s="16"/>
      <c r="N62" s="19" t="e">
        <f aca="false">(M62/H62)*100</f>
        <v>#DIV/0!</v>
      </c>
      <c r="O62" s="16"/>
      <c r="P62" s="16"/>
      <c r="Q62" s="93" t="s">
        <v>49</v>
      </c>
      <c r="R62" s="97"/>
      <c r="S62" s="16"/>
      <c r="T62" s="228"/>
      <c r="U62" s="16"/>
      <c r="V62" s="16"/>
      <c r="W62" s="16"/>
      <c r="X62" s="16"/>
      <c r="Y62" s="16"/>
      <c r="Z62" s="16"/>
      <c r="AA62" s="232" t="s">
        <v>266</v>
      </c>
      <c r="AB62" s="232" t="n">
        <v>10</v>
      </c>
      <c r="AC62" s="255" t="s">
        <v>1843</v>
      </c>
      <c r="AD62" s="228"/>
      <c r="AE62" s="228"/>
      <c r="AF62" s="16"/>
    </row>
    <row r="63" customFormat="false" ht="15.75" hidden="false" customHeight="false" outlineLevel="0" collapsed="false">
      <c r="A63" s="16" t="s">
        <v>42</v>
      </c>
      <c r="B63" s="16" t="s">
        <v>1716</v>
      </c>
      <c r="C63" s="71" t="s">
        <v>1839</v>
      </c>
      <c r="D63" s="16" t="s">
        <v>1655</v>
      </c>
      <c r="E63" s="16" t="s">
        <v>1844</v>
      </c>
      <c r="F63" s="16" t="n">
        <v>250</v>
      </c>
      <c r="G63" s="16" t="n">
        <v>54</v>
      </c>
      <c r="H63" s="16" t="n">
        <v>329</v>
      </c>
      <c r="I63" s="16" t="n">
        <v>171</v>
      </c>
      <c r="J63" s="16" t="n">
        <v>158</v>
      </c>
      <c r="K63" s="16" t="n">
        <v>19</v>
      </c>
      <c r="L63" s="19" t="n">
        <f aca="false">(K63/H63)*100</f>
        <v>5.77507598784195</v>
      </c>
      <c r="M63" s="16" t="n">
        <v>0</v>
      </c>
      <c r="N63" s="19" t="n">
        <f aca="false">(M63/H63)*100</f>
        <v>0</v>
      </c>
      <c r="O63" s="16" t="n">
        <v>18</v>
      </c>
      <c r="P63" s="16" t="n">
        <v>0</v>
      </c>
      <c r="Q63" s="89" t="s">
        <v>49</v>
      </c>
      <c r="R63" s="34" t="n">
        <v>44916</v>
      </c>
      <c r="S63" s="16"/>
      <c r="T63" s="20" t="n">
        <v>17.7738</v>
      </c>
      <c r="U63" s="16"/>
      <c r="V63" s="16"/>
      <c r="W63" s="16"/>
      <c r="X63" s="16"/>
      <c r="Y63" s="16"/>
      <c r="Z63" s="16"/>
      <c r="AA63" s="119" t="s">
        <v>266</v>
      </c>
      <c r="AB63" s="56" t="n">
        <v>10</v>
      </c>
      <c r="AC63" s="254" t="s">
        <v>1845</v>
      </c>
      <c r="AD63" s="20"/>
      <c r="AE63" s="20"/>
      <c r="AF63" s="16"/>
    </row>
    <row r="64" customFormat="false" ht="15.75" hidden="false" customHeight="false" outlineLevel="0" collapsed="false">
      <c r="A64" s="16" t="s">
        <v>42</v>
      </c>
      <c r="B64" s="16" t="s">
        <v>1716</v>
      </c>
      <c r="C64" s="71" t="s">
        <v>1839</v>
      </c>
      <c r="D64" s="16" t="s">
        <v>109</v>
      </c>
      <c r="E64" s="16" t="s">
        <v>1846</v>
      </c>
      <c r="F64" s="16" t="n">
        <v>377</v>
      </c>
      <c r="G64" s="16" t="n">
        <v>187</v>
      </c>
      <c r="H64" s="16" t="n">
        <v>1104</v>
      </c>
      <c r="I64" s="16" t="n">
        <v>592</v>
      </c>
      <c r="J64" s="16" t="n">
        <v>512</v>
      </c>
      <c r="K64" s="16" t="n">
        <v>271</v>
      </c>
      <c r="L64" s="19" t="n">
        <f aca="false">(K64/H64)*100</f>
        <v>24.5471014492754</v>
      </c>
      <c r="M64" s="16" t="n">
        <v>171</v>
      </c>
      <c r="N64" s="19" t="n">
        <f aca="false">(M64/H64)*100</f>
        <v>15.4891304347826</v>
      </c>
      <c r="O64" s="16" t="n">
        <v>0</v>
      </c>
      <c r="P64" s="16" t="n">
        <v>0</v>
      </c>
      <c r="Q64" s="89" t="s">
        <v>49</v>
      </c>
      <c r="R64" s="34" t="n">
        <v>44916</v>
      </c>
      <c r="S64" s="16"/>
      <c r="T64" s="20" t="n">
        <v>0</v>
      </c>
      <c r="U64" s="16"/>
      <c r="V64" s="16"/>
      <c r="W64" s="16"/>
      <c r="X64" s="16"/>
      <c r="Y64" s="16"/>
      <c r="Z64" s="16"/>
      <c r="AA64" s="119" t="n">
        <v>0</v>
      </c>
      <c r="AB64" s="119" t="n">
        <v>0</v>
      </c>
      <c r="AC64" s="36" t="n">
        <v>0</v>
      </c>
      <c r="AD64" s="20" t="n">
        <v>0</v>
      </c>
      <c r="AE64" s="20" t="n">
        <v>0</v>
      </c>
      <c r="AF64" s="16"/>
    </row>
    <row r="65" customFormat="false" ht="15.75" hidden="false" customHeight="false" outlineLevel="0" collapsed="false">
      <c r="A65" s="16" t="s">
        <v>42</v>
      </c>
      <c r="B65" s="16" t="s">
        <v>1716</v>
      </c>
      <c r="C65" s="71" t="s">
        <v>1847</v>
      </c>
      <c r="D65" s="72" t="s">
        <v>1848</v>
      </c>
      <c r="E65" s="16" t="s">
        <v>1849</v>
      </c>
      <c r="F65" s="16" t="n">
        <v>386</v>
      </c>
      <c r="G65" s="16" t="n">
        <v>135</v>
      </c>
      <c r="H65" s="16" t="n">
        <v>862</v>
      </c>
      <c r="I65" s="16" t="n">
        <v>461</v>
      </c>
      <c r="J65" s="16" t="n">
        <v>401</v>
      </c>
      <c r="K65" s="16" t="n">
        <v>149</v>
      </c>
      <c r="L65" s="19" t="n">
        <f aca="false">(K65/H65)*100</f>
        <v>17.2853828306265</v>
      </c>
      <c r="M65" s="16" t="n">
        <v>22</v>
      </c>
      <c r="N65" s="19" t="n">
        <f aca="false">(M65/H65)*100</f>
        <v>2.55220417633411</v>
      </c>
      <c r="O65" s="16" t="n">
        <v>132</v>
      </c>
      <c r="P65" s="16" t="n">
        <v>0</v>
      </c>
      <c r="Q65" s="88"/>
      <c r="R65" s="87"/>
      <c r="S65" s="16"/>
      <c r="T65" s="16"/>
      <c r="U65" s="16"/>
      <c r="V65" s="16"/>
      <c r="W65" s="16"/>
      <c r="X65" s="16"/>
      <c r="Y65" s="16"/>
      <c r="Z65" s="16"/>
      <c r="AA65" s="88"/>
      <c r="AB65" s="88"/>
      <c r="AC65" s="16"/>
      <c r="AD65" s="16"/>
      <c r="AE65" s="16"/>
      <c r="AF65" s="16"/>
    </row>
    <row r="66" customFormat="false" ht="15.75" hidden="false" customHeight="false" outlineLevel="0" collapsed="false">
      <c r="A66" s="16" t="s">
        <v>42</v>
      </c>
      <c r="B66" s="16" t="s">
        <v>1716</v>
      </c>
      <c r="C66" s="71" t="s">
        <v>1847</v>
      </c>
      <c r="D66" s="16" t="s">
        <v>1253</v>
      </c>
      <c r="E66" s="16" t="s">
        <v>1850</v>
      </c>
      <c r="F66" s="16" t="n">
        <v>933</v>
      </c>
      <c r="G66" s="16" t="n">
        <v>77</v>
      </c>
      <c r="H66" s="16" t="n">
        <v>467</v>
      </c>
      <c r="I66" s="16" t="n">
        <v>239</v>
      </c>
      <c r="J66" s="16" t="n">
        <v>228</v>
      </c>
      <c r="K66" s="16" t="n">
        <v>14</v>
      </c>
      <c r="L66" s="19" t="n">
        <f aca="false">(K66/H66)*100</f>
        <v>2.99785867237687</v>
      </c>
      <c r="M66" s="16" t="n">
        <v>0</v>
      </c>
      <c r="N66" s="19" t="n">
        <f aca="false">(M66/H66)*100</f>
        <v>0</v>
      </c>
      <c r="O66" s="16" t="n">
        <v>25</v>
      </c>
      <c r="P66" s="16" t="n">
        <v>0</v>
      </c>
      <c r="Q66" s="88"/>
      <c r="R66" s="87"/>
      <c r="S66" s="16"/>
      <c r="T66" s="16"/>
      <c r="U66" s="16"/>
      <c r="V66" s="16"/>
      <c r="W66" s="16"/>
      <c r="X66" s="16"/>
      <c r="Y66" s="16"/>
      <c r="Z66" s="16"/>
      <c r="AA66" s="88"/>
      <c r="AB66" s="88"/>
      <c r="AC66" s="16"/>
      <c r="AD66" s="16"/>
      <c r="AE66" s="16"/>
      <c r="AF66" s="16"/>
    </row>
    <row r="67" customFormat="false" ht="15.75" hidden="false" customHeight="false" outlineLevel="0" collapsed="false">
      <c r="A67" s="16" t="s">
        <v>42</v>
      </c>
      <c r="B67" s="16" t="s">
        <v>1716</v>
      </c>
      <c r="C67" s="71" t="s">
        <v>1847</v>
      </c>
      <c r="D67" s="16" t="s">
        <v>1680</v>
      </c>
      <c r="E67" s="16" t="s">
        <v>1851</v>
      </c>
      <c r="F67" s="16" t="n">
        <v>2438</v>
      </c>
      <c r="G67" s="16" t="n">
        <v>275</v>
      </c>
      <c r="H67" s="16" t="n">
        <v>1633</v>
      </c>
      <c r="I67" s="16" t="n">
        <v>865</v>
      </c>
      <c r="J67" s="16" t="n">
        <v>768</v>
      </c>
      <c r="K67" s="16" t="n">
        <v>1079</v>
      </c>
      <c r="L67" s="19" t="n">
        <f aca="false">(K67/H67)*100</f>
        <v>66.0747091243111</v>
      </c>
      <c r="M67" s="16" t="n">
        <v>0</v>
      </c>
      <c r="N67" s="19" t="n">
        <f aca="false">(M67/H67)*100</f>
        <v>0</v>
      </c>
      <c r="O67" s="16" t="n">
        <v>41</v>
      </c>
      <c r="P67" s="16" t="n">
        <v>0</v>
      </c>
      <c r="Q67" s="88"/>
      <c r="R67" s="87"/>
      <c r="S67" s="16"/>
      <c r="T67" s="16"/>
      <c r="U67" s="16"/>
      <c r="V67" s="16"/>
      <c r="W67" s="16"/>
      <c r="X67" s="16"/>
      <c r="Y67" s="16"/>
      <c r="Z67" s="16"/>
      <c r="AA67" s="88"/>
      <c r="AB67" s="88"/>
      <c r="AC67" s="16"/>
      <c r="AD67" s="16"/>
      <c r="AE67" s="16"/>
      <c r="AF67" s="16"/>
    </row>
    <row r="68" customFormat="false" ht="15.75" hidden="false" customHeight="false" outlineLevel="0" collapsed="false">
      <c r="A68" s="16" t="s">
        <v>42</v>
      </c>
      <c r="B68" s="16" t="s">
        <v>1716</v>
      </c>
      <c r="C68" s="71" t="s">
        <v>1847</v>
      </c>
      <c r="D68" s="16" t="s">
        <v>1852</v>
      </c>
      <c r="E68" s="16" t="s">
        <v>1853</v>
      </c>
      <c r="F68" s="16" t="n">
        <v>1002</v>
      </c>
      <c r="G68" s="16" t="n">
        <v>106</v>
      </c>
      <c r="H68" s="16" t="n">
        <v>687</v>
      </c>
      <c r="I68" s="16" t="n">
        <v>375</v>
      </c>
      <c r="J68" s="16" t="n">
        <v>312</v>
      </c>
      <c r="K68" s="16" t="n">
        <v>43</v>
      </c>
      <c r="L68" s="19" t="n">
        <f aca="false">(K68/H68)*100</f>
        <v>6.25909752547307</v>
      </c>
      <c r="M68" s="16" t="n">
        <v>0</v>
      </c>
      <c r="N68" s="19" t="n">
        <f aca="false">(M68/H68)*100</f>
        <v>0</v>
      </c>
      <c r="O68" s="16" t="n">
        <v>0</v>
      </c>
      <c r="P68" s="16" t="n">
        <v>0</v>
      </c>
      <c r="Q68" s="88"/>
      <c r="R68" s="87"/>
      <c r="S68" s="16"/>
      <c r="T68" s="16"/>
      <c r="U68" s="16"/>
      <c r="V68" s="16"/>
      <c r="W68" s="16"/>
      <c r="X68" s="16"/>
      <c r="Y68" s="16"/>
      <c r="Z68" s="16"/>
      <c r="AA68" s="88"/>
      <c r="AB68" s="88"/>
      <c r="AC68" s="16"/>
      <c r="AD68" s="16"/>
      <c r="AE68" s="16"/>
      <c r="AF68" s="16"/>
    </row>
    <row r="69" customFormat="false" ht="15.75" hidden="false" customHeight="false" outlineLevel="0" collapsed="false">
      <c r="A69" s="16" t="s">
        <v>42</v>
      </c>
      <c r="B69" s="16" t="s">
        <v>1716</v>
      </c>
      <c r="C69" s="71" t="s">
        <v>1854</v>
      </c>
      <c r="D69" s="72" t="s">
        <v>1855</v>
      </c>
      <c r="E69" s="16" t="s">
        <v>1856</v>
      </c>
      <c r="F69" s="16" t="n">
        <v>619</v>
      </c>
      <c r="G69" s="16" t="n">
        <v>115</v>
      </c>
      <c r="H69" s="16" t="n">
        <v>722</v>
      </c>
      <c r="I69" s="16" t="n">
        <v>392</v>
      </c>
      <c r="J69" s="16" t="n">
        <v>330</v>
      </c>
      <c r="K69" s="16" t="n">
        <v>215</v>
      </c>
      <c r="L69" s="19" t="n">
        <f aca="false">(K69/H69)*100</f>
        <v>29.7783933518006</v>
      </c>
      <c r="M69" s="16" t="n">
        <v>66</v>
      </c>
      <c r="N69" s="19" t="n">
        <f aca="false">(M69/H69)*100</f>
        <v>9.14127423822715</v>
      </c>
      <c r="O69" s="16" t="n">
        <v>75</v>
      </c>
      <c r="P69" s="16" t="n">
        <v>0</v>
      </c>
      <c r="Q69" s="88"/>
      <c r="R69" s="87"/>
      <c r="S69" s="16"/>
      <c r="T69" s="16"/>
      <c r="U69" s="16"/>
      <c r="V69" s="16"/>
      <c r="W69" s="16"/>
      <c r="X69" s="16"/>
      <c r="Y69" s="16"/>
      <c r="Z69" s="16"/>
      <c r="AA69" s="88"/>
      <c r="AB69" s="88"/>
      <c r="AC69" s="16"/>
      <c r="AD69" s="16"/>
      <c r="AE69" s="16"/>
      <c r="AF69" s="16"/>
    </row>
    <row r="70" customFormat="false" ht="15.75" hidden="false" customHeight="false" outlineLevel="0" collapsed="false">
      <c r="A70" s="16" t="s">
        <v>42</v>
      </c>
      <c r="B70" s="16" t="s">
        <v>1716</v>
      </c>
      <c r="C70" s="71" t="s">
        <v>1854</v>
      </c>
      <c r="D70" s="16" t="s">
        <v>1857</v>
      </c>
      <c r="E70" s="16" t="s">
        <v>1858</v>
      </c>
      <c r="F70" s="16" t="n">
        <v>967</v>
      </c>
      <c r="G70" s="16" t="n">
        <v>126</v>
      </c>
      <c r="H70" s="16" t="n">
        <v>783</v>
      </c>
      <c r="I70" s="16" t="n">
        <v>386</v>
      </c>
      <c r="J70" s="16" t="n">
        <v>397</v>
      </c>
      <c r="K70" s="16" t="n">
        <v>89</v>
      </c>
      <c r="L70" s="19" t="n">
        <f aca="false">(K70/H70)*100</f>
        <v>11.3665389527459</v>
      </c>
      <c r="M70" s="16" t="n">
        <v>18</v>
      </c>
      <c r="N70" s="19" t="n">
        <f aca="false">(M70/H70)*100</f>
        <v>2.29885057471264</v>
      </c>
      <c r="O70" s="16" t="n">
        <v>18</v>
      </c>
      <c r="P70" s="16" t="n">
        <v>0</v>
      </c>
      <c r="Q70" s="88"/>
      <c r="R70" s="87"/>
      <c r="S70" s="16"/>
      <c r="T70" s="16"/>
      <c r="U70" s="16"/>
      <c r="V70" s="16"/>
      <c r="W70" s="16"/>
      <c r="X70" s="16"/>
      <c r="Y70" s="16"/>
      <c r="Z70" s="16"/>
      <c r="AA70" s="88"/>
      <c r="AB70" s="88"/>
      <c r="AC70" s="16"/>
      <c r="AD70" s="16"/>
      <c r="AE70" s="16"/>
      <c r="AF70" s="16"/>
    </row>
    <row r="71" customFormat="false" ht="15.75" hidden="false" customHeight="false" outlineLevel="0" collapsed="false">
      <c r="A71" s="16" t="s">
        <v>42</v>
      </c>
      <c r="B71" s="16" t="s">
        <v>1716</v>
      </c>
      <c r="C71" s="71" t="s">
        <v>1854</v>
      </c>
      <c r="D71" s="16" t="s">
        <v>1859</v>
      </c>
      <c r="E71" s="16" t="s">
        <v>1860</v>
      </c>
      <c r="F71" s="16" t="n">
        <v>173.64</v>
      </c>
      <c r="G71" s="16" t="n">
        <v>85</v>
      </c>
      <c r="H71" s="16" t="n">
        <v>536</v>
      </c>
      <c r="I71" s="16" t="n">
        <v>277</v>
      </c>
      <c r="J71" s="16" t="n">
        <v>259</v>
      </c>
      <c r="K71" s="16" t="n">
        <v>121</v>
      </c>
      <c r="L71" s="19" t="n">
        <f aca="false">(K71/H71)*100</f>
        <v>22.5746268656716</v>
      </c>
      <c r="M71" s="16" t="n">
        <v>30</v>
      </c>
      <c r="N71" s="19" t="n">
        <f aca="false">(M71/H71)*100</f>
        <v>5.59701492537313</v>
      </c>
      <c r="O71" s="16" t="n">
        <v>0</v>
      </c>
      <c r="P71" s="16" t="n">
        <v>0</v>
      </c>
      <c r="Q71" s="88"/>
      <c r="R71" s="87"/>
      <c r="S71" s="16"/>
      <c r="T71" s="16"/>
      <c r="U71" s="16"/>
      <c r="V71" s="16"/>
      <c r="W71" s="16"/>
      <c r="X71" s="16"/>
      <c r="Y71" s="16"/>
      <c r="Z71" s="16"/>
      <c r="AA71" s="88"/>
      <c r="AB71" s="88"/>
      <c r="AC71" s="16"/>
      <c r="AD71" s="16"/>
      <c r="AE71" s="16"/>
      <c r="AF71" s="16"/>
    </row>
    <row r="72" customFormat="false" ht="15.75" hidden="false" customHeight="false" outlineLevel="0" collapsed="false">
      <c r="A72" s="16" t="s">
        <v>42</v>
      </c>
      <c r="B72" s="16" t="s">
        <v>1716</v>
      </c>
      <c r="C72" s="71" t="s">
        <v>1854</v>
      </c>
      <c r="D72" s="16" t="s">
        <v>1649</v>
      </c>
      <c r="E72" s="16" t="s">
        <v>1861</v>
      </c>
      <c r="F72" s="16" t="n">
        <v>568.36</v>
      </c>
      <c r="G72" s="16" t="n">
        <v>53</v>
      </c>
      <c r="H72" s="16" t="n">
        <v>298</v>
      </c>
      <c r="I72" s="16" t="n">
        <v>163</v>
      </c>
      <c r="J72" s="16" t="n">
        <v>135</v>
      </c>
      <c r="K72" s="16" t="n">
        <v>0</v>
      </c>
      <c r="L72" s="19" t="n">
        <f aca="false">(K72/H72)*100</f>
        <v>0</v>
      </c>
      <c r="M72" s="16" t="n">
        <v>0</v>
      </c>
      <c r="N72" s="19" t="n">
        <f aca="false">(M72/H72)*100</f>
        <v>0</v>
      </c>
      <c r="O72" s="16" t="n">
        <v>41</v>
      </c>
      <c r="P72" s="16" t="n">
        <v>0</v>
      </c>
      <c r="Q72" s="88"/>
      <c r="R72" s="87"/>
      <c r="S72" s="16"/>
      <c r="T72" s="16"/>
      <c r="U72" s="16"/>
      <c r="V72" s="16"/>
      <c r="W72" s="16"/>
      <c r="X72" s="16"/>
      <c r="Y72" s="16"/>
      <c r="Z72" s="16"/>
      <c r="AA72" s="88"/>
      <c r="AB72" s="88"/>
      <c r="AC72" s="16"/>
      <c r="AD72" s="16"/>
      <c r="AE72" s="16"/>
      <c r="AF72" s="16"/>
    </row>
    <row r="73" customFormat="false" ht="15.75" hidden="false" customHeight="false" outlineLevel="0" collapsed="false">
      <c r="A73" s="16" t="s">
        <v>42</v>
      </c>
      <c r="B73" s="16" t="s">
        <v>1716</v>
      </c>
      <c r="C73" s="71" t="s">
        <v>1862</v>
      </c>
      <c r="D73" s="72" t="s">
        <v>1863</v>
      </c>
      <c r="E73" s="16" t="s">
        <v>1864</v>
      </c>
      <c r="F73" s="16" t="n">
        <v>1389</v>
      </c>
      <c r="G73" s="16" t="n">
        <v>115</v>
      </c>
      <c r="H73" s="16" t="n">
        <v>695</v>
      </c>
      <c r="I73" s="16" t="n">
        <v>349</v>
      </c>
      <c r="J73" s="16" t="n">
        <v>346</v>
      </c>
      <c r="K73" s="16" t="n">
        <v>8</v>
      </c>
      <c r="L73" s="19" t="n">
        <f aca="false">(K73/H73)*100</f>
        <v>1.15107913669065</v>
      </c>
      <c r="M73" s="16" t="n">
        <v>0</v>
      </c>
      <c r="N73" s="19" t="n">
        <f aca="false">(M73/H73)*100</f>
        <v>0</v>
      </c>
      <c r="O73" s="16" t="n">
        <v>248</v>
      </c>
      <c r="P73" s="16" t="n">
        <v>0</v>
      </c>
      <c r="Q73" s="88"/>
      <c r="R73" s="87"/>
      <c r="S73" s="16"/>
      <c r="T73" s="16"/>
      <c r="U73" s="16"/>
      <c r="V73" s="16"/>
      <c r="W73" s="16"/>
      <c r="X73" s="16"/>
      <c r="Y73" s="16"/>
      <c r="Z73" s="16"/>
      <c r="AA73" s="88"/>
      <c r="AB73" s="88"/>
      <c r="AC73" s="16"/>
      <c r="AD73" s="16"/>
      <c r="AE73" s="16"/>
      <c r="AF73" s="16"/>
    </row>
    <row r="74" customFormat="false" ht="15.75" hidden="false" customHeight="false" outlineLevel="0" collapsed="false">
      <c r="A74" s="16" t="s">
        <v>42</v>
      </c>
      <c r="B74" s="16" t="s">
        <v>1716</v>
      </c>
      <c r="C74" s="71" t="s">
        <v>1862</v>
      </c>
      <c r="D74" s="16" t="s">
        <v>1865</v>
      </c>
      <c r="E74" s="16" t="s">
        <v>1866</v>
      </c>
      <c r="F74" s="16" t="n">
        <v>1872</v>
      </c>
      <c r="G74" s="16" t="n">
        <v>152</v>
      </c>
      <c r="H74" s="16" t="n">
        <v>992</v>
      </c>
      <c r="I74" s="16" t="n">
        <v>525</v>
      </c>
      <c r="J74" s="16" t="n">
        <v>467</v>
      </c>
      <c r="K74" s="16" t="n">
        <v>121</v>
      </c>
      <c r="L74" s="19" t="n">
        <f aca="false">(K74/H74)*100</f>
        <v>12.1975806451613</v>
      </c>
      <c r="M74" s="16" t="n">
        <v>134</v>
      </c>
      <c r="N74" s="19" t="n">
        <f aca="false">(M74/H74)*100</f>
        <v>13.508064516129</v>
      </c>
      <c r="O74" s="16" t="n">
        <v>17</v>
      </c>
      <c r="P74" s="16" t="n">
        <v>0</v>
      </c>
      <c r="Q74" s="88"/>
      <c r="R74" s="87"/>
      <c r="S74" s="16"/>
      <c r="T74" s="16"/>
      <c r="U74" s="16"/>
      <c r="V74" s="16"/>
      <c r="W74" s="16"/>
      <c r="X74" s="16"/>
      <c r="Y74" s="16"/>
      <c r="Z74" s="16"/>
      <c r="AA74" s="88"/>
      <c r="AB74" s="88"/>
      <c r="AC74" s="16"/>
      <c r="AD74" s="16"/>
      <c r="AE74" s="16"/>
      <c r="AF74" s="16"/>
    </row>
    <row r="75" customFormat="false" ht="15.75" hidden="false" customHeight="false" outlineLevel="0" collapsed="false">
      <c r="A75" s="16" t="s">
        <v>42</v>
      </c>
      <c r="B75" s="16" t="s">
        <v>1716</v>
      </c>
      <c r="C75" s="71" t="s">
        <v>1862</v>
      </c>
      <c r="D75" s="16" t="s">
        <v>1867</v>
      </c>
      <c r="E75" s="16" t="s">
        <v>1868</v>
      </c>
      <c r="F75" s="16" t="n">
        <v>3725</v>
      </c>
      <c r="G75" s="16" t="n">
        <v>160</v>
      </c>
      <c r="H75" s="16" t="n">
        <v>962</v>
      </c>
      <c r="I75" s="16" t="n">
        <v>492</v>
      </c>
      <c r="J75" s="16" t="n">
        <v>470</v>
      </c>
      <c r="K75" s="16" t="n">
        <v>223</v>
      </c>
      <c r="L75" s="19" t="n">
        <f aca="false">(K75/H75)*100</f>
        <v>23.1808731808732</v>
      </c>
      <c r="M75" s="16" t="n">
        <v>52</v>
      </c>
      <c r="N75" s="19" t="n">
        <f aca="false">(M75/H75)*100</f>
        <v>5.40540540540541</v>
      </c>
      <c r="O75" s="16" t="n">
        <v>0</v>
      </c>
      <c r="P75" s="16" t="n">
        <v>0</v>
      </c>
      <c r="Q75" s="88"/>
      <c r="R75" s="87"/>
      <c r="S75" s="16"/>
      <c r="T75" s="16"/>
      <c r="U75" s="16"/>
      <c r="V75" s="16"/>
      <c r="W75" s="16"/>
      <c r="X75" s="16"/>
      <c r="Y75" s="16"/>
      <c r="Z75" s="16"/>
      <c r="AA75" s="88"/>
      <c r="AB75" s="88"/>
      <c r="AC75" s="16"/>
      <c r="AD75" s="16"/>
      <c r="AE75" s="16"/>
      <c r="AF75" s="16"/>
    </row>
    <row r="76" customFormat="false" ht="15.75" hidden="false" customHeight="false" outlineLevel="0" collapsed="false">
      <c r="A76" s="16" t="s">
        <v>42</v>
      </c>
      <c r="B76" s="16" t="s">
        <v>1716</v>
      </c>
      <c r="C76" s="71" t="s">
        <v>1869</v>
      </c>
      <c r="D76" s="72" t="s">
        <v>1869</v>
      </c>
      <c r="E76" s="16" t="s">
        <v>1870</v>
      </c>
      <c r="F76" s="16" t="n">
        <v>1301</v>
      </c>
      <c r="G76" s="16" t="n">
        <v>171</v>
      </c>
      <c r="H76" s="16" t="n">
        <v>966</v>
      </c>
      <c r="I76" s="16" t="n">
        <v>493</v>
      </c>
      <c r="J76" s="16" t="n">
        <v>473</v>
      </c>
      <c r="K76" s="16" t="n">
        <v>285</v>
      </c>
      <c r="L76" s="19" t="n">
        <f aca="false">(K76/H76)*100</f>
        <v>29.5031055900621</v>
      </c>
      <c r="M76" s="16" t="n">
        <v>3</v>
      </c>
      <c r="N76" s="19" t="n">
        <f aca="false">(M76/H76)*100</f>
        <v>0.31055900621118</v>
      </c>
      <c r="O76" s="16" t="n">
        <v>4</v>
      </c>
      <c r="P76" s="16" t="n">
        <v>0</v>
      </c>
      <c r="Q76" s="89" t="s">
        <v>49</v>
      </c>
      <c r="R76" s="34" t="n">
        <v>44916</v>
      </c>
      <c r="S76" s="16"/>
      <c r="T76" s="20" t="n">
        <v>4.0469</v>
      </c>
      <c r="U76" s="16"/>
      <c r="V76" s="16"/>
      <c r="W76" s="16"/>
      <c r="X76" s="16"/>
      <c r="Y76" s="16"/>
      <c r="Z76" s="16"/>
      <c r="AA76" s="119" t="s">
        <v>266</v>
      </c>
      <c r="AB76" s="56" t="n">
        <v>10</v>
      </c>
      <c r="AC76" s="254" t="s">
        <v>1871</v>
      </c>
      <c r="AD76" s="20"/>
      <c r="AE76" s="20"/>
      <c r="AF76" s="16"/>
    </row>
    <row r="77" customFormat="false" ht="15.75" hidden="false" customHeight="false" outlineLevel="0" collapsed="false">
      <c r="A77" s="16" t="s">
        <v>42</v>
      </c>
      <c r="B77" s="16" t="s">
        <v>1716</v>
      </c>
      <c r="C77" s="71" t="s">
        <v>1869</v>
      </c>
      <c r="D77" s="16" t="s">
        <v>1872</v>
      </c>
      <c r="E77" s="16" t="s">
        <v>1873</v>
      </c>
      <c r="F77" s="16" t="n">
        <v>1273</v>
      </c>
      <c r="G77" s="16" t="n">
        <v>193</v>
      </c>
      <c r="H77" s="16" t="n">
        <v>1162</v>
      </c>
      <c r="I77" s="16" t="n">
        <v>622</v>
      </c>
      <c r="J77" s="16" t="n">
        <v>540</v>
      </c>
      <c r="K77" s="16" t="n">
        <v>34</v>
      </c>
      <c r="L77" s="19" t="n">
        <f aca="false">(K77/H77)*100</f>
        <v>2.92598967297762</v>
      </c>
      <c r="M77" s="16" t="n">
        <v>614</v>
      </c>
      <c r="N77" s="19" t="n">
        <f aca="false">(M77/H77)*100</f>
        <v>52.8399311531842</v>
      </c>
      <c r="O77" s="16" t="n">
        <v>0</v>
      </c>
      <c r="P77" s="16" t="n">
        <v>0</v>
      </c>
      <c r="Q77" s="89" t="s">
        <v>49</v>
      </c>
      <c r="R77" s="34" t="n">
        <v>44916</v>
      </c>
      <c r="S77" s="16"/>
      <c r="T77" s="20"/>
      <c r="U77" s="16"/>
      <c r="V77" s="16"/>
      <c r="W77" s="16"/>
      <c r="X77" s="16"/>
      <c r="Y77" s="16"/>
      <c r="Z77" s="16"/>
      <c r="AA77" s="119" t="s">
        <v>266</v>
      </c>
      <c r="AB77" s="56" t="n">
        <v>5</v>
      </c>
      <c r="AC77" s="254" t="s">
        <v>1874</v>
      </c>
      <c r="AD77" s="20"/>
      <c r="AE77" s="20"/>
      <c r="AF77" s="16"/>
    </row>
    <row r="78" customFormat="false" ht="15.75" hidden="false" customHeight="false" outlineLevel="0" collapsed="false">
      <c r="A78" s="16" t="s">
        <v>42</v>
      </c>
      <c r="B78" s="16" t="s">
        <v>1716</v>
      </c>
      <c r="C78" s="71" t="s">
        <v>1869</v>
      </c>
      <c r="D78" s="16" t="s">
        <v>1875</v>
      </c>
      <c r="E78" s="16" t="s">
        <v>1876</v>
      </c>
      <c r="F78" s="16" t="n">
        <v>633.79</v>
      </c>
      <c r="G78" s="16" t="n">
        <v>54</v>
      </c>
      <c r="H78" s="16" t="n">
        <v>348</v>
      </c>
      <c r="I78" s="16" t="n">
        <v>185</v>
      </c>
      <c r="J78" s="16" t="n">
        <v>163</v>
      </c>
      <c r="K78" s="16" t="n">
        <v>53</v>
      </c>
      <c r="L78" s="19" t="n">
        <f aca="false">(K78/H78)*100</f>
        <v>15.2298850574713</v>
      </c>
      <c r="M78" s="16" t="n">
        <v>0</v>
      </c>
      <c r="N78" s="19" t="n">
        <f aca="false">(M78/H78)*100</f>
        <v>0</v>
      </c>
      <c r="O78" s="16" t="n">
        <v>4.15</v>
      </c>
      <c r="P78" s="16" t="n">
        <v>0</v>
      </c>
      <c r="Q78" s="89" t="s">
        <v>49</v>
      </c>
      <c r="R78" s="34" t="n">
        <v>44916</v>
      </c>
      <c r="S78" s="16"/>
      <c r="T78" s="20"/>
      <c r="U78" s="16"/>
      <c r="V78" s="16"/>
      <c r="W78" s="16"/>
      <c r="X78" s="16"/>
      <c r="Y78" s="16"/>
      <c r="Z78" s="16"/>
      <c r="AA78" s="119" t="n">
        <v>0</v>
      </c>
      <c r="AB78" s="56" t="n">
        <v>0</v>
      </c>
      <c r="AC78" s="36" t="n">
        <v>0</v>
      </c>
      <c r="AD78" s="20"/>
      <c r="AE78" s="20"/>
      <c r="AF78" s="16"/>
    </row>
    <row r="79" customFormat="false" ht="17.25" hidden="false" customHeight="false" outlineLevel="0" collapsed="false">
      <c r="A79" s="16" t="s">
        <v>42</v>
      </c>
      <c r="B79" s="16" t="s">
        <v>1716</v>
      </c>
      <c r="C79" s="71" t="s">
        <v>1877</v>
      </c>
      <c r="D79" s="72" t="s">
        <v>1878</v>
      </c>
      <c r="E79" s="16" t="s">
        <v>1879</v>
      </c>
      <c r="F79" s="16" t="n">
        <v>1166</v>
      </c>
      <c r="G79" s="16" t="n">
        <v>155</v>
      </c>
      <c r="H79" s="16" t="n">
        <v>993</v>
      </c>
      <c r="I79" s="16" t="n">
        <v>524</v>
      </c>
      <c r="J79" s="16" t="n">
        <v>469</v>
      </c>
      <c r="K79" s="16" t="n">
        <v>170</v>
      </c>
      <c r="L79" s="19" t="n">
        <f aca="false">(K79/H79)*100</f>
        <v>17.1198388721047</v>
      </c>
      <c r="M79" s="16" t="n">
        <v>45</v>
      </c>
      <c r="N79" s="19" t="n">
        <f aca="false">(M79/H79)*100</f>
        <v>4.53172205438066</v>
      </c>
      <c r="O79" s="16" t="n">
        <v>74</v>
      </c>
      <c r="P79" s="16" t="n">
        <v>0</v>
      </c>
      <c r="Q79" s="89" t="s">
        <v>49</v>
      </c>
      <c r="R79" s="34" t="n">
        <v>45519</v>
      </c>
      <c r="S79" s="16"/>
      <c r="T79" s="20" t="n">
        <v>53.4724</v>
      </c>
      <c r="U79" s="16"/>
      <c r="V79" s="16"/>
      <c r="W79" s="16"/>
      <c r="X79" s="16"/>
      <c r="Y79" s="16"/>
      <c r="Z79" s="16"/>
      <c r="AA79" s="89" t="s">
        <v>50</v>
      </c>
      <c r="AB79" s="289" t="n">
        <v>12</v>
      </c>
      <c r="AC79" s="35" t="s">
        <v>1880</v>
      </c>
      <c r="AD79" s="20" t="n">
        <v>26.671349</v>
      </c>
      <c r="AE79" s="20" t="n">
        <v>72.322092</v>
      </c>
      <c r="AF79" s="16"/>
    </row>
    <row r="80" customFormat="false" ht="17.25" hidden="false" customHeight="false" outlineLevel="0" collapsed="false">
      <c r="A80" s="16" t="s">
        <v>42</v>
      </c>
      <c r="B80" s="16" t="s">
        <v>1716</v>
      </c>
      <c r="C80" s="71" t="s">
        <v>1877</v>
      </c>
      <c r="D80" s="16" t="s">
        <v>1881</v>
      </c>
      <c r="E80" s="16" t="s">
        <v>1882</v>
      </c>
      <c r="F80" s="16" t="n">
        <v>720</v>
      </c>
      <c r="G80" s="16" t="n">
        <v>78</v>
      </c>
      <c r="H80" s="16" t="n">
        <v>550</v>
      </c>
      <c r="I80" s="16" t="n">
        <v>281</v>
      </c>
      <c r="J80" s="16" t="n">
        <v>269</v>
      </c>
      <c r="K80" s="16" t="n">
        <v>18</v>
      </c>
      <c r="L80" s="19" t="n">
        <f aca="false">(K80/H80)*100</f>
        <v>3.27272727272727</v>
      </c>
      <c r="M80" s="16" t="n">
        <v>0</v>
      </c>
      <c r="N80" s="19" t="n">
        <f aca="false">(M80/H80)*100</f>
        <v>0</v>
      </c>
      <c r="O80" s="16" t="n">
        <v>26</v>
      </c>
      <c r="P80" s="16" t="n">
        <v>0</v>
      </c>
      <c r="Q80" s="89" t="s">
        <v>49</v>
      </c>
      <c r="R80" s="34" t="n">
        <v>45519</v>
      </c>
      <c r="S80" s="16"/>
      <c r="T80" s="20"/>
      <c r="U80" s="16"/>
      <c r="V80" s="16"/>
      <c r="W80" s="16"/>
      <c r="X80" s="16"/>
      <c r="Y80" s="16"/>
      <c r="Z80" s="16"/>
      <c r="AA80" s="89" t="s">
        <v>50</v>
      </c>
      <c r="AB80" s="289" t="n">
        <v>12</v>
      </c>
      <c r="AC80" s="35" t="s">
        <v>1883</v>
      </c>
      <c r="AD80" s="20" t="n">
        <v>26.670787</v>
      </c>
      <c r="AE80" s="20" t="n">
        <v>72.341063</v>
      </c>
      <c r="AF80" s="16"/>
    </row>
    <row r="81" customFormat="false" ht="15.75" hidden="false" customHeight="false" outlineLevel="0" collapsed="false">
      <c r="A81" s="16" t="s">
        <v>42</v>
      </c>
      <c r="B81" s="16" t="s">
        <v>1716</v>
      </c>
      <c r="C81" s="71" t="s">
        <v>1877</v>
      </c>
      <c r="D81" s="16" t="s">
        <v>1884</v>
      </c>
      <c r="E81" s="16" t="s">
        <v>1885</v>
      </c>
      <c r="F81" s="16" t="n">
        <v>335</v>
      </c>
      <c r="G81" s="16" t="n">
        <v>100</v>
      </c>
      <c r="H81" s="16" t="n">
        <v>617</v>
      </c>
      <c r="I81" s="16" t="n">
        <v>336</v>
      </c>
      <c r="J81" s="16" t="n">
        <v>281</v>
      </c>
      <c r="K81" s="16" t="n">
        <v>464</v>
      </c>
      <c r="L81" s="19" t="n">
        <f aca="false">(K81/H81)*100</f>
        <v>75.2025931928687</v>
      </c>
      <c r="M81" s="16" t="n">
        <v>0</v>
      </c>
      <c r="N81" s="19" t="n">
        <f aca="false">(M81/H81)*100</f>
        <v>0</v>
      </c>
      <c r="O81" s="16" t="n">
        <v>4</v>
      </c>
      <c r="P81" s="16" t="n">
        <v>0</v>
      </c>
      <c r="Q81" s="89" t="s">
        <v>49</v>
      </c>
      <c r="R81" s="34" t="n">
        <v>45519</v>
      </c>
      <c r="S81" s="16"/>
      <c r="T81" s="20" t="n">
        <v>3.6745</v>
      </c>
      <c r="U81" s="16"/>
      <c r="V81" s="16"/>
      <c r="W81" s="16"/>
      <c r="X81" s="16"/>
      <c r="Y81" s="16"/>
      <c r="Z81" s="16"/>
      <c r="AA81" s="89" t="s">
        <v>50</v>
      </c>
      <c r="AB81" s="289" t="n">
        <v>0</v>
      </c>
      <c r="AC81" s="20"/>
      <c r="AD81" s="20" t="n">
        <v>0</v>
      </c>
      <c r="AE81" s="20" t="n">
        <v>0</v>
      </c>
      <c r="AF81" s="16"/>
    </row>
    <row r="82" customFormat="false" ht="15.75" hidden="false" customHeight="false" outlineLevel="0" collapsed="false">
      <c r="A82" s="16" t="s">
        <v>42</v>
      </c>
      <c r="B82" s="16" t="s">
        <v>1716</v>
      </c>
      <c r="C82" s="71" t="s">
        <v>1877</v>
      </c>
      <c r="D82" s="16" t="s">
        <v>1886</v>
      </c>
      <c r="E82" s="16" t="s">
        <v>1887</v>
      </c>
      <c r="F82" s="16" t="n">
        <v>253</v>
      </c>
      <c r="G82" s="16" t="n">
        <v>19</v>
      </c>
      <c r="H82" s="16" t="n">
        <v>129</v>
      </c>
      <c r="I82" s="16" t="n">
        <v>71</v>
      </c>
      <c r="J82" s="16" t="n">
        <v>58</v>
      </c>
      <c r="K82" s="16" t="n">
        <v>0</v>
      </c>
      <c r="L82" s="19" t="n">
        <f aca="false">(K82/H82)*100</f>
        <v>0</v>
      </c>
      <c r="M82" s="16" t="n">
        <v>0</v>
      </c>
      <c r="N82" s="19" t="n">
        <f aca="false">(M82/H82)*100</f>
        <v>0</v>
      </c>
      <c r="O82" s="16" t="n">
        <v>0</v>
      </c>
      <c r="P82" s="16" t="n">
        <v>0</v>
      </c>
      <c r="Q82" s="89" t="s">
        <v>49</v>
      </c>
      <c r="R82" s="34" t="n">
        <v>45519</v>
      </c>
      <c r="S82" s="16"/>
      <c r="T82" s="20" t="n">
        <v>0.0486</v>
      </c>
      <c r="U82" s="16"/>
      <c r="V82" s="16"/>
      <c r="W82" s="16"/>
      <c r="X82" s="16"/>
      <c r="Y82" s="16"/>
      <c r="Z82" s="16"/>
      <c r="AA82" s="89" t="s">
        <v>50</v>
      </c>
      <c r="AB82" s="289" t="n">
        <v>0</v>
      </c>
      <c r="AC82" s="20"/>
      <c r="AD82" s="20" t="n">
        <v>0</v>
      </c>
      <c r="AE82" s="20" t="n">
        <v>0</v>
      </c>
      <c r="AF82" s="16"/>
    </row>
    <row r="83" customFormat="false" ht="17.25" hidden="false" customHeight="false" outlineLevel="0" collapsed="false">
      <c r="A83" s="16" t="s">
        <v>42</v>
      </c>
      <c r="B83" s="16" t="s">
        <v>1716</v>
      </c>
      <c r="C83" s="71" t="s">
        <v>1877</v>
      </c>
      <c r="D83" s="16" t="s">
        <v>1888</v>
      </c>
      <c r="E83" s="16" t="s">
        <v>1889</v>
      </c>
      <c r="F83" s="16" t="n">
        <v>650</v>
      </c>
      <c r="G83" s="16" t="n">
        <v>135</v>
      </c>
      <c r="H83" s="16" t="n">
        <v>835</v>
      </c>
      <c r="I83" s="16" t="n">
        <v>436</v>
      </c>
      <c r="J83" s="16" t="n">
        <v>399</v>
      </c>
      <c r="K83" s="16" t="n">
        <v>188</v>
      </c>
      <c r="L83" s="19" t="n">
        <f aca="false">(K83/H83)*100</f>
        <v>22.5149700598802</v>
      </c>
      <c r="M83" s="16" t="n">
        <v>46</v>
      </c>
      <c r="N83" s="19" t="n">
        <f aca="false">(M83/H83)*100</f>
        <v>5.50898203592814</v>
      </c>
      <c r="O83" s="16" t="n">
        <v>39</v>
      </c>
      <c r="P83" s="16" t="n">
        <v>0</v>
      </c>
      <c r="Q83" s="89" t="s">
        <v>49</v>
      </c>
      <c r="R83" s="34" t="n">
        <v>45519</v>
      </c>
      <c r="S83" s="16"/>
      <c r="T83" s="20" t="n">
        <v>32.4071</v>
      </c>
      <c r="U83" s="16"/>
      <c r="V83" s="16"/>
      <c r="W83" s="16"/>
      <c r="X83" s="16"/>
      <c r="Y83" s="16"/>
      <c r="Z83" s="16"/>
      <c r="AA83" s="89" t="s">
        <v>50</v>
      </c>
      <c r="AB83" s="289" t="n">
        <v>15</v>
      </c>
      <c r="AC83" s="35" t="s">
        <v>1890</v>
      </c>
      <c r="AD83" s="20" t="n">
        <v>26.681324</v>
      </c>
      <c r="AE83" s="20" t="n">
        <v>72.322943</v>
      </c>
      <c r="AF83" s="16"/>
    </row>
    <row r="84" customFormat="false" ht="17.25" hidden="false" customHeight="false" outlineLevel="0" collapsed="false">
      <c r="A84" s="16" t="s">
        <v>42</v>
      </c>
      <c r="B84" s="16" t="s">
        <v>1716</v>
      </c>
      <c r="C84" s="71" t="s">
        <v>1877</v>
      </c>
      <c r="D84" s="16" t="s">
        <v>1891</v>
      </c>
      <c r="E84" s="16" t="s">
        <v>1892</v>
      </c>
      <c r="F84" s="16" t="n">
        <v>742</v>
      </c>
      <c r="G84" s="16" t="n">
        <v>127</v>
      </c>
      <c r="H84" s="16" t="n">
        <v>811</v>
      </c>
      <c r="I84" s="16" t="n">
        <v>424</v>
      </c>
      <c r="J84" s="16" t="n">
        <v>387</v>
      </c>
      <c r="K84" s="16" t="n">
        <v>118</v>
      </c>
      <c r="L84" s="19" t="n">
        <f aca="false">(K84/H84)*100</f>
        <v>14.5499383477189</v>
      </c>
      <c r="M84" s="16" t="n">
        <v>4</v>
      </c>
      <c r="N84" s="19" t="n">
        <f aca="false">(M84/H84)*100</f>
        <v>0.493218249075216</v>
      </c>
      <c r="O84" s="16" t="n">
        <v>18</v>
      </c>
      <c r="P84" s="16" t="n">
        <v>0</v>
      </c>
      <c r="Q84" s="89" t="s">
        <v>49</v>
      </c>
      <c r="R84" s="34" t="n">
        <v>45519</v>
      </c>
      <c r="S84" s="16"/>
      <c r="T84" s="20" t="n">
        <v>7.3086</v>
      </c>
      <c r="U84" s="16"/>
      <c r="V84" s="16"/>
      <c r="W84" s="16"/>
      <c r="X84" s="16"/>
      <c r="Y84" s="16"/>
      <c r="Z84" s="16"/>
      <c r="AA84" s="89" t="s">
        <v>50</v>
      </c>
      <c r="AB84" s="289" t="n">
        <v>10</v>
      </c>
      <c r="AC84" s="35" t="s">
        <v>1893</v>
      </c>
      <c r="AD84" s="20" t="n">
        <v>26.699699</v>
      </c>
      <c r="AE84" s="20" t="n">
        <v>72.287987</v>
      </c>
      <c r="AF84" s="16"/>
    </row>
    <row r="85" customFormat="false" ht="15.75" hidden="false" customHeight="false" outlineLevel="0" collapsed="false">
      <c r="A85" s="16" t="s">
        <v>42</v>
      </c>
      <c r="B85" s="16" t="s">
        <v>1716</v>
      </c>
      <c r="C85" s="71" t="s">
        <v>1894</v>
      </c>
      <c r="D85" s="72" t="s">
        <v>1895</v>
      </c>
      <c r="E85" s="16" t="s">
        <v>1896</v>
      </c>
      <c r="F85" s="16" t="n">
        <v>3625</v>
      </c>
      <c r="G85" s="16" t="n">
        <v>343</v>
      </c>
      <c r="H85" s="16" t="n">
        <v>2175</v>
      </c>
      <c r="I85" s="16" t="n">
        <v>1163</v>
      </c>
      <c r="J85" s="16" t="n">
        <v>1012</v>
      </c>
      <c r="K85" s="16" t="n">
        <v>434</v>
      </c>
      <c r="L85" s="19" t="n">
        <f aca="false">(K85/H85)*100</f>
        <v>19.9540229885057</v>
      </c>
      <c r="M85" s="16" t="n">
        <v>559</v>
      </c>
      <c r="N85" s="19" t="n">
        <f aca="false">(M85/H85)*100</f>
        <v>25.7011494252874</v>
      </c>
      <c r="O85" s="16" t="n">
        <v>2020</v>
      </c>
      <c r="P85" s="16" t="n">
        <v>0</v>
      </c>
      <c r="Q85" s="92" t="s">
        <v>49</v>
      </c>
      <c r="R85" s="25" t="n">
        <v>45112</v>
      </c>
      <c r="S85" s="16"/>
      <c r="T85" s="24"/>
      <c r="U85" s="16"/>
      <c r="V85" s="16"/>
      <c r="W85" s="16"/>
      <c r="X85" s="16"/>
      <c r="Y85" s="16"/>
      <c r="Z85" s="16"/>
      <c r="AA85" s="92" t="s">
        <v>50</v>
      </c>
      <c r="AB85" s="92" t="n">
        <v>12</v>
      </c>
      <c r="AC85" s="57" t="s">
        <v>1897</v>
      </c>
      <c r="AD85" s="92" t="n">
        <v>26.98</v>
      </c>
      <c r="AE85" s="92" t="n">
        <v>72.32</v>
      </c>
      <c r="AF85" s="16"/>
    </row>
    <row r="86" customFormat="false" ht="15.75" hidden="false" customHeight="false" outlineLevel="0" collapsed="false">
      <c r="A86" s="16"/>
      <c r="B86" s="16"/>
      <c r="C86" s="71"/>
      <c r="D86" s="72"/>
      <c r="E86" s="16"/>
      <c r="F86" s="16"/>
      <c r="G86" s="16"/>
      <c r="H86" s="16"/>
      <c r="I86" s="16"/>
      <c r="J86" s="16"/>
      <c r="K86" s="16"/>
      <c r="L86" s="19" t="e">
        <f aca="false">(K86/H86)*100</f>
        <v>#DIV/0!</v>
      </c>
      <c r="M86" s="16"/>
      <c r="N86" s="19" t="e">
        <f aca="false">(M86/H86)*100</f>
        <v>#DIV/0!</v>
      </c>
      <c r="O86" s="16"/>
      <c r="P86" s="16"/>
      <c r="Q86" s="93" t="s">
        <v>49</v>
      </c>
      <c r="R86" s="97"/>
      <c r="S86" s="16"/>
      <c r="T86" s="228"/>
      <c r="U86" s="16"/>
      <c r="V86" s="16"/>
      <c r="W86" s="16"/>
      <c r="X86" s="16"/>
      <c r="Y86" s="16"/>
      <c r="Z86" s="16"/>
      <c r="AA86" s="93" t="s">
        <v>50</v>
      </c>
      <c r="AB86" s="93" t="n">
        <v>18</v>
      </c>
      <c r="AC86" s="255" t="s">
        <v>1898</v>
      </c>
      <c r="AD86" s="93" t="n">
        <v>26.92</v>
      </c>
      <c r="AE86" s="93" t="n">
        <v>72.3</v>
      </c>
      <c r="AF86" s="16"/>
    </row>
    <row r="87" customFormat="false" ht="15.75" hidden="false" customHeight="false" outlineLevel="0" collapsed="false">
      <c r="A87" s="16"/>
      <c r="B87" s="16"/>
      <c r="C87" s="71"/>
      <c r="D87" s="72"/>
      <c r="E87" s="16"/>
      <c r="F87" s="16"/>
      <c r="G87" s="16"/>
      <c r="H87" s="16"/>
      <c r="I87" s="16"/>
      <c r="J87" s="16"/>
      <c r="K87" s="16"/>
      <c r="L87" s="19" t="e">
        <f aca="false">(K87/H87)*100</f>
        <v>#DIV/0!</v>
      </c>
      <c r="M87" s="16"/>
      <c r="N87" s="19" t="e">
        <f aca="false">(M87/H87)*100</f>
        <v>#DIV/0!</v>
      </c>
      <c r="O87" s="16"/>
      <c r="P87" s="16"/>
      <c r="Q87" s="93" t="s">
        <v>49</v>
      </c>
      <c r="R87" s="97"/>
      <c r="S87" s="16"/>
      <c r="T87" s="228"/>
      <c r="U87" s="16"/>
      <c r="V87" s="16"/>
      <c r="W87" s="16"/>
      <c r="X87" s="16"/>
      <c r="Y87" s="16"/>
      <c r="Z87" s="16"/>
      <c r="AA87" s="93" t="s">
        <v>50</v>
      </c>
      <c r="AB87" s="93" t="n">
        <v>15</v>
      </c>
      <c r="AC87" s="255" t="s">
        <v>1899</v>
      </c>
      <c r="AD87" s="93" t="n">
        <v>26.94</v>
      </c>
      <c r="AE87" s="93" t="n">
        <v>72.32</v>
      </c>
      <c r="AF87" s="16"/>
    </row>
    <row r="88" customFormat="false" ht="15.75" hidden="false" customHeight="false" outlineLevel="0" collapsed="false">
      <c r="A88" s="16"/>
      <c r="B88" s="16"/>
      <c r="C88" s="71"/>
      <c r="D88" s="72"/>
      <c r="E88" s="16"/>
      <c r="F88" s="16"/>
      <c r="G88" s="16"/>
      <c r="H88" s="16"/>
      <c r="I88" s="16"/>
      <c r="J88" s="16"/>
      <c r="K88" s="16"/>
      <c r="L88" s="19" t="e">
        <f aca="false">(K88/H88)*100</f>
        <v>#DIV/0!</v>
      </c>
      <c r="M88" s="16"/>
      <c r="N88" s="19" t="e">
        <f aca="false">(M88/H88)*100</f>
        <v>#DIV/0!</v>
      </c>
      <c r="O88" s="16"/>
      <c r="P88" s="16"/>
      <c r="Q88" s="93" t="s">
        <v>49</v>
      </c>
      <c r="R88" s="97"/>
      <c r="S88" s="16"/>
      <c r="T88" s="228"/>
      <c r="U88" s="16"/>
      <c r="V88" s="16"/>
      <c r="W88" s="16"/>
      <c r="X88" s="16"/>
      <c r="Y88" s="16"/>
      <c r="Z88" s="16"/>
      <c r="AA88" s="93" t="s">
        <v>50</v>
      </c>
      <c r="AB88" s="93" t="n">
        <v>15</v>
      </c>
      <c r="AC88" s="255" t="s">
        <v>1900</v>
      </c>
      <c r="AD88" s="93" t="n">
        <v>26.94</v>
      </c>
      <c r="AE88" s="93" t="n">
        <v>72.3</v>
      </c>
      <c r="AF88" s="16"/>
    </row>
    <row r="89" customFormat="false" ht="15.75" hidden="false" customHeight="false" outlineLevel="0" collapsed="false">
      <c r="A89" s="16"/>
      <c r="B89" s="16"/>
      <c r="C89" s="71"/>
      <c r="D89" s="72"/>
      <c r="E89" s="16"/>
      <c r="F89" s="16"/>
      <c r="G89" s="16"/>
      <c r="H89" s="16"/>
      <c r="I89" s="16"/>
      <c r="J89" s="16"/>
      <c r="K89" s="16"/>
      <c r="L89" s="19" t="e">
        <f aca="false">(K89/H89)*100</f>
        <v>#DIV/0!</v>
      </c>
      <c r="M89" s="16"/>
      <c r="N89" s="19" t="e">
        <f aca="false">(M89/H89)*100</f>
        <v>#DIV/0!</v>
      </c>
      <c r="O89" s="16"/>
      <c r="P89" s="16"/>
      <c r="Q89" s="93" t="s">
        <v>49</v>
      </c>
      <c r="R89" s="97"/>
      <c r="S89" s="16"/>
      <c r="T89" s="228"/>
      <c r="U89" s="16"/>
      <c r="V89" s="16"/>
      <c r="W89" s="16"/>
      <c r="X89" s="16"/>
      <c r="Y89" s="16"/>
      <c r="Z89" s="16"/>
      <c r="AA89" s="93" t="s">
        <v>50</v>
      </c>
      <c r="AB89" s="93" t="n">
        <v>12</v>
      </c>
      <c r="AC89" s="255" t="s">
        <v>1901</v>
      </c>
      <c r="AD89" s="93" t="n">
        <v>26.93</v>
      </c>
      <c r="AE89" s="93" t="n">
        <v>72.31</v>
      </c>
      <c r="AF89" s="16"/>
    </row>
    <row r="90" customFormat="false" ht="15.75" hidden="false" customHeight="false" outlineLevel="0" collapsed="false">
      <c r="A90" s="16" t="s">
        <v>42</v>
      </c>
      <c r="B90" s="16" t="s">
        <v>1716</v>
      </c>
      <c r="C90" s="71" t="s">
        <v>1894</v>
      </c>
      <c r="D90" s="16" t="s">
        <v>1902</v>
      </c>
      <c r="E90" s="16" t="s">
        <v>1903</v>
      </c>
      <c r="F90" s="16" t="n">
        <v>824</v>
      </c>
      <c r="G90" s="16" t="n">
        <v>194</v>
      </c>
      <c r="H90" s="16" t="n">
        <v>1400</v>
      </c>
      <c r="I90" s="16" t="n">
        <v>737</v>
      </c>
      <c r="J90" s="16" t="n">
        <v>663</v>
      </c>
      <c r="K90" s="16" t="n">
        <v>463</v>
      </c>
      <c r="L90" s="19" t="n">
        <f aca="false">(K90/H90)*100</f>
        <v>33.0714285714286</v>
      </c>
      <c r="M90" s="16" t="n">
        <v>3</v>
      </c>
      <c r="N90" s="19" t="n">
        <f aca="false">(M90/H90)*100</f>
        <v>0.214285714285714</v>
      </c>
      <c r="O90" s="16" t="n">
        <v>0</v>
      </c>
      <c r="P90" s="16" t="n">
        <v>0</v>
      </c>
      <c r="Q90" s="89" t="s">
        <v>49</v>
      </c>
      <c r="R90" s="21"/>
      <c r="S90" s="16"/>
      <c r="T90" s="20"/>
      <c r="U90" s="16"/>
      <c r="V90" s="16"/>
      <c r="W90" s="16"/>
      <c r="X90" s="16"/>
      <c r="Y90" s="16"/>
      <c r="Z90" s="16"/>
      <c r="AA90" s="89" t="s">
        <v>50</v>
      </c>
      <c r="AB90" s="89" t="n">
        <v>0</v>
      </c>
      <c r="AC90" s="36" t="n">
        <v>0</v>
      </c>
      <c r="AD90" s="89" t="n">
        <v>0</v>
      </c>
      <c r="AE90" s="89" t="n">
        <v>0</v>
      </c>
      <c r="AF90" s="16"/>
    </row>
    <row r="91" customFormat="false" ht="15.75" hidden="false" customHeight="false" outlineLevel="0" collapsed="false">
      <c r="A91" s="16" t="s">
        <v>42</v>
      </c>
      <c r="B91" s="16" t="s">
        <v>1716</v>
      </c>
      <c r="C91" s="71" t="s">
        <v>1894</v>
      </c>
      <c r="D91" s="16" t="s">
        <v>1904</v>
      </c>
      <c r="E91" s="16" t="s">
        <v>1905</v>
      </c>
      <c r="F91" s="16" t="n">
        <v>2023</v>
      </c>
      <c r="G91" s="16" t="n">
        <v>148</v>
      </c>
      <c r="H91" s="16" t="n">
        <v>915</v>
      </c>
      <c r="I91" s="16" t="n">
        <v>497</v>
      </c>
      <c r="J91" s="16" t="n">
        <v>418</v>
      </c>
      <c r="K91" s="16" t="n">
        <v>124</v>
      </c>
      <c r="L91" s="19" t="n">
        <f aca="false">(K91/H91)*100</f>
        <v>13.551912568306</v>
      </c>
      <c r="M91" s="16" t="n">
        <v>84</v>
      </c>
      <c r="N91" s="19" t="n">
        <f aca="false">(M91/H91)*100</f>
        <v>9.18032786885246</v>
      </c>
      <c r="O91" s="16" t="n">
        <v>608</v>
      </c>
      <c r="P91" s="16" t="n">
        <v>0</v>
      </c>
      <c r="Q91" s="89" t="s">
        <v>49</v>
      </c>
      <c r="R91" s="21"/>
      <c r="S91" s="16"/>
      <c r="T91" s="20"/>
      <c r="U91" s="16"/>
      <c r="V91" s="16"/>
      <c r="W91" s="16"/>
      <c r="X91" s="16"/>
      <c r="Y91" s="16"/>
      <c r="Z91" s="16"/>
      <c r="AA91" s="89" t="s">
        <v>50</v>
      </c>
      <c r="AB91" s="89" t="n">
        <v>0</v>
      </c>
      <c r="AC91" s="36" t="n">
        <v>0</v>
      </c>
      <c r="AD91" s="89" t="n">
        <v>0</v>
      </c>
      <c r="AE91" s="89" t="n">
        <v>0</v>
      </c>
      <c r="AF91" s="16"/>
    </row>
    <row r="92" customFormat="false" ht="15.75" hidden="false" customHeight="false" outlineLevel="0" collapsed="false">
      <c r="A92" s="16" t="s">
        <v>42</v>
      </c>
      <c r="B92" s="16" t="s">
        <v>1716</v>
      </c>
      <c r="C92" s="71" t="s">
        <v>1906</v>
      </c>
      <c r="D92" s="72" t="s">
        <v>1907</v>
      </c>
      <c r="E92" s="16" t="s">
        <v>1908</v>
      </c>
      <c r="F92" s="16" t="n">
        <v>1548</v>
      </c>
      <c r="G92" s="16" t="n">
        <v>278</v>
      </c>
      <c r="H92" s="16" t="n">
        <v>1702</v>
      </c>
      <c r="I92" s="16" t="n">
        <v>879</v>
      </c>
      <c r="J92" s="16" t="n">
        <v>823</v>
      </c>
      <c r="K92" s="16" t="n">
        <v>765</v>
      </c>
      <c r="L92" s="19" t="n">
        <f aca="false">(K92/H92)*100</f>
        <v>44.9471210340776</v>
      </c>
      <c r="M92" s="16" t="n">
        <v>103</v>
      </c>
      <c r="N92" s="19" t="n">
        <f aca="false">(M92/H92)*100</f>
        <v>6.05170387779083</v>
      </c>
      <c r="O92" s="16" t="n">
        <v>12</v>
      </c>
      <c r="P92" s="16" t="n">
        <v>0</v>
      </c>
      <c r="Q92" s="89" t="s">
        <v>49</v>
      </c>
      <c r="R92" s="34" t="n">
        <v>45082</v>
      </c>
      <c r="S92" s="16"/>
      <c r="T92" s="20"/>
      <c r="U92" s="16"/>
      <c r="V92" s="16"/>
      <c r="W92" s="16"/>
      <c r="X92" s="16"/>
      <c r="Y92" s="16"/>
      <c r="Z92" s="16"/>
      <c r="AA92" s="119" t="s">
        <v>266</v>
      </c>
      <c r="AB92" s="89" t="n">
        <v>5</v>
      </c>
      <c r="AC92" s="254" t="s">
        <v>1909</v>
      </c>
      <c r="AD92" s="89" t="n">
        <v>26.87</v>
      </c>
      <c r="AE92" s="89" t="n">
        <v>72.33</v>
      </c>
      <c r="AF92" s="16"/>
    </row>
    <row r="93" customFormat="false" ht="15.75" hidden="false" customHeight="false" outlineLevel="0" collapsed="false">
      <c r="A93" s="16" t="s">
        <v>42</v>
      </c>
      <c r="B93" s="16" t="s">
        <v>1716</v>
      </c>
      <c r="C93" s="71" t="s">
        <v>1906</v>
      </c>
      <c r="D93" s="16" t="s">
        <v>1910</v>
      </c>
      <c r="E93" s="16" t="s">
        <v>1911</v>
      </c>
      <c r="F93" s="16" t="n">
        <v>1187</v>
      </c>
      <c r="G93" s="16" t="n">
        <v>214</v>
      </c>
      <c r="H93" s="16" t="n">
        <v>1350</v>
      </c>
      <c r="I93" s="16" t="n">
        <v>693</v>
      </c>
      <c r="J93" s="16" t="n">
        <v>657</v>
      </c>
      <c r="K93" s="16" t="n">
        <v>426</v>
      </c>
      <c r="L93" s="19" t="n">
        <f aca="false">(K93/H93)*100</f>
        <v>31.5555555555556</v>
      </c>
      <c r="M93" s="16" t="n">
        <v>120</v>
      </c>
      <c r="N93" s="19" t="n">
        <f aca="false">(M93/H93)*100</f>
        <v>8.88888888888889</v>
      </c>
      <c r="O93" s="16" t="n">
        <v>15</v>
      </c>
      <c r="P93" s="16" t="n">
        <v>0</v>
      </c>
      <c r="Q93" s="89" t="s">
        <v>49</v>
      </c>
      <c r="R93" s="34" t="n">
        <v>45082</v>
      </c>
      <c r="S93" s="16"/>
      <c r="T93" s="20" t="n">
        <v>43.5603</v>
      </c>
      <c r="U93" s="16"/>
      <c r="V93" s="16"/>
      <c r="W93" s="16"/>
      <c r="X93" s="16"/>
      <c r="Y93" s="16"/>
      <c r="Z93" s="16"/>
      <c r="AA93" s="119" t="s">
        <v>266</v>
      </c>
      <c r="AB93" s="89" t="n">
        <v>14</v>
      </c>
      <c r="AC93" s="254" t="s">
        <v>1912</v>
      </c>
      <c r="AD93" s="89" t="n">
        <v>26.88</v>
      </c>
      <c r="AE93" s="89" t="n">
        <v>72.31</v>
      </c>
      <c r="AF93" s="16"/>
    </row>
    <row r="94" customFormat="false" ht="15.75" hidden="false" customHeight="false" outlineLevel="0" collapsed="false">
      <c r="A94" s="16" t="s">
        <v>42</v>
      </c>
      <c r="B94" s="16" t="s">
        <v>1716</v>
      </c>
      <c r="C94" s="71" t="s">
        <v>1913</v>
      </c>
      <c r="D94" s="72" t="s">
        <v>1914</v>
      </c>
      <c r="E94" s="16" t="s">
        <v>1915</v>
      </c>
      <c r="F94" s="16" t="n">
        <v>1693</v>
      </c>
      <c r="G94" s="16" t="n">
        <v>267</v>
      </c>
      <c r="H94" s="16" t="n">
        <v>1838</v>
      </c>
      <c r="I94" s="16" t="n">
        <v>976</v>
      </c>
      <c r="J94" s="16" t="n">
        <v>862</v>
      </c>
      <c r="K94" s="16" t="n">
        <v>716</v>
      </c>
      <c r="L94" s="19" t="n">
        <f aca="false">(K94/H94)*100</f>
        <v>38.955386289445</v>
      </c>
      <c r="M94" s="16" t="n">
        <v>99</v>
      </c>
      <c r="N94" s="19" t="n">
        <f aca="false">(M94/H94)*100</f>
        <v>5.38628944504897</v>
      </c>
      <c r="O94" s="16" t="n">
        <v>28</v>
      </c>
      <c r="P94" s="16" t="n">
        <v>0</v>
      </c>
      <c r="Q94" s="89" t="s">
        <v>49</v>
      </c>
      <c r="R94" s="34" t="n">
        <v>44854</v>
      </c>
      <c r="S94" s="16"/>
      <c r="T94" s="20"/>
      <c r="U94" s="16"/>
      <c r="V94" s="16"/>
      <c r="W94" s="16"/>
      <c r="X94" s="16"/>
      <c r="Y94" s="16"/>
      <c r="Z94" s="16"/>
      <c r="AA94" s="119" t="s">
        <v>266</v>
      </c>
      <c r="AB94" s="56" t="n">
        <v>2</v>
      </c>
      <c r="AC94" s="254" t="s">
        <v>1916</v>
      </c>
      <c r="AD94" s="20"/>
      <c r="AE94" s="20"/>
      <c r="AF94" s="16"/>
    </row>
    <row r="95" customFormat="false" ht="15.75" hidden="false" customHeight="false" outlineLevel="0" collapsed="false">
      <c r="A95" s="16"/>
      <c r="B95" s="16"/>
      <c r="C95" s="71"/>
      <c r="D95" s="72"/>
      <c r="E95" s="16"/>
      <c r="F95" s="16"/>
      <c r="G95" s="16"/>
      <c r="H95" s="16"/>
      <c r="I95" s="16"/>
      <c r="J95" s="16"/>
      <c r="K95" s="16"/>
      <c r="L95" s="19" t="e">
        <f aca="false">(K95/H95)*100</f>
        <v>#DIV/0!</v>
      </c>
      <c r="M95" s="16"/>
      <c r="N95" s="19" t="e">
        <f aca="false">(M95/H95)*100</f>
        <v>#DIV/0!</v>
      </c>
      <c r="O95" s="16"/>
      <c r="P95" s="16"/>
      <c r="Q95" s="93" t="s">
        <v>49</v>
      </c>
      <c r="R95" s="97"/>
      <c r="S95" s="16"/>
      <c r="T95" s="228"/>
      <c r="U95" s="16"/>
      <c r="V95" s="16"/>
      <c r="W95" s="16"/>
      <c r="X95" s="16"/>
      <c r="Y95" s="16"/>
      <c r="Z95" s="16"/>
      <c r="AA95" s="232" t="s">
        <v>266</v>
      </c>
      <c r="AB95" s="232" t="n">
        <v>5</v>
      </c>
      <c r="AC95" s="255" t="s">
        <v>1917</v>
      </c>
      <c r="AD95" s="228"/>
      <c r="AE95" s="228"/>
      <c r="AF95" s="16"/>
    </row>
    <row r="96" customFormat="false" ht="15.75" hidden="false" customHeight="false" outlineLevel="0" collapsed="false">
      <c r="A96" s="16" t="s">
        <v>42</v>
      </c>
      <c r="B96" s="16" t="s">
        <v>1716</v>
      </c>
      <c r="C96" s="71" t="s">
        <v>1913</v>
      </c>
      <c r="D96" s="16" t="s">
        <v>1918</v>
      </c>
      <c r="E96" s="16" t="s">
        <v>1919</v>
      </c>
      <c r="F96" s="16" t="n">
        <v>1059</v>
      </c>
      <c r="G96" s="16" t="n">
        <v>138</v>
      </c>
      <c r="H96" s="16" t="n">
        <v>811</v>
      </c>
      <c r="I96" s="16" t="n">
        <v>424</v>
      </c>
      <c r="J96" s="16" t="n">
        <v>387</v>
      </c>
      <c r="K96" s="16" t="n">
        <v>316</v>
      </c>
      <c r="L96" s="19" t="n">
        <f aca="false">(K96/H96)*100</f>
        <v>38.964241676942</v>
      </c>
      <c r="M96" s="16" t="n">
        <v>0</v>
      </c>
      <c r="N96" s="19" t="n">
        <f aca="false">(M96/H96)*100</f>
        <v>0</v>
      </c>
      <c r="O96" s="16" t="n">
        <v>27</v>
      </c>
      <c r="P96" s="16" t="n">
        <v>0</v>
      </c>
      <c r="Q96" s="89" t="s">
        <v>49</v>
      </c>
      <c r="R96" s="34" t="n">
        <v>44854</v>
      </c>
      <c r="S96" s="16"/>
      <c r="T96" s="20"/>
      <c r="U96" s="16"/>
      <c r="V96" s="16"/>
      <c r="W96" s="16"/>
      <c r="X96" s="16"/>
      <c r="Y96" s="16"/>
      <c r="Z96" s="16"/>
      <c r="AA96" s="119" t="s">
        <v>266</v>
      </c>
      <c r="AB96" s="56" t="n">
        <v>5</v>
      </c>
      <c r="AC96" s="254" t="s">
        <v>1920</v>
      </c>
      <c r="AD96" s="20"/>
      <c r="AE96" s="20"/>
      <c r="AF96" s="16"/>
    </row>
    <row r="97" customFormat="false" ht="15.75" hidden="false" customHeight="false" outlineLevel="0" collapsed="false">
      <c r="A97" s="16" t="s">
        <v>42</v>
      </c>
      <c r="B97" s="16" t="s">
        <v>1716</v>
      </c>
      <c r="C97" s="71" t="s">
        <v>1921</v>
      </c>
      <c r="D97" s="72" t="s">
        <v>1922</v>
      </c>
      <c r="E97" s="16" t="s">
        <v>1923</v>
      </c>
      <c r="F97" s="16" t="n">
        <v>486.51</v>
      </c>
      <c r="G97" s="16" t="n">
        <v>139</v>
      </c>
      <c r="H97" s="16" t="n">
        <v>787</v>
      </c>
      <c r="I97" s="16" t="n">
        <v>404</v>
      </c>
      <c r="J97" s="16" t="n">
        <v>383</v>
      </c>
      <c r="K97" s="16" t="n">
        <v>77</v>
      </c>
      <c r="L97" s="19" t="n">
        <f aca="false">(K97/H97)*100</f>
        <v>9.78398983481576</v>
      </c>
      <c r="M97" s="16" t="n">
        <v>0</v>
      </c>
      <c r="N97" s="19" t="n">
        <f aca="false">(M97/H97)*100</f>
        <v>0</v>
      </c>
      <c r="O97" s="16" t="n">
        <v>179</v>
      </c>
      <c r="P97" s="16" t="n">
        <v>0</v>
      </c>
      <c r="Q97" s="88"/>
      <c r="R97" s="87"/>
      <c r="S97" s="16"/>
      <c r="T97" s="16"/>
      <c r="U97" s="16"/>
      <c r="V97" s="16"/>
      <c r="W97" s="16"/>
      <c r="X97" s="16"/>
      <c r="Y97" s="16"/>
      <c r="Z97" s="16"/>
      <c r="AA97" s="88"/>
      <c r="AB97" s="88"/>
      <c r="AC97" s="16"/>
      <c r="AD97" s="16"/>
      <c r="AE97" s="16"/>
      <c r="AF97" s="16"/>
    </row>
    <row r="98" customFormat="false" ht="15.75" hidden="false" customHeight="false" outlineLevel="0" collapsed="false">
      <c r="A98" s="16" t="s">
        <v>42</v>
      </c>
      <c r="B98" s="16" t="s">
        <v>1716</v>
      </c>
      <c r="C98" s="71" t="s">
        <v>1921</v>
      </c>
      <c r="D98" s="16" t="s">
        <v>1924</v>
      </c>
      <c r="E98" s="16" t="s">
        <v>1925</v>
      </c>
      <c r="F98" s="16" t="n">
        <v>752.06</v>
      </c>
      <c r="G98" s="16" t="n">
        <v>110</v>
      </c>
      <c r="H98" s="16" t="n">
        <v>664</v>
      </c>
      <c r="I98" s="16" t="n">
        <v>358</v>
      </c>
      <c r="J98" s="16" t="n">
        <v>306</v>
      </c>
      <c r="K98" s="16" t="n">
        <v>204</v>
      </c>
      <c r="L98" s="19" t="n">
        <f aca="false">(K98/H98)*100</f>
        <v>30.7228915662651</v>
      </c>
      <c r="M98" s="16" t="n">
        <v>0</v>
      </c>
      <c r="N98" s="19" t="n">
        <f aca="false">(M98/H98)*100</f>
        <v>0</v>
      </c>
      <c r="O98" s="16" t="n">
        <v>0</v>
      </c>
      <c r="P98" s="16" t="n">
        <v>0</v>
      </c>
      <c r="Q98" s="88"/>
      <c r="R98" s="87"/>
      <c r="S98" s="16"/>
      <c r="T98" s="16"/>
      <c r="U98" s="16"/>
      <c r="V98" s="16"/>
      <c r="W98" s="16"/>
      <c r="X98" s="16"/>
      <c r="Y98" s="16"/>
      <c r="Z98" s="16"/>
      <c r="AA98" s="88"/>
      <c r="AB98" s="88"/>
      <c r="AC98" s="16"/>
      <c r="AD98" s="16"/>
      <c r="AE98" s="16"/>
      <c r="AF98" s="16"/>
    </row>
    <row r="99" customFormat="false" ht="15.75" hidden="false" customHeight="false" outlineLevel="0" collapsed="false">
      <c r="A99" s="16" t="s">
        <v>42</v>
      </c>
      <c r="B99" s="16" t="s">
        <v>1716</v>
      </c>
      <c r="C99" s="71" t="s">
        <v>1921</v>
      </c>
      <c r="D99" s="16" t="s">
        <v>1926</v>
      </c>
      <c r="E99" s="16" t="s">
        <v>1927</v>
      </c>
      <c r="F99" s="16" t="n">
        <v>715.08</v>
      </c>
      <c r="G99" s="16" t="n">
        <v>131</v>
      </c>
      <c r="H99" s="16" t="n">
        <v>820</v>
      </c>
      <c r="I99" s="16" t="n">
        <v>415</v>
      </c>
      <c r="J99" s="16" t="n">
        <v>405</v>
      </c>
      <c r="K99" s="16" t="n">
        <v>73</v>
      </c>
      <c r="L99" s="19" t="n">
        <f aca="false">(K99/H99)*100</f>
        <v>8.90243902439024</v>
      </c>
      <c r="M99" s="16" t="n">
        <v>39</v>
      </c>
      <c r="N99" s="19" t="n">
        <f aca="false">(M99/H99)*100</f>
        <v>4.75609756097561</v>
      </c>
      <c r="O99" s="16" t="n">
        <v>0</v>
      </c>
      <c r="P99" s="16" t="n">
        <v>0</v>
      </c>
      <c r="Q99" s="88"/>
      <c r="R99" s="87"/>
      <c r="S99" s="16"/>
      <c r="T99" s="16"/>
      <c r="U99" s="16"/>
      <c r="V99" s="16"/>
      <c r="W99" s="16"/>
      <c r="X99" s="16"/>
      <c r="Y99" s="16"/>
      <c r="Z99" s="16"/>
      <c r="AA99" s="88"/>
      <c r="AB99" s="88"/>
      <c r="AC99" s="16"/>
      <c r="AD99" s="16"/>
      <c r="AE99" s="16"/>
      <c r="AF99" s="16"/>
    </row>
    <row r="100" customFormat="false" ht="15.75" hidden="false" customHeight="false" outlineLevel="0" collapsed="false">
      <c r="A100" s="16" t="s">
        <v>42</v>
      </c>
      <c r="B100" s="16" t="s">
        <v>1716</v>
      </c>
      <c r="C100" s="71" t="s">
        <v>1921</v>
      </c>
      <c r="D100" s="16" t="s">
        <v>1928</v>
      </c>
      <c r="E100" s="16" t="s">
        <v>1929</v>
      </c>
      <c r="F100" s="16" t="n">
        <v>297.88</v>
      </c>
      <c r="G100" s="16" t="n">
        <v>155</v>
      </c>
      <c r="H100" s="16" t="n">
        <v>840</v>
      </c>
      <c r="I100" s="16" t="n">
        <v>452</v>
      </c>
      <c r="J100" s="16" t="n">
        <v>388</v>
      </c>
      <c r="K100" s="16" t="n">
        <v>0</v>
      </c>
      <c r="L100" s="19" t="n">
        <f aca="false">(K100/H100)*100</f>
        <v>0</v>
      </c>
      <c r="M100" s="16" t="n">
        <v>0</v>
      </c>
      <c r="N100" s="19" t="n">
        <f aca="false">(M100/H100)*100</f>
        <v>0</v>
      </c>
      <c r="O100" s="16" t="n">
        <v>0</v>
      </c>
      <c r="P100" s="16" t="n">
        <v>0</v>
      </c>
      <c r="Q100" s="88"/>
      <c r="R100" s="87"/>
      <c r="S100" s="16"/>
      <c r="T100" s="16"/>
      <c r="U100" s="16"/>
      <c r="V100" s="16"/>
      <c r="W100" s="16"/>
      <c r="X100" s="16"/>
      <c r="Y100" s="16"/>
      <c r="Z100" s="16"/>
      <c r="AA100" s="88"/>
      <c r="AB100" s="88"/>
      <c r="AC100" s="16"/>
      <c r="AD100" s="16"/>
      <c r="AE100" s="16"/>
      <c r="AF100" s="16"/>
    </row>
    <row r="101" customFormat="false" ht="15.75" hidden="false" customHeight="false" outlineLevel="0" collapsed="false">
      <c r="A101" s="16" t="s">
        <v>42</v>
      </c>
      <c r="B101" s="16" t="s">
        <v>1716</v>
      </c>
      <c r="C101" s="71" t="s">
        <v>1921</v>
      </c>
      <c r="D101" s="16" t="s">
        <v>1930</v>
      </c>
      <c r="E101" s="16" t="s">
        <v>1931</v>
      </c>
      <c r="F101" s="16" t="n">
        <v>349.37</v>
      </c>
      <c r="G101" s="16" t="n">
        <v>72</v>
      </c>
      <c r="H101" s="16" t="n">
        <v>442</v>
      </c>
      <c r="I101" s="16" t="n">
        <v>227</v>
      </c>
      <c r="J101" s="16" t="n">
        <v>215</v>
      </c>
      <c r="K101" s="16" t="n">
        <v>333</v>
      </c>
      <c r="L101" s="19" t="n">
        <f aca="false">(K101/H101)*100</f>
        <v>75.3393665158371</v>
      </c>
      <c r="M101" s="16" t="n">
        <v>0</v>
      </c>
      <c r="N101" s="19" t="n">
        <f aca="false">(M101/H101)*100</f>
        <v>0</v>
      </c>
      <c r="O101" s="16" t="n">
        <v>0</v>
      </c>
      <c r="P101" s="16" t="n">
        <v>0</v>
      </c>
      <c r="Q101" s="88"/>
      <c r="R101" s="87"/>
      <c r="S101" s="16"/>
      <c r="T101" s="16"/>
      <c r="U101" s="16"/>
      <c r="V101" s="16"/>
      <c r="W101" s="16"/>
      <c r="X101" s="16"/>
      <c r="Y101" s="16"/>
      <c r="Z101" s="16"/>
      <c r="AA101" s="88"/>
      <c r="AB101" s="88"/>
      <c r="AC101" s="16"/>
      <c r="AD101" s="16"/>
      <c r="AE101" s="16"/>
      <c r="AF101" s="16"/>
    </row>
    <row r="102" customFormat="false" ht="15.75" hidden="false" customHeight="false" outlineLevel="0" collapsed="false">
      <c r="A102" s="16" t="s">
        <v>42</v>
      </c>
      <c r="B102" s="16" t="s">
        <v>1716</v>
      </c>
      <c r="C102" s="71" t="s">
        <v>1932</v>
      </c>
      <c r="D102" s="72" t="s">
        <v>1932</v>
      </c>
      <c r="E102" s="16" t="s">
        <v>1933</v>
      </c>
      <c r="F102" s="16" t="n">
        <v>1334.78</v>
      </c>
      <c r="G102" s="16" t="n">
        <v>126</v>
      </c>
      <c r="H102" s="16" t="n">
        <v>699</v>
      </c>
      <c r="I102" s="16" t="n">
        <v>361</v>
      </c>
      <c r="J102" s="16" t="n">
        <v>338</v>
      </c>
      <c r="K102" s="16" t="n">
        <v>68</v>
      </c>
      <c r="L102" s="19" t="n">
        <f aca="false">(K102/H102)*100</f>
        <v>9.72818311874106</v>
      </c>
      <c r="M102" s="16" t="n">
        <v>6</v>
      </c>
      <c r="N102" s="19" t="n">
        <f aca="false">(M102/H102)*100</f>
        <v>0.858369098712446</v>
      </c>
      <c r="O102" s="16" t="n">
        <v>325</v>
      </c>
      <c r="P102" s="16" t="n">
        <v>0</v>
      </c>
      <c r="Q102" s="88"/>
      <c r="R102" s="87"/>
      <c r="S102" s="16"/>
      <c r="T102" s="16"/>
      <c r="U102" s="16"/>
      <c r="V102" s="16"/>
      <c r="W102" s="16"/>
      <c r="X102" s="16"/>
      <c r="Y102" s="16"/>
      <c r="Z102" s="16"/>
      <c r="AA102" s="88"/>
      <c r="AB102" s="88"/>
      <c r="AC102" s="16"/>
      <c r="AD102" s="16"/>
      <c r="AE102" s="16"/>
      <c r="AF102" s="16"/>
    </row>
    <row r="103" customFormat="false" ht="15.75" hidden="false" customHeight="false" outlineLevel="0" collapsed="false">
      <c r="A103" s="16" t="s">
        <v>42</v>
      </c>
      <c r="B103" s="16" t="s">
        <v>1716</v>
      </c>
      <c r="C103" s="71" t="s">
        <v>1932</v>
      </c>
      <c r="D103" s="16" t="s">
        <v>1934</v>
      </c>
      <c r="E103" s="16" t="s">
        <v>1935</v>
      </c>
      <c r="F103" s="16" t="n">
        <v>1345</v>
      </c>
      <c r="G103" s="16" t="n">
        <v>149</v>
      </c>
      <c r="H103" s="16" t="n">
        <v>961</v>
      </c>
      <c r="I103" s="16" t="n">
        <v>504</v>
      </c>
      <c r="J103" s="16" t="n">
        <v>457</v>
      </c>
      <c r="K103" s="16" t="n">
        <v>37</v>
      </c>
      <c r="L103" s="19" t="n">
        <f aca="false">(K103/H103)*100</f>
        <v>3.85015608740895</v>
      </c>
      <c r="M103" s="16" t="n">
        <v>1</v>
      </c>
      <c r="N103" s="19" t="n">
        <f aca="false">(M103/H103)*100</f>
        <v>0.104058272632674</v>
      </c>
      <c r="O103" s="16" t="n">
        <v>0</v>
      </c>
      <c r="P103" s="16" t="n">
        <v>0</v>
      </c>
      <c r="Q103" s="88"/>
      <c r="R103" s="87"/>
      <c r="S103" s="16"/>
      <c r="T103" s="16"/>
      <c r="U103" s="16"/>
      <c r="V103" s="16"/>
      <c r="W103" s="16"/>
      <c r="X103" s="16"/>
      <c r="Y103" s="16"/>
      <c r="Z103" s="16"/>
      <c r="AA103" s="88"/>
      <c r="AB103" s="88"/>
      <c r="AC103" s="16"/>
      <c r="AD103" s="16"/>
      <c r="AE103" s="16"/>
      <c r="AF103" s="16"/>
    </row>
    <row r="104" customFormat="false" ht="15.75" hidden="false" customHeight="false" outlineLevel="0" collapsed="false">
      <c r="A104" s="16" t="s">
        <v>42</v>
      </c>
      <c r="B104" s="16" t="s">
        <v>1716</v>
      </c>
      <c r="C104" s="71" t="s">
        <v>1932</v>
      </c>
      <c r="D104" s="16" t="s">
        <v>1936</v>
      </c>
      <c r="E104" s="16" t="s">
        <v>1937</v>
      </c>
      <c r="F104" s="16" t="n">
        <v>1513.13</v>
      </c>
      <c r="G104" s="16" t="n">
        <v>124</v>
      </c>
      <c r="H104" s="16" t="n">
        <v>690</v>
      </c>
      <c r="I104" s="16" t="n">
        <v>348</v>
      </c>
      <c r="J104" s="16" t="n">
        <v>342</v>
      </c>
      <c r="K104" s="16" t="n">
        <v>370</v>
      </c>
      <c r="L104" s="19" t="n">
        <f aca="false">(K104/H104)*100</f>
        <v>53.6231884057971</v>
      </c>
      <c r="M104" s="16" t="n">
        <v>21</v>
      </c>
      <c r="N104" s="19" t="n">
        <f aca="false">(M104/H104)*100</f>
        <v>3.04347826086957</v>
      </c>
      <c r="O104" s="16" t="n">
        <v>88</v>
      </c>
      <c r="P104" s="16" t="n">
        <v>0</v>
      </c>
      <c r="Q104" s="88"/>
      <c r="R104" s="87"/>
      <c r="S104" s="16"/>
      <c r="T104" s="16"/>
      <c r="U104" s="16"/>
      <c r="V104" s="16"/>
      <c r="W104" s="16"/>
      <c r="X104" s="16"/>
      <c r="Y104" s="16"/>
      <c r="Z104" s="16"/>
      <c r="AA104" s="88"/>
      <c r="AB104" s="88"/>
      <c r="AC104" s="16"/>
      <c r="AD104" s="16"/>
      <c r="AE104" s="16"/>
      <c r="AF104" s="16"/>
    </row>
    <row r="105" customFormat="false" ht="15.75" hidden="false" customHeight="false" outlineLevel="0" collapsed="false">
      <c r="A105" s="16" t="s">
        <v>42</v>
      </c>
      <c r="B105" s="16" t="s">
        <v>1716</v>
      </c>
      <c r="C105" s="71" t="s">
        <v>1938</v>
      </c>
      <c r="D105" s="72" t="s">
        <v>1938</v>
      </c>
      <c r="E105" s="16" t="s">
        <v>1939</v>
      </c>
      <c r="F105" s="16" t="n">
        <v>1381</v>
      </c>
      <c r="G105" s="16" t="n">
        <v>394</v>
      </c>
      <c r="H105" s="16" t="n">
        <v>2433</v>
      </c>
      <c r="I105" s="16" t="n">
        <v>1301</v>
      </c>
      <c r="J105" s="16" t="n">
        <v>1132</v>
      </c>
      <c r="K105" s="16" t="n">
        <v>999</v>
      </c>
      <c r="L105" s="19" t="n">
        <f aca="false">(K105/H105)*100</f>
        <v>41.0604192355117</v>
      </c>
      <c r="M105" s="16" t="n">
        <v>0</v>
      </c>
      <c r="N105" s="19" t="n">
        <f aca="false">(M105/H105)*100</f>
        <v>0</v>
      </c>
      <c r="O105" s="16" t="n">
        <v>0</v>
      </c>
      <c r="P105" s="16" t="n">
        <v>0</v>
      </c>
      <c r="Q105" s="92" t="s">
        <v>49</v>
      </c>
      <c r="R105" s="25" t="n">
        <v>45082</v>
      </c>
      <c r="S105" s="16"/>
      <c r="T105" s="24"/>
      <c r="U105" s="16"/>
      <c r="V105" s="16"/>
      <c r="W105" s="16"/>
      <c r="X105" s="16"/>
      <c r="Y105" s="16"/>
      <c r="Z105" s="16"/>
      <c r="AA105" s="119" t="s">
        <v>266</v>
      </c>
      <c r="AB105" s="92" t="n">
        <v>13</v>
      </c>
      <c r="AC105" s="284" t="s">
        <v>1940</v>
      </c>
      <c r="AD105" s="92" t="n">
        <v>26.88</v>
      </c>
      <c r="AE105" s="92" t="n">
        <v>72.25</v>
      </c>
      <c r="AF105" s="16"/>
    </row>
    <row r="106" customFormat="false" ht="15.75" hidden="false" customHeight="false" outlineLevel="0" collapsed="false">
      <c r="A106" s="16" t="s">
        <v>42</v>
      </c>
      <c r="B106" s="16" t="s">
        <v>1716</v>
      </c>
      <c r="C106" s="71" t="s">
        <v>1941</v>
      </c>
      <c r="D106" s="72" t="s">
        <v>1942</v>
      </c>
      <c r="E106" s="16" t="s">
        <v>1943</v>
      </c>
      <c r="F106" s="16" t="n">
        <v>3606</v>
      </c>
      <c r="G106" s="16" t="n">
        <v>611</v>
      </c>
      <c r="H106" s="16" t="n">
        <v>3745</v>
      </c>
      <c r="I106" s="16" t="n">
        <v>1973</v>
      </c>
      <c r="J106" s="16" t="n">
        <v>1772</v>
      </c>
      <c r="K106" s="16" t="n">
        <v>891</v>
      </c>
      <c r="L106" s="19" t="n">
        <f aca="false">(K106/H106)*100</f>
        <v>23.7917222963952</v>
      </c>
      <c r="M106" s="16" t="n">
        <v>148</v>
      </c>
      <c r="N106" s="19" t="n">
        <f aca="false">(M106/H106)*100</f>
        <v>3.95193591455274</v>
      </c>
      <c r="O106" s="16" t="n">
        <v>0</v>
      </c>
      <c r="P106" s="16" t="n">
        <v>0</v>
      </c>
      <c r="Q106" s="89" t="s">
        <v>49</v>
      </c>
      <c r="R106" s="34" t="n">
        <v>45132</v>
      </c>
      <c r="S106" s="16"/>
      <c r="T106" s="20"/>
      <c r="U106" s="16"/>
      <c r="V106" s="16"/>
      <c r="W106" s="16"/>
      <c r="X106" s="16"/>
      <c r="Y106" s="16"/>
      <c r="Z106" s="16"/>
      <c r="AA106" s="119" t="s">
        <v>266</v>
      </c>
      <c r="AB106" s="89" t="n">
        <v>9</v>
      </c>
      <c r="AC106" s="254" t="s">
        <v>1944</v>
      </c>
      <c r="AD106" s="89" t="n">
        <v>26.84</v>
      </c>
      <c r="AE106" s="89" t="n">
        <v>72.21</v>
      </c>
      <c r="AF106" s="16"/>
    </row>
    <row r="107" customFormat="false" ht="15.75" hidden="false" customHeight="false" outlineLevel="0" collapsed="false">
      <c r="A107" s="16"/>
      <c r="B107" s="16"/>
      <c r="C107" s="71"/>
      <c r="D107" s="72"/>
      <c r="E107" s="16"/>
      <c r="F107" s="16"/>
      <c r="G107" s="16"/>
      <c r="H107" s="16"/>
      <c r="I107" s="16"/>
      <c r="J107" s="16"/>
      <c r="K107" s="16"/>
      <c r="L107" s="19" t="e">
        <f aca="false">(K107/H107)*100</f>
        <v>#DIV/0!</v>
      </c>
      <c r="M107" s="16"/>
      <c r="N107" s="19" t="e">
        <f aca="false">(M107/H107)*100</f>
        <v>#DIV/0!</v>
      </c>
      <c r="O107" s="16"/>
      <c r="P107" s="16"/>
      <c r="Q107" s="93" t="s">
        <v>49</v>
      </c>
      <c r="R107" s="97"/>
      <c r="S107" s="16"/>
      <c r="T107" s="228"/>
      <c r="U107" s="16"/>
      <c r="V107" s="16"/>
      <c r="W107" s="16"/>
      <c r="X107" s="16"/>
      <c r="Y107" s="16"/>
      <c r="Z107" s="16"/>
      <c r="AA107" s="232" t="s">
        <v>266</v>
      </c>
      <c r="AB107" s="93" t="n">
        <v>12</v>
      </c>
      <c r="AC107" s="255" t="s">
        <v>1945</v>
      </c>
      <c r="AD107" s="93" t="n">
        <v>26.84</v>
      </c>
      <c r="AE107" s="93" t="n">
        <v>72.22</v>
      </c>
      <c r="AF107" s="16"/>
    </row>
    <row r="108" customFormat="false" ht="15.75" hidden="false" customHeight="false" outlineLevel="0" collapsed="false">
      <c r="A108" s="16"/>
      <c r="B108" s="16"/>
      <c r="C108" s="71"/>
      <c r="D108" s="72"/>
      <c r="E108" s="16"/>
      <c r="F108" s="16"/>
      <c r="G108" s="16"/>
      <c r="H108" s="16"/>
      <c r="I108" s="16"/>
      <c r="J108" s="16"/>
      <c r="K108" s="16"/>
      <c r="L108" s="19" t="e">
        <f aca="false">(K108/H108)*100</f>
        <v>#DIV/0!</v>
      </c>
      <c r="M108" s="16"/>
      <c r="N108" s="19" t="e">
        <f aca="false">(M108/H108)*100</f>
        <v>#DIV/0!</v>
      </c>
      <c r="O108" s="16"/>
      <c r="P108" s="16"/>
      <c r="Q108" s="93" t="s">
        <v>49</v>
      </c>
      <c r="R108" s="97"/>
      <c r="S108" s="16"/>
      <c r="T108" s="228"/>
      <c r="U108" s="16"/>
      <c r="V108" s="16"/>
      <c r="W108" s="16"/>
      <c r="X108" s="16"/>
      <c r="Y108" s="16"/>
      <c r="Z108" s="16"/>
      <c r="AA108" s="232" t="s">
        <v>266</v>
      </c>
      <c r="AB108" s="93" t="n">
        <v>18</v>
      </c>
      <c r="AC108" s="255" t="s">
        <v>1946</v>
      </c>
      <c r="AD108" s="93" t="n">
        <v>26.83</v>
      </c>
      <c r="AE108" s="93" t="n">
        <v>72.23</v>
      </c>
      <c r="AF108" s="16"/>
    </row>
    <row r="109" customFormat="false" ht="15.75" hidden="false" customHeight="false" outlineLevel="0" collapsed="false">
      <c r="A109" s="16" t="s">
        <v>42</v>
      </c>
      <c r="B109" s="16" t="s">
        <v>1716</v>
      </c>
      <c r="C109" s="71" t="s">
        <v>1947</v>
      </c>
      <c r="D109" s="72" t="s">
        <v>1948</v>
      </c>
      <c r="E109" s="16" t="s">
        <v>1949</v>
      </c>
      <c r="F109" s="16" t="n">
        <v>1123</v>
      </c>
      <c r="G109" s="16" t="n">
        <v>255</v>
      </c>
      <c r="H109" s="16" t="n">
        <v>1687</v>
      </c>
      <c r="I109" s="16" t="n">
        <v>880</v>
      </c>
      <c r="J109" s="16" t="n">
        <v>807</v>
      </c>
      <c r="K109" s="16" t="n">
        <v>185</v>
      </c>
      <c r="L109" s="19" t="n">
        <f aca="false">(K109/H109)*100</f>
        <v>10.9662122110255</v>
      </c>
      <c r="M109" s="16" t="n">
        <v>3</v>
      </c>
      <c r="N109" s="19" t="n">
        <f aca="false">(M109/H109)*100</f>
        <v>0.1778304682869</v>
      </c>
      <c r="O109" s="16" t="n">
        <v>6</v>
      </c>
      <c r="P109" s="16" t="n">
        <v>0</v>
      </c>
      <c r="Q109" s="88"/>
      <c r="R109" s="87"/>
      <c r="S109" s="16"/>
      <c r="T109" s="16"/>
      <c r="U109" s="16"/>
      <c r="V109" s="16"/>
      <c r="W109" s="16"/>
      <c r="X109" s="16"/>
      <c r="Y109" s="16"/>
      <c r="Z109" s="16"/>
      <c r="AA109" s="88"/>
      <c r="AB109" s="88"/>
      <c r="AC109" s="16"/>
      <c r="AD109" s="16"/>
      <c r="AE109" s="16"/>
      <c r="AF109" s="16"/>
    </row>
    <row r="110" customFormat="false" ht="15.75" hidden="false" customHeight="false" outlineLevel="0" collapsed="false">
      <c r="A110" s="16" t="s">
        <v>42</v>
      </c>
      <c r="B110" s="16" t="s">
        <v>1716</v>
      </c>
      <c r="C110" s="71" t="s">
        <v>1947</v>
      </c>
      <c r="D110" s="16" t="s">
        <v>1950</v>
      </c>
      <c r="E110" s="16" t="s">
        <v>1951</v>
      </c>
      <c r="F110" s="16" t="n">
        <v>370</v>
      </c>
      <c r="G110" s="16" t="n">
        <v>31</v>
      </c>
      <c r="H110" s="16" t="n">
        <v>166</v>
      </c>
      <c r="I110" s="16" t="n">
        <v>91</v>
      </c>
      <c r="J110" s="16" t="n">
        <v>75</v>
      </c>
      <c r="K110" s="16" t="n">
        <v>0</v>
      </c>
      <c r="L110" s="19" t="n">
        <f aca="false">(K110/H110)*100</f>
        <v>0</v>
      </c>
      <c r="M110" s="16" t="n">
        <v>0</v>
      </c>
      <c r="N110" s="19" t="n">
        <f aca="false">(M110/H110)*100</f>
        <v>0</v>
      </c>
      <c r="O110" s="16" t="n">
        <v>0</v>
      </c>
      <c r="P110" s="16" t="n">
        <v>0</v>
      </c>
      <c r="Q110" s="88"/>
      <c r="R110" s="87"/>
      <c r="S110" s="16"/>
      <c r="T110" s="16"/>
      <c r="U110" s="16"/>
      <c r="V110" s="16"/>
      <c r="W110" s="16"/>
      <c r="X110" s="16"/>
      <c r="Y110" s="16"/>
      <c r="Z110" s="16"/>
      <c r="AA110" s="88"/>
      <c r="AB110" s="88"/>
      <c r="AC110" s="16"/>
      <c r="AD110" s="16"/>
      <c r="AE110" s="16"/>
      <c r="AF110" s="16"/>
    </row>
    <row r="111" customFormat="false" ht="15.75" hidden="false" customHeight="false" outlineLevel="0" collapsed="false">
      <c r="A111" s="16" t="s">
        <v>42</v>
      </c>
      <c r="B111" s="16" t="s">
        <v>1716</v>
      </c>
      <c r="C111" s="71" t="s">
        <v>1952</v>
      </c>
      <c r="D111" s="72" t="s">
        <v>1952</v>
      </c>
      <c r="E111" s="16" t="s">
        <v>1953</v>
      </c>
      <c r="F111" s="16" t="n">
        <v>523</v>
      </c>
      <c r="G111" s="16" t="n">
        <v>47</v>
      </c>
      <c r="H111" s="16" t="n">
        <v>278</v>
      </c>
      <c r="I111" s="16" t="n">
        <v>156</v>
      </c>
      <c r="J111" s="16" t="n">
        <v>122</v>
      </c>
      <c r="K111" s="16" t="n">
        <v>83</v>
      </c>
      <c r="L111" s="19" t="n">
        <f aca="false">(K111/H111)*100</f>
        <v>29.8561151079137</v>
      </c>
      <c r="M111" s="16" t="n">
        <v>0</v>
      </c>
      <c r="N111" s="19" t="n">
        <f aca="false">(M111/H111)*100</f>
        <v>0</v>
      </c>
      <c r="O111" s="16" t="n">
        <v>0</v>
      </c>
      <c r="P111" s="16" t="n">
        <v>0</v>
      </c>
      <c r="Q111" s="88"/>
      <c r="R111" s="87"/>
      <c r="S111" s="16"/>
      <c r="T111" s="16"/>
      <c r="U111" s="16"/>
      <c r="V111" s="16"/>
      <c r="W111" s="16"/>
      <c r="X111" s="16"/>
      <c r="Y111" s="16"/>
      <c r="Z111" s="16"/>
      <c r="AA111" s="88"/>
      <c r="AB111" s="88"/>
      <c r="AC111" s="16"/>
      <c r="AD111" s="16"/>
      <c r="AE111" s="16"/>
      <c r="AF111" s="16" t="s">
        <v>52</v>
      </c>
    </row>
    <row r="112" customFormat="false" ht="15.75" hidden="false" customHeight="false" outlineLevel="0" collapsed="false">
      <c r="A112" s="16" t="s">
        <v>42</v>
      </c>
      <c r="B112" s="16" t="s">
        <v>1716</v>
      </c>
      <c r="C112" s="71" t="s">
        <v>1952</v>
      </c>
      <c r="D112" s="16" t="s">
        <v>1954</v>
      </c>
      <c r="E112" s="16" t="s">
        <v>1955</v>
      </c>
      <c r="F112" s="16" t="n">
        <v>488</v>
      </c>
      <c r="G112" s="16" t="n">
        <v>56</v>
      </c>
      <c r="H112" s="16" t="n">
        <v>326</v>
      </c>
      <c r="I112" s="16" t="n">
        <v>166</v>
      </c>
      <c r="J112" s="16" t="n">
        <v>160</v>
      </c>
      <c r="K112" s="16" t="n">
        <v>118</v>
      </c>
      <c r="L112" s="19" t="n">
        <f aca="false">(K112/H112)*100</f>
        <v>36.1963190184049</v>
      </c>
      <c r="M112" s="16" t="n">
        <v>0</v>
      </c>
      <c r="N112" s="19" t="n">
        <f aca="false">(M112/H112)*100</f>
        <v>0</v>
      </c>
      <c r="O112" s="16" t="n">
        <v>0</v>
      </c>
      <c r="P112" s="16" t="n">
        <v>0</v>
      </c>
      <c r="Q112" s="286" t="s">
        <v>49</v>
      </c>
      <c r="R112" s="47" t="s">
        <v>595</v>
      </c>
      <c r="S112" s="16"/>
      <c r="T112" s="45"/>
      <c r="U112" s="16"/>
      <c r="V112" s="16"/>
      <c r="W112" s="16"/>
      <c r="X112" s="16"/>
      <c r="Y112" s="16"/>
      <c r="Z112" s="16"/>
      <c r="AA112" s="119" t="s">
        <v>50</v>
      </c>
      <c r="AB112" s="119" t="n">
        <v>0</v>
      </c>
      <c r="AC112" s="54"/>
      <c r="AD112" s="45" t="n">
        <v>0</v>
      </c>
      <c r="AE112" s="45" t="n">
        <v>0</v>
      </c>
      <c r="AF112" s="16" t="s">
        <v>52</v>
      </c>
    </row>
    <row r="113" customFormat="false" ht="15.75" hidden="false" customHeight="false" outlineLevel="0" collapsed="false">
      <c r="A113" s="16" t="s">
        <v>42</v>
      </c>
      <c r="B113" s="16" t="s">
        <v>1716</v>
      </c>
      <c r="C113" s="71" t="s">
        <v>1952</v>
      </c>
      <c r="D113" s="16" t="s">
        <v>1956</v>
      </c>
      <c r="E113" s="16" t="s">
        <v>1957</v>
      </c>
      <c r="F113" s="16" t="n">
        <v>978</v>
      </c>
      <c r="G113" s="16" t="n">
        <v>171</v>
      </c>
      <c r="H113" s="16" t="n">
        <v>973</v>
      </c>
      <c r="I113" s="16" t="n">
        <v>492</v>
      </c>
      <c r="J113" s="16" t="n">
        <v>481</v>
      </c>
      <c r="K113" s="16" t="n">
        <v>203</v>
      </c>
      <c r="L113" s="19" t="n">
        <f aca="false">(K113/H113)*100</f>
        <v>20.863309352518</v>
      </c>
      <c r="M113" s="16" t="n">
        <v>0</v>
      </c>
      <c r="N113" s="19" t="n">
        <f aca="false">(M113/H113)*100</f>
        <v>0</v>
      </c>
      <c r="O113" s="16" t="n">
        <v>0</v>
      </c>
      <c r="P113" s="16" t="n">
        <v>0</v>
      </c>
      <c r="Q113" s="286" t="s">
        <v>49</v>
      </c>
      <c r="R113" s="47" t="s">
        <v>595</v>
      </c>
      <c r="S113" s="16"/>
      <c r="T113" s="45"/>
      <c r="U113" s="16"/>
      <c r="V113" s="16"/>
      <c r="W113" s="16"/>
      <c r="X113" s="16"/>
      <c r="Y113" s="16"/>
      <c r="Z113" s="16"/>
      <c r="AA113" s="119" t="s">
        <v>50</v>
      </c>
      <c r="AB113" s="119" t="n">
        <v>0</v>
      </c>
      <c r="AC113" s="45"/>
      <c r="AD113" s="45" t="n">
        <v>0</v>
      </c>
      <c r="AE113" s="45" t="n">
        <v>0</v>
      </c>
      <c r="AF113" s="16" t="s">
        <v>52</v>
      </c>
    </row>
    <row r="114" customFormat="false" ht="15.75" hidden="false" customHeight="false" outlineLevel="0" collapsed="false">
      <c r="A114" s="16" t="s">
        <v>42</v>
      </c>
      <c r="B114" s="16" t="s">
        <v>1716</v>
      </c>
      <c r="C114" s="71" t="s">
        <v>1952</v>
      </c>
      <c r="D114" s="16" t="s">
        <v>1958</v>
      </c>
      <c r="E114" s="16" t="s">
        <v>1959</v>
      </c>
      <c r="F114" s="16" t="n">
        <v>189</v>
      </c>
      <c r="G114" s="16" t="n">
        <v>22</v>
      </c>
      <c r="H114" s="16" t="n">
        <v>146</v>
      </c>
      <c r="I114" s="16" t="n">
        <v>86</v>
      </c>
      <c r="J114" s="16" t="n">
        <v>60</v>
      </c>
      <c r="K114" s="16" t="n">
        <v>0</v>
      </c>
      <c r="L114" s="19" t="n">
        <f aca="false">(K114/H114)*100</f>
        <v>0</v>
      </c>
      <c r="M114" s="16" t="n">
        <v>0</v>
      </c>
      <c r="N114" s="19" t="n">
        <f aca="false">(M114/H114)*100</f>
        <v>0</v>
      </c>
      <c r="O114" s="16" t="n">
        <v>0</v>
      </c>
      <c r="P114" s="16" t="n">
        <v>0</v>
      </c>
      <c r="Q114" s="92" t="s">
        <v>49</v>
      </c>
      <c r="R114" s="26" t="s">
        <v>595</v>
      </c>
      <c r="S114" s="16"/>
      <c r="T114" s="24" t="n">
        <v>0</v>
      </c>
      <c r="U114" s="16"/>
      <c r="V114" s="16"/>
      <c r="W114" s="16"/>
      <c r="X114" s="16"/>
      <c r="Y114" s="16"/>
      <c r="Z114" s="16"/>
      <c r="AA114" s="92" t="s">
        <v>50</v>
      </c>
      <c r="AB114" s="92" t="n">
        <v>0</v>
      </c>
      <c r="AC114" s="57"/>
      <c r="AD114" s="24" t="n">
        <v>0</v>
      </c>
      <c r="AE114" s="24" t="n">
        <v>0</v>
      </c>
      <c r="AF114" s="16" t="s">
        <v>1277</v>
      </c>
    </row>
    <row r="115" customFormat="false" ht="34.5" hidden="false" customHeight="false" outlineLevel="0" collapsed="false">
      <c r="A115" s="16" t="s">
        <v>42</v>
      </c>
      <c r="B115" s="16" t="s">
        <v>1716</v>
      </c>
      <c r="C115" s="71" t="s">
        <v>1952</v>
      </c>
      <c r="D115" s="16" t="s">
        <v>1960</v>
      </c>
      <c r="E115" s="16" t="s">
        <v>1961</v>
      </c>
      <c r="F115" s="16" t="n">
        <v>1082</v>
      </c>
      <c r="G115" s="16" t="n">
        <v>127</v>
      </c>
      <c r="H115" s="16" t="n">
        <v>861</v>
      </c>
      <c r="I115" s="16" t="n">
        <v>487</v>
      </c>
      <c r="J115" s="16" t="n">
        <v>374</v>
      </c>
      <c r="K115" s="16" t="n">
        <v>42</v>
      </c>
      <c r="L115" s="19" t="n">
        <f aca="false">(K115/H115)*100</f>
        <v>4.87804878048781</v>
      </c>
      <c r="M115" s="16" t="n">
        <v>0</v>
      </c>
      <c r="N115" s="19" t="n">
        <f aca="false">(M115/H115)*100</f>
        <v>0</v>
      </c>
      <c r="O115" s="16" t="n">
        <v>0</v>
      </c>
      <c r="P115" s="16" t="n">
        <v>0</v>
      </c>
      <c r="Q115" s="286" t="s">
        <v>49</v>
      </c>
      <c r="R115" s="47" t="s">
        <v>595</v>
      </c>
      <c r="S115" s="16"/>
      <c r="T115" s="45"/>
      <c r="U115" s="16"/>
      <c r="V115" s="16"/>
      <c r="W115" s="16"/>
      <c r="X115" s="16"/>
      <c r="Y115" s="16"/>
      <c r="Z115" s="16"/>
      <c r="AA115" s="119" t="s">
        <v>50</v>
      </c>
      <c r="AB115" s="119" t="n">
        <v>4</v>
      </c>
      <c r="AC115" s="120" t="s">
        <v>1962</v>
      </c>
      <c r="AD115" s="45" t="n">
        <v>26.588126</v>
      </c>
      <c r="AE115" s="45" t="n">
        <v>72.201976</v>
      </c>
      <c r="AF115" s="16" t="s">
        <v>52</v>
      </c>
    </row>
    <row r="116" customFormat="false" ht="15.75" hidden="false" customHeight="false" outlineLevel="0" collapsed="false">
      <c r="A116" s="16" t="s">
        <v>42</v>
      </c>
      <c r="B116" s="16" t="s">
        <v>1716</v>
      </c>
      <c r="C116" s="71" t="s">
        <v>1963</v>
      </c>
      <c r="D116" s="72" t="s">
        <v>1964</v>
      </c>
      <c r="E116" s="16" t="s">
        <v>1965</v>
      </c>
      <c r="F116" s="16" t="n">
        <v>2184</v>
      </c>
      <c r="G116" s="16" t="n">
        <v>1074</v>
      </c>
      <c r="H116" s="16" t="n">
        <v>5878</v>
      </c>
      <c r="I116" s="16" t="n">
        <v>3041</v>
      </c>
      <c r="J116" s="16" t="n">
        <v>2837</v>
      </c>
      <c r="K116" s="16" t="n">
        <v>858</v>
      </c>
      <c r="L116" s="19" t="n">
        <f aca="false">(K116/H116)*100</f>
        <v>14.5968016332086</v>
      </c>
      <c r="M116" s="16" t="n">
        <v>511</v>
      </c>
      <c r="N116" s="19" t="n">
        <f aca="false">(M116/H116)*100</f>
        <v>8.69343314052399</v>
      </c>
      <c r="O116" s="16" t="n">
        <v>122</v>
      </c>
      <c r="P116" s="16" t="n">
        <v>0</v>
      </c>
      <c r="Q116" s="88"/>
      <c r="R116" s="87"/>
      <c r="S116" s="16"/>
      <c r="T116" s="16"/>
      <c r="U116" s="16"/>
      <c r="V116" s="16"/>
      <c r="W116" s="16"/>
      <c r="X116" s="16"/>
      <c r="Y116" s="16"/>
      <c r="Z116" s="16"/>
      <c r="AA116" s="88"/>
      <c r="AB116" s="88"/>
      <c r="AC116" s="16"/>
      <c r="AD116" s="16"/>
      <c r="AE116" s="16"/>
      <c r="AF116" s="16"/>
    </row>
    <row r="117" customFormat="false" ht="15.75" hidden="false" customHeight="false" outlineLevel="0" collapsed="false">
      <c r="A117" s="16" t="s">
        <v>42</v>
      </c>
      <c r="B117" s="16" t="s">
        <v>1716</v>
      </c>
      <c r="C117" s="71" t="s">
        <v>1107</v>
      </c>
      <c r="D117" s="72" t="s">
        <v>1107</v>
      </c>
      <c r="E117" s="16" t="s">
        <v>1966</v>
      </c>
      <c r="F117" s="16" t="n">
        <v>1850</v>
      </c>
      <c r="G117" s="16" t="n">
        <v>381</v>
      </c>
      <c r="H117" s="16" t="n">
        <v>2241</v>
      </c>
      <c r="I117" s="16" t="n">
        <v>1127</v>
      </c>
      <c r="J117" s="16" t="n">
        <v>1114</v>
      </c>
      <c r="K117" s="16" t="n">
        <v>27</v>
      </c>
      <c r="L117" s="19" t="n">
        <f aca="false">(K117/H117)*100</f>
        <v>1.20481927710843</v>
      </c>
      <c r="M117" s="16" t="n">
        <v>0</v>
      </c>
      <c r="N117" s="19" t="n">
        <f aca="false">(M117/H117)*100</f>
        <v>0</v>
      </c>
      <c r="O117" s="16" t="n">
        <v>0</v>
      </c>
      <c r="P117" s="16" t="n">
        <v>0</v>
      </c>
      <c r="Q117" s="88"/>
      <c r="R117" s="87"/>
      <c r="S117" s="16"/>
      <c r="T117" s="16"/>
      <c r="U117" s="16"/>
      <c r="V117" s="16"/>
      <c r="W117" s="16"/>
      <c r="X117" s="16"/>
      <c r="Y117" s="16"/>
      <c r="Z117" s="16"/>
      <c r="AA117" s="88"/>
      <c r="AB117" s="88"/>
      <c r="AC117" s="16"/>
      <c r="AD117" s="16"/>
      <c r="AE117" s="16"/>
      <c r="AF117" s="16"/>
    </row>
    <row r="118" customFormat="false" ht="15.75" hidden="false" customHeight="false" outlineLevel="0" collapsed="false">
      <c r="A118" s="16" t="s">
        <v>42</v>
      </c>
      <c r="B118" s="16" t="s">
        <v>1716</v>
      </c>
      <c r="C118" s="71" t="s">
        <v>1967</v>
      </c>
      <c r="D118" s="72" t="s">
        <v>1968</v>
      </c>
      <c r="E118" s="16" t="s">
        <v>1969</v>
      </c>
      <c r="F118" s="16" t="n">
        <v>715</v>
      </c>
      <c r="G118" s="16" t="n">
        <v>233</v>
      </c>
      <c r="H118" s="16" t="n">
        <v>1162</v>
      </c>
      <c r="I118" s="16" t="n">
        <v>603</v>
      </c>
      <c r="J118" s="16" t="n">
        <v>559</v>
      </c>
      <c r="K118" s="16" t="n">
        <v>262</v>
      </c>
      <c r="L118" s="19" t="n">
        <f aca="false">(K118/H118)*100</f>
        <v>22.5473321858864</v>
      </c>
      <c r="M118" s="16" t="n">
        <v>40</v>
      </c>
      <c r="N118" s="19" t="n">
        <f aca="false">(M118/H118)*100</f>
        <v>3.44234079173838</v>
      </c>
      <c r="O118" s="16" t="n">
        <v>23</v>
      </c>
      <c r="P118" s="16" t="n">
        <v>0</v>
      </c>
      <c r="Q118" s="286" t="s">
        <v>49</v>
      </c>
      <c r="R118" s="47" t="s">
        <v>1970</v>
      </c>
      <c r="S118" s="16"/>
      <c r="T118" s="45" t="s">
        <v>1971</v>
      </c>
      <c r="U118" s="16"/>
      <c r="V118" s="16"/>
      <c r="W118" s="16"/>
      <c r="X118" s="16"/>
      <c r="Y118" s="16"/>
      <c r="Z118" s="16"/>
      <c r="AA118" s="119" t="s">
        <v>50</v>
      </c>
      <c r="AB118" s="119" t="n">
        <v>0</v>
      </c>
      <c r="AC118" s="54"/>
      <c r="AD118" s="45" t="n">
        <v>0</v>
      </c>
      <c r="AE118" s="45" t="n">
        <v>0</v>
      </c>
      <c r="AF118" s="16" t="s">
        <v>52</v>
      </c>
    </row>
    <row r="119" customFormat="false" ht="15.75" hidden="false" customHeight="false" outlineLevel="0" collapsed="false">
      <c r="A119" s="16" t="s">
        <v>42</v>
      </c>
      <c r="B119" s="16" t="s">
        <v>1716</v>
      </c>
      <c r="C119" s="71" t="s">
        <v>1967</v>
      </c>
      <c r="D119" s="16" t="s">
        <v>1972</v>
      </c>
      <c r="E119" s="16" t="s">
        <v>1973</v>
      </c>
      <c r="F119" s="16" t="n">
        <v>343</v>
      </c>
      <c r="G119" s="16" t="n">
        <v>79</v>
      </c>
      <c r="H119" s="16" t="n">
        <v>453</v>
      </c>
      <c r="I119" s="16" t="n">
        <v>229</v>
      </c>
      <c r="J119" s="16" t="n">
        <v>224</v>
      </c>
      <c r="K119" s="16" t="n">
        <v>89</v>
      </c>
      <c r="L119" s="19" t="n">
        <f aca="false">(K119/H119)*100</f>
        <v>19.6467991169978</v>
      </c>
      <c r="M119" s="16" t="n">
        <v>75</v>
      </c>
      <c r="N119" s="19" t="n">
        <f aca="false">(M119/H119)*100</f>
        <v>16.5562913907285</v>
      </c>
      <c r="O119" s="16" t="n">
        <v>0</v>
      </c>
      <c r="P119" s="16" t="n">
        <v>0</v>
      </c>
      <c r="Q119" s="92" t="s">
        <v>49</v>
      </c>
      <c r="R119" s="26" t="s">
        <v>1970</v>
      </c>
      <c r="S119" s="16"/>
      <c r="T119" s="24" t="n">
        <v>0</v>
      </c>
      <c r="U119" s="16"/>
      <c r="V119" s="16"/>
      <c r="W119" s="16"/>
      <c r="X119" s="16"/>
      <c r="Y119" s="16"/>
      <c r="Z119" s="16"/>
      <c r="AA119" s="92" t="s">
        <v>50</v>
      </c>
      <c r="AB119" s="92" t="n">
        <v>0</v>
      </c>
      <c r="AC119" s="57"/>
      <c r="AD119" s="24" t="n">
        <v>0</v>
      </c>
      <c r="AE119" s="24" t="n">
        <v>0</v>
      </c>
      <c r="AF119" s="16" t="s">
        <v>1277</v>
      </c>
    </row>
    <row r="120" customFormat="false" ht="36.75" hidden="false" customHeight="true" outlineLevel="0" collapsed="false">
      <c r="A120" s="16" t="s">
        <v>42</v>
      </c>
      <c r="B120" s="16" t="s">
        <v>1716</v>
      </c>
      <c r="C120" s="71" t="s">
        <v>1967</v>
      </c>
      <c r="D120" s="16" t="s">
        <v>1974</v>
      </c>
      <c r="E120" s="16" t="s">
        <v>1975</v>
      </c>
      <c r="F120" s="16" t="n">
        <v>1100</v>
      </c>
      <c r="G120" s="16" t="n">
        <v>138</v>
      </c>
      <c r="H120" s="16" t="n">
        <v>856</v>
      </c>
      <c r="I120" s="16" t="n">
        <v>448</v>
      </c>
      <c r="J120" s="16" t="n">
        <v>408</v>
      </c>
      <c r="K120" s="16" t="n">
        <v>203</v>
      </c>
      <c r="L120" s="19" t="n">
        <f aca="false">(K120/H120)*100</f>
        <v>23.714953271028</v>
      </c>
      <c r="M120" s="16" t="n">
        <v>0</v>
      </c>
      <c r="N120" s="19" t="n">
        <f aca="false">(M120/H120)*100</f>
        <v>0</v>
      </c>
      <c r="O120" s="16" t="n">
        <v>20</v>
      </c>
      <c r="P120" s="16" t="n">
        <v>0</v>
      </c>
      <c r="Q120" s="286" t="s">
        <v>49</v>
      </c>
      <c r="R120" s="47" t="s">
        <v>1970</v>
      </c>
      <c r="S120" s="16"/>
      <c r="T120" s="45" t="s">
        <v>1971</v>
      </c>
      <c r="U120" s="16"/>
      <c r="V120" s="16"/>
      <c r="W120" s="16"/>
      <c r="X120" s="16"/>
      <c r="Y120" s="16"/>
      <c r="Z120" s="16"/>
      <c r="AA120" s="119" t="s">
        <v>50</v>
      </c>
      <c r="AB120" s="119" t="n">
        <v>1</v>
      </c>
      <c r="AC120" s="120" t="s">
        <v>1976</v>
      </c>
      <c r="AD120" s="45" t="n">
        <v>26.839003</v>
      </c>
      <c r="AE120" s="45" t="n">
        <v>72.46949</v>
      </c>
      <c r="AF120" s="16" t="s">
        <v>52</v>
      </c>
    </row>
    <row r="121" customFormat="false" ht="15.75" hidden="false" customHeight="false" outlineLevel="0" collapsed="false">
      <c r="A121" s="16" t="s">
        <v>42</v>
      </c>
      <c r="B121" s="16" t="s">
        <v>1716</v>
      </c>
      <c r="C121" s="71" t="s">
        <v>1967</v>
      </c>
      <c r="D121" s="16" t="s">
        <v>1977</v>
      </c>
      <c r="E121" s="16" t="s">
        <v>1978</v>
      </c>
      <c r="F121" s="16" t="n">
        <v>601</v>
      </c>
      <c r="G121" s="16" t="n">
        <v>106</v>
      </c>
      <c r="H121" s="16" t="n">
        <v>583</v>
      </c>
      <c r="I121" s="16" t="n">
        <v>313</v>
      </c>
      <c r="J121" s="16" t="n">
        <v>270</v>
      </c>
      <c r="K121" s="16" t="n">
        <v>1</v>
      </c>
      <c r="L121" s="19" t="n">
        <f aca="false">(K121/H121)*100</f>
        <v>0.171526586620926</v>
      </c>
      <c r="M121" s="16" t="n">
        <v>43</v>
      </c>
      <c r="N121" s="19" t="n">
        <f aca="false">(M121/H121)*100</f>
        <v>7.37564322469983</v>
      </c>
      <c r="O121" s="16" t="n">
        <v>3</v>
      </c>
      <c r="P121" s="16" t="n">
        <v>0</v>
      </c>
      <c r="Q121" s="286" t="s">
        <v>49</v>
      </c>
      <c r="R121" s="47" t="s">
        <v>1970</v>
      </c>
      <c r="S121" s="16"/>
      <c r="T121" s="45" t="s">
        <v>1971</v>
      </c>
      <c r="U121" s="16"/>
      <c r="V121" s="16"/>
      <c r="W121" s="16"/>
      <c r="X121" s="16"/>
      <c r="Y121" s="16"/>
      <c r="Z121" s="16"/>
      <c r="AA121" s="119" t="s">
        <v>50</v>
      </c>
      <c r="AB121" s="119" t="n">
        <v>0</v>
      </c>
      <c r="AC121" s="54"/>
      <c r="AD121" s="45" t="n">
        <v>0</v>
      </c>
      <c r="AE121" s="45" t="n">
        <v>0</v>
      </c>
      <c r="AF121" s="16" t="s">
        <v>52</v>
      </c>
    </row>
    <row r="122" customFormat="false" ht="15.75" hidden="false" customHeight="false" outlineLevel="0" collapsed="false">
      <c r="A122" s="16" t="s">
        <v>42</v>
      </c>
      <c r="B122" s="16" t="s">
        <v>1716</v>
      </c>
      <c r="C122" s="71" t="s">
        <v>1979</v>
      </c>
      <c r="D122" s="72" t="s">
        <v>1979</v>
      </c>
      <c r="E122" s="16" t="s">
        <v>1980</v>
      </c>
      <c r="F122" s="16" t="n">
        <v>669.34</v>
      </c>
      <c r="G122" s="16" t="n">
        <v>137</v>
      </c>
      <c r="H122" s="16" t="n">
        <v>758</v>
      </c>
      <c r="I122" s="16" t="n">
        <v>408</v>
      </c>
      <c r="J122" s="16" t="n">
        <v>350</v>
      </c>
      <c r="K122" s="16" t="n">
        <v>67</v>
      </c>
      <c r="L122" s="19" t="n">
        <f aca="false">(K122/H122)*100</f>
        <v>8.83905013192612</v>
      </c>
      <c r="M122" s="16" t="n">
        <v>0</v>
      </c>
      <c r="N122" s="19" t="n">
        <f aca="false">(M122/H122)*100</f>
        <v>0</v>
      </c>
      <c r="O122" s="16" t="n">
        <v>0</v>
      </c>
      <c r="P122" s="16" t="n">
        <v>0</v>
      </c>
      <c r="Q122" s="89" t="s">
        <v>49</v>
      </c>
      <c r="R122" s="34" t="n">
        <v>44919</v>
      </c>
      <c r="S122" s="16"/>
      <c r="T122" s="20"/>
      <c r="U122" s="16"/>
      <c r="V122" s="16"/>
      <c r="W122" s="16"/>
      <c r="X122" s="16"/>
      <c r="Y122" s="16"/>
      <c r="Z122" s="16"/>
      <c r="AA122" s="119" t="s">
        <v>266</v>
      </c>
      <c r="AB122" s="56" t="n">
        <v>10</v>
      </c>
      <c r="AC122" s="254" t="s">
        <v>1981</v>
      </c>
      <c r="AD122" s="20"/>
      <c r="AE122" s="20"/>
      <c r="AF122" s="16"/>
    </row>
    <row r="123" customFormat="false" ht="15.75" hidden="false" customHeight="false" outlineLevel="0" collapsed="false">
      <c r="A123" s="16" t="s">
        <v>42</v>
      </c>
      <c r="B123" s="16" t="s">
        <v>1716</v>
      </c>
      <c r="C123" s="71" t="s">
        <v>1979</v>
      </c>
      <c r="D123" s="16" t="s">
        <v>535</v>
      </c>
      <c r="E123" s="16" t="s">
        <v>1982</v>
      </c>
      <c r="F123" s="16" t="n">
        <v>197.86</v>
      </c>
      <c r="G123" s="16" t="n">
        <v>58</v>
      </c>
      <c r="H123" s="16" t="n">
        <v>292</v>
      </c>
      <c r="I123" s="16" t="n">
        <v>159</v>
      </c>
      <c r="J123" s="16" t="n">
        <v>133</v>
      </c>
      <c r="K123" s="16" t="n">
        <v>0</v>
      </c>
      <c r="L123" s="19" t="n">
        <f aca="false">(K123/H123)*100</f>
        <v>0</v>
      </c>
      <c r="M123" s="16" t="n">
        <v>0</v>
      </c>
      <c r="N123" s="19" t="n">
        <f aca="false">(M123/H123)*100</f>
        <v>0</v>
      </c>
      <c r="O123" s="16" t="n">
        <v>0</v>
      </c>
      <c r="P123" s="16" t="n">
        <v>0</v>
      </c>
      <c r="Q123" s="89" t="s">
        <v>49</v>
      </c>
      <c r="R123" s="34" t="n">
        <v>44919</v>
      </c>
      <c r="S123" s="16"/>
      <c r="T123" s="20" t="n">
        <v>0</v>
      </c>
      <c r="U123" s="16"/>
      <c r="V123" s="16"/>
      <c r="W123" s="16"/>
      <c r="X123" s="16"/>
      <c r="Y123" s="16"/>
      <c r="Z123" s="16"/>
      <c r="AA123" s="119" t="n">
        <v>0</v>
      </c>
      <c r="AB123" s="119" t="n">
        <v>0</v>
      </c>
      <c r="AC123" s="36" t="n">
        <v>0</v>
      </c>
      <c r="AD123" s="20" t="n">
        <v>0</v>
      </c>
      <c r="AE123" s="20"/>
      <c r="AF123" s="16"/>
    </row>
    <row r="124" customFormat="false" ht="15.75" hidden="false" customHeight="false" outlineLevel="0" collapsed="false">
      <c r="A124" s="16" t="s">
        <v>42</v>
      </c>
      <c r="B124" s="16" t="s">
        <v>1716</v>
      </c>
      <c r="C124" s="71" t="s">
        <v>1979</v>
      </c>
      <c r="D124" s="16" t="s">
        <v>1653</v>
      </c>
      <c r="E124" s="16" t="s">
        <v>1983</v>
      </c>
      <c r="F124" s="16" t="n">
        <v>785.54</v>
      </c>
      <c r="G124" s="16" t="n">
        <v>61</v>
      </c>
      <c r="H124" s="16" t="n">
        <v>380</v>
      </c>
      <c r="I124" s="16" t="n">
        <v>201</v>
      </c>
      <c r="J124" s="16" t="n">
        <v>179</v>
      </c>
      <c r="K124" s="16" t="n">
        <v>2</v>
      </c>
      <c r="L124" s="19" t="n">
        <f aca="false">(K124/H124)*100</f>
        <v>0.526315789473684</v>
      </c>
      <c r="M124" s="16" t="n">
        <v>0</v>
      </c>
      <c r="N124" s="19" t="n">
        <f aca="false">(M124/H124)*100</f>
        <v>0</v>
      </c>
      <c r="O124" s="16" t="n">
        <v>0</v>
      </c>
      <c r="P124" s="16" t="n">
        <v>0</v>
      </c>
      <c r="Q124" s="89" t="s">
        <v>49</v>
      </c>
      <c r="R124" s="34" t="n">
        <v>44919</v>
      </c>
      <c r="S124" s="16"/>
      <c r="T124" s="20" t="n">
        <v>0</v>
      </c>
      <c r="U124" s="16"/>
      <c r="V124" s="16"/>
      <c r="W124" s="16"/>
      <c r="X124" s="16"/>
      <c r="Y124" s="16"/>
      <c r="Z124" s="16"/>
      <c r="AA124" s="119" t="n">
        <v>0</v>
      </c>
      <c r="AB124" s="119" t="n">
        <v>0</v>
      </c>
      <c r="AC124" s="36" t="n">
        <v>0</v>
      </c>
      <c r="AD124" s="20" t="n">
        <v>0</v>
      </c>
      <c r="AE124" s="20" t="n">
        <v>0</v>
      </c>
      <c r="AF124" s="16"/>
    </row>
    <row r="125" customFormat="false" ht="15.75" hidden="false" customHeight="false" outlineLevel="0" collapsed="false">
      <c r="A125" s="16" t="s">
        <v>42</v>
      </c>
      <c r="B125" s="16" t="s">
        <v>1716</v>
      </c>
      <c r="C125" s="71" t="s">
        <v>1979</v>
      </c>
      <c r="D125" s="16" t="s">
        <v>1984</v>
      </c>
      <c r="E125" s="16" t="s">
        <v>1985</v>
      </c>
      <c r="F125" s="16" t="n">
        <v>228.76</v>
      </c>
      <c r="G125" s="16" t="n">
        <v>56</v>
      </c>
      <c r="H125" s="16" t="n">
        <v>302</v>
      </c>
      <c r="I125" s="16" t="n">
        <v>158</v>
      </c>
      <c r="J125" s="16" t="n">
        <v>144</v>
      </c>
      <c r="K125" s="16" t="n">
        <v>0</v>
      </c>
      <c r="L125" s="19" t="n">
        <f aca="false">(K125/H125)*100</f>
        <v>0</v>
      </c>
      <c r="M125" s="16" t="n">
        <v>0</v>
      </c>
      <c r="N125" s="19" t="n">
        <f aca="false">(M125/H125)*100</f>
        <v>0</v>
      </c>
      <c r="O125" s="16" t="n">
        <v>0</v>
      </c>
      <c r="P125" s="16" t="n">
        <v>0</v>
      </c>
      <c r="Q125" s="89" t="s">
        <v>49</v>
      </c>
      <c r="R125" s="34" t="n">
        <v>44919</v>
      </c>
      <c r="S125" s="16"/>
      <c r="T125" s="20"/>
      <c r="U125" s="16"/>
      <c r="V125" s="16"/>
      <c r="W125" s="16"/>
      <c r="X125" s="16"/>
      <c r="Y125" s="16"/>
      <c r="Z125" s="16"/>
      <c r="AA125" s="119" t="n">
        <v>0</v>
      </c>
      <c r="AB125" s="119" t="n">
        <v>0</v>
      </c>
      <c r="AC125" s="36" t="n">
        <v>0</v>
      </c>
      <c r="AD125" s="20" t="n">
        <v>0</v>
      </c>
      <c r="AE125" s="20" t="n">
        <v>0</v>
      </c>
      <c r="AF125" s="16"/>
    </row>
    <row r="126" customFormat="false" ht="15.75" hidden="false" customHeight="false" outlineLevel="0" collapsed="false">
      <c r="A126" s="16" t="s">
        <v>42</v>
      </c>
      <c r="B126" s="16" t="s">
        <v>1716</v>
      </c>
      <c r="C126" s="71" t="s">
        <v>1986</v>
      </c>
      <c r="D126" s="72" t="s">
        <v>1986</v>
      </c>
      <c r="E126" s="16" t="s">
        <v>1987</v>
      </c>
      <c r="F126" s="16" t="n">
        <v>369</v>
      </c>
      <c r="G126" s="16" t="n">
        <v>163</v>
      </c>
      <c r="H126" s="16" t="n">
        <v>963</v>
      </c>
      <c r="I126" s="16" t="n">
        <v>474</v>
      </c>
      <c r="J126" s="16" t="n">
        <v>489</v>
      </c>
      <c r="K126" s="16" t="n">
        <v>286</v>
      </c>
      <c r="L126" s="19" t="n">
        <f aca="false">(K126/H126)*100</f>
        <v>29.6988577362409</v>
      </c>
      <c r="M126" s="16" t="n">
        <v>55</v>
      </c>
      <c r="N126" s="19" t="n">
        <f aca="false">(M126/H126)*100</f>
        <v>5.71131879543094</v>
      </c>
      <c r="O126" s="16" t="n">
        <v>259.96</v>
      </c>
      <c r="P126" s="16" t="n">
        <v>0</v>
      </c>
      <c r="Q126" s="89" t="s">
        <v>49</v>
      </c>
      <c r="R126" s="34" t="n">
        <v>45112</v>
      </c>
      <c r="S126" s="16"/>
      <c r="T126" s="20"/>
      <c r="U126" s="16"/>
      <c r="V126" s="16"/>
      <c r="W126" s="16"/>
      <c r="X126" s="16"/>
      <c r="Y126" s="16"/>
      <c r="Z126" s="16"/>
      <c r="AA126" s="89" t="s">
        <v>50</v>
      </c>
      <c r="AB126" s="89" t="n">
        <v>6</v>
      </c>
      <c r="AC126" s="254" t="s">
        <v>1988</v>
      </c>
      <c r="AD126" s="89" t="n">
        <v>26.78</v>
      </c>
      <c r="AE126" s="89" t="n">
        <v>72.3</v>
      </c>
      <c r="AF126" s="16"/>
    </row>
    <row r="127" customFormat="false" ht="15.75" hidden="false" customHeight="false" outlineLevel="0" collapsed="false">
      <c r="A127" s="16"/>
      <c r="B127" s="16"/>
      <c r="C127" s="71"/>
      <c r="D127" s="72"/>
      <c r="E127" s="16"/>
      <c r="F127" s="16"/>
      <c r="G127" s="16"/>
      <c r="H127" s="16"/>
      <c r="I127" s="16"/>
      <c r="J127" s="16"/>
      <c r="K127" s="16"/>
      <c r="L127" s="19" t="e">
        <f aca="false">(K127/H127)*100</f>
        <v>#DIV/0!</v>
      </c>
      <c r="M127" s="16"/>
      <c r="N127" s="19" t="e">
        <f aca="false">(M127/H127)*100</f>
        <v>#DIV/0!</v>
      </c>
      <c r="O127" s="16"/>
      <c r="P127" s="16"/>
      <c r="Q127" s="93" t="s">
        <v>49</v>
      </c>
      <c r="R127" s="97"/>
      <c r="S127" s="16"/>
      <c r="T127" s="228"/>
      <c r="U127" s="16"/>
      <c r="V127" s="16"/>
      <c r="W127" s="16"/>
      <c r="X127" s="16"/>
      <c r="Y127" s="16"/>
      <c r="Z127" s="16"/>
      <c r="AA127" s="93" t="s">
        <v>50</v>
      </c>
      <c r="AB127" s="93" t="n">
        <v>15</v>
      </c>
      <c r="AC127" s="255" t="s">
        <v>1989</v>
      </c>
      <c r="AD127" s="93" t="n">
        <v>26.78</v>
      </c>
      <c r="AE127" s="93" t="n">
        <v>72.3</v>
      </c>
      <c r="AF127" s="16"/>
    </row>
    <row r="128" customFormat="false" ht="15.75" hidden="false" customHeight="false" outlineLevel="0" collapsed="false">
      <c r="A128" s="16"/>
      <c r="B128" s="16"/>
      <c r="C128" s="71"/>
      <c r="D128" s="72"/>
      <c r="E128" s="16"/>
      <c r="F128" s="16"/>
      <c r="G128" s="16"/>
      <c r="H128" s="16"/>
      <c r="I128" s="16"/>
      <c r="J128" s="16"/>
      <c r="K128" s="16"/>
      <c r="L128" s="19" t="e">
        <f aca="false">(K128/H128)*100</f>
        <v>#DIV/0!</v>
      </c>
      <c r="M128" s="16"/>
      <c r="N128" s="19" t="e">
        <f aca="false">(M128/H128)*100</f>
        <v>#DIV/0!</v>
      </c>
      <c r="O128" s="16"/>
      <c r="P128" s="16"/>
      <c r="Q128" s="93" t="s">
        <v>49</v>
      </c>
      <c r="R128" s="97"/>
      <c r="S128" s="16"/>
      <c r="T128" s="228"/>
      <c r="U128" s="16"/>
      <c r="V128" s="16"/>
      <c r="W128" s="16"/>
      <c r="X128" s="16"/>
      <c r="Y128" s="16"/>
      <c r="Z128" s="16"/>
      <c r="AA128" s="93" t="s">
        <v>50</v>
      </c>
      <c r="AB128" s="93" t="n">
        <v>18</v>
      </c>
      <c r="AC128" s="255" t="s">
        <v>1898</v>
      </c>
      <c r="AD128" s="93" t="n">
        <v>26.82</v>
      </c>
      <c r="AE128" s="93" t="n">
        <v>72.27</v>
      </c>
      <c r="AF128" s="16"/>
    </row>
    <row r="129" customFormat="false" ht="15.75" hidden="false" customHeight="false" outlineLevel="0" collapsed="false">
      <c r="A129" s="16" t="s">
        <v>42</v>
      </c>
      <c r="B129" s="16" t="s">
        <v>1716</v>
      </c>
      <c r="C129" s="71" t="s">
        <v>1986</v>
      </c>
      <c r="D129" s="16" t="s">
        <v>1990</v>
      </c>
      <c r="E129" s="16" t="s">
        <v>1991</v>
      </c>
      <c r="F129" s="16" t="n">
        <v>552</v>
      </c>
      <c r="G129" s="16" t="n">
        <v>43</v>
      </c>
      <c r="H129" s="16" t="n">
        <v>276</v>
      </c>
      <c r="I129" s="16" t="n">
        <v>144</v>
      </c>
      <c r="J129" s="16" t="n">
        <v>132</v>
      </c>
      <c r="K129" s="16" t="n">
        <v>6</v>
      </c>
      <c r="L129" s="19" t="n">
        <f aca="false">(K129/H129)*100</f>
        <v>2.17391304347826</v>
      </c>
      <c r="M129" s="16" t="n">
        <v>0</v>
      </c>
      <c r="N129" s="19" t="n">
        <f aca="false">(M129/H129)*100</f>
        <v>0</v>
      </c>
      <c r="O129" s="16" t="n">
        <v>40</v>
      </c>
      <c r="P129" s="16" t="n">
        <v>0</v>
      </c>
      <c r="Q129" s="89" t="s">
        <v>49</v>
      </c>
      <c r="R129" s="34" t="n">
        <v>45112</v>
      </c>
      <c r="S129" s="16"/>
      <c r="T129" s="20"/>
      <c r="U129" s="16"/>
      <c r="V129" s="16"/>
      <c r="W129" s="16"/>
      <c r="X129" s="16"/>
      <c r="Y129" s="16"/>
      <c r="Z129" s="16"/>
      <c r="AA129" s="89" t="s">
        <v>50</v>
      </c>
      <c r="AB129" s="89" t="n">
        <v>12</v>
      </c>
      <c r="AC129" s="254" t="s">
        <v>1992</v>
      </c>
      <c r="AD129" s="89" t="n">
        <v>26.77</v>
      </c>
      <c r="AE129" s="89" t="n">
        <v>72.25</v>
      </c>
      <c r="AF129" s="16"/>
    </row>
    <row r="130" customFormat="false" ht="15.75" hidden="false" customHeight="false" outlineLevel="0" collapsed="false">
      <c r="A130" s="16"/>
      <c r="B130" s="16"/>
      <c r="C130" s="71"/>
      <c r="D130" s="16"/>
      <c r="E130" s="16"/>
      <c r="F130" s="16"/>
      <c r="G130" s="16"/>
      <c r="H130" s="16"/>
      <c r="I130" s="16"/>
      <c r="J130" s="16"/>
      <c r="K130" s="16"/>
      <c r="L130" s="19" t="e">
        <f aca="false">(K130/H130)*100</f>
        <v>#DIV/0!</v>
      </c>
      <c r="M130" s="16"/>
      <c r="N130" s="19" t="e">
        <f aca="false">(M130/H130)*100</f>
        <v>#DIV/0!</v>
      </c>
      <c r="O130" s="16"/>
      <c r="P130" s="16"/>
      <c r="Q130" s="93" t="s">
        <v>49</v>
      </c>
      <c r="R130" s="97"/>
      <c r="S130" s="16"/>
      <c r="T130" s="228"/>
      <c r="U130" s="16"/>
      <c r="V130" s="16"/>
      <c r="W130" s="16"/>
      <c r="X130" s="16"/>
      <c r="Y130" s="16"/>
      <c r="Z130" s="16"/>
      <c r="AA130" s="93" t="s">
        <v>50</v>
      </c>
      <c r="AB130" s="93" t="n">
        <v>8</v>
      </c>
      <c r="AC130" s="255" t="s">
        <v>1993</v>
      </c>
      <c r="AD130" s="93" t="n">
        <v>26.77</v>
      </c>
      <c r="AE130" s="93" t="n">
        <v>72.26</v>
      </c>
      <c r="AF130" s="16"/>
    </row>
    <row r="131" customFormat="false" ht="15.75" hidden="false" customHeight="false" outlineLevel="0" collapsed="false">
      <c r="A131" s="16" t="s">
        <v>42</v>
      </c>
      <c r="B131" s="16" t="s">
        <v>1716</v>
      </c>
      <c r="C131" s="71" t="s">
        <v>1986</v>
      </c>
      <c r="D131" s="290" t="s">
        <v>1994</v>
      </c>
      <c r="E131" s="16" t="s">
        <v>1995</v>
      </c>
      <c r="F131" s="16" t="n">
        <v>569</v>
      </c>
      <c r="G131" s="16" t="n">
        <v>92</v>
      </c>
      <c r="H131" s="16" t="n">
        <v>503</v>
      </c>
      <c r="I131" s="16" t="n">
        <v>260</v>
      </c>
      <c r="J131" s="16" t="n">
        <v>243</v>
      </c>
      <c r="K131" s="16" t="n">
        <v>36</v>
      </c>
      <c r="L131" s="19" t="n">
        <f aca="false">(K131/H131)*100</f>
        <v>7.15705765407555</v>
      </c>
      <c r="M131" s="16" t="n">
        <v>25</v>
      </c>
      <c r="N131" s="19" t="n">
        <f aca="false">(M131/H131)*100</f>
        <v>4.97017892644135</v>
      </c>
      <c r="O131" s="16" t="n">
        <v>0</v>
      </c>
      <c r="P131" s="16" t="n">
        <v>0</v>
      </c>
      <c r="Q131" s="89" t="s">
        <v>49</v>
      </c>
      <c r="R131" s="34" t="n">
        <v>45112</v>
      </c>
      <c r="S131" s="16"/>
      <c r="T131" s="20"/>
      <c r="U131" s="16"/>
      <c r="V131" s="16"/>
      <c r="W131" s="16"/>
      <c r="X131" s="16"/>
      <c r="Y131" s="16"/>
      <c r="Z131" s="16"/>
      <c r="AA131" s="89" t="s">
        <v>50</v>
      </c>
      <c r="AB131" s="89" t="n">
        <v>0</v>
      </c>
      <c r="AC131" s="36" t="n">
        <v>0</v>
      </c>
      <c r="AD131" s="89"/>
      <c r="AE131" s="89"/>
      <c r="AF131" s="16"/>
    </row>
    <row r="132" customFormat="false" ht="15.75" hidden="false" customHeight="false" outlineLevel="0" collapsed="false">
      <c r="A132" s="16" t="s">
        <v>42</v>
      </c>
      <c r="B132" s="16" t="s">
        <v>1716</v>
      </c>
      <c r="C132" s="71" t="s">
        <v>1986</v>
      </c>
      <c r="D132" s="16" t="s">
        <v>1996</v>
      </c>
      <c r="E132" s="16" t="s">
        <v>1997</v>
      </c>
      <c r="F132" s="16" t="n">
        <v>1498</v>
      </c>
      <c r="G132" s="16" t="n">
        <v>107</v>
      </c>
      <c r="H132" s="16" t="n">
        <v>734</v>
      </c>
      <c r="I132" s="16" t="n">
        <v>387</v>
      </c>
      <c r="J132" s="16" t="n">
        <v>347</v>
      </c>
      <c r="K132" s="16" t="n">
        <v>72</v>
      </c>
      <c r="L132" s="19" t="n">
        <f aca="false">(K132/H132)*100</f>
        <v>9.80926430517711</v>
      </c>
      <c r="M132" s="16" t="n">
        <v>0</v>
      </c>
      <c r="N132" s="19" t="n">
        <f aca="false">(M132/H132)*100</f>
        <v>0</v>
      </c>
      <c r="O132" s="16" t="n">
        <v>204</v>
      </c>
      <c r="P132" s="16" t="n">
        <v>0</v>
      </c>
      <c r="Q132" s="89" t="s">
        <v>49</v>
      </c>
      <c r="R132" s="34" t="n">
        <v>45112</v>
      </c>
      <c r="S132" s="16"/>
      <c r="T132" s="20"/>
      <c r="U132" s="16"/>
      <c r="V132" s="16"/>
      <c r="W132" s="16"/>
      <c r="X132" s="16"/>
      <c r="Y132" s="16"/>
      <c r="Z132" s="16"/>
      <c r="AA132" s="89" t="s">
        <v>50</v>
      </c>
      <c r="AB132" s="89" t="n">
        <v>0</v>
      </c>
      <c r="AC132" s="36" t="n">
        <v>0</v>
      </c>
      <c r="AD132" s="89"/>
      <c r="AE132" s="89"/>
      <c r="AF132" s="16"/>
    </row>
    <row r="133" customFormat="false" ht="15.75" hidden="false" customHeight="false" outlineLevel="0" collapsed="false">
      <c r="A133" s="16" t="s">
        <v>42</v>
      </c>
      <c r="B133" s="16" t="s">
        <v>1716</v>
      </c>
      <c r="C133" s="71" t="s">
        <v>1986</v>
      </c>
      <c r="D133" s="16" t="s">
        <v>1998</v>
      </c>
      <c r="E133" s="16" t="s">
        <v>1999</v>
      </c>
      <c r="F133" s="16" t="n">
        <v>575</v>
      </c>
      <c r="G133" s="16" t="n">
        <v>44</v>
      </c>
      <c r="H133" s="16" t="n">
        <v>236</v>
      </c>
      <c r="I133" s="16" t="n">
        <v>125</v>
      </c>
      <c r="J133" s="16" t="n">
        <v>111</v>
      </c>
      <c r="K133" s="16" t="n">
        <v>177</v>
      </c>
      <c r="L133" s="19" t="n">
        <f aca="false">(K133/H133)*100</f>
        <v>75</v>
      </c>
      <c r="M133" s="16" t="n">
        <v>0</v>
      </c>
      <c r="N133" s="19" t="n">
        <f aca="false">(M133/H133)*100</f>
        <v>0</v>
      </c>
      <c r="O133" s="16" t="n">
        <v>0</v>
      </c>
      <c r="P133" s="16" t="n">
        <v>0</v>
      </c>
      <c r="Q133" s="89" t="s">
        <v>49</v>
      </c>
      <c r="R133" s="34" t="n">
        <v>45112</v>
      </c>
      <c r="S133" s="16"/>
      <c r="T133" s="20" t="n">
        <v>0</v>
      </c>
      <c r="U133" s="16"/>
      <c r="V133" s="16"/>
      <c r="W133" s="16"/>
      <c r="X133" s="16"/>
      <c r="Y133" s="16"/>
      <c r="Z133" s="16"/>
      <c r="AA133" s="89" t="s">
        <v>50</v>
      </c>
      <c r="AB133" s="89" t="n">
        <v>0</v>
      </c>
      <c r="AC133" s="36" t="n">
        <v>0</v>
      </c>
      <c r="AD133" s="89" t="n">
        <v>0</v>
      </c>
      <c r="AE133" s="89" t="n">
        <v>0</v>
      </c>
      <c r="AF133" s="16"/>
    </row>
    <row r="134" customFormat="false" ht="15.75" hidden="false" customHeight="false" outlineLevel="0" collapsed="false">
      <c r="A134" s="16" t="s">
        <v>42</v>
      </c>
      <c r="B134" s="16" t="s">
        <v>1716</v>
      </c>
      <c r="C134" s="71" t="s">
        <v>1986</v>
      </c>
      <c r="D134" s="16" t="s">
        <v>2000</v>
      </c>
      <c r="E134" s="16" t="s">
        <v>2001</v>
      </c>
      <c r="F134" s="16" t="n">
        <v>643</v>
      </c>
      <c r="G134" s="16" t="n">
        <v>103</v>
      </c>
      <c r="H134" s="16" t="n">
        <v>636</v>
      </c>
      <c r="I134" s="16" t="n">
        <v>326</v>
      </c>
      <c r="J134" s="16" t="n">
        <v>310</v>
      </c>
      <c r="K134" s="16" t="n">
        <v>35</v>
      </c>
      <c r="L134" s="19" t="n">
        <f aca="false">(K134/H134)*100</f>
        <v>5.50314465408805</v>
      </c>
      <c r="M134" s="16" t="n">
        <v>274</v>
      </c>
      <c r="N134" s="19" t="n">
        <f aca="false">(M134/H134)*100</f>
        <v>43.0817610062893</v>
      </c>
      <c r="O134" s="16" t="n">
        <v>0</v>
      </c>
      <c r="P134" s="16" t="n">
        <v>0</v>
      </c>
      <c r="Q134" s="89" t="s">
        <v>49</v>
      </c>
      <c r="R134" s="34" t="n">
        <v>45112</v>
      </c>
      <c r="S134" s="16"/>
      <c r="T134" s="20"/>
      <c r="U134" s="16"/>
      <c r="V134" s="16"/>
      <c r="W134" s="16"/>
      <c r="X134" s="16"/>
      <c r="Y134" s="16"/>
      <c r="Z134" s="16"/>
      <c r="AA134" s="89" t="s">
        <v>50</v>
      </c>
      <c r="AB134" s="89" t="n">
        <v>0</v>
      </c>
      <c r="AC134" s="36" t="n">
        <v>0</v>
      </c>
      <c r="AD134" s="89"/>
      <c r="AE134" s="89"/>
      <c r="AF134" s="16"/>
    </row>
    <row r="135" customFormat="false" ht="15.75" hidden="false" customHeight="false" outlineLevel="0" collapsed="false">
      <c r="A135" s="16" t="s">
        <v>42</v>
      </c>
      <c r="B135" s="16" t="s">
        <v>1716</v>
      </c>
      <c r="C135" s="71" t="s">
        <v>2002</v>
      </c>
      <c r="D135" s="72" t="s">
        <v>2003</v>
      </c>
      <c r="E135" s="16" t="s">
        <v>2004</v>
      </c>
      <c r="F135" s="16" t="n">
        <v>1469.47</v>
      </c>
      <c r="G135" s="16" t="n">
        <v>489</v>
      </c>
      <c r="H135" s="16" t="n">
        <v>2865</v>
      </c>
      <c r="I135" s="16" t="n">
        <v>1542</v>
      </c>
      <c r="J135" s="16" t="n">
        <v>1323</v>
      </c>
      <c r="K135" s="16" t="n">
        <v>295</v>
      </c>
      <c r="L135" s="19" t="n">
        <f aca="false">(K135/H135)*100</f>
        <v>10.2966841186736</v>
      </c>
      <c r="M135" s="16" t="n">
        <v>162</v>
      </c>
      <c r="N135" s="19" t="n">
        <f aca="false">(M135/H135)*100</f>
        <v>5.65445026178011</v>
      </c>
      <c r="O135" s="16" t="n">
        <v>542.47</v>
      </c>
      <c r="P135" s="16" t="n">
        <v>0</v>
      </c>
      <c r="Q135" s="89" t="s">
        <v>49</v>
      </c>
      <c r="R135" s="34" t="n">
        <v>45112</v>
      </c>
      <c r="S135" s="16"/>
      <c r="T135" s="20" t="n">
        <v>502.2385</v>
      </c>
      <c r="U135" s="16"/>
      <c r="V135" s="16"/>
      <c r="W135" s="16"/>
      <c r="X135" s="16"/>
      <c r="Y135" s="16"/>
      <c r="Z135" s="16"/>
      <c r="AA135" s="89" t="s">
        <v>50</v>
      </c>
      <c r="AB135" s="89" t="n">
        <v>10</v>
      </c>
      <c r="AC135" s="254" t="s">
        <v>2005</v>
      </c>
      <c r="AD135" s="89" t="n">
        <v>26.6</v>
      </c>
      <c r="AE135" s="89" t="n">
        <v>72.3</v>
      </c>
      <c r="AF135" s="16"/>
    </row>
    <row r="136" customFormat="false" ht="15.75" hidden="false" customHeight="false" outlineLevel="0" collapsed="false">
      <c r="A136" s="16"/>
      <c r="B136" s="16"/>
      <c r="C136" s="71"/>
      <c r="D136" s="72"/>
      <c r="E136" s="16"/>
      <c r="F136" s="16"/>
      <c r="G136" s="16"/>
      <c r="H136" s="16"/>
      <c r="I136" s="16"/>
      <c r="J136" s="16"/>
      <c r="K136" s="16"/>
      <c r="L136" s="19" t="e">
        <f aca="false">(K136/H136)*100</f>
        <v>#DIV/0!</v>
      </c>
      <c r="M136" s="16"/>
      <c r="N136" s="19" t="e">
        <f aca="false">(M136/H136)*100</f>
        <v>#DIV/0!</v>
      </c>
      <c r="O136" s="16"/>
      <c r="P136" s="16"/>
      <c r="Q136" s="93" t="s">
        <v>49</v>
      </c>
      <c r="R136" s="97"/>
      <c r="S136" s="16"/>
      <c r="T136" s="228"/>
      <c r="U136" s="16"/>
      <c r="V136" s="16"/>
      <c r="W136" s="16"/>
      <c r="X136" s="16"/>
      <c r="Y136" s="16"/>
      <c r="Z136" s="16"/>
      <c r="AA136" s="93" t="s">
        <v>50</v>
      </c>
      <c r="AB136" s="93" t="n">
        <v>8</v>
      </c>
      <c r="AC136" s="255" t="s">
        <v>2006</v>
      </c>
      <c r="AD136" s="93" t="n">
        <v>26.6</v>
      </c>
      <c r="AE136" s="93" t="n">
        <v>72.28</v>
      </c>
      <c r="AF136" s="16"/>
    </row>
    <row r="137" customFormat="false" ht="15.75" hidden="false" customHeight="false" outlineLevel="0" collapsed="false">
      <c r="A137" s="16"/>
      <c r="B137" s="16"/>
      <c r="C137" s="71"/>
      <c r="D137" s="72"/>
      <c r="E137" s="16"/>
      <c r="F137" s="16"/>
      <c r="G137" s="16"/>
      <c r="H137" s="16"/>
      <c r="I137" s="16"/>
      <c r="J137" s="16"/>
      <c r="K137" s="16"/>
      <c r="L137" s="19" t="e">
        <f aca="false">(K137/H137)*100</f>
        <v>#DIV/0!</v>
      </c>
      <c r="M137" s="16"/>
      <c r="N137" s="19" t="e">
        <f aca="false">(M137/H137)*100</f>
        <v>#DIV/0!</v>
      </c>
      <c r="O137" s="16"/>
      <c r="P137" s="16"/>
      <c r="Q137" s="93" t="s">
        <v>49</v>
      </c>
      <c r="R137" s="97"/>
      <c r="S137" s="16"/>
      <c r="T137" s="228"/>
      <c r="U137" s="16"/>
      <c r="V137" s="16"/>
      <c r="W137" s="16"/>
      <c r="X137" s="16"/>
      <c r="Y137" s="16"/>
      <c r="Z137" s="16"/>
      <c r="AA137" s="93" t="s">
        <v>50</v>
      </c>
      <c r="AB137" s="93" t="n">
        <v>15</v>
      </c>
      <c r="AC137" s="255" t="s">
        <v>2007</v>
      </c>
      <c r="AD137" s="93" t="n">
        <v>26.59</v>
      </c>
      <c r="AE137" s="93" t="n">
        <v>72.29</v>
      </c>
      <c r="AF137" s="16"/>
    </row>
    <row r="138" customFormat="false" ht="15.75" hidden="false" customHeight="false" outlineLevel="0" collapsed="false">
      <c r="A138" s="16"/>
      <c r="B138" s="16"/>
      <c r="C138" s="71"/>
      <c r="D138" s="72"/>
      <c r="E138" s="16"/>
      <c r="F138" s="16"/>
      <c r="G138" s="16"/>
      <c r="H138" s="16"/>
      <c r="I138" s="16"/>
      <c r="J138" s="16"/>
      <c r="K138" s="16"/>
      <c r="L138" s="19" t="e">
        <f aca="false">(K138/H138)*100</f>
        <v>#DIV/0!</v>
      </c>
      <c r="M138" s="16"/>
      <c r="N138" s="19" t="e">
        <f aca="false">(M138/H138)*100</f>
        <v>#DIV/0!</v>
      </c>
      <c r="O138" s="16"/>
      <c r="P138" s="16"/>
      <c r="Q138" s="93" t="s">
        <v>49</v>
      </c>
      <c r="R138" s="97"/>
      <c r="S138" s="16"/>
      <c r="T138" s="228"/>
      <c r="U138" s="16"/>
      <c r="V138" s="16"/>
      <c r="W138" s="16"/>
      <c r="X138" s="16"/>
      <c r="Y138" s="16"/>
      <c r="Z138" s="16"/>
      <c r="AA138" s="93" t="s">
        <v>50</v>
      </c>
      <c r="AB138" s="93" t="n">
        <v>15</v>
      </c>
      <c r="AC138" s="255" t="s">
        <v>2008</v>
      </c>
      <c r="AD138" s="93" t="n">
        <v>26.6</v>
      </c>
      <c r="AE138" s="93" t="n">
        <v>72.3</v>
      </c>
      <c r="AF138" s="16"/>
    </row>
    <row r="139" customFormat="false" ht="15.75" hidden="false" customHeight="false" outlineLevel="0" collapsed="false">
      <c r="A139" s="16" t="s">
        <v>42</v>
      </c>
      <c r="B139" s="16" t="s">
        <v>1716</v>
      </c>
      <c r="C139" s="71" t="s">
        <v>2002</v>
      </c>
      <c r="D139" s="16" t="s">
        <v>2009</v>
      </c>
      <c r="E139" s="16" t="s">
        <v>2010</v>
      </c>
      <c r="F139" s="16" t="n">
        <v>974</v>
      </c>
      <c r="G139" s="16" t="n">
        <v>227</v>
      </c>
      <c r="H139" s="16" t="n">
        <v>1168</v>
      </c>
      <c r="I139" s="16" t="n">
        <v>629</v>
      </c>
      <c r="J139" s="16" t="n">
        <v>539</v>
      </c>
      <c r="K139" s="16" t="n">
        <v>24</v>
      </c>
      <c r="L139" s="19" t="n">
        <f aca="false">(K139/H139)*100</f>
        <v>2.05479452054794</v>
      </c>
      <c r="M139" s="16" t="n">
        <v>104</v>
      </c>
      <c r="N139" s="19" t="n">
        <f aca="false">(M139/H139)*100</f>
        <v>8.9041095890411</v>
      </c>
      <c r="O139" s="16" t="n">
        <v>13</v>
      </c>
      <c r="P139" s="16" t="n">
        <v>0</v>
      </c>
      <c r="Q139" s="89" t="s">
        <v>49</v>
      </c>
      <c r="R139" s="34" t="n">
        <v>45112</v>
      </c>
      <c r="S139" s="16"/>
      <c r="T139" s="20"/>
      <c r="U139" s="16"/>
      <c r="V139" s="16"/>
      <c r="W139" s="16"/>
      <c r="X139" s="16"/>
      <c r="Y139" s="16"/>
      <c r="Z139" s="16"/>
      <c r="AA139" s="89" t="s">
        <v>50</v>
      </c>
      <c r="AB139" s="89" t="n">
        <v>0</v>
      </c>
      <c r="AC139" s="36" t="n">
        <v>0</v>
      </c>
      <c r="AD139" s="89"/>
      <c r="AE139" s="89"/>
      <c r="AF139" s="16"/>
    </row>
    <row r="140" customFormat="false" ht="15.75" hidden="false" customHeight="false" outlineLevel="0" collapsed="false">
      <c r="A140" s="16" t="s">
        <v>42</v>
      </c>
      <c r="B140" s="16" t="s">
        <v>1716</v>
      </c>
      <c r="C140" s="71" t="s">
        <v>2011</v>
      </c>
      <c r="D140" s="72" t="s">
        <v>2011</v>
      </c>
      <c r="E140" s="16" t="s">
        <v>2012</v>
      </c>
      <c r="F140" s="16" t="n">
        <v>545</v>
      </c>
      <c r="G140" s="16" t="n">
        <v>106</v>
      </c>
      <c r="H140" s="16" t="n">
        <v>717</v>
      </c>
      <c r="I140" s="16" t="n">
        <v>371</v>
      </c>
      <c r="J140" s="16" t="n">
        <v>346</v>
      </c>
      <c r="K140" s="16" t="n">
        <v>0</v>
      </c>
      <c r="L140" s="19" t="n">
        <f aca="false">(K140/H140)*100</f>
        <v>0</v>
      </c>
      <c r="M140" s="16" t="n">
        <v>0</v>
      </c>
      <c r="N140" s="19" t="n">
        <f aca="false">(M140/H140)*100</f>
        <v>0</v>
      </c>
      <c r="O140" s="16" t="n">
        <v>2</v>
      </c>
      <c r="P140" s="16" t="n">
        <v>0</v>
      </c>
      <c r="Q140" s="88"/>
      <c r="R140" s="87"/>
      <c r="S140" s="16"/>
      <c r="T140" s="16"/>
      <c r="U140" s="16"/>
      <c r="V140" s="16"/>
      <c r="W140" s="16"/>
      <c r="X140" s="16"/>
      <c r="Y140" s="16"/>
      <c r="Z140" s="16"/>
      <c r="AA140" s="88"/>
      <c r="AB140" s="88"/>
      <c r="AC140" s="16"/>
      <c r="AD140" s="16"/>
      <c r="AE140" s="16"/>
      <c r="AF140" s="16"/>
    </row>
    <row r="141" customFormat="false" ht="15.75" hidden="false" customHeight="false" outlineLevel="0" collapsed="false">
      <c r="A141" s="16" t="s">
        <v>42</v>
      </c>
      <c r="B141" s="16" t="s">
        <v>1716</v>
      </c>
      <c r="C141" s="71" t="s">
        <v>2011</v>
      </c>
      <c r="D141" s="16" t="s">
        <v>2013</v>
      </c>
      <c r="E141" s="16" t="s">
        <v>2014</v>
      </c>
      <c r="F141" s="16" t="n">
        <v>575</v>
      </c>
      <c r="G141" s="16" t="n">
        <v>96</v>
      </c>
      <c r="H141" s="16" t="n">
        <v>515</v>
      </c>
      <c r="I141" s="16" t="n">
        <v>266</v>
      </c>
      <c r="J141" s="16" t="n">
        <v>249</v>
      </c>
      <c r="K141" s="16" t="n">
        <v>0</v>
      </c>
      <c r="L141" s="19" t="n">
        <f aca="false">(K141/H141)*100</f>
        <v>0</v>
      </c>
      <c r="M141" s="16" t="n">
        <v>63</v>
      </c>
      <c r="N141" s="19" t="n">
        <f aca="false">(M141/H141)*100</f>
        <v>12.2330097087379</v>
      </c>
      <c r="O141" s="16" t="n">
        <v>15</v>
      </c>
      <c r="P141" s="16" t="n">
        <v>0</v>
      </c>
      <c r="Q141" s="88"/>
      <c r="R141" s="87"/>
      <c r="S141" s="16"/>
      <c r="T141" s="16"/>
      <c r="U141" s="16"/>
      <c r="V141" s="16"/>
      <c r="W141" s="16"/>
      <c r="X141" s="16"/>
      <c r="Y141" s="16"/>
      <c r="Z141" s="16"/>
      <c r="AA141" s="88"/>
      <c r="AB141" s="88"/>
      <c r="AC141" s="16"/>
      <c r="AD141" s="16"/>
      <c r="AE141" s="16"/>
      <c r="AF141" s="16"/>
    </row>
    <row r="142" customFormat="false" ht="15.75" hidden="false" customHeight="false" outlineLevel="0" collapsed="false">
      <c r="A142" s="16" t="s">
        <v>42</v>
      </c>
      <c r="B142" s="16" t="s">
        <v>1716</v>
      </c>
      <c r="C142" s="71" t="s">
        <v>2011</v>
      </c>
      <c r="D142" s="16" t="s">
        <v>2015</v>
      </c>
      <c r="E142" s="16" t="s">
        <v>2016</v>
      </c>
      <c r="F142" s="16" t="n">
        <v>635</v>
      </c>
      <c r="G142" s="16" t="n">
        <v>91</v>
      </c>
      <c r="H142" s="16" t="n">
        <v>617</v>
      </c>
      <c r="I142" s="16" t="n">
        <v>311</v>
      </c>
      <c r="J142" s="16" t="n">
        <v>306</v>
      </c>
      <c r="K142" s="16" t="n">
        <v>0</v>
      </c>
      <c r="L142" s="19" t="n">
        <f aca="false">(K142/H142)*100</f>
        <v>0</v>
      </c>
      <c r="M142" s="16" t="n">
        <v>0</v>
      </c>
      <c r="N142" s="19" t="n">
        <f aca="false">(M142/H142)*100</f>
        <v>0</v>
      </c>
      <c r="O142" s="16" t="n">
        <v>0</v>
      </c>
      <c r="P142" s="16" t="n">
        <v>0</v>
      </c>
      <c r="Q142" s="88"/>
      <c r="R142" s="87"/>
      <c r="S142" s="16"/>
      <c r="T142" s="16"/>
      <c r="U142" s="16"/>
      <c r="V142" s="16"/>
      <c r="W142" s="16"/>
      <c r="X142" s="16"/>
      <c r="Y142" s="16"/>
      <c r="Z142" s="16"/>
      <c r="AA142" s="88"/>
      <c r="AB142" s="88"/>
      <c r="AC142" s="16"/>
      <c r="AD142" s="16"/>
      <c r="AE142" s="16"/>
      <c r="AF142" s="16"/>
    </row>
    <row r="143" customFormat="false" ht="15.75" hidden="false" customHeight="false" outlineLevel="0" collapsed="false">
      <c r="A143" s="16" t="s">
        <v>42</v>
      </c>
      <c r="B143" s="16" t="s">
        <v>1716</v>
      </c>
      <c r="C143" s="71" t="s">
        <v>2011</v>
      </c>
      <c r="D143" s="16" t="s">
        <v>2017</v>
      </c>
      <c r="E143" s="16" t="s">
        <v>2018</v>
      </c>
      <c r="F143" s="16" t="n">
        <v>923</v>
      </c>
      <c r="G143" s="16" t="n">
        <v>75</v>
      </c>
      <c r="H143" s="16" t="n">
        <v>471</v>
      </c>
      <c r="I143" s="16" t="n">
        <v>245</v>
      </c>
      <c r="J143" s="16" t="n">
        <v>226</v>
      </c>
      <c r="K143" s="16" t="n">
        <v>0</v>
      </c>
      <c r="L143" s="19" t="n">
        <f aca="false">(K143/H143)*100</f>
        <v>0</v>
      </c>
      <c r="M143" s="16" t="n">
        <v>0</v>
      </c>
      <c r="N143" s="19" t="n">
        <f aca="false">(M143/H143)*100</f>
        <v>0</v>
      </c>
      <c r="O143" s="16" t="n">
        <v>0</v>
      </c>
      <c r="P143" s="16" t="n">
        <v>0</v>
      </c>
      <c r="Q143" s="88"/>
      <c r="R143" s="87"/>
      <c r="S143" s="16"/>
      <c r="T143" s="16"/>
      <c r="U143" s="16"/>
      <c r="V143" s="16"/>
      <c r="W143" s="16"/>
      <c r="X143" s="16"/>
      <c r="Y143" s="16"/>
      <c r="Z143" s="16"/>
      <c r="AA143" s="88"/>
      <c r="AB143" s="88"/>
      <c r="AC143" s="16"/>
      <c r="AD143" s="16"/>
      <c r="AE143" s="16"/>
      <c r="AF143" s="16"/>
    </row>
    <row r="144" customFormat="false" ht="15.75" hidden="false" customHeight="false" outlineLevel="0" collapsed="false">
      <c r="A144" s="16" t="s">
        <v>42</v>
      </c>
      <c r="B144" s="16" t="s">
        <v>1716</v>
      </c>
      <c r="C144" s="71" t="s">
        <v>2019</v>
      </c>
      <c r="D144" s="72" t="s">
        <v>2020</v>
      </c>
      <c r="E144" s="16" t="s">
        <v>2021</v>
      </c>
      <c r="F144" s="16" t="n">
        <v>1109</v>
      </c>
      <c r="G144" s="16" t="n">
        <v>254</v>
      </c>
      <c r="H144" s="16" t="n">
        <v>1545</v>
      </c>
      <c r="I144" s="16" t="n">
        <v>829</v>
      </c>
      <c r="J144" s="16" t="n">
        <v>716</v>
      </c>
      <c r="K144" s="16" t="n">
        <v>142</v>
      </c>
      <c r="L144" s="19" t="n">
        <f aca="false">(K144/H144)*100</f>
        <v>9.19093851132686</v>
      </c>
      <c r="M144" s="16" t="n">
        <v>4</v>
      </c>
      <c r="N144" s="19" t="n">
        <f aca="false">(M144/H144)*100</f>
        <v>0.258899676375404</v>
      </c>
      <c r="O144" s="16" t="n">
        <v>238</v>
      </c>
      <c r="P144" s="16" t="n">
        <v>0</v>
      </c>
      <c r="Q144" s="88"/>
      <c r="R144" s="87"/>
      <c r="S144" s="16"/>
      <c r="T144" s="16"/>
      <c r="U144" s="16"/>
      <c r="V144" s="16"/>
      <c r="W144" s="16"/>
      <c r="X144" s="16"/>
      <c r="Y144" s="16"/>
      <c r="Z144" s="16"/>
      <c r="AA144" s="88"/>
      <c r="AB144" s="88"/>
      <c r="AC144" s="16"/>
      <c r="AD144" s="16"/>
      <c r="AE144" s="16"/>
      <c r="AF144" s="16"/>
    </row>
    <row r="145" customFormat="false" ht="15.75" hidden="false" customHeight="false" outlineLevel="0" collapsed="false">
      <c r="A145" s="16" t="s">
        <v>42</v>
      </c>
      <c r="B145" s="16" t="s">
        <v>1716</v>
      </c>
      <c r="C145" s="71" t="s">
        <v>2019</v>
      </c>
      <c r="D145" s="16" t="s">
        <v>2022</v>
      </c>
      <c r="E145" s="16" t="s">
        <v>2023</v>
      </c>
      <c r="F145" s="16" t="n">
        <v>548</v>
      </c>
      <c r="G145" s="16" t="n">
        <v>100</v>
      </c>
      <c r="H145" s="16" t="n">
        <v>574</v>
      </c>
      <c r="I145" s="16" t="n">
        <v>292</v>
      </c>
      <c r="J145" s="16" t="n">
        <v>282</v>
      </c>
      <c r="K145" s="16" t="n">
        <v>371</v>
      </c>
      <c r="L145" s="19" t="n">
        <f aca="false">(K145/H145)*100</f>
        <v>64.6341463414634</v>
      </c>
      <c r="M145" s="16" t="n">
        <v>94</v>
      </c>
      <c r="N145" s="19" t="n">
        <f aca="false">(M145/H145)*100</f>
        <v>16.3763066202091</v>
      </c>
      <c r="O145" s="16" t="n">
        <v>1</v>
      </c>
      <c r="P145" s="16" t="n">
        <v>0</v>
      </c>
      <c r="Q145" s="88"/>
      <c r="R145" s="87"/>
      <c r="S145" s="16"/>
      <c r="T145" s="16"/>
      <c r="U145" s="16"/>
      <c r="V145" s="16"/>
      <c r="W145" s="16"/>
      <c r="X145" s="16"/>
      <c r="Y145" s="16"/>
      <c r="Z145" s="16"/>
      <c r="AA145" s="88"/>
      <c r="AB145" s="88"/>
      <c r="AC145" s="16"/>
      <c r="AD145" s="16"/>
      <c r="AE145" s="16"/>
      <c r="AF145" s="16"/>
    </row>
    <row r="146" customFormat="false" ht="15.75" hidden="false" customHeight="false" outlineLevel="0" collapsed="false">
      <c r="A146" s="16" t="s">
        <v>42</v>
      </c>
      <c r="B146" s="16" t="s">
        <v>1716</v>
      </c>
      <c r="C146" s="71" t="s">
        <v>2019</v>
      </c>
      <c r="D146" s="16" t="s">
        <v>2024</v>
      </c>
      <c r="E146" s="16" t="s">
        <v>2025</v>
      </c>
      <c r="F146" s="16" t="n">
        <v>1046</v>
      </c>
      <c r="G146" s="16" t="n">
        <v>80</v>
      </c>
      <c r="H146" s="16" t="n">
        <v>462</v>
      </c>
      <c r="I146" s="16" t="n">
        <v>238</v>
      </c>
      <c r="J146" s="16" t="n">
        <v>224</v>
      </c>
      <c r="K146" s="16" t="n">
        <v>27</v>
      </c>
      <c r="L146" s="19" t="n">
        <f aca="false">(K146/H146)*100</f>
        <v>5.84415584415584</v>
      </c>
      <c r="M146" s="16" t="n">
        <v>1</v>
      </c>
      <c r="N146" s="19" t="n">
        <f aca="false">(M146/H146)*100</f>
        <v>0.216450216450216</v>
      </c>
      <c r="O146" s="16" t="n">
        <v>34</v>
      </c>
      <c r="P146" s="16" t="n">
        <v>0</v>
      </c>
      <c r="Q146" s="88"/>
      <c r="R146" s="87"/>
      <c r="S146" s="16"/>
      <c r="T146" s="16"/>
      <c r="U146" s="16"/>
      <c r="V146" s="16"/>
      <c r="W146" s="16"/>
      <c r="X146" s="16"/>
      <c r="Y146" s="16"/>
      <c r="Z146" s="16"/>
      <c r="AA146" s="88"/>
      <c r="AB146" s="88"/>
      <c r="AC146" s="16"/>
      <c r="AD146" s="16"/>
      <c r="AE146" s="16"/>
      <c r="AF146" s="16"/>
    </row>
    <row r="147" customFormat="false" ht="15.75" hidden="false" customHeight="false" outlineLevel="0" collapsed="false">
      <c r="A147" s="16" t="s">
        <v>42</v>
      </c>
      <c r="B147" s="16" t="s">
        <v>1716</v>
      </c>
      <c r="C147" s="71" t="s">
        <v>2019</v>
      </c>
      <c r="D147" s="16" t="s">
        <v>232</v>
      </c>
      <c r="E147" s="16" t="s">
        <v>2026</v>
      </c>
      <c r="F147" s="16" t="n">
        <v>518</v>
      </c>
      <c r="G147" s="16" t="n">
        <v>77</v>
      </c>
      <c r="H147" s="16" t="n">
        <v>463</v>
      </c>
      <c r="I147" s="16" t="n">
        <v>240</v>
      </c>
      <c r="J147" s="16" t="n">
        <v>223</v>
      </c>
      <c r="K147" s="16" t="n">
        <v>0</v>
      </c>
      <c r="L147" s="19" t="n">
        <f aca="false">(K147/H147)*100</f>
        <v>0</v>
      </c>
      <c r="M147" s="16" t="n">
        <v>177</v>
      </c>
      <c r="N147" s="19" t="n">
        <f aca="false">(M147/H147)*100</f>
        <v>38.2289416846652</v>
      </c>
      <c r="O147" s="16" t="n">
        <v>4</v>
      </c>
      <c r="P147" s="16" t="n">
        <v>0</v>
      </c>
      <c r="Q147" s="88"/>
      <c r="R147" s="87"/>
      <c r="S147" s="16"/>
      <c r="T147" s="16"/>
      <c r="U147" s="16"/>
      <c r="V147" s="16"/>
      <c r="W147" s="16"/>
      <c r="X147" s="16"/>
      <c r="Y147" s="16"/>
      <c r="Z147" s="16"/>
      <c r="AA147" s="88"/>
      <c r="AB147" s="88"/>
      <c r="AC147" s="16"/>
      <c r="AD147" s="16"/>
      <c r="AE147" s="16"/>
      <c r="AF147" s="16"/>
    </row>
    <row r="148" customFormat="false" ht="15.75" hidden="false" customHeight="false" outlineLevel="0" collapsed="false">
      <c r="A148" s="16" t="s">
        <v>42</v>
      </c>
      <c r="B148" s="16" t="s">
        <v>1716</v>
      </c>
      <c r="C148" s="71" t="s">
        <v>2027</v>
      </c>
      <c r="D148" s="71" t="s">
        <v>2027</v>
      </c>
      <c r="E148" s="16"/>
      <c r="F148" s="16"/>
      <c r="G148" s="16"/>
      <c r="H148" s="16"/>
      <c r="I148" s="16"/>
      <c r="J148" s="16"/>
      <c r="K148" s="16"/>
      <c r="L148" s="19"/>
      <c r="M148" s="16"/>
      <c r="N148" s="19"/>
      <c r="O148" s="16"/>
      <c r="P148" s="16"/>
      <c r="Q148" s="92" t="s">
        <v>49</v>
      </c>
      <c r="R148" s="25" t="n">
        <v>44879</v>
      </c>
      <c r="S148" s="16"/>
      <c r="T148" s="24" t="n">
        <v>6.4965</v>
      </c>
      <c r="U148" s="16"/>
      <c r="V148" s="16"/>
      <c r="W148" s="16"/>
      <c r="X148" s="16"/>
      <c r="Y148" s="16"/>
      <c r="Z148" s="16"/>
      <c r="AA148" s="119" t="s">
        <v>266</v>
      </c>
      <c r="AB148" s="92" t="n">
        <v>12</v>
      </c>
      <c r="AC148" s="284" t="s">
        <v>2028</v>
      </c>
      <c r="AD148" s="119" t="n">
        <v>26.61</v>
      </c>
      <c r="AE148" s="92" t="n">
        <v>72.33</v>
      </c>
      <c r="AF148" s="16"/>
    </row>
    <row r="149" customFormat="false" ht="15.75" hidden="false" customHeight="false" outlineLevel="0" collapsed="false">
      <c r="A149" s="16"/>
      <c r="B149" s="16"/>
      <c r="C149" s="71"/>
      <c r="D149" s="71"/>
      <c r="E149" s="16"/>
      <c r="F149" s="16"/>
      <c r="G149" s="16"/>
      <c r="H149" s="16"/>
      <c r="I149" s="16"/>
      <c r="J149" s="16"/>
      <c r="K149" s="16"/>
      <c r="L149" s="19"/>
      <c r="M149" s="16"/>
      <c r="N149" s="19"/>
      <c r="O149" s="16"/>
      <c r="P149" s="16"/>
      <c r="Q149" s="93"/>
      <c r="R149" s="97"/>
      <c r="S149" s="16"/>
      <c r="T149" s="228"/>
      <c r="U149" s="16"/>
      <c r="V149" s="16"/>
      <c r="W149" s="16"/>
      <c r="X149" s="16"/>
      <c r="Y149" s="16"/>
      <c r="Z149" s="16"/>
      <c r="AA149" s="232" t="s">
        <v>266</v>
      </c>
      <c r="AB149" s="93" t="n">
        <v>8</v>
      </c>
      <c r="AC149" s="255" t="s">
        <v>2029</v>
      </c>
      <c r="AD149" s="232" t="n">
        <v>26.61</v>
      </c>
      <c r="AE149" s="93" t="n">
        <v>72.33</v>
      </c>
      <c r="AF149" s="16"/>
    </row>
    <row r="150" customFormat="false" ht="15.75" hidden="false" customHeight="false" outlineLevel="0" collapsed="false">
      <c r="A150" s="16"/>
      <c r="B150" s="16"/>
      <c r="C150" s="71"/>
      <c r="D150" s="71"/>
      <c r="E150" s="16"/>
      <c r="F150" s="16"/>
      <c r="G150" s="16"/>
      <c r="H150" s="16"/>
      <c r="I150" s="16"/>
      <c r="J150" s="16"/>
      <c r="K150" s="16"/>
      <c r="L150" s="19"/>
      <c r="M150" s="16"/>
      <c r="N150" s="19"/>
      <c r="O150" s="16"/>
      <c r="P150" s="16"/>
      <c r="Q150" s="93"/>
      <c r="R150" s="97"/>
      <c r="S150" s="16"/>
      <c r="T150" s="228"/>
      <c r="U150" s="16"/>
      <c r="V150" s="16"/>
      <c r="W150" s="16"/>
      <c r="X150" s="16"/>
      <c r="Y150" s="16"/>
      <c r="Z150" s="16"/>
      <c r="AA150" s="232" t="s">
        <v>266</v>
      </c>
      <c r="AB150" s="93" t="n">
        <v>7</v>
      </c>
      <c r="AC150" s="255" t="s">
        <v>2030</v>
      </c>
      <c r="AD150" s="232" t="n">
        <v>26.61</v>
      </c>
      <c r="AE150" s="93" t="n">
        <v>72.33</v>
      </c>
      <c r="AF150" s="16"/>
    </row>
    <row r="151" customFormat="false" ht="15.75" hidden="false" customHeight="false" outlineLevel="0" collapsed="false">
      <c r="A151" s="16" t="s">
        <v>42</v>
      </c>
      <c r="B151" s="16" t="s">
        <v>1716</v>
      </c>
      <c r="C151" s="71" t="s">
        <v>2027</v>
      </c>
      <c r="D151" s="16" t="s">
        <v>2031</v>
      </c>
      <c r="E151" s="16" t="s">
        <v>2032</v>
      </c>
      <c r="F151" s="16" t="n">
        <v>644</v>
      </c>
      <c r="G151" s="16" t="n">
        <v>166</v>
      </c>
      <c r="H151" s="16" t="n">
        <v>884</v>
      </c>
      <c r="I151" s="16" t="n">
        <v>475</v>
      </c>
      <c r="J151" s="16" t="n">
        <v>409</v>
      </c>
      <c r="K151" s="16" t="n">
        <v>562</v>
      </c>
      <c r="L151" s="19" t="n">
        <f aca="false">(K151/H151)*100</f>
        <v>63.5746606334842</v>
      </c>
      <c r="M151" s="16" t="n">
        <v>116</v>
      </c>
      <c r="N151" s="19" t="n">
        <f aca="false">(M151/H151)*100</f>
        <v>13.1221719457014</v>
      </c>
      <c r="O151" s="16" t="n">
        <v>0</v>
      </c>
      <c r="P151" s="16" t="n">
        <v>0</v>
      </c>
      <c r="Q151" s="92" t="s">
        <v>49</v>
      </c>
      <c r="R151" s="25" t="n">
        <v>44879</v>
      </c>
      <c r="S151" s="16"/>
      <c r="T151" s="24"/>
      <c r="U151" s="16"/>
      <c r="V151" s="16"/>
      <c r="W151" s="16"/>
      <c r="X151" s="16"/>
      <c r="Y151" s="16"/>
      <c r="Z151" s="16"/>
      <c r="AA151" s="119" t="s">
        <v>266</v>
      </c>
      <c r="AB151" s="92" t="n">
        <v>0</v>
      </c>
      <c r="AC151" s="57" t="n">
        <v>0</v>
      </c>
      <c r="AD151" s="119"/>
      <c r="AE151" s="92"/>
      <c r="AF151" s="16"/>
    </row>
    <row r="152" customFormat="false" ht="15.75" hidden="false" customHeight="false" outlineLevel="0" collapsed="false">
      <c r="A152" s="16" t="s">
        <v>42</v>
      </c>
      <c r="B152" s="16" t="s">
        <v>1716</v>
      </c>
      <c r="C152" s="71" t="s">
        <v>2027</v>
      </c>
      <c r="D152" s="16" t="s">
        <v>2033</v>
      </c>
      <c r="E152" s="16" t="s">
        <v>2034</v>
      </c>
      <c r="F152" s="16" t="n">
        <v>335</v>
      </c>
      <c r="G152" s="16" t="n">
        <v>45</v>
      </c>
      <c r="H152" s="16" t="n">
        <v>242</v>
      </c>
      <c r="I152" s="16" t="n">
        <v>123</v>
      </c>
      <c r="J152" s="16" t="n">
        <v>119</v>
      </c>
      <c r="K152" s="16" t="n">
        <v>0</v>
      </c>
      <c r="L152" s="19" t="n">
        <f aca="false">(K152/H152)*100</f>
        <v>0</v>
      </c>
      <c r="M152" s="16" t="n">
        <v>116</v>
      </c>
      <c r="N152" s="19" t="n">
        <f aca="false">(M152/H152)*100</f>
        <v>47.9338842975207</v>
      </c>
      <c r="O152" s="16" t="n">
        <v>12</v>
      </c>
      <c r="P152" s="16" t="n">
        <v>0</v>
      </c>
      <c r="Q152" s="92" t="s">
        <v>49</v>
      </c>
      <c r="R152" s="25" t="n">
        <v>44879</v>
      </c>
      <c r="S152" s="16"/>
      <c r="T152" s="24" t="n">
        <v>12.092</v>
      </c>
      <c r="U152" s="16"/>
      <c r="V152" s="16"/>
      <c r="W152" s="16"/>
      <c r="X152" s="16"/>
      <c r="Y152" s="16"/>
      <c r="Z152" s="16"/>
      <c r="AA152" s="119" t="s">
        <v>266</v>
      </c>
      <c r="AB152" s="92" t="n">
        <v>0</v>
      </c>
      <c r="AC152" s="57" t="n">
        <v>0</v>
      </c>
      <c r="AD152" s="119"/>
      <c r="AE152" s="92"/>
      <c r="AF152" s="16"/>
    </row>
    <row r="153" customFormat="false" ht="15.75" hidden="false" customHeight="false" outlineLevel="0" collapsed="false">
      <c r="A153" s="16" t="s">
        <v>42</v>
      </c>
      <c r="B153" s="16" t="s">
        <v>1716</v>
      </c>
      <c r="C153" s="71" t="s">
        <v>2027</v>
      </c>
      <c r="D153" s="16" t="s">
        <v>2035</v>
      </c>
      <c r="E153" s="16" t="s">
        <v>2036</v>
      </c>
      <c r="F153" s="16" t="n">
        <v>275</v>
      </c>
      <c r="G153" s="16" t="n">
        <v>91</v>
      </c>
      <c r="H153" s="16" t="n">
        <v>412</v>
      </c>
      <c r="I153" s="16" t="n">
        <v>212</v>
      </c>
      <c r="J153" s="16" t="n">
        <v>200</v>
      </c>
      <c r="K153" s="16" t="n">
        <v>167</v>
      </c>
      <c r="L153" s="19" t="n">
        <f aca="false">(K153/H153)*100</f>
        <v>40.5339805825243</v>
      </c>
      <c r="M153" s="16" t="n">
        <v>0</v>
      </c>
      <c r="N153" s="19" t="n">
        <f aca="false">(M153/H153)*100</f>
        <v>0</v>
      </c>
      <c r="O153" s="16" t="n">
        <v>0</v>
      </c>
      <c r="P153" s="16" t="n">
        <v>0</v>
      </c>
      <c r="Q153" s="92" t="s">
        <v>49</v>
      </c>
      <c r="R153" s="25" t="n">
        <v>44879</v>
      </c>
      <c r="S153" s="16"/>
      <c r="T153" s="24"/>
      <c r="U153" s="16"/>
      <c r="V153" s="16"/>
      <c r="W153" s="16"/>
      <c r="X153" s="16"/>
      <c r="Y153" s="16"/>
      <c r="Z153" s="16"/>
      <c r="AA153" s="119" t="s">
        <v>266</v>
      </c>
      <c r="AB153" s="92" t="n">
        <v>0</v>
      </c>
      <c r="AC153" s="57" t="n">
        <v>0</v>
      </c>
      <c r="AD153" s="119"/>
      <c r="AE153" s="92"/>
      <c r="AF153" s="16"/>
    </row>
    <row r="154" customFormat="false" ht="15.75" hidden="false" customHeight="false" outlineLevel="0" collapsed="false">
      <c r="F154" s="58" t="n">
        <f aca="false">SUM(F4:F153)</f>
        <v>114620.23</v>
      </c>
      <c r="G154" s="58" t="n">
        <f aca="false">SUM(G4:G153)</f>
        <v>18547</v>
      </c>
      <c r="H154" s="58" t="n">
        <f aca="false">SUM(H4:H153)</f>
        <v>111583</v>
      </c>
      <c r="I154" s="58" t="n">
        <f aca="false">SUM(I4:I153)</f>
        <v>58470</v>
      </c>
      <c r="J154" s="58" t="n">
        <f aca="false">SUM(J4:J153)</f>
        <v>53113</v>
      </c>
      <c r="K154" s="58" t="n">
        <f aca="false">SUM(K4:K153)</f>
        <v>20207</v>
      </c>
      <c r="M154" s="58" t="n">
        <f aca="false">SUM(M4:M153)</f>
        <v>6793</v>
      </c>
      <c r="O154" s="58" t="n">
        <f aca="false">SUM(O4:O153)</f>
        <v>8336.62</v>
      </c>
      <c r="P154" s="58" t="n">
        <f aca="false">SUM(P4:P153)</f>
        <v>0</v>
      </c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7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E1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AA3" activePane="bottomRight" state="frozen"/>
      <selection pane="topLeft" activeCell="A1" activeCellId="0" sqref="A1"/>
      <selection pane="topRight" activeCell="AA1" activeCellId="0" sqref="AA1"/>
      <selection pane="bottomLeft" activeCell="A3" activeCellId="0" sqref="A3"/>
      <selection pane="bottomRight" activeCell="AD1" activeCellId="0" sqref="AD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58" width="10"/>
    <col collapsed="false" customWidth="true" hidden="false" outlineLevel="0" max="2" min="2" style="58" width="8.57"/>
    <col collapsed="false" customWidth="true" hidden="false" outlineLevel="0" max="3" min="3" style="58" width="22.43"/>
    <col collapsed="false" customWidth="true" hidden="false" outlineLevel="0" max="4" min="4" style="58" width="20"/>
    <col collapsed="false" customWidth="true" hidden="false" outlineLevel="0" max="5" min="5" style="58" width="18.71"/>
    <col collapsed="false" customWidth="true" hidden="false" outlineLevel="0" max="6" min="6" style="58" width="17"/>
    <col collapsed="false" customWidth="true" hidden="false" outlineLevel="0" max="7" min="7" style="58" width="12.71"/>
    <col collapsed="false" customWidth="true" hidden="false" outlineLevel="0" max="8" min="8" style="58" width="11.57"/>
    <col collapsed="false" customWidth="true" hidden="false" outlineLevel="0" max="9" min="9" style="58" width="10.85"/>
    <col collapsed="false" customWidth="true" hidden="false" outlineLevel="0" max="10" min="10" style="58" width="13"/>
    <col collapsed="false" customWidth="true" hidden="false" outlineLevel="0" max="11" min="11" style="58" width="11.28"/>
    <col collapsed="false" customWidth="true" hidden="false" outlineLevel="0" max="12" min="12" style="58" width="11.85"/>
    <col collapsed="false" customWidth="true" hidden="false" outlineLevel="0" max="13" min="13" style="58" width="9.71"/>
    <col collapsed="false" customWidth="true" hidden="false" outlineLevel="0" max="14" min="14" style="58" width="13.43"/>
    <col collapsed="false" customWidth="true" hidden="false" outlineLevel="0" max="15" min="15" style="58" width="15.71"/>
    <col collapsed="false" customWidth="true" hidden="false" outlineLevel="0" max="28" min="16" style="58" width="17.28"/>
    <col collapsed="false" customWidth="true" hidden="false" outlineLevel="0" max="29" min="29" style="59" width="34.28"/>
    <col collapsed="false" customWidth="true" hidden="false" outlineLevel="0" max="30" min="30" style="58" width="10.57"/>
    <col collapsed="false" customWidth="true" hidden="false" outlineLevel="0" max="31" min="31" style="58" width="12.71"/>
    <col collapsed="false" customWidth="false" hidden="false" outlineLevel="0" max="1024" min="32" style="58" width="9.14"/>
  </cols>
  <sheetData>
    <row r="1" customFormat="false" ht="18.75" hidden="false" customHeight="false" outlineLevel="0" collapsed="false">
      <c r="Q1" s="4" t="s">
        <v>0</v>
      </c>
      <c r="R1" s="3" t="s">
        <v>0</v>
      </c>
      <c r="S1" s="3" t="s">
        <v>1</v>
      </c>
      <c r="T1" s="4" t="s">
        <v>2</v>
      </c>
      <c r="U1" s="3" t="s">
        <v>2</v>
      </c>
      <c r="V1" s="213" t="s">
        <v>2</v>
      </c>
      <c r="W1" s="213" t="s">
        <v>2</v>
      </c>
      <c r="X1" s="213" t="s">
        <v>2</v>
      </c>
      <c r="Y1" s="213" t="s">
        <v>2</v>
      </c>
      <c r="Z1" s="214" t="s">
        <v>3</v>
      </c>
      <c r="AA1" s="214" t="s">
        <v>3</v>
      </c>
      <c r="AB1" s="214" t="s">
        <v>3</v>
      </c>
      <c r="AC1" s="215" t="s">
        <v>3</v>
      </c>
      <c r="AD1" s="5" t="s">
        <v>3</v>
      </c>
      <c r="AE1" s="5" t="s">
        <v>3</v>
      </c>
    </row>
    <row r="2" s="110" customFormat="true" ht="10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2037</v>
      </c>
      <c r="J2" s="6" t="s">
        <v>13</v>
      </c>
      <c r="K2" s="7" t="s">
        <v>14</v>
      </c>
      <c r="L2" s="7"/>
      <c r="M2" s="291" t="s">
        <v>15</v>
      </c>
      <c r="N2" s="291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</row>
    <row r="3" s="110" customFormat="tru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1259</v>
      </c>
      <c r="L3" s="6" t="s">
        <v>34</v>
      </c>
      <c r="M3" s="6" t="s">
        <v>1259</v>
      </c>
      <c r="N3" s="6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</row>
    <row r="4" customFormat="false" ht="47.25" hidden="false" customHeight="false" outlineLevel="0" collapsed="false">
      <c r="A4" s="16" t="s">
        <v>42</v>
      </c>
      <c r="B4" s="16" t="s">
        <v>2038</v>
      </c>
      <c r="C4" s="71" t="s">
        <v>2039</v>
      </c>
      <c r="D4" s="72" t="s">
        <v>2040</v>
      </c>
      <c r="E4" s="16" t="s">
        <v>2041</v>
      </c>
      <c r="F4" s="16" t="n">
        <v>735</v>
      </c>
      <c r="G4" s="16" t="n">
        <v>154</v>
      </c>
      <c r="H4" s="16" t="n">
        <v>1056</v>
      </c>
      <c r="I4" s="16" t="n">
        <v>547</v>
      </c>
      <c r="J4" s="16" t="n">
        <v>509</v>
      </c>
      <c r="K4" s="16" t="n">
        <v>108</v>
      </c>
      <c r="L4" s="19" t="n">
        <f aca="false">(K4/H4)*100</f>
        <v>10.2272727272727</v>
      </c>
      <c r="M4" s="16" t="n">
        <v>0</v>
      </c>
      <c r="N4" s="19" t="n">
        <f aca="false">(M4/H4)*100</f>
        <v>0</v>
      </c>
      <c r="O4" s="16" t="n">
        <v>0</v>
      </c>
      <c r="P4" s="16" t="n">
        <v>0</v>
      </c>
      <c r="Q4" s="20" t="s">
        <v>49</v>
      </c>
      <c r="R4" s="34" t="n">
        <v>45317</v>
      </c>
      <c r="S4" s="16"/>
      <c r="T4" s="20" t="n">
        <v>58.1289</v>
      </c>
      <c r="U4" s="16"/>
      <c r="V4" s="16"/>
      <c r="W4" s="16"/>
      <c r="X4" s="16"/>
      <c r="Y4" s="16"/>
      <c r="Z4" s="16"/>
      <c r="AA4" s="89" t="s">
        <v>50</v>
      </c>
      <c r="AB4" s="89" t="n">
        <v>12</v>
      </c>
      <c r="AC4" s="90" t="s">
        <v>2042</v>
      </c>
      <c r="AD4" s="20"/>
      <c r="AE4" s="20"/>
    </row>
    <row r="5" customFormat="false" ht="15.75" hidden="false" customHeight="false" outlineLevel="0" collapsed="false">
      <c r="A5" s="16"/>
      <c r="B5" s="16"/>
      <c r="C5" s="71"/>
      <c r="D5" s="72"/>
      <c r="E5" s="16"/>
      <c r="F5" s="16"/>
      <c r="G5" s="16"/>
      <c r="H5" s="16"/>
      <c r="I5" s="16"/>
      <c r="J5" s="16"/>
      <c r="K5" s="16"/>
      <c r="L5" s="19"/>
      <c r="M5" s="16"/>
      <c r="N5" s="19"/>
      <c r="O5" s="16"/>
      <c r="P5" s="16"/>
      <c r="Q5" s="228"/>
      <c r="R5" s="97"/>
      <c r="S5" s="16"/>
      <c r="T5" s="228"/>
      <c r="U5" s="16"/>
      <c r="V5" s="16"/>
      <c r="W5" s="16"/>
      <c r="X5" s="16"/>
      <c r="Y5" s="16"/>
      <c r="Z5" s="16"/>
      <c r="AA5" s="93" t="s">
        <v>50</v>
      </c>
      <c r="AB5" s="93" t="n">
        <v>15</v>
      </c>
      <c r="AC5" s="98" t="s">
        <v>2043</v>
      </c>
      <c r="AD5" s="228"/>
      <c r="AE5" s="228"/>
    </row>
    <row r="6" customFormat="false" ht="15.75" hidden="false" customHeight="false" outlineLevel="0" collapsed="false">
      <c r="A6" s="16" t="s">
        <v>42</v>
      </c>
      <c r="B6" s="16" t="s">
        <v>2038</v>
      </c>
      <c r="C6" s="71" t="s">
        <v>2039</v>
      </c>
      <c r="D6" s="16" t="s">
        <v>281</v>
      </c>
      <c r="E6" s="16" t="s">
        <v>2044</v>
      </c>
      <c r="F6" s="16" t="n">
        <v>567</v>
      </c>
      <c r="G6" s="16" t="n">
        <v>101</v>
      </c>
      <c r="H6" s="16" t="n">
        <v>636</v>
      </c>
      <c r="I6" s="16" t="n">
        <v>309</v>
      </c>
      <c r="J6" s="16" t="n">
        <v>327</v>
      </c>
      <c r="K6" s="16" t="n">
        <v>0</v>
      </c>
      <c r="L6" s="19" t="n">
        <f aca="false">(K6/H6)*100</f>
        <v>0</v>
      </c>
      <c r="M6" s="16" t="n">
        <v>0</v>
      </c>
      <c r="N6" s="19" t="n">
        <f aca="false">(M6/H6)*100</f>
        <v>0</v>
      </c>
      <c r="O6" s="16" t="n">
        <v>0</v>
      </c>
      <c r="P6" s="16" t="n">
        <v>0</v>
      </c>
      <c r="Q6" s="16"/>
      <c r="R6" s="87"/>
      <c r="S6" s="16"/>
      <c r="T6" s="16"/>
      <c r="U6" s="16"/>
      <c r="V6" s="16"/>
      <c r="W6" s="16"/>
      <c r="X6" s="16"/>
      <c r="Y6" s="16"/>
      <c r="Z6" s="16"/>
      <c r="AA6" s="16"/>
      <c r="AB6" s="16"/>
      <c r="AC6" s="28"/>
      <c r="AD6" s="16"/>
      <c r="AE6" s="16"/>
    </row>
    <row r="7" customFormat="false" ht="15.75" hidden="false" customHeight="false" outlineLevel="0" collapsed="false">
      <c r="A7" s="16" t="s">
        <v>42</v>
      </c>
      <c r="B7" s="16" t="s">
        <v>2038</v>
      </c>
      <c r="C7" s="71" t="s">
        <v>2039</v>
      </c>
      <c r="D7" s="16" t="s">
        <v>2045</v>
      </c>
      <c r="E7" s="16" t="s">
        <v>2046</v>
      </c>
      <c r="F7" s="16" t="n">
        <v>852</v>
      </c>
      <c r="G7" s="16" t="n">
        <v>102</v>
      </c>
      <c r="H7" s="16" t="n">
        <v>755</v>
      </c>
      <c r="I7" s="16" t="n">
        <v>382</v>
      </c>
      <c r="J7" s="16" t="n">
        <v>373</v>
      </c>
      <c r="K7" s="16" t="n">
        <v>0</v>
      </c>
      <c r="L7" s="19" t="n">
        <f aca="false">(K7/H7)*100</f>
        <v>0</v>
      </c>
      <c r="M7" s="16" t="n">
        <v>0</v>
      </c>
      <c r="N7" s="19" t="n">
        <f aca="false">(M7/H7)*100</f>
        <v>0</v>
      </c>
      <c r="O7" s="16" t="n">
        <v>7</v>
      </c>
      <c r="P7" s="16" t="n">
        <v>0</v>
      </c>
      <c r="Q7" s="16"/>
      <c r="R7" s="87"/>
      <c r="S7" s="16"/>
      <c r="T7" s="16"/>
      <c r="U7" s="16"/>
      <c r="V7" s="16"/>
      <c r="W7" s="16"/>
      <c r="X7" s="16"/>
      <c r="Y7" s="16"/>
      <c r="Z7" s="16"/>
      <c r="AA7" s="16"/>
      <c r="AB7" s="16"/>
      <c r="AC7" s="28"/>
      <c r="AD7" s="16"/>
      <c r="AE7" s="16"/>
    </row>
    <row r="8" customFormat="false" ht="31.5" hidden="false" customHeight="false" outlineLevel="0" collapsed="false">
      <c r="A8" s="16" t="s">
        <v>42</v>
      </c>
      <c r="B8" s="16" t="s">
        <v>2038</v>
      </c>
      <c r="C8" s="71" t="s">
        <v>2039</v>
      </c>
      <c r="D8" s="16" t="s">
        <v>2047</v>
      </c>
      <c r="E8" s="16" t="s">
        <v>2048</v>
      </c>
      <c r="F8" s="16" t="n">
        <v>269</v>
      </c>
      <c r="G8" s="16" t="n">
        <v>102</v>
      </c>
      <c r="H8" s="16" t="n">
        <v>631</v>
      </c>
      <c r="I8" s="16" t="n">
        <v>333</v>
      </c>
      <c r="J8" s="16" t="n">
        <v>298</v>
      </c>
      <c r="K8" s="16" t="n">
        <v>34</v>
      </c>
      <c r="L8" s="19" t="n">
        <f aca="false">(K8/H8)*100</f>
        <v>5.38827258320127</v>
      </c>
      <c r="M8" s="16" t="n">
        <v>72</v>
      </c>
      <c r="N8" s="19" t="n">
        <f aca="false">(M8/H8)*100</f>
        <v>11.4104595879556</v>
      </c>
      <c r="O8" s="16" t="n">
        <v>0</v>
      </c>
      <c r="P8" s="16" t="n">
        <v>0</v>
      </c>
      <c r="Q8" s="20" t="s">
        <v>49</v>
      </c>
      <c r="R8" s="34" t="n">
        <v>45317</v>
      </c>
      <c r="S8" s="16"/>
      <c r="T8" s="20"/>
      <c r="U8" s="16"/>
      <c r="V8" s="16"/>
      <c r="W8" s="16"/>
      <c r="X8" s="16"/>
      <c r="Y8" s="16"/>
      <c r="Z8" s="16"/>
      <c r="AA8" s="89" t="s">
        <v>50</v>
      </c>
      <c r="AB8" s="89" t="n">
        <v>10</v>
      </c>
      <c r="AC8" s="90" t="s">
        <v>2049</v>
      </c>
      <c r="AD8" s="20"/>
      <c r="AE8" s="20"/>
    </row>
    <row r="9" customFormat="false" ht="31.5" hidden="false" customHeight="false" outlineLevel="0" collapsed="false">
      <c r="A9" s="16" t="s">
        <v>42</v>
      </c>
      <c r="B9" s="16" t="s">
        <v>2038</v>
      </c>
      <c r="C9" s="71" t="s">
        <v>2039</v>
      </c>
      <c r="D9" s="16" t="s">
        <v>2050</v>
      </c>
      <c r="E9" s="16" t="s">
        <v>2051</v>
      </c>
      <c r="F9" s="16" t="n">
        <v>990</v>
      </c>
      <c r="G9" s="16" t="n">
        <v>159</v>
      </c>
      <c r="H9" s="16" t="n">
        <v>986</v>
      </c>
      <c r="I9" s="16" t="n">
        <v>510</v>
      </c>
      <c r="J9" s="16" t="n">
        <v>476</v>
      </c>
      <c r="K9" s="16" t="n">
        <v>109</v>
      </c>
      <c r="L9" s="19" t="n">
        <f aca="false">(K9/H9)*100</f>
        <v>11.0547667342799</v>
      </c>
      <c r="M9" s="16" t="n">
        <v>256</v>
      </c>
      <c r="N9" s="19" t="n">
        <f aca="false">(M9/H9)*100</f>
        <v>25.9634888438134</v>
      </c>
      <c r="O9" s="16" t="n">
        <v>2</v>
      </c>
      <c r="P9" s="16" t="n">
        <v>0</v>
      </c>
      <c r="Q9" s="20" t="s">
        <v>49</v>
      </c>
      <c r="R9" s="34" t="n">
        <v>45317</v>
      </c>
      <c r="S9" s="16"/>
      <c r="T9" s="20"/>
      <c r="U9" s="16"/>
      <c r="V9" s="16"/>
      <c r="W9" s="16"/>
      <c r="X9" s="16"/>
      <c r="Y9" s="16"/>
      <c r="Z9" s="16"/>
      <c r="AA9" s="89" t="s">
        <v>50</v>
      </c>
      <c r="AB9" s="89" t="n">
        <v>10</v>
      </c>
      <c r="AC9" s="90" t="s">
        <v>2052</v>
      </c>
      <c r="AD9" s="20"/>
      <c r="AE9" s="20"/>
    </row>
    <row r="10" customFormat="false" ht="31.5" hidden="false" customHeight="false" outlineLevel="0" collapsed="false">
      <c r="A10" s="16" t="s">
        <v>42</v>
      </c>
      <c r="B10" s="16" t="s">
        <v>2038</v>
      </c>
      <c r="C10" s="71" t="s">
        <v>2053</v>
      </c>
      <c r="D10" s="72" t="s">
        <v>2054</v>
      </c>
      <c r="E10" s="16" t="s">
        <v>2055</v>
      </c>
      <c r="F10" s="16" t="n">
        <v>339</v>
      </c>
      <c r="G10" s="16" t="n">
        <v>246</v>
      </c>
      <c r="H10" s="16" t="n">
        <v>1543</v>
      </c>
      <c r="I10" s="16" t="n">
        <v>775</v>
      </c>
      <c r="J10" s="16" t="n">
        <v>768</v>
      </c>
      <c r="K10" s="16" t="n">
        <v>127</v>
      </c>
      <c r="L10" s="19" t="n">
        <f aca="false">(K10/H10)*100</f>
        <v>8.23071937783539</v>
      </c>
      <c r="M10" s="16" t="n">
        <v>29</v>
      </c>
      <c r="N10" s="19" t="n">
        <f aca="false">(M10/H10)*100</f>
        <v>1.87945560596241</v>
      </c>
      <c r="O10" s="16" t="n">
        <v>119</v>
      </c>
      <c r="P10" s="16" t="n">
        <v>0</v>
      </c>
      <c r="Q10" s="20" t="s">
        <v>49</v>
      </c>
      <c r="R10" s="34" t="n">
        <v>45348</v>
      </c>
      <c r="S10" s="16"/>
      <c r="T10" s="20" t="n">
        <v>58.1289</v>
      </c>
      <c r="U10" s="16"/>
      <c r="V10" s="16"/>
      <c r="W10" s="16"/>
      <c r="X10" s="16"/>
      <c r="Y10" s="16"/>
      <c r="Z10" s="16"/>
      <c r="AA10" s="89" t="s">
        <v>50</v>
      </c>
      <c r="AB10" s="289" t="n">
        <v>12</v>
      </c>
      <c r="AC10" s="90" t="s">
        <v>2056</v>
      </c>
      <c r="AD10" s="20" t="n">
        <v>26.05987</v>
      </c>
      <c r="AE10" s="20" t="n">
        <v>72.830445</v>
      </c>
    </row>
    <row r="11" customFormat="false" ht="31.5" hidden="false" customHeight="false" outlineLevel="0" collapsed="false">
      <c r="A11" s="16"/>
      <c r="B11" s="16"/>
      <c r="C11" s="71"/>
      <c r="D11" s="72"/>
      <c r="E11" s="16"/>
      <c r="F11" s="16"/>
      <c r="G11" s="16"/>
      <c r="H11" s="16"/>
      <c r="I11" s="16"/>
      <c r="J11" s="16"/>
      <c r="K11" s="16"/>
      <c r="L11" s="19"/>
      <c r="M11" s="16"/>
      <c r="N11" s="19"/>
      <c r="O11" s="16"/>
      <c r="P11" s="16"/>
      <c r="Q11" s="292"/>
      <c r="R11" s="293"/>
      <c r="S11" s="16"/>
      <c r="T11" s="292"/>
      <c r="U11" s="16"/>
      <c r="V11" s="16"/>
      <c r="W11" s="16"/>
      <c r="X11" s="16"/>
      <c r="Y11" s="16"/>
      <c r="Z11" s="16"/>
      <c r="AA11" s="294" t="s">
        <v>50</v>
      </c>
      <c r="AB11" s="295" t="n">
        <v>11</v>
      </c>
      <c r="AC11" s="296" t="s">
        <v>2057</v>
      </c>
      <c r="AD11" s="292" t="n">
        <v>26.070293</v>
      </c>
      <c r="AE11" s="292" t="n">
        <v>72.827424</v>
      </c>
    </row>
    <row r="12" customFormat="false" ht="15.75" hidden="false" customHeight="false" outlineLevel="0" collapsed="false">
      <c r="A12" s="16" t="s">
        <v>42</v>
      </c>
      <c r="B12" s="16" t="s">
        <v>2038</v>
      </c>
      <c r="C12" s="71" t="s">
        <v>2053</v>
      </c>
      <c r="D12" s="16" t="s">
        <v>2058</v>
      </c>
      <c r="E12" s="16" t="s">
        <v>2059</v>
      </c>
      <c r="F12" s="16" t="n">
        <v>225.75</v>
      </c>
      <c r="G12" s="16" t="n">
        <v>40</v>
      </c>
      <c r="H12" s="16" t="n">
        <v>240</v>
      </c>
      <c r="I12" s="16" t="n">
        <v>131</v>
      </c>
      <c r="J12" s="16" t="n">
        <v>109</v>
      </c>
      <c r="K12" s="16" t="n">
        <v>26</v>
      </c>
      <c r="L12" s="19" t="n">
        <f aca="false">(K12/H12)*100</f>
        <v>10.8333333333333</v>
      </c>
      <c r="M12" s="16" t="n">
        <v>0</v>
      </c>
      <c r="N12" s="19" t="n">
        <f aca="false">(M12/H12)*100</f>
        <v>0</v>
      </c>
      <c r="O12" s="16" t="n">
        <v>0</v>
      </c>
      <c r="P12" s="16" t="n">
        <v>0</v>
      </c>
      <c r="Q12" s="20" t="s">
        <v>49</v>
      </c>
      <c r="R12" s="34" t="n">
        <v>45348</v>
      </c>
      <c r="S12" s="16"/>
      <c r="T12" s="89" t="n">
        <v>0</v>
      </c>
      <c r="U12" s="16"/>
      <c r="V12" s="16"/>
      <c r="W12" s="16"/>
      <c r="X12" s="16"/>
      <c r="Y12" s="16"/>
      <c r="Z12" s="16"/>
      <c r="AA12" s="89" t="s">
        <v>50</v>
      </c>
      <c r="AB12" s="289" t="n">
        <v>0</v>
      </c>
      <c r="AC12" s="36"/>
      <c r="AD12" s="89" t="n">
        <v>0</v>
      </c>
      <c r="AE12" s="89" t="n">
        <v>0</v>
      </c>
    </row>
    <row r="13" customFormat="false" ht="15.75" hidden="false" customHeight="false" outlineLevel="0" collapsed="false">
      <c r="A13" s="16" t="s">
        <v>42</v>
      </c>
      <c r="B13" s="16" t="s">
        <v>2038</v>
      </c>
      <c r="C13" s="71" t="s">
        <v>2053</v>
      </c>
      <c r="D13" s="16" t="s">
        <v>2060</v>
      </c>
      <c r="E13" s="16" t="s">
        <v>2061</v>
      </c>
      <c r="F13" s="16" t="n">
        <v>401.52</v>
      </c>
      <c r="G13" s="16" t="n">
        <v>63</v>
      </c>
      <c r="H13" s="16" t="n">
        <v>421</v>
      </c>
      <c r="I13" s="16" t="n">
        <v>228</v>
      </c>
      <c r="J13" s="16" t="n">
        <v>193</v>
      </c>
      <c r="K13" s="16" t="n">
        <v>89</v>
      </c>
      <c r="L13" s="19" t="n">
        <f aca="false">(K13/H13)*100</f>
        <v>21.1401425178147</v>
      </c>
      <c r="M13" s="16" t="n">
        <v>0</v>
      </c>
      <c r="N13" s="19" t="n">
        <f aca="false">(M13/H13)*100</f>
        <v>0</v>
      </c>
      <c r="O13" s="16" t="n">
        <v>0</v>
      </c>
      <c r="P13" s="16" t="n">
        <v>0.84</v>
      </c>
      <c r="Q13" s="20" t="s">
        <v>49</v>
      </c>
      <c r="R13" s="34" t="n">
        <v>45348</v>
      </c>
      <c r="S13" s="16"/>
      <c r="T13" s="89" t="n">
        <v>0</v>
      </c>
      <c r="U13" s="16"/>
      <c r="V13" s="16"/>
      <c r="W13" s="16"/>
      <c r="X13" s="16"/>
      <c r="Y13" s="16"/>
      <c r="Z13" s="16"/>
      <c r="AA13" s="89" t="s">
        <v>50</v>
      </c>
      <c r="AB13" s="289" t="n">
        <v>0</v>
      </c>
      <c r="AC13" s="36"/>
      <c r="AD13" s="89" t="n">
        <v>0</v>
      </c>
      <c r="AE13" s="89" t="n">
        <v>0</v>
      </c>
    </row>
    <row r="14" customFormat="false" ht="31.5" hidden="false" customHeight="false" outlineLevel="0" collapsed="false">
      <c r="A14" s="16" t="s">
        <v>42</v>
      </c>
      <c r="B14" s="16" t="s">
        <v>2038</v>
      </c>
      <c r="C14" s="71" t="s">
        <v>2053</v>
      </c>
      <c r="D14" s="16" t="s">
        <v>109</v>
      </c>
      <c r="E14" s="16" t="s">
        <v>2062</v>
      </c>
      <c r="F14" s="16" t="n">
        <v>291.53</v>
      </c>
      <c r="G14" s="16" t="n">
        <v>140</v>
      </c>
      <c r="H14" s="16" t="n">
        <v>846</v>
      </c>
      <c r="I14" s="16" t="n">
        <v>449</v>
      </c>
      <c r="J14" s="16" t="n">
        <v>397</v>
      </c>
      <c r="K14" s="16" t="n">
        <v>32</v>
      </c>
      <c r="L14" s="19" t="n">
        <f aca="false">(K14/H14)*100</f>
        <v>3.78250591016548</v>
      </c>
      <c r="M14" s="16" t="n">
        <v>108</v>
      </c>
      <c r="N14" s="19" t="n">
        <f aca="false">(M14/H14)*100</f>
        <v>12.7659574468085</v>
      </c>
      <c r="O14" s="16" t="n">
        <v>28.51</v>
      </c>
      <c r="P14" s="16" t="n">
        <v>0</v>
      </c>
      <c r="Q14" s="20" t="s">
        <v>49</v>
      </c>
      <c r="R14" s="34" t="n">
        <v>45348</v>
      </c>
      <c r="S14" s="16"/>
      <c r="T14" s="20"/>
      <c r="U14" s="16"/>
      <c r="V14" s="16"/>
      <c r="W14" s="16"/>
      <c r="X14" s="16"/>
      <c r="Y14" s="16"/>
      <c r="Z14" s="16"/>
      <c r="AA14" s="89" t="s">
        <v>50</v>
      </c>
      <c r="AB14" s="289" t="n">
        <v>10</v>
      </c>
      <c r="AC14" s="90" t="s">
        <v>2063</v>
      </c>
      <c r="AD14" s="20" t="n">
        <v>26.068659</v>
      </c>
      <c r="AE14" s="20" t="n">
        <v>72.842315</v>
      </c>
    </row>
    <row r="15" customFormat="false" ht="31.5" hidden="false" customHeight="false" outlineLevel="0" collapsed="false">
      <c r="A15" s="16" t="s">
        <v>42</v>
      </c>
      <c r="B15" s="16" t="s">
        <v>2038</v>
      </c>
      <c r="C15" s="71" t="s">
        <v>2064</v>
      </c>
      <c r="D15" s="72" t="s">
        <v>2064</v>
      </c>
      <c r="E15" s="16" t="s">
        <v>2065</v>
      </c>
      <c r="F15" s="16" t="n">
        <v>723.54</v>
      </c>
      <c r="G15" s="16" t="n">
        <v>289</v>
      </c>
      <c r="H15" s="16" t="n">
        <v>1883</v>
      </c>
      <c r="I15" s="16" t="n">
        <v>955</v>
      </c>
      <c r="J15" s="16" t="n">
        <v>928</v>
      </c>
      <c r="K15" s="16" t="n">
        <v>483</v>
      </c>
      <c r="L15" s="19" t="n">
        <f aca="false">(K15/H15)*100</f>
        <v>25.6505576208178</v>
      </c>
      <c r="M15" s="16" t="n">
        <v>47</v>
      </c>
      <c r="N15" s="19" t="n">
        <f aca="false">(M15/H15)*100</f>
        <v>2.49601699415826</v>
      </c>
      <c r="O15" s="16" t="n">
        <v>71</v>
      </c>
      <c r="P15" s="16" t="n">
        <v>0</v>
      </c>
      <c r="Q15" s="297" t="s">
        <v>1052</v>
      </c>
      <c r="R15" s="34" t="n">
        <v>45317</v>
      </c>
      <c r="S15" s="16"/>
      <c r="T15" s="297" t="n">
        <v>39.9314</v>
      </c>
      <c r="U15" s="16"/>
      <c r="V15" s="16"/>
      <c r="W15" s="16"/>
      <c r="X15" s="16"/>
      <c r="Y15" s="16"/>
      <c r="Z15" s="16"/>
      <c r="AA15" s="89" t="s">
        <v>50</v>
      </c>
      <c r="AB15" s="89" t="n">
        <v>15</v>
      </c>
      <c r="AC15" s="90" t="s">
        <v>2066</v>
      </c>
      <c r="AD15" s="56"/>
      <c r="AE15" s="89"/>
    </row>
    <row r="16" customFormat="false" ht="31.5" hidden="false" customHeight="false" outlineLevel="0" collapsed="false">
      <c r="A16" s="16"/>
      <c r="B16" s="16"/>
      <c r="C16" s="71"/>
      <c r="D16" s="72"/>
      <c r="E16" s="16"/>
      <c r="F16" s="16"/>
      <c r="G16" s="16"/>
      <c r="H16" s="16"/>
      <c r="I16" s="16"/>
      <c r="J16" s="16"/>
      <c r="K16" s="16"/>
      <c r="L16" s="19"/>
      <c r="M16" s="16"/>
      <c r="N16" s="19"/>
      <c r="O16" s="16"/>
      <c r="P16" s="16"/>
      <c r="Q16" s="228"/>
      <c r="R16" s="234"/>
      <c r="S16" s="16"/>
      <c r="T16" s="228"/>
      <c r="U16" s="16"/>
      <c r="V16" s="16"/>
      <c r="W16" s="16"/>
      <c r="X16" s="16"/>
      <c r="Y16" s="16"/>
      <c r="Z16" s="16"/>
      <c r="AA16" s="93" t="s">
        <v>50</v>
      </c>
      <c r="AB16" s="93" t="n">
        <v>15</v>
      </c>
      <c r="AC16" s="98" t="s">
        <v>2067</v>
      </c>
      <c r="AD16" s="232"/>
      <c r="AE16" s="93"/>
    </row>
    <row r="17" customFormat="false" ht="15.75" hidden="false" customHeight="false" outlineLevel="0" collapsed="false">
      <c r="A17" s="16" t="s">
        <v>42</v>
      </c>
      <c r="B17" s="16" t="s">
        <v>2038</v>
      </c>
      <c r="C17" s="71" t="s">
        <v>2064</v>
      </c>
      <c r="D17" s="16" t="s">
        <v>1107</v>
      </c>
      <c r="E17" s="16" t="s">
        <v>2068</v>
      </c>
      <c r="F17" s="16" t="n">
        <v>549</v>
      </c>
      <c r="G17" s="16" t="n">
        <v>89</v>
      </c>
      <c r="H17" s="16" t="n">
        <v>618</v>
      </c>
      <c r="I17" s="16" t="n">
        <v>320</v>
      </c>
      <c r="J17" s="16" t="n">
        <v>298</v>
      </c>
      <c r="K17" s="16" t="n">
        <v>8</v>
      </c>
      <c r="L17" s="19" t="n">
        <f aca="false">(K17/H17)*100</f>
        <v>1.29449838187702</v>
      </c>
      <c r="M17" s="16" t="n">
        <v>0</v>
      </c>
      <c r="N17" s="19" t="n">
        <f aca="false">(M17/H17)*100</f>
        <v>0</v>
      </c>
      <c r="O17" s="16" t="n">
        <v>0</v>
      </c>
      <c r="P17" s="16" t="n">
        <v>0</v>
      </c>
      <c r="Q17" s="297" t="s">
        <v>1052</v>
      </c>
      <c r="R17" s="34" t="n">
        <v>45317</v>
      </c>
      <c r="S17" s="16"/>
      <c r="T17" s="20" t="n">
        <v>0</v>
      </c>
      <c r="U17" s="16"/>
      <c r="V17" s="16"/>
      <c r="W17" s="16"/>
      <c r="X17" s="16"/>
      <c r="Y17" s="16"/>
      <c r="Z17" s="16"/>
      <c r="AA17" s="89" t="s">
        <v>50</v>
      </c>
      <c r="AB17" s="89" t="n">
        <v>0</v>
      </c>
      <c r="AC17" s="36"/>
      <c r="AD17" s="56"/>
      <c r="AE17" s="89"/>
    </row>
    <row r="18" customFormat="false" ht="31.5" hidden="false" customHeight="false" outlineLevel="0" collapsed="false">
      <c r="A18" s="16" t="s">
        <v>42</v>
      </c>
      <c r="B18" s="16" t="s">
        <v>2038</v>
      </c>
      <c r="C18" s="71" t="s">
        <v>2064</v>
      </c>
      <c r="D18" s="16" t="s">
        <v>2069</v>
      </c>
      <c r="E18" s="16" t="s">
        <v>2070</v>
      </c>
      <c r="F18" s="16" t="n">
        <v>1131</v>
      </c>
      <c r="G18" s="16" t="n">
        <v>139</v>
      </c>
      <c r="H18" s="16" t="n">
        <v>857</v>
      </c>
      <c r="I18" s="16" t="n">
        <v>412</v>
      </c>
      <c r="J18" s="16" t="n">
        <v>445</v>
      </c>
      <c r="K18" s="16" t="n">
        <v>0</v>
      </c>
      <c r="L18" s="19" t="n">
        <f aca="false">(K18/H18)*100</f>
        <v>0</v>
      </c>
      <c r="M18" s="16" t="n">
        <v>0</v>
      </c>
      <c r="N18" s="19" t="n">
        <f aca="false">(M18/H18)*100</f>
        <v>0</v>
      </c>
      <c r="O18" s="16" t="n">
        <v>62.04</v>
      </c>
      <c r="P18" s="16" t="n">
        <v>0</v>
      </c>
      <c r="Q18" s="297" t="s">
        <v>1052</v>
      </c>
      <c r="R18" s="34" t="n">
        <v>45317</v>
      </c>
      <c r="S18" s="16"/>
      <c r="T18" s="297" t="n">
        <v>59.513</v>
      </c>
      <c r="U18" s="16"/>
      <c r="V18" s="16"/>
      <c r="W18" s="16"/>
      <c r="X18" s="16"/>
      <c r="Y18" s="16"/>
      <c r="Z18" s="16"/>
      <c r="AA18" s="89" t="s">
        <v>50</v>
      </c>
      <c r="AB18" s="89" t="n">
        <v>12</v>
      </c>
      <c r="AC18" s="90" t="s">
        <v>2071</v>
      </c>
      <c r="AD18" s="56"/>
      <c r="AE18" s="89"/>
    </row>
    <row r="19" customFormat="false" ht="31.5" hidden="false" customHeight="false" outlineLevel="0" collapsed="false">
      <c r="A19" s="16"/>
      <c r="B19" s="16"/>
      <c r="C19" s="71"/>
      <c r="D19" s="16"/>
      <c r="E19" s="16"/>
      <c r="F19" s="16"/>
      <c r="G19" s="16"/>
      <c r="H19" s="16"/>
      <c r="I19" s="16"/>
      <c r="J19" s="16"/>
      <c r="K19" s="16"/>
      <c r="L19" s="19" t="e">
        <f aca="false">(K19/H19)*100</f>
        <v>#DIV/0!</v>
      </c>
      <c r="M19" s="16"/>
      <c r="N19" s="19"/>
      <c r="O19" s="16"/>
      <c r="P19" s="16"/>
      <c r="Q19" s="228"/>
      <c r="R19" s="234"/>
      <c r="S19" s="16"/>
      <c r="T19" s="228"/>
      <c r="U19" s="16"/>
      <c r="V19" s="16"/>
      <c r="W19" s="16"/>
      <c r="X19" s="16"/>
      <c r="Y19" s="16"/>
      <c r="Z19" s="16"/>
      <c r="AA19" s="93" t="s">
        <v>50</v>
      </c>
      <c r="AB19" s="93" t="n">
        <v>10</v>
      </c>
      <c r="AC19" s="98" t="s">
        <v>2072</v>
      </c>
      <c r="AD19" s="232"/>
      <c r="AE19" s="93"/>
    </row>
    <row r="20" customFormat="false" ht="31.5" hidden="false" customHeight="false" outlineLevel="0" collapsed="false">
      <c r="A20" s="16" t="s">
        <v>42</v>
      </c>
      <c r="B20" s="16" t="s">
        <v>2038</v>
      </c>
      <c r="C20" s="71" t="s">
        <v>2073</v>
      </c>
      <c r="D20" s="72" t="s">
        <v>2074</v>
      </c>
      <c r="E20" s="16" t="s">
        <v>2075</v>
      </c>
      <c r="F20" s="16" t="n">
        <v>1303</v>
      </c>
      <c r="G20" s="16" t="n">
        <v>270</v>
      </c>
      <c r="H20" s="16" t="n">
        <v>1499</v>
      </c>
      <c r="I20" s="16" t="n">
        <v>758</v>
      </c>
      <c r="J20" s="16" t="n">
        <v>741</v>
      </c>
      <c r="K20" s="16" t="n">
        <v>372</v>
      </c>
      <c r="L20" s="19" t="n">
        <f aca="false">(K20/H20)*100</f>
        <v>24.8165443629086</v>
      </c>
      <c r="M20" s="16" t="n">
        <v>87</v>
      </c>
      <c r="N20" s="19" t="n">
        <f aca="false">(M20/H20)*100</f>
        <v>5.80386924616411</v>
      </c>
      <c r="O20" s="16" t="n">
        <v>124</v>
      </c>
      <c r="P20" s="16" t="n">
        <v>0</v>
      </c>
      <c r="Q20" s="20" t="s">
        <v>49</v>
      </c>
      <c r="R20" s="34" t="n">
        <v>45317</v>
      </c>
      <c r="S20" s="16"/>
      <c r="T20" s="89"/>
      <c r="U20" s="16"/>
      <c r="V20" s="16"/>
      <c r="W20" s="16"/>
      <c r="X20" s="16"/>
      <c r="Y20" s="16"/>
      <c r="Z20" s="16"/>
      <c r="AA20" s="89" t="s">
        <v>266</v>
      </c>
      <c r="AB20" s="289" t="n">
        <v>5</v>
      </c>
      <c r="AC20" s="90" t="s">
        <v>2076</v>
      </c>
      <c r="AD20" s="89" t="n">
        <v>26.108234</v>
      </c>
      <c r="AE20" s="89" t="n">
        <v>72.892292</v>
      </c>
    </row>
    <row r="21" customFormat="false" ht="31.5" hidden="false" customHeight="false" outlineLevel="0" collapsed="false">
      <c r="A21" s="16" t="s">
        <v>42</v>
      </c>
      <c r="B21" s="16" t="s">
        <v>2038</v>
      </c>
      <c r="C21" s="71" t="s">
        <v>2073</v>
      </c>
      <c r="D21" s="16" t="s">
        <v>2077</v>
      </c>
      <c r="E21" s="16" t="s">
        <v>2078</v>
      </c>
      <c r="F21" s="16" t="n">
        <v>411.46</v>
      </c>
      <c r="G21" s="16" t="n">
        <v>61</v>
      </c>
      <c r="H21" s="16" t="n">
        <v>438</v>
      </c>
      <c r="I21" s="16" t="n">
        <v>231</v>
      </c>
      <c r="J21" s="16" t="n">
        <v>207</v>
      </c>
      <c r="K21" s="16" t="n">
        <v>0</v>
      </c>
      <c r="L21" s="19" t="n">
        <f aca="false">(K21/H21)*100</f>
        <v>0</v>
      </c>
      <c r="M21" s="16" t="n">
        <v>0</v>
      </c>
      <c r="N21" s="19" t="n">
        <f aca="false">(M21/H21)*100</f>
        <v>0</v>
      </c>
      <c r="O21" s="16" t="n">
        <v>0</v>
      </c>
      <c r="P21" s="16" t="n">
        <v>0</v>
      </c>
      <c r="Q21" s="20" t="s">
        <v>49</v>
      </c>
      <c r="R21" s="34" t="n">
        <v>45317</v>
      </c>
      <c r="S21" s="16"/>
      <c r="T21" s="89"/>
      <c r="U21" s="16"/>
      <c r="V21" s="16"/>
      <c r="W21" s="16"/>
      <c r="X21" s="16"/>
      <c r="Y21" s="16"/>
      <c r="Z21" s="16"/>
      <c r="AA21" s="89" t="s">
        <v>266</v>
      </c>
      <c r="AB21" s="289" t="n">
        <v>10</v>
      </c>
      <c r="AC21" s="90" t="s">
        <v>2079</v>
      </c>
      <c r="AD21" s="89" t="n">
        <v>26.100432</v>
      </c>
      <c r="AE21" s="89" t="n">
        <v>72.890052</v>
      </c>
    </row>
    <row r="22" customFormat="false" ht="15.75" hidden="false" customHeight="false" outlineLevel="0" collapsed="false">
      <c r="A22" s="16" t="s">
        <v>42</v>
      </c>
      <c r="B22" s="16" t="s">
        <v>2038</v>
      </c>
      <c r="C22" s="71" t="s">
        <v>2073</v>
      </c>
      <c r="D22" s="16" t="s">
        <v>2080</v>
      </c>
      <c r="E22" s="16" t="s">
        <v>2081</v>
      </c>
      <c r="F22" s="16" t="n">
        <v>299.52</v>
      </c>
      <c r="G22" s="16" t="n">
        <v>133</v>
      </c>
      <c r="H22" s="16" t="n">
        <v>771</v>
      </c>
      <c r="I22" s="16" t="n">
        <v>400</v>
      </c>
      <c r="J22" s="16" t="n">
        <v>371</v>
      </c>
      <c r="K22" s="16" t="n">
        <v>1</v>
      </c>
      <c r="L22" s="19" t="n">
        <f aca="false">(K22/H22)*100</f>
        <v>0.12970168612192</v>
      </c>
      <c r="M22" s="16" t="n">
        <v>235</v>
      </c>
      <c r="N22" s="19" t="n">
        <f aca="false">(M22/H22)*100</f>
        <v>30.4798962386511</v>
      </c>
      <c r="O22" s="16" t="n">
        <v>62.17</v>
      </c>
      <c r="P22" s="16" t="n">
        <v>0</v>
      </c>
      <c r="Q22" s="133" t="s">
        <v>49</v>
      </c>
      <c r="R22" s="134" t="n">
        <v>45317</v>
      </c>
      <c r="S22" s="16"/>
      <c r="T22" s="136" t="n">
        <v>0</v>
      </c>
      <c r="U22" s="16"/>
      <c r="V22" s="16"/>
      <c r="W22" s="16"/>
      <c r="X22" s="16"/>
      <c r="Y22" s="16"/>
      <c r="Z22" s="16"/>
      <c r="AA22" s="136" t="s">
        <v>266</v>
      </c>
      <c r="AB22" s="298" t="n">
        <v>0</v>
      </c>
      <c r="AC22" s="299"/>
      <c r="AD22" s="136" t="n">
        <v>0</v>
      </c>
      <c r="AE22" s="136" t="n">
        <v>0</v>
      </c>
    </row>
    <row r="23" customFormat="false" ht="15.75" hidden="false" customHeight="false" outlineLevel="0" collapsed="false">
      <c r="A23" s="16" t="s">
        <v>42</v>
      </c>
      <c r="B23" s="16" t="s">
        <v>2038</v>
      </c>
      <c r="C23" s="71" t="s">
        <v>2073</v>
      </c>
      <c r="D23" s="16" t="s">
        <v>2082</v>
      </c>
      <c r="E23" s="16" t="s">
        <v>2083</v>
      </c>
      <c r="F23" s="16" t="n">
        <v>427.34</v>
      </c>
      <c r="G23" s="16" t="n">
        <v>5</v>
      </c>
      <c r="H23" s="16" t="n">
        <v>36</v>
      </c>
      <c r="I23" s="16" t="n">
        <v>16</v>
      </c>
      <c r="J23" s="16" t="n">
        <v>20</v>
      </c>
      <c r="K23" s="16" t="n">
        <v>0</v>
      </c>
      <c r="L23" s="19" t="n">
        <f aca="false">(K23/H23)*100</f>
        <v>0</v>
      </c>
      <c r="M23" s="16" t="n">
        <v>36</v>
      </c>
      <c r="N23" s="19" t="n">
        <f aca="false">(M23/H23)*100</f>
        <v>100</v>
      </c>
      <c r="O23" s="16" t="n">
        <v>8</v>
      </c>
      <c r="P23" s="16" t="n">
        <v>0</v>
      </c>
      <c r="Q23" s="20" t="s">
        <v>49</v>
      </c>
      <c r="R23" s="34" t="n">
        <v>45317</v>
      </c>
      <c r="S23" s="16"/>
      <c r="T23" s="89"/>
      <c r="U23" s="16"/>
      <c r="V23" s="16"/>
      <c r="W23" s="16"/>
      <c r="X23" s="16"/>
      <c r="Y23" s="16"/>
      <c r="Z23" s="16"/>
      <c r="AA23" s="89" t="s">
        <v>266</v>
      </c>
      <c r="AB23" s="289" t="n">
        <v>0</v>
      </c>
      <c r="AC23" s="300"/>
      <c r="AD23" s="89" t="n">
        <v>0</v>
      </c>
      <c r="AE23" s="89" t="n">
        <v>0</v>
      </c>
    </row>
    <row r="24" customFormat="false" ht="15.75" hidden="false" customHeight="false" outlineLevel="0" collapsed="false">
      <c r="A24" s="16" t="s">
        <v>42</v>
      </c>
      <c r="B24" s="16" t="s">
        <v>2038</v>
      </c>
      <c r="C24" s="71" t="s">
        <v>2073</v>
      </c>
      <c r="D24" s="16" t="s">
        <v>2084</v>
      </c>
      <c r="E24" s="16" t="s">
        <v>2085</v>
      </c>
      <c r="F24" s="16" t="n">
        <v>396.83</v>
      </c>
      <c r="G24" s="16" t="n">
        <v>374</v>
      </c>
      <c r="H24" s="16" t="n">
        <v>2104</v>
      </c>
      <c r="I24" s="16" t="n">
        <v>1112</v>
      </c>
      <c r="J24" s="16" t="n">
        <v>992</v>
      </c>
      <c r="K24" s="16" t="n">
        <v>136</v>
      </c>
      <c r="L24" s="19" t="n">
        <f aca="false">(K24/H24)*100</f>
        <v>6.4638783269962</v>
      </c>
      <c r="M24" s="16" t="n">
        <v>316</v>
      </c>
      <c r="N24" s="19" t="n">
        <f aca="false">(M24/H24)*100</f>
        <v>15.0190114068441</v>
      </c>
      <c r="O24" s="16" t="n">
        <v>42.15</v>
      </c>
      <c r="P24" s="16" t="n">
        <v>0</v>
      </c>
      <c r="Q24" s="20" t="s">
        <v>49</v>
      </c>
      <c r="R24" s="34" t="n">
        <v>45317</v>
      </c>
      <c r="S24" s="16"/>
      <c r="T24" s="89" t="n">
        <v>0.8094</v>
      </c>
      <c r="U24" s="16"/>
      <c r="V24" s="16"/>
      <c r="W24" s="16"/>
      <c r="X24" s="16"/>
      <c r="Y24" s="16"/>
      <c r="Z24" s="16"/>
      <c r="AA24" s="89" t="s">
        <v>266</v>
      </c>
      <c r="AB24" s="289" t="n">
        <v>0</v>
      </c>
      <c r="AC24" s="36"/>
      <c r="AD24" s="89" t="n">
        <v>0</v>
      </c>
      <c r="AE24" s="89" t="n">
        <v>0</v>
      </c>
    </row>
    <row r="25" customFormat="false" ht="15.75" hidden="false" customHeight="false" outlineLevel="0" collapsed="false">
      <c r="A25" s="16" t="s">
        <v>42</v>
      </c>
      <c r="B25" s="16" t="s">
        <v>2038</v>
      </c>
      <c r="C25" s="71" t="s">
        <v>2086</v>
      </c>
      <c r="D25" s="72" t="s">
        <v>2086</v>
      </c>
      <c r="E25" s="16" t="s">
        <v>2087</v>
      </c>
      <c r="F25" s="16" t="n">
        <v>583.7</v>
      </c>
      <c r="G25" s="16" t="n">
        <v>249</v>
      </c>
      <c r="H25" s="16" t="n">
        <v>1689</v>
      </c>
      <c r="I25" s="16" t="n">
        <v>868</v>
      </c>
      <c r="J25" s="16" t="n">
        <v>821</v>
      </c>
      <c r="K25" s="16" t="n">
        <v>0</v>
      </c>
      <c r="L25" s="19" t="n">
        <f aca="false">(K25/H25)*100</f>
        <v>0</v>
      </c>
      <c r="M25" s="16" t="n">
        <v>0</v>
      </c>
      <c r="N25" s="19" t="n">
        <f aca="false">(M25/H25)*100</f>
        <v>0</v>
      </c>
      <c r="O25" s="16" t="n">
        <v>67.91</v>
      </c>
      <c r="P25" s="16" t="n">
        <v>0</v>
      </c>
      <c r="Q25" s="16"/>
      <c r="R25" s="87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28"/>
      <c r="AD25" s="16"/>
      <c r="AE25" s="16"/>
    </row>
    <row r="26" customFormat="false" ht="15.75" hidden="false" customHeight="false" outlineLevel="0" collapsed="false">
      <c r="A26" s="16" t="s">
        <v>42</v>
      </c>
      <c r="B26" s="16" t="s">
        <v>2038</v>
      </c>
      <c r="C26" s="71" t="s">
        <v>2086</v>
      </c>
      <c r="D26" s="16" t="s">
        <v>2088</v>
      </c>
      <c r="E26" s="16" t="s">
        <v>2089</v>
      </c>
      <c r="F26" s="16" t="n">
        <v>1269.52</v>
      </c>
      <c r="G26" s="16" t="n">
        <v>140</v>
      </c>
      <c r="H26" s="16" t="n">
        <v>856</v>
      </c>
      <c r="I26" s="16" t="n">
        <v>461</v>
      </c>
      <c r="J26" s="16" t="n">
        <v>395</v>
      </c>
      <c r="K26" s="16" t="n">
        <v>117</v>
      </c>
      <c r="L26" s="19" t="n">
        <f aca="false">(K26/H26)*100</f>
        <v>13.6682242990654</v>
      </c>
      <c r="M26" s="16" t="n">
        <v>39</v>
      </c>
      <c r="N26" s="19" t="n">
        <f aca="false">(M26/H26)*100</f>
        <v>4.55607476635514</v>
      </c>
      <c r="O26" s="16" t="n">
        <v>129.02</v>
      </c>
      <c r="P26" s="16" t="n">
        <v>0</v>
      </c>
      <c r="Q26" s="16"/>
      <c r="R26" s="87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28"/>
      <c r="AD26" s="16"/>
      <c r="AE26" s="16"/>
    </row>
    <row r="27" customFormat="false" ht="15.75" hidden="false" customHeight="false" outlineLevel="0" collapsed="false">
      <c r="A27" s="16" t="s">
        <v>42</v>
      </c>
      <c r="B27" s="16" t="s">
        <v>2038</v>
      </c>
      <c r="C27" s="71" t="s">
        <v>2086</v>
      </c>
      <c r="D27" s="16" t="s">
        <v>2090</v>
      </c>
      <c r="E27" s="16" t="s">
        <v>2091</v>
      </c>
      <c r="F27" s="16" t="n">
        <v>401.94</v>
      </c>
      <c r="G27" s="16" t="n">
        <v>61</v>
      </c>
      <c r="H27" s="16" t="n">
        <v>314</v>
      </c>
      <c r="I27" s="16" t="n">
        <v>182</v>
      </c>
      <c r="J27" s="16" t="n">
        <v>132</v>
      </c>
      <c r="K27" s="16" t="n">
        <v>7</v>
      </c>
      <c r="L27" s="19" t="n">
        <f aca="false">(K27/H27)*100</f>
        <v>2.22929936305732</v>
      </c>
      <c r="M27" s="16" t="n">
        <v>0</v>
      </c>
      <c r="N27" s="19" t="n">
        <f aca="false">(M27/H27)*100</f>
        <v>0</v>
      </c>
      <c r="O27" s="16" t="n">
        <v>18.23</v>
      </c>
      <c r="P27" s="16" t="n">
        <v>0</v>
      </c>
      <c r="Q27" s="16"/>
      <c r="R27" s="87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28"/>
      <c r="AD27" s="16"/>
      <c r="AE27" s="16"/>
    </row>
    <row r="28" customFormat="false" ht="31.5" hidden="false" customHeight="false" outlineLevel="0" collapsed="false">
      <c r="A28" s="16" t="s">
        <v>42</v>
      </c>
      <c r="B28" s="16" t="s">
        <v>2038</v>
      </c>
      <c r="C28" s="71" t="s">
        <v>2092</v>
      </c>
      <c r="D28" s="72" t="s">
        <v>2093</v>
      </c>
      <c r="E28" s="16" t="s">
        <v>2094</v>
      </c>
      <c r="F28" s="16" t="n">
        <v>1888</v>
      </c>
      <c r="G28" s="16" t="n">
        <v>344</v>
      </c>
      <c r="H28" s="16" t="n">
        <v>1844</v>
      </c>
      <c r="I28" s="16" t="n">
        <v>963</v>
      </c>
      <c r="J28" s="16" t="n">
        <v>881</v>
      </c>
      <c r="K28" s="16" t="n">
        <v>555</v>
      </c>
      <c r="L28" s="19" t="n">
        <f aca="false">(K28/H28)*100</f>
        <v>30.0976138828633</v>
      </c>
      <c r="M28" s="16" t="n">
        <v>290</v>
      </c>
      <c r="N28" s="19" t="n">
        <f aca="false">(M28/H28)*100</f>
        <v>15.7266811279826</v>
      </c>
      <c r="O28" s="16" t="n">
        <v>0</v>
      </c>
      <c r="P28" s="16" t="n">
        <v>0</v>
      </c>
      <c r="Q28" s="297" t="s">
        <v>1052</v>
      </c>
      <c r="R28" s="34" t="n">
        <v>45317</v>
      </c>
      <c r="S28" s="16"/>
      <c r="T28" s="20" t="n">
        <v>43.1718</v>
      </c>
      <c r="U28" s="16"/>
      <c r="V28" s="16"/>
      <c r="W28" s="16"/>
      <c r="X28" s="16"/>
      <c r="Y28" s="16"/>
      <c r="Z28" s="16"/>
      <c r="AA28" s="89" t="s">
        <v>50</v>
      </c>
      <c r="AB28" s="89" t="n">
        <v>15</v>
      </c>
      <c r="AC28" s="90" t="s">
        <v>2095</v>
      </c>
      <c r="AD28" s="56"/>
      <c r="AE28" s="89"/>
    </row>
    <row r="29" customFormat="false" ht="31.5" hidden="false" customHeight="false" outlineLevel="0" collapsed="false">
      <c r="A29" s="16"/>
      <c r="B29" s="16"/>
      <c r="C29" s="71"/>
      <c r="D29" s="72"/>
      <c r="E29" s="16"/>
      <c r="F29" s="16"/>
      <c r="G29" s="16"/>
      <c r="H29" s="16"/>
      <c r="I29" s="16"/>
      <c r="J29" s="16"/>
      <c r="K29" s="16"/>
      <c r="L29" s="19" t="e">
        <f aca="false">(K29/H29)*100</f>
        <v>#DIV/0!</v>
      </c>
      <c r="M29" s="16"/>
      <c r="N29" s="19" t="e">
        <f aca="false">(M29/H29)*100</f>
        <v>#DIV/0!</v>
      </c>
      <c r="O29" s="16"/>
      <c r="P29" s="16"/>
      <c r="Q29" s="228"/>
      <c r="R29" s="234"/>
      <c r="S29" s="16"/>
      <c r="T29" s="228"/>
      <c r="U29" s="16"/>
      <c r="V29" s="16"/>
      <c r="W29" s="16"/>
      <c r="X29" s="16"/>
      <c r="Y29" s="16"/>
      <c r="Z29" s="16"/>
      <c r="AA29" s="93" t="s">
        <v>50</v>
      </c>
      <c r="AB29" s="93" t="n">
        <v>12</v>
      </c>
      <c r="AC29" s="98" t="s">
        <v>2096</v>
      </c>
      <c r="AD29" s="232"/>
      <c r="AE29" s="93"/>
    </row>
    <row r="30" customFormat="false" ht="31.5" hidden="false" customHeight="false" outlineLevel="0" collapsed="false">
      <c r="A30" s="16" t="s">
        <v>42</v>
      </c>
      <c r="B30" s="16" t="s">
        <v>2038</v>
      </c>
      <c r="C30" s="71" t="s">
        <v>2092</v>
      </c>
      <c r="D30" s="16" t="s">
        <v>2097</v>
      </c>
      <c r="E30" s="16" t="s">
        <v>2098</v>
      </c>
      <c r="F30" s="16" t="n">
        <v>1580</v>
      </c>
      <c r="G30" s="16" t="n">
        <v>187</v>
      </c>
      <c r="H30" s="16" t="n">
        <v>1242</v>
      </c>
      <c r="I30" s="16" t="n">
        <v>624</v>
      </c>
      <c r="J30" s="16" t="n">
        <v>618</v>
      </c>
      <c r="K30" s="16" t="n">
        <v>252</v>
      </c>
      <c r="L30" s="19" t="n">
        <f aca="false">(K30/H30)*100</f>
        <v>20.2898550724638</v>
      </c>
      <c r="M30" s="16" t="n">
        <v>324</v>
      </c>
      <c r="N30" s="19" t="n">
        <f aca="false">(M30/H30)*100</f>
        <v>26.0869565217391</v>
      </c>
      <c r="O30" s="16" t="n">
        <v>0</v>
      </c>
      <c r="P30" s="16" t="n">
        <v>0</v>
      </c>
      <c r="Q30" s="297" t="s">
        <v>1052</v>
      </c>
      <c r="R30" s="34" t="n">
        <v>45317</v>
      </c>
      <c r="S30" s="16"/>
      <c r="T30" s="20" t="n">
        <v>0</v>
      </c>
      <c r="U30" s="16"/>
      <c r="V30" s="16"/>
      <c r="W30" s="16"/>
      <c r="X30" s="16"/>
      <c r="Y30" s="16"/>
      <c r="Z30" s="16"/>
      <c r="AA30" s="89" t="s">
        <v>50</v>
      </c>
      <c r="AB30" s="89" t="n">
        <v>5</v>
      </c>
      <c r="AC30" s="90" t="s">
        <v>2099</v>
      </c>
      <c r="AD30" s="56"/>
      <c r="AE30" s="89"/>
    </row>
    <row r="31" customFormat="false" ht="31.5" hidden="false" customHeight="false" outlineLevel="0" collapsed="false">
      <c r="A31" s="16" t="s">
        <v>42</v>
      </c>
      <c r="B31" s="16" t="s">
        <v>2038</v>
      </c>
      <c r="C31" s="71" t="s">
        <v>2100</v>
      </c>
      <c r="D31" s="72" t="s">
        <v>2100</v>
      </c>
      <c r="E31" s="16" t="s">
        <v>2101</v>
      </c>
      <c r="F31" s="16" t="n">
        <v>2954.08</v>
      </c>
      <c r="G31" s="16" t="n">
        <v>406</v>
      </c>
      <c r="H31" s="16" t="n">
        <v>2397</v>
      </c>
      <c r="I31" s="16" t="n">
        <v>1241</v>
      </c>
      <c r="J31" s="16" t="n">
        <v>1156</v>
      </c>
      <c r="K31" s="16" t="n">
        <v>312</v>
      </c>
      <c r="L31" s="19" t="n">
        <f aca="false">(K31/H31)*100</f>
        <v>13.0162703379224</v>
      </c>
      <c r="M31" s="16" t="n">
        <v>350</v>
      </c>
      <c r="N31" s="19" t="n">
        <f aca="false">(M31/H31)*100</f>
        <v>14.6015853149771</v>
      </c>
      <c r="O31" s="16" t="n">
        <v>431.25</v>
      </c>
      <c r="P31" s="16" t="n">
        <v>0</v>
      </c>
      <c r="Q31" s="297" t="s">
        <v>1052</v>
      </c>
      <c r="R31" s="34" t="n">
        <v>45317</v>
      </c>
      <c r="S31" s="16"/>
      <c r="T31" s="297" t="n">
        <v>57.3277</v>
      </c>
      <c r="U31" s="16"/>
      <c r="V31" s="16"/>
      <c r="W31" s="16"/>
      <c r="X31" s="16"/>
      <c r="Y31" s="16"/>
      <c r="Z31" s="16"/>
      <c r="AA31" s="89" t="s">
        <v>50</v>
      </c>
      <c r="AB31" s="89" t="n">
        <v>12</v>
      </c>
      <c r="AC31" s="90" t="s">
        <v>2102</v>
      </c>
      <c r="AD31" s="56"/>
      <c r="AE31" s="89"/>
    </row>
    <row r="32" customFormat="false" ht="31.5" hidden="false" customHeight="false" outlineLevel="0" collapsed="false">
      <c r="A32" s="16"/>
      <c r="B32" s="16"/>
      <c r="C32" s="71"/>
      <c r="D32" s="72"/>
      <c r="E32" s="16"/>
      <c r="F32" s="16"/>
      <c r="G32" s="16"/>
      <c r="H32" s="16"/>
      <c r="I32" s="16"/>
      <c r="J32" s="16"/>
      <c r="K32" s="16"/>
      <c r="L32" s="19" t="e">
        <f aca="false">(K32/H32)*100</f>
        <v>#DIV/0!</v>
      </c>
      <c r="M32" s="16"/>
      <c r="N32" s="19" t="e">
        <f aca="false">(M32/H32)*100</f>
        <v>#DIV/0!</v>
      </c>
      <c r="O32" s="16"/>
      <c r="P32" s="16"/>
      <c r="Q32" s="228"/>
      <c r="R32" s="234"/>
      <c r="S32" s="16"/>
      <c r="T32" s="228"/>
      <c r="U32" s="16"/>
      <c r="V32" s="16"/>
      <c r="W32" s="16"/>
      <c r="X32" s="16"/>
      <c r="Y32" s="16"/>
      <c r="Z32" s="16"/>
      <c r="AA32" s="93" t="s">
        <v>50</v>
      </c>
      <c r="AB32" s="93" t="n">
        <v>12</v>
      </c>
      <c r="AC32" s="98" t="s">
        <v>2103</v>
      </c>
      <c r="AD32" s="232"/>
      <c r="AE32" s="93"/>
    </row>
    <row r="33" customFormat="false" ht="15.75" hidden="false" customHeight="false" outlineLevel="0" collapsed="false">
      <c r="A33" s="16" t="s">
        <v>42</v>
      </c>
      <c r="B33" s="16" t="s">
        <v>2038</v>
      </c>
      <c r="C33" s="71" t="s">
        <v>2038</v>
      </c>
      <c r="D33" s="72" t="s">
        <v>2104</v>
      </c>
      <c r="E33" s="16" t="s">
        <v>2105</v>
      </c>
      <c r="F33" s="16" t="n">
        <v>2853</v>
      </c>
      <c r="G33" s="16" t="n">
        <v>797</v>
      </c>
      <c r="H33" s="16" t="n">
        <v>4988</v>
      </c>
      <c r="I33" s="16" t="n">
        <v>2596</v>
      </c>
      <c r="J33" s="16" t="n">
        <v>2392</v>
      </c>
      <c r="K33" s="16" t="n">
        <v>850</v>
      </c>
      <c r="L33" s="19" t="n">
        <f aca="false">(K33/H33)*100</f>
        <v>17.0408981555734</v>
      </c>
      <c r="M33" s="16" t="n">
        <v>191</v>
      </c>
      <c r="N33" s="19" t="n">
        <f aca="false">(M33/H33)*100</f>
        <v>3.82919005613472</v>
      </c>
      <c r="O33" s="16" t="n">
        <v>169</v>
      </c>
      <c r="P33" s="16" t="n">
        <v>0</v>
      </c>
      <c r="Q33" s="297" t="s">
        <v>1052</v>
      </c>
      <c r="R33" s="34" t="n">
        <v>45317</v>
      </c>
      <c r="S33" s="16"/>
      <c r="T33" s="297" t="n">
        <v>0</v>
      </c>
      <c r="U33" s="16"/>
      <c r="V33" s="16"/>
      <c r="W33" s="16"/>
      <c r="X33" s="16"/>
      <c r="Y33" s="16"/>
      <c r="Z33" s="16"/>
      <c r="AA33" s="89" t="s">
        <v>50</v>
      </c>
      <c r="AB33" s="89" t="n">
        <v>15</v>
      </c>
      <c r="AC33" s="90" t="s">
        <v>2106</v>
      </c>
      <c r="AD33" s="56"/>
      <c r="AE33" s="89"/>
    </row>
    <row r="34" customFormat="false" ht="31.5" hidden="false" customHeight="false" outlineLevel="0" collapsed="false">
      <c r="A34" s="16"/>
      <c r="B34" s="16"/>
      <c r="C34" s="71"/>
      <c r="D34" s="72"/>
      <c r="E34" s="16"/>
      <c r="F34" s="16"/>
      <c r="G34" s="16"/>
      <c r="H34" s="16"/>
      <c r="I34" s="16"/>
      <c r="J34" s="16"/>
      <c r="K34" s="16"/>
      <c r="L34" s="19" t="e">
        <f aca="false">(K34/H34)*100</f>
        <v>#DIV/0!</v>
      </c>
      <c r="M34" s="16"/>
      <c r="N34" s="19" t="e">
        <f aca="false">(M34/H34)*100</f>
        <v>#DIV/0!</v>
      </c>
      <c r="O34" s="16"/>
      <c r="P34" s="16"/>
      <c r="Q34" s="228"/>
      <c r="R34" s="234"/>
      <c r="S34" s="16"/>
      <c r="T34" s="228"/>
      <c r="U34" s="16"/>
      <c r="V34" s="16"/>
      <c r="W34" s="16"/>
      <c r="X34" s="16"/>
      <c r="Y34" s="16"/>
      <c r="Z34" s="16"/>
      <c r="AA34" s="93" t="s">
        <v>50</v>
      </c>
      <c r="AB34" s="93" t="n">
        <v>10</v>
      </c>
      <c r="AC34" s="98" t="s">
        <v>2107</v>
      </c>
      <c r="AD34" s="232"/>
      <c r="AE34" s="93"/>
    </row>
    <row r="35" customFormat="false" ht="31.5" hidden="false" customHeight="false" outlineLevel="0" collapsed="false">
      <c r="A35" s="16"/>
      <c r="B35" s="16"/>
      <c r="C35" s="71"/>
      <c r="D35" s="72"/>
      <c r="E35" s="16"/>
      <c r="F35" s="16"/>
      <c r="G35" s="16"/>
      <c r="H35" s="16"/>
      <c r="I35" s="16"/>
      <c r="J35" s="16"/>
      <c r="K35" s="16"/>
      <c r="L35" s="19" t="e">
        <f aca="false">(K35/H35)*100</f>
        <v>#DIV/0!</v>
      </c>
      <c r="M35" s="16"/>
      <c r="N35" s="19" t="e">
        <f aca="false">(M35/H35)*100</f>
        <v>#DIV/0!</v>
      </c>
      <c r="O35" s="16"/>
      <c r="P35" s="16"/>
      <c r="Q35" s="228"/>
      <c r="R35" s="234"/>
      <c r="S35" s="16"/>
      <c r="T35" s="228"/>
      <c r="U35" s="16"/>
      <c r="V35" s="16"/>
      <c r="W35" s="16"/>
      <c r="X35" s="16"/>
      <c r="Y35" s="16"/>
      <c r="Z35" s="16"/>
      <c r="AA35" s="93" t="s">
        <v>50</v>
      </c>
      <c r="AB35" s="93" t="n">
        <v>15</v>
      </c>
      <c r="AC35" s="98" t="s">
        <v>2108</v>
      </c>
      <c r="AD35" s="232"/>
      <c r="AE35" s="93"/>
    </row>
    <row r="36" customFormat="false" ht="15.75" hidden="false" customHeight="false" outlineLevel="0" collapsed="false">
      <c r="A36" s="16" t="s">
        <v>42</v>
      </c>
      <c r="B36" s="16" t="s">
        <v>2038</v>
      </c>
      <c r="C36" s="71" t="s">
        <v>2038</v>
      </c>
      <c r="D36" s="16" t="s">
        <v>2109</v>
      </c>
      <c r="E36" s="16" t="s">
        <v>2110</v>
      </c>
      <c r="F36" s="16" t="n">
        <v>408.15</v>
      </c>
      <c r="G36" s="16" t="n">
        <v>27</v>
      </c>
      <c r="H36" s="16" t="n">
        <v>160</v>
      </c>
      <c r="I36" s="16" t="n">
        <v>86</v>
      </c>
      <c r="J36" s="16" t="n">
        <v>74</v>
      </c>
      <c r="K36" s="16" t="n">
        <v>0</v>
      </c>
      <c r="L36" s="19" t="n">
        <f aca="false">(K36/H36)*100</f>
        <v>0</v>
      </c>
      <c r="M36" s="16" t="n">
        <v>0</v>
      </c>
      <c r="N36" s="19" t="n">
        <f aca="false">(M36/H36)*100</f>
        <v>0</v>
      </c>
      <c r="O36" s="16" t="n">
        <v>0</v>
      </c>
      <c r="P36" s="16" t="n">
        <v>0</v>
      </c>
      <c r="Q36" s="297" t="s">
        <v>1052</v>
      </c>
      <c r="R36" s="34" t="n">
        <v>45317</v>
      </c>
      <c r="S36" s="16"/>
      <c r="T36" s="297" t="n">
        <v>0</v>
      </c>
      <c r="U36" s="16"/>
      <c r="V36" s="16"/>
      <c r="W36" s="16"/>
      <c r="X36" s="16"/>
      <c r="Y36" s="16"/>
      <c r="Z36" s="16"/>
      <c r="AA36" s="89" t="s">
        <v>50</v>
      </c>
      <c r="AB36" s="89" t="n">
        <v>0</v>
      </c>
      <c r="AC36" s="36"/>
      <c r="AD36" s="56"/>
      <c r="AE36" s="89"/>
    </row>
    <row r="37" customFormat="false" ht="15.75" hidden="false" customHeight="false" outlineLevel="0" collapsed="false">
      <c r="A37" s="16" t="s">
        <v>42</v>
      </c>
      <c r="B37" s="16" t="s">
        <v>2038</v>
      </c>
      <c r="C37" s="71" t="s">
        <v>2111</v>
      </c>
      <c r="D37" s="72" t="s">
        <v>2112</v>
      </c>
      <c r="E37" s="16" t="s">
        <v>2113</v>
      </c>
      <c r="F37" s="16" t="n">
        <v>1403.76</v>
      </c>
      <c r="G37" s="16" t="n">
        <v>851</v>
      </c>
      <c r="H37" s="16" t="n">
        <v>5163</v>
      </c>
      <c r="I37" s="16" t="n">
        <v>2616</v>
      </c>
      <c r="J37" s="16" t="n">
        <v>2547</v>
      </c>
      <c r="K37" s="16" t="n">
        <v>1129</v>
      </c>
      <c r="L37" s="19" t="n">
        <f aca="false">(K37/H37)*100</f>
        <v>21.8671315126864</v>
      </c>
      <c r="M37" s="16" t="n">
        <v>530</v>
      </c>
      <c r="N37" s="19" t="n">
        <f aca="false">(M37/H37)*100</f>
        <v>10.265349602944</v>
      </c>
      <c r="O37" s="16" t="n">
        <v>101.35</v>
      </c>
      <c r="P37" s="16" t="n">
        <v>0</v>
      </c>
      <c r="Q37" s="133" t="s">
        <v>49</v>
      </c>
      <c r="R37" s="134" t="n">
        <v>45317</v>
      </c>
      <c r="S37" s="16"/>
      <c r="T37" s="136" t="n">
        <v>0</v>
      </c>
      <c r="U37" s="16"/>
      <c r="V37" s="16"/>
      <c r="W37" s="16"/>
      <c r="X37" s="16"/>
      <c r="Y37" s="16"/>
      <c r="Z37" s="16"/>
      <c r="AA37" s="136" t="s">
        <v>266</v>
      </c>
      <c r="AB37" s="298" t="n">
        <v>0</v>
      </c>
      <c r="AC37" s="137"/>
      <c r="AD37" s="136" t="n">
        <v>0</v>
      </c>
      <c r="AE37" s="136" t="n">
        <v>0</v>
      </c>
    </row>
    <row r="38" customFormat="false" ht="15.75" hidden="false" customHeight="false" outlineLevel="0" collapsed="false">
      <c r="A38" s="16" t="s">
        <v>42</v>
      </c>
      <c r="B38" s="16" t="s">
        <v>2038</v>
      </c>
      <c r="C38" s="71" t="s">
        <v>2111</v>
      </c>
      <c r="D38" s="16" t="s">
        <v>114</v>
      </c>
      <c r="E38" s="16" t="s">
        <v>2114</v>
      </c>
      <c r="F38" s="16" t="n">
        <v>935.29</v>
      </c>
      <c r="G38" s="16" t="n">
        <v>118</v>
      </c>
      <c r="H38" s="16" t="n">
        <v>795</v>
      </c>
      <c r="I38" s="16" t="n">
        <v>398</v>
      </c>
      <c r="J38" s="16" t="n">
        <v>397</v>
      </c>
      <c r="K38" s="16" t="n">
        <v>0</v>
      </c>
      <c r="L38" s="19" t="n">
        <f aca="false">(K38/H38)*100</f>
        <v>0</v>
      </c>
      <c r="M38" s="16" t="n">
        <v>89</v>
      </c>
      <c r="N38" s="19" t="n">
        <f aca="false">(M38/H38)*100</f>
        <v>11.1949685534591</v>
      </c>
      <c r="O38" s="16" t="n">
        <v>4.43</v>
      </c>
      <c r="P38" s="16" t="n">
        <v>0</v>
      </c>
      <c r="Q38" s="133" t="s">
        <v>49</v>
      </c>
      <c r="R38" s="134" t="n">
        <v>45317</v>
      </c>
      <c r="S38" s="16"/>
      <c r="T38" s="136" t="n">
        <v>0</v>
      </c>
      <c r="U38" s="16"/>
      <c r="V38" s="16"/>
      <c r="W38" s="16"/>
      <c r="X38" s="16"/>
      <c r="Y38" s="16"/>
      <c r="Z38" s="16"/>
      <c r="AA38" s="136" t="s">
        <v>266</v>
      </c>
      <c r="AB38" s="298" t="n">
        <v>0</v>
      </c>
      <c r="AC38" s="137"/>
      <c r="AD38" s="136" t="n">
        <v>0</v>
      </c>
      <c r="AE38" s="136" t="n">
        <v>0</v>
      </c>
    </row>
    <row r="39" customFormat="false" ht="15.75" hidden="false" customHeight="false" outlineLevel="0" collapsed="false">
      <c r="A39" s="16" t="s">
        <v>42</v>
      </c>
      <c r="B39" s="16" t="s">
        <v>2038</v>
      </c>
      <c r="C39" s="71" t="s">
        <v>2111</v>
      </c>
      <c r="D39" s="16" t="s">
        <v>2115</v>
      </c>
      <c r="E39" s="16" t="s">
        <v>2116</v>
      </c>
      <c r="F39" s="16" t="n">
        <v>1631</v>
      </c>
      <c r="G39" s="16" t="n">
        <v>179</v>
      </c>
      <c r="H39" s="16" t="n">
        <v>1067</v>
      </c>
      <c r="I39" s="16" t="n">
        <v>563</v>
      </c>
      <c r="J39" s="16" t="n">
        <v>504</v>
      </c>
      <c r="K39" s="16" t="n">
        <v>136</v>
      </c>
      <c r="L39" s="19" t="n">
        <f aca="false">(K39/H39)*100</f>
        <v>12.7460168697282</v>
      </c>
      <c r="M39" s="16" t="n">
        <v>0</v>
      </c>
      <c r="N39" s="19" t="n">
        <f aca="false">(M39/H39)*100</f>
        <v>0</v>
      </c>
      <c r="O39" s="16" t="n">
        <v>22</v>
      </c>
      <c r="P39" s="16" t="n">
        <v>0</v>
      </c>
      <c r="Q39" s="133" t="s">
        <v>49</v>
      </c>
      <c r="R39" s="134" t="n">
        <v>45317</v>
      </c>
      <c r="S39" s="16"/>
      <c r="T39" s="136" t="n">
        <v>0</v>
      </c>
      <c r="U39" s="16"/>
      <c r="V39" s="16"/>
      <c r="W39" s="16"/>
      <c r="X39" s="16"/>
      <c r="Y39" s="16"/>
      <c r="Z39" s="16"/>
      <c r="AA39" s="136" t="s">
        <v>266</v>
      </c>
      <c r="AB39" s="298" t="n">
        <v>0</v>
      </c>
      <c r="AC39" s="137"/>
      <c r="AD39" s="136" t="n">
        <v>0</v>
      </c>
      <c r="AE39" s="136" t="n">
        <v>0</v>
      </c>
    </row>
    <row r="40" customFormat="false" ht="15.75" hidden="false" customHeight="false" outlineLevel="0" collapsed="false">
      <c r="A40" s="16" t="s">
        <v>42</v>
      </c>
      <c r="B40" s="16" t="s">
        <v>2038</v>
      </c>
      <c r="C40" s="71" t="s">
        <v>2117</v>
      </c>
      <c r="D40" s="72" t="s">
        <v>2118</v>
      </c>
      <c r="E40" s="16" t="s">
        <v>2119</v>
      </c>
      <c r="F40" s="16" t="n">
        <v>2836</v>
      </c>
      <c r="G40" s="16" t="n">
        <v>934</v>
      </c>
      <c r="H40" s="16" t="n">
        <v>5739</v>
      </c>
      <c r="I40" s="16" t="n">
        <v>2980</v>
      </c>
      <c r="J40" s="16" t="n">
        <v>2759</v>
      </c>
      <c r="K40" s="16" t="n">
        <v>969</v>
      </c>
      <c r="L40" s="19" t="n">
        <f aca="false">(K40/H40)*100</f>
        <v>16.8844746471511</v>
      </c>
      <c r="M40" s="16" t="n">
        <v>192</v>
      </c>
      <c r="N40" s="19" t="n">
        <f aca="false">(M40/H40)*100</f>
        <v>3.34553058024046</v>
      </c>
      <c r="O40" s="16" t="n">
        <v>172</v>
      </c>
      <c r="P40" s="16" t="n">
        <v>0</v>
      </c>
      <c r="Q40" s="20" t="s">
        <v>49</v>
      </c>
      <c r="R40" s="34" t="n">
        <v>45317</v>
      </c>
      <c r="S40" s="16"/>
      <c r="T40" s="89" t="n">
        <v>146.1259</v>
      </c>
      <c r="U40" s="16"/>
      <c r="V40" s="16"/>
      <c r="W40" s="16"/>
      <c r="X40" s="16"/>
      <c r="Y40" s="16"/>
      <c r="Z40" s="16"/>
      <c r="AA40" s="89" t="s">
        <v>266</v>
      </c>
      <c r="AB40" s="84" t="n">
        <v>10</v>
      </c>
      <c r="AC40" s="301" t="s">
        <v>2120</v>
      </c>
      <c r="AD40" s="89" t="n">
        <v>26.030423</v>
      </c>
      <c r="AE40" s="89" t="n">
        <v>72.912317</v>
      </c>
    </row>
    <row r="41" customFormat="false" ht="15.75" hidden="false" customHeight="false" outlineLevel="0" collapsed="false">
      <c r="A41" s="16"/>
      <c r="B41" s="16"/>
      <c r="C41" s="71"/>
      <c r="D41" s="72"/>
      <c r="E41" s="16"/>
      <c r="F41" s="16"/>
      <c r="G41" s="16"/>
      <c r="H41" s="16"/>
      <c r="I41" s="16"/>
      <c r="J41" s="16"/>
      <c r="K41" s="16"/>
      <c r="L41" s="19" t="e">
        <f aca="false">(K41/H41)*100</f>
        <v>#DIV/0!</v>
      </c>
      <c r="M41" s="16"/>
      <c r="N41" s="19" t="e">
        <f aca="false">(M41/H41)*100</f>
        <v>#DIV/0!</v>
      </c>
      <c r="O41" s="16"/>
      <c r="P41" s="16"/>
      <c r="Q41" s="228" t="s">
        <v>49</v>
      </c>
      <c r="R41" s="97"/>
      <c r="S41" s="16"/>
      <c r="T41" s="93"/>
      <c r="U41" s="16"/>
      <c r="V41" s="16"/>
      <c r="W41" s="16"/>
      <c r="X41" s="16"/>
      <c r="Y41" s="16"/>
      <c r="Z41" s="16"/>
      <c r="AA41" s="93" t="s">
        <v>266</v>
      </c>
      <c r="AB41" s="302" t="n">
        <v>10</v>
      </c>
      <c r="AC41" s="303" t="s">
        <v>2121</v>
      </c>
      <c r="AD41" s="93" t="n">
        <v>26.020135</v>
      </c>
      <c r="AE41" s="93" t="n">
        <v>72.910424</v>
      </c>
    </row>
    <row r="42" customFormat="false" ht="15.75" hidden="false" customHeight="false" outlineLevel="0" collapsed="false">
      <c r="A42" s="16"/>
      <c r="B42" s="16"/>
      <c r="C42" s="71"/>
      <c r="D42" s="72"/>
      <c r="E42" s="16"/>
      <c r="F42" s="16"/>
      <c r="G42" s="16"/>
      <c r="H42" s="16"/>
      <c r="I42" s="16"/>
      <c r="J42" s="16"/>
      <c r="K42" s="16"/>
      <c r="L42" s="19" t="e">
        <f aca="false">(K42/H42)*100</f>
        <v>#DIV/0!</v>
      </c>
      <c r="M42" s="16"/>
      <c r="N42" s="19" t="e">
        <f aca="false">(M42/H42)*100</f>
        <v>#DIV/0!</v>
      </c>
      <c r="O42" s="16"/>
      <c r="P42" s="16"/>
      <c r="Q42" s="228" t="s">
        <v>49</v>
      </c>
      <c r="R42" s="97"/>
      <c r="S42" s="16"/>
      <c r="T42" s="93"/>
      <c r="U42" s="16"/>
      <c r="V42" s="16"/>
      <c r="W42" s="16"/>
      <c r="X42" s="16"/>
      <c r="Y42" s="16"/>
      <c r="Z42" s="16"/>
      <c r="AA42" s="93" t="s">
        <v>266</v>
      </c>
      <c r="AB42" s="302" t="n">
        <v>10</v>
      </c>
      <c r="AC42" s="303" t="s">
        <v>2122</v>
      </c>
      <c r="AD42" s="93" t="n">
        <v>26.010033</v>
      </c>
      <c r="AE42" s="93" t="n">
        <v>72.90042</v>
      </c>
    </row>
    <row r="43" customFormat="false" ht="31.5" hidden="false" customHeight="false" outlineLevel="0" collapsed="false">
      <c r="A43" s="16" t="s">
        <v>42</v>
      </c>
      <c r="B43" s="16" t="s">
        <v>2038</v>
      </c>
      <c r="C43" s="71" t="s">
        <v>2123</v>
      </c>
      <c r="D43" s="72" t="s">
        <v>2123</v>
      </c>
      <c r="E43" s="16" t="s">
        <v>2124</v>
      </c>
      <c r="F43" s="16" t="n">
        <v>1363.5</v>
      </c>
      <c r="G43" s="16" t="n">
        <v>222</v>
      </c>
      <c r="H43" s="16" t="n">
        <v>1207</v>
      </c>
      <c r="I43" s="16" t="n">
        <v>633</v>
      </c>
      <c r="J43" s="16" t="n">
        <v>574</v>
      </c>
      <c r="K43" s="16" t="n">
        <v>0</v>
      </c>
      <c r="L43" s="19" t="n">
        <f aca="false">(K43/H43)*100</f>
        <v>0</v>
      </c>
      <c r="M43" s="16" t="n">
        <v>0</v>
      </c>
      <c r="N43" s="19" t="n">
        <f aca="false">(M43/H43)*100</f>
        <v>0</v>
      </c>
      <c r="O43" s="16" t="n">
        <v>20.06</v>
      </c>
      <c r="P43" s="16" t="n">
        <v>0</v>
      </c>
      <c r="Q43" s="24" t="s">
        <v>49</v>
      </c>
      <c r="R43" s="25" t="n">
        <v>45219</v>
      </c>
      <c r="S43" s="16"/>
      <c r="T43" s="92" t="n">
        <v>17.23</v>
      </c>
      <c r="U43" s="16"/>
      <c r="V43" s="16"/>
      <c r="W43" s="16"/>
      <c r="X43" s="16"/>
      <c r="Y43" s="16"/>
      <c r="Z43" s="16"/>
      <c r="AA43" s="92" t="s">
        <v>50</v>
      </c>
      <c r="AB43" s="76" t="n">
        <v>10</v>
      </c>
      <c r="AC43" s="304" t="s">
        <v>2125</v>
      </c>
      <c r="AD43" s="92" t="n">
        <v>26.010051</v>
      </c>
      <c r="AE43" s="92" t="n">
        <v>72.870351</v>
      </c>
    </row>
    <row r="44" customFormat="false" ht="15.75" hidden="false" customHeight="false" outlineLevel="0" collapsed="false">
      <c r="A44" s="16" t="s">
        <v>42</v>
      </c>
      <c r="B44" s="16" t="s">
        <v>2038</v>
      </c>
      <c r="C44" s="71" t="s">
        <v>2123</v>
      </c>
      <c r="D44" s="16" t="s">
        <v>535</v>
      </c>
      <c r="E44" s="16" t="s">
        <v>2126</v>
      </c>
      <c r="F44" s="16" t="n">
        <v>1157</v>
      </c>
      <c r="G44" s="16" t="n">
        <v>191</v>
      </c>
      <c r="H44" s="16" t="n">
        <v>1191</v>
      </c>
      <c r="I44" s="16" t="n">
        <v>621</v>
      </c>
      <c r="J44" s="16" t="n">
        <v>570</v>
      </c>
      <c r="K44" s="16" t="n">
        <v>317</v>
      </c>
      <c r="L44" s="19" t="n">
        <f aca="false">(K44/H44)*100</f>
        <v>26.6162888329135</v>
      </c>
      <c r="M44" s="16" t="n">
        <v>0</v>
      </c>
      <c r="N44" s="19" t="n">
        <f aca="false">(M44/H44)*100</f>
        <v>0</v>
      </c>
      <c r="O44" s="16" t="n">
        <v>44</v>
      </c>
      <c r="P44" s="16" t="n">
        <v>0</v>
      </c>
      <c r="Q44" s="16"/>
      <c r="R44" s="87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28"/>
      <c r="AD44" s="16"/>
      <c r="AE44" s="16"/>
    </row>
    <row r="45" customFormat="false" ht="31.5" hidden="false" customHeight="false" outlineLevel="0" collapsed="false">
      <c r="A45" s="16" t="s">
        <v>42</v>
      </c>
      <c r="B45" s="16" t="s">
        <v>2038</v>
      </c>
      <c r="C45" s="71" t="s">
        <v>2127</v>
      </c>
      <c r="D45" s="72" t="s">
        <v>2128</v>
      </c>
      <c r="E45" s="16" t="s">
        <v>2129</v>
      </c>
      <c r="F45" s="16" t="n">
        <v>453</v>
      </c>
      <c r="G45" s="16" t="n">
        <v>153</v>
      </c>
      <c r="H45" s="16" t="n">
        <v>945</v>
      </c>
      <c r="I45" s="16" t="n">
        <v>478</v>
      </c>
      <c r="J45" s="16" t="n">
        <v>467</v>
      </c>
      <c r="K45" s="16" t="n">
        <v>0</v>
      </c>
      <c r="L45" s="19" t="n">
        <f aca="false">(K45/H45)*100</f>
        <v>0</v>
      </c>
      <c r="M45" s="16" t="n">
        <v>0</v>
      </c>
      <c r="N45" s="19" t="n">
        <f aca="false">(M45/H45)*100</f>
        <v>0</v>
      </c>
      <c r="O45" s="16" t="n">
        <v>0</v>
      </c>
      <c r="P45" s="16" t="n">
        <v>40</v>
      </c>
      <c r="Q45" s="20" t="s">
        <v>49</v>
      </c>
      <c r="R45" s="34" t="n">
        <v>45317</v>
      </c>
      <c r="S45" s="16"/>
      <c r="T45" s="89"/>
      <c r="U45" s="16"/>
      <c r="V45" s="16"/>
      <c r="W45" s="16"/>
      <c r="X45" s="16"/>
      <c r="Y45" s="16"/>
      <c r="Z45" s="16"/>
      <c r="AA45" s="89" t="s">
        <v>266</v>
      </c>
      <c r="AB45" s="289" t="n">
        <v>10</v>
      </c>
      <c r="AC45" s="90" t="s">
        <v>2130</v>
      </c>
      <c r="AD45" s="89" t="n">
        <v>26.230125</v>
      </c>
      <c r="AE45" s="89" t="n">
        <v>72.739762</v>
      </c>
    </row>
    <row r="46" customFormat="false" ht="31.5" hidden="false" customHeight="false" outlineLevel="0" collapsed="false">
      <c r="A46" s="16" t="s">
        <v>42</v>
      </c>
      <c r="B46" s="16" t="s">
        <v>2038</v>
      </c>
      <c r="C46" s="71" t="s">
        <v>2127</v>
      </c>
      <c r="D46" s="16" t="s">
        <v>2131</v>
      </c>
      <c r="E46" s="16" t="s">
        <v>2132</v>
      </c>
      <c r="F46" s="16" t="n">
        <v>1022</v>
      </c>
      <c r="G46" s="16" t="n">
        <v>119</v>
      </c>
      <c r="H46" s="16" t="n">
        <v>725</v>
      </c>
      <c r="I46" s="16" t="n">
        <v>382</v>
      </c>
      <c r="J46" s="16" t="n">
        <v>343</v>
      </c>
      <c r="K46" s="16" t="n">
        <v>31</v>
      </c>
      <c r="L46" s="19" t="n">
        <f aca="false">(K46/H46)*100</f>
        <v>4.27586206896552</v>
      </c>
      <c r="M46" s="16" t="n">
        <v>0</v>
      </c>
      <c r="N46" s="19" t="n">
        <f aca="false">(M46/H46)*100</f>
        <v>0</v>
      </c>
      <c r="O46" s="16" t="n">
        <v>0</v>
      </c>
      <c r="P46" s="16" t="n">
        <v>0</v>
      </c>
      <c r="Q46" s="20" t="s">
        <v>49</v>
      </c>
      <c r="R46" s="34" t="n">
        <v>45317</v>
      </c>
      <c r="S46" s="16"/>
      <c r="T46" s="89"/>
      <c r="U46" s="16"/>
      <c r="V46" s="16"/>
      <c r="W46" s="16"/>
      <c r="X46" s="16"/>
      <c r="Y46" s="16"/>
      <c r="Z46" s="16"/>
      <c r="AA46" s="89" t="s">
        <v>266</v>
      </c>
      <c r="AB46" s="289" t="n">
        <v>10</v>
      </c>
      <c r="AC46" s="90" t="s">
        <v>2133</v>
      </c>
      <c r="AD46" s="89" t="n">
        <v>26.210517</v>
      </c>
      <c r="AE46" s="89" t="n">
        <v>72.720052</v>
      </c>
    </row>
    <row r="47" customFormat="false" ht="31.5" hidden="false" customHeight="false" outlineLevel="0" collapsed="false">
      <c r="A47" s="16"/>
      <c r="B47" s="16"/>
      <c r="C47" s="71"/>
      <c r="D47" s="16"/>
      <c r="E47" s="16"/>
      <c r="F47" s="16"/>
      <c r="G47" s="16"/>
      <c r="H47" s="16"/>
      <c r="I47" s="16"/>
      <c r="J47" s="16"/>
      <c r="K47" s="16"/>
      <c r="L47" s="19" t="e">
        <f aca="false">(K47/H47)*100</f>
        <v>#DIV/0!</v>
      </c>
      <c r="M47" s="16"/>
      <c r="N47" s="19" t="e">
        <f aca="false">(M47/H47)*100</f>
        <v>#DIV/0!</v>
      </c>
      <c r="O47" s="16"/>
      <c r="P47" s="16"/>
      <c r="Q47" s="228" t="s">
        <v>49</v>
      </c>
      <c r="R47" s="97"/>
      <c r="S47" s="16"/>
      <c r="T47" s="93"/>
      <c r="U47" s="16"/>
      <c r="V47" s="16"/>
      <c r="W47" s="16"/>
      <c r="X47" s="16"/>
      <c r="Y47" s="16"/>
      <c r="Z47" s="16"/>
      <c r="AA47" s="93" t="s">
        <v>266</v>
      </c>
      <c r="AB47" s="302" t="n">
        <v>15</v>
      </c>
      <c r="AC47" s="98" t="s">
        <v>2134</v>
      </c>
      <c r="AD47" s="93" t="n">
        <v>26.21275</v>
      </c>
      <c r="AE47" s="93" t="n">
        <v>72.730423</v>
      </c>
    </row>
    <row r="48" customFormat="false" ht="15.75" hidden="false" customHeight="false" outlineLevel="0" collapsed="false">
      <c r="A48" s="16" t="s">
        <v>42</v>
      </c>
      <c r="B48" s="16" t="s">
        <v>2038</v>
      </c>
      <c r="C48" s="71" t="s">
        <v>2127</v>
      </c>
      <c r="D48" s="16" t="s">
        <v>2135</v>
      </c>
      <c r="E48" s="16" t="s">
        <v>2136</v>
      </c>
      <c r="F48" s="16" t="n">
        <v>199</v>
      </c>
      <c r="G48" s="16" t="n">
        <v>130</v>
      </c>
      <c r="H48" s="16" t="n">
        <v>658</v>
      </c>
      <c r="I48" s="16" t="n">
        <v>234</v>
      </c>
      <c r="J48" s="16" t="n">
        <v>424</v>
      </c>
      <c r="K48" s="16" t="n">
        <v>0</v>
      </c>
      <c r="L48" s="19" t="n">
        <f aca="false">(K48/H48)*100</f>
        <v>0</v>
      </c>
      <c r="M48" s="16" t="n">
        <v>0</v>
      </c>
      <c r="N48" s="19" t="n">
        <f aca="false">(M48/H48)*100</f>
        <v>0</v>
      </c>
      <c r="O48" s="16" t="n">
        <v>0</v>
      </c>
      <c r="P48" s="16" t="n">
        <v>0</v>
      </c>
      <c r="Q48" s="133" t="s">
        <v>49</v>
      </c>
      <c r="R48" s="134" t="n">
        <v>45317</v>
      </c>
      <c r="S48" s="16"/>
      <c r="T48" s="136" t="n">
        <v>0</v>
      </c>
      <c r="U48" s="16"/>
      <c r="V48" s="16"/>
      <c r="W48" s="16"/>
      <c r="X48" s="16"/>
      <c r="Y48" s="16"/>
      <c r="Z48" s="16"/>
      <c r="AA48" s="136" t="s">
        <v>266</v>
      </c>
      <c r="AB48" s="298" t="n">
        <v>0</v>
      </c>
      <c r="AC48" s="137"/>
      <c r="AD48" s="136" t="n">
        <v>0</v>
      </c>
      <c r="AE48" s="136" t="n">
        <v>0</v>
      </c>
    </row>
    <row r="49" customFormat="false" ht="15.75" hidden="false" customHeight="false" outlineLevel="0" collapsed="false">
      <c r="A49" s="16" t="s">
        <v>42</v>
      </c>
      <c r="B49" s="16" t="s">
        <v>2038</v>
      </c>
      <c r="C49" s="71" t="s">
        <v>2137</v>
      </c>
      <c r="D49" s="72" t="s">
        <v>2138</v>
      </c>
      <c r="E49" s="16" t="s">
        <v>2139</v>
      </c>
      <c r="F49" s="16" t="n">
        <v>358.07</v>
      </c>
      <c r="G49" s="16" t="n">
        <v>124</v>
      </c>
      <c r="H49" s="16" t="n">
        <v>589</v>
      </c>
      <c r="I49" s="16" t="n">
        <v>311</v>
      </c>
      <c r="J49" s="16" t="n">
        <v>278</v>
      </c>
      <c r="K49" s="16" t="n">
        <v>0</v>
      </c>
      <c r="L49" s="19" t="n">
        <f aca="false">(K49/H49)*100</f>
        <v>0</v>
      </c>
      <c r="M49" s="16" t="n">
        <v>0</v>
      </c>
      <c r="N49" s="19" t="n">
        <f aca="false">(M49/H49)*100</f>
        <v>0</v>
      </c>
      <c r="O49" s="16" t="n">
        <v>0</v>
      </c>
      <c r="P49" s="16" t="n">
        <v>0</v>
      </c>
      <c r="Q49" s="297" t="s">
        <v>1052</v>
      </c>
      <c r="R49" s="34" t="n">
        <v>45317</v>
      </c>
      <c r="S49" s="16"/>
      <c r="T49" s="297" t="n">
        <v>0</v>
      </c>
      <c r="U49" s="16"/>
      <c r="V49" s="16"/>
      <c r="W49" s="16"/>
      <c r="X49" s="16"/>
      <c r="Y49" s="16"/>
      <c r="Z49" s="16"/>
      <c r="AA49" s="89" t="s">
        <v>50</v>
      </c>
      <c r="AB49" s="89" t="n">
        <v>0</v>
      </c>
      <c r="AC49" s="36"/>
      <c r="AD49" s="56"/>
      <c r="AE49" s="89"/>
    </row>
    <row r="50" customFormat="false" ht="15.75" hidden="false" customHeight="false" outlineLevel="0" collapsed="false">
      <c r="A50" s="16" t="s">
        <v>42</v>
      </c>
      <c r="B50" s="16" t="s">
        <v>2038</v>
      </c>
      <c r="C50" s="71" t="s">
        <v>2137</v>
      </c>
      <c r="D50" s="16" t="s">
        <v>2140</v>
      </c>
      <c r="E50" s="16" t="s">
        <v>2141</v>
      </c>
      <c r="F50" s="16" t="n">
        <v>230.13</v>
      </c>
      <c r="G50" s="16" t="n">
        <v>73</v>
      </c>
      <c r="H50" s="16" t="n">
        <v>393</v>
      </c>
      <c r="I50" s="16" t="n">
        <v>199</v>
      </c>
      <c r="J50" s="16" t="n">
        <v>194</v>
      </c>
      <c r="K50" s="16" t="n">
        <v>155</v>
      </c>
      <c r="L50" s="19" t="n">
        <f aca="false">(K50/H50)*100</f>
        <v>39.440203562341</v>
      </c>
      <c r="M50" s="16" t="n">
        <v>0</v>
      </c>
      <c r="N50" s="19" t="n">
        <f aca="false">(M50/H50)*100</f>
        <v>0</v>
      </c>
      <c r="O50" s="16" t="n">
        <v>0</v>
      </c>
      <c r="P50" s="16" t="n">
        <v>0</v>
      </c>
      <c r="Q50" s="297" t="s">
        <v>1052</v>
      </c>
      <c r="R50" s="34" t="n">
        <v>45317</v>
      </c>
      <c r="S50" s="16"/>
      <c r="T50" s="297" t="n">
        <v>0</v>
      </c>
      <c r="U50" s="16"/>
      <c r="V50" s="16"/>
      <c r="W50" s="16"/>
      <c r="X50" s="16"/>
      <c r="Y50" s="16"/>
      <c r="Z50" s="16"/>
      <c r="AA50" s="89" t="s">
        <v>50</v>
      </c>
      <c r="AB50" s="89" t="n">
        <v>0</v>
      </c>
      <c r="AC50" s="36"/>
      <c r="AD50" s="56"/>
      <c r="AE50" s="89"/>
    </row>
    <row r="51" customFormat="false" ht="31.5" hidden="false" customHeight="false" outlineLevel="0" collapsed="false">
      <c r="A51" s="16" t="s">
        <v>42</v>
      </c>
      <c r="B51" s="16" t="s">
        <v>2038</v>
      </c>
      <c r="C51" s="71" t="s">
        <v>2137</v>
      </c>
      <c r="D51" s="16" t="s">
        <v>2142</v>
      </c>
      <c r="E51" s="16" t="s">
        <v>2143</v>
      </c>
      <c r="F51" s="16" t="n">
        <v>748.52</v>
      </c>
      <c r="G51" s="16" t="n">
        <v>107</v>
      </c>
      <c r="H51" s="16" t="n">
        <v>635</v>
      </c>
      <c r="I51" s="16" t="n">
        <v>341</v>
      </c>
      <c r="J51" s="16" t="n">
        <v>294</v>
      </c>
      <c r="K51" s="16" t="n">
        <v>112</v>
      </c>
      <c r="L51" s="19" t="n">
        <f aca="false">(K51/H51)*100</f>
        <v>17.6377952755906</v>
      </c>
      <c r="M51" s="16" t="n">
        <v>0</v>
      </c>
      <c r="N51" s="19" t="n">
        <f aca="false">(M51/H51)*100</f>
        <v>0</v>
      </c>
      <c r="O51" s="16" t="n">
        <v>0</v>
      </c>
      <c r="P51" s="16" t="n">
        <v>0</v>
      </c>
      <c r="Q51" s="297" t="s">
        <v>1052</v>
      </c>
      <c r="R51" s="34" t="n">
        <v>45317</v>
      </c>
      <c r="S51" s="16"/>
      <c r="T51" s="297" t="n">
        <v>0</v>
      </c>
      <c r="U51" s="16"/>
      <c r="V51" s="16"/>
      <c r="W51" s="16"/>
      <c r="X51" s="16"/>
      <c r="Y51" s="16"/>
      <c r="Z51" s="16"/>
      <c r="AA51" s="89" t="s">
        <v>50</v>
      </c>
      <c r="AB51" s="89" t="n">
        <v>15</v>
      </c>
      <c r="AC51" s="90" t="s">
        <v>2144</v>
      </c>
      <c r="AD51" s="56"/>
      <c r="AE51" s="89"/>
    </row>
    <row r="52" customFormat="false" ht="15.75" hidden="false" customHeight="false" outlineLevel="0" collapsed="false">
      <c r="A52" s="16" t="s">
        <v>42</v>
      </c>
      <c r="B52" s="16" t="s">
        <v>2038</v>
      </c>
      <c r="C52" s="71" t="s">
        <v>2137</v>
      </c>
      <c r="D52" s="16" t="s">
        <v>471</v>
      </c>
      <c r="E52" s="16" t="s">
        <v>2145</v>
      </c>
      <c r="F52" s="16" t="n">
        <v>483.88</v>
      </c>
      <c r="G52" s="16" t="n">
        <v>61</v>
      </c>
      <c r="H52" s="16" t="n">
        <v>398</v>
      </c>
      <c r="I52" s="16" t="n">
        <v>204</v>
      </c>
      <c r="J52" s="16" t="n">
        <v>194</v>
      </c>
      <c r="K52" s="16" t="n">
        <v>95</v>
      </c>
      <c r="L52" s="19" t="n">
        <f aca="false">(K52/H52)*100</f>
        <v>23.8693467336683</v>
      </c>
      <c r="M52" s="16" t="n">
        <v>0</v>
      </c>
      <c r="N52" s="19" t="n">
        <f aca="false">(M52/H52)*100</f>
        <v>0</v>
      </c>
      <c r="O52" s="16" t="n">
        <v>0</v>
      </c>
      <c r="P52" s="16" t="n">
        <v>0</v>
      </c>
      <c r="Q52" s="297" t="s">
        <v>1052</v>
      </c>
      <c r="R52" s="34" t="n">
        <v>45317</v>
      </c>
      <c r="S52" s="16"/>
      <c r="T52" s="297" t="n">
        <v>0</v>
      </c>
      <c r="U52" s="16"/>
      <c r="V52" s="16"/>
      <c r="W52" s="16"/>
      <c r="X52" s="16"/>
      <c r="Y52" s="16"/>
      <c r="Z52" s="16"/>
      <c r="AA52" s="89" t="s">
        <v>50</v>
      </c>
      <c r="AB52" s="89" t="n">
        <v>15</v>
      </c>
      <c r="AC52" s="90" t="s">
        <v>2146</v>
      </c>
      <c r="AD52" s="56"/>
      <c r="AE52" s="89"/>
    </row>
    <row r="53" customFormat="false" ht="15.75" hidden="false" customHeight="false" outlineLevel="0" collapsed="false">
      <c r="A53" s="16" t="s">
        <v>42</v>
      </c>
      <c r="B53" s="16" t="s">
        <v>2038</v>
      </c>
      <c r="C53" s="71" t="s">
        <v>2137</v>
      </c>
      <c r="D53" s="16" t="s">
        <v>2147</v>
      </c>
      <c r="E53" s="16" t="s">
        <v>2148</v>
      </c>
      <c r="F53" s="16" t="n">
        <v>269.46</v>
      </c>
      <c r="G53" s="16" t="n">
        <v>72</v>
      </c>
      <c r="H53" s="16" t="n">
        <v>436</v>
      </c>
      <c r="I53" s="16" t="n">
        <v>234</v>
      </c>
      <c r="J53" s="16" t="n">
        <v>202</v>
      </c>
      <c r="K53" s="16" t="n">
        <v>0</v>
      </c>
      <c r="L53" s="19" t="n">
        <f aca="false">(K53/H53)*100</f>
        <v>0</v>
      </c>
      <c r="M53" s="16" t="n">
        <v>0</v>
      </c>
      <c r="N53" s="19" t="n">
        <f aca="false">(M53/H53)*100</f>
        <v>0</v>
      </c>
      <c r="O53" s="16" t="n">
        <v>0</v>
      </c>
      <c r="P53" s="16" t="n">
        <v>0</v>
      </c>
      <c r="Q53" s="297" t="s">
        <v>1052</v>
      </c>
      <c r="R53" s="34" t="n">
        <v>45317</v>
      </c>
      <c r="S53" s="16"/>
      <c r="T53" s="297" t="n">
        <v>0</v>
      </c>
      <c r="U53" s="16"/>
      <c r="V53" s="16"/>
      <c r="W53" s="16"/>
      <c r="X53" s="16"/>
      <c r="Y53" s="16"/>
      <c r="Z53" s="16"/>
      <c r="AA53" s="89" t="s">
        <v>50</v>
      </c>
      <c r="AB53" s="89" t="n">
        <v>0</v>
      </c>
      <c r="AC53" s="36"/>
      <c r="AD53" s="56"/>
      <c r="AE53" s="89"/>
    </row>
    <row r="54" customFormat="false" ht="15.75" hidden="false" customHeight="false" outlineLevel="0" collapsed="false">
      <c r="A54" s="16" t="s">
        <v>42</v>
      </c>
      <c r="B54" s="16" t="s">
        <v>2038</v>
      </c>
      <c r="C54" s="71" t="s">
        <v>2149</v>
      </c>
      <c r="D54" s="72" t="s">
        <v>2150</v>
      </c>
      <c r="E54" s="16" t="s">
        <v>2151</v>
      </c>
      <c r="F54" s="16" t="n">
        <v>889.2</v>
      </c>
      <c r="G54" s="16" t="n">
        <v>204</v>
      </c>
      <c r="H54" s="16" t="n">
        <v>1141</v>
      </c>
      <c r="I54" s="16" t="n">
        <v>606</v>
      </c>
      <c r="J54" s="16" t="n">
        <v>535</v>
      </c>
      <c r="K54" s="16" t="n">
        <v>337</v>
      </c>
      <c r="L54" s="19" t="n">
        <f aca="false">(K54/H54)*100</f>
        <v>29.535495179667</v>
      </c>
      <c r="M54" s="16" t="n">
        <v>0</v>
      </c>
      <c r="N54" s="19" t="n">
        <f aca="false">(M54/H54)*100</f>
        <v>0</v>
      </c>
      <c r="O54" s="16" t="n">
        <v>0</v>
      </c>
      <c r="P54" s="16" t="n">
        <v>0</v>
      </c>
      <c r="Q54" s="297" t="s">
        <v>1052</v>
      </c>
      <c r="R54" s="34" t="n">
        <v>45317</v>
      </c>
      <c r="S54" s="16"/>
      <c r="T54" s="297" t="n">
        <v>0</v>
      </c>
      <c r="U54" s="16"/>
      <c r="V54" s="16"/>
      <c r="W54" s="16"/>
      <c r="X54" s="16"/>
      <c r="Y54" s="16"/>
      <c r="Z54" s="16"/>
      <c r="AA54" s="89" t="s">
        <v>50</v>
      </c>
      <c r="AB54" s="89" t="n">
        <v>0</v>
      </c>
      <c r="AC54" s="90"/>
      <c r="AD54" s="56"/>
      <c r="AE54" s="89"/>
    </row>
    <row r="55" customFormat="false" ht="15.75" hidden="false" customHeight="false" outlineLevel="0" collapsed="false">
      <c r="A55" s="16" t="s">
        <v>42</v>
      </c>
      <c r="B55" s="16" t="s">
        <v>2038</v>
      </c>
      <c r="C55" s="71" t="s">
        <v>2149</v>
      </c>
      <c r="D55" s="16" t="s">
        <v>2152</v>
      </c>
      <c r="E55" s="16" t="s">
        <v>2153</v>
      </c>
      <c r="F55" s="16" t="n">
        <v>338</v>
      </c>
      <c r="G55" s="16" t="n">
        <v>28</v>
      </c>
      <c r="H55" s="16" t="n">
        <v>147</v>
      </c>
      <c r="I55" s="16" t="n">
        <v>80</v>
      </c>
      <c r="J55" s="16" t="n">
        <v>67</v>
      </c>
      <c r="K55" s="16" t="n">
        <v>0</v>
      </c>
      <c r="L55" s="19" t="n">
        <f aca="false">(K55/H55)*100</f>
        <v>0</v>
      </c>
      <c r="M55" s="16" t="n">
        <v>0</v>
      </c>
      <c r="N55" s="19" t="n">
        <f aca="false">(M55/H55)*100</f>
        <v>0</v>
      </c>
      <c r="O55" s="16" t="n">
        <v>0</v>
      </c>
      <c r="P55" s="16" t="n">
        <v>0</v>
      </c>
      <c r="Q55" s="297" t="s">
        <v>1052</v>
      </c>
      <c r="R55" s="34" t="n">
        <v>45317</v>
      </c>
      <c r="S55" s="16"/>
      <c r="T55" s="297" t="n">
        <v>0</v>
      </c>
      <c r="U55" s="16"/>
      <c r="V55" s="16"/>
      <c r="W55" s="16"/>
      <c r="X55" s="16"/>
      <c r="Y55" s="16"/>
      <c r="Z55" s="16"/>
      <c r="AA55" s="89" t="s">
        <v>50</v>
      </c>
      <c r="AB55" s="89" t="n">
        <v>0</v>
      </c>
      <c r="AC55" s="36"/>
      <c r="AD55" s="56"/>
      <c r="AE55" s="89"/>
    </row>
    <row r="56" customFormat="false" ht="15.75" hidden="false" customHeight="false" outlineLevel="0" collapsed="false">
      <c r="A56" s="16" t="s">
        <v>42</v>
      </c>
      <c r="B56" s="16" t="s">
        <v>2038</v>
      </c>
      <c r="C56" s="71" t="s">
        <v>2149</v>
      </c>
      <c r="D56" s="16" t="s">
        <v>2154</v>
      </c>
      <c r="E56" s="16" t="s">
        <v>2155</v>
      </c>
      <c r="F56" s="16" t="n">
        <v>462.07</v>
      </c>
      <c r="G56" s="16" t="n">
        <v>83</v>
      </c>
      <c r="H56" s="16" t="n">
        <v>448</v>
      </c>
      <c r="I56" s="16" t="n">
        <v>222</v>
      </c>
      <c r="J56" s="16" t="n">
        <v>226</v>
      </c>
      <c r="K56" s="16" t="n">
        <v>0</v>
      </c>
      <c r="L56" s="19" t="n">
        <f aca="false">(K56/H56)*100</f>
        <v>0</v>
      </c>
      <c r="M56" s="16" t="n">
        <v>0</v>
      </c>
      <c r="N56" s="19" t="n">
        <f aca="false">(M56/H56)*100</f>
        <v>0</v>
      </c>
      <c r="O56" s="16" t="n">
        <v>0</v>
      </c>
      <c r="P56" s="16" t="n">
        <v>0</v>
      </c>
      <c r="Q56" s="297" t="s">
        <v>1052</v>
      </c>
      <c r="R56" s="34" t="n">
        <v>45317</v>
      </c>
      <c r="S56" s="16"/>
      <c r="T56" s="297" t="n">
        <v>0</v>
      </c>
      <c r="U56" s="16"/>
      <c r="V56" s="16"/>
      <c r="W56" s="16"/>
      <c r="X56" s="16"/>
      <c r="Y56" s="16"/>
      <c r="Z56" s="16"/>
      <c r="AA56" s="89" t="s">
        <v>50</v>
      </c>
      <c r="AB56" s="89" t="n">
        <v>0</v>
      </c>
      <c r="AC56" s="36"/>
      <c r="AD56" s="56"/>
      <c r="AE56" s="89"/>
    </row>
    <row r="57" customFormat="false" ht="15.75" hidden="false" customHeight="false" outlineLevel="0" collapsed="false">
      <c r="A57" s="16" t="s">
        <v>42</v>
      </c>
      <c r="B57" s="16" t="s">
        <v>2038</v>
      </c>
      <c r="C57" s="71" t="s">
        <v>2149</v>
      </c>
      <c r="D57" s="16" t="s">
        <v>2156</v>
      </c>
      <c r="E57" s="16" t="s">
        <v>2157</v>
      </c>
      <c r="F57" s="16" t="n">
        <v>367.8</v>
      </c>
      <c r="G57" s="16" t="n">
        <v>93</v>
      </c>
      <c r="H57" s="16" t="n">
        <v>597</v>
      </c>
      <c r="I57" s="16" t="n">
        <v>293</v>
      </c>
      <c r="J57" s="16" t="n">
        <v>304</v>
      </c>
      <c r="K57" s="16" t="n">
        <v>0</v>
      </c>
      <c r="L57" s="19" t="n">
        <f aca="false">(K57/H57)*100</f>
        <v>0</v>
      </c>
      <c r="M57" s="16" t="n">
        <v>0</v>
      </c>
      <c r="N57" s="19" t="n">
        <f aca="false">(M57/H57)*100</f>
        <v>0</v>
      </c>
      <c r="O57" s="16" t="n">
        <v>0</v>
      </c>
      <c r="P57" s="16" t="n">
        <v>0</v>
      </c>
      <c r="Q57" s="297" t="s">
        <v>1052</v>
      </c>
      <c r="R57" s="34" t="n">
        <v>45317</v>
      </c>
      <c r="S57" s="16"/>
      <c r="T57" s="297" t="n">
        <v>0</v>
      </c>
      <c r="U57" s="16"/>
      <c r="V57" s="16"/>
      <c r="W57" s="16"/>
      <c r="X57" s="16"/>
      <c r="Y57" s="16"/>
      <c r="Z57" s="16"/>
      <c r="AA57" s="89" t="s">
        <v>50</v>
      </c>
      <c r="AB57" s="89" t="n">
        <v>0</v>
      </c>
      <c r="AC57" s="36"/>
      <c r="AD57" s="56"/>
      <c r="AE57" s="89"/>
    </row>
    <row r="58" customFormat="false" ht="15.75" hidden="false" customHeight="false" outlineLevel="0" collapsed="false">
      <c r="A58" s="16" t="s">
        <v>42</v>
      </c>
      <c r="B58" s="16" t="s">
        <v>2038</v>
      </c>
      <c r="C58" s="71" t="s">
        <v>2149</v>
      </c>
      <c r="D58" s="16" t="s">
        <v>2158</v>
      </c>
      <c r="E58" s="16" t="s">
        <v>2159</v>
      </c>
      <c r="F58" s="16" t="n">
        <v>770.08</v>
      </c>
      <c r="G58" s="16" t="n">
        <v>71</v>
      </c>
      <c r="H58" s="16" t="n">
        <v>493</v>
      </c>
      <c r="I58" s="16" t="n">
        <v>249</v>
      </c>
      <c r="J58" s="16" t="n">
        <v>244</v>
      </c>
      <c r="K58" s="16" t="n">
        <v>0</v>
      </c>
      <c r="L58" s="19" t="n">
        <f aca="false">(K58/H58)*100</f>
        <v>0</v>
      </c>
      <c r="M58" s="16" t="n">
        <v>0</v>
      </c>
      <c r="N58" s="19" t="n">
        <f aca="false">(M58/H58)*100</f>
        <v>0</v>
      </c>
      <c r="O58" s="16" t="n">
        <v>0</v>
      </c>
      <c r="P58" s="16" t="n">
        <v>0</v>
      </c>
      <c r="Q58" s="297" t="s">
        <v>1052</v>
      </c>
      <c r="R58" s="34" t="n">
        <v>45317</v>
      </c>
      <c r="S58" s="16"/>
      <c r="T58" s="297" t="n">
        <v>0</v>
      </c>
      <c r="U58" s="16"/>
      <c r="V58" s="16"/>
      <c r="W58" s="16"/>
      <c r="X58" s="16"/>
      <c r="Y58" s="16"/>
      <c r="Z58" s="16"/>
      <c r="AA58" s="89" t="s">
        <v>50</v>
      </c>
      <c r="AB58" s="89" t="n">
        <v>0</v>
      </c>
      <c r="AC58" s="36"/>
      <c r="AD58" s="56"/>
      <c r="AE58" s="89"/>
    </row>
    <row r="59" customFormat="false" ht="47.25" hidden="false" customHeight="false" outlineLevel="0" collapsed="false">
      <c r="A59" s="16" t="s">
        <v>42</v>
      </c>
      <c r="B59" s="16" t="s">
        <v>2038</v>
      </c>
      <c r="C59" s="71" t="s">
        <v>2149</v>
      </c>
      <c r="D59" s="16" t="s">
        <v>2160</v>
      </c>
      <c r="E59" s="16" t="s">
        <v>2161</v>
      </c>
      <c r="F59" s="16" t="n">
        <v>916.3</v>
      </c>
      <c r="G59" s="16" t="n">
        <v>119</v>
      </c>
      <c r="H59" s="16" t="n">
        <v>789</v>
      </c>
      <c r="I59" s="16" t="n">
        <v>403</v>
      </c>
      <c r="J59" s="16" t="n">
        <v>386</v>
      </c>
      <c r="K59" s="16" t="n">
        <v>251</v>
      </c>
      <c r="L59" s="19" t="n">
        <f aca="false">(K59/H59)*100</f>
        <v>31.8124207858048</v>
      </c>
      <c r="M59" s="16" t="n">
        <v>0</v>
      </c>
      <c r="N59" s="19" t="n">
        <f aca="false">(M59/H59)*100</f>
        <v>0</v>
      </c>
      <c r="O59" s="16" t="n">
        <v>0</v>
      </c>
      <c r="P59" s="16" t="n">
        <v>0</v>
      </c>
      <c r="Q59" s="297" t="s">
        <v>1052</v>
      </c>
      <c r="R59" s="34" t="n">
        <v>45317</v>
      </c>
      <c r="S59" s="16"/>
      <c r="T59" s="297" t="n">
        <v>0</v>
      </c>
      <c r="U59" s="16"/>
      <c r="V59" s="16"/>
      <c r="W59" s="16"/>
      <c r="X59" s="16"/>
      <c r="Y59" s="16"/>
      <c r="Z59" s="16"/>
      <c r="AA59" s="89" t="s">
        <v>50</v>
      </c>
      <c r="AB59" s="89" t="n">
        <v>5</v>
      </c>
      <c r="AC59" s="90" t="s">
        <v>2162</v>
      </c>
      <c r="AD59" s="56"/>
      <c r="AE59" s="89"/>
    </row>
    <row r="60" customFormat="false" ht="31.5" hidden="false" customHeight="false" outlineLevel="0" collapsed="false">
      <c r="A60" s="16" t="s">
        <v>42</v>
      </c>
      <c r="B60" s="16" t="s">
        <v>2038</v>
      </c>
      <c r="C60" s="71" t="s">
        <v>2163</v>
      </c>
      <c r="D60" s="72" t="s">
        <v>2164</v>
      </c>
      <c r="E60" s="16" t="s">
        <v>2165</v>
      </c>
      <c r="F60" s="16" t="n">
        <v>2038</v>
      </c>
      <c r="G60" s="16" t="n">
        <v>930</v>
      </c>
      <c r="H60" s="16" t="n">
        <v>5648</v>
      </c>
      <c r="I60" s="16" t="n">
        <v>2916</v>
      </c>
      <c r="J60" s="16" t="n">
        <v>2732</v>
      </c>
      <c r="K60" s="16" t="n">
        <v>1079</v>
      </c>
      <c r="L60" s="19" t="n">
        <f aca="false">(K60/H60)*100</f>
        <v>19.1041076487252</v>
      </c>
      <c r="M60" s="16" t="n">
        <v>228</v>
      </c>
      <c r="N60" s="19" t="n">
        <f aca="false">(M60/H60)*100</f>
        <v>4.03682719546742</v>
      </c>
      <c r="O60" s="16" t="n">
        <v>1</v>
      </c>
      <c r="P60" s="16" t="n">
        <v>0</v>
      </c>
      <c r="Q60" s="20" t="s">
        <v>49</v>
      </c>
      <c r="R60" s="34" t="n">
        <v>45201</v>
      </c>
      <c r="S60" s="16"/>
      <c r="T60" s="89" t="n">
        <v>0.22</v>
      </c>
      <c r="U60" s="16"/>
      <c r="V60" s="16"/>
      <c r="W60" s="16"/>
      <c r="X60" s="16"/>
      <c r="Y60" s="16"/>
      <c r="Z60" s="16"/>
      <c r="AA60" s="89" t="s">
        <v>50</v>
      </c>
      <c r="AB60" s="289" t="n">
        <v>12</v>
      </c>
      <c r="AC60" s="305" t="s">
        <v>2166</v>
      </c>
      <c r="AD60" s="89" t="n">
        <v>26.2022</v>
      </c>
      <c r="AE60" s="89" t="n">
        <v>72.8607</v>
      </c>
    </row>
    <row r="61" customFormat="false" ht="15.75" hidden="false" customHeight="false" outlineLevel="0" collapsed="false">
      <c r="A61" s="16" t="s">
        <v>42</v>
      </c>
      <c r="B61" s="16" t="s">
        <v>2038</v>
      </c>
      <c r="C61" s="71" t="s">
        <v>2163</v>
      </c>
      <c r="D61" s="16" t="s">
        <v>2167</v>
      </c>
      <c r="E61" s="16" t="s">
        <v>2168</v>
      </c>
      <c r="F61" s="16" t="n">
        <v>986</v>
      </c>
      <c r="G61" s="16" t="n">
        <v>166</v>
      </c>
      <c r="H61" s="16" t="n">
        <v>1286</v>
      </c>
      <c r="I61" s="16" t="n">
        <v>653</v>
      </c>
      <c r="J61" s="16" t="n">
        <v>633</v>
      </c>
      <c r="K61" s="16" t="n">
        <v>0</v>
      </c>
      <c r="L61" s="19" t="n">
        <f aca="false">(K61/H61)*100</f>
        <v>0</v>
      </c>
      <c r="M61" s="16" t="n">
        <v>0</v>
      </c>
      <c r="N61" s="19" t="n">
        <f aca="false">(M61/H61)*100</f>
        <v>0</v>
      </c>
      <c r="O61" s="16" t="n">
        <v>0</v>
      </c>
      <c r="P61" s="16" t="n">
        <v>0</v>
      </c>
      <c r="Q61" s="20" t="s">
        <v>49</v>
      </c>
      <c r="R61" s="34" t="n">
        <v>45201</v>
      </c>
      <c r="S61" s="16"/>
      <c r="T61" s="89" t="n">
        <v>0</v>
      </c>
      <c r="U61" s="16"/>
      <c r="V61" s="16"/>
      <c r="W61" s="16"/>
      <c r="X61" s="16"/>
      <c r="Y61" s="16"/>
      <c r="Z61" s="16"/>
      <c r="AA61" s="89" t="s">
        <v>50</v>
      </c>
      <c r="AB61" s="289" t="n">
        <v>0</v>
      </c>
      <c r="AC61" s="306"/>
      <c r="AD61" s="89" t="n">
        <v>0</v>
      </c>
      <c r="AE61" s="89" t="n">
        <v>0</v>
      </c>
    </row>
    <row r="62" customFormat="false" ht="15.75" hidden="false" customHeight="false" outlineLevel="0" collapsed="false">
      <c r="A62" s="16" t="s">
        <v>42</v>
      </c>
      <c r="B62" s="16" t="s">
        <v>2038</v>
      </c>
      <c r="C62" s="71" t="s">
        <v>2163</v>
      </c>
      <c r="D62" s="16" t="s">
        <v>2169</v>
      </c>
      <c r="E62" s="16" t="s">
        <v>2170</v>
      </c>
      <c r="F62" s="16" t="n">
        <v>266</v>
      </c>
      <c r="G62" s="16" t="n">
        <v>63</v>
      </c>
      <c r="H62" s="16" t="n">
        <v>400</v>
      </c>
      <c r="I62" s="16" t="n">
        <v>198</v>
      </c>
      <c r="J62" s="16" t="n">
        <v>202</v>
      </c>
      <c r="K62" s="16" t="n">
        <v>0</v>
      </c>
      <c r="L62" s="19" t="n">
        <f aca="false">(K62/H62)*100</f>
        <v>0</v>
      </c>
      <c r="M62" s="16" t="n">
        <v>7</v>
      </c>
      <c r="N62" s="19" t="n">
        <f aca="false">(M62/H62)*100</f>
        <v>1.75</v>
      </c>
      <c r="O62" s="16" t="n">
        <v>0</v>
      </c>
      <c r="P62" s="16" t="n">
        <v>0</v>
      </c>
      <c r="Q62" s="133" t="s">
        <v>49</v>
      </c>
      <c r="R62" s="134" t="n">
        <v>45201</v>
      </c>
      <c r="S62" s="16"/>
      <c r="T62" s="136" t="n">
        <v>0</v>
      </c>
      <c r="U62" s="16"/>
      <c r="V62" s="16"/>
      <c r="W62" s="16"/>
      <c r="X62" s="16"/>
      <c r="Y62" s="16"/>
      <c r="Z62" s="16"/>
      <c r="AA62" s="136" t="s">
        <v>50</v>
      </c>
      <c r="AB62" s="298" t="n">
        <v>0</v>
      </c>
      <c r="AC62" s="137"/>
      <c r="AD62" s="136" t="n">
        <v>0</v>
      </c>
      <c r="AE62" s="136" t="n">
        <v>0</v>
      </c>
    </row>
    <row r="63" customFormat="false" ht="31.5" hidden="false" customHeight="false" outlineLevel="0" collapsed="false">
      <c r="A63" s="16" t="s">
        <v>42</v>
      </c>
      <c r="B63" s="16" t="s">
        <v>2038</v>
      </c>
      <c r="C63" s="71" t="s">
        <v>2163</v>
      </c>
      <c r="D63" s="16" t="s">
        <v>2171</v>
      </c>
      <c r="E63" s="16" t="s">
        <v>2172</v>
      </c>
      <c r="F63" s="16" t="n">
        <v>97</v>
      </c>
      <c r="G63" s="16" t="n">
        <v>45</v>
      </c>
      <c r="H63" s="16" t="n">
        <v>293</v>
      </c>
      <c r="I63" s="16" t="n">
        <v>147</v>
      </c>
      <c r="J63" s="16" t="n">
        <v>146</v>
      </c>
      <c r="K63" s="16" t="n">
        <v>0</v>
      </c>
      <c r="L63" s="19" t="n">
        <f aca="false">(K63/H63)*100</f>
        <v>0</v>
      </c>
      <c r="M63" s="16" t="n">
        <v>0</v>
      </c>
      <c r="N63" s="19" t="n">
        <f aca="false">(M63/H63)*100</f>
        <v>0</v>
      </c>
      <c r="O63" s="16" t="n">
        <v>0</v>
      </c>
      <c r="P63" s="16" t="n">
        <v>0</v>
      </c>
      <c r="Q63" s="20" t="s">
        <v>49</v>
      </c>
      <c r="R63" s="34" t="n">
        <v>45201</v>
      </c>
      <c r="S63" s="16"/>
      <c r="T63" s="89" t="n">
        <v>0</v>
      </c>
      <c r="U63" s="16"/>
      <c r="V63" s="16"/>
      <c r="W63" s="16"/>
      <c r="X63" s="16"/>
      <c r="Y63" s="16"/>
      <c r="Z63" s="16"/>
      <c r="AA63" s="89" t="s">
        <v>50</v>
      </c>
      <c r="AB63" s="289" t="n">
        <v>5</v>
      </c>
      <c r="AC63" s="305" t="s">
        <v>2173</v>
      </c>
      <c r="AD63" s="89" t="n">
        <v>26.1625</v>
      </c>
      <c r="AE63" s="89" t="n">
        <v>72.8175</v>
      </c>
    </row>
    <row r="64" customFormat="false" ht="15.75" hidden="false" customHeight="false" outlineLevel="0" collapsed="false">
      <c r="A64" s="16" t="s">
        <v>42</v>
      </c>
      <c r="B64" s="16" t="s">
        <v>2038</v>
      </c>
      <c r="C64" s="71" t="s">
        <v>2163</v>
      </c>
      <c r="D64" s="16" t="s">
        <v>2174</v>
      </c>
      <c r="E64" s="16" t="s">
        <v>2175</v>
      </c>
      <c r="F64" s="16" t="n">
        <v>783</v>
      </c>
      <c r="G64" s="16" t="n">
        <v>57</v>
      </c>
      <c r="H64" s="16" t="n">
        <v>431</v>
      </c>
      <c r="I64" s="16" t="n">
        <v>225</v>
      </c>
      <c r="J64" s="16" t="n">
        <v>206</v>
      </c>
      <c r="K64" s="16" t="n">
        <v>0</v>
      </c>
      <c r="L64" s="19" t="n">
        <f aca="false">(K64/H64)*100</f>
        <v>0</v>
      </c>
      <c r="M64" s="16" t="n">
        <v>0</v>
      </c>
      <c r="N64" s="19" t="n">
        <f aca="false">(M64/H64)*100</f>
        <v>0</v>
      </c>
      <c r="O64" s="16" t="n">
        <v>0</v>
      </c>
      <c r="P64" s="16" t="n">
        <v>0</v>
      </c>
      <c r="Q64" s="20" t="s">
        <v>49</v>
      </c>
      <c r="R64" s="34" t="n">
        <v>45201</v>
      </c>
      <c r="S64" s="16"/>
      <c r="T64" s="89" t="n">
        <v>0</v>
      </c>
      <c r="U64" s="16"/>
      <c r="V64" s="16"/>
      <c r="W64" s="16"/>
      <c r="X64" s="16"/>
      <c r="Y64" s="16"/>
      <c r="Z64" s="16"/>
      <c r="AA64" s="89" t="s">
        <v>50</v>
      </c>
      <c r="AB64" s="289" t="n">
        <v>12</v>
      </c>
      <c r="AC64" s="305" t="s">
        <v>2176</v>
      </c>
      <c r="AD64" s="89" t="n">
        <v>0</v>
      </c>
      <c r="AE64" s="89" t="n">
        <v>0</v>
      </c>
    </row>
    <row r="65" customFormat="false" ht="31.5" hidden="false" customHeight="false" outlineLevel="0" collapsed="false">
      <c r="A65" s="16" t="s">
        <v>42</v>
      </c>
      <c r="B65" s="16" t="s">
        <v>2038</v>
      </c>
      <c r="C65" s="71" t="s">
        <v>2177</v>
      </c>
      <c r="D65" s="72" t="s">
        <v>2178</v>
      </c>
      <c r="E65" s="16" t="s">
        <v>2179</v>
      </c>
      <c r="F65" s="16" t="n">
        <v>1718</v>
      </c>
      <c r="G65" s="16" t="n">
        <v>387</v>
      </c>
      <c r="H65" s="16" t="n">
        <v>2315</v>
      </c>
      <c r="I65" s="16" t="n">
        <v>1206</v>
      </c>
      <c r="J65" s="16" t="n">
        <v>1109</v>
      </c>
      <c r="K65" s="16" t="n">
        <v>265</v>
      </c>
      <c r="L65" s="19" t="n">
        <f aca="false">(K65/H65)*100</f>
        <v>11.4470842332613</v>
      </c>
      <c r="M65" s="16" t="n">
        <v>279</v>
      </c>
      <c r="N65" s="19" t="n">
        <f aca="false">(M65/H65)*100</f>
        <v>12.0518358531318</v>
      </c>
      <c r="O65" s="16" t="n">
        <v>134</v>
      </c>
      <c r="P65" s="16" t="n">
        <v>0</v>
      </c>
      <c r="Q65" s="133" t="s">
        <v>49</v>
      </c>
      <c r="R65" s="134" t="n">
        <v>45348</v>
      </c>
      <c r="S65" s="16"/>
      <c r="T65" s="133" t="n">
        <v>29.7767</v>
      </c>
      <c r="U65" s="16"/>
      <c r="V65" s="16"/>
      <c r="W65" s="16"/>
      <c r="X65" s="16"/>
      <c r="Y65" s="16"/>
      <c r="Z65" s="16"/>
      <c r="AA65" s="136" t="s">
        <v>50</v>
      </c>
      <c r="AB65" s="298" t="n">
        <v>10</v>
      </c>
      <c r="AC65" s="307" t="s">
        <v>2180</v>
      </c>
      <c r="AD65" s="133" t="n">
        <v>26.049493</v>
      </c>
      <c r="AE65" s="133" t="n">
        <v>72.812454</v>
      </c>
    </row>
    <row r="66" customFormat="false" ht="15.75" hidden="false" customHeight="false" outlineLevel="0" collapsed="false">
      <c r="A66" s="16" t="s">
        <v>42</v>
      </c>
      <c r="B66" s="16" t="s">
        <v>2038</v>
      </c>
      <c r="C66" s="71" t="s">
        <v>2177</v>
      </c>
      <c r="D66" s="16" t="s">
        <v>2181</v>
      </c>
      <c r="E66" s="16" t="s">
        <v>2182</v>
      </c>
      <c r="F66" s="16" t="n">
        <v>337</v>
      </c>
      <c r="G66" s="16" t="n">
        <v>102</v>
      </c>
      <c r="H66" s="16" t="n">
        <v>516</v>
      </c>
      <c r="I66" s="16" t="n">
        <v>261</v>
      </c>
      <c r="J66" s="16" t="n">
        <v>255</v>
      </c>
      <c r="K66" s="16" t="n">
        <v>0</v>
      </c>
      <c r="L66" s="19" t="n">
        <f aca="false">(K66/H66)*100</f>
        <v>0</v>
      </c>
      <c r="M66" s="16" t="n">
        <v>0</v>
      </c>
      <c r="N66" s="19" t="n">
        <f aca="false">(M66/H66)*100</f>
        <v>0</v>
      </c>
      <c r="O66" s="16" t="n">
        <v>0</v>
      </c>
      <c r="P66" s="16" t="n">
        <v>0</v>
      </c>
      <c r="Q66" s="20" t="s">
        <v>49</v>
      </c>
      <c r="R66" s="34" t="n">
        <v>45348</v>
      </c>
      <c r="S66" s="16"/>
      <c r="T66" s="20"/>
      <c r="U66" s="16"/>
      <c r="V66" s="16"/>
      <c r="W66" s="16"/>
      <c r="X66" s="16"/>
      <c r="Y66" s="16"/>
      <c r="Z66" s="16"/>
      <c r="AA66" s="89" t="s">
        <v>50</v>
      </c>
      <c r="AB66" s="289" t="n">
        <v>9</v>
      </c>
      <c r="AC66" s="90" t="s">
        <v>2183</v>
      </c>
      <c r="AD66" s="20" t="n">
        <v>26.022074</v>
      </c>
      <c r="AE66" s="20" t="n">
        <v>72.807237</v>
      </c>
    </row>
    <row r="67" customFormat="false" ht="15.75" hidden="false" customHeight="false" outlineLevel="0" collapsed="false">
      <c r="A67" s="16" t="s">
        <v>42</v>
      </c>
      <c r="B67" s="16" t="s">
        <v>2038</v>
      </c>
      <c r="C67" s="71" t="s">
        <v>2177</v>
      </c>
      <c r="D67" s="16" t="s">
        <v>2184</v>
      </c>
      <c r="E67" s="16" t="s">
        <v>2185</v>
      </c>
      <c r="F67" s="16" t="n">
        <v>666</v>
      </c>
      <c r="G67" s="16" t="n">
        <v>90</v>
      </c>
      <c r="H67" s="16" t="n">
        <v>525</v>
      </c>
      <c r="I67" s="16" t="n">
        <v>270</v>
      </c>
      <c r="J67" s="16" t="n">
        <v>255</v>
      </c>
      <c r="K67" s="16" t="n">
        <v>0</v>
      </c>
      <c r="L67" s="19" t="n">
        <f aca="false">(K67/H67)*100</f>
        <v>0</v>
      </c>
      <c r="M67" s="16" t="n">
        <v>0</v>
      </c>
      <c r="N67" s="19" t="n">
        <f aca="false">(M67/H67)*100</f>
        <v>0</v>
      </c>
      <c r="O67" s="16" t="n">
        <v>26</v>
      </c>
      <c r="P67" s="16" t="n">
        <v>0</v>
      </c>
      <c r="Q67" s="20" t="s">
        <v>49</v>
      </c>
      <c r="R67" s="34" t="n">
        <v>45348</v>
      </c>
      <c r="S67" s="16"/>
      <c r="T67" s="20" t="n">
        <v>10.1091</v>
      </c>
      <c r="U67" s="16"/>
      <c r="V67" s="16"/>
      <c r="W67" s="16"/>
      <c r="X67" s="16"/>
      <c r="Y67" s="16"/>
      <c r="Z67" s="16"/>
      <c r="AA67" s="89" t="s">
        <v>50</v>
      </c>
      <c r="AB67" s="289" t="n">
        <v>0</v>
      </c>
      <c r="AC67" s="36"/>
      <c r="AD67" s="20"/>
      <c r="AE67" s="20"/>
    </row>
    <row r="68" customFormat="false" ht="15.75" hidden="false" customHeight="false" outlineLevel="0" collapsed="false">
      <c r="A68" s="16" t="s">
        <v>42</v>
      </c>
      <c r="B68" s="16" t="s">
        <v>2038</v>
      </c>
      <c r="C68" s="71" t="s">
        <v>2177</v>
      </c>
      <c r="D68" s="16" t="s">
        <v>868</v>
      </c>
      <c r="E68" s="16" t="s">
        <v>2186</v>
      </c>
      <c r="F68" s="16" t="n">
        <v>198.61</v>
      </c>
      <c r="G68" s="16" t="n">
        <v>43</v>
      </c>
      <c r="H68" s="16" t="n">
        <v>310</v>
      </c>
      <c r="I68" s="16" t="n">
        <v>156</v>
      </c>
      <c r="J68" s="16" t="n">
        <v>154</v>
      </c>
      <c r="K68" s="16" t="n">
        <v>0</v>
      </c>
      <c r="L68" s="19" t="n">
        <f aca="false">(K68/H68)*100</f>
        <v>0</v>
      </c>
      <c r="M68" s="16" t="n">
        <v>0</v>
      </c>
      <c r="N68" s="19" t="n">
        <f aca="false">(M68/H68)*100</f>
        <v>0</v>
      </c>
      <c r="O68" s="16" t="n">
        <v>5.5</v>
      </c>
      <c r="P68" s="16" t="n">
        <v>0</v>
      </c>
      <c r="Q68" s="20" t="s">
        <v>49</v>
      </c>
      <c r="R68" s="34" t="n">
        <v>45348</v>
      </c>
      <c r="S68" s="16"/>
      <c r="T68" s="20"/>
      <c r="U68" s="16"/>
      <c r="V68" s="16"/>
      <c r="W68" s="16"/>
      <c r="X68" s="16"/>
      <c r="Y68" s="16"/>
      <c r="Z68" s="16"/>
      <c r="AA68" s="89" t="s">
        <v>50</v>
      </c>
      <c r="AB68" s="289" t="n">
        <v>0</v>
      </c>
      <c r="AC68" s="36"/>
      <c r="AD68" s="20"/>
      <c r="AE68" s="20"/>
    </row>
    <row r="69" customFormat="false" ht="15.75" hidden="false" customHeight="false" outlineLevel="0" collapsed="false">
      <c r="A69" s="16" t="s">
        <v>42</v>
      </c>
      <c r="B69" s="16" t="s">
        <v>2038</v>
      </c>
      <c r="C69" s="71" t="s">
        <v>2177</v>
      </c>
      <c r="D69" s="16" t="s">
        <v>2187</v>
      </c>
      <c r="E69" s="16" t="s">
        <v>2188</v>
      </c>
      <c r="F69" s="16" t="n">
        <v>549.6</v>
      </c>
      <c r="G69" s="16" t="n">
        <v>126</v>
      </c>
      <c r="H69" s="16" t="n">
        <v>809</v>
      </c>
      <c r="I69" s="16" t="n">
        <v>390</v>
      </c>
      <c r="J69" s="16" t="n">
        <v>419</v>
      </c>
      <c r="K69" s="16" t="n">
        <v>0</v>
      </c>
      <c r="L69" s="19" t="n">
        <f aca="false">(K69/H69)*100</f>
        <v>0</v>
      </c>
      <c r="M69" s="16" t="n">
        <v>1</v>
      </c>
      <c r="N69" s="19" t="n">
        <f aca="false">(M69/H69)*100</f>
        <v>0.123609394313968</v>
      </c>
      <c r="O69" s="16" t="n">
        <v>3.46</v>
      </c>
      <c r="P69" s="16" t="n">
        <v>0</v>
      </c>
      <c r="Q69" s="20" t="s">
        <v>49</v>
      </c>
      <c r="R69" s="21" t="s">
        <v>2189</v>
      </c>
      <c r="S69" s="16"/>
      <c r="T69" s="20" t="n">
        <v>1.554</v>
      </c>
      <c r="U69" s="16"/>
      <c r="V69" s="16"/>
      <c r="W69" s="16"/>
      <c r="X69" s="16"/>
      <c r="Y69" s="16"/>
      <c r="Z69" s="16"/>
      <c r="AA69" s="89" t="s">
        <v>50</v>
      </c>
      <c r="AB69" s="289" t="n">
        <v>0</v>
      </c>
      <c r="AC69" s="36"/>
      <c r="AD69" s="20"/>
      <c r="AE69" s="20"/>
    </row>
    <row r="70" customFormat="false" ht="47.25" hidden="false" customHeight="false" outlineLevel="0" collapsed="false">
      <c r="A70" s="16" t="s">
        <v>42</v>
      </c>
      <c r="B70" s="16" t="s">
        <v>2038</v>
      </c>
      <c r="C70" s="71" t="s">
        <v>2177</v>
      </c>
      <c r="D70" s="16" t="s">
        <v>2190</v>
      </c>
      <c r="E70" s="16" t="s">
        <v>2191</v>
      </c>
      <c r="F70" s="16" t="n">
        <v>885</v>
      </c>
      <c r="G70" s="16" t="n">
        <v>160</v>
      </c>
      <c r="H70" s="16" t="n">
        <v>846</v>
      </c>
      <c r="I70" s="16" t="n">
        <v>449</v>
      </c>
      <c r="J70" s="16" t="n">
        <v>397</v>
      </c>
      <c r="K70" s="16" t="n">
        <v>0</v>
      </c>
      <c r="L70" s="19" t="n">
        <f aca="false">(K70/H70)*100</f>
        <v>0</v>
      </c>
      <c r="M70" s="16" t="n">
        <v>0</v>
      </c>
      <c r="N70" s="19" t="n">
        <f aca="false">(M70/H70)*100</f>
        <v>0</v>
      </c>
      <c r="O70" s="16" t="n">
        <v>75</v>
      </c>
      <c r="P70" s="16" t="n">
        <v>39</v>
      </c>
      <c r="Q70" s="20" t="s">
        <v>49</v>
      </c>
      <c r="R70" s="34" t="n">
        <v>45348</v>
      </c>
      <c r="S70" s="16"/>
      <c r="T70" s="20" t="n">
        <v>32.5934</v>
      </c>
      <c r="U70" s="16"/>
      <c r="V70" s="16"/>
      <c r="W70" s="16"/>
      <c r="X70" s="16"/>
      <c r="Y70" s="16"/>
      <c r="Z70" s="16"/>
      <c r="AA70" s="89" t="s">
        <v>50</v>
      </c>
      <c r="AB70" s="289" t="n">
        <v>10</v>
      </c>
      <c r="AC70" s="90" t="s">
        <v>2192</v>
      </c>
      <c r="AD70" s="20" t="n">
        <v>26.025416</v>
      </c>
      <c r="AE70" s="20" t="n">
        <v>72.804514</v>
      </c>
    </row>
    <row r="71" customFormat="false" ht="15.75" hidden="false" customHeight="false" outlineLevel="0" collapsed="false">
      <c r="A71" s="16" t="s">
        <v>42</v>
      </c>
      <c r="B71" s="16" t="s">
        <v>2038</v>
      </c>
      <c r="C71" s="71" t="s">
        <v>2193</v>
      </c>
      <c r="D71" s="72" t="s">
        <v>2194</v>
      </c>
      <c r="E71" s="16" t="s">
        <v>2195</v>
      </c>
      <c r="F71" s="16" t="n">
        <v>1668.78</v>
      </c>
      <c r="G71" s="16" t="n">
        <v>466</v>
      </c>
      <c r="H71" s="16" t="n">
        <v>2976</v>
      </c>
      <c r="I71" s="16" t="n">
        <v>1510</v>
      </c>
      <c r="J71" s="16" t="n">
        <v>1466</v>
      </c>
      <c r="K71" s="16" t="n">
        <v>414</v>
      </c>
      <c r="L71" s="19" t="n">
        <f aca="false">(K71/H71)*100</f>
        <v>13.9112903225806</v>
      </c>
      <c r="M71" s="16" t="n">
        <v>0</v>
      </c>
      <c r="N71" s="19" t="n">
        <f aca="false">(M71/H71)*100</f>
        <v>0</v>
      </c>
      <c r="O71" s="16" t="n">
        <v>239</v>
      </c>
      <c r="P71" s="16" t="n">
        <v>0</v>
      </c>
      <c r="Q71" s="20" t="s">
        <v>49</v>
      </c>
      <c r="R71" s="34" t="n">
        <v>45348</v>
      </c>
      <c r="S71" s="16"/>
      <c r="T71" s="20"/>
      <c r="U71" s="16"/>
      <c r="V71" s="16"/>
      <c r="W71" s="16"/>
      <c r="X71" s="16"/>
      <c r="Y71" s="16"/>
      <c r="Z71" s="16"/>
      <c r="AA71" s="89" t="s">
        <v>50</v>
      </c>
      <c r="AB71" s="289" t="n">
        <v>15</v>
      </c>
      <c r="AC71" s="90" t="s">
        <v>2196</v>
      </c>
      <c r="AD71" s="20" t="n">
        <v>26.148806</v>
      </c>
      <c r="AE71" s="20" t="n">
        <v>72.845567</v>
      </c>
    </row>
    <row r="72" customFormat="false" ht="63" hidden="false" customHeight="false" outlineLevel="0" collapsed="false">
      <c r="A72" s="16" t="s">
        <v>42</v>
      </c>
      <c r="B72" s="16" t="s">
        <v>2038</v>
      </c>
      <c r="C72" s="71" t="s">
        <v>2193</v>
      </c>
      <c r="D72" s="16" t="s">
        <v>2197</v>
      </c>
      <c r="E72" s="16" t="s">
        <v>2198</v>
      </c>
      <c r="F72" s="16" t="n">
        <v>1412.5</v>
      </c>
      <c r="G72" s="16" t="n">
        <v>407</v>
      </c>
      <c r="H72" s="16" t="n">
        <v>2181</v>
      </c>
      <c r="I72" s="16" t="n">
        <v>1124</v>
      </c>
      <c r="J72" s="16" t="n">
        <v>1057</v>
      </c>
      <c r="K72" s="16" t="n">
        <v>662</v>
      </c>
      <c r="L72" s="19" t="n">
        <f aca="false">(K72/H72)*100</f>
        <v>30.3530490600642</v>
      </c>
      <c r="M72" s="16" t="n">
        <v>311</v>
      </c>
      <c r="N72" s="19" t="n">
        <f aca="false">(M72/H72)*100</f>
        <v>14.2595139844108</v>
      </c>
      <c r="O72" s="16" t="n">
        <v>213</v>
      </c>
      <c r="P72" s="16" t="n">
        <v>0</v>
      </c>
      <c r="Q72" s="20" t="s">
        <v>49</v>
      </c>
      <c r="R72" s="34" t="n">
        <v>45348</v>
      </c>
      <c r="S72" s="16"/>
      <c r="T72" s="20"/>
      <c r="U72" s="16"/>
      <c r="V72" s="16"/>
      <c r="W72" s="16"/>
      <c r="X72" s="16"/>
      <c r="Y72" s="16"/>
      <c r="Z72" s="16"/>
      <c r="AA72" s="89" t="s">
        <v>50</v>
      </c>
      <c r="AB72" s="289" t="n">
        <v>14</v>
      </c>
      <c r="AC72" s="90" t="s">
        <v>2199</v>
      </c>
      <c r="AD72" s="20" t="n">
        <v>26.129828</v>
      </c>
      <c r="AE72" s="20" t="n">
        <v>72.840083</v>
      </c>
    </row>
    <row r="73" customFormat="false" ht="15.75" hidden="false" customHeight="false" outlineLevel="0" collapsed="false">
      <c r="A73" s="16" t="s">
        <v>42</v>
      </c>
      <c r="B73" s="16" t="s">
        <v>2038</v>
      </c>
      <c r="C73" s="71" t="s">
        <v>2193</v>
      </c>
      <c r="D73" s="16" t="s">
        <v>2200</v>
      </c>
      <c r="E73" s="16" t="s">
        <v>2201</v>
      </c>
      <c r="F73" s="16" t="n">
        <v>367.18</v>
      </c>
      <c r="G73" s="16" t="n">
        <v>57</v>
      </c>
      <c r="H73" s="16" t="n">
        <v>341</v>
      </c>
      <c r="I73" s="16" t="n">
        <v>177</v>
      </c>
      <c r="J73" s="16" t="n">
        <v>164</v>
      </c>
      <c r="K73" s="16" t="n">
        <v>0</v>
      </c>
      <c r="L73" s="19" t="n">
        <f aca="false">(K73/H73)*100</f>
        <v>0</v>
      </c>
      <c r="M73" s="16" t="n">
        <v>0</v>
      </c>
      <c r="N73" s="19" t="n">
        <f aca="false">(M73/H73)*100</f>
        <v>0</v>
      </c>
      <c r="O73" s="16" t="n">
        <v>0</v>
      </c>
      <c r="P73" s="16" t="n">
        <v>0</v>
      </c>
      <c r="Q73" s="20" t="s">
        <v>49</v>
      </c>
      <c r="R73" s="34" t="n">
        <v>45348</v>
      </c>
      <c r="S73" s="16"/>
      <c r="T73" s="20"/>
      <c r="U73" s="16"/>
      <c r="V73" s="16"/>
      <c r="W73" s="16"/>
      <c r="X73" s="16"/>
      <c r="Y73" s="16"/>
      <c r="Z73" s="16"/>
      <c r="AA73" s="89" t="s">
        <v>50</v>
      </c>
      <c r="AB73" s="289" t="n">
        <v>0</v>
      </c>
      <c r="AC73" s="36"/>
      <c r="AD73" s="20"/>
      <c r="AE73" s="20"/>
    </row>
    <row r="74" customFormat="false" ht="15.75" hidden="false" customHeight="false" outlineLevel="0" collapsed="false">
      <c r="A74" s="16" t="s">
        <v>42</v>
      </c>
      <c r="B74" s="16" t="s">
        <v>2038</v>
      </c>
      <c r="C74" s="71" t="s">
        <v>2202</v>
      </c>
      <c r="D74" s="72" t="s">
        <v>2203</v>
      </c>
      <c r="E74" s="16" t="s">
        <v>2204</v>
      </c>
      <c r="F74" s="16" t="n">
        <v>998</v>
      </c>
      <c r="G74" s="16" t="n">
        <v>230</v>
      </c>
      <c r="H74" s="16" t="n">
        <v>1491</v>
      </c>
      <c r="I74" s="16" t="n">
        <v>774</v>
      </c>
      <c r="J74" s="16" t="n">
        <v>717</v>
      </c>
      <c r="K74" s="16" t="n">
        <v>444</v>
      </c>
      <c r="L74" s="19" t="n">
        <f aca="false">(K74/H74)*100</f>
        <v>29.7786720321932</v>
      </c>
      <c r="M74" s="16" t="n">
        <v>0</v>
      </c>
      <c r="N74" s="19" t="n">
        <f aca="false">(M74/H74)*100</f>
        <v>0</v>
      </c>
      <c r="O74" s="16" t="n">
        <v>62</v>
      </c>
      <c r="P74" s="16" t="n">
        <v>0</v>
      </c>
      <c r="Q74" s="20" t="s">
        <v>49</v>
      </c>
      <c r="R74" s="34" t="n">
        <v>44952</v>
      </c>
      <c r="S74" s="16"/>
      <c r="T74" s="169" t="n">
        <v>0</v>
      </c>
      <c r="U74" s="16"/>
      <c r="V74" s="16"/>
      <c r="W74" s="16"/>
      <c r="X74" s="16"/>
      <c r="Y74" s="16"/>
      <c r="Z74" s="16"/>
      <c r="AA74" s="89" t="s">
        <v>50</v>
      </c>
      <c r="AB74" s="289"/>
      <c r="AC74" s="300"/>
      <c r="AD74" s="89" t="n">
        <v>0</v>
      </c>
      <c r="AE74" s="89" t="n">
        <v>0</v>
      </c>
    </row>
    <row r="75" customFormat="false" ht="15.75" hidden="false" customHeight="false" outlineLevel="0" collapsed="false">
      <c r="A75" s="16" t="s">
        <v>42</v>
      </c>
      <c r="B75" s="16" t="s">
        <v>2038</v>
      </c>
      <c r="C75" s="71" t="s">
        <v>2202</v>
      </c>
      <c r="D75" s="16" t="s">
        <v>2205</v>
      </c>
      <c r="E75" s="16" t="s">
        <v>2206</v>
      </c>
      <c r="F75" s="16" t="n">
        <v>715</v>
      </c>
      <c r="G75" s="16" t="n">
        <v>262</v>
      </c>
      <c r="H75" s="16" t="n">
        <v>1448</v>
      </c>
      <c r="I75" s="16" t="n">
        <v>763</v>
      </c>
      <c r="J75" s="16" t="n">
        <v>685</v>
      </c>
      <c r="K75" s="16" t="n">
        <v>207</v>
      </c>
      <c r="L75" s="19" t="n">
        <f aca="false">(K75/H75)*100</f>
        <v>14.2955801104972</v>
      </c>
      <c r="M75" s="16" t="n">
        <v>258</v>
      </c>
      <c r="N75" s="19" t="n">
        <f aca="false">(M75/H75)*100</f>
        <v>17.817679558011</v>
      </c>
      <c r="O75" s="16" t="n">
        <v>76</v>
      </c>
      <c r="P75" s="16" t="n">
        <v>0</v>
      </c>
      <c r="Q75" s="20" t="s">
        <v>49</v>
      </c>
      <c r="R75" s="34" t="n">
        <v>44952</v>
      </c>
      <c r="S75" s="16"/>
      <c r="T75" s="169" t="n">
        <v>0</v>
      </c>
      <c r="U75" s="16"/>
      <c r="V75" s="16"/>
      <c r="W75" s="16"/>
      <c r="X75" s="16"/>
      <c r="Y75" s="16"/>
      <c r="Z75" s="16"/>
      <c r="AA75" s="89" t="s">
        <v>50</v>
      </c>
      <c r="AB75" s="289"/>
      <c r="AC75" s="300"/>
      <c r="AD75" s="89" t="n">
        <v>0</v>
      </c>
      <c r="AE75" s="89" t="n">
        <v>0</v>
      </c>
    </row>
    <row r="76" customFormat="false" ht="31.5" hidden="false" customHeight="false" outlineLevel="0" collapsed="false">
      <c r="A76" s="16" t="s">
        <v>42</v>
      </c>
      <c r="B76" s="16" t="s">
        <v>2038</v>
      </c>
      <c r="C76" s="71" t="s">
        <v>2202</v>
      </c>
      <c r="D76" s="16" t="s">
        <v>2207</v>
      </c>
      <c r="E76" s="16" t="s">
        <v>2208</v>
      </c>
      <c r="F76" s="16" t="n">
        <v>284</v>
      </c>
      <c r="G76" s="16" t="n">
        <v>119</v>
      </c>
      <c r="H76" s="16" t="n">
        <v>722</v>
      </c>
      <c r="I76" s="16" t="n">
        <v>373</v>
      </c>
      <c r="J76" s="16" t="n">
        <v>349</v>
      </c>
      <c r="K76" s="16" t="n">
        <v>0</v>
      </c>
      <c r="L76" s="19" t="n">
        <f aca="false">(K76/H76)*100</f>
        <v>0</v>
      </c>
      <c r="M76" s="16" t="n">
        <v>78</v>
      </c>
      <c r="N76" s="19" t="n">
        <f aca="false">(M76/H76)*100</f>
        <v>10.803324099723</v>
      </c>
      <c r="O76" s="16" t="n">
        <v>0</v>
      </c>
      <c r="P76" s="16" t="n">
        <v>0</v>
      </c>
      <c r="Q76" s="20" t="s">
        <v>49</v>
      </c>
      <c r="R76" s="34" t="n">
        <v>44952</v>
      </c>
      <c r="S76" s="16"/>
      <c r="T76" s="169" t="n">
        <v>0</v>
      </c>
      <c r="U76" s="16"/>
      <c r="V76" s="16"/>
      <c r="W76" s="16"/>
      <c r="X76" s="16"/>
      <c r="Y76" s="16"/>
      <c r="Z76" s="16"/>
      <c r="AA76" s="89" t="s">
        <v>50</v>
      </c>
      <c r="AB76" s="289" t="n">
        <v>10</v>
      </c>
      <c r="AC76" s="301" t="s">
        <v>2209</v>
      </c>
      <c r="AD76" s="89" t="n">
        <v>26.108346</v>
      </c>
      <c r="AE76" s="89" t="n">
        <v>72.808339</v>
      </c>
    </row>
    <row r="77" customFormat="false" ht="31.5" hidden="false" customHeight="false" outlineLevel="0" collapsed="false">
      <c r="A77" s="16" t="s">
        <v>42</v>
      </c>
      <c r="B77" s="16" t="s">
        <v>2038</v>
      </c>
      <c r="C77" s="71" t="s">
        <v>2202</v>
      </c>
      <c r="D77" s="16" t="s">
        <v>2210</v>
      </c>
      <c r="E77" s="16" t="s">
        <v>2211</v>
      </c>
      <c r="F77" s="16" t="n">
        <v>695</v>
      </c>
      <c r="G77" s="16" t="n">
        <v>49</v>
      </c>
      <c r="H77" s="16" t="n">
        <v>392</v>
      </c>
      <c r="I77" s="16" t="n">
        <v>189</v>
      </c>
      <c r="J77" s="16" t="n">
        <v>203</v>
      </c>
      <c r="K77" s="16" t="n">
        <v>4</v>
      </c>
      <c r="L77" s="19" t="n">
        <f aca="false">(K77/H77)*100</f>
        <v>1.02040816326531</v>
      </c>
      <c r="M77" s="16" t="n">
        <v>40</v>
      </c>
      <c r="N77" s="19" t="n">
        <f aca="false">(M77/H77)*100</f>
        <v>10.2040816326531</v>
      </c>
      <c r="O77" s="16" t="n">
        <v>0</v>
      </c>
      <c r="P77" s="16" t="n">
        <v>0</v>
      </c>
      <c r="Q77" s="20" t="s">
        <v>49</v>
      </c>
      <c r="R77" s="34" t="n">
        <v>44952</v>
      </c>
      <c r="S77" s="16"/>
      <c r="T77" s="169" t="n">
        <v>0</v>
      </c>
      <c r="U77" s="16"/>
      <c r="V77" s="16"/>
      <c r="W77" s="16"/>
      <c r="X77" s="16"/>
      <c r="Y77" s="16"/>
      <c r="Z77" s="16"/>
      <c r="AA77" s="89" t="s">
        <v>50</v>
      </c>
      <c r="AB77" s="289" t="n">
        <v>10</v>
      </c>
      <c r="AC77" s="301" t="s">
        <v>2212</v>
      </c>
      <c r="AD77" s="89" t="n">
        <v>26.089893</v>
      </c>
      <c r="AE77" s="89" t="n">
        <v>72.779917</v>
      </c>
    </row>
    <row r="78" customFormat="false" ht="31.5" hidden="false" customHeight="false" outlineLevel="0" collapsed="false">
      <c r="A78" s="16" t="s">
        <v>42</v>
      </c>
      <c r="B78" s="16" t="s">
        <v>2038</v>
      </c>
      <c r="C78" s="71" t="s">
        <v>2202</v>
      </c>
      <c r="D78" s="16" t="s">
        <v>2213</v>
      </c>
      <c r="E78" s="16" t="s">
        <v>2214</v>
      </c>
      <c r="F78" s="16" t="n">
        <v>923</v>
      </c>
      <c r="G78" s="16" t="n">
        <v>266</v>
      </c>
      <c r="H78" s="16" t="n">
        <v>1443</v>
      </c>
      <c r="I78" s="16" t="n">
        <v>740</v>
      </c>
      <c r="J78" s="16" t="n">
        <v>703</v>
      </c>
      <c r="K78" s="16" t="n">
        <v>664</v>
      </c>
      <c r="L78" s="19" t="n">
        <f aca="false">(K78/H78)*100</f>
        <v>46.015246015246</v>
      </c>
      <c r="M78" s="16" t="n">
        <v>296</v>
      </c>
      <c r="N78" s="19" t="n">
        <f aca="false">(M78/H78)*100</f>
        <v>20.5128205128205</v>
      </c>
      <c r="O78" s="16" t="n">
        <v>166</v>
      </c>
      <c r="P78" s="16" t="n">
        <v>0</v>
      </c>
      <c r="Q78" s="20" t="s">
        <v>49</v>
      </c>
      <c r="R78" s="34" t="n">
        <v>44952</v>
      </c>
      <c r="S78" s="16"/>
      <c r="T78" s="169" t="n">
        <v>0</v>
      </c>
      <c r="U78" s="16"/>
      <c r="V78" s="16"/>
      <c r="W78" s="16"/>
      <c r="X78" s="16"/>
      <c r="Y78" s="16"/>
      <c r="Z78" s="16"/>
      <c r="AA78" s="89" t="s">
        <v>50</v>
      </c>
      <c r="AB78" s="289" t="n">
        <v>10</v>
      </c>
      <c r="AC78" s="301" t="s">
        <v>2215</v>
      </c>
      <c r="AD78" s="89" t="n">
        <v>26.100228</v>
      </c>
      <c r="AE78" s="89" t="n">
        <v>72.820238</v>
      </c>
    </row>
    <row r="79" customFormat="false" ht="78.75" hidden="false" customHeight="false" outlineLevel="0" collapsed="false">
      <c r="A79" s="16" t="s">
        <v>42</v>
      </c>
      <c r="B79" s="16" t="s">
        <v>2038</v>
      </c>
      <c r="C79" s="71" t="s">
        <v>2216</v>
      </c>
      <c r="D79" s="16" t="s">
        <v>2217</v>
      </c>
      <c r="E79" s="16" t="s">
        <v>2218</v>
      </c>
      <c r="F79" s="16" t="n">
        <v>293.99</v>
      </c>
      <c r="G79" s="16" t="n">
        <v>29</v>
      </c>
      <c r="H79" s="16" t="n">
        <v>137</v>
      </c>
      <c r="I79" s="16" t="n">
        <v>79</v>
      </c>
      <c r="J79" s="16" t="n">
        <v>58</v>
      </c>
      <c r="K79" s="16" t="n">
        <v>0</v>
      </c>
      <c r="L79" s="19" t="n">
        <f aca="false">(K79/H79)*100</f>
        <v>0</v>
      </c>
      <c r="M79" s="16" t="n">
        <v>0</v>
      </c>
      <c r="N79" s="19" t="n">
        <f aca="false">(M79/H79)*100</f>
        <v>0</v>
      </c>
      <c r="O79" s="16" t="n">
        <v>0</v>
      </c>
      <c r="P79" s="16" t="n">
        <v>0</v>
      </c>
      <c r="Q79" s="20" t="s">
        <v>49</v>
      </c>
      <c r="R79" s="34" t="n">
        <v>45348</v>
      </c>
      <c r="S79" s="16"/>
      <c r="T79" s="89" t="n">
        <v>0</v>
      </c>
      <c r="U79" s="16"/>
      <c r="V79" s="16"/>
      <c r="W79" s="16"/>
      <c r="X79" s="16"/>
      <c r="Y79" s="16"/>
      <c r="Z79" s="16"/>
      <c r="AA79" s="89" t="s">
        <v>50</v>
      </c>
      <c r="AB79" s="289" t="n">
        <v>10</v>
      </c>
      <c r="AC79" s="305" t="s">
        <v>2219</v>
      </c>
      <c r="AD79" s="89" t="n">
        <v>26.14</v>
      </c>
      <c r="AE79" s="89" t="n">
        <v>72.75</v>
      </c>
    </row>
    <row r="80" customFormat="false" ht="78.75" hidden="false" customHeight="false" outlineLevel="0" collapsed="false">
      <c r="A80" s="16" t="s">
        <v>42</v>
      </c>
      <c r="B80" s="16" t="s">
        <v>2038</v>
      </c>
      <c r="C80" s="71" t="s">
        <v>2216</v>
      </c>
      <c r="D80" s="16" t="s">
        <v>2220</v>
      </c>
      <c r="E80" s="16" t="s">
        <v>2221</v>
      </c>
      <c r="F80" s="16" t="n">
        <v>963.83</v>
      </c>
      <c r="G80" s="16" t="n">
        <v>75</v>
      </c>
      <c r="H80" s="16" t="n">
        <v>472</v>
      </c>
      <c r="I80" s="16" t="n">
        <v>248</v>
      </c>
      <c r="J80" s="16" t="n">
        <v>224</v>
      </c>
      <c r="K80" s="16" t="n">
        <v>123</v>
      </c>
      <c r="L80" s="19" t="n">
        <f aca="false">(K80/H80)*100</f>
        <v>26.0593220338983</v>
      </c>
      <c r="M80" s="16" t="n">
        <v>0</v>
      </c>
      <c r="N80" s="19" t="n">
        <f aca="false">(M80/H80)*100</f>
        <v>0</v>
      </c>
      <c r="O80" s="16" t="n">
        <v>1.97</v>
      </c>
      <c r="P80" s="16" t="n">
        <v>0</v>
      </c>
      <c r="Q80" s="20" t="s">
        <v>49</v>
      </c>
      <c r="R80" s="34" t="n">
        <v>45348</v>
      </c>
      <c r="S80" s="16"/>
      <c r="T80" s="89" t="n">
        <v>1.97</v>
      </c>
      <c r="U80" s="16"/>
      <c r="V80" s="16"/>
      <c r="W80" s="16"/>
      <c r="X80" s="16"/>
      <c r="Y80" s="16"/>
      <c r="Z80" s="16"/>
      <c r="AA80" s="89" t="s">
        <v>50</v>
      </c>
      <c r="AB80" s="289" t="n">
        <v>12</v>
      </c>
      <c r="AC80" s="305" t="s">
        <v>2222</v>
      </c>
      <c r="AD80" s="89" t="n">
        <v>26.14</v>
      </c>
      <c r="AE80" s="89" t="n">
        <v>72.79</v>
      </c>
    </row>
    <row r="81" customFormat="false" ht="15.75" hidden="false" customHeight="false" outlineLevel="0" collapsed="false">
      <c r="A81" s="16"/>
      <c r="B81" s="16"/>
      <c r="C81" s="71"/>
      <c r="D81" s="16"/>
      <c r="E81" s="16"/>
      <c r="F81" s="16"/>
      <c r="G81" s="16"/>
      <c r="H81" s="16"/>
      <c r="I81" s="16"/>
      <c r="J81" s="16"/>
      <c r="K81" s="16"/>
      <c r="L81" s="19" t="e">
        <f aca="false">(K81/H81)*100</f>
        <v>#DIV/0!</v>
      </c>
      <c r="M81" s="16"/>
      <c r="N81" s="19" t="e">
        <f aca="false">(M81/H81)*100</f>
        <v>#DIV/0!</v>
      </c>
      <c r="O81" s="16"/>
      <c r="P81" s="16"/>
      <c r="Q81" s="38" t="s">
        <v>49</v>
      </c>
      <c r="R81" s="39"/>
      <c r="S81" s="16"/>
      <c r="T81" s="308"/>
      <c r="U81" s="16"/>
      <c r="V81" s="16"/>
      <c r="W81" s="16"/>
      <c r="X81" s="16"/>
      <c r="Y81" s="16"/>
      <c r="Z81" s="16"/>
      <c r="AA81" s="308" t="s">
        <v>50</v>
      </c>
      <c r="AB81" s="309" t="n">
        <v>10</v>
      </c>
      <c r="AC81" s="310" t="s">
        <v>2223</v>
      </c>
      <c r="AD81" s="308" t="n">
        <v>26.15</v>
      </c>
      <c r="AE81" s="308" t="n">
        <v>72.79</v>
      </c>
    </row>
    <row r="82" customFormat="false" ht="15.75" hidden="false" customHeight="false" outlineLevel="0" collapsed="false">
      <c r="A82" s="16" t="s">
        <v>42</v>
      </c>
      <c r="B82" s="16" t="s">
        <v>2038</v>
      </c>
      <c r="C82" s="71" t="s">
        <v>2216</v>
      </c>
      <c r="D82" s="16" t="s">
        <v>2224</v>
      </c>
      <c r="E82" s="16" t="s">
        <v>2225</v>
      </c>
      <c r="F82" s="16" t="n">
        <v>833.71</v>
      </c>
      <c r="G82" s="16" t="n">
        <v>167</v>
      </c>
      <c r="H82" s="16" t="n">
        <v>1080</v>
      </c>
      <c r="I82" s="16" t="n">
        <v>564</v>
      </c>
      <c r="J82" s="16" t="n">
        <v>516</v>
      </c>
      <c r="K82" s="16" t="n">
        <v>94</v>
      </c>
      <c r="L82" s="19" t="n">
        <f aca="false">(K82/H82)*100</f>
        <v>8.7037037037037</v>
      </c>
      <c r="M82" s="16" t="n">
        <v>62</v>
      </c>
      <c r="N82" s="19" t="n">
        <f aca="false">(M82/H82)*100</f>
        <v>5.74074074074074</v>
      </c>
      <c r="O82" s="16" t="n">
        <v>0</v>
      </c>
      <c r="P82" s="16" t="n">
        <v>0</v>
      </c>
      <c r="Q82" s="20" t="s">
        <v>49</v>
      </c>
      <c r="R82" s="34" t="n">
        <v>45348</v>
      </c>
      <c r="S82" s="16"/>
      <c r="T82" s="89" t="n">
        <v>0</v>
      </c>
      <c r="U82" s="16"/>
      <c r="V82" s="16"/>
      <c r="W82" s="16"/>
      <c r="X82" s="16"/>
      <c r="Y82" s="16"/>
      <c r="Z82" s="16"/>
      <c r="AA82" s="89" t="s">
        <v>50</v>
      </c>
      <c r="AB82" s="289" t="n">
        <v>0</v>
      </c>
      <c r="AC82" s="306"/>
      <c r="AD82" s="89" t="n">
        <v>0</v>
      </c>
      <c r="AE82" s="89" t="n">
        <v>0</v>
      </c>
    </row>
    <row r="83" customFormat="false" ht="78.75" hidden="false" customHeight="false" outlineLevel="0" collapsed="false">
      <c r="A83" s="16" t="s">
        <v>42</v>
      </c>
      <c r="B83" s="16" t="s">
        <v>2038</v>
      </c>
      <c r="C83" s="71" t="s">
        <v>2216</v>
      </c>
      <c r="D83" s="16" t="s">
        <v>2226</v>
      </c>
      <c r="E83" s="16" t="s">
        <v>2227</v>
      </c>
      <c r="F83" s="16" t="n">
        <v>1398.13</v>
      </c>
      <c r="G83" s="16" t="n">
        <v>402</v>
      </c>
      <c r="H83" s="16" t="n">
        <v>2648</v>
      </c>
      <c r="I83" s="16" t="n">
        <v>1348</v>
      </c>
      <c r="J83" s="16" t="n">
        <v>1300</v>
      </c>
      <c r="K83" s="16" t="n">
        <v>789</v>
      </c>
      <c r="L83" s="19" t="n">
        <f aca="false">(K83/H83)*100</f>
        <v>29.7960725075529</v>
      </c>
      <c r="M83" s="16" t="n">
        <v>56</v>
      </c>
      <c r="N83" s="19" t="n">
        <f aca="false">(M83/H83)*100</f>
        <v>2.11480362537764</v>
      </c>
      <c r="O83" s="16" t="n">
        <v>7.2</v>
      </c>
      <c r="P83" s="16" t="n">
        <v>0</v>
      </c>
      <c r="Q83" s="20" t="s">
        <v>49</v>
      </c>
      <c r="R83" s="34" t="n">
        <v>45348</v>
      </c>
      <c r="S83" s="16"/>
      <c r="T83" s="89" t="n">
        <v>0</v>
      </c>
      <c r="U83" s="16"/>
      <c r="V83" s="16"/>
      <c r="W83" s="16"/>
      <c r="X83" s="16"/>
      <c r="Y83" s="16"/>
      <c r="Z83" s="16"/>
      <c r="AA83" s="89" t="s">
        <v>50</v>
      </c>
      <c r="AB83" s="289" t="n">
        <v>9</v>
      </c>
      <c r="AC83" s="305" t="s">
        <v>2228</v>
      </c>
      <c r="AD83" s="89" t="n">
        <v>26.17</v>
      </c>
      <c r="AE83" s="89" t="n">
        <v>72.81</v>
      </c>
    </row>
    <row r="84" customFormat="false" ht="15.75" hidden="false" customHeight="false" outlineLevel="0" collapsed="false">
      <c r="A84" s="16" t="s">
        <v>42</v>
      </c>
      <c r="B84" s="16" t="s">
        <v>2038</v>
      </c>
      <c r="C84" s="71" t="s">
        <v>2216</v>
      </c>
      <c r="D84" s="16" t="s">
        <v>2229</v>
      </c>
      <c r="E84" s="16" t="s">
        <v>2230</v>
      </c>
      <c r="F84" s="16" t="n">
        <v>657.82</v>
      </c>
      <c r="G84" s="16" t="n">
        <v>194</v>
      </c>
      <c r="H84" s="16" t="n">
        <v>1196</v>
      </c>
      <c r="I84" s="16" t="n">
        <v>624</v>
      </c>
      <c r="J84" s="16" t="n">
        <v>572</v>
      </c>
      <c r="K84" s="16" t="n">
        <v>191</v>
      </c>
      <c r="L84" s="19" t="n">
        <f aca="false">(K84/H84)*100</f>
        <v>15.9698996655518</v>
      </c>
      <c r="M84" s="16" t="n">
        <v>0</v>
      </c>
      <c r="N84" s="19" t="n">
        <f aca="false">(M84/H84)*100</f>
        <v>0</v>
      </c>
      <c r="O84" s="16" t="n">
        <v>0</v>
      </c>
      <c r="P84" s="16" t="n">
        <v>0</v>
      </c>
      <c r="Q84" s="20" t="s">
        <v>49</v>
      </c>
      <c r="R84" s="34" t="n">
        <v>45348</v>
      </c>
      <c r="S84" s="16"/>
      <c r="T84" s="89" t="n">
        <v>0</v>
      </c>
      <c r="U84" s="16"/>
      <c r="V84" s="16"/>
      <c r="W84" s="16"/>
      <c r="X84" s="16"/>
      <c r="Y84" s="16"/>
      <c r="Z84" s="16"/>
      <c r="AA84" s="89" t="s">
        <v>50</v>
      </c>
      <c r="AB84" s="289" t="n">
        <v>0</v>
      </c>
      <c r="AC84" s="306"/>
      <c r="AD84" s="89" t="n">
        <v>0</v>
      </c>
      <c r="AE84" s="89" t="n">
        <v>0</v>
      </c>
    </row>
    <row r="85" customFormat="false" ht="31.5" hidden="false" customHeight="false" outlineLevel="0" collapsed="false">
      <c r="A85" s="16" t="s">
        <v>42</v>
      </c>
      <c r="B85" s="16" t="s">
        <v>2038</v>
      </c>
      <c r="C85" s="71" t="s">
        <v>2231</v>
      </c>
      <c r="D85" s="72" t="s">
        <v>2231</v>
      </c>
      <c r="E85" s="16" t="s">
        <v>2232</v>
      </c>
      <c r="F85" s="16" t="n">
        <v>1929</v>
      </c>
      <c r="G85" s="16" t="n">
        <v>225</v>
      </c>
      <c r="H85" s="16" t="n">
        <v>1350</v>
      </c>
      <c r="I85" s="16" t="n">
        <v>698</v>
      </c>
      <c r="J85" s="16" t="n">
        <v>652</v>
      </c>
      <c r="K85" s="16" t="n">
        <v>246</v>
      </c>
      <c r="L85" s="19" t="n">
        <f aca="false">(K85/H85)*100</f>
        <v>18.2222222222222</v>
      </c>
      <c r="M85" s="16" t="n">
        <v>0</v>
      </c>
      <c r="N85" s="19" t="n">
        <f aca="false">(M85/H85)*100</f>
        <v>0</v>
      </c>
      <c r="O85" s="16" t="n">
        <v>1.75</v>
      </c>
      <c r="P85" s="16" t="n">
        <v>0</v>
      </c>
      <c r="Q85" s="20" t="s">
        <v>1052</v>
      </c>
      <c r="R85" s="34" t="n">
        <v>45317</v>
      </c>
      <c r="S85" s="16"/>
      <c r="T85" s="20" t="n">
        <v>1.7482</v>
      </c>
      <c r="U85" s="16"/>
      <c r="V85" s="16"/>
      <c r="W85" s="16"/>
      <c r="X85" s="16"/>
      <c r="Y85" s="16"/>
      <c r="Z85" s="16"/>
      <c r="AA85" s="89" t="s">
        <v>50</v>
      </c>
      <c r="AB85" s="89" t="n">
        <v>10</v>
      </c>
      <c r="AC85" s="90" t="s">
        <v>2233</v>
      </c>
      <c r="AD85" s="20"/>
      <c r="AE85" s="20"/>
    </row>
    <row r="86" customFormat="false" ht="31.5" hidden="false" customHeight="false" outlineLevel="0" collapsed="false">
      <c r="A86" s="16"/>
      <c r="B86" s="16"/>
      <c r="C86" s="71"/>
      <c r="D86" s="72"/>
      <c r="E86" s="16"/>
      <c r="F86" s="16"/>
      <c r="G86" s="16"/>
      <c r="H86" s="16"/>
      <c r="I86" s="16"/>
      <c r="J86" s="16"/>
      <c r="K86" s="16"/>
      <c r="L86" s="19" t="e">
        <f aca="false">(K86/H86)*100</f>
        <v>#DIV/0!</v>
      </c>
      <c r="M86" s="16"/>
      <c r="N86" s="19" t="e">
        <f aca="false">(M86/H86)*100</f>
        <v>#DIV/0!</v>
      </c>
      <c r="O86" s="16"/>
      <c r="P86" s="16"/>
      <c r="Q86" s="228"/>
      <c r="R86" s="234"/>
      <c r="S86" s="16"/>
      <c r="T86" s="228"/>
      <c r="U86" s="16"/>
      <c r="V86" s="16"/>
      <c r="W86" s="16"/>
      <c r="X86" s="16"/>
      <c r="Y86" s="16"/>
      <c r="Z86" s="16"/>
      <c r="AA86" s="93" t="s">
        <v>50</v>
      </c>
      <c r="AB86" s="93" t="n">
        <v>5</v>
      </c>
      <c r="AC86" s="98" t="s">
        <v>2234</v>
      </c>
      <c r="AD86" s="228"/>
      <c r="AE86" s="228"/>
    </row>
    <row r="87" customFormat="false" ht="15.75" hidden="false" customHeight="false" outlineLevel="0" collapsed="false">
      <c r="A87" s="16" t="s">
        <v>42</v>
      </c>
      <c r="B87" s="16" t="s">
        <v>2038</v>
      </c>
      <c r="C87" s="71" t="s">
        <v>2231</v>
      </c>
      <c r="D87" s="16" t="s">
        <v>2235</v>
      </c>
      <c r="E87" s="16" t="s">
        <v>2236</v>
      </c>
      <c r="F87" s="16" t="n">
        <v>515.78</v>
      </c>
      <c r="G87" s="16" t="n">
        <v>61</v>
      </c>
      <c r="H87" s="16" t="n">
        <v>397</v>
      </c>
      <c r="I87" s="16" t="n">
        <v>195</v>
      </c>
      <c r="J87" s="16" t="n">
        <v>202</v>
      </c>
      <c r="K87" s="16" t="n">
        <v>0</v>
      </c>
      <c r="L87" s="19" t="n">
        <f aca="false">(K87/H87)*100</f>
        <v>0</v>
      </c>
      <c r="M87" s="16" t="n">
        <v>0</v>
      </c>
      <c r="N87" s="19" t="n">
        <f aca="false">(M87/H87)*100</f>
        <v>0</v>
      </c>
      <c r="O87" s="16" t="n">
        <v>0</v>
      </c>
      <c r="P87" s="16" t="n">
        <v>0</v>
      </c>
      <c r="Q87" s="20" t="s">
        <v>1052</v>
      </c>
      <c r="R87" s="34" t="n">
        <v>45317</v>
      </c>
      <c r="S87" s="16"/>
      <c r="T87" s="20" t="n">
        <v>0</v>
      </c>
      <c r="U87" s="16"/>
      <c r="V87" s="16"/>
      <c r="W87" s="16"/>
      <c r="X87" s="16"/>
      <c r="Y87" s="16"/>
      <c r="Z87" s="16"/>
      <c r="AA87" s="89" t="s">
        <v>50</v>
      </c>
      <c r="AB87" s="89" t="n">
        <v>0</v>
      </c>
      <c r="AC87" s="36"/>
      <c r="AD87" s="20"/>
      <c r="AE87" s="20"/>
    </row>
    <row r="88" customFormat="false" ht="15.75" hidden="false" customHeight="false" outlineLevel="0" collapsed="false">
      <c r="A88" s="16" t="s">
        <v>42</v>
      </c>
      <c r="B88" s="16" t="s">
        <v>2038</v>
      </c>
      <c r="C88" s="71" t="s">
        <v>2231</v>
      </c>
      <c r="D88" s="16" t="s">
        <v>2237</v>
      </c>
      <c r="E88" s="16" t="s">
        <v>2238</v>
      </c>
      <c r="F88" s="16" t="n">
        <v>334.81</v>
      </c>
      <c r="G88" s="16" t="n">
        <v>70</v>
      </c>
      <c r="H88" s="16" t="n">
        <v>426</v>
      </c>
      <c r="I88" s="16" t="n">
        <v>219</v>
      </c>
      <c r="J88" s="16" t="n">
        <v>207</v>
      </c>
      <c r="K88" s="16" t="n">
        <v>0</v>
      </c>
      <c r="L88" s="19" t="n">
        <f aca="false">(K88/H88)*100</f>
        <v>0</v>
      </c>
      <c r="M88" s="16" t="n">
        <v>0</v>
      </c>
      <c r="N88" s="19" t="n">
        <f aca="false">(M88/H88)*100</f>
        <v>0</v>
      </c>
      <c r="O88" s="16" t="n">
        <v>8.59</v>
      </c>
      <c r="P88" s="16" t="n">
        <v>0</v>
      </c>
      <c r="Q88" s="20" t="s">
        <v>1052</v>
      </c>
      <c r="R88" s="34" t="n">
        <v>45317</v>
      </c>
      <c r="S88" s="16"/>
      <c r="T88" s="20" t="n">
        <v>8.5874</v>
      </c>
      <c r="U88" s="16"/>
      <c r="V88" s="16"/>
      <c r="W88" s="16"/>
      <c r="X88" s="16"/>
      <c r="Y88" s="16"/>
      <c r="Z88" s="16"/>
      <c r="AA88" s="89" t="s">
        <v>50</v>
      </c>
      <c r="AB88" s="89" t="n">
        <v>0</v>
      </c>
      <c r="AC88" s="36"/>
      <c r="AD88" s="20"/>
      <c r="AE88" s="20"/>
    </row>
    <row r="89" customFormat="false" ht="15.75" hidden="false" customHeight="false" outlineLevel="0" collapsed="false">
      <c r="A89" s="16" t="s">
        <v>42</v>
      </c>
      <c r="B89" s="16" t="s">
        <v>2038</v>
      </c>
      <c r="C89" s="71" t="s">
        <v>2231</v>
      </c>
      <c r="D89" s="16" t="s">
        <v>2239</v>
      </c>
      <c r="E89" s="16" t="s">
        <v>2240</v>
      </c>
      <c r="F89" s="16" t="n">
        <v>1650</v>
      </c>
      <c r="G89" s="16" t="n">
        <v>120</v>
      </c>
      <c r="H89" s="16" t="n">
        <v>672</v>
      </c>
      <c r="I89" s="16" t="n">
        <v>329</v>
      </c>
      <c r="J89" s="16" t="n">
        <v>343</v>
      </c>
      <c r="K89" s="16" t="n">
        <v>0</v>
      </c>
      <c r="L89" s="19" t="n">
        <f aca="false">(K89/H89)*100</f>
        <v>0</v>
      </c>
      <c r="M89" s="16" t="n">
        <v>0</v>
      </c>
      <c r="N89" s="19" t="n">
        <f aca="false">(M89/H89)*100</f>
        <v>0</v>
      </c>
      <c r="O89" s="16" t="n">
        <v>47</v>
      </c>
      <c r="P89" s="16" t="n">
        <v>0</v>
      </c>
      <c r="Q89" s="20" t="s">
        <v>1052</v>
      </c>
      <c r="R89" s="34" t="n">
        <v>45317</v>
      </c>
      <c r="S89" s="16"/>
      <c r="T89" s="20" t="n">
        <v>24.1516</v>
      </c>
      <c r="U89" s="16"/>
      <c r="V89" s="16"/>
      <c r="W89" s="16"/>
      <c r="X89" s="16"/>
      <c r="Y89" s="16"/>
      <c r="Z89" s="16"/>
      <c r="AA89" s="89" t="s">
        <v>50</v>
      </c>
      <c r="AB89" s="89"/>
      <c r="AC89" s="36"/>
      <c r="AD89" s="20"/>
      <c r="AE89" s="20"/>
    </row>
    <row r="90" customFormat="false" ht="31.5" hidden="false" customHeight="false" outlineLevel="0" collapsed="false">
      <c r="A90" s="16" t="s">
        <v>42</v>
      </c>
      <c r="B90" s="16" t="s">
        <v>2038</v>
      </c>
      <c r="C90" s="71" t="s">
        <v>2231</v>
      </c>
      <c r="D90" s="16" t="s">
        <v>2241</v>
      </c>
      <c r="E90" s="16" t="s">
        <v>2242</v>
      </c>
      <c r="F90" s="16" t="n">
        <v>625.16</v>
      </c>
      <c r="G90" s="16" t="n">
        <v>69</v>
      </c>
      <c r="H90" s="16" t="n">
        <v>402</v>
      </c>
      <c r="I90" s="16" t="n">
        <v>193</v>
      </c>
      <c r="J90" s="16" t="n">
        <v>209</v>
      </c>
      <c r="K90" s="16" t="n">
        <v>0</v>
      </c>
      <c r="L90" s="19" t="n">
        <f aca="false">(K90/H90)*100</f>
        <v>0</v>
      </c>
      <c r="M90" s="16" t="n">
        <v>0</v>
      </c>
      <c r="N90" s="19" t="n">
        <f aca="false">(M90/H90)*100</f>
        <v>0</v>
      </c>
      <c r="O90" s="16" t="n">
        <v>35.38</v>
      </c>
      <c r="P90" s="16" t="n">
        <v>0</v>
      </c>
      <c r="Q90" s="20" t="s">
        <v>1052</v>
      </c>
      <c r="R90" s="34" t="n">
        <v>45317</v>
      </c>
      <c r="S90" s="16"/>
      <c r="T90" s="20" t="n">
        <v>35.1834</v>
      </c>
      <c r="U90" s="16"/>
      <c r="V90" s="16"/>
      <c r="W90" s="16"/>
      <c r="X90" s="16"/>
      <c r="Y90" s="16"/>
      <c r="Z90" s="16"/>
      <c r="AA90" s="89" t="s">
        <v>50</v>
      </c>
      <c r="AB90" s="89" t="n">
        <v>8</v>
      </c>
      <c r="AC90" s="90" t="s">
        <v>2234</v>
      </c>
      <c r="AD90" s="20"/>
      <c r="AE90" s="20"/>
    </row>
    <row r="91" customFormat="false" ht="31.5" hidden="false" customHeight="false" outlineLevel="0" collapsed="false">
      <c r="A91" s="16" t="s">
        <v>42</v>
      </c>
      <c r="B91" s="16" t="s">
        <v>2038</v>
      </c>
      <c r="C91" s="71" t="s">
        <v>2243</v>
      </c>
      <c r="D91" s="72" t="s">
        <v>2244</v>
      </c>
      <c r="E91" s="16" t="s">
        <v>2245</v>
      </c>
      <c r="F91" s="16" t="n">
        <v>2079.51</v>
      </c>
      <c r="G91" s="16" t="n">
        <v>631</v>
      </c>
      <c r="H91" s="16" t="n">
        <v>3861</v>
      </c>
      <c r="I91" s="16" t="n">
        <v>2024</v>
      </c>
      <c r="J91" s="16" t="n">
        <v>1837</v>
      </c>
      <c r="K91" s="16" t="n">
        <v>425</v>
      </c>
      <c r="L91" s="19" t="n">
        <f aca="false">(K91/H91)*100</f>
        <v>11.007511007511</v>
      </c>
      <c r="M91" s="16" t="n">
        <v>179</v>
      </c>
      <c r="N91" s="19" t="n">
        <f aca="false">(M91/H91)*100</f>
        <v>4.63610463610464</v>
      </c>
      <c r="O91" s="16" t="n">
        <v>72.21</v>
      </c>
      <c r="P91" s="16" t="n">
        <v>0</v>
      </c>
      <c r="Q91" s="20" t="s">
        <v>49</v>
      </c>
      <c r="R91" s="34" t="n">
        <v>45317</v>
      </c>
      <c r="S91" s="16"/>
      <c r="T91" s="20"/>
      <c r="U91" s="16"/>
      <c r="V91" s="16"/>
      <c r="W91" s="16"/>
      <c r="X91" s="16"/>
      <c r="Y91" s="16"/>
      <c r="Z91" s="16"/>
      <c r="AA91" s="89" t="s">
        <v>50</v>
      </c>
      <c r="AB91" s="289" t="n">
        <v>5</v>
      </c>
      <c r="AC91" s="90" t="s">
        <v>2246</v>
      </c>
      <c r="AD91" s="20" t="n">
        <v>26.121748</v>
      </c>
      <c r="AE91" s="20" t="n">
        <v>72.907518</v>
      </c>
    </row>
    <row r="92" customFormat="false" ht="15.75" hidden="false" customHeight="false" outlineLevel="0" collapsed="false">
      <c r="A92" s="16" t="s">
        <v>42</v>
      </c>
      <c r="B92" s="16" t="s">
        <v>2038</v>
      </c>
      <c r="C92" s="71" t="s">
        <v>2243</v>
      </c>
      <c r="D92" s="16" t="s">
        <v>2247</v>
      </c>
      <c r="E92" s="16" t="s">
        <v>2248</v>
      </c>
      <c r="F92" s="16" t="n">
        <v>326.63</v>
      </c>
      <c r="G92" s="16" t="n">
        <v>166</v>
      </c>
      <c r="H92" s="16" t="n">
        <v>973</v>
      </c>
      <c r="I92" s="16" t="n">
        <v>503</v>
      </c>
      <c r="J92" s="16" t="n">
        <v>470</v>
      </c>
      <c r="K92" s="16" t="n">
        <v>226</v>
      </c>
      <c r="L92" s="19" t="n">
        <f aca="false">(K92/H92)*100</f>
        <v>23.2271325796506</v>
      </c>
      <c r="M92" s="16" t="n">
        <v>15</v>
      </c>
      <c r="N92" s="19" t="n">
        <f aca="false">(M92/H92)*100</f>
        <v>1.54162384378212</v>
      </c>
      <c r="O92" s="16" t="n">
        <v>70.1</v>
      </c>
      <c r="P92" s="16" t="n">
        <v>0</v>
      </c>
      <c r="Q92" s="20" t="s">
        <v>49</v>
      </c>
      <c r="R92" s="34" t="n">
        <v>45317</v>
      </c>
      <c r="S92" s="16"/>
      <c r="T92" s="20"/>
      <c r="U92" s="16"/>
      <c r="V92" s="16"/>
      <c r="W92" s="16"/>
      <c r="X92" s="16"/>
      <c r="Y92" s="16"/>
      <c r="Z92" s="16"/>
      <c r="AA92" s="89" t="s">
        <v>50</v>
      </c>
      <c r="AB92" s="289" t="n">
        <v>0</v>
      </c>
      <c r="AC92" s="36"/>
      <c r="AD92" s="20" t="n">
        <v>0</v>
      </c>
      <c r="AE92" s="20" t="n">
        <v>0</v>
      </c>
    </row>
    <row r="93" customFormat="false" ht="15.75" hidden="false" customHeight="false" outlineLevel="0" collapsed="false">
      <c r="A93" s="16" t="s">
        <v>42</v>
      </c>
      <c r="B93" s="16" t="s">
        <v>2038</v>
      </c>
      <c r="C93" s="71" t="s">
        <v>2249</v>
      </c>
      <c r="D93" s="72" t="s">
        <v>2250</v>
      </c>
      <c r="E93" s="16" t="s">
        <v>2251</v>
      </c>
      <c r="F93" s="16" t="n">
        <v>2533.83</v>
      </c>
      <c r="G93" s="16" t="n">
        <v>585</v>
      </c>
      <c r="H93" s="16" t="n">
        <v>2824</v>
      </c>
      <c r="I93" s="16" t="n">
        <v>1460</v>
      </c>
      <c r="J93" s="16" t="n">
        <v>1364</v>
      </c>
      <c r="K93" s="16" t="n">
        <v>226</v>
      </c>
      <c r="L93" s="19" t="n">
        <f aca="false">(K93/H93)*100</f>
        <v>8.0028328611898</v>
      </c>
      <c r="M93" s="16" t="n">
        <v>842</v>
      </c>
      <c r="N93" s="19" t="n">
        <f aca="false">(M93/H93)*100</f>
        <v>29.8158640226629</v>
      </c>
      <c r="O93" s="16" t="n">
        <v>5.25</v>
      </c>
      <c r="P93" s="16" t="n">
        <v>0</v>
      </c>
      <c r="Q93" s="20" t="s">
        <v>49</v>
      </c>
      <c r="R93" s="34" t="n">
        <v>45317</v>
      </c>
      <c r="S93" s="16"/>
      <c r="T93" s="20" t="n">
        <v>8.5874</v>
      </c>
      <c r="U93" s="16"/>
      <c r="V93" s="16"/>
      <c r="W93" s="16"/>
      <c r="X93" s="16"/>
      <c r="Y93" s="16"/>
      <c r="Z93" s="16"/>
      <c r="AA93" s="89" t="s">
        <v>50</v>
      </c>
      <c r="AB93" s="89" t="n">
        <v>5</v>
      </c>
      <c r="AC93" s="90" t="s">
        <v>2252</v>
      </c>
      <c r="AD93" s="20"/>
      <c r="AE93" s="20"/>
    </row>
    <row r="94" customFormat="false" ht="15.75" hidden="false" customHeight="false" outlineLevel="0" collapsed="false">
      <c r="A94" s="16" t="s">
        <v>42</v>
      </c>
      <c r="B94" s="16" t="s">
        <v>2038</v>
      </c>
      <c r="C94" s="71" t="s">
        <v>2249</v>
      </c>
      <c r="D94" s="16" t="s">
        <v>2253</v>
      </c>
      <c r="E94" s="16" t="s">
        <v>2254</v>
      </c>
      <c r="F94" s="16" t="n">
        <v>631</v>
      </c>
      <c r="G94" s="16" t="n">
        <v>103</v>
      </c>
      <c r="H94" s="16" t="n">
        <v>722</v>
      </c>
      <c r="I94" s="16" t="n">
        <v>367</v>
      </c>
      <c r="J94" s="16" t="n">
        <v>355</v>
      </c>
      <c r="K94" s="16" t="n">
        <v>299</v>
      </c>
      <c r="L94" s="19" t="n">
        <f aca="false">(K94/H94)*100</f>
        <v>41.4127423822715</v>
      </c>
      <c r="M94" s="16" t="n">
        <v>23</v>
      </c>
      <c r="N94" s="19" t="n">
        <f aca="false">(M94/H94)*100</f>
        <v>3.18559556786704</v>
      </c>
      <c r="O94" s="16" t="n">
        <v>11.33</v>
      </c>
      <c r="P94" s="16" t="n">
        <v>0</v>
      </c>
      <c r="Q94" s="20" t="s">
        <v>49</v>
      </c>
      <c r="R94" s="34" t="n">
        <v>45317</v>
      </c>
      <c r="S94" s="16"/>
      <c r="T94" s="20" t="n">
        <v>9.2333</v>
      </c>
      <c r="U94" s="16"/>
      <c r="V94" s="16"/>
      <c r="W94" s="16"/>
      <c r="X94" s="16"/>
      <c r="Y94" s="16"/>
      <c r="Z94" s="16"/>
      <c r="AA94" s="89" t="s">
        <v>50</v>
      </c>
      <c r="AB94" s="89" t="n">
        <v>0</v>
      </c>
      <c r="AC94" s="36"/>
      <c r="AD94" s="20"/>
      <c r="AE94" s="20"/>
    </row>
    <row r="95" customFormat="false" ht="15.75" hidden="false" customHeight="false" outlineLevel="0" collapsed="false">
      <c r="A95" s="16" t="s">
        <v>42</v>
      </c>
      <c r="B95" s="16" t="s">
        <v>2038</v>
      </c>
      <c r="C95" s="71" t="s">
        <v>2249</v>
      </c>
      <c r="D95" s="16" t="s">
        <v>2255</v>
      </c>
      <c r="E95" s="16" t="s">
        <v>2256</v>
      </c>
      <c r="F95" s="16" t="n">
        <v>613.42</v>
      </c>
      <c r="G95" s="16" t="n">
        <v>26</v>
      </c>
      <c r="H95" s="16" t="n">
        <v>123</v>
      </c>
      <c r="I95" s="16" t="n">
        <v>64</v>
      </c>
      <c r="J95" s="16" t="n">
        <v>59</v>
      </c>
      <c r="K95" s="16" t="n">
        <v>106</v>
      </c>
      <c r="L95" s="19" t="n">
        <f aca="false">(K95/H95)*100</f>
        <v>86.1788617886179</v>
      </c>
      <c r="M95" s="16" t="n">
        <v>0</v>
      </c>
      <c r="N95" s="19" t="n">
        <f aca="false">(M95/H95)*100</f>
        <v>0</v>
      </c>
      <c r="O95" s="16" t="n">
        <v>0</v>
      </c>
      <c r="P95" s="16" t="n">
        <v>0</v>
      </c>
      <c r="Q95" s="20" t="s">
        <v>49</v>
      </c>
      <c r="R95" s="34" t="n">
        <v>45317</v>
      </c>
      <c r="S95" s="16"/>
      <c r="T95" s="20"/>
      <c r="U95" s="16"/>
      <c r="V95" s="16"/>
      <c r="W95" s="16"/>
      <c r="X95" s="16"/>
      <c r="Y95" s="16"/>
      <c r="Z95" s="16"/>
      <c r="AA95" s="89" t="s">
        <v>50</v>
      </c>
      <c r="AB95" s="89" t="n">
        <v>5</v>
      </c>
      <c r="AC95" s="90" t="s">
        <v>2257</v>
      </c>
      <c r="AD95" s="20"/>
      <c r="AE95" s="20"/>
    </row>
    <row r="96" customFormat="false" ht="31.5" hidden="false" customHeight="false" outlineLevel="0" collapsed="false">
      <c r="A96" s="16" t="s">
        <v>42</v>
      </c>
      <c r="B96" s="16" t="s">
        <v>2038</v>
      </c>
      <c r="C96" s="71" t="s">
        <v>2249</v>
      </c>
      <c r="D96" s="16" t="s">
        <v>2258</v>
      </c>
      <c r="E96" s="16" t="s">
        <v>2259</v>
      </c>
      <c r="F96" s="16" t="n">
        <v>1653.44</v>
      </c>
      <c r="G96" s="16" t="n">
        <v>363</v>
      </c>
      <c r="H96" s="16" t="n">
        <v>2327</v>
      </c>
      <c r="I96" s="16" t="n">
        <v>1224</v>
      </c>
      <c r="J96" s="16" t="n">
        <v>1103</v>
      </c>
      <c r="K96" s="16" t="n">
        <v>523</v>
      </c>
      <c r="L96" s="19" t="n">
        <f aca="false">(K96/H96)*100</f>
        <v>22.4752900730554</v>
      </c>
      <c r="M96" s="16" t="n">
        <v>0</v>
      </c>
      <c r="N96" s="19" t="n">
        <f aca="false">(M96/H96)*100</f>
        <v>0</v>
      </c>
      <c r="O96" s="16" t="n">
        <v>0</v>
      </c>
      <c r="P96" s="16" t="n">
        <v>0</v>
      </c>
      <c r="Q96" s="20" t="s">
        <v>49</v>
      </c>
      <c r="R96" s="34" t="n">
        <v>45317</v>
      </c>
      <c r="S96" s="16"/>
      <c r="T96" s="20"/>
      <c r="U96" s="16"/>
      <c r="V96" s="16"/>
      <c r="W96" s="16"/>
      <c r="X96" s="16"/>
      <c r="Y96" s="16"/>
      <c r="Z96" s="16"/>
      <c r="AA96" s="89" t="s">
        <v>50</v>
      </c>
      <c r="AB96" s="89" t="n">
        <v>5</v>
      </c>
      <c r="AC96" s="90" t="s">
        <v>2260</v>
      </c>
      <c r="AD96" s="20"/>
      <c r="AE96" s="20"/>
    </row>
    <row r="97" customFormat="false" ht="15.75" hidden="false" customHeight="false" outlineLevel="0" collapsed="false">
      <c r="A97" s="16" t="s">
        <v>42</v>
      </c>
      <c r="B97" s="16" t="s">
        <v>2038</v>
      </c>
      <c r="C97" s="71" t="s">
        <v>2249</v>
      </c>
      <c r="D97" s="16" t="s">
        <v>2261</v>
      </c>
      <c r="E97" s="16" t="s">
        <v>2262</v>
      </c>
      <c r="F97" s="16" t="n">
        <v>428.56</v>
      </c>
      <c r="G97" s="16" t="n">
        <v>43</v>
      </c>
      <c r="H97" s="16" t="n">
        <v>331</v>
      </c>
      <c r="I97" s="16" t="n">
        <v>166</v>
      </c>
      <c r="J97" s="16" t="n">
        <v>165</v>
      </c>
      <c r="K97" s="16" t="n">
        <v>0</v>
      </c>
      <c r="L97" s="19" t="n">
        <f aca="false">(K97/H97)*100</f>
        <v>0</v>
      </c>
      <c r="M97" s="16" t="n">
        <v>0</v>
      </c>
      <c r="N97" s="19" t="n">
        <f aca="false">(M97/H97)*100</f>
        <v>0</v>
      </c>
      <c r="O97" s="16" t="n">
        <v>0</v>
      </c>
      <c r="P97" s="16" t="n">
        <v>0</v>
      </c>
      <c r="Q97" s="20" t="s">
        <v>49</v>
      </c>
      <c r="R97" s="34" t="n">
        <v>45317</v>
      </c>
      <c r="S97" s="16"/>
      <c r="T97" s="20"/>
      <c r="U97" s="16"/>
      <c r="V97" s="16"/>
      <c r="W97" s="16"/>
      <c r="X97" s="16"/>
      <c r="Y97" s="16"/>
      <c r="Z97" s="16"/>
      <c r="AA97" s="89" t="s">
        <v>50</v>
      </c>
      <c r="AB97" s="89" t="n">
        <v>0</v>
      </c>
      <c r="AC97" s="36"/>
      <c r="AD97" s="20"/>
      <c r="AE97" s="20"/>
    </row>
    <row r="98" customFormat="false" ht="15.75" hidden="false" customHeight="false" outlineLevel="0" collapsed="false">
      <c r="A98" s="16" t="s">
        <v>42</v>
      </c>
      <c r="B98" s="16" t="s">
        <v>2038</v>
      </c>
      <c r="C98" s="71" t="s">
        <v>2263</v>
      </c>
      <c r="D98" s="72" t="s">
        <v>2264</v>
      </c>
      <c r="E98" s="16" t="s">
        <v>2265</v>
      </c>
      <c r="F98" s="16" t="n">
        <v>1990.5</v>
      </c>
      <c r="G98" s="16" t="n">
        <v>758</v>
      </c>
      <c r="H98" s="16" t="n">
        <v>4474</v>
      </c>
      <c r="I98" s="16" t="n">
        <v>2364</v>
      </c>
      <c r="J98" s="16" t="n">
        <v>2110</v>
      </c>
      <c r="K98" s="16" t="n">
        <v>817</v>
      </c>
      <c r="L98" s="19" t="n">
        <f aca="false">(K98/H98)*100</f>
        <v>18.2610639248994</v>
      </c>
      <c r="M98" s="16" t="n">
        <v>295</v>
      </c>
      <c r="N98" s="19" t="n">
        <f aca="false">(M98/H98)*100</f>
        <v>6.59365221278498</v>
      </c>
      <c r="O98" s="16" t="n">
        <v>200.7</v>
      </c>
      <c r="P98" s="16" t="n">
        <v>0</v>
      </c>
      <c r="Q98" s="247" t="s">
        <v>50</v>
      </c>
      <c r="R98" s="82" t="n">
        <v>44412</v>
      </c>
      <c r="S98" s="16"/>
      <c r="T98" s="105" t="n">
        <v>183.66</v>
      </c>
      <c r="U98" s="16"/>
      <c r="V98" s="16"/>
      <c r="W98" s="16"/>
      <c r="X98" s="16"/>
      <c r="Y98" s="16"/>
      <c r="Z98" s="16"/>
      <c r="AA98" s="247" t="s">
        <v>50</v>
      </c>
      <c r="AB98" s="105" t="n">
        <v>5</v>
      </c>
      <c r="AC98" s="105" t="s">
        <v>2266</v>
      </c>
      <c r="AD98" s="105" t="n">
        <v>26.96218</v>
      </c>
      <c r="AE98" s="105" t="n">
        <v>72.837886</v>
      </c>
    </row>
    <row r="99" customFormat="false" ht="15.75" hidden="false" customHeight="false" outlineLevel="0" collapsed="false">
      <c r="A99" s="16" t="s">
        <v>42</v>
      </c>
      <c r="B99" s="16" t="s">
        <v>2038</v>
      </c>
      <c r="C99" s="71" t="s">
        <v>2263</v>
      </c>
      <c r="D99" s="16" t="s">
        <v>2267</v>
      </c>
      <c r="E99" s="16" t="s">
        <v>2268</v>
      </c>
      <c r="F99" s="16" t="n">
        <v>648.7</v>
      </c>
      <c r="G99" s="16" t="n">
        <v>63</v>
      </c>
      <c r="H99" s="16" t="n">
        <v>363</v>
      </c>
      <c r="I99" s="16" t="n">
        <v>186</v>
      </c>
      <c r="J99" s="16" t="n">
        <v>177</v>
      </c>
      <c r="K99" s="16" t="n">
        <v>0</v>
      </c>
      <c r="L99" s="19" t="n">
        <f aca="false">(K99/H99)*100</f>
        <v>0</v>
      </c>
      <c r="M99" s="16" t="n">
        <v>0</v>
      </c>
      <c r="N99" s="19" t="n">
        <f aca="false">(M99/H99)*100</f>
        <v>0</v>
      </c>
      <c r="O99" s="16" t="n">
        <v>0</v>
      </c>
      <c r="P99" s="16" t="n">
        <v>0</v>
      </c>
      <c r="Q99" s="247" t="s">
        <v>50</v>
      </c>
      <c r="R99" s="82" t="n">
        <v>44582</v>
      </c>
      <c r="S99" s="16"/>
      <c r="T99" s="85" t="n">
        <v>8.79</v>
      </c>
      <c r="U99" s="16"/>
      <c r="V99" s="16"/>
      <c r="W99" s="16"/>
      <c r="X99" s="16"/>
      <c r="Y99" s="16"/>
      <c r="Z99" s="16"/>
      <c r="AA99" s="247" t="s">
        <v>50</v>
      </c>
      <c r="AB99" s="247" t="n">
        <v>1.37</v>
      </c>
      <c r="AC99" s="311" t="s">
        <v>2269</v>
      </c>
      <c r="AD99" s="264" t="n">
        <v>25.977426</v>
      </c>
      <c r="AE99" s="312" t="n">
        <v>72.825862</v>
      </c>
    </row>
    <row r="100" customFormat="false" ht="15.75" hidden="false" customHeight="false" outlineLevel="0" collapsed="false">
      <c r="A100" s="16" t="s">
        <v>42</v>
      </c>
      <c r="B100" s="16" t="s">
        <v>2038</v>
      </c>
      <c r="C100" s="71" t="s">
        <v>2263</v>
      </c>
      <c r="D100" s="16" t="s">
        <v>2270</v>
      </c>
      <c r="E100" s="16" t="s">
        <v>2271</v>
      </c>
      <c r="F100" s="16" t="n">
        <v>355.8</v>
      </c>
      <c r="G100" s="16" t="n">
        <v>48</v>
      </c>
      <c r="H100" s="16" t="n">
        <v>214</v>
      </c>
      <c r="I100" s="16" t="n">
        <v>113</v>
      </c>
      <c r="J100" s="16" t="n">
        <v>101</v>
      </c>
      <c r="K100" s="16" t="n">
        <v>0</v>
      </c>
      <c r="L100" s="19" t="n">
        <f aca="false">(K100/H100)*100</f>
        <v>0</v>
      </c>
      <c r="M100" s="16" t="n">
        <v>0</v>
      </c>
      <c r="N100" s="19" t="n">
        <f aca="false">(M100/H100)*100</f>
        <v>0</v>
      </c>
      <c r="O100" s="16" t="n">
        <v>12.7</v>
      </c>
      <c r="P100" s="16" t="n">
        <v>0</v>
      </c>
      <c r="Q100" s="247" t="s">
        <v>50</v>
      </c>
      <c r="R100" s="82" t="n">
        <v>44583</v>
      </c>
      <c r="S100" s="16"/>
      <c r="T100" s="85" t="n">
        <v>11.54</v>
      </c>
      <c r="U100" s="16"/>
      <c r="V100" s="16"/>
      <c r="W100" s="16"/>
      <c r="X100" s="16"/>
      <c r="Y100" s="16"/>
      <c r="Z100" s="16"/>
      <c r="AA100" s="247" t="s">
        <v>50</v>
      </c>
      <c r="AB100" s="247" t="n">
        <v>3.48</v>
      </c>
      <c r="AC100" s="311" t="s">
        <v>2272</v>
      </c>
      <c r="AD100" s="264" t="n">
        <v>25.994974</v>
      </c>
      <c r="AE100" s="312" t="n">
        <v>72.849684</v>
      </c>
    </row>
    <row r="101" customFormat="false" ht="15.75" hidden="false" customHeight="false" outlineLevel="0" collapsed="false">
      <c r="A101" s="16" t="s">
        <v>42</v>
      </c>
      <c r="B101" s="16" t="s">
        <v>2038</v>
      </c>
      <c r="C101" s="71" t="s">
        <v>2263</v>
      </c>
      <c r="D101" s="16" t="s">
        <v>2273</v>
      </c>
      <c r="E101" s="16" t="s">
        <v>2274</v>
      </c>
      <c r="F101" s="16" t="n">
        <v>471</v>
      </c>
      <c r="G101" s="16" t="n">
        <v>41</v>
      </c>
      <c r="H101" s="16" t="n">
        <v>284</v>
      </c>
      <c r="I101" s="16" t="n">
        <v>137</v>
      </c>
      <c r="J101" s="16" t="n">
        <v>147</v>
      </c>
      <c r="K101" s="16" t="n">
        <v>0</v>
      </c>
      <c r="L101" s="19" t="n">
        <f aca="false">(K101/H101)*100</f>
        <v>0</v>
      </c>
      <c r="M101" s="16" t="n">
        <v>0</v>
      </c>
      <c r="N101" s="19" t="n">
        <f aca="false">(M101/H101)*100</f>
        <v>0</v>
      </c>
      <c r="O101" s="16" t="n">
        <v>10.6</v>
      </c>
      <c r="P101" s="16" t="n">
        <v>0</v>
      </c>
      <c r="Q101" s="247" t="s">
        <v>50</v>
      </c>
      <c r="R101" s="82" t="n">
        <v>44582</v>
      </c>
      <c r="S101" s="16"/>
      <c r="T101" s="85" t="n">
        <v>6.49</v>
      </c>
      <c r="U101" s="16"/>
      <c r="V101" s="16"/>
      <c r="W101" s="16"/>
      <c r="X101" s="16"/>
      <c r="Y101" s="16"/>
      <c r="Z101" s="16"/>
      <c r="AA101" s="247" t="s">
        <v>50</v>
      </c>
      <c r="AB101" s="247" t="n">
        <v>2.41</v>
      </c>
      <c r="AC101" s="311" t="s">
        <v>2275</v>
      </c>
      <c r="AD101" s="264"/>
      <c r="AE101" s="312"/>
    </row>
    <row r="102" customFormat="false" ht="31.5" hidden="false" customHeight="false" outlineLevel="0" collapsed="false">
      <c r="A102" s="16" t="s">
        <v>42</v>
      </c>
      <c r="B102" s="16" t="s">
        <v>2038</v>
      </c>
      <c r="C102" s="71" t="s">
        <v>2276</v>
      </c>
      <c r="D102" s="72" t="s">
        <v>2276</v>
      </c>
      <c r="E102" s="16" t="s">
        <v>2277</v>
      </c>
      <c r="F102" s="16" t="n">
        <v>1784</v>
      </c>
      <c r="G102" s="16" t="n">
        <v>433</v>
      </c>
      <c r="H102" s="16" t="n">
        <v>2458</v>
      </c>
      <c r="I102" s="16" t="n">
        <v>1224</v>
      </c>
      <c r="J102" s="16" t="n">
        <v>1234</v>
      </c>
      <c r="K102" s="16" t="n">
        <v>397</v>
      </c>
      <c r="L102" s="19" t="n">
        <f aca="false">(K102/H102)*100</f>
        <v>16.1513425549227</v>
      </c>
      <c r="M102" s="16" t="n">
        <v>220</v>
      </c>
      <c r="N102" s="19" t="n">
        <f aca="false">(M102/H102)*100</f>
        <v>8.95036615134256</v>
      </c>
      <c r="O102" s="16" t="n">
        <v>132.25</v>
      </c>
      <c r="P102" s="16" t="n">
        <v>0</v>
      </c>
      <c r="Q102" s="20" t="s">
        <v>49</v>
      </c>
      <c r="R102" s="34" t="n">
        <v>45364</v>
      </c>
      <c r="S102" s="16"/>
      <c r="T102" s="20" t="n">
        <v>84.0854</v>
      </c>
      <c r="U102" s="16"/>
      <c r="V102" s="16"/>
      <c r="W102" s="16"/>
      <c r="X102" s="16"/>
      <c r="Y102" s="16"/>
      <c r="Z102" s="16"/>
      <c r="AA102" s="89" t="s">
        <v>50</v>
      </c>
      <c r="AB102" s="89" t="n">
        <v>12</v>
      </c>
      <c r="AC102" s="90" t="s">
        <v>2278</v>
      </c>
      <c r="AD102" s="20"/>
      <c r="AE102" s="20"/>
    </row>
    <row r="103" customFormat="false" ht="31.5" hidden="false" customHeight="false" outlineLevel="0" collapsed="false">
      <c r="A103" s="16" t="s">
        <v>42</v>
      </c>
      <c r="B103" s="16" t="s">
        <v>2038</v>
      </c>
      <c r="C103" s="71" t="s">
        <v>2279</v>
      </c>
      <c r="D103" s="72" t="s">
        <v>2280</v>
      </c>
      <c r="E103" s="16" t="s">
        <v>2281</v>
      </c>
      <c r="F103" s="16" t="n">
        <v>1269</v>
      </c>
      <c r="G103" s="16" t="n">
        <v>351</v>
      </c>
      <c r="H103" s="16" t="n">
        <v>2048</v>
      </c>
      <c r="I103" s="16" t="n">
        <v>1064</v>
      </c>
      <c r="J103" s="16" t="n">
        <v>984</v>
      </c>
      <c r="K103" s="16" t="n">
        <v>217</v>
      </c>
      <c r="L103" s="19" t="n">
        <f aca="false">(K103/H103)*100</f>
        <v>10.595703125</v>
      </c>
      <c r="M103" s="16" t="n">
        <v>168</v>
      </c>
      <c r="N103" s="19" t="n">
        <f aca="false">(M103/H103)*100</f>
        <v>8.203125</v>
      </c>
      <c r="O103" s="16" t="n">
        <v>201</v>
      </c>
      <c r="P103" s="16" t="n">
        <v>0</v>
      </c>
      <c r="Q103" s="20" t="s">
        <v>1052</v>
      </c>
      <c r="R103" s="34" t="n">
        <v>45317</v>
      </c>
      <c r="S103" s="16"/>
      <c r="T103" s="20" t="n">
        <v>94.9503</v>
      </c>
      <c r="U103" s="16"/>
      <c r="V103" s="16"/>
      <c r="W103" s="16"/>
      <c r="X103" s="16"/>
      <c r="Y103" s="16"/>
      <c r="Z103" s="16"/>
      <c r="AA103" s="89" t="s">
        <v>50</v>
      </c>
      <c r="AB103" s="89" t="n">
        <v>10</v>
      </c>
      <c r="AC103" s="90" t="s">
        <v>2282</v>
      </c>
      <c r="AD103" s="20"/>
      <c r="AE103" s="20"/>
    </row>
    <row r="104" customFormat="false" ht="31.5" hidden="false" customHeight="false" outlineLevel="0" collapsed="false">
      <c r="A104" s="16"/>
      <c r="B104" s="16"/>
      <c r="C104" s="71"/>
      <c r="D104" s="72"/>
      <c r="E104" s="16"/>
      <c r="F104" s="16"/>
      <c r="G104" s="16"/>
      <c r="H104" s="16"/>
      <c r="I104" s="16"/>
      <c r="J104" s="16"/>
      <c r="K104" s="16"/>
      <c r="L104" s="19"/>
      <c r="M104" s="16"/>
      <c r="N104" s="19"/>
      <c r="O104" s="16"/>
      <c r="P104" s="16"/>
      <c r="Q104" s="228" t="s">
        <v>1052</v>
      </c>
      <c r="R104" s="97"/>
      <c r="S104" s="16"/>
      <c r="T104" s="228"/>
      <c r="U104" s="16"/>
      <c r="V104" s="16"/>
      <c r="W104" s="16"/>
      <c r="X104" s="16"/>
      <c r="Y104" s="16"/>
      <c r="Z104" s="16"/>
      <c r="AA104" s="93" t="s">
        <v>50</v>
      </c>
      <c r="AB104" s="93" t="n">
        <v>10</v>
      </c>
      <c r="AC104" s="98" t="s">
        <v>2283</v>
      </c>
      <c r="AD104" s="228"/>
      <c r="AE104" s="228"/>
    </row>
    <row r="105" customFormat="false" ht="15.75" hidden="false" customHeight="false" outlineLevel="0" collapsed="false">
      <c r="A105" s="16" t="s">
        <v>42</v>
      </c>
      <c r="B105" s="16" t="s">
        <v>2038</v>
      </c>
      <c r="C105" s="71" t="s">
        <v>2279</v>
      </c>
      <c r="D105" s="16" t="s">
        <v>2284</v>
      </c>
      <c r="E105" s="16" t="s">
        <v>2285</v>
      </c>
      <c r="F105" s="16" t="n">
        <v>883</v>
      </c>
      <c r="G105" s="16" t="n">
        <v>72</v>
      </c>
      <c r="H105" s="16" t="n">
        <v>520</v>
      </c>
      <c r="I105" s="16" t="n">
        <v>277</v>
      </c>
      <c r="J105" s="16" t="n">
        <v>243</v>
      </c>
      <c r="K105" s="16" t="n">
        <v>13</v>
      </c>
      <c r="L105" s="19" t="n">
        <f aca="false">(K105/H105)*100</f>
        <v>2.5</v>
      </c>
      <c r="M105" s="16" t="n">
        <v>0</v>
      </c>
      <c r="N105" s="19" t="n">
        <f aca="false">(M105/H105)*100</f>
        <v>0</v>
      </c>
      <c r="O105" s="16" t="n">
        <v>129</v>
      </c>
      <c r="P105" s="16" t="n">
        <v>0</v>
      </c>
      <c r="Q105" s="20" t="s">
        <v>1052</v>
      </c>
      <c r="R105" s="34" t="n">
        <v>45317</v>
      </c>
      <c r="S105" s="16"/>
      <c r="T105" s="20"/>
      <c r="U105" s="16"/>
      <c r="V105" s="16"/>
      <c r="W105" s="16"/>
      <c r="X105" s="16"/>
      <c r="Y105" s="16"/>
      <c r="Z105" s="16"/>
      <c r="AA105" s="89" t="s">
        <v>50</v>
      </c>
      <c r="AB105" s="89" t="n">
        <v>0</v>
      </c>
      <c r="AC105" s="36"/>
      <c r="AD105" s="20"/>
      <c r="AE105" s="20"/>
    </row>
    <row r="106" customFormat="false" ht="15.75" hidden="false" customHeight="false" outlineLevel="0" collapsed="false">
      <c r="A106" s="16" t="s">
        <v>42</v>
      </c>
      <c r="B106" s="16" t="s">
        <v>2038</v>
      </c>
      <c r="C106" s="71" t="s">
        <v>2279</v>
      </c>
      <c r="D106" s="16" t="s">
        <v>2286</v>
      </c>
      <c r="E106" s="16" t="s">
        <v>2287</v>
      </c>
      <c r="F106" s="16" t="n">
        <v>1421.87</v>
      </c>
      <c r="G106" s="16" t="n">
        <v>303</v>
      </c>
      <c r="H106" s="16" t="n">
        <v>1919</v>
      </c>
      <c r="I106" s="16" t="n">
        <v>1003</v>
      </c>
      <c r="J106" s="16" t="n">
        <v>916</v>
      </c>
      <c r="K106" s="16" t="n">
        <v>101</v>
      </c>
      <c r="L106" s="19" t="n">
        <f aca="false">(K106/H106)*100</f>
        <v>5.26315789473684</v>
      </c>
      <c r="M106" s="16" t="n">
        <v>57</v>
      </c>
      <c r="N106" s="19" t="n">
        <f aca="false">(M106/H106)*100</f>
        <v>2.97029702970297</v>
      </c>
      <c r="O106" s="16" t="n">
        <v>88.95</v>
      </c>
      <c r="P106" s="16" t="n">
        <v>0</v>
      </c>
      <c r="Q106" s="20" t="s">
        <v>1052</v>
      </c>
      <c r="R106" s="34" t="n">
        <v>45317</v>
      </c>
      <c r="S106" s="16"/>
      <c r="T106" s="20" t="s">
        <v>2288</v>
      </c>
      <c r="U106" s="16"/>
      <c r="V106" s="16"/>
      <c r="W106" s="16"/>
      <c r="X106" s="16"/>
      <c r="Y106" s="16"/>
      <c r="Z106" s="16"/>
      <c r="AA106" s="89" t="s">
        <v>50</v>
      </c>
      <c r="AB106" s="89" t="n">
        <v>0</v>
      </c>
      <c r="AC106" s="36"/>
      <c r="AD106" s="20"/>
      <c r="AE106" s="20"/>
    </row>
    <row r="107" customFormat="false" ht="15.75" hidden="false" customHeight="false" outlineLevel="0" collapsed="false">
      <c r="A107" s="16" t="s">
        <v>42</v>
      </c>
      <c r="B107" s="16" t="s">
        <v>2038</v>
      </c>
      <c r="C107" s="71" t="s">
        <v>2279</v>
      </c>
      <c r="D107" s="16" t="s">
        <v>2289</v>
      </c>
      <c r="E107" s="16" t="s">
        <v>2290</v>
      </c>
      <c r="F107" s="16" t="n">
        <v>590</v>
      </c>
      <c r="G107" s="16" t="n">
        <v>88</v>
      </c>
      <c r="H107" s="16" t="n">
        <v>494</v>
      </c>
      <c r="I107" s="16" t="n">
        <v>264</v>
      </c>
      <c r="J107" s="16" t="n">
        <v>230</v>
      </c>
      <c r="K107" s="16" t="n">
        <v>0</v>
      </c>
      <c r="L107" s="19" t="n">
        <f aca="false">(K107/H107)*100</f>
        <v>0</v>
      </c>
      <c r="M107" s="16" t="n">
        <v>45</v>
      </c>
      <c r="N107" s="19" t="n">
        <f aca="false">(M107/H107)*100</f>
        <v>9.10931174089069</v>
      </c>
      <c r="O107" s="16" t="n">
        <v>67</v>
      </c>
      <c r="P107" s="16" t="n">
        <v>0</v>
      </c>
      <c r="Q107" s="20" t="s">
        <v>1052</v>
      </c>
      <c r="R107" s="34" t="n">
        <v>45317</v>
      </c>
      <c r="S107" s="16"/>
      <c r="T107" s="20" t="n">
        <v>12.9257</v>
      </c>
      <c r="U107" s="16"/>
      <c r="V107" s="16"/>
      <c r="W107" s="16"/>
      <c r="X107" s="16"/>
      <c r="Y107" s="16"/>
      <c r="Z107" s="16"/>
      <c r="AA107" s="89" t="s">
        <v>50</v>
      </c>
      <c r="AB107" s="89" t="n">
        <v>0</v>
      </c>
      <c r="AC107" s="36"/>
      <c r="AD107" s="20"/>
      <c r="AE107" s="20"/>
    </row>
    <row r="108" customFormat="false" ht="15.75" hidden="false" customHeight="false" outlineLevel="0" collapsed="false">
      <c r="A108" s="16" t="s">
        <v>42</v>
      </c>
      <c r="B108" s="16" t="s">
        <v>2038</v>
      </c>
      <c r="C108" s="71" t="s">
        <v>2279</v>
      </c>
      <c r="D108" s="16" t="s">
        <v>2291</v>
      </c>
      <c r="E108" s="16" t="s">
        <v>2292</v>
      </c>
      <c r="F108" s="16" t="n">
        <v>398</v>
      </c>
      <c r="G108" s="16" t="n">
        <v>96</v>
      </c>
      <c r="H108" s="16" t="n">
        <v>567</v>
      </c>
      <c r="I108" s="16" t="n">
        <v>285</v>
      </c>
      <c r="J108" s="16" t="n">
        <v>282</v>
      </c>
      <c r="K108" s="16" t="n">
        <v>0</v>
      </c>
      <c r="L108" s="19" t="n">
        <f aca="false">(K108/H108)*100</f>
        <v>0</v>
      </c>
      <c r="M108" s="16" t="n">
        <v>0</v>
      </c>
      <c r="N108" s="19" t="n">
        <f aca="false">(M108/H108)*100</f>
        <v>0</v>
      </c>
      <c r="O108" s="16" t="n">
        <v>13</v>
      </c>
      <c r="P108" s="16" t="n">
        <v>0</v>
      </c>
      <c r="Q108" s="20" t="s">
        <v>1052</v>
      </c>
      <c r="R108" s="34" t="n">
        <v>45317</v>
      </c>
      <c r="S108" s="16"/>
      <c r="T108" s="20"/>
      <c r="U108" s="16"/>
      <c r="V108" s="16"/>
      <c r="W108" s="16"/>
      <c r="X108" s="16"/>
      <c r="Y108" s="16"/>
      <c r="Z108" s="16"/>
      <c r="AA108" s="89" t="s">
        <v>50</v>
      </c>
      <c r="AB108" s="89" t="n">
        <v>0</v>
      </c>
      <c r="AC108" s="36"/>
      <c r="AD108" s="20"/>
      <c r="AE108" s="20"/>
    </row>
    <row r="109" customFormat="false" ht="31.5" hidden="false" customHeight="false" outlineLevel="0" collapsed="false">
      <c r="A109" s="16" t="s">
        <v>42</v>
      </c>
      <c r="B109" s="16" t="s">
        <v>2038</v>
      </c>
      <c r="C109" s="71" t="s">
        <v>2293</v>
      </c>
      <c r="D109" s="72" t="s">
        <v>2293</v>
      </c>
      <c r="E109" s="16" t="s">
        <v>2294</v>
      </c>
      <c r="F109" s="16" t="n">
        <v>1148</v>
      </c>
      <c r="G109" s="16" t="n">
        <v>335</v>
      </c>
      <c r="H109" s="16" t="n">
        <v>2029</v>
      </c>
      <c r="I109" s="16" t="n">
        <v>1055</v>
      </c>
      <c r="J109" s="16" t="n">
        <v>974</v>
      </c>
      <c r="K109" s="16" t="n">
        <v>429</v>
      </c>
      <c r="L109" s="19" t="n">
        <f aca="false">(K109/H109)*100</f>
        <v>21.14342040414</v>
      </c>
      <c r="M109" s="16" t="n">
        <v>241</v>
      </c>
      <c r="N109" s="19" t="n">
        <f aca="false">(M109/H109)*100</f>
        <v>11.8777723016264</v>
      </c>
      <c r="O109" s="16" t="n">
        <v>104</v>
      </c>
      <c r="P109" s="16" t="n">
        <v>0</v>
      </c>
      <c r="Q109" s="20" t="s">
        <v>49</v>
      </c>
      <c r="R109" s="34" t="n">
        <v>45317</v>
      </c>
      <c r="S109" s="16"/>
      <c r="T109" s="89" t="n">
        <v>48.3436</v>
      </c>
      <c r="U109" s="16"/>
      <c r="V109" s="16"/>
      <c r="W109" s="16"/>
      <c r="X109" s="16"/>
      <c r="Y109" s="16"/>
      <c r="Z109" s="16"/>
      <c r="AA109" s="89" t="s">
        <v>50</v>
      </c>
      <c r="AB109" s="289" t="n">
        <v>10</v>
      </c>
      <c r="AC109" s="90" t="s">
        <v>2295</v>
      </c>
      <c r="AD109" s="89" t="n">
        <v>25.91723</v>
      </c>
      <c r="AE109" s="89" t="n">
        <v>72.73461</v>
      </c>
    </row>
    <row r="110" customFormat="false" ht="15.75" hidden="false" customHeight="false" outlineLevel="0" collapsed="false">
      <c r="A110" s="16" t="s">
        <v>42</v>
      </c>
      <c r="B110" s="16" t="s">
        <v>2038</v>
      </c>
      <c r="C110" s="71" t="s">
        <v>2293</v>
      </c>
      <c r="D110" s="16" t="s">
        <v>2296</v>
      </c>
      <c r="E110" s="16" t="s">
        <v>2297</v>
      </c>
      <c r="F110" s="16" t="n">
        <v>297</v>
      </c>
      <c r="G110" s="16" t="n">
        <v>49</v>
      </c>
      <c r="H110" s="16" t="n">
        <v>261</v>
      </c>
      <c r="I110" s="16" t="n">
        <v>133</v>
      </c>
      <c r="J110" s="16" t="n">
        <v>128</v>
      </c>
      <c r="K110" s="16" t="n">
        <v>85</v>
      </c>
      <c r="L110" s="19" t="n">
        <f aca="false">(K110/H110)*100</f>
        <v>32.5670498084291</v>
      </c>
      <c r="M110" s="16" t="n">
        <v>0</v>
      </c>
      <c r="N110" s="19" t="n">
        <f aca="false">(M110/H110)*100</f>
        <v>0</v>
      </c>
      <c r="O110" s="16" t="n">
        <v>18</v>
      </c>
      <c r="P110" s="16" t="n">
        <v>0</v>
      </c>
      <c r="Q110" s="20" t="s">
        <v>49</v>
      </c>
      <c r="R110" s="34" t="n">
        <v>45317</v>
      </c>
      <c r="S110" s="16"/>
      <c r="T110" s="89" t="n">
        <v>4.573</v>
      </c>
      <c r="U110" s="16"/>
      <c r="V110" s="16"/>
      <c r="W110" s="16"/>
      <c r="X110" s="16"/>
      <c r="Y110" s="16"/>
      <c r="Z110" s="16"/>
      <c r="AA110" s="89" t="s">
        <v>50</v>
      </c>
      <c r="AB110" s="289" t="n">
        <v>0</v>
      </c>
      <c r="AC110" s="36"/>
      <c r="AD110" s="89" t="n">
        <v>0</v>
      </c>
      <c r="AE110" s="89" t="n">
        <v>0</v>
      </c>
    </row>
    <row r="111" customFormat="false" ht="15.75" hidden="false" customHeight="false" outlineLevel="0" collapsed="false">
      <c r="A111" s="16" t="s">
        <v>42</v>
      </c>
      <c r="B111" s="16" t="s">
        <v>2038</v>
      </c>
      <c r="C111" s="71" t="s">
        <v>2293</v>
      </c>
      <c r="D111" s="16" t="s">
        <v>2298</v>
      </c>
      <c r="E111" s="16" t="s">
        <v>2299</v>
      </c>
      <c r="F111" s="16" t="n">
        <v>449</v>
      </c>
      <c r="G111" s="16" t="n">
        <v>55</v>
      </c>
      <c r="H111" s="16" t="n">
        <v>325</v>
      </c>
      <c r="I111" s="16" t="n">
        <v>176</v>
      </c>
      <c r="J111" s="16" t="n">
        <v>149</v>
      </c>
      <c r="K111" s="16" t="n">
        <v>0</v>
      </c>
      <c r="L111" s="19" t="n">
        <f aca="false">(K111/H111)*100</f>
        <v>0</v>
      </c>
      <c r="M111" s="16" t="n">
        <v>0</v>
      </c>
      <c r="N111" s="19" t="n">
        <f aca="false">(M111/H111)*100</f>
        <v>0</v>
      </c>
      <c r="O111" s="16" t="n">
        <v>32</v>
      </c>
      <c r="P111" s="16" t="n">
        <v>0</v>
      </c>
      <c r="Q111" s="20" t="s">
        <v>49</v>
      </c>
      <c r="R111" s="34" t="n">
        <v>45317</v>
      </c>
      <c r="S111" s="16"/>
      <c r="T111" s="89"/>
      <c r="U111" s="16"/>
      <c r="V111" s="16"/>
      <c r="W111" s="16"/>
      <c r="X111" s="16"/>
      <c r="Y111" s="16"/>
      <c r="Z111" s="16"/>
      <c r="AA111" s="89" t="s">
        <v>50</v>
      </c>
      <c r="AB111" s="289" t="n">
        <v>0</v>
      </c>
      <c r="AC111" s="36"/>
      <c r="AD111" s="89" t="n">
        <v>0</v>
      </c>
      <c r="AE111" s="89" t="n">
        <v>0</v>
      </c>
    </row>
    <row r="112" customFormat="false" ht="15.75" hidden="false" customHeight="false" outlineLevel="0" collapsed="false">
      <c r="F112" s="58" t="n">
        <f aca="false">SUM(F4:F111)</f>
        <v>83447.1</v>
      </c>
      <c r="G112" s="58" t="n">
        <f aca="false">SUM(G4:G111)</f>
        <v>18656</v>
      </c>
      <c r="H112" s="58" t="n">
        <f aca="false">SUM(H4:H111)</f>
        <v>112636</v>
      </c>
      <c r="I112" s="58" t="n">
        <f aca="false">SUM(I4:I111)</f>
        <v>58043</v>
      </c>
      <c r="J112" s="58" t="n">
        <f aca="false">SUM(J4:J111)</f>
        <v>54593</v>
      </c>
      <c r="K112" s="58" t="n">
        <f aca="false">SUM(K4:K111)</f>
        <v>16196</v>
      </c>
      <c r="M112" s="58" t="n">
        <f aca="false">SUM(M4:M111)</f>
        <v>6892</v>
      </c>
      <c r="O112" s="58" t="n">
        <f aca="false">SUM(O4:O111)</f>
        <v>3976.06</v>
      </c>
      <c r="P112" s="58" t="n">
        <f aca="false">SUM(P4:P111)</f>
        <v>79.84</v>
      </c>
    </row>
  </sheetData>
  <mergeCells count="3">
    <mergeCell ref="K2:L2"/>
    <mergeCell ref="M2:N2"/>
    <mergeCell ref="AD2:AE2"/>
  </mergeCells>
  <conditionalFormatting sqref="AC99:AC101">
    <cfRule type="duplicateValues" priority="2" aboveAverage="0" equalAverage="0" bottom="0" percent="0" rank="0" text="" dxfId="8"/>
  </conditionalFormatting>
  <conditionalFormatting sqref="AC2:AC3">
    <cfRule type="duplicateValues" priority="3" aboveAverage="0" equalAverage="0" bottom="0" percent="0" rank="0" text="" dxfId="9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I9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K3" activeCellId="0" sqref="K3"/>
    </sheetView>
  </sheetViews>
  <sheetFormatPr defaultColWidth="9.14453125" defaultRowHeight="15.7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2.43"/>
    <col collapsed="false" customWidth="true" hidden="false" outlineLevel="0" max="3" min="3" style="1" width="21"/>
    <col collapsed="false" customWidth="true" hidden="false" outlineLevel="0" max="4" min="4" style="1" width="25.85"/>
    <col collapsed="false" customWidth="true" hidden="false" outlineLevel="0" max="5" min="5" style="1" width="18.71"/>
    <col collapsed="false" customWidth="true" hidden="false" outlineLevel="0" max="6" min="6" style="1" width="15.14"/>
    <col collapsed="false" customWidth="true" hidden="false" outlineLevel="0" max="7" min="7" style="1" width="14.28"/>
    <col collapsed="false" customWidth="true" hidden="false" outlineLevel="0" max="8" min="8" style="1" width="13"/>
    <col collapsed="false" customWidth="true" hidden="false" outlineLevel="0" max="9" min="9" style="1" width="10.71"/>
    <col collapsed="false" customWidth="true" hidden="false" outlineLevel="0" max="10" min="10" style="1" width="9.85"/>
    <col collapsed="false" customWidth="true" hidden="false" outlineLevel="0" max="11" min="11" style="1" width="9"/>
    <col collapsed="false" customWidth="true" hidden="false" outlineLevel="0" max="13" min="12" style="1" width="7.85"/>
    <col collapsed="false" customWidth="true" hidden="false" outlineLevel="0" max="14" min="14" style="1" width="7.28"/>
    <col collapsed="false" customWidth="true" hidden="false" outlineLevel="0" max="15" min="15" style="1" width="12.71"/>
    <col collapsed="false" customWidth="true" hidden="false" outlineLevel="0" max="16" min="16" style="1" width="12.28"/>
    <col collapsed="false" customWidth="true" hidden="false" outlineLevel="0" max="17" min="17" style="1" width="16.85"/>
    <col collapsed="false" customWidth="true" hidden="false" outlineLevel="0" max="28" min="18" style="313" width="15.28"/>
    <col collapsed="false" customWidth="true" hidden="false" outlineLevel="0" max="29" min="29" style="1" width="25.15"/>
    <col collapsed="false" customWidth="true" hidden="false" outlineLevel="0" max="30" min="30" style="1" width="13.43"/>
    <col collapsed="false" customWidth="true" hidden="false" outlineLevel="0" max="31" min="31" style="1" width="12.28"/>
    <col collapsed="false" customWidth="false" hidden="false" outlineLevel="0" max="32" min="32" style="20" width="9.14"/>
    <col collapsed="false" customWidth="false" hidden="false" outlineLevel="0" max="35" min="33" style="314" width="9.14"/>
    <col collapsed="false" customWidth="false" hidden="false" outlineLevel="0" max="1024" min="36" style="1" width="9.14"/>
  </cols>
  <sheetData>
    <row r="1" s="315" customFormat="tru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  <c r="AF1" s="318"/>
      <c r="AG1" s="319"/>
      <c r="AH1" s="319"/>
      <c r="AI1" s="319"/>
    </row>
    <row r="2" s="71" customFormat="true" ht="110.2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71" t="s">
        <v>1715</v>
      </c>
      <c r="AH2" s="320"/>
      <c r="AI2" s="320"/>
    </row>
    <row r="3" s="71" customFormat="true" ht="32.2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321" t="s">
        <v>1259</v>
      </c>
      <c r="L3" s="321" t="s">
        <v>34</v>
      </c>
      <c r="M3" s="321" t="s">
        <v>1259</v>
      </c>
      <c r="N3" s="321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H3" s="320"/>
      <c r="AI3" s="320"/>
    </row>
    <row r="4" customFormat="false" ht="15.75" hidden="false" customHeight="false" outlineLevel="0" collapsed="false">
      <c r="A4" s="101" t="s">
        <v>42</v>
      </c>
      <c r="B4" s="101" t="s">
        <v>2300</v>
      </c>
      <c r="C4" s="103" t="s">
        <v>2301</v>
      </c>
      <c r="D4" s="72" t="s">
        <v>2301</v>
      </c>
      <c r="E4" s="16" t="s">
        <v>2302</v>
      </c>
      <c r="F4" s="16" t="n">
        <v>1648.08</v>
      </c>
      <c r="G4" s="16" t="n">
        <v>172</v>
      </c>
      <c r="H4" s="16" t="n">
        <v>1122</v>
      </c>
      <c r="I4" s="16" t="n">
        <v>584</v>
      </c>
      <c r="J4" s="16" t="n">
        <v>538</v>
      </c>
      <c r="K4" s="16" t="n">
        <v>109</v>
      </c>
      <c r="L4" s="19" t="n">
        <f aca="false">(K4/H4)*100</f>
        <v>9.71479500891266</v>
      </c>
      <c r="M4" s="16" t="n">
        <v>21</v>
      </c>
      <c r="N4" s="19" t="n">
        <f aca="false">(M4/H4)*100</f>
        <v>1.8716577540107</v>
      </c>
      <c r="O4" s="16" t="n">
        <v>148</v>
      </c>
      <c r="P4" s="16" t="n">
        <v>0</v>
      </c>
      <c r="Q4" s="322" t="s">
        <v>49</v>
      </c>
      <c r="R4" s="323" t="n">
        <v>45884</v>
      </c>
      <c r="S4" s="323"/>
      <c r="T4" s="324" t="n">
        <v>25.23</v>
      </c>
      <c r="U4" s="323"/>
      <c r="V4" s="323"/>
      <c r="W4" s="323"/>
      <c r="X4" s="323"/>
      <c r="Y4" s="323"/>
      <c r="Z4" s="323"/>
      <c r="AA4" s="324" t="s">
        <v>50</v>
      </c>
      <c r="AB4" s="325" t="n">
        <v>0</v>
      </c>
      <c r="AC4" s="326"/>
      <c r="AD4" s="322"/>
      <c r="AE4" s="322"/>
      <c r="AF4" s="327" t="s">
        <v>52</v>
      </c>
    </row>
    <row r="5" customFormat="false" ht="15.75" hidden="false" customHeight="false" outlineLevel="0" collapsed="false">
      <c r="A5" s="16" t="s">
        <v>42</v>
      </c>
      <c r="B5" s="16" t="s">
        <v>2300</v>
      </c>
      <c r="C5" s="71" t="s">
        <v>2301</v>
      </c>
      <c r="D5" s="16" t="s">
        <v>987</v>
      </c>
      <c r="E5" s="16" t="s">
        <v>2303</v>
      </c>
      <c r="F5" s="16" t="n">
        <v>879.92</v>
      </c>
      <c r="G5" s="16" t="n">
        <v>56</v>
      </c>
      <c r="H5" s="16" t="n">
        <v>367</v>
      </c>
      <c r="I5" s="16" t="n">
        <v>182</v>
      </c>
      <c r="J5" s="16" t="n">
        <v>185</v>
      </c>
      <c r="K5" s="16" t="n">
        <v>104</v>
      </c>
      <c r="L5" s="19" t="n">
        <f aca="false">(K5/H5)*100</f>
        <v>28.3378746594005</v>
      </c>
      <c r="M5" s="16" t="n">
        <v>0</v>
      </c>
      <c r="N5" s="19" t="n">
        <f aca="false">(M5/H5)*100</f>
        <v>0</v>
      </c>
      <c r="O5" s="16" t="n">
        <v>50</v>
      </c>
      <c r="P5" s="16" t="n">
        <v>0</v>
      </c>
      <c r="Q5" s="129" t="s">
        <v>49</v>
      </c>
      <c r="R5" s="25" t="n">
        <v>45884</v>
      </c>
      <c r="S5" s="25"/>
      <c r="T5" s="92" t="n">
        <v>9.33</v>
      </c>
      <c r="U5" s="25"/>
      <c r="V5" s="25"/>
      <c r="W5" s="25"/>
      <c r="X5" s="25"/>
      <c r="Y5" s="25"/>
      <c r="Z5" s="25"/>
      <c r="AA5" s="92" t="s">
        <v>50</v>
      </c>
      <c r="AB5" s="328" t="n">
        <v>0</v>
      </c>
      <c r="AC5" s="57"/>
      <c r="AD5" s="129"/>
      <c r="AE5" s="129"/>
      <c r="AF5" s="20" t="s">
        <v>52</v>
      </c>
    </row>
    <row r="6" customFormat="false" ht="15.75" hidden="false" customHeight="false" outlineLevel="0" collapsed="false">
      <c r="A6" s="16" t="s">
        <v>42</v>
      </c>
      <c r="B6" s="16" t="s">
        <v>2300</v>
      </c>
      <c r="C6" s="71" t="s">
        <v>2301</v>
      </c>
      <c r="D6" s="16" t="s">
        <v>2304</v>
      </c>
      <c r="E6" s="16" t="s">
        <v>2305</v>
      </c>
      <c r="F6" s="16" t="n">
        <v>1565</v>
      </c>
      <c r="G6" s="16" t="n">
        <v>107</v>
      </c>
      <c r="H6" s="16" t="n">
        <v>610</v>
      </c>
      <c r="I6" s="16" t="n">
        <v>335</v>
      </c>
      <c r="J6" s="16" t="n">
        <v>275</v>
      </c>
      <c r="K6" s="16" t="n">
        <v>93</v>
      </c>
      <c r="L6" s="19" t="n">
        <f aca="false">(K6/H6)*100</f>
        <v>15.2459016393443</v>
      </c>
      <c r="M6" s="16" t="n">
        <v>0</v>
      </c>
      <c r="N6" s="19" t="n">
        <f aca="false">(M6/H6)*100</f>
        <v>0</v>
      </c>
      <c r="O6" s="16" t="n">
        <v>0</v>
      </c>
      <c r="P6" s="16" t="n">
        <v>0</v>
      </c>
      <c r="Q6" s="129" t="s">
        <v>49</v>
      </c>
      <c r="R6" s="25" t="n">
        <v>45884</v>
      </c>
      <c r="S6" s="25"/>
      <c r="T6" s="92" t="n">
        <v>0</v>
      </c>
      <c r="U6" s="25"/>
      <c r="V6" s="25"/>
      <c r="W6" s="25"/>
      <c r="X6" s="25"/>
      <c r="Y6" s="25"/>
      <c r="Z6" s="25"/>
      <c r="AA6" s="92" t="s">
        <v>50</v>
      </c>
      <c r="AB6" s="328" t="n">
        <v>0</v>
      </c>
      <c r="AC6" s="57"/>
      <c r="AD6" s="129"/>
      <c r="AE6" s="129"/>
      <c r="AF6" s="20" t="s">
        <v>52</v>
      </c>
    </row>
    <row r="7" customFormat="false" ht="15.75" hidden="false" customHeight="false" outlineLevel="0" collapsed="false">
      <c r="A7" s="16" t="s">
        <v>42</v>
      </c>
      <c r="B7" s="16" t="s">
        <v>2300</v>
      </c>
      <c r="C7" s="71" t="s">
        <v>2301</v>
      </c>
      <c r="D7" s="16" t="s">
        <v>2306</v>
      </c>
      <c r="E7" s="16" t="s">
        <v>2307</v>
      </c>
      <c r="F7" s="16" t="n">
        <v>585</v>
      </c>
      <c r="G7" s="16" t="n">
        <v>70</v>
      </c>
      <c r="H7" s="16" t="n">
        <v>553</v>
      </c>
      <c r="I7" s="16" t="n">
        <v>302</v>
      </c>
      <c r="J7" s="16" t="n">
        <v>251</v>
      </c>
      <c r="K7" s="16" t="n">
        <v>181</v>
      </c>
      <c r="L7" s="19" t="n">
        <f aca="false">(K7/H7)*100</f>
        <v>32.7305605786618</v>
      </c>
      <c r="M7" s="16" t="n">
        <v>140</v>
      </c>
      <c r="N7" s="19" t="n">
        <f aca="false">(M7/H7)*100</f>
        <v>25.3164556962025</v>
      </c>
      <c r="O7" s="16" t="n">
        <v>3.97</v>
      </c>
      <c r="P7" s="16" t="n">
        <v>0</v>
      </c>
      <c r="Q7" s="129" t="s">
        <v>49</v>
      </c>
      <c r="R7" s="25" t="n">
        <v>45884</v>
      </c>
      <c r="S7" s="25"/>
      <c r="T7" s="92" t="n">
        <v>24.24</v>
      </c>
      <c r="U7" s="25"/>
      <c r="V7" s="25"/>
      <c r="W7" s="25"/>
      <c r="X7" s="25"/>
      <c r="Y7" s="25"/>
      <c r="Z7" s="25"/>
      <c r="AA7" s="92" t="s">
        <v>50</v>
      </c>
      <c r="AB7" s="328" t="n">
        <v>0</v>
      </c>
      <c r="AC7" s="57"/>
      <c r="AD7" s="129"/>
      <c r="AE7" s="129"/>
      <c r="AF7" s="20" t="s">
        <v>52</v>
      </c>
    </row>
    <row r="8" customFormat="false" ht="15.75" hidden="false" customHeight="false" outlineLevel="0" collapsed="false">
      <c r="A8" s="16" t="s">
        <v>42</v>
      </c>
      <c r="B8" s="16" t="s">
        <v>2300</v>
      </c>
      <c r="C8" s="71" t="s">
        <v>2308</v>
      </c>
      <c r="D8" s="72" t="s">
        <v>2308</v>
      </c>
      <c r="E8" s="16" t="s">
        <v>2309</v>
      </c>
      <c r="F8" s="16" t="n">
        <v>927.82</v>
      </c>
      <c r="G8" s="16" t="n">
        <v>102</v>
      </c>
      <c r="H8" s="16" t="n">
        <v>508</v>
      </c>
      <c r="I8" s="16" t="n">
        <v>251</v>
      </c>
      <c r="J8" s="16" t="n">
        <v>257</v>
      </c>
      <c r="K8" s="16" t="n">
        <v>15</v>
      </c>
      <c r="L8" s="19" t="n">
        <f aca="false">(K8/H8)*100</f>
        <v>2.95275590551181</v>
      </c>
      <c r="M8" s="16" t="n">
        <v>0</v>
      </c>
      <c r="N8" s="19" t="n">
        <f aca="false">(M8/H8)*100</f>
        <v>0</v>
      </c>
      <c r="O8" s="16" t="n">
        <v>12.79</v>
      </c>
      <c r="P8" s="16" t="n">
        <v>0</v>
      </c>
      <c r="Q8" s="20"/>
      <c r="R8" s="21"/>
      <c r="S8" s="21"/>
      <c r="T8" s="89"/>
      <c r="U8" s="21"/>
      <c r="V8" s="21"/>
      <c r="W8" s="21"/>
      <c r="X8" s="21"/>
      <c r="Y8" s="21"/>
      <c r="Z8" s="21"/>
      <c r="AA8" s="89"/>
      <c r="AB8" s="329"/>
      <c r="AC8" s="20"/>
      <c r="AD8" s="20"/>
      <c r="AE8" s="20"/>
    </row>
    <row r="9" customFormat="false" ht="15.75" hidden="false" customHeight="false" outlineLevel="0" collapsed="false">
      <c r="A9" s="16" t="s">
        <v>42</v>
      </c>
      <c r="B9" s="16" t="s">
        <v>2300</v>
      </c>
      <c r="C9" s="71" t="s">
        <v>2308</v>
      </c>
      <c r="D9" s="16" t="s">
        <v>2310</v>
      </c>
      <c r="E9" s="16" t="s">
        <v>2311</v>
      </c>
      <c r="F9" s="16" t="n">
        <v>935.72</v>
      </c>
      <c r="G9" s="16" t="n">
        <v>127</v>
      </c>
      <c r="H9" s="16" t="n">
        <v>757</v>
      </c>
      <c r="I9" s="16" t="n">
        <v>386</v>
      </c>
      <c r="J9" s="16" t="n">
        <v>371</v>
      </c>
      <c r="K9" s="16" t="n">
        <v>37</v>
      </c>
      <c r="L9" s="19" t="n">
        <f aca="false">(K9/H9)*100</f>
        <v>4.88771466314399</v>
      </c>
      <c r="M9" s="16" t="n">
        <v>0</v>
      </c>
      <c r="N9" s="19" t="n">
        <f aca="false">(M9/H9)*100</f>
        <v>0</v>
      </c>
      <c r="O9" s="16" t="n">
        <v>150.79</v>
      </c>
      <c r="P9" s="16" t="n">
        <v>0</v>
      </c>
      <c r="Q9" s="20"/>
      <c r="R9" s="21"/>
      <c r="S9" s="21"/>
      <c r="T9" s="89"/>
      <c r="U9" s="21"/>
      <c r="V9" s="21"/>
      <c r="W9" s="21"/>
      <c r="X9" s="21"/>
      <c r="Y9" s="21"/>
      <c r="Z9" s="21"/>
      <c r="AA9" s="89"/>
      <c r="AB9" s="329"/>
      <c r="AC9" s="20"/>
      <c r="AD9" s="20"/>
      <c r="AE9" s="20"/>
    </row>
    <row r="10" customFormat="false" ht="15.75" hidden="false" customHeight="false" outlineLevel="0" collapsed="false">
      <c r="A10" s="16" t="s">
        <v>42</v>
      </c>
      <c r="B10" s="16" t="s">
        <v>2300</v>
      </c>
      <c r="C10" s="71" t="s">
        <v>2308</v>
      </c>
      <c r="D10" s="16" t="s">
        <v>2000</v>
      </c>
      <c r="E10" s="16" t="s">
        <v>2312</v>
      </c>
      <c r="F10" s="16" t="n">
        <v>1213.78</v>
      </c>
      <c r="G10" s="16" t="n">
        <v>131</v>
      </c>
      <c r="H10" s="16" t="n">
        <v>711</v>
      </c>
      <c r="I10" s="16" t="n">
        <v>369</v>
      </c>
      <c r="J10" s="16" t="n">
        <v>342</v>
      </c>
      <c r="K10" s="16" t="n">
        <v>301</v>
      </c>
      <c r="L10" s="19" t="n">
        <f aca="false">(K10/H10)*100</f>
        <v>42.3347398030942</v>
      </c>
      <c r="M10" s="16" t="n">
        <v>54</v>
      </c>
      <c r="N10" s="19" t="n">
        <f aca="false">(M10/H10)*100</f>
        <v>7.59493670886076</v>
      </c>
      <c r="O10" s="16" t="n">
        <v>16.78</v>
      </c>
      <c r="P10" s="16" t="n">
        <v>0</v>
      </c>
      <c r="Q10" s="20"/>
      <c r="R10" s="21"/>
      <c r="S10" s="21"/>
      <c r="T10" s="89"/>
      <c r="U10" s="21"/>
      <c r="V10" s="21"/>
      <c r="W10" s="21"/>
      <c r="X10" s="21"/>
      <c r="Y10" s="21"/>
      <c r="Z10" s="21"/>
      <c r="AA10" s="89"/>
      <c r="AB10" s="329"/>
      <c r="AC10" s="20"/>
      <c r="AD10" s="20"/>
      <c r="AE10" s="20"/>
    </row>
    <row r="11" customFormat="false" ht="15.75" hidden="false" customHeight="false" outlineLevel="0" collapsed="false">
      <c r="A11" s="16" t="s">
        <v>42</v>
      </c>
      <c r="B11" s="16" t="s">
        <v>2300</v>
      </c>
      <c r="C11" s="71" t="s">
        <v>2308</v>
      </c>
      <c r="D11" s="16" t="s">
        <v>2313</v>
      </c>
      <c r="E11" s="16" t="s">
        <v>2314</v>
      </c>
      <c r="F11" s="16" t="n">
        <v>1130.12</v>
      </c>
      <c r="G11" s="16" t="n">
        <v>129</v>
      </c>
      <c r="H11" s="16" t="n">
        <v>758</v>
      </c>
      <c r="I11" s="16" t="n">
        <v>387</v>
      </c>
      <c r="J11" s="16" t="n">
        <v>371</v>
      </c>
      <c r="K11" s="16" t="n">
        <v>0</v>
      </c>
      <c r="L11" s="19" t="n">
        <f aca="false">(K11/H11)*100</f>
        <v>0</v>
      </c>
      <c r="M11" s="16" t="n">
        <v>0</v>
      </c>
      <c r="N11" s="19" t="n">
        <f aca="false">(M11/H11)*100</f>
        <v>0</v>
      </c>
      <c r="O11" s="16" t="n">
        <v>21.11</v>
      </c>
      <c r="P11" s="16" t="n">
        <v>0</v>
      </c>
      <c r="Q11" s="20"/>
      <c r="R11" s="21"/>
      <c r="S11" s="21"/>
      <c r="T11" s="89"/>
      <c r="U11" s="21"/>
      <c r="V11" s="21"/>
      <c r="W11" s="21"/>
      <c r="X11" s="21"/>
      <c r="Y11" s="21"/>
      <c r="Z11" s="21"/>
      <c r="AA11" s="89"/>
      <c r="AB11" s="329"/>
      <c r="AC11" s="20"/>
      <c r="AD11" s="20"/>
      <c r="AE11" s="20"/>
    </row>
    <row r="12" customFormat="false" ht="15.75" hidden="false" customHeight="false" outlineLevel="0" collapsed="false">
      <c r="A12" s="16" t="s">
        <v>42</v>
      </c>
      <c r="B12" s="16" t="s">
        <v>2300</v>
      </c>
      <c r="C12" s="71" t="s">
        <v>2315</v>
      </c>
      <c r="D12" s="72" t="s">
        <v>2315</v>
      </c>
      <c r="E12" s="16" t="s">
        <v>2316</v>
      </c>
      <c r="F12" s="16" t="n">
        <v>931.72</v>
      </c>
      <c r="G12" s="16" t="n">
        <v>91</v>
      </c>
      <c r="H12" s="16" t="n">
        <v>508</v>
      </c>
      <c r="I12" s="16" t="n">
        <v>273</v>
      </c>
      <c r="J12" s="16" t="n">
        <v>235</v>
      </c>
      <c r="K12" s="16" t="n">
        <v>333</v>
      </c>
      <c r="L12" s="19" t="n">
        <f aca="false">(K12/H12)*100</f>
        <v>65.5511811023622</v>
      </c>
      <c r="M12" s="16" t="n">
        <v>0</v>
      </c>
      <c r="N12" s="19" t="n">
        <f aca="false">(M12/H12)*100</f>
        <v>0</v>
      </c>
      <c r="O12" s="16" t="n">
        <v>0</v>
      </c>
      <c r="P12" s="16" t="n">
        <v>0</v>
      </c>
      <c r="Q12" s="129" t="s">
        <v>49</v>
      </c>
      <c r="R12" s="25" t="n">
        <v>45932</v>
      </c>
      <c r="S12" s="25"/>
      <c r="T12" s="92" t="n">
        <v>0</v>
      </c>
      <c r="U12" s="25"/>
      <c r="V12" s="25"/>
      <c r="W12" s="25"/>
      <c r="X12" s="25"/>
      <c r="Y12" s="25"/>
      <c r="Z12" s="25"/>
      <c r="AA12" s="92" t="s">
        <v>50</v>
      </c>
      <c r="AB12" s="328" t="n">
        <v>0</v>
      </c>
      <c r="AC12" s="57"/>
      <c r="AD12" s="129"/>
      <c r="AE12" s="129"/>
      <c r="AF12" s="20" t="s">
        <v>52</v>
      </c>
    </row>
    <row r="13" customFormat="false" ht="17.25" hidden="false" customHeight="false" outlineLevel="0" collapsed="false">
      <c r="A13" s="16" t="s">
        <v>42</v>
      </c>
      <c r="B13" s="16" t="s">
        <v>2300</v>
      </c>
      <c r="C13" s="71" t="s">
        <v>2315</v>
      </c>
      <c r="D13" s="16" t="s">
        <v>2317</v>
      </c>
      <c r="E13" s="16" t="s">
        <v>2318</v>
      </c>
      <c r="F13" s="16" t="n">
        <v>948.77</v>
      </c>
      <c r="G13" s="16" t="n">
        <v>139</v>
      </c>
      <c r="H13" s="16" t="n">
        <v>816</v>
      </c>
      <c r="I13" s="16" t="n">
        <v>424</v>
      </c>
      <c r="J13" s="16" t="n">
        <v>392</v>
      </c>
      <c r="K13" s="16" t="n">
        <v>437</v>
      </c>
      <c r="L13" s="19" t="n">
        <f aca="false">(K13/H13)*100</f>
        <v>53.5539215686275</v>
      </c>
      <c r="M13" s="16" t="n">
        <v>184</v>
      </c>
      <c r="N13" s="19" t="n">
        <f aca="false">(M13/H13)*100</f>
        <v>22.5490196078431</v>
      </c>
      <c r="O13" s="16" t="n">
        <v>0</v>
      </c>
      <c r="P13" s="16" t="n">
        <v>0</v>
      </c>
      <c r="Q13" s="129" t="s">
        <v>49</v>
      </c>
      <c r="R13" s="25" t="n">
        <v>45932</v>
      </c>
      <c r="S13" s="25"/>
      <c r="T13" s="92" t="n">
        <v>0.8</v>
      </c>
      <c r="U13" s="25"/>
      <c r="V13" s="25"/>
      <c r="W13" s="25"/>
      <c r="X13" s="25"/>
      <c r="Y13" s="25"/>
      <c r="Z13" s="25"/>
      <c r="AA13" s="92" t="s">
        <v>50</v>
      </c>
      <c r="AB13" s="328" t="n">
        <v>0</v>
      </c>
      <c r="AC13" s="130"/>
      <c r="AD13" s="129"/>
      <c r="AE13" s="129"/>
      <c r="AF13" s="20" t="s">
        <v>52</v>
      </c>
    </row>
    <row r="14" customFormat="false" ht="15.75" hidden="false" customHeight="false" outlineLevel="0" collapsed="false">
      <c r="A14" s="16" t="s">
        <v>42</v>
      </c>
      <c r="B14" s="16" t="s">
        <v>2300</v>
      </c>
      <c r="C14" s="71" t="s">
        <v>2315</v>
      </c>
      <c r="D14" s="16" t="s">
        <v>2319</v>
      </c>
      <c r="E14" s="16" t="s">
        <v>2320</v>
      </c>
      <c r="F14" s="16" t="n">
        <v>1923.73</v>
      </c>
      <c r="G14" s="16" t="n">
        <v>69</v>
      </c>
      <c r="H14" s="16" t="n">
        <v>427</v>
      </c>
      <c r="I14" s="16" t="n">
        <v>221</v>
      </c>
      <c r="J14" s="16" t="n">
        <v>206</v>
      </c>
      <c r="K14" s="16" t="n">
        <v>0</v>
      </c>
      <c r="L14" s="19" t="n">
        <f aca="false">(K14/H14)*100</f>
        <v>0</v>
      </c>
      <c r="M14" s="16" t="n">
        <v>0</v>
      </c>
      <c r="N14" s="19" t="n">
        <f aca="false">(M14/H14)*100</f>
        <v>0</v>
      </c>
      <c r="O14" s="16" t="n">
        <v>0</v>
      </c>
      <c r="P14" s="16" t="n">
        <v>0</v>
      </c>
      <c r="Q14" s="129" t="s">
        <v>49</v>
      </c>
      <c r="R14" s="25" t="n">
        <v>45932</v>
      </c>
      <c r="S14" s="25"/>
      <c r="T14" s="92" t="n">
        <v>0</v>
      </c>
      <c r="U14" s="25"/>
      <c r="V14" s="25"/>
      <c r="W14" s="25"/>
      <c r="X14" s="25"/>
      <c r="Y14" s="25"/>
      <c r="Z14" s="25"/>
      <c r="AA14" s="92" t="s">
        <v>50</v>
      </c>
      <c r="AB14" s="328" t="n">
        <v>0</v>
      </c>
      <c r="AC14" s="57"/>
      <c r="AD14" s="129"/>
      <c r="AE14" s="129"/>
      <c r="AF14" s="20" t="s">
        <v>52</v>
      </c>
    </row>
    <row r="15" customFormat="false" ht="15.75" hidden="false" customHeight="false" outlineLevel="0" collapsed="false">
      <c r="A15" s="16" t="s">
        <v>42</v>
      </c>
      <c r="B15" s="16" t="s">
        <v>2300</v>
      </c>
      <c r="C15" s="71" t="s">
        <v>2315</v>
      </c>
      <c r="D15" s="16" t="s">
        <v>2321</v>
      </c>
      <c r="E15" s="16" t="s">
        <v>2322</v>
      </c>
      <c r="F15" s="16" t="n">
        <v>1431.16</v>
      </c>
      <c r="G15" s="16" t="n">
        <v>5</v>
      </c>
      <c r="H15" s="16" t="n">
        <v>33</v>
      </c>
      <c r="I15" s="16" t="n">
        <v>18</v>
      </c>
      <c r="J15" s="16" t="n">
        <v>15</v>
      </c>
      <c r="K15" s="16" t="n">
        <v>0</v>
      </c>
      <c r="L15" s="19" t="n">
        <f aca="false">(K15/H15)*100</f>
        <v>0</v>
      </c>
      <c r="M15" s="16" t="n">
        <v>0</v>
      </c>
      <c r="N15" s="19" t="n">
        <f aca="false">(M15/H15)*100</f>
        <v>0</v>
      </c>
      <c r="O15" s="16" t="n">
        <v>0</v>
      </c>
      <c r="P15" s="16" t="n">
        <v>0</v>
      </c>
      <c r="Q15" s="129" t="s">
        <v>49</v>
      </c>
      <c r="R15" s="25" t="n">
        <v>45932</v>
      </c>
      <c r="S15" s="25"/>
      <c r="T15" s="92" t="n">
        <v>0</v>
      </c>
      <c r="U15" s="25"/>
      <c r="V15" s="25"/>
      <c r="W15" s="25"/>
      <c r="X15" s="25"/>
      <c r="Y15" s="25"/>
      <c r="Z15" s="25"/>
      <c r="AA15" s="92" t="s">
        <v>50</v>
      </c>
      <c r="AB15" s="328" t="n">
        <v>0</v>
      </c>
      <c r="AC15" s="57"/>
      <c r="AD15" s="129"/>
      <c r="AE15" s="129"/>
      <c r="AF15" s="20" t="s">
        <v>52</v>
      </c>
    </row>
    <row r="16" customFormat="false" ht="15.75" hidden="false" customHeight="false" outlineLevel="0" collapsed="false">
      <c r="A16" s="16" t="s">
        <v>42</v>
      </c>
      <c r="B16" s="16" t="s">
        <v>2300</v>
      </c>
      <c r="C16" s="71" t="s">
        <v>2323</v>
      </c>
      <c r="D16" s="72" t="s">
        <v>2323</v>
      </c>
      <c r="E16" s="16" t="s">
        <v>2324</v>
      </c>
      <c r="F16" s="16" t="n">
        <v>1722</v>
      </c>
      <c r="G16" s="16" t="n">
        <v>290</v>
      </c>
      <c r="H16" s="16" t="n">
        <v>1782</v>
      </c>
      <c r="I16" s="16" t="n">
        <v>946</v>
      </c>
      <c r="J16" s="16" t="n">
        <v>836</v>
      </c>
      <c r="K16" s="16" t="n">
        <v>6</v>
      </c>
      <c r="L16" s="19" t="n">
        <f aca="false">(K16/H16)*100</f>
        <v>0.336700336700337</v>
      </c>
      <c r="M16" s="16" t="n">
        <v>209</v>
      </c>
      <c r="N16" s="19" t="n">
        <f aca="false">(M16/H16)*100</f>
        <v>11.7283950617284</v>
      </c>
      <c r="O16" s="16" t="n">
        <v>0</v>
      </c>
      <c r="P16" s="16" t="n">
        <v>0</v>
      </c>
      <c r="Q16" s="129" t="s">
        <v>49</v>
      </c>
      <c r="R16" s="25" t="n">
        <v>45884</v>
      </c>
      <c r="S16" s="25"/>
      <c r="T16" s="92" t="n">
        <v>0</v>
      </c>
      <c r="U16" s="25"/>
      <c r="V16" s="25"/>
      <c r="W16" s="25"/>
      <c r="X16" s="25"/>
      <c r="Y16" s="25"/>
      <c r="Z16" s="25"/>
      <c r="AA16" s="92" t="s">
        <v>50</v>
      </c>
      <c r="AB16" s="328" t="n">
        <v>0</v>
      </c>
      <c r="AC16" s="57"/>
      <c r="AD16" s="129"/>
      <c r="AE16" s="129"/>
      <c r="AF16" s="20" t="s">
        <v>52</v>
      </c>
    </row>
    <row r="17" customFormat="false" ht="17.25" hidden="false" customHeight="false" outlineLevel="0" collapsed="false">
      <c r="A17" s="16" t="s">
        <v>42</v>
      </c>
      <c r="B17" s="16" t="s">
        <v>2300</v>
      </c>
      <c r="C17" s="71" t="s">
        <v>2323</v>
      </c>
      <c r="D17" s="16" t="s">
        <v>2325</v>
      </c>
      <c r="E17" s="16" t="s">
        <v>2326</v>
      </c>
      <c r="F17" s="16" t="n">
        <v>1403.72</v>
      </c>
      <c r="G17" s="16" t="n">
        <v>174</v>
      </c>
      <c r="H17" s="16" t="n">
        <v>1110</v>
      </c>
      <c r="I17" s="16" t="n">
        <v>566</v>
      </c>
      <c r="J17" s="16" t="n">
        <v>544</v>
      </c>
      <c r="K17" s="16" t="n">
        <v>66</v>
      </c>
      <c r="L17" s="19" t="n">
        <f aca="false">(K17/H17)*100</f>
        <v>5.94594594594595</v>
      </c>
      <c r="M17" s="16" t="n">
        <v>1</v>
      </c>
      <c r="N17" s="19" t="n">
        <f aca="false">(M17/H17)*100</f>
        <v>0.0900900900900901</v>
      </c>
      <c r="O17" s="16" t="n">
        <v>67.75</v>
      </c>
      <c r="P17" s="16" t="n">
        <v>0</v>
      </c>
      <c r="Q17" s="129" t="s">
        <v>49</v>
      </c>
      <c r="R17" s="25" t="n">
        <v>45884</v>
      </c>
      <c r="S17" s="25"/>
      <c r="T17" s="92" t="n">
        <v>0</v>
      </c>
      <c r="U17" s="25"/>
      <c r="V17" s="25"/>
      <c r="W17" s="25"/>
      <c r="X17" s="25"/>
      <c r="Y17" s="25"/>
      <c r="Z17" s="25"/>
      <c r="AA17" s="92" t="s">
        <v>50</v>
      </c>
      <c r="AB17" s="328" t="n">
        <v>0</v>
      </c>
      <c r="AC17" s="120"/>
      <c r="AD17" s="129"/>
      <c r="AE17" s="129"/>
      <c r="AF17" s="20" t="s">
        <v>52</v>
      </c>
    </row>
    <row r="18" customFormat="false" ht="51.75" hidden="false" customHeight="false" outlineLevel="0" collapsed="false">
      <c r="A18" s="16" t="s">
        <v>42</v>
      </c>
      <c r="B18" s="16" t="s">
        <v>2300</v>
      </c>
      <c r="C18" s="71" t="s">
        <v>2327</v>
      </c>
      <c r="D18" s="72" t="s">
        <v>2327</v>
      </c>
      <c r="E18" s="16" t="s">
        <v>2328</v>
      </c>
      <c r="F18" s="16" t="n">
        <v>1408.17</v>
      </c>
      <c r="G18" s="16" t="n">
        <v>139</v>
      </c>
      <c r="H18" s="16" t="n">
        <v>912</v>
      </c>
      <c r="I18" s="16" t="n">
        <v>470</v>
      </c>
      <c r="J18" s="16" t="n">
        <v>442</v>
      </c>
      <c r="K18" s="16" t="n">
        <v>273</v>
      </c>
      <c r="L18" s="19" t="n">
        <f aca="false">(K18/H18)*100</f>
        <v>29.9342105263158</v>
      </c>
      <c r="M18" s="16" t="n">
        <v>0</v>
      </c>
      <c r="N18" s="19" t="n">
        <f aca="false">(M18/H18)*100</f>
        <v>0</v>
      </c>
      <c r="O18" s="16" t="n">
        <v>229.78</v>
      </c>
      <c r="P18" s="16" t="n">
        <v>0</v>
      </c>
      <c r="Q18" s="129" t="s">
        <v>49</v>
      </c>
      <c r="R18" s="25" t="n">
        <v>45932</v>
      </c>
      <c r="S18" s="25"/>
      <c r="T18" s="92" t="n">
        <v>159.92</v>
      </c>
      <c r="U18" s="25"/>
      <c r="V18" s="25"/>
      <c r="W18" s="25"/>
      <c r="X18" s="25"/>
      <c r="Y18" s="25"/>
      <c r="Z18" s="25"/>
      <c r="AA18" s="92" t="s">
        <v>50</v>
      </c>
      <c r="AB18" s="328" t="n">
        <v>5</v>
      </c>
      <c r="AC18" s="130" t="s">
        <v>2329</v>
      </c>
      <c r="AD18" s="129" t="n">
        <v>27.180488</v>
      </c>
      <c r="AE18" s="129" t="n">
        <v>72.719875</v>
      </c>
      <c r="AF18" s="20" t="s">
        <v>52</v>
      </c>
    </row>
    <row r="19" customFormat="false" ht="51.75" hidden="false" customHeight="false" outlineLevel="0" collapsed="false">
      <c r="A19" s="16"/>
      <c r="B19" s="16"/>
      <c r="C19" s="71"/>
      <c r="D19" s="72"/>
      <c r="E19" s="16"/>
      <c r="F19" s="16"/>
      <c r="G19" s="16"/>
      <c r="H19" s="16"/>
      <c r="I19" s="16"/>
      <c r="J19" s="16"/>
      <c r="K19" s="16"/>
      <c r="L19" s="19"/>
      <c r="M19" s="16"/>
      <c r="N19" s="19"/>
      <c r="O19" s="16"/>
      <c r="P19" s="16"/>
      <c r="Q19" s="140"/>
      <c r="R19" s="141"/>
      <c r="S19" s="141"/>
      <c r="T19" s="143"/>
      <c r="U19" s="141"/>
      <c r="V19" s="141"/>
      <c r="W19" s="141"/>
      <c r="X19" s="141"/>
      <c r="Y19" s="141"/>
      <c r="Z19" s="141"/>
      <c r="AA19" s="143" t="s">
        <v>50</v>
      </c>
      <c r="AB19" s="330" t="n">
        <v>20</v>
      </c>
      <c r="AC19" s="144" t="s">
        <v>2330</v>
      </c>
      <c r="AD19" s="140" t="n">
        <v>27.17378</v>
      </c>
      <c r="AE19" s="140" t="n">
        <v>72.721141</v>
      </c>
      <c r="AF19" s="20" t="s">
        <v>52</v>
      </c>
    </row>
    <row r="20" customFormat="false" ht="51.75" hidden="false" customHeight="false" outlineLevel="0" collapsed="false">
      <c r="A20" s="16"/>
      <c r="B20" s="16"/>
      <c r="C20" s="71"/>
      <c r="D20" s="72"/>
      <c r="E20" s="16"/>
      <c r="F20" s="16"/>
      <c r="G20" s="16"/>
      <c r="H20" s="16"/>
      <c r="I20" s="16"/>
      <c r="J20" s="16"/>
      <c r="K20" s="16"/>
      <c r="L20" s="19"/>
      <c r="M20" s="16"/>
      <c r="N20" s="19"/>
      <c r="O20" s="16"/>
      <c r="P20" s="16"/>
      <c r="Q20" s="140"/>
      <c r="R20" s="141"/>
      <c r="S20" s="141"/>
      <c r="T20" s="143"/>
      <c r="U20" s="141"/>
      <c r="V20" s="141"/>
      <c r="W20" s="141"/>
      <c r="X20" s="141"/>
      <c r="Y20" s="141"/>
      <c r="Z20" s="141"/>
      <c r="AA20" s="143" t="s">
        <v>50</v>
      </c>
      <c r="AB20" s="330" t="n">
        <v>20</v>
      </c>
      <c r="AC20" s="151" t="s">
        <v>2331</v>
      </c>
      <c r="AD20" s="140" t="n">
        <v>27.180386</v>
      </c>
      <c r="AE20" s="140" t="n">
        <v>72.71022</v>
      </c>
      <c r="AF20" s="20" t="s">
        <v>52</v>
      </c>
    </row>
    <row r="21" customFormat="false" ht="15.75" hidden="false" customHeight="false" outlineLevel="0" collapsed="false">
      <c r="A21" s="16" t="s">
        <v>42</v>
      </c>
      <c r="B21" s="16" t="s">
        <v>2300</v>
      </c>
      <c r="C21" s="71" t="s">
        <v>2327</v>
      </c>
      <c r="D21" s="16" t="s">
        <v>2332</v>
      </c>
      <c r="E21" s="16" t="s">
        <v>2333</v>
      </c>
      <c r="F21" s="16" t="n">
        <v>1160.79</v>
      </c>
      <c r="G21" s="16" t="n">
        <v>260</v>
      </c>
      <c r="H21" s="16" t="n">
        <v>1594</v>
      </c>
      <c r="I21" s="16" t="n">
        <v>831</v>
      </c>
      <c r="J21" s="16" t="n">
        <v>763</v>
      </c>
      <c r="K21" s="16" t="n">
        <v>107</v>
      </c>
      <c r="L21" s="19" t="n">
        <f aca="false">(K21/H21)*100</f>
        <v>6.71267252195734</v>
      </c>
      <c r="M21" s="16" t="n">
        <v>0</v>
      </c>
      <c r="N21" s="19" t="n">
        <f aca="false">(M21/H21)*100</f>
        <v>0</v>
      </c>
      <c r="O21" s="16" t="n">
        <v>0</v>
      </c>
      <c r="P21" s="16" t="n">
        <v>0</v>
      </c>
      <c r="Q21" s="129" t="s">
        <v>49</v>
      </c>
      <c r="R21" s="25" t="n">
        <v>45932</v>
      </c>
      <c r="S21" s="25"/>
      <c r="T21" s="92" t="n">
        <v>0</v>
      </c>
      <c r="U21" s="25"/>
      <c r="V21" s="25"/>
      <c r="W21" s="25"/>
      <c r="X21" s="25"/>
      <c r="Y21" s="25"/>
      <c r="Z21" s="25"/>
      <c r="AA21" s="92" t="s">
        <v>50</v>
      </c>
      <c r="AB21" s="328" t="n">
        <v>0</v>
      </c>
      <c r="AC21" s="57"/>
      <c r="AD21" s="129"/>
      <c r="AE21" s="129"/>
      <c r="AF21" s="20" t="s">
        <v>52</v>
      </c>
    </row>
    <row r="22" customFormat="false" ht="34.5" hidden="false" customHeight="false" outlineLevel="0" collapsed="false">
      <c r="A22" s="16" t="s">
        <v>42</v>
      </c>
      <c r="B22" s="16" t="s">
        <v>2300</v>
      </c>
      <c r="C22" s="71" t="s">
        <v>2334</v>
      </c>
      <c r="D22" s="72" t="s">
        <v>2335</v>
      </c>
      <c r="E22" s="16" t="s">
        <v>2336</v>
      </c>
      <c r="F22" s="16" t="n">
        <v>2383</v>
      </c>
      <c r="G22" s="16" t="n">
        <v>256</v>
      </c>
      <c r="H22" s="16" t="n">
        <v>1727</v>
      </c>
      <c r="I22" s="16" t="n">
        <v>913</v>
      </c>
      <c r="J22" s="16" t="n">
        <v>814</v>
      </c>
      <c r="K22" s="16" t="n">
        <v>466</v>
      </c>
      <c r="L22" s="19" t="n">
        <f aca="false">(K22/H22)*100</f>
        <v>26.9832078749276</v>
      </c>
      <c r="M22" s="16" t="n">
        <v>46</v>
      </c>
      <c r="N22" s="19" t="n">
        <f aca="false">(M22/H22)*100</f>
        <v>2.6635784597568</v>
      </c>
      <c r="O22" s="16" t="n">
        <v>0</v>
      </c>
      <c r="P22" s="16" t="n">
        <v>0</v>
      </c>
      <c r="Q22" s="129" t="s">
        <v>49</v>
      </c>
      <c r="R22" s="25" t="n">
        <v>45932</v>
      </c>
      <c r="S22" s="25"/>
      <c r="T22" s="92" t="n">
        <v>0</v>
      </c>
      <c r="U22" s="25"/>
      <c r="V22" s="25"/>
      <c r="W22" s="25"/>
      <c r="X22" s="25"/>
      <c r="Y22" s="25"/>
      <c r="Z22" s="25"/>
      <c r="AA22" s="92" t="s">
        <v>50</v>
      </c>
      <c r="AB22" s="328" t="n">
        <v>2</v>
      </c>
      <c r="AC22" s="120" t="s">
        <v>2337</v>
      </c>
      <c r="AD22" s="129" t="n">
        <v>27.230886</v>
      </c>
      <c r="AE22" s="129" t="n">
        <v>72.768408</v>
      </c>
      <c r="AF22" s="20" t="s">
        <v>52</v>
      </c>
    </row>
    <row r="23" customFormat="false" ht="15.75" hidden="false" customHeight="false" outlineLevel="0" collapsed="false">
      <c r="A23" s="16" t="s">
        <v>42</v>
      </c>
      <c r="B23" s="16" t="s">
        <v>2300</v>
      </c>
      <c r="C23" s="71" t="s">
        <v>2334</v>
      </c>
      <c r="D23" s="16" t="s">
        <v>2338</v>
      </c>
      <c r="E23" s="16" t="s">
        <v>2339</v>
      </c>
      <c r="F23" s="16" t="n">
        <v>1377</v>
      </c>
      <c r="G23" s="16" t="n">
        <v>206</v>
      </c>
      <c r="H23" s="16" t="n">
        <v>1396</v>
      </c>
      <c r="I23" s="16" t="n">
        <v>719</v>
      </c>
      <c r="J23" s="16" t="n">
        <v>677</v>
      </c>
      <c r="K23" s="16" t="n">
        <v>308</v>
      </c>
      <c r="L23" s="19" t="n">
        <f aca="false">(K23/H23)*100</f>
        <v>22.0630372492837</v>
      </c>
      <c r="M23" s="16" t="n">
        <v>102</v>
      </c>
      <c r="N23" s="19" t="n">
        <f aca="false">(M23/H23)*100</f>
        <v>7.30659025787966</v>
      </c>
      <c r="O23" s="16" t="n">
        <v>0</v>
      </c>
      <c r="P23" s="16" t="n">
        <v>0</v>
      </c>
      <c r="Q23" s="129" t="s">
        <v>49</v>
      </c>
      <c r="R23" s="25" t="n">
        <v>45932</v>
      </c>
      <c r="S23" s="25"/>
      <c r="T23" s="92" t="n">
        <v>0</v>
      </c>
      <c r="U23" s="25"/>
      <c r="V23" s="25"/>
      <c r="W23" s="25"/>
      <c r="X23" s="25"/>
      <c r="Y23" s="25"/>
      <c r="Z23" s="25"/>
      <c r="AA23" s="92" t="s">
        <v>50</v>
      </c>
      <c r="AB23" s="328" t="n">
        <v>0</v>
      </c>
      <c r="AC23" s="57"/>
      <c r="AD23" s="129"/>
      <c r="AE23" s="129"/>
      <c r="AF23" s="20" t="s">
        <v>52</v>
      </c>
    </row>
    <row r="24" customFormat="false" ht="34.5" hidden="false" customHeight="false" outlineLevel="0" collapsed="false">
      <c r="A24" s="16" t="s">
        <v>42</v>
      </c>
      <c r="B24" s="16" t="s">
        <v>2300</v>
      </c>
      <c r="C24" s="71" t="s">
        <v>2340</v>
      </c>
      <c r="D24" s="72" t="s">
        <v>2341</v>
      </c>
      <c r="E24" s="16" t="s">
        <v>2342</v>
      </c>
      <c r="F24" s="16" t="n">
        <v>480.12</v>
      </c>
      <c r="G24" s="16" t="n">
        <v>270</v>
      </c>
      <c r="H24" s="16" t="n">
        <v>1612</v>
      </c>
      <c r="I24" s="16" t="n">
        <v>840</v>
      </c>
      <c r="J24" s="16" t="n">
        <v>772</v>
      </c>
      <c r="K24" s="16" t="n">
        <v>470</v>
      </c>
      <c r="L24" s="19" t="n">
        <f aca="false">(K24/H24)*100</f>
        <v>29.1563275434243</v>
      </c>
      <c r="M24" s="16" t="n">
        <v>35</v>
      </c>
      <c r="N24" s="19" t="n">
        <f aca="false">(M24/H24)*100</f>
        <v>2.1712158808933</v>
      </c>
      <c r="O24" s="16" t="n">
        <v>329.08</v>
      </c>
      <c r="P24" s="16" t="n">
        <v>0</v>
      </c>
      <c r="Q24" s="53" t="s">
        <v>49</v>
      </c>
      <c r="R24" s="47" t="s">
        <v>595</v>
      </c>
      <c r="S24" s="47"/>
      <c r="T24" s="119" t="n">
        <v>326.1842</v>
      </c>
      <c r="U24" s="47"/>
      <c r="V24" s="47"/>
      <c r="W24" s="47"/>
      <c r="X24" s="47"/>
      <c r="Y24" s="47"/>
      <c r="Z24" s="47"/>
      <c r="AA24" s="119" t="s">
        <v>50</v>
      </c>
      <c r="AB24" s="331" t="n">
        <v>10</v>
      </c>
      <c r="AC24" s="127" t="s">
        <v>2343</v>
      </c>
      <c r="AD24" s="45" t="n">
        <v>27.23282</v>
      </c>
      <c r="AE24" s="45" t="n">
        <v>72.7969</v>
      </c>
      <c r="AF24" s="20" t="s">
        <v>52</v>
      </c>
    </row>
    <row r="25" customFormat="false" ht="34.5" hidden="false" customHeight="false" outlineLevel="0" collapsed="false">
      <c r="A25" s="16"/>
      <c r="B25" s="16"/>
      <c r="C25" s="71"/>
      <c r="D25" s="72"/>
      <c r="E25" s="16"/>
      <c r="F25" s="16"/>
      <c r="G25" s="16"/>
      <c r="H25" s="16"/>
      <c r="I25" s="16"/>
      <c r="J25" s="16"/>
      <c r="K25" s="16"/>
      <c r="L25" s="19"/>
      <c r="M25" s="16"/>
      <c r="N25" s="19"/>
      <c r="O25" s="16"/>
      <c r="P25" s="16"/>
      <c r="Q25" s="121"/>
      <c r="R25" s="124"/>
      <c r="S25" s="124"/>
      <c r="T25" s="125"/>
      <c r="U25" s="124"/>
      <c r="V25" s="124"/>
      <c r="W25" s="124"/>
      <c r="X25" s="124"/>
      <c r="Y25" s="124"/>
      <c r="Z25" s="124"/>
      <c r="AA25" s="125" t="s">
        <v>50</v>
      </c>
      <c r="AB25" s="332" t="n">
        <v>8</v>
      </c>
      <c r="AC25" s="126" t="s">
        <v>2344</v>
      </c>
      <c r="AD25" s="123" t="n">
        <v>27.23321</v>
      </c>
      <c r="AE25" s="123" t="n">
        <v>72.79654</v>
      </c>
      <c r="AF25" s="20" t="s">
        <v>52</v>
      </c>
    </row>
    <row r="26" customFormat="false" ht="15.75" hidden="false" customHeight="false" outlineLevel="0" collapsed="false">
      <c r="A26" s="16" t="s">
        <v>42</v>
      </c>
      <c r="B26" s="16" t="s">
        <v>2300</v>
      </c>
      <c r="C26" s="71" t="s">
        <v>2340</v>
      </c>
      <c r="D26" s="16" t="s">
        <v>535</v>
      </c>
      <c r="E26" s="16" t="s">
        <v>2345</v>
      </c>
      <c r="F26" s="16" t="n">
        <v>1103.4</v>
      </c>
      <c r="G26" s="16" t="n">
        <v>235</v>
      </c>
      <c r="H26" s="16" t="n">
        <v>1609</v>
      </c>
      <c r="I26" s="16" t="n">
        <v>837</v>
      </c>
      <c r="J26" s="16" t="n">
        <v>772</v>
      </c>
      <c r="K26" s="16" t="n">
        <v>1</v>
      </c>
      <c r="L26" s="19" t="n">
        <f aca="false">(K26/H26)*100</f>
        <v>0.0621504039776259</v>
      </c>
      <c r="M26" s="16" t="n">
        <v>0</v>
      </c>
      <c r="N26" s="19" t="n">
        <f aca="false">(M26/H26)*100</f>
        <v>0</v>
      </c>
      <c r="O26" s="16" t="n">
        <v>0</v>
      </c>
      <c r="P26" s="16" t="n">
        <v>0</v>
      </c>
      <c r="Q26" s="95" t="s">
        <v>49</v>
      </c>
      <c r="R26" s="21" t="s">
        <v>595</v>
      </c>
      <c r="S26" s="21"/>
      <c r="T26" s="89" t="n">
        <v>0</v>
      </c>
      <c r="U26" s="21"/>
      <c r="V26" s="21"/>
      <c r="W26" s="21"/>
      <c r="X26" s="21"/>
      <c r="Y26" s="21"/>
      <c r="Z26" s="21"/>
      <c r="AA26" s="89" t="s">
        <v>50</v>
      </c>
      <c r="AB26" s="329" t="n">
        <v>0</v>
      </c>
      <c r="AC26" s="36"/>
      <c r="AD26" s="95" t="n">
        <v>0</v>
      </c>
      <c r="AE26" s="95" t="n">
        <v>0</v>
      </c>
      <c r="AF26" s="20" t="s">
        <v>52</v>
      </c>
    </row>
    <row r="27" customFormat="false" ht="15.75" hidden="false" customHeight="false" outlineLevel="0" collapsed="false">
      <c r="A27" s="16" t="s">
        <v>42</v>
      </c>
      <c r="B27" s="16" t="s">
        <v>2300</v>
      </c>
      <c r="C27" s="71" t="s">
        <v>2340</v>
      </c>
      <c r="D27" s="16" t="s">
        <v>2346</v>
      </c>
      <c r="E27" s="16" t="s">
        <v>2347</v>
      </c>
      <c r="F27" s="16" t="n">
        <v>759.25</v>
      </c>
      <c r="G27" s="16" t="n">
        <v>219</v>
      </c>
      <c r="H27" s="16" t="n">
        <v>1214</v>
      </c>
      <c r="I27" s="16" t="n">
        <v>622</v>
      </c>
      <c r="J27" s="16" t="n">
        <v>592</v>
      </c>
      <c r="K27" s="16" t="n">
        <v>15</v>
      </c>
      <c r="L27" s="19" t="n">
        <f aca="false">(K27/H27)*100</f>
        <v>1.23558484349259</v>
      </c>
      <c r="M27" s="16" t="n">
        <v>0</v>
      </c>
      <c r="N27" s="19" t="n">
        <f aca="false">(M27/H27)*100</f>
        <v>0</v>
      </c>
      <c r="O27" s="16" t="n">
        <v>0</v>
      </c>
      <c r="P27" s="16" t="n">
        <v>0</v>
      </c>
      <c r="Q27" s="95" t="s">
        <v>49</v>
      </c>
      <c r="R27" s="21" t="s">
        <v>595</v>
      </c>
      <c r="S27" s="21"/>
      <c r="T27" s="89"/>
      <c r="U27" s="21"/>
      <c r="V27" s="21"/>
      <c r="W27" s="21"/>
      <c r="X27" s="21"/>
      <c r="Y27" s="21"/>
      <c r="Z27" s="21"/>
      <c r="AA27" s="89" t="s">
        <v>50</v>
      </c>
      <c r="AB27" s="329" t="n">
        <v>0</v>
      </c>
      <c r="AC27" s="36"/>
      <c r="AD27" s="95" t="n">
        <v>0</v>
      </c>
      <c r="AE27" s="95" t="n">
        <v>0</v>
      </c>
      <c r="AF27" s="20" t="s">
        <v>52</v>
      </c>
    </row>
    <row r="28" customFormat="false" ht="15.75" hidden="false" customHeight="false" outlineLevel="0" collapsed="false">
      <c r="A28" s="16" t="s">
        <v>42</v>
      </c>
      <c r="B28" s="16" t="s">
        <v>2300</v>
      </c>
      <c r="C28" s="71" t="s">
        <v>2340</v>
      </c>
      <c r="D28" s="16" t="s">
        <v>2348</v>
      </c>
      <c r="E28" s="16" t="s">
        <v>2349</v>
      </c>
      <c r="F28" s="16" t="n">
        <v>161.76</v>
      </c>
      <c r="G28" s="16" t="n">
        <v>113</v>
      </c>
      <c r="H28" s="16" t="n">
        <v>636</v>
      </c>
      <c r="I28" s="16" t="n">
        <v>339</v>
      </c>
      <c r="J28" s="16" t="n">
        <v>297</v>
      </c>
      <c r="K28" s="16" t="n">
        <v>37</v>
      </c>
      <c r="L28" s="19" t="n">
        <f aca="false">(K28/H28)*100</f>
        <v>5.81761006289308</v>
      </c>
      <c r="M28" s="16" t="n">
        <v>0</v>
      </c>
      <c r="N28" s="19" t="n">
        <f aca="false">(M28/H28)*100</f>
        <v>0</v>
      </c>
      <c r="O28" s="16" t="n">
        <v>0</v>
      </c>
      <c r="P28" s="16" t="n">
        <v>0</v>
      </c>
      <c r="Q28" s="20"/>
      <c r="R28" s="21"/>
      <c r="S28" s="21"/>
      <c r="T28" s="89"/>
      <c r="U28" s="21"/>
      <c r="V28" s="21"/>
      <c r="W28" s="21"/>
      <c r="X28" s="21"/>
      <c r="Y28" s="21"/>
      <c r="Z28" s="21"/>
      <c r="AA28" s="89"/>
      <c r="AB28" s="329"/>
      <c r="AC28" s="20"/>
      <c r="AD28" s="20"/>
      <c r="AE28" s="20"/>
    </row>
    <row r="29" customFormat="false" ht="51.75" hidden="false" customHeight="false" outlineLevel="0" collapsed="false">
      <c r="A29" s="16" t="s">
        <v>42</v>
      </c>
      <c r="B29" s="16" t="s">
        <v>2300</v>
      </c>
      <c r="C29" s="71" t="s">
        <v>2350</v>
      </c>
      <c r="D29" s="72" t="s">
        <v>2351</v>
      </c>
      <c r="E29" s="16" t="s">
        <v>2352</v>
      </c>
      <c r="F29" s="16" t="n">
        <v>8498</v>
      </c>
      <c r="G29" s="16" t="n">
        <v>766</v>
      </c>
      <c r="H29" s="16" t="n">
        <v>4963</v>
      </c>
      <c r="I29" s="16" t="n">
        <v>2580</v>
      </c>
      <c r="J29" s="16" t="n">
        <v>2383</v>
      </c>
      <c r="K29" s="16" t="n">
        <v>1978</v>
      </c>
      <c r="L29" s="19" t="n">
        <f aca="false">(K29/H29)*100</f>
        <v>39.8549264557727</v>
      </c>
      <c r="M29" s="16" t="n">
        <v>436</v>
      </c>
      <c r="N29" s="19" t="n">
        <f aca="false">(M29/H29)*100</f>
        <v>8.78500906709651</v>
      </c>
      <c r="O29" s="16" t="n">
        <v>65</v>
      </c>
      <c r="P29" s="16" t="n">
        <v>0</v>
      </c>
      <c r="Q29" s="129" t="s">
        <v>49</v>
      </c>
      <c r="R29" s="25" t="n">
        <v>45884</v>
      </c>
      <c r="S29" s="25"/>
      <c r="T29" s="92" t="n">
        <v>63.28</v>
      </c>
      <c r="U29" s="25"/>
      <c r="V29" s="25"/>
      <c r="W29" s="25"/>
      <c r="X29" s="25"/>
      <c r="Y29" s="25"/>
      <c r="Z29" s="25"/>
      <c r="AA29" s="92" t="s">
        <v>50</v>
      </c>
      <c r="AB29" s="328" t="n">
        <v>15</v>
      </c>
      <c r="AC29" s="130" t="s">
        <v>2353</v>
      </c>
      <c r="AD29" s="129" t="n">
        <v>27.350848</v>
      </c>
      <c r="AE29" s="129" t="n">
        <v>73.106839</v>
      </c>
      <c r="AF29" s="20" t="s">
        <v>52</v>
      </c>
    </row>
    <row r="30" customFormat="false" ht="15.75" hidden="false" customHeight="false" outlineLevel="0" collapsed="false">
      <c r="A30" s="16" t="s">
        <v>42</v>
      </c>
      <c r="B30" s="16" t="s">
        <v>2300</v>
      </c>
      <c r="C30" s="71" t="s">
        <v>2354</v>
      </c>
      <c r="D30" s="72" t="s">
        <v>2355</v>
      </c>
      <c r="E30" s="16" t="s">
        <v>2356</v>
      </c>
      <c r="F30" s="16" t="n">
        <v>1148</v>
      </c>
      <c r="G30" s="16" t="n">
        <v>90</v>
      </c>
      <c r="H30" s="16" t="n">
        <v>588</v>
      </c>
      <c r="I30" s="16" t="n">
        <v>322</v>
      </c>
      <c r="J30" s="16" t="n">
        <v>266</v>
      </c>
      <c r="K30" s="16" t="n">
        <v>77</v>
      </c>
      <c r="L30" s="19" t="n">
        <f aca="false">(K30/H30)*100</f>
        <v>13.0952380952381</v>
      </c>
      <c r="M30" s="16" t="n">
        <v>67</v>
      </c>
      <c r="N30" s="19" t="n">
        <f aca="false">(M30/H30)*100</f>
        <v>11.3945578231293</v>
      </c>
      <c r="O30" s="16" t="n">
        <v>82</v>
      </c>
      <c r="P30" s="16" t="n">
        <v>0</v>
      </c>
      <c r="Q30" s="129" t="s">
        <v>49</v>
      </c>
      <c r="R30" s="25" t="n">
        <v>45884</v>
      </c>
      <c r="S30" s="25"/>
      <c r="T30" s="92" t="n">
        <v>81.94</v>
      </c>
      <c r="U30" s="25"/>
      <c r="V30" s="25"/>
      <c r="W30" s="25"/>
      <c r="X30" s="25"/>
      <c r="Y30" s="25"/>
      <c r="Z30" s="25"/>
      <c r="AA30" s="92" t="s">
        <v>50</v>
      </c>
      <c r="AB30" s="328" t="n">
        <v>0</v>
      </c>
      <c r="AC30" s="57"/>
      <c r="AD30" s="129"/>
      <c r="AE30" s="129"/>
      <c r="AF30" s="20" t="s">
        <v>52</v>
      </c>
    </row>
    <row r="31" customFormat="false" ht="15.75" hidden="false" customHeight="false" outlineLevel="0" collapsed="false">
      <c r="A31" s="16" t="s">
        <v>42</v>
      </c>
      <c r="B31" s="16" t="s">
        <v>2300</v>
      </c>
      <c r="C31" s="71" t="s">
        <v>2354</v>
      </c>
      <c r="D31" s="16" t="s">
        <v>1510</v>
      </c>
      <c r="E31" s="16" t="s">
        <v>2357</v>
      </c>
      <c r="F31" s="16" t="n">
        <v>629.15</v>
      </c>
      <c r="G31" s="16" t="n">
        <v>96</v>
      </c>
      <c r="H31" s="16" t="n">
        <v>456</v>
      </c>
      <c r="I31" s="16" t="n">
        <v>233</v>
      </c>
      <c r="J31" s="16" t="n">
        <v>223</v>
      </c>
      <c r="K31" s="16" t="n">
        <v>108</v>
      </c>
      <c r="L31" s="19" t="n">
        <f aca="false">(K31/H31)*100</f>
        <v>23.6842105263158</v>
      </c>
      <c r="M31" s="16" t="n">
        <v>0</v>
      </c>
      <c r="N31" s="19" t="n">
        <f aca="false">(M31/H31)*100</f>
        <v>0</v>
      </c>
      <c r="O31" s="16" t="n">
        <v>0</v>
      </c>
      <c r="P31" s="16" t="n">
        <v>0</v>
      </c>
      <c r="Q31" s="129" t="s">
        <v>49</v>
      </c>
      <c r="R31" s="25" t="n">
        <v>45884</v>
      </c>
      <c r="S31" s="25"/>
      <c r="T31" s="92" t="n">
        <v>0</v>
      </c>
      <c r="U31" s="25"/>
      <c r="V31" s="25"/>
      <c r="W31" s="25"/>
      <c r="X31" s="25"/>
      <c r="Y31" s="25"/>
      <c r="Z31" s="25"/>
      <c r="AA31" s="92" t="s">
        <v>50</v>
      </c>
      <c r="AB31" s="328" t="n">
        <v>0</v>
      </c>
      <c r="AC31" s="57"/>
      <c r="AD31" s="129"/>
      <c r="AE31" s="129"/>
      <c r="AF31" s="20" t="s">
        <v>52</v>
      </c>
    </row>
    <row r="32" customFormat="false" ht="51.75" hidden="false" customHeight="false" outlineLevel="0" collapsed="false">
      <c r="A32" s="16" t="s">
        <v>42</v>
      </c>
      <c r="B32" s="16" t="s">
        <v>2300</v>
      </c>
      <c r="C32" s="71" t="s">
        <v>2354</v>
      </c>
      <c r="D32" s="16" t="s">
        <v>2358</v>
      </c>
      <c r="E32" s="16" t="s">
        <v>2359</v>
      </c>
      <c r="F32" s="16" t="n">
        <v>1328.25</v>
      </c>
      <c r="G32" s="16" t="n">
        <v>108</v>
      </c>
      <c r="H32" s="16" t="n">
        <v>660</v>
      </c>
      <c r="I32" s="16" t="n">
        <v>347</v>
      </c>
      <c r="J32" s="16" t="n">
        <v>313</v>
      </c>
      <c r="K32" s="16" t="n">
        <v>118</v>
      </c>
      <c r="L32" s="19" t="n">
        <f aca="false">(K32/H32)*100</f>
        <v>17.8787878787879</v>
      </c>
      <c r="M32" s="16" t="n">
        <v>108</v>
      </c>
      <c r="N32" s="19" t="n">
        <f aca="false">(M32/H32)*100</f>
        <v>16.3636363636364</v>
      </c>
      <c r="O32" s="16" t="n">
        <v>201</v>
      </c>
      <c r="P32" s="16" t="n">
        <v>0</v>
      </c>
      <c r="Q32" s="129" t="s">
        <v>49</v>
      </c>
      <c r="R32" s="25" t="n">
        <v>45884</v>
      </c>
      <c r="S32" s="25"/>
      <c r="T32" s="92" t="n">
        <v>94.04</v>
      </c>
      <c r="U32" s="25"/>
      <c r="V32" s="25"/>
      <c r="W32" s="25"/>
      <c r="X32" s="25"/>
      <c r="Y32" s="25"/>
      <c r="Z32" s="25"/>
      <c r="AA32" s="92" t="s">
        <v>50</v>
      </c>
      <c r="AB32" s="328" t="n">
        <v>15</v>
      </c>
      <c r="AC32" s="130" t="s">
        <v>2360</v>
      </c>
      <c r="AD32" s="129" t="n">
        <v>27.391238</v>
      </c>
      <c r="AE32" s="129" t="n">
        <v>72.790264</v>
      </c>
      <c r="AF32" s="20" t="s">
        <v>52</v>
      </c>
    </row>
    <row r="33" customFormat="false" ht="51.75" hidden="false" customHeight="false" outlineLevel="0" collapsed="false">
      <c r="A33" s="16" t="s">
        <v>42</v>
      </c>
      <c r="B33" s="16" t="s">
        <v>2300</v>
      </c>
      <c r="C33" s="71" t="s">
        <v>2361</v>
      </c>
      <c r="D33" s="72" t="s">
        <v>2362</v>
      </c>
      <c r="E33" s="16" t="s">
        <v>2363</v>
      </c>
      <c r="F33" s="16" t="n">
        <v>2568.12</v>
      </c>
      <c r="G33" s="16" t="n">
        <v>424</v>
      </c>
      <c r="H33" s="16" t="n">
        <v>2559</v>
      </c>
      <c r="I33" s="16" t="n">
        <v>1358</v>
      </c>
      <c r="J33" s="16" t="n">
        <v>1201</v>
      </c>
      <c r="K33" s="16" t="n">
        <v>176</v>
      </c>
      <c r="L33" s="19" t="n">
        <f aca="false">(K33/H33)*100</f>
        <v>6.87768659632669</v>
      </c>
      <c r="M33" s="16" t="n">
        <v>215</v>
      </c>
      <c r="N33" s="19" t="n">
        <f aca="false">(M33/H33)*100</f>
        <v>8.40171942164908</v>
      </c>
      <c r="O33" s="16" t="n">
        <v>53</v>
      </c>
      <c r="P33" s="16" t="n">
        <v>0</v>
      </c>
      <c r="Q33" s="53" t="s">
        <v>49</v>
      </c>
      <c r="R33" s="47" t="s">
        <v>595</v>
      </c>
      <c r="S33" s="47"/>
      <c r="T33" s="119"/>
      <c r="U33" s="47"/>
      <c r="V33" s="47"/>
      <c r="W33" s="47"/>
      <c r="X33" s="47"/>
      <c r="Y33" s="47"/>
      <c r="Z33" s="47"/>
      <c r="AA33" s="119" t="s">
        <v>50</v>
      </c>
      <c r="AB33" s="331" t="n">
        <v>12</v>
      </c>
      <c r="AC33" s="127" t="s">
        <v>2364</v>
      </c>
      <c r="AD33" s="45" t="n">
        <v>27.30324</v>
      </c>
      <c r="AE33" s="45" t="n">
        <v>73.05159</v>
      </c>
      <c r="AF33" s="20" t="s">
        <v>52</v>
      </c>
    </row>
    <row r="34" customFormat="false" ht="51.75" hidden="false" customHeight="false" outlineLevel="0" collapsed="false">
      <c r="A34" s="16" t="s">
        <v>42</v>
      </c>
      <c r="B34" s="16" t="s">
        <v>2300</v>
      </c>
      <c r="C34" s="71" t="s">
        <v>2365</v>
      </c>
      <c r="D34" s="72" t="s">
        <v>2366</v>
      </c>
      <c r="E34" s="16" t="s">
        <v>2367</v>
      </c>
      <c r="F34" s="16" t="n">
        <v>5874</v>
      </c>
      <c r="G34" s="16" t="n">
        <v>657</v>
      </c>
      <c r="H34" s="16" t="n">
        <v>4153</v>
      </c>
      <c r="I34" s="16" t="n">
        <v>2183</v>
      </c>
      <c r="J34" s="16" t="n">
        <v>1970</v>
      </c>
      <c r="K34" s="16" t="n">
        <v>982</v>
      </c>
      <c r="L34" s="19" t="n">
        <f aca="false">(K34/H34)*100</f>
        <v>23.645557428365</v>
      </c>
      <c r="M34" s="16" t="n">
        <v>33</v>
      </c>
      <c r="N34" s="19" t="n">
        <f aca="false">(M34/H34)*100</f>
        <v>0.794606308692512</v>
      </c>
      <c r="O34" s="16" t="n">
        <v>75</v>
      </c>
      <c r="P34" s="16" t="n">
        <v>0</v>
      </c>
      <c r="Q34" s="129" t="s">
        <v>49</v>
      </c>
      <c r="R34" s="25" t="n">
        <v>45932</v>
      </c>
      <c r="S34" s="25"/>
      <c r="T34" s="92" t="n">
        <v>8.57</v>
      </c>
      <c r="U34" s="25"/>
      <c r="V34" s="25"/>
      <c r="W34" s="25"/>
      <c r="X34" s="25"/>
      <c r="Y34" s="25"/>
      <c r="Z34" s="25"/>
      <c r="AA34" s="92" t="s">
        <v>50</v>
      </c>
      <c r="AB34" s="328" t="n">
        <v>14</v>
      </c>
      <c r="AC34" s="130" t="s">
        <v>2368</v>
      </c>
      <c r="AD34" s="129" t="n">
        <v>27.400175</v>
      </c>
      <c r="AE34" s="129" t="n">
        <v>72.860239</v>
      </c>
      <c r="AF34" s="20" t="s">
        <v>52</v>
      </c>
    </row>
    <row r="35" customFormat="false" ht="17.25" hidden="false" customHeight="false" outlineLevel="0" collapsed="false">
      <c r="A35" s="16" t="s">
        <v>42</v>
      </c>
      <c r="B35" s="16" t="s">
        <v>2300</v>
      </c>
      <c r="C35" s="71" t="s">
        <v>2369</v>
      </c>
      <c r="D35" s="72" t="s">
        <v>2370</v>
      </c>
      <c r="E35" s="16" t="s">
        <v>2371</v>
      </c>
      <c r="F35" s="16" t="n">
        <v>989.11</v>
      </c>
      <c r="G35" s="16" t="n">
        <v>209</v>
      </c>
      <c r="H35" s="16" t="n">
        <v>1364</v>
      </c>
      <c r="I35" s="16" t="n">
        <v>708</v>
      </c>
      <c r="J35" s="16" t="n">
        <v>656</v>
      </c>
      <c r="K35" s="16" t="n">
        <v>144</v>
      </c>
      <c r="L35" s="19" t="n">
        <f aca="false">(K35/H35)*100</f>
        <v>10.5571847507331</v>
      </c>
      <c r="M35" s="16" t="n">
        <v>0</v>
      </c>
      <c r="N35" s="19" t="n">
        <f aca="false">(M35/H35)*100</f>
        <v>0</v>
      </c>
      <c r="O35" s="16" t="n">
        <v>0</v>
      </c>
      <c r="P35" s="16" t="n">
        <v>0</v>
      </c>
      <c r="Q35" s="129" t="s">
        <v>49</v>
      </c>
      <c r="R35" s="25" t="n">
        <v>45932</v>
      </c>
      <c r="S35" s="25"/>
      <c r="T35" s="92" t="n">
        <v>0</v>
      </c>
      <c r="U35" s="25"/>
      <c r="V35" s="25"/>
      <c r="W35" s="25"/>
      <c r="X35" s="25"/>
      <c r="Y35" s="25"/>
      <c r="Z35" s="25"/>
      <c r="AA35" s="92" t="s">
        <v>50</v>
      </c>
      <c r="AB35" s="328" t="n">
        <v>0</v>
      </c>
      <c r="AC35" s="120"/>
      <c r="AD35" s="129"/>
      <c r="AE35" s="129"/>
      <c r="AF35" s="20" t="s">
        <v>52</v>
      </c>
    </row>
    <row r="36" customFormat="false" ht="15.75" hidden="false" customHeight="false" outlineLevel="0" collapsed="false">
      <c r="A36" s="16" t="s">
        <v>42</v>
      </c>
      <c r="B36" s="16" t="s">
        <v>2300</v>
      </c>
      <c r="C36" s="71" t="s">
        <v>2369</v>
      </c>
      <c r="D36" s="16" t="s">
        <v>2372</v>
      </c>
      <c r="E36" s="16" t="s">
        <v>2373</v>
      </c>
      <c r="F36" s="16" t="n">
        <v>1747.54</v>
      </c>
      <c r="G36" s="16" t="n">
        <v>228</v>
      </c>
      <c r="H36" s="16" t="n">
        <v>1586</v>
      </c>
      <c r="I36" s="16" t="n">
        <v>845</v>
      </c>
      <c r="J36" s="16" t="n">
        <v>741</v>
      </c>
      <c r="K36" s="16" t="n">
        <v>3</v>
      </c>
      <c r="L36" s="19" t="n">
        <f aca="false">(K36/H36)*100</f>
        <v>0.189155107187894</v>
      </c>
      <c r="M36" s="16" t="n">
        <v>1</v>
      </c>
      <c r="N36" s="19" t="n">
        <f aca="false">(M36/H36)*100</f>
        <v>0.0630517023959647</v>
      </c>
      <c r="O36" s="16" t="n">
        <v>0</v>
      </c>
      <c r="P36" s="16" t="n">
        <v>0</v>
      </c>
      <c r="Q36" s="129" t="s">
        <v>49</v>
      </c>
      <c r="R36" s="25" t="n">
        <v>45932</v>
      </c>
      <c r="S36" s="25"/>
      <c r="T36" s="92" t="n">
        <v>0</v>
      </c>
      <c r="U36" s="25"/>
      <c r="V36" s="25"/>
      <c r="W36" s="25"/>
      <c r="X36" s="25"/>
      <c r="Y36" s="25"/>
      <c r="Z36" s="25"/>
      <c r="AA36" s="92" t="s">
        <v>50</v>
      </c>
      <c r="AB36" s="328" t="n">
        <v>0</v>
      </c>
      <c r="AC36" s="57"/>
      <c r="AD36" s="129"/>
      <c r="AE36" s="129"/>
      <c r="AF36" s="20" t="s">
        <v>52</v>
      </c>
    </row>
    <row r="37" customFormat="false" ht="15.75" hidden="false" customHeight="false" outlineLevel="0" collapsed="false">
      <c r="A37" s="16" t="s">
        <v>42</v>
      </c>
      <c r="B37" s="16" t="s">
        <v>2300</v>
      </c>
      <c r="C37" s="71" t="s">
        <v>2374</v>
      </c>
      <c r="D37" s="72" t="s">
        <v>2374</v>
      </c>
      <c r="E37" s="16" t="s">
        <v>2375</v>
      </c>
      <c r="F37" s="16" t="n">
        <v>603.88</v>
      </c>
      <c r="G37" s="16" t="n">
        <v>94</v>
      </c>
      <c r="H37" s="16" t="n">
        <v>679</v>
      </c>
      <c r="I37" s="16" t="n">
        <v>375</v>
      </c>
      <c r="J37" s="16" t="n">
        <v>304</v>
      </c>
      <c r="K37" s="16" t="n">
        <v>169</v>
      </c>
      <c r="L37" s="19" t="n">
        <f aca="false">(K37/H37)*100</f>
        <v>24.8895434462445</v>
      </c>
      <c r="M37" s="16" t="n">
        <v>89</v>
      </c>
      <c r="N37" s="19" t="n">
        <f aca="false">(M37/H37)*100</f>
        <v>13.1075110456554</v>
      </c>
      <c r="O37" s="16" t="n">
        <v>0</v>
      </c>
      <c r="P37" s="16" t="n">
        <v>0</v>
      </c>
      <c r="Q37" s="129" t="s">
        <v>49</v>
      </c>
      <c r="R37" s="25" t="n">
        <v>45884</v>
      </c>
      <c r="S37" s="25"/>
      <c r="T37" s="92" t="n">
        <v>0</v>
      </c>
      <c r="U37" s="25"/>
      <c r="V37" s="25"/>
      <c r="W37" s="25"/>
      <c r="X37" s="25"/>
      <c r="Y37" s="25"/>
      <c r="Z37" s="25"/>
      <c r="AA37" s="92" t="s">
        <v>50</v>
      </c>
      <c r="AB37" s="328" t="n">
        <v>0</v>
      </c>
      <c r="AC37" s="57"/>
      <c r="AD37" s="129"/>
      <c r="AE37" s="129"/>
      <c r="AF37" s="20" t="s">
        <v>52</v>
      </c>
    </row>
    <row r="38" customFormat="false" ht="15.75" hidden="false" customHeight="false" outlineLevel="0" collapsed="false">
      <c r="A38" s="16" t="s">
        <v>42</v>
      </c>
      <c r="B38" s="16" t="s">
        <v>2300</v>
      </c>
      <c r="C38" s="71" t="s">
        <v>2374</v>
      </c>
      <c r="D38" s="16" t="s">
        <v>2376</v>
      </c>
      <c r="E38" s="16" t="s">
        <v>2377</v>
      </c>
      <c r="F38" s="16" t="n">
        <v>714.67</v>
      </c>
      <c r="G38" s="16" t="n">
        <v>131</v>
      </c>
      <c r="H38" s="16" t="n">
        <v>836</v>
      </c>
      <c r="I38" s="16" t="n">
        <v>441</v>
      </c>
      <c r="J38" s="16" t="n">
        <v>395</v>
      </c>
      <c r="K38" s="16" t="n">
        <v>255</v>
      </c>
      <c r="L38" s="19" t="n">
        <f aca="false">(K38/H38)*100</f>
        <v>30.5023923444976</v>
      </c>
      <c r="M38" s="16" t="n">
        <v>21</v>
      </c>
      <c r="N38" s="19" t="n">
        <f aca="false">(M38/H38)*100</f>
        <v>2.51196172248804</v>
      </c>
      <c r="O38" s="16" t="n">
        <v>0</v>
      </c>
      <c r="P38" s="16" t="n">
        <v>0</v>
      </c>
      <c r="Q38" s="129" t="s">
        <v>49</v>
      </c>
      <c r="R38" s="25" t="n">
        <v>45884</v>
      </c>
      <c r="S38" s="25"/>
      <c r="T38" s="92" t="n">
        <v>0</v>
      </c>
      <c r="U38" s="25"/>
      <c r="V38" s="25"/>
      <c r="W38" s="25"/>
      <c r="X38" s="25"/>
      <c r="Y38" s="25"/>
      <c r="Z38" s="25"/>
      <c r="AA38" s="92" t="s">
        <v>50</v>
      </c>
      <c r="AB38" s="328" t="n">
        <v>0</v>
      </c>
      <c r="AC38" s="57"/>
      <c r="AD38" s="129"/>
      <c r="AE38" s="129"/>
      <c r="AF38" s="20" t="s">
        <v>52</v>
      </c>
    </row>
    <row r="39" customFormat="false" ht="15.75" hidden="false" customHeight="false" outlineLevel="0" collapsed="false">
      <c r="A39" s="16" t="s">
        <v>42</v>
      </c>
      <c r="B39" s="16" t="s">
        <v>2300</v>
      </c>
      <c r="C39" s="71" t="s">
        <v>2374</v>
      </c>
      <c r="D39" s="16" t="s">
        <v>2378</v>
      </c>
      <c r="E39" s="16" t="s">
        <v>2379</v>
      </c>
      <c r="F39" s="16" t="n">
        <v>1044.33</v>
      </c>
      <c r="G39" s="16" t="n">
        <v>54</v>
      </c>
      <c r="H39" s="16" t="n">
        <v>429</v>
      </c>
      <c r="I39" s="16" t="n">
        <v>228</v>
      </c>
      <c r="J39" s="16" t="n">
        <v>201</v>
      </c>
      <c r="K39" s="16" t="n">
        <v>0</v>
      </c>
      <c r="L39" s="19" t="n">
        <f aca="false">(K39/H39)*100</f>
        <v>0</v>
      </c>
      <c r="M39" s="16" t="n">
        <v>63</v>
      </c>
      <c r="N39" s="19" t="n">
        <f aca="false">(M39/H39)*100</f>
        <v>14.6853146853147</v>
      </c>
      <c r="O39" s="16" t="n">
        <v>0</v>
      </c>
      <c r="P39" s="16" t="n">
        <v>0</v>
      </c>
      <c r="Q39" s="129" t="s">
        <v>49</v>
      </c>
      <c r="R39" s="25" t="n">
        <v>45884</v>
      </c>
      <c r="S39" s="25"/>
      <c r="T39" s="92" t="n">
        <v>0.48</v>
      </c>
      <c r="U39" s="25"/>
      <c r="V39" s="25"/>
      <c r="W39" s="25"/>
      <c r="X39" s="25"/>
      <c r="Y39" s="25"/>
      <c r="Z39" s="25"/>
      <c r="AA39" s="92" t="s">
        <v>50</v>
      </c>
      <c r="AB39" s="328" t="n">
        <v>0</v>
      </c>
      <c r="AC39" s="57"/>
      <c r="AD39" s="129"/>
      <c r="AE39" s="129"/>
      <c r="AF39" s="20" t="s">
        <v>52</v>
      </c>
    </row>
    <row r="40" customFormat="false" ht="34.5" hidden="false" customHeight="false" outlineLevel="0" collapsed="false">
      <c r="A40" s="16" t="s">
        <v>42</v>
      </c>
      <c r="B40" s="16" t="s">
        <v>2300</v>
      </c>
      <c r="C40" s="71" t="s">
        <v>2380</v>
      </c>
      <c r="D40" s="72" t="s">
        <v>2380</v>
      </c>
      <c r="E40" s="16" t="s">
        <v>2381</v>
      </c>
      <c r="F40" s="16" t="n">
        <v>1019</v>
      </c>
      <c r="G40" s="16" t="n">
        <v>260</v>
      </c>
      <c r="H40" s="16" t="n">
        <v>1522</v>
      </c>
      <c r="I40" s="16" t="n">
        <v>789</v>
      </c>
      <c r="J40" s="16" t="n">
        <v>733</v>
      </c>
      <c r="K40" s="16" t="n">
        <v>346</v>
      </c>
      <c r="L40" s="19" t="n">
        <f aca="false">(K40/H40)*100</f>
        <v>22.7332457293035</v>
      </c>
      <c r="M40" s="16" t="n">
        <v>3</v>
      </c>
      <c r="N40" s="19" t="n">
        <f aca="false">(M40/H40)*100</f>
        <v>0.197109067017083</v>
      </c>
      <c r="O40" s="16" t="n">
        <v>106</v>
      </c>
      <c r="P40" s="16" t="n">
        <v>0</v>
      </c>
      <c r="Q40" s="129" t="s">
        <v>49</v>
      </c>
      <c r="R40" s="25" t="n">
        <v>45884</v>
      </c>
      <c r="S40" s="25"/>
      <c r="T40" s="92" t="n">
        <v>0</v>
      </c>
      <c r="U40" s="25"/>
      <c r="V40" s="25"/>
      <c r="W40" s="25"/>
      <c r="X40" s="25"/>
      <c r="Y40" s="25"/>
      <c r="Z40" s="25"/>
      <c r="AA40" s="92" t="s">
        <v>50</v>
      </c>
      <c r="AB40" s="328" t="n">
        <v>18</v>
      </c>
      <c r="AC40" s="130" t="s">
        <v>2382</v>
      </c>
      <c r="AD40" s="129" t="n">
        <v>27.441505</v>
      </c>
      <c r="AE40" s="129" t="n">
        <v>72.919874</v>
      </c>
      <c r="AF40" s="20" t="s">
        <v>52</v>
      </c>
    </row>
    <row r="41" customFormat="false" ht="15.75" hidden="false" customHeight="false" outlineLevel="0" collapsed="false">
      <c r="A41" s="16" t="s">
        <v>42</v>
      </c>
      <c r="B41" s="16" t="s">
        <v>2300</v>
      </c>
      <c r="C41" s="71" t="s">
        <v>2380</v>
      </c>
      <c r="D41" s="16" t="s">
        <v>2383</v>
      </c>
      <c r="E41" s="16" t="s">
        <v>2384</v>
      </c>
      <c r="F41" s="16" t="n">
        <v>2274</v>
      </c>
      <c r="G41" s="16" t="n">
        <v>162</v>
      </c>
      <c r="H41" s="16" t="n">
        <v>1092</v>
      </c>
      <c r="I41" s="16" t="n">
        <v>575</v>
      </c>
      <c r="J41" s="16" t="n">
        <v>517</v>
      </c>
      <c r="K41" s="16" t="n">
        <v>121</v>
      </c>
      <c r="L41" s="19" t="n">
        <f aca="false">(K41/H41)*100</f>
        <v>11.0805860805861</v>
      </c>
      <c r="M41" s="16" t="n">
        <v>93</v>
      </c>
      <c r="N41" s="19" t="n">
        <f aca="false">(M41/H41)*100</f>
        <v>8.51648351648352</v>
      </c>
      <c r="O41" s="16" t="n">
        <v>0</v>
      </c>
      <c r="P41" s="16" t="n">
        <v>0</v>
      </c>
      <c r="Q41" s="129" t="s">
        <v>49</v>
      </c>
      <c r="R41" s="25" t="n">
        <v>45884</v>
      </c>
      <c r="S41" s="25"/>
      <c r="T41" s="92" t="n">
        <v>0</v>
      </c>
      <c r="U41" s="25"/>
      <c r="V41" s="25"/>
      <c r="W41" s="25"/>
      <c r="X41" s="25"/>
      <c r="Y41" s="25"/>
      <c r="Z41" s="25"/>
      <c r="AA41" s="92" t="s">
        <v>50</v>
      </c>
      <c r="AB41" s="328" t="n">
        <v>0</v>
      </c>
      <c r="AC41" s="57"/>
      <c r="AD41" s="129"/>
      <c r="AE41" s="129"/>
      <c r="AF41" s="20" t="s">
        <v>52</v>
      </c>
    </row>
    <row r="42" customFormat="false" ht="17.25" hidden="false" customHeight="false" outlineLevel="0" collapsed="false">
      <c r="A42" s="16" t="s">
        <v>42</v>
      </c>
      <c r="B42" s="16" t="s">
        <v>2300</v>
      </c>
      <c r="C42" s="71" t="s">
        <v>2380</v>
      </c>
      <c r="D42" s="16" t="s">
        <v>2385</v>
      </c>
      <c r="E42" s="16" t="s">
        <v>2386</v>
      </c>
      <c r="F42" s="16" t="n">
        <v>1021</v>
      </c>
      <c r="G42" s="16" t="n">
        <v>52</v>
      </c>
      <c r="H42" s="16" t="n">
        <v>364</v>
      </c>
      <c r="I42" s="16" t="n">
        <v>191</v>
      </c>
      <c r="J42" s="16" t="n">
        <v>173</v>
      </c>
      <c r="K42" s="16" t="n">
        <v>33</v>
      </c>
      <c r="L42" s="19" t="n">
        <f aca="false">(K42/H42)*100</f>
        <v>9.06593406593407</v>
      </c>
      <c r="M42" s="16" t="n">
        <v>114</v>
      </c>
      <c r="N42" s="19" t="n">
        <f aca="false">(M42/H42)*100</f>
        <v>31.3186813186813</v>
      </c>
      <c r="O42" s="16" t="n">
        <v>31</v>
      </c>
      <c r="P42" s="16" t="n">
        <v>0</v>
      </c>
      <c r="Q42" s="129" t="s">
        <v>49</v>
      </c>
      <c r="R42" s="25" t="n">
        <v>45884</v>
      </c>
      <c r="S42" s="25"/>
      <c r="T42" s="92" t="n">
        <v>0</v>
      </c>
      <c r="U42" s="25"/>
      <c r="V42" s="25"/>
      <c r="W42" s="25"/>
      <c r="X42" s="25"/>
      <c r="Y42" s="25"/>
      <c r="Z42" s="25"/>
      <c r="AA42" s="92" t="s">
        <v>50</v>
      </c>
      <c r="AB42" s="328" t="n">
        <v>0</v>
      </c>
      <c r="AC42" s="130"/>
      <c r="AD42" s="129"/>
      <c r="AE42" s="129"/>
      <c r="AF42" s="20" t="s">
        <v>52</v>
      </c>
    </row>
    <row r="43" customFormat="false" ht="17.25" hidden="false" customHeight="false" outlineLevel="0" collapsed="false">
      <c r="A43" s="16" t="s">
        <v>42</v>
      </c>
      <c r="B43" s="16" t="s">
        <v>2300</v>
      </c>
      <c r="C43" s="71" t="s">
        <v>2387</v>
      </c>
      <c r="D43" s="72" t="s">
        <v>2388</v>
      </c>
      <c r="E43" s="16" t="s">
        <v>2389</v>
      </c>
      <c r="F43" s="16" t="n">
        <v>883</v>
      </c>
      <c r="G43" s="16" t="n">
        <v>99</v>
      </c>
      <c r="H43" s="16" t="n">
        <v>653</v>
      </c>
      <c r="I43" s="16" t="n">
        <v>346</v>
      </c>
      <c r="J43" s="16" t="n">
        <v>307</v>
      </c>
      <c r="K43" s="16" t="n">
        <v>24</v>
      </c>
      <c r="L43" s="19" t="n">
        <f aca="false">(K43/H43)*100</f>
        <v>3.67534456355283</v>
      </c>
      <c r="M43" s="16" t="n">
        <v>0</v>
      </c>
      <c r="N43" s="19" t="n">
        <f aca="false">(M43/H43)*100</f>
        <v>0</v>
      </c>
      <c r="O43" s="16" t="n">
        <v>0</v>
      </c>
      <c r="P43" s="16" t="n">
        <v>0</v>
      </c>
      <c r="Q43" s="129" t="s">
        <v>49</v>
      </c>
      <c r="R43" s="25" t="n">
        <v>45932</v>
      </c>
      <c r="S43" s="25"/>
      <c r="T43" s="92"/>
      <c r="U43" s="25"/>
      <c r="V43" s="25"/>
      <c r="W43" s="25"/>
      <c r="X43" s="25"/>
      <c r="Y43" s="25"/>
      <c r="Z43" s="25"/>
      <c r="AA43" s="92" t="s">
        <v>50</v>
      </c>
      <c r="AB43" s="328" t="n">
        <v>0</v>
      </c>
      <c r="AC43" s="130"/>
      <c r="AD43" s="129"/>
      <c r="AE43" s="129"/>
      <c r="AF43" s="20" t="s">
        <v>52</v>
      </c>
    </row>
    <row r="44" customFormat="false" ht="15.75" hidden="false" customHeight="false" outlineLevel="0" collapsed="false">
      <c r="A44" s="16" t="s">
        <v>42</v>
      </c>
      <c r="B44" s="16" t="s">
        <v>2300</v>
      </c>
      <c r="C44" s="71" t="s">
        <v>2387</v>
      </c>
      <c r="D44" s="16" t="s">
        <v>2390</v>
      </c>
      <c r="E44" s="16" t="s">
        <v>2391</v>
      </c>
      <c r="F44" s="16" t="n">
        <v>1164</v>
      </c>
      <c r="G44" s="16" t="n">
        <v>126</v>
      </c>
      <c r="H44" s="16" t="n">
        <v>797</v>
      </c>
      <c r="I44" s="16" t="n">
        <v>398</v>
      </c>
      <c r="J44" s="16" t="n">
        <v>399</v>
      </c>
      <c r="K44" s="16" t="n">
        <v>23</v>
      </c>
      <c r="L44" s="19" t="n">
        <f aca="false">(K44/H44)*100</f>
        <v>2.88582183186951</v>
      </c>
      <c r="M44" s="16" t="n">
        <v>0</v>
      </c>
      <c r="N44" s="19" t="n">
        <f aca="false">(M44/H44)*100</f>
        <v>0</v>
      </c>
      <c r="O44" s="16" t="n">
        <v>0</v>
      </c>
      <c r="P44" s="16" t="n">
        <v>0</v>
      </c>
      <c r="Q44" s="129" t="s">
        <v>49</v>
      </c>
      <c r="R44" s="25" t="n">
        <v>45932</v>
      </c>
      <c r="S44" s="25"/>
      <c r="T44" s="92"/>
      <c r="U44" s="25"/>
      <c r="V44" s="25"/>
      <c r="W44" s="25"/>
      <c r="X44" s="25"/>
      <c r="Y44" s="25"/>
      <c r="Z44" s="25"/>
      <c r="AA44" s="92" t="s">
        <v>50</v>
      </c>
      <c r="AB44" s="328" t="n">
        <v>0</v>
      </c>
      <c r="AC44" s="57"/>
      <c r="AD44" s="129"/>
      <c r="AE44" s="129"/>
      <c r="AF44" s="20" t="s">
        <v>52</v>
      </c>
    </row>
    <row r="45" customFormat="false" ht="15.75" hidden="false" customHeight="false" outlineLevel="0" collapsed="false">
      <c r="A45" s="16" t="s">
        <v>42</v>
      </c>
      <c r="B45" s="16" t="s">
        <v>2300</v>
      </c>
      <c r="C45" s="71" t="s">
        <v>2387</v>
      </c>
      <c r="D45" s="16" t="s">
        <v>2392</v>
      </c>
      <c r="E45" s="16" t="s">
        <v>2393</v>
      </c>
      <c r="F45" s="16" t="n">
        <v>2087</v>
      </c>
      <c r="G45" s="16" t="n">
        <v>61</v>
      </c>
      <c r="H45" s="16" t="n">
        <v>386</v>
      </c>
      <c r="I45" s="16" t="n">
        <v>193</v>
      </c>
      <c r="J45" s="16" t="n">
        <v>193</v>
      </c>
      <c r="K45" s="16" t="n">
        <v>0</v>
      </c>
      <c r="L45" s="19" t="n">
        <f aca="false">(K45/H45)*100</f>
        <v>0</v>
      </c>
      <c r="M45" s="16" t="n">
        <v>0</v>
      </c>
      <c r="N45" s="19" t="n">
        <f aca="false">(M45/H45)*100</f>
        <v>0</v>
      </c>
      <c r="O45" s="16" t="n">
        <v>0</v>
      </c>
      <c r="P45" s="16" t="n">
        <v>0</v>
      </c>
      <c r="Q45" s="129" t="s">
        <v>49</v>
      </c>
      <c r="R45" s="25" t="n">
        <v>45932</v>
      </c>
      <c r="S45" s="25"/>
      <c r="T45" s="92" t="n">
        <v>0</v>
      </c>
      <c r="U45" s="25"/>
      <c r="V45" s="25"/>
      <c r="W45" s="25"/>
      <c r="X45" s="25"/>
      <c r="Y45" s="25"/>
      <c r="Z45" s="25"/>
      <c r="AA45" s="92" t="s">
        <v>50</v>
      </c>
      <c r="AB45" s="328" t="n">
        <v>0</v>
      </c>
      <c r="AC45" s="57"/>
      <c r="AD45" s="129"/>
      <c r="AE45" s="129"/>
      <c r="AF45" s="20" t="s">
        <v>52</v>
      </c>
    </row>
    <row r="46" customFormat="false" ht="51.75" hidden="false" customHeight="false" outlineLevel="0" collapsed="false">
      <c r="A46" s="16" t="s">
        <v>42</v>
      </c>
      <c r="B46" s="16" t="s">
        <v>2300</v>
      </c>
      <c r="C46" s="71" t="s">
        <v>2387</v>
      </c>
      <c r="D46" s="16" t="s">
        <v>2394</v>
      </c>
      <c r="E46" s="16" t="s">
        <v>2395</v>
      </c>
      <c r="F46" s="16" t="n">
        <v>794</v>
      </c>
      <c r="G46" s="16" t="n">
        <v>98</v>
      </c>
      <c r="H46" s="16" t="n">
        <v>609</v>
      </c>
      <c r="I46" s="16" t="n">
        <v>331</v>
      </c>
      <c r="J46" s="16" t="n">
        <v>278</v>
      </c>
      <c r="K46" s="16" t="n">
        <v>0</v>
      </c>
      <c r="L46" s="19" t="n">
        <f aca="false">(K46/H46)*100</f>
        <v>0</v>
      </c>
      <c r="M46" s="16" t="n">
        <v>0</v>
      </c>
      <c r="N46" s="19" t="n">
        <f aca="false">(M46/H46)*100</f>
        <v>0</v>
      </c>
      <c r="O46" s="16" t="n">
        <v>0</v>
      </c>
      <c r="P46" s="16" t="n">
        <v>0</v>
      </c>
      <c r="Q46" s="129" t="s">
        <v>49</v>
      </c>
      <c r="R46" s="25" t="n">
        <v>45932</v>
      </c>
      <c r="S46" s="25"/>
      <c r="T46" s="92" t="n">
        <v>0</v>
      </c>
      <c r="U46" s="25"/>
      <c r="V46" s="25"/>
      <c r="W46" s="25"/>
      <c r="X46" s="25"/>
      <c r="Y46" s="25"/>
      <c r="Z46" s="25"/>
      <c r="AA46" s="92" t="s">
        <v>50</v>
      </c>
      <c r="AB46" s="328" t="n">
        <v>10</v>
      </c>
      <c r="AC46" s="130" t="s">
        <v>2396</v>
      </c>
      <c r="AD46" s="129" t="n">
        <v>27.315906</v>
      </c>
      <c r="AE46" s="129" t="n">
        <v>72.758237</v>
      </c>
      <c r="AF46" s="20" t="s">
        <v>52</v>
      </c>
    </row>
    <row r="47" customFormat="false" ht="51.75" hidden="false" customHeight="false" outlineLevel="0" collapsed="false">
      <c r="A47" s="16"/>
      <c r="B47" s="16"/>
      <c r="C47" s="71"/>
      <c r="D47" s="16"/>
      <c r="E47" s="16"/>
      <c r="F47" s="16"/>
      <c r="G47" s="16"/>
      <c r="H47" s="16"/>
      <c r="I47" s="16"/>
      <c r="J47" s="16"/>
      <c r="K47" s="16"/>
      <c r="L47" s="19"/>
      <c r="M47" s="16"/>
      <c r="N47" s="19"/>
      <c r="O47" s="16"/>
      <c r="P47" s="16"/>
      <c r="Q47" s="140" t="s">
        <v>49</v>
      </c>
      <c r="R47" s="141"/>
      <c r="S47" s="141"/>
      <c r="T47" s="143"/>
      <c r="U47" s="141"/>
      <c r="V47" s="141"/>
      <c r="W47" s="141"/>
      <c r="X47" s="141"/>
      <c r="Y47" s="141"/>
      <c r="Z47" s="141"/>
      <c r="AA47" s="143" t="s">
        <v>50</v>
      </c>
      <c r="AB47" s="330" t="n">
        <v>10</v>
      </c>
      <c r="AC47" s="144" t="s">
        <v>2397</v>
      </c>
      <c r="AD47" s="140" t="n">
        <v>27.313769</v>
      </c>
      <c r="AE47" s="140" t="n">
        <v>72.755382</v>
      </c>
      <c r="AF47" s="20" t="s">
        <v>52</v>
      </c>
    </row>
    <row r="48" customFormat="false" ht="17.25" hidden="false" customHeight="false" outlineLevel="0" collapsed="false">
      <c r="A48" s="16" t="s">
        <v>42</v>
      </c>
      <c r="B48" s="16" t="s">
        <v>2300</v>
      </c>
      <c r="C48" s="71" t="s">
        <v>2300</v>
      </c>
      <c r="D48" s="72" t="s">
        <v>2398</v>
      </c>
      <c r="E48" s="16" t="s">
        <v>2399</v>
      </c>
      <c r="F48" s="16" t="n">
        <v>4287</v>
      </c>
      <c r="G48" s="16" t="n">
        <v>655</v>
      </c>
      <c r="H48" s="16" t="n">
        <v>4188</v>
      </c>
      <c r="I48" s="16" t="n">
        <v>2225</v>
      </c>
      <c r="J48" s="16" t="n">
        <v>1963</v>
      </c>
      <c r="K48" s="16" t="n">
        <v>1165</v>
      </c>
      <c r="L48" s="19" t="n">
        <f aca="false">(K48/H48)*100</f>
        <v>27.8175740210124</v>
      </c>
      <c r="M48" s="16" t="n">
        <v>396</v>
      </c>
      <c r="N48" s="19" t="n">
        <f aca="false">(M48/H48)*100</f>
        <v>9.45558739255014</v>
      </c>
      <c r="O48" s="16" t="n">
        <v>263</v>
      </c>
      <c r="P48" s="16" t="n">
        <v>0</v>
      </c>
      <c r="Q48" s="53" t="s">
        <v>49</v>
      </c>
      <c r="R48" s="47" t="s">
        <v>595</v>
      </c>
      <c r="S48" s="47"/>
      <c r="T48" s="119" t="n">
        <v>235.052</v>
      </c>
      <c r="U48" s="47"/>
      <c r="V48" s="47"/>
      <c r="W48" s="47"/>
      <c r="X48" s="47"/>
      <c r="Y48" s="47"/>
      <c r="Z48" s="47"/>
      <c r="AA48" s="119" t="s">
        <v>50</v>
      </c>
      <c r="AB48" s="331" t="n">
        <v>25</v>
      </c>
      <c r="AC48" s="333" t="s">
        <v>2400</v>
      </c>
      <c r="AD48" s="45" t="n">
        <v>27.334162</v>
      </c>
      <c r="AE48" s="45" t="n">
        <v>72.833611</v>
      </c>
      <c r="AF48" s="20" t="s">
        <v>52</v>
      </c>
    </row>
    <row r="49" customFormat="false" ht="17.25" hidden="false" customHeight="false" outlineLevel="0" collapsed="false">
      <c r="A49" s="16"/>
      <c r="B49" s="16"/>
      <c r="C49" s="71"/>
      <c r="D49" s="72"/>
      <c r="E49" s="16"/>
      <c r="F49" s="16"/>
      <c r="G49" s="16"/>
      <c r="H49" s="16"/>
      <c r="I49" s="16"/>
      <c r="J49" s="16"/>
      <c r="K49" s="16"/>
      <c r="L49" s="19"/>
      <c r="M49" s="16"/>
      <c r="N49" s="19"/>
      <c r="O49" s="16"/>
      <c r="P49" s="16"/>
      <c r="Q49" s="334"/>
      <c r="R49" s="156"/>
      <c r="S49" s="156"/>
      <c r="T49" s="157"/>
      <c r="U49" s="156"/>
      <c r="V49" s="156"/>
      <c r="W49" s="156"/>
      <c r="X49" s="156"/>
      <c r="Y49" s="156"/>
      <c r="Z49" s="156"/>
      <c r="AA49" s="157" t="s">
        <v>50</v>
      </c>
      <c r="AB49" s="335" t="n">
        <v>28</v>
      </c>
      <c r="AC49" s="336" t="s">
        <v>2401</v>
      </c>
      <c r="AD49" s="155" t="n">
        <v>27.332154</v>
      </c>
      <c r="AE49" s="155" t="n">
        <v>72.836251</v>
      </c>
      <c r="AF49" s="20" t="s">
        <v>52</v>
      </c>
    </row>
    <row r="50" customFormat="false" ht="15.75" hidden="false" customHeight="false" outlineLevel="0" collapsed="false">
      <c r="A50" s="16"/>
      <c r="B50" s="16"/>
      <c r="C50" s="71"/>
      <c r="D50" s="72"/>
      <c r="E50" s="16"/>
      <c r="F50" s="16"/>
      <c r="G50" s="16"/>
      <c r="H50" s="16"/>
      <c r="I50" s="16"/>
      <c r="J50" s="16"/>
      <c r="K50" s="16"/>
      <c r="L50" s="19"/>
      <c r="M50" s="16"/>
      <c r="N50" s="19"/>
      <c r="O50" s="16"/>
      <c r="P50" s="16"/>
      <c r="Q50" s="334"/>
      <c r="R50" s="156"/>
      <c r="S50" s="156"/>
      <c r="T50" s="157"/>
      <c r="U50" s="156"/>
      <c r="V50" s="156"/>
      <c r="W50" s="156"/>
      <c r="X50" s="156"/>
      <c r="Y50" s="156"/>
      <c r="Z50" s="156"/>
      <c r="AA50" s="157" t="s">
        <v>50</v>
      </c>
      <c r="AB50" s="335" t="n">
        <v>5</v>
      </c>
      <c r="AC50" s="337" t="s">
        <v>2402</v>
      </c>
      <c r="AD50" s="155" t="n">
        <v>27.340612</v>
      </c>
      <c r="AE50" s="155" t="n">
        <v>72.840015</v>
      </c>
      <c r="AF50" s="20" t="s">
        <v>52</v>
      </c>
    </row>
    <row r="51" customFormat="false" ht="34.5" hidden="false" customHeight="false" outlineLevel="0" collapsed="false">
      <c r="A51" s="16" t="s">
        <v>42</v>
      </c>
      <c r="B51" s="16" t="s">
        <v>2300</v>
      </c>
      <c r="C51" s="71" t="s">
        <v>2403</v>
      </c>
      <c r="D51" s="72" t="s">
        <v>2404</v>
      </c>
      <c r="E51" s="16" t="s">
        <v>2405</v>
      </c>
      <c r="F51" s="16" t="n">
        <v>7669</v>
      </c>
      <c r="G51" s="16" t="n">
        <v>1123</v>
      </c>
      <c r="H51" s="16" t="n">
        <v>7115</v>
      </c>
      <c r="I51" s="16" t="n">
        <v>3773</v>
      </c>
      <c r="J51" s="16" t="n">
        <v>3342</v>
      </c>
      <c r="K51" s="16" t="n">
        <v>702</v>
      </c>
      <c r="L51" s="19" t="n">
        <f aca="false">(K51/H51)*100</f>
        <v>9.86647926914968</v>
      </c>
      <c r="M51" s="16" t="n">
        <v>37</v>
      </c>
      <c r="N51" s="19" t="n">
        <f aca="false">(M51/H51)*100</f>
        <v>0.520028109627547</v>
      </c>
      <c r="O51" s="16" t="n">
        <v>214</v>
      </c>
      <c r="P51" s="16" t="n">
        <v>0</v>
      </c>
      <c r="Q51" s="129" t="s">
        <v>49</v>
      </c>
      <c r="R51" s="25" t="n">
        <v>45884</v>
      </c>
      <c r="S51" s="25"/>
      <c r="T51" s="92" t="n">
        <v>242.98</v>
      </c>
      <c r="U51" s="25"/>
      <c r="V51" s="25"/>
      <c r="W51" s="25"/>
      <c r="X51" s="25"/>
      <c r="Y51" s="25"/>
      <c r="Z51" s="25"/>
      <c r="AA51" s="92" t="s">
        <v>50</v>
      </c>
      <c r="AB51" s="328" t="n">
        <v>5</v>
      </c>
      <c r="AC51" s="130" t="s">
        <v>2406</v>
      </c>
      <c r="AD51" s="129" t="n">
        <v>27.299458</v>
      </c>
      <c r="AE51" s="129" t="n">
        <v>72.929844</v>
      </c>
      <c r="AF51" s="20" t="s">
        <v>52</v>
      </c>
    </row>
    <row r="52" customFormat="false" ht="51.75" hidden="false" customHeight="false" outlineLevel="0" collapsed="false">
      <c r="A52" s="16"/>
      <c r="B52" s="16"/>
      <c r="C52" s="71"/>
      <c r="D52" s="72"/>
      <c r="E52" s="16"/>
      <c r="F52" s="16"/>
      <c r="G52" s="16"/>
      <c r="H52" s="16"/>
      <c r="I52" s="16"/>
      <c r="J52" s="16"/>
      <c r="K52" s="16"/>
      <c r="L52" s="19"/>
      <c r="M52" s="16"/>
      <c r="N52" s="19"/>
      <c r="O52" s="16"/>
      <c r="P52" s="16"/>
      <c r="Q52" s="140" t="s">
        <v>49</v>
      </c>
      <c r="R52" s="141"/>
      <c r="S52" s="141"/>
      <c r="T52" s="143"/>
      <c r="U52" s="141"/>
      <c r="V52" s="141"/>
      <c r="W52" s="141"/>
      <c r="X52" s="141"/>
      <c r="Y52" s="141"/>
      <c r="Z52" s="141"/>
      <c r="AA52" s="143" t="s">
        <v>50</v>
      </c>
      <c r="AB52" s="330" t="n">
        <v>25</v>
      </c>
      <c r="AC52" s="144" t="s">
        <v>2407</v>
      </c>
      <c r="AD52" s="140" t="n">
        <v>27.289773</v>
      </c>
      <c r="AE52" s="140" t="n">
        <v>72.940667</v>
      </c>
      <c r="AF52" s="20" t="s">
        <v>52</v>
      </c>
    </row>
    <row r="53" customFormat="false" ht="51.75" hidden="false" customHeight="false" outlineLevel="0" collapsed="false">
      <c r="A53" s="16" t="s">
        <v>42</v>
      </c>
      <c r="B53" s="16" t="s">
        <v>2300</v>
      </c>
      <c r="C53" s="71" t="s">
        <v>2408</v>
      </c>
      <c r="D53" s="72" t="s">
        <v>2408</v>
      </c>
      <c r="E53" s="16" t="s">
        <v>2409</v>
      </c>
      <c r="F53" s="16" t="n">
        <v>1245</v>
      </c>
      <c r="G53" s="16" t="n">
        <v>226</v>
      </c>
      <c r="H53" s="16" t="n">
        <v>1441</v>
      </c>
      <c r="I53" s="16" t="n">
        <v>740</v>
      </c>
      <c r="J53" s="16" t="n">
        <v>701</v>
      </c>
      <c r="K53" s="16" t="n">
        <v>152</v>
      </c>
      <c r="L53" s="19" t="n">
        <f aca="false">(K53/H53)*100</f>
        <v>10.5482303955586</v>
      </c>
      <c r="M53" s="16" t="n">
        <v>0</v>
      </c>
      <c r="N53" s="19" t="n">
        <f aca="false">(M53/H53)*100</f>
        <v>0</v>
      </c>
      <c r="O53" s="16" t="n">
        <v>0</v>
      </c>
      <c r="P53" s="16" t="n">
        <v>0</v>
      </c>
      <c r="Q53" s="129" t="s">
        <v>49</v>
      </c>
      <c r="R53" s="25" t="n">
        <v>45932</v>
      </c>
      <c r="S53" s="25"/>
      <c r="T53" s="92" t="n">
        <v>0</v>
      </c>
      <c r="U53" s="25"/>
      <c r="V53" s="25"/>
      <c r="W53" s="25"/>
      <c r="X53" s="25"/>
      <c r="Y53" s="25"/>
      <c r="Z53" s="25"/>
      <c r="AA53" s="92" t="s">
        <v>50</v>
      </c>
      <c r="AB53" s="328" t="n">
        <v>2</v>
      </c>
      <c r="AC53" s="130" t="s">
        <v>2410</v>
      </c>
      <c r="AD53" s="129" t="n">
        <v>27.185594</v>
      </c>
      <c r="AE53" s="129" t="n">
        <v>72.727268</v>
      </c>
      <c r="AF53" s="20" t="s">
        <v>52</v>
      </c>
    </row>
    <row r="54" customFormat="false" ht="15.75" hidden="false" customHeight="false" outlineLevel="0" collapsed="false">
      <c r="A54" s="16" t="s">
        <v>42</v>
      </c>
      <c r="B54" s="16" t="s">
        <v>2300</v>
      </c>
      <c r="C54" s="71" t="s">
        <v>2408</v>
      </c>
      <c r="D54" s="16" t="s">
        <v>2411</v>
      </c>
      <c r="E54" s="16" t="s">
        <v>2412</v>
      </c>
      <c r="F54" s="16" t="n">
        <v>583.69</v>
      </c>
      <c r="G54" s="16" t="n">
        <v>125</v>
      </c>
      <c r="H54" s="16" t="n">
        <v>915</v>
      </c>
      <c r="I54" s="16" t="n">
        <v>485</v>
      </c>
      <c r="J54" s="16" t="n">
        <v>430</v>
      </c>
      <c r="K54" s="16" t="n">
        <v>119</v>
      </c>
      <c r="L54" s="19" t="n">
        <f aca="false">(K54/H54)*100</f>
        <v>13.0054644808743</v>
      </c>
      <c r="M54" s="16" t="n">
        <v>0</v>
      </c>
      <c r="N54" s="19" t="n">
        <f aca="false">(M54/H54)*100</f>
        <v>0</v>
      </c>
      <c r="O54" s="16" t="n">
        <v>39.71</v>
      </c>
      <c r="P54" s="16" t="n">
        <v>0</v>
      </c>
      <c r="Q54" s="129" t="s">
        <v>49</v>
      </c>
      <c r="R54" s="25" t="n">
        <v>45932</v>
      </c>
      <c r="S54" s="25"/>
      <c r="T54" s="92" t="n">
        <v>0</v>
      </c>
      <c r="U54" s="25"/>
      <c r="V54" s="25"/>
      <c r="W54" s="25"/>
      <c r="X54" s="25"/>
      <c r="Y54" s="25"/>
      <c r="Z54" s="25"/>
      <c r="AA54" s="92" t="s">
        <v>50</v>
      </c>
      <c r="AB54" s="328" t="n">
        <v>0</v>
      </c>
      <c r="AC54" s="57"/>
      <c r="AD54" s="129"/>
      <c r="AE54" s="129"/>
      <c r="AF54" s="20" t="s">
        <v>52</v>
      </c>
    </row>
    <row r="55" customFormat="false" ht="47.25" hidden="false" customHeight="false" outlineLevel="0" collapsed="false">
      <c r="A55" s="16" t="s">
        <v>42</v>
      </c>
      <c r="B55" s="16" t="s">
        <v>2300</v>
      </c>
      <c r="C55" s="71" t="s">
        <v>2413</v>
      </c>
      <c r="D55" s="72" t="s">
        <v>2414</v>
      </c>
      <c r="E55" s="16" t="s">
        <v>2415</v>
      </c>
      <c r="F55" s="16" t="n">
        <v>3325</v>
      </c>
      <c r="G55" s="16" t="n">
        <v>424</v>
      </c>
      <c r="H55" s="16" t="n">
        <v>2765</v>
      </c>
      <c r="I55" s="16" t="n">
        <v>1471</v>
      </c>
      <c r="J55" s="16" t="n">
        <v>1294</v>
      </c>
      <c r="K55" s="16" t="n">
        <v>781</v>
      </c>
      <c r="L55" s="19" t="n">
        <f aca="false">(K55/H55)*100</f>
        <v>28.245931283906</v>
      </c>
      <c r="M55" s="16" t="n">
        <v>61</v>
      </c>
      <c r="N55" s="19" t="n">
        <f aca="false">(M55/H55)*100</f>
        <v>2.20614828209765</v>
      </c>
      <c r="O55" s="16" t="n">
        <v>205</v>
      </c>
      <c r="P55" s="16" t="n">
        <v>0</v>
      </c>
      <c r="Q55" s="53" t="s">
        <v>49</v>
      </c>
      <c r="R55" s="47" t="s">
        <v>2416</v>
      </c>
      <c r="S55" s="47"/>
      <c r="T55" s="119" t="n">
        <v>200.55</v>
      </c>
      <c r="U55" s="47"/>
      <c r="V55" s="47"/>
      <c r="W55" s="47"/>
      <c r="X55" s="47"/>
      <c r="Y55" s="47"/>
      <c r="Z55" s="47"/>
      <c r="AA55" s="119" t="s">
        <v>50</v>
      </c>
      <c r="AB55" s="331" t="n">
        <v>7</v>
      </c>
      <c r="AC55" s="287" t="s">
        <v>2417</v>
      </c>
      <c r="AD55" s="45" t="n">
        <v>27.34625</v>
      </c>
      <c r="AE55" s="45" t="n">
        <v>72.943224</v>
      </c>
      <c r="AF55" s="20" t="s">
        <v>52</v>
      </c>
    </row>
    <row r="56" customFormat="false" ht="47.25" hidden="false" customHeight="false" outlineLevel="0" collapsed="false">
      <c r="A56" s="16"/>
      <c r="B56" s="16"/>
      <c r="C56" s="71"/>
      <c r="D56" s="72"/>
      <c r="E56" s="16"/>
      <c r="F56" s="16"/>
      <c r="G56" s="16"/>
      <c r="H56" s="16"/>
      <c r="I56" s="16"/>
      <c r="J56" s="16"/>
      <c r="K56" s="16"/>
      <c r="L56" s="19"/>
      <c r="M56" s="16"/>
      <c r="N56" s="19"/>
      <c r="O56" s="16"/>
      <c r="P56" s="16"/>
      <c r="Q56" s="121"/>
      <c r="R56" s="124"/>
      <c r="S56" s="124"/>
      <c r="T56" s="125"/>
      <c r="U56" s="124"/>
      <c r="V56" s="124"/>
      <c r="W56" s="124"/>
      <c r="X56" s="124"/>
      <c r="Y56" s="124"/>
      <c r="Z56" s="124"/>
      <c r="AA56" s="125" t="s">
        <v>50</v>
      </c>
      <c r="AB56" s="332" t="n">
        <v>10</v>
      </c>
      <c r="AC56" s="338" t="s">
        <v>2418</v>
      </c>
      <c r="AD56" s="123" t="n">
        <v>27.34514</v>
      </c>
      <c r="AE56" s="123" t="n">
        <v>72.943651</v>
      </c>
      <c r="AF56" s="20" t="s">
        <v>52</v>
      </c>
    </row>
    <row r="57" customFormat="false" ht="31.5" hidden="false" customHeight="false" outlineLevel="0" collapsed="false">
      <c r="A57" s="16"/>
      <c r="B57" s="16"/>
      <c r="C57" s="71"/>
      <c r="D57" s="72"/>
      <c r="E57" s="16"/>
      <c r="F57" s="16"/>
      <c r="G57" s="16"/>
      <c r="H57" s="16"/>
      <c r="I57" s="16"/>
      <c r="J57" s="16"/>
      <c r="K57" s="16"/>
      <c r="L57" s="19"/>
      <c r="M57" s="16"/>
      <c r="N57" s="19"/>
      <c r="O57" s="16"/>
      <c r="P57" s="16"/>
      <c r="Q57" s="121"/>
      <c r="R57" s="124"/>
      <c r="S57" s="124"/>
      <c r="T57" s="125"/>
      <c r="U57" s="124"/>
      <c r="V57" s="124"/>
      <c r="W57" s="124"/>
      <c r="X57" s="124"/>
      <c r="Y57" s="124"/>
      <c r="Z57" s="124"/>
      <c r="AA57" s="125" t="s">
        <v>50</v>
      </c>
      <c r="AB57" s="332" t="n">
        <v>15</v>
      </c>
      <c r="AC57" s="338" t="s">
        <v>2419</v>
      </c>
      <c r="AD57" s="123" t="n">
        <v>27.34641</v>
      </c>
      <c r="AE57" s="123" t="n">
        <v>72.943261</v>
      </c>
      <c r="AF57" s="20" t="s">
        <v>52</v>
      </c>
    </row>
    <row r="58" customFormat="false" ht="31.5" hidden="false" customHeight="false" outlineLevel="0" collapsed="false">
      <c r="A58" s="16"/>
      <c r="B58" s="16"/>
      <c r="C58" s="71"/>
      <c r="D58" s="72"/>
      <c r="E58" s="16"/>
      <c r="F58" s="16"/>
      <c r="G58" s="16"/>
      <c r="H58" s="16"/>
      <c r="I58" s="16"/>
      <c r="J58" s="16"/>
      <c r="K58" s="16"/>
      <c r="L58" s="19"/>
      <c r="M58" s="16"/>
      <c r="N58" s="19"/>
      <c r="O58" s="16"/>
      <c r="P58" s="16"/>
      <c r="Q58" s="121"/>
      <c r="R58" s="124"/>
      <c r="S58" s="124"/>
      <c r="T58" s="125"/>
      <c r="U58" s="124"/>
      <c r="V58" s="124"/>
      <c r="W58" s="124"/>
      <c r="X58" s="124"/>
      <c r="Y58" s="124"/>
      <c r="Z58" s="124"/>
      <c r="AA58" s="125" t="s">
        <v>50</v>
      </c>
      <c r="AB58" s="332" t="n">
        <v>15</v>
      </c>
      <c r="AC58" s="338" t="s">
        <v>2420</v>
      </c>
      <c r="AD58" s="123" t="n">
        <v>27.357111</v>
      </c>
      <c r="AE58" s="123" t="n">
        <v>72.979148</v>
      </c>
      <c r="AF58" s="20" t="s">
        <v>52</v>
      </c>
    </row>
    <row r="59" customFormat="false" ht="31.5" hidden="false" customHeight="false" outlineLevel="0" collapsed="false">
      <c r="A59" s="16"/>
      <c r="B59" s="16"/>
      <c r="C59" s="71"/>
      <c r="D59" s="72"/>
      <c r="E59" s="16"/>
      <c r="F59" s="16"/>
      <c r="G59" s="16"/>
      <c r="H59" s="16"/>
      <c r="I59" s="16"/>
      <c r="J59" s="16"/>
      <c r="K59" s="16"/>
      <c r="L59" s="19"/>
      <c r="M59" s="16"/>
      <c r="N59" s="19"/>
      <c r="O59" s="16"/>
      <c r="P59" s="16"/>
      <c r="Q59" s="121"/>
      <c r="R59" s="124"/>
      <c r="S59" s="124"/>
      <c r="T59" s="125"/>
      <c r="U59" s="124"/>
      <c r="V59" s="124"/>
      <c r="W59" s="124"/>
      <c r="X59" s="124"/>
      <c r="Y59" s="124"/>
      <c r="Z59" s="124"/>
      <c r="AA59" s="125" t="s">
        <v>50</v>
      </c>
      <c r="AB59" s="332" t="n">
        <v>12</v>
      </c>
      <c r="AC59" s="338" t="s">
        <v>2421</v>
      </c>
      <c r="AD59" s="123" t="n">
        <v>27.351914</v>
      </c>
      <c r="AE59" s="123" t="n">
        <v>72.930766</v>
      </c>
      <c r="AF59" s="20" t="s">
        <v>52</v>
      </c>
    </row>
    <row r="60" customFormat="false" ht="15.75" hidden="false" customHeight="false" outlineLevel="0" collapsed="false">
      <c r="A60" s="16" t="s">
        <v>42</v>
      </c>
      <c r="B60" s="16" t="s">
        <v>2300</v>
      </c>
      <c r="C60" s="71" t="s">
        <v>2413</v>
      </c>
      <c r="D60" s="16" t="s">
        <v>2422</v>
      </c>
      <c r="E60" s="16" t="s">
        <v>2423</v>
      </c>
      <c r="F60" s="16" t="n">
        <v>1360</v>
      </c>
      <c r="G60" s="16" t="n">
        <v>155</v>
      </c>
      <c r="H60" s="16" t="n">
        <v>1082</v>
      </c>
      <c r="I60" s="16" t="n">
        <v>580</v>
      </c>
      <c r="J60" s="16" t="n">
        <v>502</v>
      </c>
      <c r="K60" s="16" t="n">
        <v>120</v>
      </c>
      <c r="L60" s="19" t="n">
        <f aca="false">(K60/H60)*100</f>
        <v>11.090573012939</v>
      </c>
      <c r="M60" s="16" t="n">
        <v>3</v>
      </c>
      <c r="N60" s="19" t="n">
        <f aca="false">(M60/H60)*100</f>
        <v>0.277264325323475</v>
      </c>
      <c r="O60" s="16" t="n">
        <v>0</v>
      </c>
      <c r="P60" s="16" t="n">
        <v>0</v>
      </c>
      <c r="Q60" s="20"/>
      <c r="R60" s="21"/>
      <c r="S60" s="21"/>
      <c r="T60" s="89"/>
      <c r="U60" s="21"/>
      <c r="V60" s="21"/>
      <c r="W60" s="21"/>
      <c r="X60" s="21"/>
      <c r="Y60" s="21"/>
      <c r="Z60" s="21"/>
      <c r="AA60" s="89"/>
      <c r="AB60" s="329"/>
      <c r="AC60" s="20"/>
      <c r="AD60" s="20"/>
      <c r="AE60" s="20"/>
    </row>
    <row r="61" customFormat="false" ht="51.75" hidden="false" customHeight="false" outlineLevel="0" collapsed="false">
      <c r="A61" s="16" t="s">
        <v>42</v>
      </c>
      <c r="B61" s="16" t="s">
        <v>2300</v>
      </c>
      <c r="C61" s="71" t="s">
        <v>2424</v>
      </c>
      <c r="D61" s="72" t="s">
        <v>2424</v>
      </c>
      <c r="E61" s="16" t="s">
        <v>2425</v>
      </c>
      <c r="F61" s="16" t="n">
        <v>1364</v>
      </c>
      <c r="G61" s="16" t="n">
        <v>216</v>
      </c>
      <c r="H61" s="16" t="n">
        <v>1195</v>
      </c>
      <c r="I61" s="16" t="n">
        <v>626</v>
      </c>
      <c r="J61" s="16" t="n">
        <v>569</v>
      </c>
      <c r="K61" s="16" t="n">
        <v>78</v>
      </c>
      <c r="L61" s="19" t="n">
        <f aca="false">(K61/H61)*100</f>
        <v>6.52719665271967</v>
      </c>
      <c r="M61" s="16" t="n">
        <v>4</v>
      </c>
      <c r="N61" s="19" t="n">
        <f aca="false">(M61/H61)*100</f>
        <v>0.334728033472803</v>
      </c>
      <c r="O61" s="16" t="n">
        <v>6</v>
      </c>
      <c r="P61" s="16" t="n">
        <v>0</v>
      </c>
      <c r="Q61" s="129" t="s">
        <v>49</v>
      </c>
      <c r="R61" s="25" t="n">
        <v>45932</v>
      </c>
      <c r="S61" s="25"/>
      <c r="T61" s="92" t="n">
        <v>9.42</v>
      </c>
      <c r="U61" s="25"/>
      <c r="V61" s="25"/>
      <c r="W61" s="25"/>
      <c r="X61" s="25"/>
      <c r="Y61" s="25"/>
      <c r="Z61" s="25"/>
      <c r="AA61" s="92" t="s">
        <v>50</v>
      </c>
      <c r="AB61" s="328" t="n">
        <v>2</v>
      </c>
      <c r="AC61" s="130" t="s">
        <v>2426</v>
      </c>
      <c r="AD61" s="129" t="n">
        <v>27.365562</v>
      </c>
      <c r="AE61" s="129" t="n">
        <v>72.796257</v>
      </c>
      <c r="AF61" s="20" t="s">
        <v>52</v>
      </c>
    </row>
    <row r="62" customFormat="false" ht="15.75" hidden="false" customHeight="false" outlineLevel="0" collapsed="false">
      <c r="A62" s="16" t="s">
        <v>42</v>
      </c>
      <c r="B62" s="16" t="s">
        <v>2300</v>
      </c>
      <c r="C62" s="71" t="s">
        <v>2424</v>
      </c>
      <c r="D62" s="16" t="s">
        <v>2427</v>
      </c>
      <c r="E62" s="16" t="s">
        <v>2428</v>
      </c>
      <c r="F62" s="16" t="n">
        <v>1243</v>
      </c>
      <c r="G62" s="16" t="n">
        <v>89</v>
      </c>
      <c r="H62" s="16" t="n">
        <v>582</v>
      </c>
      <c r="I62" s="16" t="n">
        <v>310</v>
      </c>
      <c r="J62" s="16" t="n">
        <v>272</v>
      </c>
      <c r="K62" s="16" t="n">
        <v>52</v>
      </c>
      <c r="L62" s="19" t="n">
        <f aca="false">(K62/H62)*100</f>
        <v>8.93470790378007</v>
      </c>
      <c r="M62" s="16" t="n">
        <v>92</v>
      </c>
      <c r="N62" s="19" t="n">
        <f aca="false">(M62/H62)*100</f>
        <v>15.807560137457</v>
      </c>
      <c r="O62" s="16" t="n">
        <v>246</v>
      </c>
      <c r="P62" s="16" t="n">
        <v>0</v>
      </c>
      <c r="Q62" s="129" t="s">
        <v>49</v>
      </c>
      <c r="R62" s="25" t="n">
        <v>45932</v>
      </c>
      <c r="S62" s="25"/>
      <c r="T62" s="92" t="n">
        <v>34.18</v>
      </c>
      <c r="U62" s="25"/>
      <c r="V62" s="25"/>
      <c r="W62" s="25"/>
      <c r="X62" s="25"/>
      <c r="Y62" s="25"/>
      <c r="Z62" s="25"/>
      <c r="AA62" s="92" t="s">
        <v>50</v>
      </c>
      <c r="AB62" s="328" t="n">
        <v>0</v>
      </c>
      <c r="AC62" s="57"/>
      <c r="AD62" s="129"/>
      <c r="AE62" s="129"/>
      <c r="AF62" s="20" t="s">
        <v>52</v>
      </c>
    </row>
    <row r="63" customFormat="false" ht="15.75" hidden="false" customHeight="false" outlineLevel="0" collapsed="false">
      <c r="A63" s="16" t="s">
        <v>42</v>
      </c>
      <c r="B63" s="16" t="s">
        <v>2300</v>
      </c>
      <c r="C63" s="71" t="s">
        <v>2424</v>
      </c>
      <c r="D63" s="16" t="s">
        <v>2138</v>
      </c>
      <c r="E63" s="16" t="s">
        <v>2429</v>
      </c>
      <c r="F63" s="16" t="n">
        <v>1643</v>
      </c>
      <c r="G63" s="16" t="n">
        <v>208</v>
      </c>
      <c r="H63" s="16" t="n">
        <v>1353</v>
      </c>
      <c r="I63" s="16" t="n">
        <v>718</v>
      </c>
      <c r="J63" s="16" t="n">
        <v>635</v>
      </c>
      <c r="K63" s="16" t="n">
        <v>0</v>
      </c>
      <c r="L63" s="19" t="n">
        <f aca="false">(K63/H63)*100</f>
        <v>0</v>
      </c>
      <c r="M63" s="16" t="n">
        <v>0</v>
      </c>
      <c r="N63" s="19" t="n">
        <f aca="false">(M63/H63)*100</f>
        <v>0</v>
      </c>
      <c r="O63" s="16" t="n">
        <v>0</v>
      </c>
      <c r="P63" s="16" t="n">
        <v>0</v>
      </c>
      <c r="Q63" s="129" t="s">
        <v>49</v>
      </c>
      <c r="R63" s="25" t="n">
        <v>45932</v>
      </c>
      <c r="S63" s="25"/>
      <c r="T63" s="92" t="n">
        <v>0</v>
      </c>
      <c r="U63" s="25"/>
      <c r="V63" s="25"/>
      <c r="W63" s="25"/>
      <c r="X63" s="25"/>
      <c r="Y63" s="25"/>
      <c r="Z63" s="25"/>
      <c r="AA63" s="92" t="s">
        <v>50</v>
      </c>
      <c r="AB63" s="328" t="n">
        <v>0</v>
      </c>
      <c r="AC63" s="57"/>
      <c r="AD63" s="129"/>
      <c r="AE63" s="129"/>
      <c r="AF63" s="20" t="s">
        <v>52</v>
      </c>
    </row>
    <row r="64" customFormat="false" ht="69" hidden="false" customHeight="false" outlineLevel="0" collapsed="false">
      <c r="A64" s="16" t="s">
        <v>42</v>
      </c>
      <c r="B64" s="16" t="s">
        <v>2300</v>
      </c>
      <c r="C64" s="71" t="s">
        <v>2430</v>
      </c>
      <c r="D64" s="72" t="s">
        <v>2431</v>
      </c>
      <c r="E64" s="16" t="s">
        <v>2432</v>
      </c>
      <c r="F64" s="16" t="n">
        <v>5779</v>
      </c>
      <c r="G64" s="16" t="n">
        <v>322</v>
      </c>
      <c r="H64" s="16" t="n">
        <v>1925</v>
      </c>
      <c r="I64" s="16" t="n">
        <v>1040</v>
      </c>
      <c r="J64" s="16" t="n">
        <v>885</v>
      </c>
      <c r="K64" s="16" t="n">
        <v>474</v>
      </c>
      <c r="L64" s="19" t="n">
        <f aca="false">(K64/H64)*100</f>
        <v>24.6233766233766</v>
      </c>
      <c r="M64" s="16" t="n">
        <v>9</v>
      </c>
      <c r="N64" s="19" t="n">
        <f aca="false">(M64/H64)*100</f>
        <v>0.467532467532468</v>
      </c>
      <c r="O64" s="16" t="n">
        <v>56</v>
      </c>
      <c r="P64" s="16" t="n">
        <v>0</v>
      </c>
      <c r="Q64" s="129" t="s">
        <v>49</v>
      </c>
      <c r="R64" s="25" t="n">
        <v>45932</v>
      </c>
      <c r="S64" s="25"/>
      <c r="T64" s="92" t="n">
        <v>369.311</v>
      </c>
      <c r="U64" s="25"/>
      <c r="V64" s="25"/>
      <c r="W64" s="25"/>
      <c r="X64" s="25"/>
      <c r="Y64" s="25"/>
      <c r="Z64" s="25"/>
      <c r="AA64" s="92" t="s">
        <v>50</v>
      </c>
      <c r="AB64" s="328" t="n">
        <v>5</v>
      </c>
      <c r="AC64" s="130" t="s">
        <v>2433</v>
      </c>
      <c r="AD64" s="129"/>
      <c r="AE64" s="129"/>
      <c r="AF64" s="20" t="s">
        <v>52</v>
      </c>
    </row>
    <row r="65" customFormat="false" ht="15.75" hidden="false" customHeight="false" outlineLevel="0" collapsed="false">
      <c r="A65" s="16" t="s">
        <v>42</v>
      </c>
      <c r="B65" s="16" t="s">
        <v>2300</v>
      </c>
      <c r="C65" s="71" t="s">
        <v>2434</v>
      </c>
      <c r="D65" s="72" t="s">
        <v>2434</v>
      </c>
      <c r="E65" s="16" t="s">
        <v>2435</v>
      </c>
      <c r="F65" s="16" t="n">
        <v>1556</v>
      </c>
      <c r="G65" s="16" t="n">
        <v>343</v>
      </c>
      <c r="H65" s="16" t="n">
        <v>2253</v>
      </c>
      <c r="I65" s="16" t="n">
        <v>1199</v>
      </c>
      <c r="J65" s="16" t="n">
        <v>1054</v>
      </c>
      <c r="K65" s="16" t="n">
        <v>67</v>
      </c>
      <c r="L65" s="19" t="n">
        <f aca="false">(K65/H65)*100</f>
        <v>2.97381269418553</v>
      </c>
      <c r="M65" s="16" t="n">
        <v>0</v>
      </c>
      <c r="N65" s="19" t="n">
        <f aca="false">(M65/H65)*100</f>
        <v>0</v>
      </c>
      <c r="O65" s="16" t="n">
        <v>0</v>
      </c>
      <c r="P65" s="16" t="n">
        <v>0</v>
      </c>
      <c r="Q65" s="95" t="s">
        <v>49</v>
      </c>
      <c r="R65" s="21" t="s">
        <v>595</v>
      </c>
      <c r="S65" s="21"/>
      <c r="T65" s="89" t="n">
        <v>0</v>
      </c>
      <c r="U65" s="21"/>
      <c r="V65" s="21"/>
      <c r="W65" s="21"/>
      <c r="X65" s="21"/>
      <c r="Y65" s="21"/>
      <c r="Z65" s="21"/>
      <c r="AA65" s="89" t="s">
        <v>50</v>
      </c>
      <c r="AB65" s="329" t="n">
        <v>0</v>
      </c>
      <c r="AC65" s="36"/>
      <c r="AD65" s="95" t="n">
        <v>0</v>
      </c>
      <c r="AE65" s="95" t="n">
        <v>0</v>
      </c>
      <c r="AF65" s="20" t="s">
        <v>52</v>
      </c>
    </row>
    <row r="66" customFormat="false" ht="34.5" hidden="false" customHeight="false" outlineLevel="0" collapsed="false">
      <c r="A66" s="16" t="s">
        <v>42</v>
      </c>
      <c r="B66" s="16" t="s">
        <v>2300</v>
      </c>
      <c r="C66" s="71" t="s">
        <v>2436</v>
      </c>
      <c r="D66" s="72" t="s">
        <v>2436</v>
      </c>
      <c r="E66" s="16" t="s">
        <v>2437</v>
      </c>
      <c r="F66" s="16" t="n">
        <v>1550</v>
      </c>
      <c r="G66" s="16" t="n">
        <v>410</v>
      </c>
      <c r="H66" s="16" t="n">
        <v>2356</v>
      </c>
      <c r="I66" s="16" t="n">
        <v>1219</v>
      </c>
      <c r="J66" s="16" t="n">
        <v>1137</v>
      </c>
      <c r="K66" s="16" t="n">
        <v>267</v>
      </c>
      <c r="L66" s="19" t="n">
        <f aca="false">(K66/H66)*100</f>
        <v>11.3327674023769</v>
      </c>
      <c r="M66" s="16" t="n">
        <v>62</v>
      </c>
      <c r="N66" s="19" t="n">
        <f aca="false">(M66/H66)*100</f>
        <v>2.63157894736842</v>
      </c>
      <c r="O66" s="16" t="n">
        <v>80.9</v>
      </c>
      <c r="P66" s="16" t="n">
        <v>0</v>
      </c>
      <c r="Q66" s="129" t="s">
        <v>49</v>
      </c>
      <c r="R66" s="25" t="n">
        <v>45932</v>
      </c>
      <c r="S66" s="25"/>
      <c r="T66" s="92" t="n">
        <v>80.93</v>
      </c>
      <c r="U66" s="25"/>
      <c r="V66" s="25"/>
      <c r="W66" s="25"/>
      <c r="X66" s="25"/>
      <c r="Y66" s="25"/>
      <c r="Z66" s="25"/>
      <c r="AA66" s="92" t="s">
        <v>50</v>
      </c>
      <c r="AB66" s="328" t="n">
        <v>15</v>
      </c>
      <c r="AC66" s="120" t="s">
        <v>2438</v>
      </c>
      <c r="AD66" s="129" t="n">
        <v>27.227273</v>
      </c>
      <c r="AE66" s="129" t="n">
        <v>72.813495</v>
      </c>
      <c r="AF66" s="20" t="s">
        <v>52</v>
      </c>
    </row>
    <row r="67" customFormat="false" ht="34.5" hidden="false" customHeight="false" outlineLevel="0" collapsed="false">
      <c r="A67" s="16"/>
      <c r="B67" s="16"/>
      <c r="C67" s="71"/>
      <c r="D67" s="72"/>
      <c r="E67" s="16"/>
      <c r="F67" s="16"/>
      <c r="G67" s="16"/>
      <c r="H67" s="16"/>
      <c r="I67" s="16"/>
      <c r="J67" s="16"/>
      <c r="K67" s="16"/>
      <c r="L67" s="19"/>
      <c r="M67" s="16"/>
      <c r="N67" s="19"/>
      <c r="O67" s="16"/>
      <c r="P67" s="16"/>
      <c r="Q67" s="140"/>
      <c r="R67" s="141"/>
      <c r="S67" s="141"/>
      <c r="T67" s="143"/>
      <c r="U67" s="141"/>
      <c r="V67" s="141"/>
      <c r="W67" s="141"/>
      <c r="X67" s="141"/>
      <c r="Y67" s="141"/>
      <c r="Z67" s="141"/>
      <c r="AA67" s="143" t="s">
        <v>50</v>
      </c>
      <c r="AB67" s="330" t="n">
        <v>15</v>
      </c>
      <c r="AC67" s="144" t="s">
        <v>2439</v>
      </c>
      <c r="AD67" s="140" t="n">
        <v>27.21828</v>
      </c>
      <c r="AE67" s="140" t="n">
        <v>72.803368</v>
      </c>
      <c r="AF67" s="20" t="s">
        <v>52</v>
      </c>
    </row>
    <row r="68" customFormat="false" ht="15.75" hidden="false" customHeight="false" outlineLevel="0" collapsed="false">
      <c r="A68" s="16" t="s">
        <v>42</v>
      </c>
      <c r="B68" s="16" t="s">
        <v>2300</v>
      </c>
      <c r="C68" s="71" t="s">
        <v>2440</v>
      </c>
      <c r="D68" s="72" t="s">
        <v>2440</v>
      </c>
      <c r="E68" s="16" t="s">
        <v>2441</v>
      </c>
      <c r="F68" s="16" t="n">
        <v>1235.31</v>
      </c>
      <c r="G68" s="16" t="n">
        <v>139</v>
      </c>
      <c r="H68" s="16" t="n">
        <v>1137</v>
      </c>
      <c r="I68" s="16" t="n">
        <v>574</v>
      </c>
      <c r="J68" s="16" t="n">
        <v>563</v>
      </c>
      <c r="K68" s="16" t="n">
        <v>0</v>
      </c>
      <c r="L68" s="19" t="n">
        <f aca="false">(K68/H68)*100</f>
        <v>0</v>
      </c>
      <c r="M68" s="16" t="n">
        <v>0</v>
      </c>
      <c r="N68" s="19" t="n">
        <f aca="false">(M68/H68)*100</f>
        <v>0</v>
      </c>
      <c r="O68" s="16" t="n">
        <v>14.65</v>
      </c>
      <c r="P68" s="16" t="n">
        <v>0</v>
      </c>
      <c r="Q68" s="129" t="s">
        <v>49</v>
      </c>
      <c r="R68" s="25" t="n">
        <v>45932</v>
      </c>
      <c r="S68" s="25"/>
      <c r="T68" s="92" t="n">
        <v>0</v>
      </c>
      <c r="U68" s="25"/>
      <c r="V68" s="25"/>
      <c r="W68" s="25"/>
      <c r="X68" s="25"/>
      <c r="Y68" s="25"/>
      <c r="Z68" s="25"/>
      <c r="AA68" s="92" t="s">
        <v>50</v>
      </c>
      <c r="AB68" s="328" t="n">
        <v>0</v>
      </c>
      <c r="AC68" s="57"/>
      <c r="AD68" s="129"/>
      <c r="AE68" s="129"/>
      <c r="AF68" s="20" t="s">
        <v>52</v>
      </c>
    </row>
    <row r="69" customFormat="false" ht="15.75" hidden="false" customHeight="false" outlineLevel="0" collapsed="false">
      <c r="A69" s="16" t="s">
        <v>42</v>
      </c>
      <c r="B69" s="16" t="s">
        <v>2300</v>
      </c>
      <c r="C69" s="71" t="s">
        <v>2440</v>
      </c>
      <c r="D69" s="16" t="s">
        <v>2442</v>
      </c>
      <c r="E69" s="16" t="s">
        <v>2443</v>
      </c>
      <c r="F69" s="16" t="n">
        <v>745</v>
      </c>
      <c r="G69" s="16" t="n">
        <v>66</v>
      </c>
      <c r="H69" s="16" t="n">
        <v>420</v>
      </c>
      <c r="I69" s="16" t="n">
        <v>229</v>
      </c>
      <c r="J69" s="16" t="n">
        <v>191</v>
      </c>
      <c r="K69" s="16" t="n">
        <v>0</v>
      </c>
      <c r="L69" s="19" t="n">
        <f aca="false">(K69/H69)*100</f>
        <v>0</v>
      </c>
      <c r="M69" s="16" t="n">
        <v>0</v>
      </c>
      <c r="N69" s="19" t="n">
        <f aca="false">(M69/H69)*100</f>
        <v>0</v>
      </c>
      <c r="O69" s="16" t="n">
        <v>0</v>
      </c>
      <c r="P69" s="16" t="n">
        <v>0</v>
      </c>
      <c r="Q69" s="129" t="s">
        <v>49</v>
      </c>
      <c r="R69" s="25" t="n">
        <v>45932</v>
      </c>
      <c r="S69" s="25"/>
      <c r="T69" s="92" t="n">
        <v>0</v>
      </c>
      <c r="U69" s="25"/>
      <c r="V69" s="25"/>
      <c r="W69" s="25"/>
      <c r="X69" s="25"/>
      <c r="Y69" s="25"/>
      <c r="Z69" s="25"/>
      <c r="AA69" s="92" t="s">
        <v>50</v>
      </c>
      <c r="AB69" s="328" t="n">
        <v>0</v>
      </c>
      <c r="AC69" s="57"/>
      <c r="AD69" s="129"/>
      <c r="AE69" s="129"/>
      <c r="AF69" s="20" t="s">
        <v>52</v>
      </c>
    </row>
    <row r="70" customFormat="false" ht="15.75" hidden="false" customHeight="false" outlineLevel="0" collapsed="false">
      <c r="A70" s="16" t="s">
        <v>42</v>
      </c>
      <c r="B70" s="16" t="s">
        <v>2300</v>
      </c>
      <c r="C70" s="71" t="s">
        <v>2440</v>
      </c>
      <c r="D70" s="16" t="s">
        <v>2444</v>
      </c>
      <c r="E70" s="16" t="s">
        <v>2445</v>
      </c>
      <c r="F70" s="16" t="n">
        <v>1084</v>
      </c>
      <c r="G70" s="16" t="n">
        <v>70</v>
      </c>
      <c r="H70" s="16" t="n">
        <v>468</v>
      </c>
      <c r="I70" s="16" t="n">
        <v>260</v>
      </c>
      <c r="J70" s="16" t="n">
        <v>208</v>
      </c>
      <c r="K70" s="16" t="n">
        <v>0</v>
      </c>
      <c r="L70" s="19" t="n">
        <f aca="false">(K70/H70)*100</f>
        <v>0</v>
      </c>
      <c r="M70" s="16" t="n">
        <v>0</v>
      </c>
      <c r="N70" s="19" t="n">
        <f aca="false">(M70/H70)*100</f>
        <v>0</v>
      </c>
      <c r="O70" s="16" t="n">
        <v>103</v>
      </c>
      <c r="P70" s="16" t="n">
        <v>0</v>
      </c>
      <c r="Q70" s="129" t="s">
        <v>49</v>
      </c>
      <c r="R70" s="25" t="n">
        <v>45932</v>
      </c>
      <c r="S70" s="25"/>
      <c r="T70" s="92" t="n">
        <v>0</v>
      </c>
      <c r="U70" s="25"/>
      <c r="V70" s="25"/>
      <c r="W70" s="25"/>
      <c r="X70" s="25"/>
      <c r="Y70" s="25"/>
      <c r="Z70" s="25"/>
      <c r="AA70" s="92" t="s">
        <v>50</v>
      </c>
      <c r="AB70" s="328" t="n">
        <v>0</v>
      </c>
      <c r="AC70" s="57"/>
      <c r="AD70" s="129"/>
      <c r="AE70" s="129"/>
      <c r="AF70" s="20" t="s">
        <v>52</v>
      </c>
    </row>
    <row r="71" customFormat="false" ht="15.75" hidden="false" customHeight="false" outlineLevel="0" collapsed="false">
      <c r="A71" s="16" t="s">
        <v>42</v>
      </c>
      <c r="B71" s="16" t="s">
        <v>2300</v>
      </c>
      <c r="C71" s="71" t="s">
        <v>2440</v>
      </c>
      <c r="D71" s="16" t="s">
        <v>2446</v>
      </c>
      <c r="E71" s="16" t="s">
        <v>2447</v>
      </c>
      <c r="F71" s="16" t="n">
        <v>2602</v>
      </c>
      <c r="G71" s="16" t="n">
        <v>81</v>
      </c>
      <c r="H71" s="16" t="n">
        <v>514</v>
      </c>
      <c r="I71" s="16" t="n">
        <v>265</v>
      </c>
      <c r="J71" s="16" t="n">
        <v>249</v>
      </c>
      <c r="K71" s="16" t="n">
        <v>0</v>
      </c>
      <c r="L71" s="19" t="n">
        <f aca="false">(K71/H71)*100</f>
        <v>0</v>
      </c>
      <c r="M71" s="16" t="n">
        <v>0</v>
      </c>
      <c r="N71" s="19" t="n">
        <f aca="false">(M71/H71)*100</f>
        <v>0</v>
      </c>
      <c r="O71" s="16" t="n">
        <v>74</v>
      </c>
      <c r="P71" s="16" t="n">
        <v>0</v>
      </c>
      <c r="Q71" s="129" t="s">
        <v>49</v>
      </c>
      <c r="R71" s="25" t="n">
        <v>45932</v>
      </c>
      <c r="S71" s="25"/>
      <c r="T71" s="92" t="n">
        <v>0</v>
      </c>
      <c r="U71" s="25"/>
      <c r="V71" s="25"/>
      <c r="W71" s="25"/>
      <c r="X71" s="25"/>
      <c r="Y71" s="25"/>
      <c r="Z71" s="25"/>
      <c r="AA71" s="92" t="s">
        <v>50</v>
      </c>
      <c r="AB71" s="328" t="n">
        <v>0</v>
      </c>
      <c r="AC71" s="57"/>
      <c r="AD71" s="129"/>
      <c r="AE71" s="129"/>
      <c r="AF71" s="20" t="s">
        <v>52</v>
      </c>
    </row>
    <row r="72" customFormat="false" ht="15.75" hidden="false" customHeight="false" outlineLevel="0" collapsed="false">
      <c r="A72" s="16" t="s">
        <v>42</v>
      </c>
      <c r="B72" s="16" t="s">
        <v>2300</v>
      </c>
      <c r="C72" s="71" t="s">
        <v>2440</v>
      </c>
      <c r="D72" s="16" t="s">
        <v>2448</v>
      </c>
      <c r="E72" s="16" t="s">
        <v>2449</v>
      </c>
      <c r="F72" s="16" t="n">
        <v>2842.45</v>
      </c>
      <c r="G72" s="16" t="n">
        <v>89</v>
      </c>
      <c r="H72" s="16" t="n">
        <v>537</v>
      </c>
      <c r="I72" s="16" t="n">
        <v>300</v>
      </c>
      <c r="J72" s="16" t="n">
        <v>237</v>
      </c>
      <c r="K72" s="16" t="n">
        <v>0</v>
      </c>
      <c r="L72" s="19" t="n">
        <f aca="false">(K72/H72)*100</f>
        <v>0</v>
      </c>
      <c r="M72" s="16" t="n">
        <v>0</v>
      </c>
      <c r="N72" s="19" t="n">
        <f aca="false">(M72/H72)*100</f>
        <v>0</v>
      </c>
      <c r="O72" s="16" t="n">
        <v>192</v>
      </c>
      <c r="P72" s="16" t="n">
        <v>0</v>
      </c>
      <c r="Q72" s="129" t="s">
        <v>49</v>
      </c>
      <c r="R72" s="25" t="n">
        <v>45932</v>
      </c>
      <c r="S72" s="25"/>
      <c r="T72" s="92" t="n">
        <v>0</v>
      </c>
      <c r="U72" s="25"/>
      <c r="V72" s="25"/>
      <c r="W72" s="25"/>
      <c r="X72" s="25"/>
      <c r="Y72" s="25"/>
      <c r="Z72" s="25"/>
      <c r="AA72" s="92" t="s">
        <v>50</v>
      </c>
      <c r="AB72" s="328" t="n">
        <v>0</v>
      </c>
      <c r="AC72" s="57"/>
      <c r="AD72" s="129"/>
      <c r="AE72" s="129"/>
      <c r="AF72" s="20" t="s">
        <v>52</v>
      </c>
    </row>
    <row r="73" customFormat="false" ht="15.75" hidden="false" customHeight="false" outlineLevel="0" collapsed="false">
      <c r="A73" s="16" t="s">
        <v>42</v>
      </c>
      <c r="B73" s="16" t="s">
        <v>2300</v>
      </c>
      <c r="C73" s="71" t="s">
        <v>2440</v>
      </c>
      <c r="D73" s="16" t="s">
        <v>2450</v>
      </c>
      <c r="E73" s="16" t="s">
        <v>2451</v>
      </c>
      <c r="F73" s="16" t="n">
        <v>812.34</v>
      </c>
      <c r="G73" s="16" t="n">
        <v>31</v>
      </c>
      <c r="H73" s="16" t="n">
        <v>169</v>
      </c>
      <c r="I73" s="16" t="n">
        <v>90</v>
      </c>
      <c r="J73" s="16" t="n">
        <v>79</v>
      </c>
      <c r="K73" s="16" t="n">
        <v>0</v>
      </c>
      <c r="L73" s="19" t="n">
        <f aca="false">(K73/H73)*100</f>
        <v>0</v>
      </c>
      <c r="M73" s="16" t="n">
        <v>0</v>
      </c>
      <c r="N73" s="19" t="n">
        <f aca="false">(M73/H73)*100</f>
        <v>0</v>
      </c>
      <c r="O73" s="16" t="n">
        <v>20</v>
      </c>
      <c r="P73" s="16" t="n">
        <v>0</v>
      </c>
      <c r="Q73" s="129" t="s">
        <v>49</v>
      </c>
      <c r="R73" s="25" t="n">
        <v>45932</v>
      </c>
      <c r="S73" s="25"/>
      <c r="T73" s="92" t="n">
        <v>0</v>
      </c>
      <c r="U73" s="25"/>
      <c r="V73" s="25"/>
      <c r="W73" s="25"/>
      <c r="X73" s="25"/>
      <c r="Y73" s="25"/>
      <c r="Z73" s="25"/>
      <c r="AA73" s="92" t="s">
        <v>50</v>
      </c>
      <c r="AB73" s="328" t="n">
        <v>0</v>
      </c>
      <c r="AC73" s="57"/>
      <c r="AD73" s="129"/>
      <c r="AE73" s="129"/>
      <c r="AF73" s="20" t="s">
        <v>52</v>
      </c>
    </row>
    <row r="74" customFormat="false" ht="15.75" hidden="false" customHeight="false" outlineLevel="0" collapsed="false">
      <c r="A74" s="16" t="s">
        <v>42</v>
      </c>
      <c r="B74" s="16" t="s">
        <v>2300</v>
      </c>
      <c r="C74" s="16"/>
      <c r="D74" s="16" t="s">
        <v>2452</v>
      </c>
      <c r="E74" s="16" t="s">
        <v>2453</v>
      </c>
      <c r="F74" s="16" t="n">
        <v>784.59</v>
      </c>
      <c r="G74" s="16" t="n">
        <v>104</v>
      </c>
      <c r="H74" s="16" t="n">
        <v>585</v>
      </c>
      <c r="I74" s="16" t="n">
        <v>310</v>
      </c>
      <c r="J74" s="16" t="n">
        <v>275</v>
      </c>
      <c r="K74" s="16" t="n">
        <v>32</v>
      </c>
      <c r="L74" s="19" t="n">
        <f aca="false">(K74/H74)*100</f>
        <v>5.47008547008547</v>
      </c>
      <c r="M74" s="16" t="n">
        <v>0</v>
      </c>
      <c r="N74" s="19" t="n">
        <f aca="false">(M74/H74)*100</f>
        <v>0</v>
      </c>
      <c r="O74" s="16" t="n">
        <v>2</v>
      </c>
      <c r="P74" s="16" t="n">
        <v>0</v>
      </c>
      <c r="Q74" s="20"/>
      <c r="R74" s="21"/>
      <c r="S74" s="21"/>
      <c r="T74" s="89"/>
      <c r="U74" s="21"/>
      <c r="V74" s="21"/>
      <c r="W74" s="21"/>
      <c r="X74" s="21"/>
      <c r="Y74" s="21"/>
      <c r="Z74" s="21"/>
      <c r="AA74" s="89"/>
      <c r="AB74" s="329"/>
      <c r="AC74" s="20"/>
      <c r="AD74" s="20"/>
      <c r="AE74" s="20"/>
      <c r="AF74" s="20" t="s">
        <v>52</v>
      </c>
    </row>
    <row r="75" customFormat="false" ht="15.75" hidden="false" customHeight="false" outlineLevel="0" collapsed="false">
      <c r="A75" s="16" t="s">
        <v>42</v>
      </c>
      <c r="B75" s="16" t="s">
        <v>2300</v>
      </c>
      <c r="C75" s="71" t="s">
        <v>2454</v>
      </c>
      <c r="D75" s="72" t="s">
        <v>2455</v>
      </c>
      <c r="E75" s="16" t="s">
        <v>2456</v>
      </c>
      <c r="F75" s="16" t="n">
        <v>1037</v>
      </c>
      <c r="G75" s="16" t="n">
        <v>186</v>
      </c>
      <c r="H75" s="16" t="n">
        <v>1233</v>
      </c>
      <c r="I75" s="16" t="n">
        <v>679</v>
      </c>
      <c r="J75" s="16" t="n">
        <v>554</v>
      </c>
      <c r="K75" s="16" t="n">
        <v>4</v>
      </c>
      <c r="L75" s="19" t="n">
        <f aca="false">(K75/H75)*100</f>
        <v>0.32441200324412</v>
      </c>
      <c r="M75" s="16" t="n">
        <v>174</v>
      </c>
      <c r="N75" s="19" t="n">
        <f aca="false">(M75/H75)*100</f>
        <v>14.1119221411192</v>
      </c>
      <c r="O75" s="16" t="n">
        <v>15</v>
      </c>
      <c r="P75" s="16" t="n">
        <v>0</v>
      </c>
      <c r="Q75" s="129" t="s">
        <v>49</v>
      </c>
      <c r="R75" s="25" t="n">
        <v>45932</v>
      </c>
      <c r="S75" s="25"/>
      <c r="T75" s="92" t="n">
        <v>14.13</v>
      </c>
      <c r="U75" s="25"/>
      <c r="V75" s="25"/>
      <c r="W75" s="25"/>
      <c r="X75" s="25"/>
      <c r="Y75" s="25"/>
      <c r="Z75" s="25"/>
      <c r="AA75" s="92" t="s">
        <v>50</v>
      </c>
      <c r="AB75" s="328" t="n">
        <v>0</v>
      </c>
      <c r="AC75" s="57"/>
      <c r="AD75" s="129"/>
      <c r="AE75" s="129"/>
      <c r="AF75" s="20" t="s">
        <v>52</v>
      </c>
    </row>
    <row r="76" customFormat="false" ht="15.75" hidden="false" customHeight="false" outlineLevel="0" collapsed="false">
      <c r="A76" s="16" t="s">
        <v>42</v>
      </c>
      <c r="B76" s="16" t="s">
        <v>2300</v>
      </c>
      <c r="C76" s="71" t="s">
        <v>2454</v>
      </c>
      <c r="D76" s="16" t="s">
        <v>2457</v>
      </c>
      <c r="E76" s="16" t="s">
        <v>2458</v>
      </c>
      <c r="F76" s="16" t="n">
        <v>834</v>
      </c>
      <c r="G76" s="16" t="n">
        <v>203</v>
      </c>
      <c r="H76" s="16" t="n">
        <v>1342</v>
      </c>
      <c r="I76" s="16" t="n">
        <v>705</v>
      </c>
      <c r="J76" s="16" t="n">
        <v>637</v>
      </c>
      <c r="K76" s="16" t="n">
        <v>179</v>
      </c>
      <c r="L76" s="19" t="n">
        <f aca="false">(K76/H76)*100</f>
        <v>13.3383010432191</v>
      </c>
      <c r="M76" s="16" t="n">
        <v>26</v>
      </c>
      <c r="N76" s="19" t="n">
        <f aca="false">(M76/H76)*100</f>
        <v>1.93740685543964</v>
      </c>
      <c r="O76" s="16" t="n">
        <v>15</v>
      </c>
      <c r="P76" s="16" t="n">
        <v>0</v>
      </c>
      <c r="Q76" s="129" t="s">
        <v>49</v>
      </c>
      <c r="R76" s="25" t="n">
        <v>45932</v>
      </c>
      <c r="S76" s="25"/>
      <c r="T76" s="92" t="n">
        <v>6.77</v>
      </c>
      <c r="U76" s="25"/>
      <c r="V76" s="25"/>
      <c r="W76" s="25"/>
      <c r="X76" s="25"/>
      <c r="Y76" s="25"/>
      <c r="Z76" s="25"/>
      <c r="AA76" s="92" t="s">
        <v>50</v>
      </c>
      <c r="AB76" s="328" t="n">
        <v>0</v>
      </c>
      <c r="AC76" s="57"/>
      <c r="AD76" s="129"/>
      <c r="AE76" s="129"/>
      <c r="AF76" s="20" t="s">
        <v>52</v>
      </c>
    </row>
    <row r="77" customFormat="false" ht="15.75" hidden="false" customHeight="false" outlineLevel="0" collapsed="false">
      <c r="A77" s="16" t="s">
        <v>42</v>
      </c>
      <c r="B77" s="16" t="s">
        <v>2300</v>
      </c>
      <c r="C77" s="71" t="s">
        <v>2459</v>
      </c>
      <c r="D77" s="72" t="s">
        <v>2459</v>
      </c>
      <c r="E77" s="16" t="s">
        <v>2460</v>
      </c>
      <c r="F77" s="16" t="n">
        <v>1018</v>
      </c>
      <c r="G77" s="16" t="n">
        <v>327</v>
      </c>
      <c r="H77" s="16" t="n">
        <v>2264</v>
      </c>
      <c r="I77" s="16" t="n">
        <v>1207</v>
      </c>
      <c r="J77" s="16" t="n">
        <v>1057</v>
      </c>
      <c r="K77" s="16" t="n">
        <v>187</v>
      </c>
      <c r="L77" s="19" t="n">
        <f aca="false">(K77/H77)*100</f>
        <v>8.25971731448763</v>
      </c>
      <c r="M77" s="16" t="n">
        <v>0</v>
      </c>
      <c r="N77" s="19" t="n">
        <f aca="false">(M77/H77)*100</f>
        <v>0</v>
      </c>
      <c r="O77" s="16" t="n">
        <v>0</v>
      </c>
      <c r="P77" s="16" t="n">
        <v>0</v>
      </c>
      <c r="Q77" s="129" t="s">
        <v>49</v>
      </c>
      <c r="R77" s="25" t="n">
        <v>45932</v>
      </c>
      <c r="S77" s="25"/>
      <c r="T77" s="92" t="n">
        <v>0</v>
      </c>
      <c r="U77" s="25"/>
      <c r="V77" s="25"/>
      <c r="W77" s="25"/>
      <c r="X77" s="25"/>
      <c r="Y77" s="25"/>
      <c r="Z77" s="25"/>
      <c r="AA77" s="92" t="s">
        <v>50</v>
      </c>
      <c r="AB77" s="328" t="n">
        <v>0</v>
      </c>
      <c r="AC77" s="57"/>
      <c r="AD77" s="129"/>
      <c r="AE77" s="129"/>
      <c r="AF77" s="20" t="s">
        <v>52</v>
      </c>
    </row>
    <row r="78" customFormat="false" ht="51.75" hidden="false" customHeight="false" outlineLevel="0" collapsed="false">
      <c r="A78" s="16" t="s">
        <v>42</v>
      </c>
      <c r="B78" s="16" t="s">
        <v>2300</v>
      </c>
      <c r="C78" s="71" t="s">
        <v>2461</v>
      </c>
      <c r="D78" s="72" t="s">
        <v>2462</v>
      </c>
      <c r="E78" s="16" t="s">
        <v>2463</v>
      </c>
      <c r="F78" s="16" t="n">
        <v>1126.78</v>
      </c>
      <c r="G78" s="16" t="n">
        <v>167</v>
      </c>
      <c r="H78" s="16" t="n">
        <v>897</v>
      </c>
      <c r="I78" s="16" t="n">
        <v>472</v>
      </c>
      <c r="J78" s="16" t="n">
        <v>425</v>
      </c>
      <c r="K78" s="16" t="n">
        <v>321</v>
      </c>
      <c r="L78" s="19" t="n">
        <f aca="false">(K78/H78)*100</f>
        <v>35.7859531772575</v>
      </c>
      <c r="M78" s="16" t="n">
        <v>0</v>
      </c>
      <c r="N78" s="19" t="n">
        <f aca="false">(M78/H78)*100</f>
        <v>0</v>
      </c>
      <c r="O78" s="16" t="n">
        <v>208.71</v>
      </c>
      <c r="P78" s="16" t="n">
        <v>0</v>
      </c>
      <c r="Q78" s="53" t="s">
        <v>49</v>
      </c>
      <c r="R78" s="47" t="s">
        <v>595</v>
      </c>
      <c r="S78" s="47"/>
      <c r="T78" s="119" t="n">
        <v>211.0232</v>
      </c>
      <c r="U78" s="47"/>
      <c r="V78" s="47"/>
      <c r="W78" s="47"/>
      <c r="X78" s="47"/>
      <c r="Y78" s="47"/>
      <c r="Z78" s="47"/>
      <c r="AA78" s="119" t="s">
        <v>50</v>
      </c>
      <c r="AB78" s="331" t="n">
        <v>3</v>
      </c>
      <c r="AC78" s="127" t="s">
        <v>2464</v>
      </c>
      <c r="AD78" s="45" t="n">
        <v>27.213025</v>
      </c>
      <c r="AE78" s="45" t="n">
        <v>72.713595</v>
      </c>
      <c r="AF78" s="20" t="s">
        <v>52</v>
      </c>
    </row>
    <row r="79" customFormat="false" ht="15.75" hidden="false" customHeight="false" outlineLevel="0" collapsed="false">
      <c r="A79" s="16" t="s">
        <v>42</v>
      </c>
      <c r="B79" s="16" t="s">
        <v>2300</v>
      </c>
      <c r="C79" s="71" t="s">
        <v>2461</v>
      </c>
      <c r="D79" s="16" t="s">
        <v>2465</v>
      </c>
      <c r="E79" s="16" t="s">
        <v>2466</v>
      </c>
      <c r="F79" s="16" t="n">
        <v>623.76</v>
      </c>
      <c r="G79" s="16" t="n">
        <v>109</v>
      </c>
      <c r="H79" s="16" t="n">
        <v>639</v>
      </c>
      <c r="I79" s="16" t="n">
        <v>357</v>
      </c>
      <c r="J79" s="16" t="n">
        <v>282</v>
      </c>
      <c r="K79" s="16" t="n">
        <v>81</v>
      </c>
      <c r="L79" s="19" t="n">
        <f aca="false">(K79/H79)*100</f>
        <v>12.6760563380282</v>
      </c>
      <c r="M79" s="16" t="n">
        <v>60</v>
      </c>
      <c r="N79" s="19" t="n">
        <f aca="false">(M79/H79)*100</f>
        <v>9.38967136150235</v>
      </c>
      <c r="O79" s="16" t="n">
        <v>0</v>
      </c>
      <c r="P79" s="16" t="n">
        <v>0</v>
      </c>
      <c r="Q79" s="95" t="s">
        <v>49</v>
      </c>
      <c r="R79" s="21" t="s">
        <v>595</v>
      </c>
      <c r="S79" s="21"/>
      <c r="T79" s="89" t="n">
        <v>0</v>
      </c>
      <c r="U79" s="21"/>
      <c r="V79" s="21"/>
      <c r="W79" s="21"/>
      <c r="X79" s="21"/>
      <c r="Y79" s="21"/>
      <c r="Z79" s="21"/>
      <c r="AA79" s="89" t="s">
        <v>50</v>
      </c>
      <c r="AB79" s="329" t="n">
        <v>0</v>
      </c>
      <c r="AC79" s="36"/>
      <c r="AD79" s="95" t="n">
        <v>0</v>
      </c>
      <c r="AE79" s="95" t="n">
        <v>0</v>
      </c>
      <c r="AF79" s="20" t="s">
        <v>52</v>
      </c>
    </row>
    <row r="80" customFormat="false" ht="15.75" hidden="false" customHeight="false" outlineLevel="0" collapsed="false">
      <c r="A80" s="16" t="s">
        <v>42</v>
      </c>
      <c r="B80" s="16" t="s">
        <v>2300</v>
      </c>
      <c r="C80" s="71" t="s">
        <v>2461</v>
      </c>
      <c r="D80" s="16" t="s">
        <v>771</v>
      </c>
      <c r="E80" s="16" t="s">
        <v>2467</v>
      </c>
      <c r="F80" s="16" t="n">
        <v>854.79</v>
      </c>
      <c r="G80" s="16" t="n">
        <v>128</v>
      </c>
      <c r="H80" s="16" t="n">
        <v>771</v>
      </c>
      <c r="I80" s="16" t="n">
        <v>391</v>
      </c>
      <c r="J80" s="16" t="n">
        <v>380</v>
      </c>
      <c r="K80" s="16" t="n">
        <v>219</v>
      </c>
      <c r="L80" s="19" t="n">
        <f aca="false">(K80/H80)*100</f>
        <v>28.4046692607004</v>
      </c>
      <c r="M80" s="16" t="n">
        <v>136</v>
      </c>
      <c r="N80" s="19" t="n">
        <f aca="false">(M80/H80)*100</f>
        <v>17.6394293125811</v>
      </c>
      <c r="O80" s="16" t="n">
        <v>0</v>
      </c>
      <c r="P80" s="16" t="n">
        <v>0</v>
      </c>
      <c r="Q80" s="95" t="s">
        <v>49</v>
      </c>
      <c r="R80" s="21" t="s">
        <v>595</v>
      </c>
      <c r="S80" s="21"/>
      <c r="T80" s="89" t="n">
        <v>0</v>
      </c>
      <c r="U80" s="21"/>
      <c r="V80" s="21"/>
      <c r="W80" s="21"/>
      <c r="X80" s="21"/>
      <c r="Y80" s="21"/>
      <c r="Z80" s="21"/>
      <c r="AA80" s="89" t="s">
        <v>50</v>
      </c>
      <c r="AB80" s="329" t="n">
        <v>0</v>
      </c>
      <c r="AC80" s="36"/>
      <c r="AD80" s="95" t="n">
        <v>0</v>
      </c>
      <c r="AE80" s="95" t="n">
        <v>0</v>
      </c>
      <c r="AF80" s="20" t="s">
        <v>52</v>
      </c>
    </row>
    <row r="81" customFormat="false" ht="15.75" hidden="false" customHeight="false" outlineLevel="0" collapsed="false">
      <c r="A81" s="16" t="s">
        <v>42</v>
      </c>
      <c r="B81" s="16" t="s">
        <v>2300</v>
      </c>
      <c r="C81" s="71" t="s">
        <v>2461</v>
      </c>
      <c r="D81" s="16" t="s">
        <v>2468</v>
      </c>
      <c r="E81" s="16" t="s">
        <v>2469</v>
      </c>
      <c r="F81" s="16" t="n">
        <v>875.99</v>
      </c>
      <c r="G81" s="16" t="n">
        <v>103</v>
      </c>
      <c r="H81" s="16" t="n">
        <v>627</v>
      </c>
      <c r="I81" s="16" t="n">
        <v>328</v>
      </c>
      <c r="J81" s="16" t="n">
        <v>299</v>
      </c>
      <c r="K81" s="16" t="n">
        <v>185</v>
      </c>
      <c r="L81" s="19" t="n">
        <f aca="false">(K81/H81)*100</f>
        <v>29.5055821371611</v>
      </c>
      <c r="M81" s="16" t="n">
        <v>0</v>
      </c>
      <c r="N81" s="19" t="n">
        <f aca="false">(M81/H81)*100</f>
        <v>0</v>
      </c>
      <c r="O81" s="16" t="n">
        <v>0</v>
      </c>
      <c r="P81" s="16" t="n">
        <v>0</v>
      </c>
      <c r="Q81" s="95" t="s">
        <v>49</v>
      </c>
      <c r="R81" s="21" t="s">
        <v>595</v>
      </c>
      <c r="S81" s="21"/>
      <c r="T81" s="89" t="n">
        <v>0</v>
      </c>
      <c r="U81" s="21"/>
      <c r="V81" s="21"/>
      <c r="W81" s="21"/>
      <c r="X81" s="21"/>
      <c r="Y81" s="21"/>
      <c r="Z81" s="21"/>
      <c r="AA81" s="89" t="s">
        <v>50</v>
      </c>
      <c r="AB81" s="329" t="n">
        <v>0</v>
      </c>
      <c r="AC81" s="36"/>
      <c r="AD81" s="95" t="n">
        <v>0</v>
      </c>
      <c r="AE81" s="95" t="n">
        <v>0</v>
      </c>
      <c r="AF81" s="20" t="s">
        <v>52</v>
      </c>
    </row>
    <row r="82" customFormat="false" ht="15.75" hidden="false" customHeight="false" outlineLevel="0" collapsed="false">
      <c r="A82" s="16" t="s">
        <v>42</v>
      </c>
      <c r="B82" s="16" t="s">
        <v>2300</v>
      </c>
      <c r="C82" s="71" t="s">
        <v>2461</v>
      </c>
      <c r="D82" s="16" t="s">
        <v>2470</v>
      </c>
      <c r="E82" s="16" t="s">
        <v>2471</v>
      </c>
      <c r="F82" s="16" t="n">
        <v>677.85</v>
      </c>
      <c r="G82" s="16" t="n">
        <v>122</v>
      </c>
      <c r="H82" s="16" t="n">
        <v>640</v>
      </c>
      <c r="I82" s="16" t="n">
        <v>324</v>
      </c>
      <c r="J82" s="16" t="n">
        <v>316</v>
      </c>
      <c r="K82" s="16" t="n">
        <v>91</v>
      </c>
      <c r="L82" s="19" t="n">
        <f aca="false">(K82/H82)*100</f>
        <v>14.21875</v>
      </c>
      <c r="M82" s="16" t="n">
        <v>0</v>
      </c>
      <c r="N82" s="19" t="n">
        <f aca="false">(M82/H82)*100</f>
        <v>0</v>
      </c>
      <c r="O82" s="16" t="n">
        <v>138.11</v>
      </c>
      <c r="P82" s="16" t="n">
        <v>0</v>
      </c>
      <c r="Q82" s="53" t="s">
        <v>49</v>
      </c>
      <c r="R82" s="47" t="s">
        <v>595</v>
      </c>
      <c r="S82" s="47"/>
      <c r="T82" s="119" t="n">
        <v>108.783</v>
      </c>
      <c r="U82" s="47"/>
      <c r="V82" s="47"/>
      <c r="W82" s="47"/>
      <c r="X82" s="47"/>
      <c r="Y82" s="47"/>
      <c r="Z82" s="47"/>
      <c r="AA82" s="119" t="s">
        <v>50</v>
      </c>
      <c r="AB82" s="331" t="n">
        <v>0</v>
      </c>
      <c r="AC82" s="128"/>
      <c r="AD82" s="45" t="n">
        <v>0</v>
      </c>
      <c r="AE82" s="45" t="n">
        <v>0</v>
      </c>
      <c r="AF82" s="20" t="s">
        <v>52</v>
      </c>
    </row>
    <row r="83" customFormat="false" ht="15.75" hidden="false" customHeight="false" outlineLevel="0" collapsed="false">
      <c r="A83" s="16" t="s">
        <v>42</v>
      </c>
      <c r="B83" s="16" t="s">
        <v>2300</v>
      </c>
      <c r="C83" s="71" t="s">
        <v>2472</v>
      </c>
      <c r="D83" s="72" t="s">
        <v>2473</v>
      </c>
      <c r="E83" s="16" t="s">
        <v>2474</v>
      </c>
      <c r="F83" s="16" t="n">
        <v>1089.76</v>
      </c>
      <c r="G83" s="16" t="n">
        <v>138</v>
      </c>
      <c r="H83" s="16" t="n">
        <v>938</v>
      </c>
      <c r="I83" s="16" t="n">
        <v>480</v>
      </c>
      <c r="J83" s="16" t="n">
        <v>458</v>
      </c>
      <c r="K83" s="16" t="n">
        <v>268</v>
      </c>
      <c r="L83" s="19" t="n">
        <f aca="false">(K83/H83)*100</f>
        <v>28.5714285714286</v>
      </c>
      <c r="M83" s="16" t="n">
        <v>25</v>
      </c>
      <c r="N83" s="19" t="n">
        <f aca="false">(M83/H83)*100</f>
        <v>2.66524520255864</v>
      </c>
      <c r="O83" s="16" t="n">
        <v>3.11</v>
      </c>
      <c r="P83" s="16" t="n">
        <v>0</v>
      </c>
      <c r="Q83" s="53" t="s">
        <v>49</v>
      </c>
      <c r="R83" s="47" t="s">
        <v>595</v>
      </c>
      <c r="S83" s="47"/>
      <c r="T83" s="119" t="n">
        <v>9712</v>
      </c>
      <c r="U83" s="47"/>
      <c r="V83" s="47"/>
      <c r="W83" s="47"/>
      <c r="X83" s="47"/>
      <c r="Y83" s="47"/>
      <c r="Z83" s="47"/>
      <c r="AA83" s="119" t="s">
        <v>50</v>
      </c>
      <c r="AB83" s="331" t="n">
        <v>0</v>
      </c>
      <c r="AC83" s="54"/>
      <c r="AD83" s="45" t="n">
        <v>0</v>
      </c>
      <c r="AE83" s="45" t="n">
        <v>0</v>
      </c>
      <c r="AF83" s="20" t="s">
        <v>52</v>
      </c>
    </row>
    <row r="84" customFormat="false" ht="17.25" hidden="false" customHeight="false" outlineLevel="0" collapsed="false">
      <c r="A84" s="16" t="s">
        <v>42</v>
      </c>
      <c r="B84" s="16" t="s">
        <v>2300</v>
      </c>
      <c r="C84" s="71" t="s">
        <v>2472</v>
      </c>
      <c r="D84" s="16" t="s">
        <v>1107</v>
      </c>
      <c r="E84" s="16" t="s">
        <v>2475</v>
      </c>
      <c r="F84" s="16" t="n">
        <v>1047.78</v>
      </c>
      <c r="G84" s="16" t="n">
        <v>91</v>
      </c>
      <c r="H84" s="16" t="n">
        <v>700</v>
      </c>
      <c r="I84" s="16" t="n">
        <v>332</v>
      </c>
      <c r="J84" s="16" t="n">
        <v>368</v>
      </c>
      <c r="K84" s="16" t="n">
        <v>163</v>
      </c>
      <c r="L84" s="19" t="n">
        <f aca="false">(K84/H84)*100</f>
        <v>23.2857142857143</v>
      </c>
      <c r="M84" s="16" t="n">
        <v>0</v>
      </c>
      <c r="N84" s="19" t="n">
        <f aca="false">(M84/H84)*100</f>
        <v>0</v>
      </c>
      <c r="O84" s="16" t="n">
        <v>30.94</v>
      </c>
      <c r="P84" s="16" t="n">
        <v>0</v>
      </c>
      <c r="Q84" s="53" t="s">
        <v>49</v>
      </c>
      <c r="R84" s="47" t="s">
        <v>595</v>
      </c>
      <c r="S84" s="47"/>
      <c r="T84" s="119" t="n">
        <v>31.2983</v>
      </c>
      <c r="U84" s="47"/>
      <c r="V84" s="47"/>
      <c r="W84" s="47"/>
      <c r="X84" s="47"/>
      <c r="Y84" s="47"/>
      <c r="Z84" s="47"/>
      <c r="AA84" s="119" t="s">
        <v>50</v>
      </c>
      <c r="AB84" s="331" t="n">
        <v>15</v>
      </c>
      <c r="AC84" s="120" t="s">
        <v>2476</v>
      </c>
      <c r="AD84" s="45" t="n">
        <v>27.203467</v>
      </c>
      <c r="AE84" s="45" t="n">
        <v>72.636524</v>
      </c>
      <c r="AF84" s="20" t="s">
        <v>52</v>
      </c>
    </row>
    <row r="85" customFormat="false" ht="15.75" hidden="false" customHeight="false" outlineLevel="0" collapsed="false">
      <c r="A85" s="16" t="s">
        <v>42</v>
      </c>
      <c r="B85" s="16" t="s">
        <v>2300</v>
      </c>
      <c r="C85" s="71" t="s">
        <v>2472</v>
      </c>
      <c r="D85" s="16" t="s">
        <v>2477</v>
      </c>
      <c r="E85" s="16" t="s">
        <v>2478</v>
      </c>
      <c r="F85" s="16" t="n">
        <v>1123.81</v>
      </c>
      <c r="G85" s="16" t="n">
        <v>117</v>
      </c>
      <c r="H85" s="16" t="n">
        <v>858</v>
      </c>
      <c r="I85" s="16" t="n">
        <v>459</v>
      </c>
      <c r="J85" s="16" t="n">
        <v>399</v>
      </c>
      <c r="K85" s="16" t="n">
        <v>0</v>
      </c>
      <c r="L85" s="19" t="n">
        <f aca="false">(K85/H85)*100</f>
        <v>0</v>
      </c>
      <c r="M85" s="16" t="n">
        <v>5</v>
      </c>
      <c r="N85" s="19" t="n">
        <f aca="false">(M85/H85)*100</f>
        <v>0.582750582750583</v>
      </c>
      <c r="O85" s="16" t="n">
        <v>2.11</v>
      </c>
      <c r="P85" s="16" t="n">
        <v>0</v>
      </c>
      <c r="Q85" s="53" t="s">
        <v>49</v>
      </c>
      <c r="R85" s="47" t="s">
        <v>595</v>
      </c>
      <c r="S85" s="47"/>
      <c r="T85" s="119" t="n">
        <v>1.5621</v>
      </c>
      <c r="U85" s="47"/>
      <c r="V85" s="47"/>
      <c r="W85" s="47"/>
      <c r="X85" s="47"/>
      <c r="Y85" s="47"/>
      <c r="Z85" s="47"/>
      <c r="AA85" s="119" t="s">
        <v>50</v>
      </c>
      <c r="AB85" s="331" t="n">
        <v>0</v>
      </c>
      <c r="AC85" s="54"/>
      <c r="AD85" s="45" t="n">
        <v>0</v>
      </c>
      <c r="AE85" s="45" t="n">
        <v>0</v>
      </c>
      <c r="AF85" s="20" t="s">
        <v>52</v>
      </c>
    </row>
    <row r="86" customFormat="false" ht="15.75" hidden="false" customHeight="false" outlineLevel="0" collapsed="false">
      <c r="A86" s="16" t="s">
        <v>42</v>
      </c>
      <c r="B86" s="16" t="s">
        <v>2300</v>
      </c>
      <c r="C86" s="71" t="s">
        <v>2472</v>
      </c>
      <c r="D86" s="16" t="s">
        <v>2479</v>
      </c>
      <c r="E86" s="16" t="s">
        <v>2480</v>
      </c>
      <c r="F86" s="16" t="n">
        <v>1169.82</v>
      </c>
      <c r="G86" s="16" t="n">
        <v>203</v>
      </c>
      <c r="H86" s="16" t="n">
        <v>1038</v>
      </c>
      <c r="I86" s="16" t="n">
        <v>541</v>
      </c>
      <c r="J86" s="16" t="n">
        <v>497</v>
      </c>
      <c r="K86" s="16" t="n">
        <v>146</v>
      </c>
      <c r="L86" s="19" t="n">
        <f aca="false">(K86/H86)*100</f>
        <v>14.0655105973025</v>
      </c>
      <c r="M86" s="16" t="n">
        <v>79</v>
      </c>
      <c r="N86" s="19" t="n">
        <f aca="false">(M86/H86)*100</f>
        <v>7.61078998073218</v>
      </c>
      <c r="O86" s="16" t="n">
        <v>75.19</v>
      </c>
      <c r="P86" s="16" t="n">
        <v>0</v>
      </c>
      <c r="Q86" s="53" t="s">
        <v>49</v>
      </c>
      <c r="R86" s="47" t="s">
        <v>595</v>
      </c>
      <c r="S86" s="47"/>
      <c r="T86" s="119" t="n">
        <v>19.093</v>
      </c>
      <c r="U86" s="47"/>
      <c r="V86" s="47"/>
      <c r="W86" s="47"/>
      <c r="X86" s="47"/>
      <c r="Y86" s="47"/>
      <c r="Z86" s="47"/>
      <c r="AA86" s="119" t="s">
        <v>50</v>
      </c>
      <c r="AB86" s="331" t="n">
        <v>0</v>
      </c>
      <c r="AC86" s="54"/>
      <c r="AD86" s="45" t="n">
        <v>0</v>
      </c>
      <c r="AE86" s="45" t="n">
        <v>0</v>
      </c>
      <c r="AF86" s="20" t="s">
        <v>52</v>
      </c>
    </row>
    <row r="87" customFormat="false" ht="17.25" hidden="false" customHeight="false" outlineLevel="0" collapsed="false">
      <c r="A87" s="16" t="s">
        <v>42</v>
      </c>
      <c r="B87" s="16" t="s">
        <v>2300</v>
      </c>
      <c r="C87" s="71" t="s">
        <v>2472</v>
      </c>
      <c r="D87" s="16" t="s">
        <v>2481</v>
      </c>
      <c r="E87" s="16" t="s">
        <v>2482</v>
      </c>
      <c r="F87" s="16" t="n">
        <v>973.72</v>
      </c>
      <c r="G87" s="16" t="n">
        <v>76</v>
      </c>
      <c r="H87" s="16" t="n">
        <v>453</v>
      </c>
      <c r="I87" s="16" t="n">
        <v>254</v>
      </c>
      <c r="J87" s="16" t="n">
        <v>199</v>
      </c>
      <c r="K87" s="16" t="n">
        <v>98</v>
      </c>
      <c r="L87" s="19" t="n">
        <f aca="false">(K87/H87)*100</f>
        <v>21.6335540838852</v>
      </c>
      <c r="M87" s="16" t="n">
        <v>0</v>
      </c>
      <c r="N87" s="19" t="n">
        <f aca="false">(M87/H87)*100</f>
        <v>0</v>
      </c>
      <c r="O87" s="16" t="n">
        <v>119.72</v>
      </c>
      <c r="P87" s="16" t="n">
        <v>0</v>
      </c>
      <c r="Q87" s="53" t="s">
        <v>49</v>
      </c>
      <c r="R87" s="47" t="s">
        <v>595</v>
      </c>
      <c r="S87" s="47"/>
      <c r="T87" s="119" t="n">
        <v>119.7544</v>
      </c>
      <c r="U87" s="47"/>
      <c r="V87" s="47"/>
      <c r="W87" s="47"/>
      <c r="X87" s="47"/>
      <c r="Y87" s="47"/>
      <c r="Z87" s="47"/>
      <c r="AA87" s="119" t="s">
        <v>50</v>
      </c>
      <c r="AB87" s="339" t="n">
        <v>20</v>
      </c>
      <c r="AC87" s="333" t="s">
        <v>2483</v>
      </c>
      <c r="AD87" s="45" t="n">
        <v>27.278182</v>
      </c>
      <c r="AE87" s="45" t="n">
        <v>72.664581</v>
      </c>
      <c r="AF87" s="20" t="s">
        <v>52</v>
      </c>
    </row>
    <row r="88" customFormat="false" ht="51.75" hidden="false" customHeight="false" outlineLevel="0" collapsed="false">
      <c r="A88" s="16" t="s">
        <v>42</v>
      </c>
      <c r="B88" s="16" t="s">
        <v>2300</v>
      </c>
      <c r="C88" s="71" t="s">
        <v>2484</v>
      </c>
      <c r="D88" s="72" t="s">
        <v>2485</v>
      </c>
      <c r="E88" s="16" t="s">
        <v>2486</v>
      </c>
      <c r="F88" s="16" t="n">
        <v>6935</v>
      </c>
      <c r="G88" s="16" t="n">
        <v>582</v>
      </c>
      <c r="H88" s="16" t="n">
        <v>4202</v>
      </c>
      <c r="I88" s="16" t="n">
        <v>2262</v>
      </c>
      <c r="J88" s="16" t="n">
        <v>1940</v>
      </c>
      <c r="K88" s="16" t="n">
        <v>1280</v>
      </c>
      <c r="L88" s="19" t="n">
        <f aca="false">(K88/H88)*100</f>
        <v>30.4616849119467</v>
      </c>
      <c r="M88" s="16" t="n">
        <v>529</v>
      </c>
      <c r="N88" s="19" t="n">
        <f aca="false">(M88/H88)*100</f>
        <v>12.5892432175155</v>
      </c>
      <c r="O88" s="16" t="n">
        <v>179.13</v>
      </c>
      <c r="P88" s="16" t="n">
        <v>0</v>
      </c>
      <c r="Q88" s="53" t="s">
        <v>49</v>
      </c>
      <c r="R88" s="47" t="s">
        <v>595</v>
      </c>
      <c r="S88" s="47"/>
      <c r="T88" s="119" t="n">
        <v>26.46</v>
      </c>
      <c r="U88" s="47"/>
      <c r="V88" s="47"/>
      <c r="W88" s="47"/>
      <c r="X88" s="47"/>
      <c r="Y88" s="47"/>
      <c r="Z88" s="47"/>
      <c r="AA88" s="119" t="s">
        <v>50</v>
      </c>
      <c r="AB88" s="331" t="n">
        <v>12</v>
      </c>
      <c r="AC88" s="120" t="s">
        <v>2487</v>
      </c>
      <c r="AD88" s="45" t="n">
        <v>27.364633</v>
      </c>
      <c r="AE88" s="45" t="n">
        <v>73.008973</v>
      </c>
      <c r="AF88" s="20" t="s">
        <v>52</v>
      </c>
    </row>
    <row r="89" customFormat="false" ht="15.75" hidden="false" customHeight="false" outlineLevel="0" collapsed="false">
      <c r="A89" s="16" t="s">
        <v>42</v>
      </c>
      <c r="B89" s="16" t="s">
        <v>2300</v>
      </c>
      <c r="C89" s="71" t="s">
        <v>2488</v>
      </c>
      <c r="D89" s="72" t="s">
        <v>2488</v>
      </c>
      <c r="E89" s="16" t="s">
        <v>2489</v>
      </c>
      <c r="F89" s="16" t="n">
        <v>892</v>
      </c>
      <c r="G89" s="16" t="n">
        <v>103</v>
      </c>
      <c r="H89" s="16" t="n">
        <v>666</v>
      </c>
      <c r="I89" s="16" t="n">
        <v>330</v>
      </c>
      <c r="J89" s="16" t="n">
        <v>336</v>
      </c>
      <c r="K89" s="16" t="n">
        <v>104</v>
      </c>
      <c r="L89" s="19" t="n">
        <f aca="false">(K89/H89)*100</f>
        <v>15.6156156156156</v>
      </c>
      <c r="M89" s="16" t="n">
        <v>0</v>
      </c>
      <c r="N89" s="19" t="n">
        <f aca="false">(M89/H89)*100</f>
        <v>0</v>
      </c>
      <c r="O89" s="16" t="n">
        <v>0</v>
      </c>
      <c r="P89" s="16" t="n">
        <v>0</v>
      </c>
      <c r="Q89" s="95" t="s">
        <v>49</v>
      </c>
      <c r="R89" s="21" t="s">
        <v>595</v>
      </c>
      <c r="S89" s="21"/>
      <c r="T89" s="89"/>
      <c r="U89" s="21"/>
      <c r="V89" s="21"/>
      <c r="W89" s="21"/>
      <c r="X89" s="21"/>
      <c r="Y89" s="21"/>
      <c r="Z89" s="21"/>
      <c r="AA89" s="89" t="s">
        <v>50</v>
      </c>
      <c r="AB89" s="329" t="n">
        <v>0</v>
      </c>
      <c r="AC89" s="36"/>
      <c r="AD89" s="95" t="n">
        <v>0</v>
      </c>
      <c r="AE89" s="95" t="n">
        <v>0</v>
      </c>
      <c r="AF89" s="20" t="s">
        <v>52</v>
      </c>
    </row>
    <row r="90" customFormat="false" ht="15.75" hidden="false" customHeight="false" outlineLevel="0" collapsed="false">
      <c r="A90" s="16" t="s">
        <v>42</v>
      </c>
      <c r="B90" s="16" t="s">
        <v>2300</v>
      </c>
      <c r="C90" s="71" t="s">
        <v>2488</v>
      </c>
      <c r="D90" s="16" t="s">
        <v>2490</v>
      </c>
      <c r="E90" s="16" t="s">
        <v>2491</v>
      </c>
      <c r="F90" s="16" t="n">
        <v>1431</v>
      </c>
      <c r="G90" s="16" t="n">
        <v>85</v>
      </c>
      <c r="H90" s="16" t="n">
        <v>679</v>
      </c>
      <c r="I90" s="16" t="n">
        <v>361</v>
      </c>
      <c r="J90" s="16" t="n">
        <v>318</v>
      </c>
      <c r="K90" s="16" t="n">
        <v>60</v>
      </c>
      <c r="L90" s="19" t="n">
        <f aca="false">(K90/H90)*100</f>
        <v>8.83652430044183</v>
      </c>
      <c r="M90" s="16" t="n">
        <v>0</v>
      </c>
      <c r="N90" s="19" t="n">
        <f aca="false">(M90/H90)*100</f>
        <v>0</v>
      </c>
      <c r="O90" s="16" t="n">
        <v>7</v>
      </c>
      <c r="P90" s="16" t="n">
        <v>0</v>
      </c>
      <c r="Q90" s="53" t="s">
        <v>49</v>
      </c>
      <c r="R90" s="47" t="s">
        <v>595</v>
      </c>
      <c r="S90" s="47"/>
      <c r="T90" s="119" t="n">
        <v>7.1224</v>
      </c>
      <c r="U90" s="47"/>
      <c r="V90" s="47"/>
      <c r="W90" s="47"/>
      <c r="X90" s="47"/>
      <c r="Y90" s="47"/>
      <c r="Z90" s="47"/>
      <c r="AA90" s="119" t="s">
        <v>50</v>
      </c>
      <c r="AB90" s="331" t="n">
        <v>0</v>
      </c>
      <c r="AC90" s="128"/>
      <c r="AD90" s="45" t="n">
        <v>0</v>
      </c>
      <c r="AE90" s="45" t="n">
        <v>0</v>
      </c>
      <c r="AF90" s="20" t="s">
        <v>52</v>
      </c>
    </row>
    <row r="91" customFormat="false" ht="15.75" hidden="false" customHeight="false" outlineLevel="0" collapsed="false">
      <c r="A91" s="16" t="s">
        <v>42</v>
      </c>
      <c r="B91" s="16" t="s">
        <v>2300</v>
      </c>
      <c r="C91" s="71" t="s">
        <v>2488</v>
      </c>
      <c r="D91" s="16" t="s">
        <v>450</v>
      </c>
      <c r="E91" s="16" t="s">
        <v>2492</v>
      </c>
      <c r="F91" s="16" t="n">
        <v>2148</v>
      </c>
      <c r="G91" s="16" t="n">
        <v>166</v>
      </c>
      <c r="H91" s="16" t="n">
        <v>1072</v>
      </c>
      <c r="I91" s="16" t="n">
        <v>553</v>
      </c>
      <c r="J91" s="16" t="n">
        <v>519</v>
      </c>
      <c r="K91" s="16" t="n">
        <v>145</v>
      </c>
      <c r="L91" s="19" t="n">
        <f aca="false">(K91/H91)*100</f>
        <v>13.5261194029851</v>
      </c>
      <c r="M91" s="16" t="n">
        <v>0</v>
      </c>
      <c r="N91" s="19" t="n">
        <f aca="false">(M91/H91)*100</f>
        <v>0</v>
      </c>
      <c r="O91" s="16" t="n">
        <v>0</v>
      </c>
      <c r="P91" s="16" t="n">
        <v>0</v>
      </c>
      <c r="Q91" s="53" t="s">
        <v>49</v>
      </c>
      <c r="R91" s="47" t="s">
        <v>595</v>
      </c>
      <c r="S91" s="47"/>
      <c r="T91" s="119" t="n">
        <v>3157</v>
      </c>
      <c r="U91" s="47"/>
      <c r="V91" s="47"/>
      <c r="W91" s="47"/>
      <c r="X91" s="47"/>
      <c r="Y91" s="47"/>
      <c r="Z91" s="47"/>
      <c r="AA91" s="119" t="s">
        <v>50</v>
      </c>
      <c r="AB91" s="331" t="n">
        <v>0</v>
      </c>
      <c r="AC91" s="128"/>
      <c r="AD91" s="45" t="n">
        <v>0</v>
      </c>
      <c r="AE91" s="45" t="n">
        <v>0</v>
      </c>
      <c r="AF91" s="20" t="s">
        <v>52</v>
      </c>
    </row>
    <row r="92" customFormat="false" ht="15.75" hidden="false" customHeight="false" outlineLevel="0" collapsed="false">
      <c r="A92" s="16" t="s">
        <v>42</v>
      </c>
      <c r="B92" s="16" t="s">
        <v>2300</v>
      </c>
      <c r="C92" s="71" t="s">
        <v>2338</v>
      </c>
      <c r="D92" s="72" t="s">
        <v>2338</v>
      </c>
      <c r="E92" s="16" t="s">
        <v>2493</v>
      </c>
      <c r="F92" s="16" t="n">
        <v>1040</v>
      </c>
      <c r="G92" s="16" t="n">
        <v>73</v>
      </c>
      <c r="H92" s="16" t="n">
        <v>497</v>
      </c>
      <c r="I92" s="16" t="n">
        <v>274</v>
      </c>
      <c r="J92" s="16" t="n">
        <v>223</v>
      </c>
      <c r="K92" s="16" t="n">
        <v>14</v>
      </c>
      <c r="L92" s="19" t="n">
        <f aca="false">(K92/H92)*100</f>
        <v>2.8169014084507</v>
      </c>
      <c r="M92" s="16" t="n">
        <v>0</v>
      </c>
      <c r="N92" s="19" t="n">
        <f aca="false">(M92/H92)*100</f>
        <v>0</v>
      </c>
      <c r="O92" s="16" t="n">
        <v>0</v>
      </c>
      <c r="P92" s="16" t="n">
        <v>0</v>
      </c>
      <c r="Q92" s="129" t="s">
        <v>49</v>
      </c>
      <c r="R92" s="25" t="n">
        <v>45884</v>
      </c>
      <c r="S92" s="25"/>
      <c r="T92" s="92" t="n">
        <v>0</v>
      </c>
      <c r="U92" s="25"/>
      <c r="V92" s="25"/>
      <c r="W92" s="25"/>
      <c r="X92" s="25"/>
      <c r="Y92" s="25"/>
      <c r="Z92" s="25"/>
      <c r="AA92" s="92" t="s">
        <v>50</v>
      </c>
      <c r="AB92" s="328" t="n">
        <v>0</v>
      </c>
      <c r="AC92" s="57"/>
      <c r="AD92" s="129"/>
      <c r="AE92" s="129"/>
      <c r="AF92" s="20" t="s">
        <v>52</v>
      </c>
    </row>
    <row r="93" customFormat="false" ht="15.75" hidden="false" customHeight="false" outlineLevel="0" collapsed="false">
      <c r="A93" s="16" t="s">
        <v>42</v>
      </c>
      <c r="B93" s="16" t="s">
        <v>2300</v>
      </c>
      <c r="C93" s="71" t="s">
        <v>2338</v>
      </c>
      <c r="D93" s="16" t="s">
        <v>109</v>
      </c>
      <c r="E93" s="16" t="s">
        <v>2494</v>
      </c>
      <c r="F93" s="16" t="n">
        <v>613.68</v>
      </c>
      <c r="G93" s="16" t="n">
        <v>54</v>
      </c>
      <c r="H93" s="16" t="n">
        <v>367</v>
      </c>
      <c r="I93" s="16" t="n">
        <v>203</v>
      </c>
      <c r="J93" s="16" t="n">
        <v>164</v>
      </c>
      <c r="K93" s="16" t="n">
        <v>18</v>
      </c>
      <c r="L93" s="19" t="n">
        <f aca="false">(K93/H93)*100</f>
        <v>4.90463215258856</v>
      </c>
      <c r="M93" s="16" t="n">
        <v>0</v>
      </c>
      <c r="N93" s="19" t="n">
        <f aca="false">(M93/H93)*100</f>
        <v>0</v>
      </c>
      <c r="O93" s="16" t="n">
        <v>0</v>
      </c>
      <c r="P93" s="16" t="n">
        <v>0</v>
      </c>
      <c r="Q93" s="129" t="s">
        <v>49</v>
      </c>
      <c r="R93" s="25" t="n">
        <v>45884</v>
      </c>
      <c r="S93" s="25"/>
      <c r="T93" s="92" t="n">
        <v>0</v>
      </c>
      <c r="U93" s="25"/>
      <c r="V93" s="25"/>
      <c r="W93" s="25"/>
      <c r="X93" s="25"/>
      <c r="Y93" s="25"/>
      <c r="Z93" s="25"/>
      <c r="AA93" s="92" t="s">
        <v>50</v>
      </c>
      <c r="AB93" s="328" t="n">
        <v>0</v>
      </c>
      <c r="AC93" s="57"/>
      <c r="AD93" s="129"/>
      <c r="AE93" s="129"/>
      <c r="AF93" s="20" t="s">
        <v>52</v>
      </c>
    </row>
    <row r="94" customFormat="false" ht="34.5" hidden="false" customHeight="false" outlineLevel="0" collapsed="false">
      <c r="A94" s="16" t="s">
        <v>42</v>
      </c>
      <c r="B94" s="16" t="s">
        <v>2300</v>
      </c>
      <c r="C94" s="71" t="s">
        <v>2338</v>
      </c>
      <c r="D94" s="16" t="s">
        <v>2495</v>
      </c>
      <c r="E94" s="16" t="s">
        <v>2496</v>
      </c>
      <c r="F94" s="16" t="n">
        <v>653</v>
      </c>
      <c r="G94" s="16" t="n">
        <v>176</v>
      </c>
      <c r="H94" s="16" t="n">
        <v>1046</v>
      </c>
      <c r="I94" s="16" t="n">
        <v>546</v>
      </c>
      <c r="J94" s="16" t="n">
        <v>500</v>
      </c>
      <c r="K94" s="16" t="n">
        <v>655</v>
      </c>
      <c r="L94" s="19" t="n">
        <f aca="false">(K94/H94)*100</f>
        <v>62.6195028680688</v>
      </c>
      <c r="M94" s="16" t="n">
        <v>0</v>
      </c>
      <c r="N94" s="19" t="n">
        <f aca="false">(M94/H94)*100</f>
        <v>0</v>
      </c>
      <c r="O94" s="16" t="n">
        <v>100</v>
      </c>
      <c r="P94" s="16" t="n">
        <v>0</v>
      </c>
      <c r="Q94" s="129" t="s">
        <v>49</v>
      </c>
      <c r="R94" s="25" t="n">
        <v>45884</v>
      </c>
      <c r="S94" s="25"/>
      <c r="T94" s="92" t="n">
        <v>0</v>
      </c>
      <c r="U94" s="25"/>
      <c r="V94" s="25"/>
      <c r="W94" s="25"/>
      <c r="X94" s="25"/>
      <c r="Y94" s="25"/>
      <c r="Z94" s="25"/>
      <c r="AA94" s="92" t="s">
        <v>50</v>
      </c>
      <c r="AB94" s="328" t="n">
        <v>25</v>
      </c>
      <c r="AC94" s="130" t="s">
        <v>2497</v>
      </c>
      <c r="AD94" s="129" t="n">
        <v>27.36993</v>
      </c>
      <c r="AE94" s="129" t="n">
        <v>72.800585</v>
      </c>
      <c r="AF94" s="20" t="s">
        <v>52</v>
      </c>
    </row>
    <row r="95" customFormat="false" ht="15.75" hidden="false" customHeight="false" outlineLevel="0" collapsed="false">
      <c r="A95" s="16" t="s">
        <v>42</v>
      </c>
      <c r="B95" s="16" t="s">
        <v>2300</v>
      </c>
      <c r="C95" s="71" t="s">
        <v>2338</v>
      </c>
      <c r="D95" s="16" t="s">
        <v>2498</v>
      </c>
      <c r="E95" s="16" t="s">
        <v>2499</v>
      </c>
      <c r="F95" s="16" t="n">
        <v>1146</v>
      </c>
      <c r="G95" s="16" t="n">
        <v>42</v>
      </c>
      <c r="H95" s="16" t="n">
        <v>272</v>
      </c>
      <c r="I95" s="16" t="n">
        <v>133</v>
      </c>
      <c r="J95" s="16" t="n">
        <v>139</v>
      </c>
      <c r="K95" s="16" t="n">
        <v>17</v>
      </c>
      <c r="L95" s="19" t="n">
        <f aca="false">(K95/H95)*100</f>
        <v>6.25</v>
      </c>
      <c r="M95" s="16" t="n">
        <v>0</v>
      </c>
      <c r="N95" s="19" t="n">
        <f aca="false">(M95/H95)*100</f>
        <v>0</v>
      </c>
      <c r="O95" s="16" t="n">
        <v>0</v>
      </c>
      <c r="P95" s="16" t="n">
        <v>0</v>
      </c>
      <c r="Q95" s="129" t="s">
        <v>49</v>
      </c>
      <c r="R95" s="25" t="n">
        <v>45884</v>
      </c>
      <c r="S95" s="25"/>
      <c r="T95" s="92" t="n">
        <v>0</v>
      </c>
      <c r="U95" s="25"/>
      <c r="V95" s="25"/>
      <c r="W95" s="25"/>
      <c r="X95" s="25"/>
      <c r="Y95" s="25"/>
      <c r="Z95" s="25"/>
      <c r="AA95" s="92" t="s">
        <v>50</v>
      </c>
      <c r="AB95" s="328" t="n">
        <v>0</v>
      </c>
      <c r="AC95" s="57"/>
      <c r="AD95" s="129"/>
      <c r="AE95" s="129"/>
      <c r="AF95" s="20" t="s">
        <v>52</v>
      </c>
    </row>
    <row r="96" customFormat="false" ht="15.75" hidden="false" customHeight="false" outlineLevel="0" collapsed="false">
      <c r="A96" s="16" t="s">
        <v>42</v>
      </c>
      <c r="B96" s="16" t="s">
        <v>2300</v>
      </c>
      <c r="C96" s="71" t="s">
        <v>2338</v>
      </c>
      <c r="D96" s="16" t="s">
        <v>2500</v>
      </c>
      <c r="E96" s="16" t="s">
        <v>2501</v>
      </c>
      <c r="F96" s="16" t="n">
        <v>1096</v>
      </c>
      <c r="G96" s="16" t="n">
        <v>39</v>
      </c>
      <c r="H96" s="16" t="n">
        <v>250</v>
      </c>
      <c r="I96" s="16" t="n">
        <v>136</v>
      </c>
      <c r="J96" s="16" t="n">
        <v>114</v>
      </c>
      <c r="K96" s="16" t="n">
        <v>0</v>
      </c>
      <c r="L96" s="19" t="n">
        <f aca="false">(K96/H96)*100</f>
        <v>0</v>
      </c>
      <c r="M96" s="16" t="n">
        <v>0</v>
      </c>
      <c r="N96" s="19" t="n">
        <f aca="false">(M96/H96)*100</f>
        <v>0</v>
      </c>
      <c r="O96" s="16" t="n">
        <v>14</v>
      </c>
      <c r="P96" s="16" t="n">
        <v>0</v>
      </c>
      <c r="Q96" s="129" t="s">
        <v>49</v>
      </c>
      <c r="R96" s="25" t="n">
        <v>45884</v>
      </c>
      <c r="S96" s="25"/>
      <c r="T96" s="92" t="n">
        <v>245.97</v>
      </c>
      <c r="U96" s="25"/>
      <c r="V96" s="25"/>
      <c r="W96" s="25"/>
      <c r="X96" s="25"/>
      <c r="Y96" s="25"/>
      <c r="Z96" s="25"/>
      <c r="AA96" s="92" t="s">
        <v>50</v>
      </c>
      <c r="AB96" s="328" t="n">
        <v>0</v>
      </c>
      <c r="AC96" s="57"/>
      <c r="AD96" s="129"/>
      <c r="AE96" s="129"/>
      <c r="AF96" s="20" t="s">
        <v>52</v>
      </c>
    </row>
    <row r="97" customFormat="false" ht="15.75" hidden="false" customHeight="false" outlineLevel="0" collapsed="false">
      <c r="A97" s="58"/>
      <c r="B97" s="58"/>
      <c r="C97" s="58"/>
      <c r="D97" s="58"/>
      <c r="E97" s="58"/>
      <c r="F97" s="58" t="n">
        <f aca="false">SUM(F4:F96)</f>
        <v>130585.2</v>
      </c>
      <c r="G97" s="58" t="n">
        <f aca="false">SUM(G4:G96)</f>
        <v>15241</v>
      </c>
      <c r="H97" s="58" t="n">
        <f aca="false">SUM(H4:H96)</f>
        <v>96909</v>
      </c>
      <c r="I97" s="58" t="n">
        <f aca="false">SUM(I4:I96)</f>
        <v>50999</v>
      </c>
      <c r="J97" s="58" t="n">
        <f aca="false">SUM(J4:J96)</f>
        <v>45910</v>
      </c>
      <c r="K97" s="58" t="n">
        <f aca="false">SUM(K4:K96)</f>
        <v>16160</v>
      </c>
      <c r="L97" s="58"/>
      <c r="M97" s="58" t="n">
        <f aca="false">SUM(M4:M96)</f>
        <v>3733</v>
      </c>
      <c r="N97" s="58"/>
      <c r="O97" s="58" t="n">
        <f aca="false">SUM(O4:O96)</f>
        <v>4067.33</v>
      </c>
      <c r="P97" s="58" t="n">
        <f aca="false">SUM(P4:P96)</f>
        <v>0</v>
      </c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1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BA7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2" topLeftCell="Y3" activePane="bottomRight" state="frozen"/>
      <selection pane="topLeft" activeCell="A1" activeCellId="0" sqref="A1"/>
      <selection pane="topRight" activeCell="Y1" activeCellId="0" sqref="Y1"/>
      <selection pane="bottomLeft" activeCell="A3" activeCellId="0" sqref="A3"/>
      <selection pane="bottomRight" activeCell="AC1" activeCellId="0" sqref="AC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28.72"/>
    <col collapsed="false" customWidth="true" hidden="false" outlineLevel="0" max="4" min="4" style="1" width="24.28"/>
    <col collapsed="false" customWidth="true" hidden="false" outlineLevel="0" max="5" min="5" style="1" width="18.71"/>
    <col collapsed="false" customWidth="true" hidden="false" outlineLevel="0" max="6" min="6" style="1" width="11.43"/>
    <col collapsed="false" customWidth="true" hidden="false" outlineLevel="0" max="7" min="7" style="1" width="11.57"/>
    <col collapsed="false" customWidth="true" hidden="false" outlineLevel="0" max="8" min="8" style="1" width="10.71"/>
    <col collapsed="false" customWidth="true" hidden="false" outlineLevel="0" max="9" min="9" style="1" width="10.85"/>
    <col collapsed="false" customWidth="true" hidden="false" outlineLevel="0" max="10" min="10" style="1" width="8"/>
    <col collapsed="false" customWidth="true" hidden="false" outlineLevel="0" max="11" min="11" style="1" width="10.71"/>
    <col collapsed="false" customWidth="true" hidden="false" outlineLevel="0" max="12" min="12" style="1" width="8.57"/>
    <col collapsed="false" customWidth="true" hidden="false" outlineLevel="0" max="13" min="13" style="1" width="8.28"/>
    <col collapsed="false" customWidth="true" hidden="false" outlineLevel="0" max="14" min="14" style="1" width="10.57"/>
    <col collapsed="false" customWidth="true" hidden="false" outlineLevel="0" max="15" min="15" style="1" width="12.71"/>
    <col collapsed="false" customWidth="true" hidden="false" outlineLevel="0" max="16" min="16" style="1" width="11.57"/>
    <col collapsed="false" customWidth="true" hidden="false" outlineLevel="0" max="17" min="17" style="1" width="15"/>
    <col collapsed="false" customWidth="true" hidden="false" outlineLevel="0" max="18" min="18" style="1" width="14.57"/>
    <col collapsed="false" customWidth="true" hidden="false" outlineLevel="0" max="19" min="19" style="1" width="13.28"/>
    <col collapsed="false" customWidth="true" hidden="false" outlineLevel="0" max="20" min="20" style="1" width="15.43"/>
    <col collapsed="false" customWidth="true" hidden="false" outlineLevel="0" max="25" min="21" style="1" width="13.28"/>
    <col collapsed="false" customWidth="true" hidden="false" outlineLevel="0" max="28" min="26" style="1" width="11.57"/>
    <col collapsed="false" customWidth="true" hidden="false" outlineLevel="0" max="29" min="29" style="2" width="41"/>
    <col collapsed="false" customWidth="true" hidden="false" outlineLevel="0" max="30" min="30" style="1" width="12.14"/>
    <col collapsed="false" customWidth="true" hidden="false" outlineLevel="0" max="31" min="31" style="1" width="11.43"/>
    <col collapsed="false" customWidth="false" hidden="false" outlineLevel="0" max="45" min="32" style="1" width="9.14"/>
    <col collapsed="false" customWidth="true" hidden="false" outlineLevel="0" max="47" min="46" style="1" width="9.28"/>
    <col collapsed="false" customWidth="false" hidden="false" outlineLevel="0" max="48" min="48" style="1" width="9.14"/>
    <col collapsed="false" customWidth="true" hidden="false" outlineLevel="0" max="50" min="49" style="1" width="9.28"/>
    <col collapsed="false" customWidth="false" hidden="false" outlineLevel="0" max="52" min="51" style="1" width="9.14"/>
    <col collapsed="false" customWidth="true" hidden="false" outlineLevel="0" max="53" min="53" style="1" width="9.28"/>
    <col collapsed="false" customWidth="false" hidden="false" outlineLevel="0" max="1024" min="54" style="1" width="9.14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</row>
    <row r="2" s="13" customFormat="true" ht="141.7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84" t="s">
        <v>1258</v>
      </c>
    </row>
    <row r="3" s="13" customFormat="tru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321" t="s">
        <v>1259</v>
      </c>
      <c r="L3" s="321" t="s">
        <v>34</v>
      </c>
      <c r="M3" s="321" t="s">
        <v>1259</v>
      </c>
      <c r="N3" s="321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84"/>
    </row>
    <row r="4" customFormat="false" ht="15.75" hidden="false" customHeight="false" outlineLevel="0" collapsed="false">
      <c r="A4" s="16" t="s">
        <v>42</v>
      </c>
      <c r="B4" s="16" t="s">
        <v>2502</v>
      </c>
      <c r="C4" s="71" t="s">
        <v>2503</v>
      </c>
      <c r="D4" s="72" t="s">
        <v>2504</v>
      </c>
      <c r="E4" s="16" t="s">
        <v>2505</v>
      </c>
      <c r="F4" s="16" t="n">
        <v>861</v>
      </c>
      <c r="G4" s="16" t="n">
        <v>303</v>
      </c>
      <c r="H4" s="16" t="n">
        <v>1735</v>
      </c>
      <c r="I4" s="16" t="n">
        <v>917</v>
      </c>
      <c r="J4" s="16" t="n">
        <v>818</v>
      </c>
      <c r="K4" s="16" t="n">
        <v>644</v>
      </c>
      <c r="L4" s="19" t="n">
        <f aca="false">(K4/H4)*100</f>
        <v>37.1181556195965</v>
      </c>
      <c r="M4" s="16" t="n">
        <v>88</v>
      </c>
      <c r="N4" s="19" t="n">
        <f aca="false">(M4/H4)*100</f>
        <v>5.07204610951009</v>
      </c>
      <c r="O4" s="16" t="n">
        <v>79</v>
      </c>
      <c r="P4" s="16" t="n">
        <v>0</v>
      </c>
      <c r="Q4" s="45" t="s">
        <v>49</v>
      </c>
      <c r="R4" s="46" t="n">
        <v>45754</v>
      </c>
      <c r="S4" s="16"/>
      <c r="T4" s="45" t="n">
        <v>0.16</v>
      </c>
      <c r="U4" s="16"/>
      <c r="V4" s="16"/>
      <c r="W4" s="16"/>
      <c r="X4" s="16"/>
      <c r="Y4" s="16"/>
      <c r="Z4" s="16"/>
      <c r="AA4" s="119" t="s">
        <v>50</v>
      </c>
      <c r="AB4" s="119" t="n">
        <v>0</v>
      </c>
      <c r="AC4" s="287"/>
      <c r="AD4" s="45" t="n">
        <v>0</v>
      </c>
      <c r="AE4" s="45" t="n">
        <v>0</v>
      </c>
      <c r="AF4" s="20" t="s">
        <v>52</v>
      </c>
    </row>
    <row r="5" customFormat="false" ht="15.75" hidden="false" customHeight="false" outlineLevel="0" collapsed="false">
      <c r="A5" s="16" t="s">
        <v>42</v>
      </c>
      <c r="B5" s="16" t="s">
        <v>2502</v>
      </c>
      <c r="C5" s="71" t="s">
        <v>2503</v>
      </c>
      <c r="D5" s="16" t="s">
        <v>2506</v>
      </c>
      <c r="E5" s="16" t="s">
        <v>2507</v>
      </c>
      <c r="F5" s="16" t="n">
        <v>511</v>
      </c>
      <c r="G5" s="16" t="n">
        <v>64</v>
      </c>
      <c r="H5" s="16" t="n">
        <v>389</v>
      </c>
      <c r="I5" s="16" t="n">
        <v>212</v>
      </c>
      <c r="J5" s="16" t="n">
        <v>177</v>
      </c>
      <c r="K5" s="16" t="n">
        <v>107</v>
      </c>
      <c r="L5" s="19" t="n">
        <f aca="false">(K5/H5)*100</f>
        <v>27.5064267352185</v>
      </c>
      <c r="M5" s="16" t="n">
        <v>0</v>
      </c>
      <c r="N5" s="19" t="n">
        <f aca="false">(M5/H5)*100</f>
        <v>0</v>
      </c>
      <c r="O5" s="16" t="n">
        <v>0</v>
      </c>
      <c r="P5" s="16" t="n">
        <v>0</v>
      </c>
      <c r="Q5" s="45" t="s">
        <v>49</v>
      </c>
      <c r="R5" s="46" t="n">
        <v>45754</v>
      </c>
      <c r="S5" s="16"/>
      <c r="T5" s="45" t="n">
        <v>0</v>
      </c>
      <c r="U5" s="16"/>
      <c r="V5" s="16"/>
      <c r="W5" s="16"/>
      <c r="X5" s="16"/>
      <c r="Y5" s="16"/>
      <c r="Z5" s="16"/>
      <c r="AA5" s="119" t="s">
        <v>50</v>
      </c>
      <c r="AB5" s="119" t="n">
        <v>0</v>
      </c>
      <c r="AC5" s="340"/>
      <c r="AD5" s="45" t="n">
        <v>0</v>
      </c>
      <c r="AE5" s="45" t="n">
        <v>0</v>
      </c>
      <c r="AF5" s="20" t="s">
        <v>52</v>
      </c>
    </row>
    <row r="6" customFormat="false" ht="15.75" hidden="false" customHeight="false" outlineLevel="0" collapsed="false">
      <c r="A6" s="16" t="s">
        <v>42</v>
      </c>
      <c r="B6" s="16" t="s">
        <v>2502</v>
      </c>
      <c r="C6" s="71" t="s">
        <v>2503</v>
      </c>
      <c r="D6" s="16" t="s">
        <v>2508</v>
      </c>
      <c r="E6" s="16" t="s">
        <v>2509</v>
      </c>
      <c r="F6" s="16" t="n">
        <v>407</v>
      </c>
      <c r="G6" s="16" t="n">
        <v>139</v>
      </c>
      <c r="H6" s="16" t="n">
        <v>768</v>
      </c>
      <c r="I6" s="16" t="n">
        <v>383</v>
      </c>
      <c r="J6" s="16" t="n">
        <v>385</v>
      </c>
      <c r="K6" s="16" t="n">
        <v>14</v>
      </c>
      <c r="L6" s="19" t="n">
        <f aca="false">(K6/H6)*100</f>
        <v>1.82291666666667</v>
      </c>
      <c r="M6" s="16" t="n">
        <v>0</v>
      </c>
      <c r="N6" s="19" t="n">
        <f aca="false">(M6/H6)*100</f>
        <v>0</v>
      </c>
      <c r="O6" s="16" t="n">
        <v>3</v>
      </c>
      <c r="P6" s="16" t="n">
        <v>0</v>
      </c>
      <c r="Q6" s="45" t="s">
        <v>49</v>
      </c>
      <c r="R6" s="46" t="n">
        <v>45754</v>
      </c>
      <c r="S6" s="16"/>
      <c r="T6" s="45" t="n">
        <v>0</v>
      </c>
      <c r="U6" s="16"/>
      <c r="V6" s="16"/>
      <c r="W6" s="16"/>
      <c r="X6" s="16"/>
      <c r="Y6" s="16"/>
      <c r="Z6" s="16"/>
      <c r="AA6" s="119" t="s">
        <v>50</v>
      </c>
      <c r="AB6" s="119" t="n">
        <v>0</v>
      </c>
      <c r="AC6" s="287"/>
      <c r="AD6" s="45" t="n">
        <v>0</v>
      </c>
      <c r="AE6" s="45" t="n">
        <v>0</v>
      </c>
      <c r="AF6" s="20" t="s">
        <v>52</v>
      </c>
    </row>
    <row r="7" customFormat="false" ht="15.75" hidden="false" customHeight="false" outlineLevel="0" collapsed="false">
      <c r="A7" s="16" t="s">
        <v>42</v>
      </c>
      <c r="B7" s="16" t="s">
        <v>2502</v>
      </c>
      <c r="C7" s="71" t="s">
        <v>2503</v>
      </c>
      <c r="D7" s="16" t="s">
        <v>2510</v>
      </c>
      <c r="E7" s="16" t="s">
        <v>2511</v>
      </c>
      <c r="F7" s="16" t="n">
        <v>429</v>
      </c>
      <c r="G7" s="16" t="n">
        <v>71</v>
      </c>
      <c r="H7" s="16" t="n">
        <v>480</v>
      </c>
      <c r="I7" s="16" t="n">
        <v>236</v>
      </c>
      <c r="J7" s="16" t="n">
        <v>244</v>
      </c>
      <c r="K7" s="16" t="n">
        <v>0</v>
      </c>
      <c r="L7" s="19" t="n">
        <f aca="false">(K7/H7)*100</f>
        <v>0</v>
      </c>
      <c r="M7" s="16" t="n">
        <v>0</v>
      </c>
      <c r="N7" s="19" t="n">
        <f aca="false">(M7/H7)*100</f>
        <v>0</v>
      </c>
      <c r="O7" s="16" t="n">
        <v>59</v>
      </c>
      <c r="P7" s="16" t="n">
        <v>0</v>
      </c>
      <c r="Q7" s="45" t="s">
        <v>49</v>
      </c>
      <c r="R7" s="46" t="n">
        <v>45754</v>
      </c>
      <c r="S7" s="16"/>
      <c r="T7" s="45" t="n">
        <v>0</v>
      </c>
      <c r="U7" s="16"/>
      <c r="V7" s="16"/>
      <c r="W7" s="16"/>
      <c r="X7" s="16"/>
      <c r="Y7" s="16"/>
      <c r="Z7" s="16"/>
      <c r="AA7" s="119" t="s">
        <v>50</v>
      </c>
      <c r="AB7" s="119" t="n">
        <v>10</v>
      </c>
      <c r="AC7" s="287" t="s">
        <v>2512</v>
      </c>
      <c r="AD7" s="45" t="n">
        <v>72.73</v>
      </c>
      <c r="AE7" s="45" t="n">
        <v>26.33</v>
      </c>
      <c r="AF7" s="20" t="s">
        <v>52</v>
      </c>
    </row>
    <row r="8" customFormat="false" ht="15.75" hidden="false" customHeight="false" outlineLevel="0" collapsed="false">
      <c r="A8" s="16" t="s">
        <v>42</v>
      </c>
      <c r="B8" s="16" t="s">
        <v>2502</v>
      </c>
      <c r="C8" s="71" t="s">
        <v>2503</v>
      </c>
      <c r="D8" s="16" t="s">
        <v>2513</v>
      </c>
      <c r="E8" s="16" t="s">
        <v>2514</v>
      </c>
      <c r="F8" s="16" t="n">
        <v>742</v>
      </c>
      <c r="G8" s="16" t="n">
        <v>120</v>
      </c>
      <c r="H8" s="16" t="n">
        <v>749</v>
      </c>
      <c r="I8" s="16" t="n">
        <v>385</v>
      </c>
      <c r="J8" s="16" t="n">
        <v>364</v>
      </c>
      <c r="K8" s="16" t="n">
        <v>77</v>
      </c>
      <c r="L8" s="19" t="n">
        <f aca="false">(K8/H8)*100</f>
        <v>10.2803738317757</v>
      </c>
      <c r="M8" s="16" t="n">
        <v>0</v>
      </c>
      <c r="N8" s="19" t="n">
        <f aca="false">(M8/H8)*100</f>
        <v>0</v>
      </c>
      <c r="O8" s="16" t="n">
        <v>47</v>
      </c>
      <c r="P8" s="16" t="n">
        <v>0</v>
      </c>
      <c r="Q8" s="45" t="s">
        <v>49</v>
      </c>
      <c r="R8" s="46" t="n">
        <v>45754</v>
      </c>
      <c r="S8" s="16"/>
      <c r="T8" s="45" t="n">
        <v>46.27</v>
      </c>
      <c r="U8" s="16"/>
      <c r="V8" s="16"/>
      <c r="W8" s="16"/>
      <c r="X8" s="16"/>
      <c r="Y8" s="16"/>
      <c r="Z8" s="16"/>
      <c r="AA8" s="119" t="s">
        <v>50</v>
      </c>
      <c r="AB8" s="119" t="n">
        <v>5</v>
      </c>
      <c r="AC8" s="287" t="s">
        <v>2515</v>
      </c>
      <c r="AD8" s="45" t="n">
        <v>72.77</v>
      </c>
      <c r="AE8" s="45" t="n">
        <v>26.33</v>
      </c>
      <c r="AF8" s="20" t="s">
        <v>52</v>
      </c>
    </row>
    <row r="9" customFormat="false" ht="31.5" hidden="false" customHeight="false" outlineLevel="0" collapsed="false">
      <c r="A9" s="16" t="s">
        <v>42</v>
      </c>
      <c r="B9" s="16" t="s">
        <v>2502</v>
      </c>
      <c r="C9" s="71" t="s">
        <v>2516</v>
      </c>
      <c r="D9" s="72" t="s">
        <v>2516</v>
      </c>
      <c r="E9" s="16" t="s">
        <v>2517</v>
      </c>
      <c r="F9" s="16" t="n">
        <v>2503.24</v>
      </c>
      <c r="G9" s="16" t="n">
        <v>327</v>
      </c>
      <c r="H9" s="16" t="n">
        <v>2248</v>
      </c>
      <c r="I9" s="16" t="n">
        <v>1162</v>
      </c>
      <c r="J9" s="16" t="n">
        <v>1086</v>
      </c>
      <c r="K9" s="16" t="n">
        <v>391</v>
      </c>
      <c r="L9" s="19" t="n">
        <f aca="false">(K9/H9)*100</f>
        <v>17.3932384341637</v>
      </c>
      <c r="M9" s="16" t="n">
        <v>75</v>
      </c>
      <c r="N9" s="19" t="n">
        <f aca="false">(M9/H9)*100</f>
        <v>3.33629893238434</v>
      </c>
      <c r="O9" s="16" t="n">
        <v>80.1</v>
      </c>
      <c r="P9" s="16" t="n">
        <v>0</v>
      </c>
      <c r="Q9" s="53" t="s">
        <v>49</v>
      </c>
      <c r="R9" s="46" t="n">
        <v>45754</v>
      </c>
      <c r="S9" s="16"/>
      <c r="T9" s="45" t="n">
        <v>0</v>
      </c>
      <c r="U9" s="16"/>
      <c r="V9" s="16"/>
      <c r="W9" s="16"/>
      <c r="X9" s="16"/>
      <c r="Y9" s="16"/>
      <c r="Z9" s="16"/>
      <c r="AA9" s="119" t="s">
        <v>50</v>
      </c>
      <c r="AB9" s="119" t="n">
        <v>7</v>
      </c>
      <c r="AC9" s="287" t="s">
        <v>2518</v>
      </c>
      <c r="AD9" s="45"/>
      <c r="AE9" s="45"/>
      <c r="AF9" s="20" t="s">
        <v>52</v>
      </c>
    </row>
    <row r="10" customFormat="false" ht="15.75" hidden="false" customHeight="false" outlineLevel="0" collapsed="false">
      <c r="A10" s="16"/>
      <c r="B10" s="16"/>
      <c r="C10" s="71"/>
      <c r="D10" s="72"/>
      <c r="E10" s="16"/>
      <c r="F10" s="16"/>
      <c r="G10" s="16"/>
      <c r="H10" s="16"/>
      <c r="I10" s="16"/>
      <c r="J10" s="16"/>
      <c r="K10" s="16"/>
      <c r="L10" s="19"/>
      <c r="M10" s="16"/>
      <c r="N10" s="19"/>
      <c r="O10" s="16"/>
      <c r="P10" s="16"/>
      <c r="Q10" s="341" t="s">
        <v>49</v>
      </c>
      <c r="R10" s="50" t="n">
        <v>45754</v>
      </c>
      <c r="S10" s="16"/>
      <c r="T10" s="49"/>
      <c r="U10" s="16"/>
      <c r="V10" s="16"/>
      <c r="W10" s="16"/>
      <c r="X10" s="16"/>
      <c r="Y10" s="16"/>
      <c r="Z10" s="16"/>
      <c r="AA10" s="342" t="s">
        <v>50</v>
      </c>
      <c r="AB10" s="342" t="n">
        <v>5</v>
      </c>
      <c r="AC10" s="343" t="s">
        <v>2519</v>
      </c>
      <c r="AD10" s="49"/>
      <c r="AE10" s="49"/>
      <c r="AF10" s="20" t="s">
        <v>52</v>
      </c>
    </row>
    <row r="11" customFormat="false" ht="15.75" hidden="false" customHeight="false" outlineLevel="0" collapsed="false">
      <c r="A11" s="16" t="s">
        <v>42</v>
      </c>
      <c r="B11" s="16" t="s">
        <v>2502</v>
      </c>
      <c r="C11" s="71" t="s">
        <v>2516</v>
      </c>
      <c r="D11" s="16" t="s">
        <v>2520</v>
      </c>
      <c r="E11" s="16" t="s">
        <v>2521</v>
      </c>
      <c r="F11" s="16" t="n">
        <v>270.52</v>
      </c>
      <c r="G11" s="16" t="n">
        <v>258</v>
      </c>
      <c r="H11" s="16" t="n">
        <v>1800</v>
      </c>
      <c r="I11" s="16" t="n">
        <v>942</v>
      </c>
      <c r="J11" s="16" t="n">
        <v>858</v>
      </c>
      <c r="K11" s="16" t="n">
        <v>75</v>
      </c>
      <c r="L11" s="19" t="n">
        <f aca="false">(K11/H11)*100</f>
        <v>4.16666666666667</v>
      </c>
      <c r="M11" s="16" t="n">
        <v>8</v>
      </c>
      <c r="N11" s="19" t="n">
        <f aca="false">(M11/H11)*100</f>
        <v>0.444444444444444</v>
      </c>
      <c r="O11" s="16" t="n">
        <v>0</v>
      </c>
      <c r="P11" s="16" t="n">
        <v>0</v>
      </c>
      <c r="Q11" s="53" t="s">
        <v>49</v>
      </c>
      <c r="R11" s="46" t="n">
        <v>45754</v>
      </c>
      <c r="S11" s="16"/>
      <c r="T11" s="45" t="n">
        <v>0</v>
      </c>
      <c r="U11" s="16"/>
      <c r="V11" s="16"/>
      <c r="W11" s="16"/>
      <c r="X11" s="16"/>
      <c r="Y11" s="16"/>
      <c r="Z11" s="16"/>
      <c r="AA11" s="119" t="s">
        <v>50</v>
      </c>
      <c r="AB11" s="119"/>
      <c r="AC11" s="128"/>
      <c r="AD11" s="45"/>
      <c r="AE11" s="45"/>
      <c r="AF11" s="20" t="s">
        <v>52</v>
      </c>
    </row>
    <row r="12" customFormat="false" ht="15.75" hidden="false" customHeight="false" outlineLevel="0" collapsed="false">
      <c r="A12" s="16" t="s">
        <v>42</v>
      </c>
      <c r="B12" s="16" t="s">
        <v>2502</v>
      </c>
      <c r="C12" s="71" t="s">
        <v>2522</v>
      </c>
      <c r="D12" s="72" t="s">
        <v>2523</v>
      </c>
      <c r="E12" s="16" t="s">
        <v>2524</v>
      </c>
      <c r="F12" s="16" t="n">
        <v>2601</v>
      </c>
      <c r="G12" s="16" t="n">
        <v>798</v>
      </c>
      <c r="H12" s="16" t="n">
        <v>4815</v>
      </c>
      <c r="I12" s="16" t="n">
        <v>2519</v>
      </c>
      <c r="J12" s="16" t="n">
        <v>2296</v>
      </c>
      <c r="K12" s="16" t="n">
        <v>1220</v>
      </c>
      <c r="L12" s="19" t="n">
        <f aca="false">(K12/H12)*100</f>
        <v>25.33748701973</v>
      </c>
      <c r="M12" s="16" t="n">
        <v>0</v>
      </c>
      <c r="N12" s="19" t="n">
        <f aca="false">(M12/H12)*100</f>
        <v>0</v>
      </c>
      <c r="O12" s="16" t="n">
        <v>14</v>
      </c>
      <c r="P12" s="16" t="n">
        <v>0</v>
      </c>
      <c r="Q12" s="53" t="s">
        <v>49</v>
      </c>
      <c r="R12" s="46" t="n">
        <v>45754</v>
      </c>
      <c r="S12" s="16"/>
      <c r="T12" s="45" t="n">
        <v>0</v>
      </c>
      <c r="U12" s="16"/>
      <c r="V12" s="16"/>
      <c r="W12" s="16"/>
      <c r="X12" s="16"/>
      <c r="Y12" s="16"/>
      <c r="Z12" s="16"/>
      <c r="AA12" s="119" t="s">
        <v>50</v>
      </c>
      <c r="AB12" s="119" t="n">
        <v>0</v>
      </c>
      <c r="AC12" s="128"/>
      <c r="AD12" s="45"/>
      <c r="AE12" s="45"/>
      <c r="AF12" s="20" t="s">
        <v>52</v>
      </c>
    </row>
    <row r="13" customFormat="false" ht="15.75" hidden="false" customHeight="false" outlineLevel="0" collapsed="false">
      <c r="A13" s="16" t="s">
        <v>42</v>
      </c>
      <c r="B13" s="16" t="s">
        <v>2502</v>
      </c>
      <c r="C13" s="71" t="s">
        <v>2522</v>
      </c>
      <c r="D13" s="16" t="s">
        <v>2525</v>
      </c>
      <c r="E13" s="16" t="s">
        <v>2526</v>
      </c>
      <c r="F13" s="16" t="n">
        <v>629</v>
      </c>
      <c r="G13" s="16" t="n">
        <v>218</v>
      </c>
      <c r="H13" s="16" t="n">
        <v>1393</v>
      </c>
      <c r="I13" s="16" t="n">
        <v>719</v>
      </c>
      <c r="J13" s="16" t="n">
        <v>674</v>
      </c>
      <c r="K13" s="16" t="n">
        <v>26</v>
      </c>
      <c r="L13" s="19" t="n">
        <f aca="false">(K13/H13)*100</f>
        <v>1.8664752333094</v>
      </c>
      <c r="M13" s="16" t="n">
        <v>44</v>
      </c>
      <c r="N13" s="19" t="n">
        <f aca="false">(M13/H13)*100</f>
        <v>3.1586503948313</v>
      </c>
      <c r="O13" s="16" t="n">
        <v>0</v>
      </c>
      <c r="P13" s="16" t="n">
        <v>0</v>
      </c>
      <c r="Q13" s="53" t="s">
        <v>49</v>
      </c>
      <c r="R13" s="46" t="n">
        <v>45754</v>
      </c>
      <c r="S13" s="16"/>
      <c r="T13" s="45" t="n">
        <v>0</v>
      </c>
      <c r="U13" s="16"/>
      <c r="V13" s="16"/>
      <c r="W13" s="16"/>
      <c r="X13" s="16"/>
      <c r="Y13" s="16"/>
      <c r="Z13" s="16"/>
      <c r="AA13" s="119" t="s">
        <v>50</v>
      </c>
      <c r="AB13" s="119" t="n">
        <v>7</v>
      </c>
      <c r="AC13" s="287" t="s">
        <v>2527</v>
      </c>
      <c r="AD13" s="45"/>
      <c r="AE13" s="45"/>
      <c r="AF13" s="20" t="s">
        <v>52</v>
      </c>
    </row>
    <row r="14" customFormat="false" ht="15.75" hidden="false" customHeight="false" outlineLevel="0" collapsed="false">
      <c r="A14" s="16"/>
      <c r="B14" s="16"/>
      <c r="C14" s="71"/>
      <c r="D14" s="16"/>
      <c r="E14" s="16"/>
      <c r="F14" s="16"/>
      <c r="G14" s="16"/>
      <c r="H14" s="16"/>
      <c r="I14" s="16"/>
      <c r="J14" s="16"/>
      <c r="K14" s="16"/>
      <c r="L14" s="19"/>
      <c r="M14" s="16"/>
      <c r="N14" s="19"/>
      <c r="O14" s="16"/>
      <c r="P14" s="16"/>
      <c r="Q14" s="341" t="s">
        <v>49</v>
      </c>
      <c r="R14" s="50" t="n">
        <v>45754</v>
      </c>
      <c r="S14" s="16"/>
      <c r="T14" s="49"/>
      <c r="U14" s="16"/>
      <c r="V14" s="16"/>
      <c r="W14" s="16"/>
      <c r="X14" s="16"/>
      <c r="Y14" s="16"/>
      <c r="Z14" s="16"/>
      <c r="AA14" s="342" t="s">
        <v>50</v>
      </c>
      <c r="AB14" s="342" t="n">
        <v>5</v>
      </c>
      <c r="AC14" s="343" t="s">
        <v>2528</v>
      </c>
      <c r="AD14" s="49"/>
      <c r="AE14" s="49"/>
      <c r="AF14" s="20" t="s">
        <v>52</v>
      </c>
    </row>
    <row r="15" customFormat="false" ht="15.75" hidden="false" customHeight="false" outlineLevel="0" collapsed="false">
      <c r="A15" s="16"/>
      <c r="B15" s="16"/>
      <c r="C15" s="71"/>
      <c r="D15" s="16"/>
      <c r="E15" s="16"/>
      <c r="F15" s="16"/>
      <c r="G15" s="16"/>
      <c r="H15" s="16"/>
      <c r="I15" s="16"/>
      <c r="J15" s="16"/>
      <c r="K15" s="16"/>
      <c r="L15" s="19"/>
      <c r="M15" s="16"/>
      <c r="N15" s="19"/>
      <c r="O15" s="16"/>
      <c r="P15" s="16"/>
      <c r="Q15" s="341" t="s">
        <v>49</v>
      </c>
      <c r="R15" s="50" t="n">
        <v>45754</v>
      </c>
      <c r="S15" s="16"/>
      <c r="T15" s="49"/>
      <c r="U15" s="16"/>
      <c r="V15" s="16"/>
      <c r="W15" s="16"/>
      <c r="X15" s="16"/>
      <c r="Y15" s="16"/>
      <c r="Z15" s="16"/>
      <c r="AA15" s="342" t="s">
        <v>50</v>
      </c>
      <c r="AB15" s="342" t="n">
        <v>7</v>
      </c>
      <c r="AC15" s="343" t="s">
        <v>2529</v>
      </c>
      <c r="AD15" s="49"/>
      <c r="AE15" s="49"/>
      <c r="AF15" s="20" t="s">
        <v>52</v>
      </c>
    </row>
    <row r="16" s="345" customFormat="true" ht="15.75" hidden="false" customHeight="false" outlineLevel="0" collapsed="false">
      <c r="A16" s="16" t="s">
        <v>42</v>
      </c>
      <c r="B16" s="16" t="s">
        <v>2502</v>
      </c>
      <c r="C16" s="71" t="s">
        <v>2522</v>
      </c>
      <c r="D16" s="344" t="s">
        <v>2530</v>
      </c>
      <c r="E16" s="344"/>
      <c r="F16" s="344"/>
      <c r="G16" s="344"/>
      <c r="H16" s="344"/>
      <c r="I16" s="344"/>
      <c r="J16" s="344"/>
      <c r="K16" s="344"/>
      <c r="L16" s="19"/>
      <c r="M16" s="344"/>
      <c r="N16" s="19"/>
      <c r="O16" s="344"/>
      <c r="P16" s="344"/>
      <c r="Q16" s="53" t="s">
        <v>49</v>
      </c>
      <c r="R16" s="46" t="n">
        <v>45754</v>
      </c>
      <c r="S16" s="344"/>
      <c r="T16" s="45" t="n">
        <v>0</v>
      </c>
      <c r="U16" s="344"/>
      <c r="V16" s="344"/>
      <c r="W16" s="344"/>
      <c r="X16" s="344"/>
      <c r="Y16" s="344"/>
      <c r="Z16" s="344"/>
      <c r="AA16" s="119" t="s">
        <v>50</v>
      </c>
      <c r="AB16" s="119" t="n">
        <v>0</v>
      </c>
      <c r="AC16" s="340"/>
      <c r="AD16" s="45"/>
      <c r="AE16" s="45"/>
      <c r="AF16" s="20" t="s">
        <v>52</v>
      </c>
    </row>
    <row r="17" s="345" customFormat="true" ht="15.75" hidden="false" customHeight="false" outlineLevel="0" collapsed="false">
      <c r="A17" s="16" t="s">
        <v>42</v>
      </c>
      <c r="B17" s="16" t="s">
        <v>2502</v>
      </c>
      <c r="C17" s="71" t="s">
        <v>2522</v>
      </c>
      <c r="D17" s="344" t="s">
        <v>2531</v>
      </c>
      <c r="E17" s="344"/>
      <c r="F17" s="344"/>
      <c r="G17" s="344"/>
      <c r="H17" s="344"/>
      <c r="I17" s="344"/>
      <c r="J17" s="344"/>
      <c r="K17" s="344"/>
      <c r="L17" s="19"/>
      <c r="M17" s="344"/>
      <c r="N17" s="19"/>
      <c r="O17" s="344"/>
      <c r="P17" s="344"/>
      <c r="Q17" s="45" t="s">
        <v>49</v>
      </c>
      <c r="R17" s="46" t="n">
        <v>45754</v>
      </c>
      <c r="S17" s="344"/>
      <c r="T17" s="45" t="n">
        <v>0.5</v>
      </c>
      <c r="U17" s="344"/>
      <c r="V17" s="344"/>
      <c r="W17" s="344"/>
      <c r="X17" s="344"/>
      <c r="Y17" s="344"/>
      <c r="Z17" s="344"/>
      <c r="AA17" s="119" t="s">
        <v>50</v>
      </c>
      <c r="AB17" s="119" t="n">
        <v>0</v>
      </c>
      <c r="AC17" s="287"/>
      <c r="AD17" s="45"/>
      <c r="AE17" s="45"/>
      <c r="AF17" s="20" t="s">
        <v>52</v>
      </c>
    </row>
    <row r="18" customFormat="false" ht="31.5" hidden="false" customHeight="false" outlineLevel="0" collapsed="false">
      <c r="A18" s="16" t="s">
        <v>42</v>
      </c>
      <c r="B18" s="16" t="s">
        <v>2502</v>
      </c>
      <c r="C18" s="71" t="s">
        <v>2532</v>
      </c>
      <c r="D18" s="72" t="s">
        <v>2532</v>
      </c>
      <c r="E18" s="16" t="s">
        <v>2533</v>
      </c>
      <c r="F18" s="16" t="n">
        <v>1649.66</v>
      </c>
      <c r="G18" s="16" t="n">
        <v>366</v>
      </c>
      <c r="H18" s="16" t="n">
        <v>2882</v>
      </c>
      <c r="I18" s="16" t="n">
        <v>1465</v>
      </c>
      <c r="J18" s="16" t="n">
        <v>1417</v>
      </c>
      <c r="K18" s="16" t="n">
        <v>147</v>
      </c>
      <c r="L18" s="19" t="n">
        <f aca="false">(K18/H18)*100</f>
        <v>5.10062456627342</v>
      </c>
      <c r="M18" s="16" t="n">
        <v>9</v>
      </c>
      <c r="N18" s="19" t="n">
        <f aca="false">(M18/H18)*100</f>
        <v>0.312283136710618</v>
      </c>
      <c r="O18" s="16" t="n">
        <v>318</v>
      </c>
      <c r="P18" s="16" t="n">
        <v>0</v>
      </c>
      <c r="Q18" s="45" t="s">
        <v>49</v>
      </c>
      <c r="R18" s="46" t="n">
        <v>45754</v>
      </c>
      <c r="S18" s="16"/>
      <c r="T18" s="45" t="n">
        <v>64.36</v>
      </c>
      <c r="U18" s="16"/>
      <c r="V18" s="16"/>
      <c r="W18" s="16"/>
      <c r="X18" s="16"/>
      <c r="Y18" s="16"/>
      <c r="Z18" s="16"/>
      <c r="AA18" s="119" t="s">
        <v>50</v>
      </c>
      <c r="AB18" s="119" t="n">
        <v>10</v>
      </c>
      <c r="AC18" s="287" t="s">
        <v>2534</v>
      </c>
      <c r="AD18" s="45" t="n">
        <v>72.76</v>
      </c>
      <c r="AE18" s="45" t="n">
        <v>26.41</v>
      </c>
      <c r="AF18" s="20" t="s">
        <v>52</v>
      </c>
    </row>
    <row r="19" customFormat="false" ht="15.75" hidden="false" customHeight="false" outlineLevel="0" collapsed="false">
      <c r="A19" s="16"/>
      <c r="B19" s="16"/>
      <c r="C19" s="71"/>
      <c r="D19" s="72"/>
      <c r="E19" s="16"/>
      <c r="F19" s="16"/>
      <c r="G19" s="16"/>
      <c r="H19" s="16"/>
      <c r="I19" s="16"/>
      <c r="J19" s="16"/>
      <c r="K19" s="16"/>
      <c r="L19" s="19"/>
      <c r="M19" s="16"/>
      <c r="N19" s="19"/>
      <c r="O19" s="16"/>
      <c r="P19" s="16"/>
      <c r="Q19" s="49"/>
      <c r="R19" s="50"/>
      <c r="S19" s="16"/>
      <c r="T19" s="49"/>
      <c r="U19" s="16"/>
      <c r="V19" s="16"/>
      <c r="W19" s="16"/>
      <c r="X19" s="16"/>
      <c r="Y19" s="16"/>
      <c r="Z19" s="16"/>
      <c r="AA19" s="342"/>
      <c r="AB19" s="342" t="n">
        <v>7</v>
      </c>
      <c r="AC19" s="343" t="s">
        <v>2535</v>
      </c>
      <c r="AD19" s="49" t="n">
        <v>72.76</v>
      </c>
      <c r="AE19" s="49" t="n">
        <v>26.41</v>
      </c>
      <c r="AF19" s="20" t="s">
        <v>52</v>
      </c>
    </row>
    <row r="20" customFormat="false" ht="15.75" hidden="false" customHeight="false" outlineLevel="0" collapsed="false">
      <c r="A20" s="16"/>
      <c r="B20" s="16"/>
      <c r="C20" s="71"/>
      <c r="D20" s="72"/>
      <c r="E20" s="16"/>
      <c r="F20" s="16"/>
      <c r="G20" s="16"/>
      <c r="H20" s="16"/>
      <c r="I20" s="16"/>
      <c r="J20" s="16"/>
      <c r="K20" s="16"/>
      <c r="L20" s="19"/>
      <c r="M20" s="16"/>
      <c r="N20" s="19"/>
      <c r="O20" s="16"/>
      <c r="P20" s="16"/>
      <c r="Q20" s="49"/>
      <c r="R20" s="50"/>
      <c r="S20" s="16"/>
      <c r="T20" s="49"/>
      <c r="U20" s="16"/>
      <c r="V20" s="16"/>
      <c r="W20" s="16"/>
      <c r="X20" s="16"/>
      <c r="Y20" s="16"/>
      <c r="Z20" s="16"/>
      <c r="AA20" s="342"/>
      <c r="AB20" s="342" t="n">
        <v>12</v>
      </c>
      <c r="AC20" s="343" t="s">
        <v>2536</v>
      </c>
      <c r="AD20" s="49" t="n">
        <v>72.81</v>
      </c>
      <c r="AE20" s="49" t="n">
        <v>26.41</v>
      </c>
      <c r="AF20" s="20" t="s">
        <v>52</v>
      </c>
    </row>
    <row r="21" customFormat="false" ht="15.75" hidden="false" customHeight="false" outlineLevel="0" collapsed="false">
      <c r="A21" s="16" t="s">
        <v>42</v>
      </c>
      <c r="B21" s="16" t="s">
        <v>2502</v>
      </c>
      <c r="C21" s="71" t="s">
        <v>2532</v>
      </c>
      <c r="D21" s="16" t="s">
        <v>2537</v>
      </c>
      <c r="E21" s="16" t="s">
        <v>2538</v>
      </c>
      <c r="F21" s="16" t="n">
        <v>891.9</v>
      </c>
      <c r="G21" s="16" t="n">
        <v>145</v>
      </c>
      <c r="H21" s="16" t="n">
        <v>1017</v>
      </c>
      <c r="I21" s="16" t="n">
        <v>520</v>
      </c>
      <c r="J21" s="16" t="n">
        <v>497</v>
      </c>
      <c r="K21" s="16" t="n">
        <v>26</v>
      </c>
      <c r="L21" s="19" t="n">
        <f aca="false">(K21/H21)*100</f>
        <v>2.55653883972468</v>
      </c>
      <c r="M21" s="16" t="n">
        <v>56</v>
      </c>
      <c r="N21" s="19" t="n">
        <f aca="false">(M21/H21)*100</f>
        <v>5.50639134709931</v>
      </c>
      <c r="O21" s="16" t="n">
        <v>59</v>
      </c>
      <c r="P21" s="16" t="n">
        <v>0</v>
      </c>
      <c r="Q21" s="45" t="s">
        <v>49</v>
      </c>
      <c r="R21" s="46" t="n">
        <v>45754</v>
      </c>
      <c r="S21" s="16"/>
      <c r="T21" s="45" t="n">
        <v>1.65</v>
      </c>
      <c r="U21" s="16"/>
      <c r="V21" s="16"/>
      <c r="W21" s="16"/>
      <c r="X21" s="16"/>
      <c r="Y21" s="16"/>
      <c r="Z21" s="16"/>
      <c r="AA21" s="119" t="s">
        <v>50</v>
      </c>
      <c r="AB21" s="119" t="n">
        <v>2</v>
      </c>
      <c r="AC21" s="287" t="s">
        <v>2539</v>
      </c>
      <c r="AD21" s="45" t="n">
        <v>72.86</v>
      </c>
      <c r="AE21" s="45" t="n">
        <v>26.41</v>
      </c>
      <c r="AF21" s="20" t="s">
        <v>52</v>
      </c>
    </row>
    <row r="22" customFormat="false" ht="15.75" hidden="false" customHeight="false" outlineLevel="0" collapsed="false">
      <c r="A22" s="16" t="s">
        <v>42</v>
      </c>
      <c r="B22" s="16" t="s">
        <v>2502</v>
      </c>
      <c r="C22" s="71" t="s">
        <v>2540</v>
      </c>
      <c r="D22" s="72" t="s">
        <v>2541</v>
      </c>
      <c r="E22" s="16" t="s">
        <v>2542</v>
      </c>
      <c r="F22" s="16" t="n">
        <v>2412</v>
      </c>
      <c r="G22" s="16" t="n">
        <v>1227</v>
      </c>
      <c r="H22" s="16" t="n">
        <v>6881</v>
      </c>
      <c r="I22" s="16" t="n">
        <v>3599</v>
      </c>
      <c r="J22" s="16" t="n">
        <v>3282</v>
      </c>
      <c r="K22" s="16" t="n">
        <v>741</v>
      </c>
      <c r="L22" s="19" t="n">
        <f aca="false">(K22/H22)*100</f>
        <v>10.7687836070339</v>
      </c>
      <c r="M22" s="16" t="n">
        <v>56</v>
      </c>
      <c r="N22" s="19" t="n">
        <f aca="false">(M22/H22)*100</f>
        <v>0.81383519837233</v>
      </c>
      <c r="O22" s="16" t="n">
        <v>0</v>
      </c>
      <c r="P22" s="16" t="n">
        <v>1851</v>
      </c>
      <c r="Q22" s="20"/>
      <c r="R22" s="21"/>
      <c r="S22" s="16"/>
      <c r="T22" s="20"/>
      <c r="U22" s="16"/>
      <c r="V22" s="16"/>
      <c r="W22" s="16"/>
      <c r="X22" s="16"/>
      <c r="Y22" s="16"/>
      <c r="Z22" s="16"/>
      <c r="AA22" s="89"/>
      <c r="AB22" s="89"/>
      <c r="AC22" s="36"/>
      <c r="AD22" s="20"/>
      <c r="AE22" s="20"/>
      <c r="AF22" s="20" t="s">
        <v>52</v>
      </c>
    </row>
    <row r="23" customFormat="false" ht="15.75" hidden="false" customHeight="false" outlineLevel="0" collapsed="false">
      <c r="A23" s="16" t="s">
        <v>42</v>
      </c>
      <c r="B23" s="16" t="s">
        <v>2502</v>
      </c>
      <c r="C23" s="71" t="s">
        <v>2540</v>
      </c>
      <c r="D23" s="16" t="s">
        <v>2543</v>
      </c>
      <c r="E23" s="16" t="s">
        <v>2544</v>
      </c>
      <c r="F23" s="16" t="n">
        <v>412.43</v>
      </c>
      <c r="G23" s="16" t="n">
        <v>246</v>
      </c>
      <c r="H23" s="16" t="n">
        <v>1554</v>
      </c>
      <c r="I23" s="16" t="n">
        <v>834</v>
      </c>
      <c r="J23" s="16" t="n">
        <v>720</v>
      </c>
      <c r="K23" s="16" t="n">
        <v>180</v>
      </c>
      <c r="L23" s="19" t="n">
        <f aca="false">(K23/H23)*100</f>
        <v>11.5830115830116</v>
      </c>
      <c r="M23" s="16" t="n">
        <v>4</v>
      </c>
      <c r="N23" s="19" t="n">
        <f aca="false">(M23/H23)*100</f>
        <v>0.257400257400257</v>
      </c>
      <c r="O23" s="16" t="n">
        <v>0</v>
      </c>
      <c r="P23" s="16" t="n">
        <v>0</v>
      </c>
      <c r="Q23" s="20"/>
      <c r="R23" s="21"/>
      <c r="S23" s="16"/>
      <c r="T23" s="20"/>
      <c r="U23" s="16"/>
      <c r="V23" s="16"/>
      <c r="W23" s="16"/>
      <c r="X23" s="16"/>
      <c r="Y23" s="16"/>
      <c r="Z23" s="16"/>
      <c r="AA23" s="89"/>
      <c r="AB23" s="89"/>
      <c r="AC23" s="36"/>
      <c r="AD23" s="20"/>
      <c r="AE23" s="20"/>
      <c r="AF23" s="20"/>
    </row>
    <row r="24" customFormat="false" ht="15.75" hidden="false" customHeight="false" outlineLevel="0" collapsed="false">
      <c r="A24" s="16" t="s">
        <v>42</v>
      </c>
      <c r="B24" s="16" t="s">
        <v>2502</v>
      </c>
      <c r="C24" s="71" t="s">
        <v>2545</v>
      </c>
      <c r="D24" s="72" t="s">
        <v>2545</v>
      </c>
      <c r="E24" s="16" t="s">
        <v>2546</v>
      </c>
      <c r="F24" s="16" t="n">
        <v>2284.37</v>
      </c>
      <c r="G24" s="16" t="n">
        <v>601</v>
      </c>
      <c r="H24" s="16" t="n">
        <v>3329</v>
      </c>
      <c r="I24" s="16" t="n">
        <v>1739</v>
      </c>
      <c r="J24" s="16" t="n">
        <v>1590</v>
      </c>
      <c r="K24" s="16" t="n">
        <v>748</v>
      </c>
      <c r="L24" s="19" t="n">
        <f aca="false">(K24/H24)*100</f>
        <v>22.4692099729649</v>
      </c>
      <c r="M24" s="16" t="n">
        <v>114</v>
      </c>
      <c r="N24" s="19" t="n">
        <f aca="false">(M24/H24)*100</f>
        <v>3.42445178732352</v>
      </c>
      <c r="O24" s="16" t="n">
        <v>57.04</v>
      </c>
      <c r="P24" s="16" t="n">
        <v>0</v>
      </c>
      <c r="Q24" s="53" t="s">
        <v>49</v>
      </c>
      <c r="R24" s="46" t="n">
        <v>45750</v>
      </c>
      <c r="S24" s="16"/>
      <c r="T24" s="45" t="n">
        <v>0</v>
      </c>
      <c r="U24" s="16"/>
      <c r="V24" s="16"/>
      <c r="W24" s="16"/>
      <c r="X24" s="16"/>
      <c r="Y24" s="16"/>
      <c r="Z24" s="16"/>
      <c r="AA24" s="119" t="s">
        <v>50</v>
      </c>
      <c r="AB24" s="119" t="n">
        <v>6</v>
      </c>
      <c r="AC24" s="287" t="s">
        <v>2547</v>
      </c>
      <c r="AD24" s="45"/>
      <c r="AE24" s="45"/>
      <c r="AF24" s="20" t="s">
        <v>52</v>
      </c>
    </row>
    <row r="25" customFormat="false" ht="15.75" hidden="false" customHeight="false" outlineLevel="0" collapsed="false">
      <c r="A25" s="16" t="s">
        <v>42</v>
      </c>
      <c r="B25" s="16" t="s">
        <v>2502</v>
      </c>
      <c r="C25" s="71" t="s">
        <v>2545</v>
      </c>
      <c r="D25" s="16" t="s">
        <v>2548</v>
      </c>
      <c r="E25" s="16" t="s">
        <v>2549</v>
      </c>
      <c r="F25" s="16" t="n">
        <v>526.2</v>
      </c>
      <c r="G25" s="16" t="n">
        <v>89</v>
      </c>
      <c r="H25" s="16" t="n">
        <v>503</v>
      </c>
      <c r="I25" s="16" t="n">
        <v>269</v>
      </c>
      <c r="J25" s="16" t="n">
        <v>234</v>
      </c>
      <c r="K25" s="16" t="n">
        <v>213</v>
      </c>
      <c r="L25" s="19" t="n">
        <f aca="false">(K25/H25)*100</f>
        <v>42.3459244532803</v>
      </c>
      <c r="M25" s="16" t="n">
        <v>0</v>
      </c>
      <c r="N25" s="19" t="n">
        <f aca="false">(M25/H25)*100</f>
        <v>0</v>
      </c>
      <c r="O25" s="16" t="n">
        <v>33.06</v>
      </c>
      <c r="P25" s="16" t="n">
        <v>0</v>
      </c>
      <c r="Q25" s="53" t="s">
        <v>49</v>
      </c>
      <c r="R25" s="46" t="n">
        <v>45750</v>
      </c>
      <c r="S25" s="16"/>
      <c r="T25" s="45" t="n">
        <v>18.63</v>
      </c>
      <c r="U25" s="16"/>
      <c r="V25" s="16"/>
      <c r="W25" s="16"/>
      <c r="X25" s="16"/>
      <c r="Y25" s="16"/>
      <c r="Z25" s="16"/>
      <c r="AA25" s="119" t="s">
        <v>50</v>
      </c>
      <c r="AB25" s="119" t="n">
        <v>10</v>
      </c>
      <c r="AC25" s="287" t="s">
        <v>2550</v>
      </c>
      <c r="AD25" s="45"/>
      <c r="AE25" s="45"/>
      <c r="AF25" s="20" t="s">
        <v>52</v>
      </c>
    </row>
    <row r="26" customFormat="false" ht="15.75" hidden="false" customHeight="false" outlineLevel="0" collapsed="false">
      <c r="A26" s="16" t="s">
        <v>42</v>
      </c>
      <c r="B26" s="16" t="s">
        <v>2502</v>
      </c>
      <c r="C26" s="71" t="s">
        <v>2545</v>
      </c>
      <c r="D26" s="16" t="s">
        <v>2551</v>
      </c>
      <c r="E26" s="16" t="s">
        <v>2552</v>
      </c>
      <c r="F26" s="16" t="n">
        <v>650.24</v>
      </c>
      <c r="G26" s="16" t="n">
        <v>137</v>
      </c>
      <c r="H26" s="16" t="n">
        <v>815</v>
      </c>
      <c r="I26" s="16" t="n">
        <v>420</v>
      </c>
      <c r="J26" s="16" t="n">
        <v>395</v>
      </c>
      <c r="K26" s="16" t="n">
        <v>137</v>
      </c>
      <c r="L26" s="19" t="n">
        <f aca="false">(K26/H26)*100</f>
        <v>16.8098159509202</v>
      </c>
      <c r="M26" s="16" t="n">
        <v>268</v>
      </c>
      <c r="N26" s="19" t="n">
        <f aca="false">(M26/H26)*100</f>
        <v>32.8834355828221</v>
      </c>
      <c r="O26" s="16" t="n">
        <v>23.07</v>
      </c>
      <c r="P26" s="16" t="n">
        <v>0</v>
      </c>
      <c r="Q26" s="53" t="s">
        <v>49</v>
      </c>
      <c r="R26" s="46" t="n">
        <v>45750</v>
      </c>
      <c r="S26" s="16"/>
      <c r="T26" s="45" t="n">
        <v>0</v>
      </c>
      <c r="U26" s="16"/>
      <c r="V26" s="16"/>
      <c r="W26" s="16"/>
      <c r="X26" s="16"/>
      <c r="Y26" s="16"/>
      <c r="Z26" s="16"/>
      <c r="AA26" s="119" t="s">
        <v>50</v>
      </c>
      <c r="AB26" s="119" t="n">
        <v>5</v>
      </c>
      <c r="AC26" s="287" t="s">
        <v>2553</v>
      </c>
      <c r="AD26" s="45"/>
      <c r="AE26" s="45"/>
      <c r="AF26" s="20" t="s">
        <v>52</v>
      </c>
    </row>
    <row r="27" customFormat="false" ht="15.75" hidden="false" customHeight="false" outlineLevel="0" collapsed="false">
      <c r="A27" s="16" t="s">
        <v>42</v>
      </c>
      <c r="B27" s="16" t="s">
        <v>2502</v>
      </c>
      <c r="C27" s="71" t="s">
        <v>2554</v>
      </c>
      <c r="D27" s="72" t="s">
        <v>2554</v>
      </c>
      <c r="E27" s="16" t="s">
        <v>2555</v>
      </c>
      <c r="F27" s="16" t="n">
        <v>2250.62</v>
      </c>
      <c r="G27" s="16" t="n">
        <v>565</v>
      </c>
      <c r="H27" s="16" t="n">
        <v>3402</v>
      </c>
      <c r="I27" s="16" t="n">
        <v>1773</v>
      </c>
      <c r="J27" s="16" t="n">
        <v>1629</v>
      </c>
      <c r="K27" s="16" t="n">
        <v>292</v>
      </c>
      <c r="L27" s="19" t="n">
        <f aca="false">(K27/H27)*100</f>
        <v>8.58318636096414</v>
      </c>
      <c r="M27" s="16" t="n">
        <v>119</v>
      </c>
      <c r="N27" s="19" t="n">
        <f aca="false">(M27/H27)*100</f>
        <v>3.49794238683128</v>
      </c>
      <c r="O27" s="16" t="n">
        <v>108.35</v>
      </c>
      <c r="P27" s="16" t="n">
        <v>8.22</v>
      </c>
      <c r="Q27" s="45" t="s">
        <v>49</v>
      </c>
      <c r="R27" s="46" t="n">
        <v>45842</v>
      </c>
      <c r="S27" s="16"/>
      <c r="T27" s="45" t="n">
        <v>29.44</v>
      </c>
      <c r="U27" s="16"/>
      <c r="V27" s="16"/>
      <c r="W27" s="16"/>
      <c r="X27" s="16"/>
      <c r="Y27" s="16"/>
      <c r="Z27" s="16"/>
      <c r="AA27" s="119" t="s">
        <v>50</v>
      </c>
      <c r="AB27" s="119" t="n">
        <v>12</v>
      </c>
      <c r="AC27" s="287" t="s">
        <v>2556</v>
      </c>
      <c r="AD27" s="45" t="n">
        <v>26.386039</v>
      </c>
      <c r="AE27" s="45" t="n">
        <v>72.756956</v>
      </c>
      <c r="AF27" s="20" t="s">
        <v>52</v>
      </c>
    </row>
    <row r="28" customFormat="false" ht="15.75" hidden="false" customHeight="false" outlineLevel="0" collapsed="false">
      <c r="A28" s="16"/>
      <c r="B28" s="16"/>
      <c r="C28" s="71"/>
      <c r="D28" s="72"/>
      <c r="E28" s="16"/>
      <c r="F28" s="16"/>
      <c r="G28" s="16"/>
      <c r="H28" s="16"/>
      <c r="I28" s="16"/>
      <c r="J28" s="16"/>
      <c r="K28" s="16"/>
      <c r="L28" s="19"/>
      <c r="M28" s="16"/>
      <c r="N28" s="19"/>
      <c r="O28" s="16"/>
      <c r="P28" s="16"/>
      <c r="Q28" s="155"/>
      <c r="R28" s="346"/>
      <c r="S28" s="16"/>
      <c r="T28" s="155"/>
      <c r="U28" s="16"/>
      <c r="V28" s="16"/>
      <c r="W28" s="16"/>
      <c r="X28" s="16"/>
      <c r="Y28" s="16"/>
      <c r="Z28" s="16"/>
      <c r="AA28" s="157" t="s">
        <v>50</v>
      </c>
      <c r="AB28" s="157" t="n">
        <v>5</v>
      </c>
      <c r="AC28" s="347" t="s">
        <v>2557</v>
      </c>
      <c r="AD28" s="155" t="n">
        <v>26.388912</v>
      </c>
      <c r="AE28" s="155" t="n">
        <v>72.747012</v>
      </c>
      <c r="AF28" s="20" t="s">
        <v>52</v>
      </c>
    </row>
    <row r="29" customFormat="false" ht="15.75" hidden="false" customHeight="false" outlineLevel="0" collapsed="false">
      <c r="A29" s="16"/>
      <c r="B29" s="16"/>
      <c r="C29" s="71"/>
      <c r="D29" s="72"/>
      <c r="E29" s="16"/>
      <c r="F29" s="16"/>
      <c r="G29" s="16"/>
      <c r="H29" s="16"/>
      <c r="I29" s="16"/>
      <c r="J29" s="16"/>
      <c r="K29" s="16"/>
      <c r="L29" s="19"/>
      <c r="M29" s="16"/>
      <c r="N29" s="19"/>
      <c r="O29" s="16"/>
      <c r="P29" s="16"/>
      <c r="Q29" s="334"/>
      <c r="R29" s="156"/>
      <c r="S29" s="16"/>
      <c r="T29" s="155"/>
      <c r="U29" s="16"/>
      <c r="V29" s="16"/>
      <c r="W29" s="16"/>
      <c r="X29" s="16"/>
      <c r="Y29" s="16"/>
      <c r="Z29" s="16"/>
      <c r="AA29" s="157" t="s">
        <v>50</v>
      </c>
      <c r="AB29" s="157" t="n">
        <v>10</v>
      </c>
      <c r="AC29" s="347" t="s">
        <v>2558</v>
      </c>
      <c r="AD29" s="155" t="n">
        <v>26.384622</v>
      </c>
      <c r="AE29" s="155" t="n">
        <v>72.743127</v>
      </c>
      <c r="AF29" s="20" t="s">
        <v>52</v>
      </c>
    </row>
    <row r="30" customFormat="false" ht="31.5" hidden="false" customHeight="false" outlineLevel="0" collapsed="false">
      <c r="A30" s="16"/>
      <c r="B30" s="16"/>
      <c r="C30" s="71"/>
      <c r="D30" s="72"/>
      <c r="E30" s="16"/>
      <c r="F30" s="16"/>
      <c r="G30" s="16"/>
      <c r="H30" s="16"/>
      <c r="I30" s="16"/>
      <c r="J30" s="16"/>
      <c r="K30" s="16"/>
      <c r="L30" s="19"/>
      <c r="M30" s="16"/>
      <c r="N30" s="19"/>
      <c r="O30" s="16"/>
      <c r="P30" s="16"/>
      <c r="Q30" s="334"/>
      <c r="R30" s="156"/>
      <c r="S30" s="16"/>
      <c r="T30" s="155"/>
      <c r="U30" s="16"/>
      <c r="V30" s="16"/>
      <c r="W30" s="16"/>
      <c r="X30" s="16"/>
      <c r="Y30" s="16"/>
      <c r="Z30" s="16"/>
      <c r="AA30" s="157" t="s">
        <v>50</v>
      </c>
      <c r="AB30" s="157" t="n">
        <v>8</v>
      </c>
      <c r="AC30" s="347" t="s">
        <v>2559</v>
      </c>
      <c r="AD30" s="155" t="n">
        <v>26.393406</v>
      </c>
      <c r="AE30" s="155" t="n">
        <v>72.737709</v>
      </c>
      <c r="AF30" s="20" t="s">
        <v>52</v>
      </c>
    </row>
    <row r="31" customFormat="false" ht="31.5" hidden="false" customHeight="false" outlineLevel="0" collapsed="false">
      <c r="A31" s="16" t="s">
        <v>42</v>
      </c>
      <c r="B31" s="16" t="s">
        <v>2502</v>
      </c>
      <c r="C31" s="71" t="s">
        <v>2560</v>
      </c>
      <c r="D31" s="72" t="s">
        <v>2561</v>
      </c>
      <c r="E31" s="16" t="s">
        <v>2562</v>
      </c>
      <c r="F31" s="16" t="n">
        <v>355</v>
      </c>
      <c r="G31" s="16" t="n">
        <v>167</v>
      </c>
      <c r="H31" s="16" t="n">
        <v>1109</v>
      </c>
      <c r="I31" s="16" t="n">
        <v>565</v>
      </c>
      <c r="J31" s="16" t="n">
        <v>544</v>
      </c>
      <c r="K31" s="16" t="n">
        <v>151</v>
      </c>
      <c r="L31" s="19" t="n">
        <f aca="false">(K31/H31)*100</f>
        <v>13.6158701532913</v>
      </c>
      <c r="M31" s="16" t="n">
        <v>0</v>
      </c>
      <c r="N31" s="19" t="n">
        <f aca="false">(M31/H31)*100</f>
        <v>0</v>
      </c>
      <c r="O31" s="16" t="n">
        <v>82</v>
      </c>
      <c r="P31" s="16" t="n">
        <v>0</v>
      </c>
      <c r="Q31" s="45" t="s">
        <v>49</v>
      </c>
      <c r="R31" s="46" t="n">
        <v>45754</v>
      </c>
      <c r="S31" s="16"/>
      <c r="T31" s="45" t="n">
        <v>33.88</v>
      </c>
      <c r="U31" s="16"/>
      <c r="V31" s="16"/>
      <c r="W31" s="16"/>
      <c r="X31" s="16"/>
      <c r="Y31" s="16"/>
      <c r="Z31" s="16"/>
      <c r="AA31" s="119" t="s">
        <v>50</v>
      </c>
      <c r="AB31" s="119" t="n">
        <v>5</v>
      </c>
      <c r="AC31" s="287" t="s">
        <v>2563</v>
      </c>
      <c r="AD31" s="45" t="n">
        <v>72.78</v>
      </c>
      <c r="AE31" s="45" t="n">
        <v>26.31</v>
      </c>
      <c r="AF31" s="20" t="s">
        <v>52</v>
      </c>
    </row>
    <row r="32" customFormat="false" ht="15.75" hidden="false" customHeight="false" outlineLevel="0" collapsed="false">
      <c r="A32" s="16"/>
      <c r="B32" s="16"/>
      <c r="C32" s="71"/>
      <c r="D32" s="72"/>
      <c r="E32" s="16"/>
      <c r="F32" s="16"/>
      <c r="G32" s="16"/>
      <c r="H32" s="16"/>
      <c r="I32" s="16"/>
      <c r="J32" s="16"/>
      <c r="K32" s="16"/>
      <c r="L32" s="19"/>
      <c r="M32" s="16"/>
      <c r="N32" s="19"/>
      <c r="O32" s="16"/>
      <c r="P32" s="16"/>
      <c r="Q32" s="49" t="s">
        <v>49</v>
      </c>
      <c r="R32" s="50" t="n">
        <v>45754</v>
      </c>
      <c r="S32" s="16"/>
      <c r="T32" s="49"/>
      <c r="U32" s="16"/>
      <c r="V32" s="16"/>
      <c r="W32" s="16"/>
      <c r="X32" s="16"/>
      <c r="Y32" s="16"/>
      <c r="Z32" s="16"/>
      <c r="AA32" s="342" t="s">
        <v>50</v>
      </c>
      <c r="AB32" s="342" t="n">
        <v>7</v>
      </c>
      <c r="AC32" s="343" t="s">
        <v>2564</v>
      </c>
      <c r="AD32" s="49" t="n">
        <v>72.77</v>
      </c>
      <c r="AE32" s="49" t="n">
        <v>26.31</v>
      </c>
      <c r="AF32" s="20" t="s">
        <v>52</v>
      </c>
    </row>
    <row r="33" customFormat="false" ht="15.75" hidden="false" customHeight="false" outlineLevel="0" collapsed="false">
      <c r="A33" s="16"/>
      <c r="B33" s="16"/>
      <c r="C33" s="71"/>
      <c r="D33" s="72"/>
      <c r="E33" s="16"/>
      <c r="F33" s="16"/>
      <c r="G33" s="16"/>
      <c r="H33" s="16"/>
      <c r="I33" s="16"/>
      <c r="J33" s="16"/>
      <c r="K33" s="16"/>
      <c r="L33" s="19"/>
      <c r="M33" s="16"/>
      <c r="N33" s="19"/>
      <c r="O33" s="16"/>
      <c r="P33" s="16"/>
      <c r="Q33" s="49" t="s">
        <v>49</v>
      </c>
      <c r="R33" s="50" t="n">
        <v>45754</v>
      </c>
      <c r="S33" s="16"/>
      <c r="T33" s="49"/>
      <c r="U33" s="16"/>
      <c r="V33" s="16"/>
      <c r="W33" s="16"/>
      <c r="X33" s="16"/>
      <c r="Y33" s="16"/>
      <c r="Z33" s="16"/>
      <c r="AA33" s="342" t="s">
        <v>50</v>
      </c>
      <c r="AB33" s="342" t="n">
        <v>7</v>
      </c>
      <c r="AC33" s="343" t="s">
        <v>2565</v>
      </c>
      <c r="AD33" s="49" t="n">
        <v>72.77</v>
      </c>
      <c r="AE33" s="49" t="n">
        <v>26.28</v>
      </c>
      <c r="AF33" s="20" t="s">
        <v>52</v>
      </c>
    </row>
    <row r="34" customFormat="false" ht="15.75" hidden="false" customHeight="false" outlineLevel="0" collapsed="false">
      <c r="A34" s="16" t="s">
        <v>42</v>
      </c>
      <c r="B34" s="16" t="s">
        <v>2502</v>
      </c>
      <c r="C34" s="71" t="s">
        <v>2560</v>
      </c>
      <c r="D34" s="16" t="s">
        <v>1742</v>
      </c>
      <c r="E34" s="16" t="s">
        <v>2566</v>
      </c>
      <c r="F34" s="16" t="n">
        <v>709</v>
      </c>
      <c r="G34" s="16" t="n">
        <v>248</v>
      </c>
      <c r="H34" s="16" t="n">
        <v>1435</v>
      </c>
      <c r="I34" s="16" t="n">
        <v>740</v>
      </c>
      <c r="J34" s="16" t="n">
        <v>695</v>
      </c>
      <c r="K34" s="16" t="n">
        <v>0</v>
      </c>
      <c r="L34" s="19" t="n">
        <f aca="false">(K34/H34)*100</f>
        <v>0</v>
      </c>
      <c r="M34" s="16" t="n">
        <v>0</v>
      </c>
      <c r="N34" s="19" t="n">
        <f aca="false">(M34/H34)*100</f>
        <v>0</v>
      </c>
      <c r="O34" s="16" t="n">
        <v>24</v>
      </c>
      <c r="P34" s="16" t="n">
        <v>0</v>
      </c>
      <c r="Q34" s="45" t="s">
        <v>49</v>
      </c>
      <c r="R34" s="46" t="n">
        <v>45754</v>
      </c>
      <c r="S34" s="16"/>
      <c r="T34" s="45" t="n">
        <v>0</v>
      </c>
      <c r="U34" s="16"/>
      <c r="V34" s="16"/>
      <c r="W34" s="16"/>
      <c r="X34" s="16"/>
      <c r="Y34" s="16"/>
      <c r="Z34" s="16"/>
      <c r="AA34" s="119" t="s">
        <v>50</v>
      </c>
      <c r="AB34" s="119" t="n">
        <v>5</v>
      </c>
      <c r="AC34" s="287" t="s">
        <v>2567</v>
      </c>
      <c r="AD34" s="45" t="n">
        <v>72.78</v>
      </c>
      <c r="AE34" s="45" t="n">
        <v>26.28</v>
      </c>
      <c r="AF34" s="20" t="s">
        <v>52</v>
      </c>
    </row>
    <row r="35" customFormat="false" ht="15.75" hidden="false" customHeight="false" outlineLevel="0" collapsed="false">
      <c r="A35" s="16" t="s">
        <v>42</v>
      </c>
      <c r="B35" s="16" t="s">
        <v>2502</v>
      </c>
      <c r="C35" s="71" t="s">
        <v>2560</v>
      </c>
      <c r="D35" s="16" t="s">
        <v>2568</v>
      </c>
      <c r="E35" s="16" t="s">
        <v>2569</v>
      </c>
      <c r="F35" s="16" t="n">
        <v>301</v>
      </c>
      <c r="G35" s="16" t="n">
        <v>93</v>
      </c>
      <c r="H35" s="16" t="n">
        <v>599</v>
      </c>
      <c r="I35" s="16" t="n">
        <v>297</v>
      </c>
      <c r="J35" s="16" t="n">
        <v>302</v>
      </c>
      <c r="K35" s="16" t="n">
        <v>214</v>
      </c>
      <c r="L35" s="19" t="n">
        <f aca="false">(K35/H35)*100</f>
        <v>35.7262103505843</v>
      </c>
      <c r="M35" s="16" t="n">
        <v>0</v>
      </c>
      <c r="N35" s="19" t="n">
        <f aca="false">(M35/H35)*100</f>
        <v>0</v>
      </c>
      <c r="O35" s="16" t="n">
        <v>15</v>
      </c>
      <c r="P35" s="16" t="n">
        <v>0</v>
      </c>
      <c r="Q35" s="45" t="s">
        <v>49</v>
      </c>
      <c r="R35" s="46" t="n">
        <v>45754</v>
      </c>
      <c r="S35" s="16"/>
      <c r="T35" s="45" t="n">
        <v>13.01</v>
      </c>
      <c r="U35" s="16"/>
      <c r="V35" s="16"/>
      <c r="W35" s="16"/>
      <c r="X35" s="16"/>
      <c r="Y35" s="16"/>
      <c r="Z35" s="16"/>
      <c r="AA35" s="119" t="s">
        <v>50</v>
      </c>
      <c r="AB35" s="119" t="n">
        <v>5</v>
      </c>
      <c r="AC35" s="287" t="s">
        <v>2570</v>
      </c>
      <c r="AD35" s="45" t="n">
        <v>72.82</v>
      </c>
      <c r="AE35" s="45" t="n">
        <v>26.32</v>
      </c>
      <c r="AF35" s="20" t="s">
        <v>52</v>
      </c>
    </row>
    <row r="36" customFormat="false" ht="15.75" hidden="false" customHeight="false" outlineLevel="0" collapsed="false">
      <c r="A36" s="16" t="s">
        <v>42</v>
      </c>
      <c r="B36" s="16" t="s">
        <v>2502</v>
      </c>
      <c r="C36" s="71" t="s">
        <v>2571</v>
      </c>
      <c r="D36" s="72" t="s">
        <v>2572</v>
      </c>
      <c r="E36" s="16" t="s">
        <v>2573</v>
      </c>
      <c r="F36" s="16" t="n">
        <v>3048</v>
      </c>
      <c r="G36" s="16" t="n">
        <v>418</v>
      </c>
      <c r="H36" s="16" t="n">
        <v>2270</v>
      </c>
      <c r="I36" s="16" t="n">
        <v>1156</v>
      </c>
      <c r="J36" s="16" t="n">
        <v>1114</v>
      </c>
      <c r="K36" s="16" t="n">
        <v>562</v>
      </c>
      <c r="L36" s="19" t="n">
        <f aca="false">(K36/H36)*100</f>
        <v>24.7577092511013</v>
      </c>
      <c r="M36" s="16" t="n">
        <v>0</v>
      </c>
      <c r="N36" s="19" t="n">
        <f aca="false">(M36/H36)*100</f>
        <v>0</v>
      </c>
      <c r="O36" s="16" t="n">
        <v>123</v>
      </c>
      <c r="P36" s="16" t="n">
        <v>0</v>
      </c>
      <c r="Q36" s="20" t="s">
        <v>49</v>
      </c>
      <c r="R36" s="34" t="n">
        <v>45201</v>
      </c>
      <c r="S36" s="16"/>
      <c r="T36" s="20" t="n">
        <v>86.328</v>
      </c>
      <c r="U36" s="16"/>
      <c r="V36" s="16"/>
      <c r="W36" s="16"/>
      <c r="X36" s="16"/>
      <c r="Y36" s="16"/>
      <c r="Z36" s="16"/>
      <c r="AA36" s="89" t="s">
        <v>50</v>
      </c>
      <c r="AB36" s="89" t="n">
        <v>0</v>
      </c>
      <c r="AC36" s="348"/>
      <c r="AD36" s="20"/>
      <c r="AE36" s="20"/>
      <c r="AF36" s="20"/>
    </row>
    <row r="37" customFormat="false" ht="15.75" hidden="false" customHeight="false" outlineLevel="0" collapsed="false">
      <c r="A37" s="16" t="s">
        <v>42</v>
      </c>
      <c r="B37" s="16" t="s">
        <v>2502</v>
      </c>
      <c r="C37" s="71" t="s">
        <v>2574</v>
      </c>
      <c r="D37" s="72" t="s">
        <v>2575</v>
      </c>
      <c r="E37" s="16" t="s">
        <v>2576</v>
      </c>
      <c r="F37" s="16" t="n">
        <v>1596</v>
      </c>
      <c r="G37" s="16" t="n">
        <v>602</v>
      </c>
      <c r="H37" s="16" t="n">
        <v>3347</v>
      </c>
      <c r="I37" s="16" t="n">
        <v>1748</v>
      </c>
      <c r="J37" s="16" t="n">
        <v>1599</v>
      </c>
      <c r="K37" s="16" t="n">
        <v>360</v>
      </c>
      <c r="L37" s="19" t="n">
        <f aca="false">(K37/H37)*100</f>
        <v>10.7559008066926</v>
      </c>
      <c r="M37" s="16" t="n">
        <v>59</v>
      </c>
      <c r="N37" s="19" t="n">
        <f aca="false">(M37/H37)*100</f>
        <v>1.76277263220795</v>
      </c>
      <c r="O37" s="16" t="n">
        <v>44</v>
      </c>
      <c r="P37" s="16" t="n">
        <v>0</v>
      </c>
      <c r="Q37" s="349" t="s">
        <v>49</v>
      </c>
      <c r="R37" s="350" t="n">
        <v>45153</v>
      </c>
      <c r="S37" s="16"/>
      <c r="T37" s="349"/>
      <c r="U37" s="16"/>
      <c r="V37" s="16"/>
      <c r="W37" s="16"/>
      <c r="X37" s="16"/>
      <c r="Y37" s="16"/>
      <c r="Z37" s="16"/>
      <c r="AA37" s="202" t="s">
        <v>50</v>
      </c>
      <c r="AB37" s="202" t="n">
        <v>18</v>
      </c>
      <c r="AC37" s="90" t="s">
        <v>2577</v>
      </c>
      <c r="AD37" s="202" t="n">
        <v>26.28</v>
      </c>
      <c r="AE37" s="202" t="n">
        <v>72.76</v>
      </c>
      <c r="AF37" s="20"/>
      <c r="AG37" s="351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89" t="s">
        <v>50</v>
      </c>
      <c r="AT37" s="20" t="n">
        <v>18</v>
      </c>
      <c r="AU37" s="89" t="n">
        <v>0</v>
      </c>
      <c r="AV37" s="89" t="s">
        <v>50</v>
      </c>
      <c r="AW37" s="20" t="n">
        <v>290.45</v>
      </c>
      <c r="AX37" s="20" t="n">
        <v>272.45</v>
      </c>
      <c r="AY37" s="20"/>
      <c r="AZ37" s="20"/>
      <c r="BA37" s="352" t="n">
        <v>45200</v>
      </c>
    </row>
    <row r="38" customFormat="false" ht="15.75" hidden="false" customHeight="false" outlineLevel="0" collapsed="false">
      <c r="A38" s="16" t="s">
        <v>42</v>
      </c>
      <c r="B38" s="16" t="s">
        <v>2502</v>
      </c>
      <c r="C38" s="71" t="s">
        <v>2578</v>
      </c>
      <c r="D38" s="72" t="s">
        <v>2578</v>
      </c>
      <c r="E38" s="16" t="s">
        <v>2579</v>
      </c>
      <c r="F38" s="16" t="n">
        <v>1075</v>
      </c>
      <c r="G38" s="16" t="n">
        <v>245</v>
      </c>
      <c r="H38" s="16" t="n">
        <v>1860</v>
      </c>
      <c r="I38" s="16" t="n">
        <v>971</v>
      </c>
      <c r="J38" s="16" t="n">
        <v>889</v>
      </c>
      <c r="K38" s="16" t="n">
        <v>221</v>
      </c>
      <c r="L38" s="19" t="n">
        <f aca="false">(K38/H38)*100</f>
        <v>11.8817204301075</v>
      </c>
      <c r="M38" s="16" t="n">
        <v>169</v>
      </c>
      <c r="N38" s="19" t="n">
        <f aca="false">(M38/H38)*100</f>
        <v>9.08602150537634</v>
      </c>
      <c r="O38" s="16" t="n">
        <v>57</v>
      </c>
      <c r="P38" s="16" t="n">
        <v>0</v>
      </c>
      <c r="Q38" s="20" t="s">
        <v>49</v>
      </c>
      <c r="R38" s="34" t="n">
        <v>45201</v>
      </c>
      <c r="S38" s="16"/>
      <c r="T38" s="20" t="n">
        <v>2.4208</v>
      </c>
      <c r="U38" s="16"/>
      <c r="V38" s="16"/>
      <c r="W38" s="16"/>
      <c r="X38" s="16"/>
      <c r="Y38" s="16"/>
      <c r="Z38" s="16"/>
      <c r="AA38" s="89" t="s">
        <v>50</v>
      </c>
      <c r="AB38" s="353" t="n">
        <v>0</v>
      </c>
      <c r="AC38" s="348"/>
      <c r="AD38" s="20"/>
      <c r="AE38" s="20"/>
      <c r="AF38" s="20"/>
    </row>
    <row r="39" customFormat="false" ht="15.75" hidden="false" customHeight="false" outlineLevel="0" collapsed="false">
      <c r="A39" s="16" t="s">
        <v>42</v>
      </c>
      <c r="B39" s="16" t="s">
        <v>2502</v>
      </c>
      <c r="C39" s="71" t="s">
        <v>2578</v>
      </c>
      <c r="D39" s="16" t="s">
        <v>2580</v>
      </c>
      <c r="E39" s="16" t="s">
        <v>2581</v>
      </c>
      <c r="F39" s="16" t="n">
        <v>123</v>
      </c>
      <c r="G39" s="16" t="n">
        <v>59</v>
      </c>
      <c r="H39" s="16" t="n">
        <v>398</v>
      </c>
      <c r="I39" s="16" t="n">
        <v>201</v>
      </c>
      <c r="J39" s="16" t="n">
        <v>197</v>
      </c>
      <c r="K39" s="16" t="n">
        <v>0</v>
      </c>
      <c r="L39" s="19" t="n">
        <f aca="false">(K39/H39)*100</f>
        <v>0</v>
      </c>
      <c r="M39" s="16" t="n">
        <v>0</v>
      </c>
      <c r="N39" s="19" t="n">
        <f aca="false">(M39/H39)*100</f>
        <v>0</v>
      </c>
      <c r="O39" s="16" t="n">
        <v>6</v>
      </c>
      <c r="P39" s="16" t="n">
        <v>0</v>
      </c>
      <c r="Q39" s="20" t="s">
        <v>49</v>
      </c>
      <c r="R39" s="34" t="n">
        <v>45201</v>
      </c>
      <c r="S39" s="16"/>
      <c r="T39" s="20"/>
      <c r="U39" s="16"/>
      <c r="V39" s="16"/>
      <c r="W39" s="16"/>
      <c r="X39" s="16"/>
      <c r="Y39" s="16"/>
      <c r="Z39" s="16"/>
      <c r="AA39" s="89" t="s">
        <v>50</v>
      </c>
      <c r="AB39" s="353" t="n">
        <v>0</v>
      </c>
      <c r="AC39" s="348"/>
      <c r="AD39" s="20"/>
      <c r="AE39" s="20"/>
      <c r="AF39" s="20"/>
    </row>
    <row r="40" customFormat="false" ht="15.75" hidden="false" customHeight="false" outlineLevel="0" collapsed="false">
      <c r="A40" s="16" t="s">
        <v>42</v>
      </c>
      <c r="B40" s="16" t="s">
        <v>2502</v>
      </c>
      <c r="C40" s="71" t="s">
        <v>2578</v>
      </c>
      <c r="D40" s="16" t="s">
        <v>2582</v>
      </c>
      <c r="E40" s="16" t="s">
        <v>2583</v>
      </c>
      <c r="F40" s="16" t="n">
        <v>394</v>
      </c>
      <c r="G40" s="16" t="n">
        <v>118</v>
      </c>
      <c r="H40" s="16" t="n">
        <v>740</v>
      </c>
      <c r="I40" s="16" t="n">
        <v>384</v>
      </c>
      <c r="J40" s="16" t="n">
        <v>356</v>
      </c>
      <c r="K40" s="16" t="n">
        <v>0</v>
      </c>
      <c r="L40" s="19" t="n">
        <f aca="false">(K40/H40)*100</f>
        <v>0</v>
      </c>
      <c r="M40" s="16" t="n">
        <v>0</v>
      </c>
      <c r="N40" s="19" t="n">
        <f aca="false">(M40/H40)*100</f>
        <v>0</v>
      </c>
      <c r="O40" s="16" t="n">
        <v>0</v>
      </c>
      <c r="P40" s="16" t="n">
        <v>0</v>
      </c>
      <c r="Q40" s="20" t="s">
        <v>49</v>
      </c>
      <c r="R40" s="34" t="n">
        <v>45201</v>
      </c>
      <c r="S40" s="16"/>
      <c r="T40" s="20"/>
      <c r="U40" s="16"/>
      <c r="V40" s="16"/>
      <c r="W40" s="16"/>
      <c r="X40" s="16"/>
      <c r="Y40" s="16"/>
      <c r="Z40" s="16"/>
      <c r="AA40" s="89" t="s">
        <v>50</v>
      </c>
      <c r="AB40" s="89" t="n">
        <v>0</v>
      </c>
      <c r="AC40" s="354"/>
      <c r="AD40" s="20"/>
      <c r="AE40" s="20"/>
      <c r="AF40" s="20"/>
    </row>
    <row r="41" customFormat="false" ht="15.75" hidden="false" customHeight="false" outlineLevel="0" collapsed="false">
      <c r="A41" s="16" t="s">
        <v>42</v>
      </c>
      <c r="B41" s="16" t="s">
        <v>2502</v>
      </c>
      <c r="C41" s="71" t="s">
        <v>2584</v>
      </c>
      <c r="D41" s="72" t="s">
        <v>2585</v>
      </c>
      <c r="E41" s="16" t="s">
        <v>2586</v>
      </c>
      <c r="F41" s="16" t="n">
        <v>2414.51</v>
      </c>
      <c r="G41" s="16" t="n">
        <v>292</v>
      </c>
      <c r="H41" s="16" t="n">
        <v>1755</v>
      </c>
      <c r="I41" s="16" t="n">
        <v>888</v>
      </c>
      <c r="J41" s="16" t="n">
        <v>867</v>
      </c>
      <c r="K41" s="16" t="n">
        <v>212</v>
      </c>
      <c r="L41" s="19" t="n">
        <f aca="false">(K41/H41)*100</f>
        <v>12.0797720797721</v>
      </c>
      <c r="M41" s="16" t="n">
        <v>72</v>
      </c>
      <c r="N41" s="19" t="n">
        <f aca="false">(M41/H41)*100</f>
        <v>4.1025641025641</v>
      </c>
      <c r="O41" s="16" t="n">
        <v>49.11</v>
      </c>
      <c r="P41" s="16" t="n">
        <v>0</v>
      </c>
      <c r="Q41" s="53" t="s">
        <v>49</v>
      </c>
      <c r="R41" s="46" t="n">
        <v>45754</v>
      </c>
      <c r="S41" s="16"/>
      <c r="T41" s="45" t="n">
        <v>2.64</v>
      </c>
      <c r="U41" s="16"/>
      <c r="V41" s="16"/>
      <c r="W41" s="16"/>
      <c r="X41" s="16"/>
      <c r="Y41" s="16"/>
      <c r="Z41" s="16"/>
      <c r="AA41" s="119" t="s">
        <v>50</v>
      </c>
      <c r="AB41" s="119" t="n">
        <v>2</v>
      </c>
      <c r="AC41" s="287" t="s">
        <v>2587</v>
      </c>
      <c r="AD41" s="45"/>
      <c r="AE41" s="45"/>
      <c r="AF41" s="20" t="s">
        <v>52</v>
      </c>
    </row>
    <row r="42" customFormat="false" ht="15.75" hidden="false" customHeight="false" outlineLevel="0" collapsed="false">
      <c r="A42" s="16" t="s">
        <v>42</v>
      </c>
      <c r="B42" s="16" t="s">
        <v>2502</v>
      </c>
      <c r="C42" s="71" t="s">
        <v>2584</v>
      </c>
      <c r="D42" s="16" t="s">
        <v>2588</v>
      </c>
      <c r="E42" s="16" t="s">
        <v>2589</v>
      </c>
      <c r="F42" s="16" t="n">
        <v>700.45</v>
      </c>
      <c r="G42" s="16" t="n">
        <v>185</v>
      </c>
      <c r="H42" s="16" t="n">
        <v>1103</v>
      </c>
      <c r="I42" s="16" t="n">
        <v>586</v>
      </c>
      <c r="J42" s="16" t="n">
        <v>517</v>
      </c>
      <c r="K42" s="16" t="n">
        <v>183</v>
      </c>
      <c r="L42" s="19" t="n">
        <f aca="false">(K42/H42)*100</f>
        <v>16.5911151405258</v>
      </c>
      <c r="M42" s="16" t="n">
        <v>70</v>
      </c>
      <c r="N42" s="19" t="n">
        <f aca="false">(M42/H42)*100</f>
        <v>6.34632819582956</v>
      </c>
      <c r="O42" s="16" t="n">
        <v>20.86</v>
      </c>
      <c r="P42" s="16" t="n">
        <v>0</v>
      </c>
      <c r="Q42" s="53" t="s">
        <v>49</v>
      </c>
      <c r="R42" s="46" t="n">
        <v>45754</v>
      </c>
      <c r="S42" s="16"/>
      <c r="T42" s="45" t="n">
        <v>21.25</v>
      </c>
      <c r="U42" s="16"/>
      <c r="V42" s="16"/>
      <c r="W42" s="16"/>
      <c r="X42" s="16"/>
      <c r="Y42" s="16"/>
      <c r="Z42" s="16"/>
      <c r="AA42" s="119" t="s">
        <v>50</v>
      </c>
      <c r="AB42" s="119" t="n">
        <v>5</v>
      </c>
      <c r="AC42" s="287" t="s">
        <v>2590</v>
      </c>
      <c r="AD42" s="45"/>
      <c r="AE42" s="45"/>
      <c r="AF42" s="20" t="s">
        <v>52</v>
      </c>
    </row>
    <row r="43" customFormat="false" ht="15.75" hidden="false" customHeight="false" outlineLevel="0" collapsed="false">
      <c r="A43" s="16"/>
      <c r="B43" s="16"/>
      <c r="C43" s="71"/>
      <c r="D43" s="16"/>
      <c r="E43" s="16"/>
      <c r="F43" s="16"/>
      <c r="G43" s="16"/>
      <c r="H43" s="16"/>
      <c r="I43" s="16"/>
      <c r="J43" s="16"/>
      <c r="K43" s="16"/>
      <c r="L43" s="19"/>
      <c r="M43" s="16"/>
      <c r="N43" s="19"/>
      <c r="O43" s="16"/>
      <c r="P43" s="16"/>
      <c r="Q43" s="341" t="s">
        <v>49</v>
      </c>
      <c r="R43" s="50" t="n">
        <v>45754</v>
      </c>
      <c r="S43" s="16"/>
      <c r="T43" s="49"/>
      <c r="U43" s="16"/>
      <c r="V43" s="16"/>
      <c r="W43" s="16"/>
      <c r="X43" s="16"/>
      <c r="Y43" s="16"/>
      <c r="Z43" s="16"/>
      <c r="AA43" s="342" t="s">
        <v>50</v>
      </c>
      <c r="AB43" s="342" t="n">
        <v>5</v>
      </c>
      <c r="AC43" s="343" t="s">
        <v>2591</v>
      </c>
      <c r="AD43" s="49"/>
      <c r="AE43" s="49"/>
      <c r="AF43" s="20" t="s">
        <v>52</v>
      </c>
    </row>
    <row r="44" customFormat="false" ht="15.75" hidden="false" customHeight="false" outlineLevel="0" collapsed="false">
      <c r="A44" s="16" t="s">
        <v>42</v>
      </c>
      <c r="B44" s="16" t="s">
        <v>2502</v>
      </c>
      <c r="C44" s="71" t="s">
        <v>2584</v>
      </c>
      <c r="D44" s="16" t="s">
        <v>2592</v>
      </c>
      <c r="E44" s="16" t="s">
        <v>2593</v>
      </c>
      <c r="F44" s="16" t="n">
        <v>525.2</v>
      </c>
      <c r="G44" s="16" t="n">
        <v>136</v>
      </c>
      <c r="H44" s="16" t="n">
        <v>775</v>
      </c>
      <c r="I44" s="16" t="n">
        <v>413</v>
      </c>
      <c r="J44" s="16" t="n">
        <v>362</v>
      </c>
      <c r="K44" s="16" t="n">
        <v>19</v>
      </c>
      <c r="L44" s="19" t="n">
        <f aca="false">(K44/H44)*100</f>
        <v>2.45161290322581</v>
      </c>
      <c r="M44" s="16" t="n">
        <v>267</v>
      </c>
      <c r="N44" s="19" t="n">
        <f aca="false">(M44/H44)*100</f>
        <v>34.4516129032258</v>
      </c>
      <c r="O44" s="16" t="n">
        <v>0</v>
      </c>
      <c r="P44" s="16" t="n">
        <v>0</v>
      </c>
      <c r="Q44" s="53" t="s">
        <v>49</v>
      </c>
      <c r="R44" s="46" t="n">
        <v>45754</v>
      </c>
      <c r="S44" s="16"/>
      <c r="T44" s="45" t="n">
        <v>0</v>
      </c>
      <c r="U44" s="16"/>
      <c r="V44" s="16"/>
      <c r="W44" s="16"/>
      <c r="X44" s="16"/>
      <c r="Y44" s="16"/>
      <c r="Z44" s="16"/>
      <c r="AA44" s="119" t="s">
        <v>50</v>
      </c>
      <c r="AB44" s="119" t="n">
        <v>4</v>
      </c>
      <c r="AC44" s="287" t="s">
        <v>2594</v>
      </c>
      <c r="AD44" s="45"/>
      <c r="AE44" s="45"/>
      <c r="AF44" s="20" t="s">
        <v>52</v>
      </c>
    </row>
    <row r="45" customFormat="false" ht="15.75" hidden="false" customHeight="false" outlineLevel="0" collapsed="false">
      <c r="A45" s="16" t="s">
        <v>42</v>
      </c>
      <c r="B45" s="16" t="s">
        <v>2502</v>
      </c>
      <c r="C45" s="71" t="s">
        <v>2584</v>
      </c>
      <c r="D45" s="16" t="s">
        <v>2595</v>
      </c>
      <c r="E45" s="16" t="s">
        <v>2596</v>
      </c>
      <c r="F45" s="16" t="n">
        <v>825.51</v>
      </c>
      <c r="G45" s="16" t="n">
        <v>201</v>
      </c>
      <c r="H45" s="16" t="n">
        <v>1203</v>
      </c>
      <c r="I45" s="16" t="n">
        <v>625</v>
      </c>
      <c r="J45" s="16" t="n">
        <v>578</v>
      </c>
      <c r="K45" s="16" t="n">
        <v>244</v>
      </c>
      <c r="L45" s="19" t="n">
        <f aca="false">(K45/H45)*100</f>
        <v>20.2826267664173</v>
      </c>
      <c r="M45" s="16" t="n">
        <v>8</v>
      </c>
      <c r="N45" s="19" t="n">
        <f aca="false">(M45/H45)*100</f>
        <v>0.665004156275977</v>
      </c>
      <c r="O45" s="16" t="n">
        <v>95.92</v>
      </c>
      <c r="P45" s="16" t="n">
        <v>0</v>
      </c>
      <c r="Q45" s="53" t="s">
        <v>49</v>
      </c>
      <c r="R45" s="46" t="n">
        <v>45754</v>
      </c>
      <c r="S45" s="16"/>
      <c r="T45" s="45" t="n">
        <v>17.64</v>
      </c>
      <c r="U45" s="16"/>
      <c r="V45" s="16"/>
      <c r="W45" s="16"/>
      <c r="X45" s="16"/>
      <c r="Y45" s="16"/>
      <c r="Z45" s="16"/>
      <c r="AA45" s="119" t="s">
        <v>50</v>
      </c>
      <c r="AB45" s="119"/>
      <c r="AC45" s="128"/>
      <c r="AD45" s="45"/>
      <c r="AE45" s="45"/>
      <c r="AF45" s="20" t="s">
        <v>52</v>
      </c>
    </row>
    <row r="46" customFormat="false" ht="15.75" hidden="false" customHeight="false" outlineLevel="0" collapsed="false">
      <c r="A46" s="16" t="s">
        <v>42</v>
      </c>
      <c r="B46" s="16" t="s">
        <v>2502</v>
      </c>
      <c r="C46" s="71" t="s">
        <v>2584</v>
      </c>
      <c r="D46" s="16" t="s">
        <v>2597</v>
      </c>
      <c r="E46" s="16" t="s">
        <v>2598</v>
      </c>
      <c r="F46" s="16" t="n">
        <v>689.11</v>
      </c>
      <c r="G46" s="16" t="n">
        <v>131</v>
      </c>
      <c r="H46" s="16" t="n">
        <v>781</v>
      </c>
      <c r="I46" s="16" t="n">
        <v>399</v>
      </c>
      <c r="J46" s="16" t="n">
        <v>382</v>
      </c>
      <c r="K46" s="16" t="n">
        <v>107</v>
      </c>
      <c r="L46" s="19" t="n">
        <f aca="false">(K46/H46)*100</f>
        <v>13.7003841229193</v>
      </c>
      <c r="M46" s="16" t="n">
        <v>59</v>
      </c>
      <c r="N46" s="19" t="n">
        <f aca="false">(M46/H46)*100</f>
        <v>7.55441741357234</v>
      </c>
      <c r="O46" s="16" t="n">
        <v>1.11</v>
      </c>
      <c r="P46" s="16" t="n">
        <v>0</v>
      </c>
      <c r="Q46" s="53" t="s">
        <v>49</v>
      </c>
      <c r="R46" s="46" t="n">
        <v>45754</v>
      </c>
      <c r="S46" s="16"/>
      <c r="T46" s="45" t="n">
        <v>0</v>
      </c>
      <c r="U46" s="16"/>
      <c r="V46" s="16"/>
      <c r="W46" s="16"/>
      <c r="X46" s="16"/>
      <c r="Y46" s="16"/>
      <c r="Z46" s="16"/>
      <c r="AA46" s="119" t="s">
        <v>50</v>
      </c>
      <c r="AB46" s="119"/>
      <c r="AC46" s="128"/>
      <c r="AD46" s="45"/>
      <c r="AE46" s="45"/>
      <c r="AF46" s="20" t="s">
        <v>52</v>
      </c>
    </row>
    <row r="47" customFormat="false" ht="34.5" hidden="false" customHeight="false" outlineLevel="0" collapsed="false">
      <c r="A47" s="16" t="s">
        <v>42</v>
      </c>
      <c r="B47" s="16" t="s">
        <v>2502</v>
      </c>
      <c r="C47" s="71" t="s">
        <v>2599</v>
      </c>
      <c r="D47" s="72" t="s">
        <v>2600</v>
      </c>
      <c r="E47" s="16" t="s">
        <v>2601</v>
      </c>
      <c r="F47" s="16" t="n">
        <v>5612.04</v>
      </c>
      <c r="G47" s="16" t="n">
        <v>1575</v>
      </c>
      <c r="H47" s="16" t="n">
        <v>9523</v>
      </c>
      <c r="I47" s="16" t="n">
        <v>4942</v>
      </c>
      <c r="J47" s="16" t="n">
        <v>4581</v>
      </c>
      <c r="K47" s="16" t="n">
        <v>2677</v>
      </c>
      <c r="L47" s="19" t="n">
        <f aca="false">(K47/H47)*100</f>
        <v>28.1108894256012</v>
      </c>
      <c r="M47" s="16" t="n">
        <v>184</v>
      </c>
      <c r="N47" s="19" t="n">
        <f aca="false">(M47/H47)*100</f>
        <v>1.93216423395989</v>
      </c>
      <c r="O47" s="16" t="n">
        <v>48.87</v>
      </c>
      <c r="P47" s="16" t="n">
        <v>202.14</v>
      </c>
      <c r="Q47" s="45" t="s">
        <v>49</v>
      </c>
      <c r="R47" s="46" t="n">
        <v>45842</v>
      </c>
      <c r="S47" s="16"/>
      <c r="T47" s="45" t="n">
        <v>43.43</v>
      </c>
      <c r="U47" s="16"/>
      <c r="V47" s="16"/>
      <c r="W47" s="16"/>
      <c r="X47" s="16"/>
      <c r="Y47" s="16"/>
      <c r="Z47" s="16"/>
      <c r="AA47" s="119" t="s">
        <v>50</v>
      </c>
      <c r="AB47" s="119" t="n">
        <v>16</v>
      </c>
      <c r="AC47" s="127" t="s">
        <v>2602</v>
      </c>
      <c r="AD47" s="45" t="n">
        <v>26.323386</v>
      </c>
      <c r="AE47" s="45" t="n">
        <v>72.832295</v>
      </c>
      <c r="AF47" s="20"/>
    </row>
    <row r="48" customFormat="false" ht="34.5" hidden="false" customHeight="false" outlineLevel="0" collapsed="false">
      <c r="A48" s="16"/>
      <c r="B48" s="16"/>
      <c r="C48" s="71"/>
      <c r="D48" s="72"/>
      <c r="E48" s="16"/>
      <c r="F48" s="16"/>
      <c r="G48" s="16"/>
      <c r="H48" s="16"/>
      <c r="I48" s="16"/>
      <c r="J48" s="16"/>
      <c r="K48" s="16"/>
      <c r="L48" s="19"/>
      <c r="M48" s="16"/>
      <c r="N48" s="19"/>
      <c r="O48" s="16"/>
      <c r="P48" s="16"/>
      <c r="Q48" s="334"/>
      <c r="R48" s="156"/>
      <c r="S48" s="16"/>
      <c r="T48" s="155"/>
      <c r="U48" s="16"/>
      <c r="V48" s="16"/>
      <c r="W48" s="16"/>
      <c r="X48" s="16"/>
      <c r="Y48" s="16"/>
      <c r="Z48" s="16"/>
      <c r="AA48" s="157" t="s">
        <v>50</v>
      </c>
      <c r="AB48" s="157" t="n">
        <v>14</v>
      </c>
      <c r="AC48" s="151" t="s">
        <v>2603</v>
      </c>
      <c r="AD48" s="155" t="n">
        <v>26.318297</v>
      </c>
      <c r="AE48" s="155" t="n">
        <v>72.856156</v>
      </c>
      <c r="AF48" s="20"/>
    </row>
    <row r="49" customFormat="false" ht="15.75" hidden="false" customHeight="false" outlineLevel="0" collapsed="false">
      <c r="A49" s="16" t="s">
        <v>42</v>
      </c>
      <c r="B49" s="16" t="s">
        <v>2502</v>
      </c>
      <c r="C49" s="71" t="s">
        <v>2604</v>
      </c>
      <c r="D49" s="72" t="s">
        <v>2605</v>
      </c>
      <c r="E49" s="16" t="s">
        <v>2606</v>
      </c>
      <c r="F49" s="16" t="n">
        <v>2071</v>
      </c>
      <c r="G49" s="16" t="n">
        <v>437</v>
      </c>
      <c r="H49" s="16" t="n">
        <v>2822</v>
      </c>
      <c r="I49" s="16" t="n">
        <v>1439</v>
      </c>
      <c r="J49" s="16" t="n">
        <v>1383</v>
      </c>
      <c r="K49" s="16" t="n">
        <v>191</v>
      </c>
      <c r="L49" s="19" t="n">
        <f aca="false">(K49/H49)*100</f>
        <v>6.76824946846208</v>
      </c>
      <c r="M49" s="16" t="n">
        <v>350</v>
      </c>
      <c r="N49" s="19" t="n">
        <f aca="false">(M49/H49)*100</f>
        <v>12.4025513819986</v>
      </c>
      <c r="O49" s="16" t="n">
        <v>24</v>
      </c>
      <c r="P49" s="16" t="n">
        <v>0</v>
      </c>
      <c r="Q49" s="20" t="s">
        <v>49</v>
      </c>
      <c r="R49" s="34" t="n">
        <v>45201</v>
      </c>
      <c r="S49" s="16"/>
      <c r="T49" s="105" t="n">
        <v>0</v>
      </c>
      <c r="U49" s="16"/>
      <c r="V49" s="16"/>
      <c r="W49" s="16"/>
      <c r="X49" s="16"/>
      <c r="Y49" s="16"/>
      <c r="Z49" s="16"/>
      <c r="AA49" s="89" t="s">
        <v>50</v>
      </c>
      <c r="AB49" s="89" t="n">
        <v>0</v>
      </c>
      <c r="AC49" s="36"/>
      <c r="AD49" s="105" t="n">
        <v>0</v>
      </c>
      <c r="AE49" s="105" t="n">
        <v>0</v>
      </c>
      <c r="AF49" s="20"/>
    </row>
    <row r="50" customFormat="false" ht="15.75" hidden="false" customHeight="false" outlineLevel="0" collapsed="false">
      <c r="A50" s="16" t="s">
        <v>42</v>
      </c>
      <c r="B50" s="16" t="s">
        <v>2502</v>
      </c>
      <c r="C50" s="71" t="s">
        <v>2604</v>
      </c>
      <c r="D50" s="16" t="s">
        <v>2607</v>
      </c>
      <c r="E50" s="16" t="s">
        <v>2608</v>
      </c>
      <c r="F50" s="16" t="n">
        <v>998</v>
      </c>
      <c r="G50" s="16" t="n">
        <v>94</v>
      </c>
      <c r="H50" s="16" t="n">
        <v>598</v>
      </c>
      <c r="I50" s="16" t="n">
        <v>317</v>
      </c>
      <c r="J50" s="16" t="n">
        <v>281</v>
      </c>
      <c r="K50" s="16" t="n">
        <v>240</v>
      </c>
      <c r="L50" s="19" t="n">
        <f aca="false">(K50/H50)*100</f>
        <v>40.1337792642141</v>
      </c>
      <c r="M50" s="16" t="n">
        <v>0</v>
      </c>
      <c r="N50" s="19" t="n">
        <f aca="false">(M50/H50)*100</f>
        <v>0</v>
      </c>
      <c r="O50" s="16" t="n">
        <v>20</v>
      </c>
      <c r="P50" s="16" t="n">
        <v>0</v>
      </c>
      <c r="Q50" s="20" t="s">
        <v>49</v>
      </c>
      <c r="R50" s="34" t="n">
        <v>45201</v>
      </c>
      <c r="S50" s="16"/>
      <c r="T50" s="20"/>
      <c r="U50" s="16"/>
      <c r="V50" s="16"/>
      <c r="W50" s="16"/>
      <c r="X50" s="16"/>
      <c r="Y50" s="16"/>
      <c r="Z50" s="16"/>
      <c r="AA50" s="89" t="s">
        <v>50</v>
      </c>
      <c r="AB50" s="89" t="n">
        <v>0</v>
      </c>
      <c r="AC50" s="36"/>
      <c r="AD50" s="105" t="n">
        <v>0</v>
      </c>
      <c r="AE50" s="105" t="n">
        <v>0</v>
      </c>
      <c r="AF50" s="20"/>
    </row>
    <row r="51" customFormat="false" ht="15.75" hidden="false" customHeight="false" outlineLevel="0" collapsed="false">
      <c r="A51" s="16" t="s">
        <v>42</v>
      </c>
      <c r="B51" s="16" t="s">
        <v>2502</v>
      </c>
      <c r="C51" s="71" t="s">
        <v>2609</v>
      </c>
      <c r="D51" s="72" t="s">
        <v>2610</v>
      </c>
      <c r="E51" s="16" t="s">
        <v>2611</v>
      </c>
      <c r="F51" s="16" t="n">
        <v>1018.75</v>
      </c>
      <c r="G51" s="16" t="n">
        <v>262</v>
      </c>
      <c r="H51" s="16" t="n">
        <v>1693</v>
      </c>
      <c r="I51" s="16" t="n">
        <v>896</v>
      </c>
      <c r="J51" s="16" t="n">
        <v>797</v>
      </c>
      <c r="K51" s="16" t="n">
        <v>303</v>
      </c>
      <c r="L51" s="19" t="n">
        <f aca="false">(K51/H51)*100</f>
        <v>17.8972238629651</v>
      </c>
      <c r="M51" s="16" t="n">
        <v>8</v>
      </c>
      <c r="N51" s="19" t="n">
        <f aca="false">(M51/H51)*100</f>
        <v>0.472533963378618</v>
      </c>
      <c r="O51" s="16" t="n">
        <v>8.15</v>
      </c>
      <c r="P51" s="16" t="n">
        <v>0</v>
      </c>
      <c r="Q51" s="53" t="s">
        <v>49</v>
      </c>
      <c r="R51" s="46" t="n">
        <v>45754</v>
      </c>
      <c r="S51" s="16"/>
      <c r="T51" s="45" t="n">
        <v>8.36</v>
      </c>
      <c r="U51" s="16"/>
      <c r="V51" s="16"/>
      <c r="W51" s="16"/>
      <c r="X51" s="16"/>
      <c r="Y51" s="16"/>
      <c r="Z51" s="16"/>
      <c r="AA51" s="119" t="s">
        <v>50</v>
      </c>
      <c r="AB51" s="119" t="n">
        <v>4</v>
      </c>
      <c r="AC51" s="287" t="s">
        <v>2612</v>
      </c>
      <c r="AD51" s="45"/>
      <c r="AE51" s="45"/>
      <c r="AF51" s="20" t="s">
        <v>52</v>
      </c>
    </row>
    <row r="52" customFormat="false" ht="15.75" hidden="false" customHeight="false" outlineLevel="0" collapsed="false">
      <c r="A52" s="16"/>
      <c r="B52" s="16"/>
      <c r="C52" s="71"/>
      <c r="D52" s="72"/>
      <c r="E52" s="16"/>
      <c r="F52" s="16"/>
      <c r="G52" s="16"/>
      <c r="H52" s="16"/>
      <c r="I52" s="16"/>
      <c r="J52" s="16"/>
      <c r="K52" s="16"/>
      <c r="L52" s="19"/>
      <c r="M52" s="16"/>
      <c r="N52" s="19"/>
      <c r="O52" s="16"/>
      <c r="P52" s="16"/>
      <c r="Q52" s="341" t="s">
        <v>49</v>
      </c>
      <c r="R52" s="50" t="n">
        <v>45754</v>
      </c>
      <c r="S52" s="16"/>
      <c r="T52" s="49"/>
      <c r="U52" s="16"/>
      <c r="V52" s="16"/>
      <c r="W52" s="16"/>
      <c r="X52" s="16"/>
      <c r="Y52" s="16"/>
      <c r="Z52" s="16"/>
      <c r="AA52" s="342" t="s">
        <v>50</v>
      </c>
      <c r="AB52" s="342" t="n">
        <v>3</v>
      </c>
      <c r="AC52" s="343" t="s">
        <v>2613</v>
      </c>
      <c r="AD52" s="49"/>
      <c r="AE52" s="49"/>
      <c r="AF52" s="20" t="s">
        <v>52</v>
      </c>
    </row>
    <row r="53" customFormat="false" ht="15.75" hidden="false" customHeight="false" outlineLevel="0" collapsed="false">
      <c r="A53" s="16"/>
      <c r="B53" s="16"/>
      <c r="C53" s="71"/>
      <c r="D53" s="72"/>
      <c r="E53" s="16"/>
      <c r="F53" s="16"/>
      <c r="G53" s="16"/>
      <c r="H53" s="16"/>
      <c r="I53" s="16"/>
      <c r="J53" s="16"/>
      <c r="K53" s="16"/>
      <c r="L53" s="19"/>
      <c r="M53" s="16"/>
      <c r="N53" s="19"/>
      <c r="O53" s="16"/>
      <c r="P53" s="16"/>
      <c r="Q53" s="341" t="s">
        <v>49</v>
      </c>
      <c r="R53" s="50" t="n">
        <v>45754</v>
      </c>
      <c r="S53" s="16"/>
      <c r="T53" s="49"/>
      <c r="U53" s="16"/>
      <c r="V53" s="16"/>
      <c r="W53" s="16"/>
      <c r="X53" s="16"/>
      <c r="Y53" s="16"/>
      <c r="Z53" s="16"/>
      <c r="AA53" s="342" t="s">
        <v>50</v>
      </c>
      <c r="AB53" s="342" t="n">
        <v>10</v>
      </c>
      <c r="AC53" s="343" t="s">
        <v>2614</v>
      </c>
      <c r="AD53" s="49"/>
      <c r="AE53" s="49"/>
      <c r="AF53" s="20" t="s">
        <v>52</v>
      </c>
    </row>
    <row r="54" customFormat="false" ht="15.75" hidden="false" customHeight="false" outlineLevel="0" collapsed="false">
      <c r="A54" s="16" t="s">
        <v>42</v>
      </c>
      <c r="B54" s="16" t="s">
        <v>2502</v>
      </c>
      <c r="C54" s="71" t="s">
        <v>2609</v>
      </c>
      <c r="D54" s="16" t="s">
        <v>2615</v>
      </c>
      <c r="E54" s="16" t="s">
        <v>2616</v>
      </c>
      <c r="F54" s="16" t="n">
        <v>132.35</v>
      </c>
      <c r="G54" s="16" t="n">
        <v>46</v>
      </c>
      <c r="H54" s="16" t="n">
        <v>281</v>
      </c>
      <c r="I54" s="16" t="n">
        <v>141</v>
      </c>
      <c r="J54" s="16" t="n">
        <v>140</v>
      </c>
      <c r="K54" s="16" t="n">
        <v>0</v>
      </c>
      <c r="L54" s="19" t="n">
        <f aca="false">(K54/H54)*100</f>
        <v>0</v>
      </c>
      <c r="M54" s="16" t="n">
        <v>24</v>
      </c>
      <c r="N54" s="19" t="n">
        <f aca="false">(M54/H54)*100</f>
        <v>8.54092526690392</v>
      </c>
      <c r="O54" s="16" t="n">
        <v>0</v>
      </c>
      <c r="P54" s="16" t="n">
        <v>0</v>
      </c>
      <c r="Q54" s="53" t="s">
        <v>49</v>
      </c>
      <c r="R54" s="46" t="n">
        <v>45754</v>
      </c>
      <c r="S54" s="16"/>
      <c r="T54" s="45" t="n">
        <v>0</v>
      </c>
      <c r="U54" s="16"/>
      <c r="V54" s="16"/>
      <c r="W54" s="16"/>
      <c r="X54" s="16"/>
      <c r="Y54" s="16"/>
      <c r="Z54" s="16"/>
      <c r="AA54" s="119" t="s">
        <v>50</v>
      </c>
      <c r="AB54" s="119" t="n">
        <v>0</v>
      </c>
      <c r="AC54" s="340"/>
      <c r="AD54" s="45"/>
      <c r="AE54" s="45"/>
      <c r="AF54" s="20" t="s">
        <v>52</v>
      </c>
    </row>
    <row r="55" customFormat="false" ht="15.75" hidden="false" customHeight="false" outlineLevel="0" collapsed="false">
      <c r="A55" s="16" t="s">
        <v>42</v>
      </c>
      <c r="B55" s="16" t="s">
        <v>2502</v>
      </c>
      <c r="C55" s="71" t="s">
        <v>2609</v>
      </c>
      <c r="D55" s="16" t="s">
        <v>2617</v>
      </c>
      <c r="E55" s="16" t="s">
        <v>2618</v>
      </c>
      <c r="F55" s="16" t="n">
        <v>584.35</v>
      </c>
      <c r="G55" s="16" t="n">
        <v>171</v>
      </c>
      <c r="H55" s="16" t="n">
        <v>1181</v>
      </c>
      <c r="I55" s="16" t="n">
        <v>606</v>
      </c>
      <c r="J55" s="16" t="n">
        <v>575</v>
      </c>
      <c r="K55" s="16" t="n">
        <v>38</v>
      </c>
      <c r="L55" s="19" t="n">
        <f aca="false">(K55/H55)*100</f>
        <v>3.21761219305673</v>
      </c>
      <c r="M55" s="16" t="n">
        <v>0</v>
      </c>
      <c r="N55" s="19" t="n">
        <f aca="false">(M55/H55)*100</f>
        <v>0</v>
      </c>
      <c r="O55" s="16" t="n">
        <v>0</v>
      </c>
      <c r="P55" s="16" t="n">
        <v>0</v>
      </c>
      <c r="Q55" s="53" t="s">
        <v>49</v>
      </c>
      <c r="R55" s="46" t="n">
        <v>45754</v>
      </c>
      <c r="S55" s="16"/>
      <c r="T55" s="45" t="n">
        <v>4.27</v>
      </c>
      <c r="U55" s="16"/>
      <c r="V55" s="16"/>
      <c r="W55" s="16"/>
      <c r="X55" s="16"/>
      <c r="Y55" s="16"/>
      <c r="Z55" s="16"/>
      <c r="AA55" s="119" t="s">
        <v>50</v>
      </c>
      <c r="AB55" s="119" t="n">
        <v>0</v>
      </c>
      <c r="AC55" s="340"/>
      <c r="AD55" s="45"/>
      <c r="AE55" s="45"/>
      <c r="AF55" s="20" t="s">
        <v>52</v>
      </c>
    </row>
    <row r="56" customFormat="false" ht="31.5" hidden="false" customHeight="false" outlineLevel="0" collapsed="false">
      <c r="A56" s="16" t="s">
        <v>42</v>
      </c>
      <c r="B56" s="16" t="s">
        <v>2502</v>
      </c>
      <c r="C56" s="71" t="s">
        <v>2619</v>
      </c>
      <c r="D56" s="72" t="s">
        <v>2619</v>
      </c>
      <c r="E56" s="16" t="s">
        <v>2620</v>
      </c>
      <c r="F56" s="16" t="n">
        <v>1436</v>
      </c>
      <c r="G56" s="16" t="n">
        <v>410</v>
      </c>
      <c r="H56" s="16" t="n">
        <v>2481</v>
      </c>
      <c r="I56" s="16" t="n">
        <v>1270</v>
      </c>
      <c r="J56" s="16" t="n">
        <v>1211</v>
      </c>
      <c r="K56" s="16" t="n">
        <v>788</v>
      </c>
      <c r="L56" s="19" t="n">
        <f aca="false">(K56/H56)*100</f>
        <v>31.7613865376864</v>
      </c>
      <c r="M56" s="16" t="n">
        <v>0</v>
      </c>
      <c r="N56" s="19" t="n">
        <f aca="false">(M56/H56)*100</f>
        <v>0</v>
      </c>
      <c r="O56" s="16" t="n">
        <v>65</v>
      </c>
      <c r="P56" s="16" t="n">
        <v>0</v>
      </c>
      <c r="Q56" s="20" t="s">
        <v>49</v>
      </c>
      <c r="R56" s="34" t="n">
        <v>45201</v>
      </c>
      <c r="S56" s="16"/>
      <c r="T56" s="20" t="n">
        <v>291.38</v>
      </c>
      <c r="U56" s="16"/>
      <c r="V56" s="16"/>
      <c r="W56" s="16"/>
      <c r="X56" s="16"/>
      <c r="Y56" s="16"/>
      <c r="Z56" s="16"/>
      <c r="AA56" s="89" t="s">
        <v>50</v>
      </c>
      <c r="AB56" s="89" t="n">
        <v>12</v>
      </c>
      <c r="AC56" s="90" t="s">
        <v>2621</v>
      </c>
      <c r="AD56" s="20"/>
      <c r="AE56" s="20"/>
      <c r="AF56" s="20"/>
    </row>
    <row r="57" customFormat="false" ht="15.75" hidden="false" customHeight="false" outlineLevel="0" collapsed="false">
      <c r="A57" s="16" t="s">
        <v>42</v>
      </c>
      <c r="B57" s="16" t="s">
        <v>2502</v>
      </c>
      <c r="C57" s="71" t="s">
        <v>2619</v>
      </c>
      <c r="D57" s="16" t="s">
        <v>2622</v>
      </c>
      <c r="E57" s="16" t="s">
        <v>2623</v>
      </c>
      <c r="F57" s="16" t="n">
        <v>195</v>
      </c>
      <c r="G57" s="16" t="n">
        <v>30</v>
      </c>
      <c r="H57" s="16" t="n">
        <v>249</v>
      </c>
      <c r="I57" s="16" t="n">
        <v>133</v>
      </c>
      <c r="J57" s="16" t="n">
        <v>116</v>
      </c>
      <c r="K57" s="16" t="n">
        <v>0</v>
      </c>
      <c r="L57" s="19" t="n">
        <f aca="false">(K57/H57)*100</f>
        <v>0</v>
      </c>
      <c r="M57" s="16" t="n">
        <v>0</v>
      </c>
      <c r="N57" s="19" t="n">
        <f aca="false">(M57/H57)*100</f>
        <v>0</v>
      </c>
      <c r="O57" s="16" t="n">
        <v>0</v>
      </c>
      <c r="P57" s="16" t="n">
        <v>0</v>
      </c>
      <c r="Q57" s="20"/>
      <c r="R57" s="21"/>
      <c r="S57" s="16"/>
      <c r="T57" s="20"/>
      <c r="U57" s="16"/>
      <c r="V57" s="16"/>
      <c r="W57" s="16"/>
      <c r="X57" s="16"/>
      <c r="Y57" s="16"/>
      <c r="Z57" s="16"/>
      <c r="AA57" s="89"/>
      <c r="AB57" s="89"/>
      <c r="AC57" s="36"/>
      <c r="AD57" s="20"/>
      <c r="AE57" s="20"/>
      <c r="AF57" s="20"/>
    </row>
    <row r="58" customFormat="false" ht="15.75" hidden="false" customHeight="false" outlineLevel="0" collapsed="false">
      <c r="A58" s="16" t="s">
        <v>42</v>
      </c>
      <c r="B58" s="16" t="s">
        <v>2502</v>
      </c>
      <c r="C58" s="71" t="s">
        <v>2624</v>
      </c>
      <c r="D58" s="72" t="s">
        <v>2625</v>
      </c>
      <c r="E58" s="16" t="s">
        <v>2626</v>
      </c>
      <c r="F58" s="16" t="n">
        <v>2911.45</v>
      </c>
      <c r="G58" s="16" t="n">
        <v>783</v>
      </c>
      <c r="H58" s="16" t="n">
        <v>4674</v>
      </c>
      <c r="I58" s="16" t="n">
        <v>2443</v>
      </c>
      <c r="J58" s="16" t="n">
        <v>2231</v>
      </c>
      <c r="K58" s="16" t="n">
        <v>820</v>
      </c>
      <c r="L58" s="19" t="n">
        <f aca="false">(K58/H58)*100</f>
        <v>17.5438596491228</v>
      </c>
      <c r="M58" s="16" t="n">
        <v>23</v>
      </c>
      <c r="N58" s="19" t="n">
        <f aca="false">(M58/H58)*100</f>
        <v>0.492083868207103</v>
      </c>
      <c r="O58" s="16" t="n">
        <v>14.07</v>
      </c>
      <c r="P58" s="16" t="n">
        <v>0</v>
      </c>
      <c r="Q58" s="20" t="s">
        <v>49</v>
      </c>
      <c r="R58" s="34" t="n">
        <v>45184</v>
      </c>
      <c r="S58" s="16"/>
      <c r="T58" s="20"/>
      <c r="U58" s="16"/>
      <c r="V58" s="16"/>
      <c r="W58" s="16"/>
      <c r="X58" s="16"/>
      <c r="Y58" s="16"/>
      <c r="Z58" s="16"/>
      <c r="AA58" s="89" t="s">
        <v>50</v>
      </c>
      <c r="AB58" s="89" t="n">
        <v>10</v>
      </c>
      <c r="AC58" s="90" t="s">
        <v>2627</v>
      </c>
      <c r="AD58" s="20"/>
      <c r="AE58" s="20"/>
      <c r="AF58" s="20"/>
    </row>
    <row r="59" customFormat="false" ht="15.75" hidden="false" customHeight="false" outlineLevel="0" collapsed="false">
      <c r="A59" s="16"/>
      <c r="B59" s="16"/>
      <c r="C59" s="71"/>
      <c r="D59" s="72"/>
      <c r="E59" s="16"/>
      <c r="F59" s="16"/>
      <c r="G59" s="16"/>
      <c r="H59" s="16"/>
      <c r="I59" s="16"/>
      <c r="J59" s="16"/>
      <c r="K59" s="16"/>
      <c r="L59" s="19"/>
      <c r="M59" s="16"/>
      <c r="N59" s="19"/>
      <c r="O59" s="16"/>
      <c r="P59" s="16"/>
      <c r="Q59" s="228"/>
      <c r="R59" s="97"/>
      <c r="S59" s="16"/>
      <c r="T59" s="228"/>
      <c r="U59" s="16"/>
      <c r="V59" s="16"/>
      <c r="W59" s="16"/>
      <c r="X59" s="16"/>
      <c r="Y59" s="16"/>
      <c r="Z59" s="16"/>
      <c r="AA59" s="93" t="s">
        <v>50</v>
      </c>
      <c r="AB59" s="93" t="n">
        <v>15</v>
      </c>
      <c r="AC59" s="98" t="s">
        <v>2628</v>
      </c>
      <c r="AD59" s="228"/>
      <c r="AE59" s="228"/>
      <c r="AF59" s="20"/>
    </row>
    <row r="60" customFormat="false" ht="15.75" hidden="false" customHeight="false" outlineLevel="0" collapsed="false">
      <c r="A60" s="16"/>
      <c r="B60" s="16"/>
      <c r="C60" s="71"/>
      <c r="D60" s="72"/>
      <c r="E60" s="16"/>
      <c r="F60" s="16"/>
      <c r="G60" s="16"/>
      <c r="H60" s="16"/>
      <c r="I60" s="16"/>
      <c r="J60" s="16"/>
      <c r="K60" s="16"/>
      <c r="L60" s="19"/>
      <c r="M60" s="16"/>
      <c r="N60" s="19"/>
      <c r="O60" s="16"/>
      <c r="P60" s="16"/>
      <c r="Q60" s="228"/>
      <c r="R60" s="97"/>
      <c r="S60" s="16"/>
      <c r="T60" s="228"/>
      <c r="U60" s="16"/>
      <c r="V60" s="16"/>
      <c r="W60" s="16"/>
      <c r="X60" s="16"/>
      <c r="Y60" s="16"/>
      <c r="Z60" s="16"/>
      <c r="AA60" s="93" t="s">
        <v>50</v>
      </c>
      <c r="AB60" s="93" t="n">
        <v>25</v>
      </c>
      <c r="AC60" s="98" t="s">
        <v>2629</v>
      </c>
      <c r="AD60" s="228"/>
      <c r="AE60" s="228"/>
      <c r="AF60" s="20"/>
    </row>
    <row r="61" customFormat="false" ht="15.75" hidden="false" customHeight="false" outlineLevel="0" collapsed="false">
      <c r="A61" s="16" t="s">
        <v>42</v>
      </c>
      <c r="B61" s="16" t="s">
        <v>2502</v>
      </c>
      <c r="C61" s="71" t="s">
        <v>2630</v>
      </c>
      <c r="D61" s="72" t="s">
        <v>2631</v>
      </c>
      <c r="E61" s="16" t="s">
        <v>2632</v>
      </c>
      <c r="F61" s="16" t="n">
        <v>2167</v>
      </c>
      <c r="G61" s="16" t="n">
        <v>490</v>
      </c>
      <c r="H61" s="16" t="n">
        <v>2813</v>
      </c>
      <c r="I61" s="16" t="n">
        <v>1446</v>
      </c>
      <c r="J61" s="16" t="n">
        <v>1367</v>
      </c>
      <c r="K61" s="16" t="n">
        <v>586</v>
      </c>
      <c r="L61" s="19" t="n">
        <f aca="false">(K61/H61)*100</f>
        <v>20.8318521151795</v>
      </c>
      <c r="M61" s="16" t="n">
        <v>181</v>
      </c>
      <c r="N61" s="19" t="n">
        <f aca="false">(M61/H61)*100</f>
        <v>6.43441166014931</v>
      </c>
      <c r="O61" s="16" t="n">
        <v>45</v>
      </c>
      <c r="P61" s="16" t="n">
        <v>0</v>
      </c>
      <c r="Q61" s="20" t="s">
        <v>49</v>
      </c>
      <c r="R61" s="34" t="n">
        <v>45201</v>
      </c>
      <c r="S61" s="16"/>
      <c r="T61" s="20" t="n">
        <v>84.1712</v>
      </c>
      <c r="U61" s="16"/>
      <c r="V61" s="16"/>
      <c r="W61" s="16"/>
      <c r="X61" s="16"/>
      <c r="Y61" s="16"/>
      <c r="Z61" s="16"/>
      <c r="AA61" s="89" t="s">
        <v>50</v>
      </c>
      <c r="AB61" s="89" t="n">
        <v>0</v>
      </c>
      <c r="AC61" s="90"/>
      <c r="AD61" s="20"/>
      <c r="AE61" s="20"/>
      <c r="AF61" s="20"/>
    </row>
    <row r="62" customFormat="false" ht="15.75" hidden="false" customHeight="false" outlineLevel="0" collapsed="false">
      <c r="A62" s="16" t="s">
        <v>42</v>
      </c>
      <c r="B62" s="16" t="s">
        <v>2502</v>
      </c>
      <c r="C62" s="71" t="s">
        <v>2630</v>
      </c>
      <c r="D62" s="16" t="s">
        <v>2633</v>
      </c>
      <c r="E62" s="16" t="s">
        <v>2634</v>
      </c>
      <c r="F62" s="16" t="n">
        <v>852.94</v>
      </c>
      <c r="G62" s="16" t="n">
        <v>248</v>
      </c>
      <c r="H62" s="16" t="n">
        <v>1661</v>
      </c>
      <c r="I62" s="16" t="n">
        <v>864</v>
      </c>
      <c r="J62" s="16" t="n">
        <v>797</v>
      </c>
      <c r="K62" s="16" t="n">
        <v>340</v>
      </c>
      <c r="L62" s="19" t="n">
        <f aca="false">(K62/H62)*100</f>
        <v>20.469596628537</v>
      </c>
      <c r="M62" s="16" t="n">
        <v>12</v>
      </c>
      <c r="N62" s="19" t="n">
        <f aca="false">(M62/H62)*100</f>
        <v>0.722456351595424</v>
      </c>
      <c r="O62" s="16" t="n">
        <v>152</v>
      </c>
      <c r="P62" s="16" t="n">
        <v>0</v>
      </c>
      <c r="Q62" s="20" t="s">
        <v>49</v>
      </c>
      <c r="R62" s="34" t="n">
        <v>45201</v>
      </c>
      <c r="S62" s="16"/>
      <c r="T62" s="20" t="n">
        <v>160.496</v>
      </c>
      <c r="U62" s="16"/>
      <c r="V62" s="16"/>
      <c r="W62" s="16"/>
      <c r="X62" s="16"/>
      <c r="Y62" s="16"/>
      <c r="Z62" s="16"/>
      <c r="AA62" s="89" t="s">
        <v>50</v>
      </c>
      <c r="AB62" s="89" t="n">
        <v>0</v>
      </c>
      <c r="AC62" s="90"/>
      <c r="AD62" s="20"/>
      <c r="AE62" s="20"/>
      <c r="AF62" s="20"/>
    </row>
    <row r="63" customFormat="false" ht="15.75" hidden="false" customHeight="false" outlineLevel="0" collapsed="false">
      <c r="A63" s="16" t="s">
        <v>42</v>
      </c>
      <c r="B63" s="16" t="s">
        <v>2502</v>
      </c>
      <c r="C63" s="71" t="s">
        <v>2635</v>
      </c>
      <c r="D63" s="72" t="s">
        <v>2636</v>
      </c>
      <c r="E63" s="16" t="s">
        <v>2637</v>
      </c>
      <c r="F63" s="16" t="n">
        <v>485.67</v>
      </c>
      <c r="G63" s="16" t="n">
        <v>232</v>
      </c>
      <c r="H63" s="16" t="n">
        <v>1290</v>
      </c>
      <c r="I63" s="16" t="n">
        <v>670</v>
      </c>
      <c r="J63" s="16" t="n">
        <v>620</v>
      </c>
      <c r="K63" s="16" t="n">
        <v>216</v>
      </c>
      <c r="L63" s="19" t="n">
        <f aca="false">(K63/H63)*100</f>
        <v>16.7441860465116</v>
      </c>
      <c r="M63" s="16" t="n">
        <v>306</v>
      </c>
      <c r="N63" s="19" t="n">
        <f aca="false">(M63/H63)*100</f>
        <v>23.7209302325581</v>
      </c>
      <c r="O63" s="16" t="n">
        <v>0</v>
      </c>
      <c r="P63" s="16" t="n">
        <v>0</v>
      </c>
      <c r="Q63" s="20" t="s">
        <v>49</v>
      </c>
      <c r="R63" s="34" t="n">
        <v>45201</v>
      </c>
      <c r="S63" s="16"/>
      <c r="T63" s="105" t="n">
        <v>0</v>
      </c>
      <c r="U63" s="16"/>
      <c r="V63" s="16"/>
      <c r="W63" s="16"/>
      <c r="X63" s="16"/>
      <c r="Y63" s="16"/>
      <c r="Z63" s="16"/>
      <c r="AA63" s="89" t="s">
        <v>50</v>
      </c>
      <c r="AB63" s="89" t="n">
        <v>0</v>
      </c>
      <c r="AC63" s="36"/>
      <c r="AD63" s="105" t="n">
        <v>0</v>
      </c>
      <c r="AE63" s="105" t="n">
        <v>0</v>
      </c>
      <c r="AF63" s="20"/>
    </row>
    <row r="64" customFormat="false" ht="15.75" hidden="false" customHeight="false" outlineLevel="0" collapsed="false">
      <c r="A64" s="16" t="s">
        <v>42</v>
      </c>
      <c r="B64" s="16" t="s">
        <v>2502</v>
      </c>
      <c r="C64" s="71" t="s">
        <v>2635</v>
      </c>
      <c r="D64" s="16" t="s">
        <v>2638</v>
      </c>
      <c r="E64" s="16" t="s">
        <v>2639</v>
      </c>
      <c r="F64" s="16" t="n">
        <v>462.57</v>
      </c>
      <c r="G64" s="16" t="n">
        <v>156</v>
      </c>
      <c r="H64" s="16" t="n">
        <v>850</v>
      </c>
      <c r="I64" s="16" t="n">
        <v>430</v>
      </c>
      <c r="J64" s="16" t="n">
        <v>420</v>
      </c>
      <c r="K64" s="16" t="n">
        <v>2</v>
      </c>
      <c r="L64" s="19" t="n">
        <f aca="false">(K64/H64)*100</f>
        <v>0.235294117647059</v>
      </c>
      <c r="M64" s="16" t="n">
        <v>3</v>
      </c>
      <c r="N64" s="19" t="n">
        <f aca="false">(M64/H64)*100</f>
        <v>0.352941176470588</v>
      </c>
      <c r="O64" s="16" t="n">
        <v>0</v>
      </c>
      <c r="P64" s="16" t="n">
        <v>0</v>
      </c>
      <c r="Q64" s="20" t="s">
        <v>49</v>
      </c>
      <c r="R64" s="34" t="n">
        <v>45201</v>
      </c>
      <c r="S64" s="16"/>
      <c r="T64" s="105" t="n">
        <v>0</v>
      </c>
      <c r="U64" s="16"/>
      <c r="V64" s="16"/>
      <c r="W64" s="16"/>
      <c r="X64" s="16"/>
      <c r="Y64" s="16"/>
      <c r="Z64" s="16"/>
      <c r="AA64" s="89" t="s">
        <v>50</v>
      </c>
      <c r="AB64" s="89" t="n">
        <v>0</v>
      </c>
      <c r="AC64" s="36"/>
      <c r="AD64" s="105" t="n">
        <v>0</v>
      </c>
      <c r="AE64" s="105" t="n">
        <v>0</v>
      </c>
      <c r="AF64" s="20"/>
    </row>
    <row r="65" customFormat="false" ht="15.75" hidden="false" customHeight="false" outlineLevel="0" collapsed="false">
      <c r="A65" s="16" t="s">
        <v>42</v>
      </c>
      <c r="B65" s="16" t="s">
        <v>2502</v>
      </c>
      <c r="C65" s="71" t="s">
        <v>2635</v>
      </c>
      <c r="D65" s="16" t="s">
        <v>2640</v>
      </c>
      <c r="E65" s="16" t="s">
        <v>2641</v>
      </c>
      <c r="F65" s="16" t="n">
        <v>429</v>
      </c>
      <c r="G65" s="16" t="n">
        <v>112</v>
      </c>
      <c r="H65" s="16" t="n">
        <v>702</v>
      </c>
      <c r="I65" s="16" t="n">
        <v>369</v>
      </c>
      <c r="J65" s="16" t="n">
        <v>333</v>
      </c>
      <c r="K65" s="16" t="n">
        <v>67</v>
      </c>
      <c r="L65" s="19" t="n">
        <f aca="false">(K65/H65)*100</f>
        <v>9.54415954415954</v>
      </c>
      <c r="M65" s="16" t="n">
        <v>0</v>
      </c>
      <c r="N65" s="19" t="n">
        <f aca="false">(M65/H65)*100</f>
        <v>0</v>
      </c>
      <c r="O65" s="16" t="n">
        <v>0</v>
      </c>
      <c r="P65" s="16" t="n">
        <v>0</v>
      </c>
      <c r="Q65" s="20" t="s">
        <v>49</v>
      </c>
      <c r="R65" s="34" t="n">
        <v>45201</v>
      </c>
      <c r="S65" s="16"/>
      <c r="T65" s="105" t="n">
        <v>0</v>
      </c>
      <c r="U65" s="16"/>
      <c r="V65" s="16"/>
      <c r="W65" s="16"/>
      <c r="X65" s="16"/>
      <c r="Y65" s="16"/>
      <c r="Z65" s="16"/>
      <c r="AA65" s="89" t="s">
        <v>50</v>
      </c>
      <c r="AB65" s="89" t="n">
        <v>0</v>
      </c>
      <c r="AC65" s="36"/>
      <c r="AD65" s="105" t="n">
        <v>0</v>
      </c>
      <c r="AE65" s="105" t="n">
        <v>0</v>
      </c>
      <c r="AF65" s="20"/>
    </row>
    <row r="66" customFormat="false" ht="15.75" hidden="false" customHeight="false" outlineLevel="0" collapsed="false">
      <c r="A66" s="16" t="s">
        <v>42</v>
      </c>
      <c r="B66" s="16" t="s">
        <v>2502</v>
      </c>
      <c r="C66" s="71" t="s">
        <v>2635</v>
      </c>
      <c r="D66" s="16" t="s">
        <v>2642</v>
      </c>
      <c r="E66" s="16" t="s">
        <v>2643</v>
      </c>
      <c r="F66" s="16" t="n">
        <v>288</v>
      </c>
      <c r="G66" s="16" t="n">
        <v>43</v>
      </c>
      <c r="H66" s="16" t="n">
        <v>246</v>
      </c>
      <c r="I66" s="16" t="n">
        <v>129</v>
      </c>
      <c r="J66" s="16" t="n">
        <v>117</v>
      </c>
      <c r="K66" s="16" t="n">
        <v>0</v>
      </c>
      <c r="L66" s="19" t="n">
        <f aca="false">(K66/H66)*100</f>
        <v>0</v>
      </c>
      <c r="M66" s="16" t="n">
        <v>0</v>
      </c>
      <c r="N66" s="19" t="n">
        <f aca="false">(M66/H66)*100</f>
        <v>0</v>
      </c>
      <c r="O66" s="16" t="n">
        <v>0</v>
      </c>
      <c r="P66" s="16" t="n">
        <v>0</v>
      </c>
      <c r="Q66" s="20" t="s">
        <v>49</v>
      </c>
      <c r="R66" s="34" t="n">
        <v>45201</v>
      </c>
      <c r="S66" s="16"/>
      <c r="T66" s="20" t="n">
        <v>29.624</v>
      </c>
      <c r="U66" s="16"/>
      <c r="V66" s="16"/>
      <c r="W66" s="16"/>
      <c r="X66" s="16"/>
      <c r="Y66" s="16"/>
      <c r="Z66" s="16"/>
      <c r="AA66" s="89" t="s">
        <v>50</v>
      </c>
      <c r="AB66" s="89" t="n">
        <v>0</v>
      </c>
      <c r="AC66" s="36"/>
      <c r="AD66" s="20"/>
      <c r="AE66" s="20"/>
      <c r="AF66" s="20"/>
    </row>
    <row r="67" customFormat="false" ht="15.75" hidden="false" customHeight="false" outlineLevel="0" collapsed="false">
      <c r="A67" s="16" t="s">
        <v>42</v>
      </c>
      <c r="B67" s="16" t="s">
        <v>2502</v>
      </c>
      <c r="C67" s="71" t="s">
        <v>2635</v>
      </c>
      <c r="D67" s="16" t="s">
        <v>2644</v>
      </c>
      <c r="E67" s="16" t="s">
        <v>2645</v>
      </c>
      <c r="F67" s="16" t="n">
        <v>1441.48</v>
      </c>
      <c r="G67" s="16" t="n">
        <v>241</v>
      </c>
      <c r="H67" s="16" t="n">
        <v>1380</v>
      </c>
      <c r="I67" s="16" t="n">
        <v>750</v>
      </c>
      <c r="J67" s="16" t="n">
        <v>630</v>
      </c>
      <c r="K67" s="16" t="n">
        <v>21</v>
      </c>
      <c r="L67" s="19" t="n">
        <f aca="false">(K67/H67)*100</f>
        <v>1.52173913043478</v>
      </c>
      <c r="M67" s="16" t="n">
        <v>33</v>
      </c>
      <c r="N67" s="19" t="n">
        <f aca="false">(M67/H67)*100</f>
        <v>2.39130434782609</v>
      </c>
      <c r="O67" s="16" t="n">
        <v>214.07</v>
      </c>
      <c r="P67" s="16" t="n">
        <v>0</v>
      </c>
      <c r="Q67" s="20" t="s">
        <v>49</v>
      </c>
      <c r="R67" s="34" t="n">
        <v>45201</v>
      </c>
      <c r="S67" s="16"/>
      <c r="T67" s="20" t="n">
        <v>164.8128</v>
      </c>
      <c r="U67" s="16"/>
      <c r="V67" s="16"/>
      <c r="W67" s="16"/>
      <c r="X67" s="16"/>
      <c r="Y67" s="16"/>
      <c r="Z67" s="16"/>
      <c r="AA67" s="89" t="s">
        <v>50</v>
      </c>
      <c r="AB67" s="89" t="n">
        <v>5</v>
      </c>
      <c r="AC67" s="90" t="s">
        <v>2646</v>
      </c>
      <c r="AD67" s="20"/>
      <c r="AE67" s="20"/>
      <c r="AF67" s="20"/>
    </row>
    <row r="68" customFormat="false" ht="15.75" hidden="false" customHeight="false" outlineLevel="0" collapsed="false">
      <c r="A68" s="16" t="s">
        <v>42</v>
      </c>
      <c r="B68" s="16" t="s">
        <v>2502</v>
      </c>
      <c r="C68" s="71" t="s">
        <v>2647</v>
      </c>
      <c r="D68" s="72" t="s">
        <v>2648</v>
      </c>
      <c r="E68" s="16" t="s">
        <v>2649</v>
      </c>
      <c r="F68" s="16" t="n">
        <v>1315.84</v>
      </c>
      <c r="G68" s="16" t="n">
        <v>397</v>
      </c>
      <c r="H68" s="16" t="n">
        <v>2661</v>
      </c>
      <c r="I68" s="16" t="n">
        <v>1312</v>
      </c>
      <c r="J68" s="16" t="n">
        <v>1349</v>
      </c>
      <c r="K68" s="16" t="n">
        <v>339</v>
      </c>
      <c r="L68" s="19" t="n">
        <f aca="false">(K68/H68)*100</f>
        <v>12.739571589628</v>
      </c>
      <c r="M68" s="16" t="n">
        <v>215</v>
      </c>
      <c r="N68" s="19" t="n">
        <f aca="false">(M68/H68)*100</f>
        <v>8.07966929725667</v>
      </c>
      <c r="O68" s="16" t="n">
        <v>3.5</v>
      </c>
      <c r="P68" s="16" t="n">
        <v>0</v>
      </c>
      <c r="Q68" s="20" t="s">
        <v>49</v>
      </c>
      <c r="R68" s="34" t="n">
        <v>45201</v>
      </c>
      <c r="S68" s="16"/>
      <c r="T68" s="20" t="n">
        <v>3.2528</v>
      </c>
      <c r="U68" s="16"/>
      <c r="V68" s="16"/>
      <c r="W68" s="16"/>
      <c r="X68" s="16"/>
      <c r="Y68" s="16"/>
      <c r="Z68" s="16"/>
      <c r="AA68" s="89" t="s">
        <v>50</v>
      </c>
      <c r="AB68" s="89" t="n">
        <v>0</v>
      </c>
      <c r="AC68" s="90"/>
      <c r="AD68" s="20"/>
      <c r="AE68" s="20"/>
      <c r="AF68" s="20"/>
    </row>
    <row r="69" customFormat="false" ht="15.75" hidden="false" customHeight="false" outlineLevel="0" collapsed="false">
      <c r="A69" s="16" t="s">
        <v>42</v>
      </c>
      <c r="B69" s="16" t="s">
        <v>2502</v>
      </c>
      <c r="C69" s="71" t="s">
        <v>2647</v>
      </c>
      <c r="D69" s="16" t="s">
        <v>2650</v>
      </c>
      <c r="E69" s="16" t="s">
        <v>2651</v>
      </c>
      <c r="F69" s="16" t="n">
        <v>1129.23</v>
      </c>
      <c r="G69" s="16" t="n">
        <v>248</v>
      </c>
      <c r="H69" s="16" t="n">
        <v>1555</v>
      </c>
      <c r="I69" s="16" t="n">
        <v>771</v>
      </c>
      <c r="J69" s="16" t="n">
        <v>784</v>
      </c>
      <c r="K69" s="16" t="n">
        <v>536</v>
      </c>
      <c r="L69" s="19" t="n">
        <f aca="false">(K69/H69)*100</f>
        <v>34.4694533762058</v>
      </c>
      <c r="M69" s="16" t="n">
        <v>534</v>
      </c>
      <c r="N69" s="19" t="n">
        <f aca="false">(M69/H69)*100</f>
        <v>34.3408360128617</v>
      </c>
      <c r="O69" s="16" t="n">
        <v>0</v>
      </c>
      <c r="P69" s="16" t="n">
        <v>0</v>
      </c>
      <c r="Q69" s="20" t="s">
        <v>49</v>
      </c>
      <c r="R69" s="34" t="n">
        <v>45201</v>
      </c>
      <c r="S69" s="16"/>
      <c r="T69" s="20"/>
      <c r="U69" s="16"/>
      <c r="V69" s="16"/>
      <c r="W69" s="16"/>
      <c r="X69" s="16"/>
      <c r="Y69" s="16"/>
      <c r="Z69" s="16"/>
      <c r="AA69" s="89" t="s">
        <v>50</v>
      </c>
      <c r="AB69" s="89" t="n">
        <v>0</v>
      </c>
      <c r="AC69" s="90"/>
      <c r="AD69" s="20"/>
      <c r="AE69" s="20"/>
      <c r="AF69" s="20"/>
    </row>
    <row r="70" customFormat="false" ht="15.75" hidden="false" customHeight="false" outlineLevel="0" collapsed="false">
      <c r="A70" s="16" t="s">
        <v>42</v>
      </c>
      <c r="B70" s="16" t="s">
        <v>2502</v>
      </c>
      <c r="C70" s="71" t="s">
        <v>2647</v>
      </c>
      <c r="D70" s="16" t="s">
        <v>2652</v>
      </c>
      <c r="E70" s="16" t="s">
        <v>2653</v>
      </c>
      <c r="F70" s="16" t="n">
        <v>215.68</v>
      </c>
      <c r="G70" s="16" t="n">
        <v>70</v>
      </c>
      <c r="H70" s="16" t="n">
        <v>444</v>
      </c>
      <c r="I70" s="16" t="n">
        <v>238</v>
      </c>
      <c r="J70" s="16" t="n">
        <v>206</v>
      </c>
      <c r="K70" s="16" t="n">
        <v>101</v>
      </c>
      <c r="L70" s="19" t="n">
        <f aca="false">(K70/H70)*100</f>
        <v>22.7477477477477</v>
      </c>
      <c r="M70" s="16" t="n">
        <v>0</v>
      </c>
      <c r="N70" s="19" t="n">
        <f aca="false">(M70/H70)*100</f>
        <v>0</v>
      </c>
      <c r="O70" s="16" t="n">
        <v>7</v>
      </c>
      <c r="P70" s="16" t="n">
        <v>0</v>
      </c>
      <c r="Q70" s="20" t="s">
        <v>49</v>
      </c>
      <c r="R70" s="34" t="n">
        <v>45201</v>
      </c>
      <c r="S70" s="16"/>
      <c r="T70" s="20"/>
      <c r="U70" s="16"/>
      <c r="V70" s="16"/>
      <c r="W70" s="16"/>
      <c r="X70" s="16"/>
      <c r="Y70" s="16"/>
      <c r="Z70" s="16"/>
      <c r="AA70" s="89" t="s">
        <v>50</v>
      </c>
      <c r="AB70" s="89" t="n">
        <v>0</v>
      </c>
      <c r="AC70" s="90"/>
      <c r="AD70" s="20"/>
      <c r="AE70" s="20"/>
      <c r="AF70" s="20"/>
    </row>
    <row r="71" customFormat="false" ht="15.75" hidden="false" customHeight="false" outlineLevel="0" collapsed="false">
      <c r="A71" s="16" t="s">
        <v>42</v>
      </c>
      <c r="B71" s="16" t="s">
        <v>2502</v>
      </c>
      <c r="C71" s="71" t="s">
        <v>2654</v>
      </c>
      <c r="D71" s="355" t="s">
        <v>2655</v>
      </c>
      <c r="E71" s="16" t="s">
        <v>2656</v>
      </c>
      <c r="F71" s="16" t="n">
        <v>773</v>
      </c>
      <c r="G71" s="16" t="n">
        <v>248</v>
      </c>
      <c r="H71" s="16" t="n">
        <v>1382</v>
      </c>
      <c r="I71" s="16" t="n">
        <v>733</v>
      </c>
      <c r="J71" s="16" t="n">
        <v>649</v>
      </c>
      <c r="K71" s="16" t="n">
        <v>261</v>
      </c>
      <c r="L71" s="19" t="n">
        <f aca="false">(K71/H71)*100</f>
        <v>18.8856729377713</v>
      </c>
      <c r="M71" s="16" t="n">
        <v>2</v>
      </c>
      <c r="N71" s="19" t="n">
        <f aca="false">(M71/H71)*100</f>
        <v>0.144717800289436</v>
      </c>
      <c r="O71" s="16" t="n">
        <v>0</v>
      </c>
      <c r="P71" s="16" t="n">
        <v>229</v>
      </c>
      <c r="Q71" s="20" t="s">
        <v>49</v>
      </c>
      <c r="R71" s="34" t="n">
        <v>45153</v>
      </c>
      <c r="S71" s="16"/>
      <c r="T71" s="20" t="n">
        <v>5.288</v>
      </c>
      <c r="U71" s="16"/>
      <c r="V71" s="16"/>
      <c r="W71" s="16"/>
      <c r="X71" s="16"/>
      <c r="Y71" s="16"/>
      <c r="Z71" s="16"/>
      <c r="AA71" s="89" t="s">
        <v>50</v>
      </c>
      <c r="AB71" s="89" t="n">
        <v>0</v>
      </c>
      <c r="AC71" s="36"/>
      <c r="AD71" s="105" t="n">
        <v>0</v>
      </c>
      <c r="AE71" s="105" t="n">
        <v>0</v>
      </c>
      <c r="AF71" s="20"/>
    </row>
    <row r="72" customFormat="false" ht="15.75" hidden="false" customHeight="false" outlineLevel="0" collapsed="false">
      <c r="A72" s="16" t="s">
        <v>42</v>
      </c>
      <c r="B72" s="16" t="s">
        <v>2502</v>
      </c>
      <c r="C72" s="71" t="s">
        <v>2654</v>
      </c>
      <c r="D72" s="16" t="s">
        <v>2657</v>
      </c>
      <c r="E72" s="16" t="s">
        <v>2658</v>
      </c>
      <c r="F72" s="16" t="n">
        <v>1217</v>
      </c>
      <c r="G72" s="16" t="n">
        <v>171</v>
      </c>
      <c r="H72" s="16" t="n">
        <v>1197</v>
      </c>
      <c r="I72" s="16" t="n">
        <v>618</v>
      </c>
      <c r="J72" s="16" t="n">
        <v>579</v>
      </c>
      <c r="K72" s="16" t="n">
        <v>1</v>
      </c>
      <c r="L72" s="19" t="n">
        <f aca="false">(K72/H72)*100</f>
        <v>0.0835421888053467</v>
      </c>
      <c r="M72" s="16" t="n">
        <v>0</v>
      </c>
      <c r="N72" s="19" t="n">
        <f aca="false">(M72/H72)*100</f>
        <v>0</v>
      </c>
      <c r="O72" s="16" t="n">
        <v>58</v>
      </c>
      <c r="P72" s="16" t="n">
        <v>272</v>
      </c>
      <c r="Q72" s="20" t="s">
        <v>49</v>
      </c>
      <c r="R72" s="34" t="n">
        <v>45153</v>
      </c>
      <c r="S72" s="16"/>
      <c r="T72" s="20" t="n">
        <v>1.6</v>
      </c>
      <c r="U72" s="16"/>
      <c r="V72" s="16"/>
      <c r="W72" s="16"/>
      <c r="X72" s="16"/>
      <c r="Y72" s="16"/>
      <c r="Z72" s="16"/>
      <c r="AA72" s="89" t="s">
        <v>50</v>
      </c>
      <c r="AB72" s="89" t="n">
        <v>0</v>
      </c>
      <c r="AC72" s="36"/>
      <c r="AD72" s="105" t="n">
        <v>0</v>
      </c>
      <c r="AE72" s="105" t="n">
        <v>0</v>
      </c>
      <c r="AF72" s="20"/>
    </row>
    <row r="73" customFormat="false" ht="15.75" hidden="false" customHeight="false" outlineLevel="0" collapsed="false">
      <c r="A73" s="99" t="s">
        <v>42</v>
      </c>
      <c r="B73" s="99" t="s">
        <v>2502</v>
      </c>
      <c r="C73" s="100" t="s">
        <v>2654</v>
      </c>
      <c r="D73" s="99" t="s">
        <v>2659</v>
      </c>
      <c r="E73" s="99" t="s">
        <v>2660</v>
      </c>
      <c r="F73" s="99" t="n">
        <v>2440</v>
      </c>
      <c r="G73" s="99" t="n">
        <v>420</v>
      </c>
      <c r="H73" s="99" t="n">
        <v>2274</v>
      </c>
      <c r="I73" s="99" t="n">
        <v>1185</v>
      </c>
      <c r="J73" s="99" t="n">
        <v>1089</v>
      </c>
      <c r="K73" s="99" t="n">
        <v>631</v>
      </c>
      <c r="L73" s="19" t="n">
        <f aca="false">(K73/H73)*100</f>
        <v>27.7484608619173</v>
      </c>
      <c r="M73" s="99" t="n">
        <v>131</v>
      </c>
      <c r="N73" s="19" t="n">
        <f aca="false">(M73/H73)*100</f>
        <v>5.76077396657872</v>
      </c>
      <c r="O73" s="99" t="n">
        <v>62</v>
      </c>
      <c r="P73" s="99" t="n">
        <v>520</v>
      </c>
      <c r="Q73" s="20" t="s">
        <v>49</v>
      </c>
      <c r="R73" s="34" t="n">
        <v>45153</v>
      </c>
      <c r="S73" s="99"/>
      <c r="T73" s="20" t="n">
        <v>53.856</v>
      </c>
      <c r="U73" s="99"/>
      <c r="V73" s="99"/>
      <c r="W73" s="99"/>
      <c r="X73" s="99"/>
      <c r="Y73" s="99"/>
      <c r="Z73" s="99"/>
      <c r="AA73" s="89" t="s">
        <v>50</v>
      </c>
      <c r="AB73" s="89" t="n">
        <v>0</v>
      </c>
      <c r="AC73" s="36"/>
      <c r="AD73" s="105" t="n">
        <v>0</v>
      </c>
      <c r="AE73" s="105" t="n">
        <v>0</v>
      </c>
      <c r="AF73" s="20"/>
    </row>
    <row r="74" customFormat="false" ht="15.75" hidden="false" customHeight="false" outlineLevel="0" collapsed="false">
      <c r="A74" s="16" t="s">
        <v>42</v>
      </c>
      <c r="B74" s="16" t="s">
        <v>2502</v>
      </c>
      <c r="C74" s="71" t="s">
        <v>2661</v>
      </c>
      <c r="D74" s="72" t="s">
        <v>2662</v>
      </c>
      <c r="E74" s="16" t="s">
        <v>2663</v>
      </c>
      <c r="F74" s="16" t="n">
        <v>2612</v>
      </c>
      <c r="G74" s="16" t="n">
        <v>658</v>
      </c>
      <c r="H74" s="16" t="n">
        <v>3995</v>
      </c>
      <c r="I74" s="16" t="n">
        <v>2052</v>
      </c>
      <c r="J74" s="16" t="n">
        <v>1943</v>
      </c>
      <c r="K74" s="16" t="n">
        <v>247</v>
      </c>
      <c r="L74" s="19" t="n">
        <f aca="false">(K74/H74)*100</f>
        <v>6.18272841051314</v>
      </c>
      <c r="M74" s="16" t="n">
        <v>133</v>
      </c>
      <c r="N74" s="19" t="n">
        <f aca="false">(M74/H74)*100</f>
        <v>3.32916145181477</v>
      </c>
      <c r="O74" s="16" t="n">
        <v>97</v>
      </c>
      <c r="P74" s="16" t="n">
        <v>0</v>
      </c>
      <c r="Q74" s="53" t="s">
        <v>49</v>
      </c>
      <c r="R74" s="46" t="n">
        <v>45842</v>
      </c>
      <c r="S74" s="16"/>
      <c r="T74" s="45"/>
      <c r="U74" s="16"/>
      <c r="V74" s="16"/>
      <c r="W74" s="16"/>
      <c r="X74" s="16"/>
      <c r="Y74" s="16"/>
      <c r="Z74" s="16"/>
      <c r="AA74" s="119" t="s">
        <v>50</v>
      </c>
      <c r="AB74" s="119" t="n">
        <v>5</v>
      </c>
      <c r="AC74" s="287" t="s">
        <v>2664</v>
      </c>
      <c r="AD74" s="45" t="n">
        <v>26.429178</v>
      </c>
      <c r="AE74" s="45" t="n">
        <v>72.814688</v>
      </c>
      <c r="AF74" s="20" t="s">
        <v>52</v>
      </c>
    </row>
    <row r="75" customFormat="false" ht="15.75" hidden="false" customHeight="false" outlineLevel="0" collapsed="false">
      <c r="A75" s="16"/>
      <c r="B75" s="16"/>
      <c r="C75" s="71"/>
      <c r="D75" s="72"/>
      <c r="E75" s="16"/>
      <c r="F75" s="16"/>
      <c r="G75" s="16"/>
      <c r="H75" s="16"/>
      <c r="I75" s="16"/>
      <c r="J75" s="16"/>
      <c r="K75" s="16"/>
      <c r="L75" s="19"/>
      <c r="M75" s="16"/>
      <c r="N75" s="16"/>
      <c r="O75" s="16"/>
      <c r="P75" s="16"/>
      <c r="Q75" s="16"/>
      <c r="R75" s="16"/>
      <c r="S75" s="16"/>
      <c r="T75" s="155"/>
      <c r="U75" s="16"/>
      <c r="V75" s="16"/>
      <c r="W75" s="16"/>
      <c r="X75" s="16"/>
      <c r="Y75" s="16"/>
      <c r="Z75" s="16"/>
      <c r="AA75" s="157" t="s">
        <v>50</v>
      </c>
      <c r="AB75" s="157" t="n">
        <v>15</v>
      </c>
      <c r="AC75" s="347" t="s">
        <v>2665</v>
      </c>
      <c r="AD75" s="155" t="n">
        <v>26.427426</v>
      </c>
      <c r="AE75" s="155" t="n">
        <v>72.810751</v>
      </c>
      <c r="AF75" s="20"/>
    </row>
    <row r="76" customFormat="false" ht="31.5" hidden="false" customHeight="false" outlineLevel="0" collapsed="false">
      <c r="A76" s="16"/>
      <c r="B76" s="16"/>
      <c r="C76" s="71"/>
      <c r="D76" s="72"/>
      <c r="E76" s="16"/>
      <c r="F76" s="16"/>
      <c r="G76" s="16"/>
      <c r="H76" s="16"/>
      <c r="I76" s="16"/>
      <c r="J76" s="16"/>
      <c r="K76" s="16"/>
      <c r="L76" s="19"/>
      <c r="M76" s="16"/>
      <c r="N76" s="16"/>
      <c r="O76" s="16"/>
      <c r="P76" s="16"/>
      <c r="Q76" s="16"/>
      <c r="R76" s="16"/>
      <c r="S76" s="16"/>
      <c r="T76" s="155"/>
      <c r="U76" s="16"/>
      <c r="V76" s="16"/>
      <c r="W76" s="16"/>
      <c r="X76" s="16"/>
      <c r="Y76" s="16"/>
      <c r="Z76" s="16"/>
      <c r="AA76" s="157" t="s">
        <v>50</v>
      </c>
      <c r="AB76" s="157" t="n">
        <v>25</v>
      </c>
      <c r="AC76" s="347" t="s">
        <v>2666</v>
      </c>
      <c r="AD76" s="155" t="n">
        <v>26.424838</v>
      </c>
      <c r="AE76" s="155" t="n">
        <v>72.821852</v>
      </c>
      <c r="AF76" s="20"/>
    </row>
    <row r="77" customFormat="false" ht="15.75" hidden="false" customHeight="false" outlineLevel="0" collapsed="false">
      <c r="F77" s="1" t="n">
        <f aca="false">SUM(F4:F74)</f>
        <v>63575.31</v>
      </c>
      <c r="G77" s="1" t="n">
        <f aca="false">SUM(G4:G74)</f>
        <v>16111</v>
      </c>
      <c r="H77" s="1" t="n">
        <f aca="false">SUM(H4:H74)</f>
        <v>98087</v>
      </c>
      <c r="I77" s="1" t="n">
        <f aca="false">SUM(I4:I74)</f>
        <v>50821</v>
      </c>
      <c r="J77" s="1" t="n">
        <f aca="false">SUM(J4:J74)</f>
        <v>47266</v>
      </c>
      <c r="K77" s="1" t="n">
        <f aca="false">SUM(K4:K74)</f>
        <v>15716</v>
      </c>
      <c r="M77" s="1" t="n">
        <f aca="false">SUM(M4:M74)</f>
        <v>3684</v>
      </c>
      <c r="O77" s="1" t="n">
        <f aca="false">SUM(O4:O74)</f>
        <v>2217.28</v>
      </c>
      <c r="P77" s="1" t="n">
        <f aca="false">SUM(P4:P74)</f>
        <v>3082.36</v>
      </c>
    </row>
  </sheetData>
  <mergeCells count="4">
    <mergeCell ref="K2:L2"/>
    <mergeCell ref="M2:N2"/>
    <mergeCell ref="AD2:AE2"/>
    <mergeCell ref="AF2:AF3"/>
  </mergeCells>
  <conditionalFormatting sqref="AC2:AC3">
    <cfRule type="duplicateValues" priority="2" aboveAverage="0" equalAverage="0" bottom="0" percent="0" rank="0" text="" dxfId="11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V13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2" topLeftCell="R3" activePane="bottomRight" state="frozen"/>
      <selection pane="topLeft" activeCell="A1" activeCellId="0" sqref="A1"/>
      <selection pane="topRight" activeCell="R1" activeCellId="0" sqref="R1"/>
      <selection pane="bottomLeft" activeCell="A3" activeCellId="0" sqref="A3"/>
      <selection pane="bottomRight" activeCell="W6" activeCellId="0" sqref="W6"/>
    </sheetView>
  </sheetViews>
  <sheetFormatPr defaultColWidth="9.14453125" defaultRowHeight="15.7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0.57"/>
    <col collapsed="false" customWidth="true" hidden="false" outlineLevel="0" max="3" min="3" style="1" width="29.42"/>
    <col collapsed="false" customWidth="true" hidden="false" outlineLevel="0" max="4" min="4" style="1" width="32.43"/>
    <col collapsed="false" customWidth="true" hidden="false" outlineLevel="0" max="5" min="5" style="1" width="18.71"/>
    <col collapsed="false" customWidth="true" hidden="false" outlineLevel="0" max="6" min="6" style="1" width="11.43"/>
    <col collapsed="false" customWidth="true" hidden="false" outlineLevel="0" max="7" min="7" style="1" width="14"/>
    <col collapsed="false" customWidth="true" hidden="false" outlineLevel="0" max="8" min="8" style="1" width="11.43"/>
    <col collapsed="false" customWidth="true" hidden="false" outlineLevel="0" max="9" min="9" style="1" width="10.85"/>
    <col collapsed="false" customWidth="true" hidden="false" outlineLevel="0" max="10" min="10" style="1" width="8"/>
    <col collapsed="false" customWidth="true" hidden="false" outlineLevel="0" max="11" min="11" style="1" width="10.71"/>
    <col collapsed="false" customWidth="true" hidden="false" outlineLevel="0" max="12" min="12" style="1" width="8.57"/>
    <col collapsed="false" customWidth="true" hidden="false" outlineLevel="0" max="13" min="13" style="1" width="10.71"/>
    <col collapsed="false" customWidth="true" hidden="false" outlineLevel="0" max="14" min="14" style="1" width="8.57"/>
    <col collapsed="false" customWidth="true" hidden="false" outlineLevel="0" max="15" min="15" style="1" width="12.14"/>
    <col collapsed="false" customWidth="true" hidden="false" outlineLevel="0" max="16" min="16" style="1" width="11.57"/>
    <col collapsed="false" customWidth="true" hidden="false" outlineLevel="0" max="17" min="17" style="1" width="15"/>
    <col collapsed="false" customWidth="true" hidden="false" outlineLevel="0" max="18" min="18" style="1" width="12.71"/>
    <col collapsed="false" customWidth="true" hidden="false" outlineLevel="0" max="25" min="19" style="1" width="14.14"/>
    <col collapsed="false" customWidth="true" hidden="false" outlineLevel="0" max="27" min="26" style="1" width="11.57"/>
    <col collapsed="false" customWidth="true" hidden="false" outlineLevel="0" max="28" min="28" style="1" width="13.43"/>
    <col collapsed="false" customWidth="true" hidden="false" outlineLevel="0" max="29" min="29" style="1" width="37.28"/>
    <col collapsed="false" customWidth="true" hidden="false" outlineLevel="0" max="30" min="30" style="1" width="12.14"/>
    <col collapsed="false" customWidth="true" hidden="false" outlineLevel="0" max="31" min="31" style="1" width="14.28"/>
    <col collapsed="false" customWidth="false" hidden="false" outlineLevel="0" max="40" min="32" style="1" width="9.14"/>
    <col collapsed="false" customWidth="true" hidden="false" outlineLevel="0" max="41" min="41" style="1" width="9.28"/>
    <col collapsed="false" customWidth="false" hidden="false" outlineLevel="0" max="43" min="42" style="1" width="9.14"/>
    <col collapsed="false" customWidth="true" hidden="false" outlineLevel="0" max="45" min="44" style="1" width="9.28"/>
    <col collapsed="false" customWidth="false" hidden="false" outlineLevel="0" max="46" min="46" style="1" width="9.14"/>
    <col collapsed="false" customWidth="true" hidden="false" outlineLevel="0" max="48" min="47" style="1" width="9.28"/>
    <col collapsed="false" customWidth="false" hidden="false" outlineLevel="0" max="1024" min="49" style="1" width="9.14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</row>
    <row r="2" s="13" customFormat="true" ht="110.2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297" t="s">
        <v>1258</v>
      </c>
    </row>
    <row r="3" s="13" customFormat="true" ht="54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321" t="s">
        <v>1259</v>
      </c>
      <c r="L3" s="321" t="s">
        <v>34</v>
      </c>
      <c r="M3" s="321" t="s">
        <v>1259</v>
      </c>
      <c r="N3" s="321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297"/>
    </row>
    <row r="4" customFormat="false" ht="15.75" hidden="false" customHeight="false" outlineLevel="0" collapsed="false">
      <c r="A4" s="16" t="s">
        <v>42</v>
      </c>
      <c r="B4" s="16" t="s">
        <v>2667</v>
      </c>
      <c r="C4" s="71" t="s">
        <v>2668</v>
      </c>
      <c r="D4" s="72" t="s">
        <v>2669</v>
      </c>
      <c r="E4" s="16" t="s">
        <v>2670</v>
      </c>
      <c r="F4" s="16" t="n">
        <v>1375</v>
      </c>
      <c r="G4" s="16" t="n">
        <v>230</v>
      </c>
      <c r="H4" s="16" t="n">
        <v>1281</v>
      </c>
      <c r="I4" s="16" t="n">
        <v>676</v>
      </c>
      <c r="J4" s="16" t="n">
        <v>605</v>
      </c>
      <c r="K4" s="16" t="n">
        <v>578</v>
      </c>
      <c r="L4" s="19" t="n">
        <f aca="false">(K4/H4)*100</f>
        <v>45.1209992193599</v>
      </c>
      <c r="M4" s="16" t="n">
        <v>171</v>
      </c>
      <c r="N4" s="19" t="n">
        <f aca="false">(M4/H4)*100</f>
        <v>13.3489461358314</v>
      </c>
      <c r="O4" s="16" t="n">
        <v>35</v>
      </c>
      <c r="P4" s="16" t="n">
        <v>0</v>
      </c>
      <c r="Q4" s="89"/>
      <c r="R4" s="21"/>
      <c r="S4" s="16"/>
      <c r="T4" s="89"/>
      <c r="U4" s="16"/>
      <c r="V4" s="16"/>
      <c r="W4" s="16"/>
      <c r="X4" s="16"/>
      <c r="Y4" s="16"/>
      <c r="Z4" s="16"/>
      <c r="AA4" s="89"/>
      <c r="AB4" s="89"/>
      <c r="AC4" s="20"/>
      <c r="AD4" s="20"/>
      <c r="AE4" s="20"/>
      <c r="AF4" s="20"/>
    </row>
    <row r="5" customFormat="false" ht="15.75" hidden="false" customHeight="false" outlineLevel="0" collapsed="false">
      <c r="A5" s="16" t="s">
        <v>42</v>
      </c>
      <c r="B5" s="16" t="s">
        <v>2667</v>
      </c>
      <c r="C5" s="71" t="s">
        <v>2668</v>
      </c>
      <c r="D5" s="16" t="s">
        <v>2671</v>
      </c>
      <c r="E5" s="16" t="s">
        <v>2672</v>
      </c>
      <c r="F5" s="16" t="n">
        <v>829</v>
      </c>
      <c r="G5" s="16" t="n">
        <v>68</v>
      </c>
      <c r="H5" s="16" t="n">
        <v>430</v>
      </c>
      <c r="I5" s="16" t="n">
        <v>238</v>
      </c>
      <c r="J5" s="16" t="n">
        <v>192</v>
      </c>
      <c r="K5" s="16" t="n">
        <v>112</v>
      </c>
      <c r="L5" s="19" t="n">
        <f aca="false">(K5/H5)*100</f>
        <v>26.046511627907</v>
      </c>
      <c r="M5" s="16" t="n">
        <v>0</v>
      </c>
      <c r="N5" s="19" t="n">
        <f aca="false">(M5/H5)*100</f>
        <v>0</v>
      </c>
      <c r="O5" s="16" t="n">
        <v>2</v>
      </c>
      <c r="P5" s="16" t="n">
        <v>0</v>
      </c>
      <c r="Q5" s="89"/>
      <c r="R5" s="21"/>
      <c r="S5" s="16"/>
      <c r="T5" s="89"/>
      <c r="U5" s="16"/>
      <c r="V5" s="16"/>
      <c r="W5" s="16"/>
      <c r="X5" s="16"/>
      <c r="Y5" s="16"/>
      <c r="Z5" s="16"/>
      <c r="AA5" s="89"/>
      <c r="AB5" s="89"/>
      <c r="AC5" s="20"/>
      <c r="AD5" s="20"/>
      <c r="AE5" s="20"/>
      <c r="AF5" s="20"/>
    </row>
    <row r="6" customFormat="false" ht="31.5" hidden="false" customHeight="false" outlineLevel="0" collapsed="false">
      <c r="A6" s="16" t="s">
        <v>42</v>
      </c>
      <c r="B6" s="16" t="s">
        <v>2667</v>
      </c>
      <c r="C6" s="71" t="s">
        <v>2673</v>
      </c>
      <c r="D6" s="72" t="s">
        <v>2673</v>
      </c>
      <c r="E6" s="16" t="s">
        <v>2674</v>
      </c>
      <c r="F6" s="16" t="n">
        <v>2850</v>
      </c>
      <c r="G6" s="16" t="n">
        <v>396</v>
      </c>
      <c r="H6" s="16" t="n">
        <v>2355</v>
      </c>
      <c r="I6" s="16" t="n">
        <v>1245</v>
      </c>
      <c r="J6" s="16" t="n">
        <v>1110</v>
      </c>
      <c r="K6" s="16" t="n">
        <v>533</v>
      </c>
      <c r="L6" s="19" t="n">
        <f aca="false">(K6/H6)*100</f>
        <v>22.6326963906582</v>
      </c>
      <c r="M6" s="16" t="n">
        <v>0</v>
      </c>
      <c r="N6" s="19" t="n">
        <f aca="false">(M6/H6)*100</f>
        <v>0</v>
      </c>
      <c r="O6" s="16" t="n">
        <v>0</v>
      </c>
      <c r="P6" s="16" t="n">
        <v>0</v>
      </c>
      <c r="Q6" s="247" t="s">
        <v>50</v>
      </c>
      <c r="R6" s="74" t="n">
        <v>44607</v>
      </c>
      <c r="S6" s="16"/>
      <c r="T6" s="76" t="n">
        <v>272</v>
      </c>
      <c r="U6" s="16"/>
      <c r="V6" s="16"/>
      <c r="W6" s="16"/>
      <c r="X6" s="16"/>
      <c r="Y6" s="16"/>
      <c r="Z6" s="16"/>
      <c r="AA6" s="94" t="s">
        <v>50</v>
      </c>
      <c r="AB6" s="76" t="n">
        <v>16</v>
      </c>
      <c r="AC6" s="94" t="s">
        <v>2675</v>
      </c>
      <c r="AD6" s="250" t="n">
        <v>26.925279</v>
      </c>
      <c r="AE6" s="250" t="n">
        <v>72.824951</v>
      </c>
      <c r="AF6" s="20"/>
    </row>
    <row r="7" customFormat="false" ht="15.75" hidden="false" customHeight="false" outlineLevel="0" collapsed="false">
      <c r="A7" s="16" t="s">
        <v>42</v>
      </c>
      <c r="B7" s="16" t="s">
        <v>2667</v>
      </c>
      <c r="C7" s="71" t="s">
        <v>2673</v>
      </c>
      <c r="D7" s="16" t="s">
        <v>2676</v>
      </c>
      <c r="E7" s="16" t="s">
        <v>2677</v>
      </c>
      <c r="F7" s="16" t="n">
        <v>2475</v>
      </c>
      <c r="G7" s="16" t="n">
        <v>296</v>
      </c>
      <c r="H7" s="16" t="n">
        <v>1706</v>
      </c>
      <c r="I7" s="16" t="n">
        <v>885</v>
      </c>
      <c r="J7" s="16" t="n">
        <v>821</v>
      </c>
      <c r="K7" s="16" t="n">
        <v>37</v>
      </c>
      <c r="L7" s="19" t="n">
        <f aca="false">(K7/H7)*100</f>
        <v>2.16881594372802</v>
      </c>
      <c r="M7" s="16" t="n">
        <v>65</v>
      </c>
      <c r="N7" s="19" t="n">
        <f aca="false">(M7/H7)*100</f>
        <v>3.81008206330598</v>
      </c>
      <c r="O7" s="16" t="n">
        <v>0</v>
      </c>
      <c r="P7" s="16" t="n">
        <v>0</v>
      </c>
      <c r="Q7" s="92" t="s">
        <v>49</v>
      </c>
      <c r="R7" s="25" t="n">
        <v>44626</v>
      </c>
      <c r="S7" s="16"/>
      <c r="T7" s="92"/>
      <c r="U7" s="16"/>
      <c r="V7" s="16"/>
      <c r="W7" s="16"/>
      <c r="X7" s="16"/>
      <c r="Y7" s="16"/>
      <c r="Z7" s="16"/>
      <c r="AA7" s="92" t="s">
        <v>50</v>
      </c>
      <c r="AB7" s="92" t="n">
        <v>15</v>
      </c>
      <c r="AC7" s="129" t="s">
        <v>2678</v>
      </c>
      <c r="AD7" s="24" t="n">
        <v>26.977273</v>
      </c>
      <c r="AE7" s="24" t="n">
        <v>72.787534</v>
      </c>
      <c r="AF7" s="20"/>
    </row>
    <row r="8" customFormat="false" ht="15.75" hidden="false" customHeight="false" outlineLevel="0" collapsed="false">
      <c r="A8" s="16" t="s">
        <v>42</v>
      </c>
      <c r="B8" s="16" t="s">
        <v>2667</v>
      </c>
      <c r="C8" s="71" t="s">
        <v>2679</v>
      </c>
      <c r="D8" s="72" t="s">
        <v>2679</v>
      </c>
      <c r="E8" s="16" t="s">
        <v>2680</v>
      </c>
      <c r="F8" s="16" t="n">
        <v>1572</v>
      </c>
      <c r="G8" s="16" t="n">
        <v>212</v>
      </c>
      <c r="H8" s="16" t="n">
        <v>1328</v>
      </c>
      <c r="I8" s="16" t="n">
        <v>694</v>
      </c>
      <c r="J8" s="16" t="n">
        <v>634</v>
      </c>
      <c r="K8" s="16" t="n">
        <v>0</v>
      </c>
      <c r="L8" s="19" t="n">
        <f aca="false">(K8/H8)*100</f>
        <v>0</v>
      </c>
      <c r="M8" s="16" t="n">
        <v>0</v>
      </c>
      <c r="N8" s="19" t="n">
        <f aca="false">(M8/H8)*100</f>
        <v>0</v>
      </c>
      <c r="O8" s="16" t="n">
        <v>15</v>
      </c>
      <c r="P8" s="16" t="n">
        <v>0</v>
      </c>
      <c r="Q8" s="89" t="s">
        <v>49</v>
      </c>
      <c r="R8" s="356" t="n">
        <v>45698</v>
      </c>
      <c r="S8" s="16"/>
      <c r="T8" s="89"/>
      <c r="U8" s="16"/>
      <c r="V8" s="16"/>
      <c r="W8" s="16"/>
      <c r="X8" s="16"/>
      <c r="Y8" s="16"/>
      <c r="Z8" s="16"/>
      <c r="AA8" s="89" t="s">
        <v>50</v>
      </c>
      <c r="AB8" s="89" t="n">
        <v>5</v>
      </c>
      <c r="AC8" s="36" t="s">
        <v>2681</v>
      </c>
      <c r="AD8" s="95" t="n">
        <v>26.994794</v>
      </c>
      <c r="AE8" s="95" t="n">
        <v>72.667712</v>
      </c>
      <c r="AF8" s="20" t="s">
        <v>52</v>
      </c>
    </row>
    <row r="9" customFormat="false" ht="15.75" hidden="false" customHeight="false" outlineLevel="0" collapsed="false">
      <c r="A9" s="16" t="s">
        <v>42</v>
      </c>
      <c r="B9" s="16" t="s">
        <v>2667</v>
      </c>
      <c r="C9" s="71" t="s">
        <v>2679</v>
      </c>
      <c r="D9" s="16" t="s">
        <v>2682</v>
      </c>
      <c r="E9" s="16" t="s">
        <v>2683</v>
      </c>
      <c r="F9" s="16" t="n">
        <v>497</v>
      </c>
      <c r="G9" s="16" t="n">
        <v>56</v>
      </c>
      <c r="H9" s="16" t="n">
        <v>357</v>
      </c>
      <c r="I9" s="16" t="n">
        <v>181</v>
      </c>
      <c r="J9" s="16" t="n">
        <v>176</v>
      </c>
      <c r="K9" s="16" t="n">
        <v>0</v>
      </c>
      <c r="L9" s="19" t="n">
        <f aca="false">(K9/H9)*100</f>
        <v>0</v>
      </c>
      <c r="M9" s="16" t="n">
        <v>0</v>
      </c>
      <c r="N9" s="19" t="n">
        <f aca="false">(M9/H9)*100</f>
        <v>0</v>
      </c>
      <c r="O9" s="16" t="n">
        <v>7</v>
      </c>
      <c r="P9" s="16" t="n">
        <v>0</v>
      </c>
      <c r="Q9" s="89"/>
      <c r="R9" s="21"/>
      <c r="S9" s="16"/>
      <c r="T9" s="89"/>
      <c r="U9" s="16"/>
      <c r="V9" s="16"/>
      <c r="W9" s="16"/>
      <c r="X9" s="16"/>
      <c r="Y9" s="16"/>
      <c r="Z9" s="16"/>
      <c r="AA9" s="89"/>
      <c r="AB9" s="89"/>
      <c r="AC9" s="20"/>
      <c r="AD9" s="20"/>
      <c r="AE9" s="20"/>
      <c r="AF9" s="20"/>
    </row>
    <row r="10" customFormat="false" ht="15.75" hidden="false" customHeight="false" outlineLevel="0" collapsed="false">
      <c r="A10" s="16" t="s">
        <v>42</v>
      </c>
      <c r="B10" s="16" t="s">
        <v>2667</v>
      </c>
      <c r="C10" s="71" t="s">
        <v>2679</v>
      </c>
      <c r="D10" s="16" t="s">
        <v>2684</v>
      </c>
      <c r="E10" s="16" t="s">
        <v>2685</v>
      </c>
      <c r="F10" s="16" t="n">
        <v>616</v>
      </c>
      <c r="G10" s="16" t="n">
        <v>140</v>
      </c>
      <c r="H10" s="16" t="n">
        <v>893</v>
      </c>
      <c r="I10" s="16" t="n">
        <v>472</v>
      </c>
      <c r="J10" s="16" t="n">
        <v>421</v>
      </c>
      <c r="K10" s="16" t="n">
        <v>0</v>
      </c>
      <c r="L10" s="19" t="n">
        <f aca="false">(K10/H10)*100</f>
        <v>0</v>
      </c>
      <c r="M10" s="16" t="n">
        <v>0</v>
      </c>
      <c r="N10" s="19" t="n">
        <f aca="false">(M10/H10)*100</f>
        <v>0</v>
      </c>
      <c r="O10" s="16" t="n">
        <v>0</v>
      </c>
      <c r="P10" s="16" t="n">
        <v>0</v>
      </c>
      <c r="Q10" s="89"/>
      <c r="R10" s="21"/>
      <c r="S10" s="16"/>
      <c r="T10" s="89"/>
      <c r="U10" s="16"/>
      <c r="V10" s="16"/>
      <c r="W10" s="16"/>
      <c r="X10" s="16"/>
      <c r="Y10" s="16"/>
      <c r="Z10" s="16"/>
      <c r="AA10" s="89"/>
      <c r="AB10" s="89"/>
      <c r="AC10" s="20"/>
      <c r="AD10" s="20"/>
      <c r="AE10" s="20"/>
      <c r="AF10" s="20"/>
    </row>
    <row r="11" customFormat="false" ht="15.75" hidden="false" customHeight="false" outlineLevel="0" collapsed="false">
      <c r="A11" s="16" t="s">
        <v>42</v>
      </c>
      <c r="B11" s="16" t="s">
        <v>2667</v>
      </c>
      <c r="C11" s="71" t="s">
        <v>2686</v>
      </c>
      <c r="D11" s="72" t="s">
        <v>2687</v>
      </c>
      <c r="E11" s="16" t="s">
        <v>2688</v>
      </c>
      <c r="F11" s="16" t="n">
        <v>1991.65</v>
      </c>
      <c r="G11" s="16" t="n">
        <v>345</v>
      </c>
      <c r="H11" s="16" t="n">
        <v>2038</v>
      </c>
      <c r="I11" s="16" t="n">
        <v>1054</v>
      </c>
      <c r="J11" s="16" t="n">
        <v>984</v>
      </c>
      <c r="K11" s="16" t="n">
        <v>678</v>
      </c>
      <c r="L11" s="19" t="n">
        <f aca="false">(K11/H11)*100</f>
        <v>33.2679097154073</v>
      </c>
      <c r="M11" s="16" t="n">
        <v>123</v>
      </c>
      <c r="N11" s="19" t="n">
        <f aca="false">(M11/H11)*100</f>
        <v>6.03532875368008</v>
      </c>
      <c r="O11" s="16" t="n">
        <v>558.28</v>
      </c>
      <c r="P11" s="16" t="n">
        <v>0</v>
      </c>
      <c r="Q11" s="247" t="s">
        <v>50</v>
      </c>
      <c r="R11" s="74" t="n">
        <v>44599</v>
      </c>
      <c r="S11" s="16"/>
      <c r="T11" s="76" t="n">
        <v>276.45</v>
      </c>
      <c r="U11" s="16"/>
      <c r="V11" s="16"/>
      <c r="W11" s="16"/>
      <c r="X11" s="16"/>
      <c r="Y11" s="16"/>
      <c r="Z11" s="16"/>
      <c r="AA11" s="247" t="s">
        <v>50</v>
      </c>
      <c r="AB11" s="76" t="n">
        <v>8</v>
      </c>
      <c r="AC11" s="94" t="s">
        <v>2689</v>
      </c>
      <c r="AD11" s="250" t="n">
        <v>26.802557</v>
      </c>
      <c r="AE11" s="250" t="n">
        <v>72.811567</v>
      </c>
      <c r="AF11" s="20"/>
    </row>
    <row r="12" customFormat="false" ht="15.75" hidden="false" customHeight="false" outlineLevel="0" collapsed="false">
      <c r="A12" s="16" t="s">
        <v>42</v>
      </c>
      <c r="B12" s="16" t="s">
        <v>2667</v>
      </c>
      <c r="C12" s="71" t="s">
        <v>2686</v>
      </c>
      <c r="D12" s="16" t="s">
        <v>2690</v>
      </c>
      <c r="E12" s="16" t="s">
        <v>2691</v>
      </c>
      <c r="F12" s="16" t="n">
        <v>450.36</v>
      </c>
      <c r="G12" s="16" t="n">
        <v>84</v>
      </c>
      <c r="H12" s="16" t="n">
        <v>603</v>
      </c>
      <c r="I12" s="16" t="n">
        <v>324</v>
      </c>
      <c r="J12" s="16" t="n">
        <v>279</v>
      </c>
      <c r="K12" s="16" t="n">
        <v>354</v>
      </c>
      <c r="L12" s="19" t="n">
        <f aca="false">(K12/H12)*100</f>
        <v>58.7064676616915</v>
      </c>
      <c r="M12" s="16" t="n">
        <v>0</v>
      </c>
      <c r="N12" s="19" t="n">
        <f aca="false">(M12/H12)*100</f>
        <v>0</v>
      </c>
      <c r="O12" s="16" t="n">
        <v>0</v>
      </c>
      <c r="P12" s="16" t="n">
        <v>0</v>
      </c>
      <c r="Q12" s="89" t="s">
        <v>49</v>
      </c>
      <c r="R12" s="34" t="n">
        <v>45201</v>
      </c>
      <c r="S12" s="16"/>
      <c r="T12" s="89" t="n">
        <v>2.5657</v>
      </c>
      <c r="U12" s="16"/>
      <c r="V12" s="16"/>
      <c r="W12" s="16"/>
      <c r="X12" s="16"/>
      <c r="Y12" s="16"/>
      <c r="Z12" s="16"/>
      <c r="AA12" s="89" t="s">
        <v>50</v>
      </c>
      <c r="AB12" s="89" t="n">
        <v>0</v>
      </c>
      <c r="AC12" s="36"/>
      <c r="AD12" s="20"/>
      <c r="AE12" s="20"/>
      <c r="AF12" s="20"/>
    </row>
    <row r="13" customFormat="false" ht="15.75" hidden="false" customHeight="false" outlineLevel="0" collapsed="false">
      <c r="A13" s="16" t="s">
        <v>42</v>
      </c>
      <c r="B13" s="16" t="s">
        <v>2667</v>
      </c>
      <c r="C13" s="71" t="s">
        <v>2692</v>
      </c>
      <c r="D13" s="72" t="s">
        <v>2693</v>
      </c>
      <c r="E13" s="16" t="s">
        <v>2694</v>
      </c>
      <c r="F13" s="16" t="n">
        <v>2157.74</v>
      </c>
      <c r="G13" s="16" t="n">
        <v>338</v>
      </c>
      <c r="H13" s="16" t="n">
        <v>2041</v>
      </c>
      <c r="I13" s="16" t="n">
        <v>1085</v>
      </c>
      <c r="J13" s="16" t="n">
        <v>956</v>
      </c>
      <c r="K13" s="16" t="n">
        <v>969</v>
      </c>
      <c r="L13" s="19" t="n">
        <f aca="false">(K13/H13)*100</f>
        <v>47.4767270945615</v>
      </c>
      <c r="M13" s="16" t="n">
        <v>0</v>
      </c>
      <c r="N13" s="19" t="n">
        <f aca="false">(M13/H13)*100</f>
        <v>0</v>
      </c>
      <c r="O13" s="16" t="n">
        <v>146</v>
      </c>
      <c r="P13" s="16" t="n">
        <v>0</v>
      </c>
      <c r="Q13" s="247" t="s">
        <v>50</v>
      </c>
      <c r="R13" s="82" t="n">
        <v>44599</v>
      </c>
      <c r="S13" s="16"/>
      <c r="T13" s="84" t="n">
        <v>149</v>
      </c>
      <c r="U13" s="16"/>
      <c r="V13" s="16"/>
      <c r="W13" s="16"/>
      <c r="X13" s="16"/>
      <c r="Y13" s="16"/>
      <c r="Z13" s="16"/>
      <c r="AA13" s="247" t="s">
        <v>50</v>
      </c>
      <c r="AB13" s="84" t="n">
        <v>1</v>
      </c>
      <c r="AC13" s="85" t="s">
        <v>2695</v>
      </c>
      <c r="AD13" s="264"/>
      <c r="AE13" s="312"/>
      <c r="AF13" s="20"/>
    </row>
    <row r="14" customFormat="false" ht="15.75" hidden="false" customHeight="false" outlineLevel="0" collapsed="false">
      <c r="A14" s="16" t="s">
        <v>42</v>
      </c>
      <c r="B14" s="16" t="s">
        <v>2667</v>
      </c>
      <c r="C14" s="71" t="s">
        <v>2692</v>
      </c>
      <c r="D14" s="16" t="s">
        <v>2696</v>
      </c>
      <c r="E14" s="16" t="s">
        <v>2697</v>
      </c>
      <c r="F14" s="16" t="n">
        <v>708.26</v>
      </c>
      <c r="G14" s="16" t="n">
        <v>97</v>
      </c>
      <c r="H14" s="16" t="n">
        <v>584</v>
      </c>
      <c r="I14" s="16" t="n">
        <v>304</v>
      </c>
      <c r="J14" s="16" t="n">
        <v>280</v>
      </c>
      <c r="K14" s="16" t="n">
        <v>124</v>
      </c>
      <c r="L14" s="19" t="n">
        <f aca="false">(K14/H14)*100</f>
        <v>21.2328767123288</v>
      </c>
      <c r="M14" s="16" t="n">
        <v>0</v>
      </c>
      <c r="N14" s="19" t="n">
        <f aca="false">(M14/H14)*100</f>
        <v>0</v>
      </c>
      <c r="O14" s="16" t="n">
        <v>0</v>
      </c>
      <c r="P14" s="16" t="n">
        <v>0</v>
      </c>
      <c r="Q14" s="92" t="s">
        <v>49</v>
      </c>
      <c r="R14" s="25" t="n">
        <v>44628</v>
      </c>
      <c r="S14" s="16"/>
      <c r="T14" s="92"/>
      <c r="U14" s="16"/>
      <c r="V14" s="16"/>
      <c r="W14" s="16"/>
      <c r="X14" s="16"/>
      <c r="Y14" s="16"/>
      <c r="Z14" s="16"/>
      <c r="AA14" s="92" t="s">
        <v>50</v>
      </c>
      <c r="AB14" s="92" t="n">
        <v>3</v>
      </c>
      <c r="AC14" s="129" t="s">
        <v>276</v>
      </c>
      <c r="AD14" s="24" t="n">
        <v>26.832977</v>
      </c>
      <c r="AE14" s="24" t="n">
        <v>72.881532</v>
      </c>
      <c r="AF14" s="20"/>
    </row>
    <row r="15" customFormat="false" ht="15.75" hidden="false" customHeight="false" outlineLevel="0" collapsed="false">
      <c r="A15" s="16" t="s">
        <v>42</v>
      </c>
      <c r="B15" s="16" t="s">
        <v>2667</v>
      </c>
      <c r="C15" s="71" t="s">
        <v>2692</v>
      </c>
      <c r="D15" s="16" t="s">
        <v>2698</v>
      </c>
      <c r="E15" s="16" t="s">
        <v>2699</v>
      </c>
      <c r="F15" s="16" t="n">
        <v>1131.09</v>
      </c>
      <c r="G15" s="16" t="n">
        <v>116</v>
      </c>
      <c r="H15" s="16" t="n">
        <v>797</v>
      </c>
      <c r="I15" s="16" t="n">
        <v>417</v>
      </c>
      <c r="J15" s="16" t="n">
        <v>380</v>
      </c>
      <c r="K15" s="16" t="n">
        <v>163</v>
      </c>
      <c r="L15" s="19" t="n">
        <f aca="false">(K15/H15)*100</f>
        <v>20.4516938519448</v>
      </c>
      <c r="M15" s="16" t="n">
        <v>0</v>
      </c>
      <c r="N15" s="19" t="n">
        <f aca="false">(M15/H15)*100</f>
        <v>0</v>
      </c>
      <c r="O15" s="16" t="n">
        <v>402.72</v>
      </c>
      <c r="P15" s="16" t="n">
        <v>0</v>
      </c>
      <c r="Q15" s="92" t="s">
        <v>49</v>
      </c>
      <c r="R15" s="25" t="n">
        <v>44630</v>
      </c>
      <c r="S15" s="16"/>
      <c r="T15" s="92" t="n">
        <v>266.4773</v>
      </c>
      <c r="U15" s="16"/>
      <c r="V15" s="16"/>
      <c r="W15" s="16"/>
      <c r="X15" s="16"/>
      <c r="Y15" s="16"/>
      <c r="Z15" s="16"/>
      <c r="AA15" s="92" t="s">
        <v>266</v>
      </c>
      <c r="AB15" s="92" t="n">
        <v>30</v>
      </c>
      <c r="AC15" s="129" t="s">
        <v>2700</v>
      </c>
      <c r="AD15" s="24" t="n">
        <v>26.838733</v>
      </c>
      <c r="AE15" s="24" t="n">
        <v>72.819818</v>
      </c>
      <c r="AF15" s="20"/>
    </row>
    <row r="16" customFormat="false" ht="17.25" hidden="false" customHeight="false" outlineLevel="0" collapsed="false">
      <c r="A16" s="16" t="s">
        <v>42</v>
      </c>
      <c r="B16" s="16" t="s">
        <v>2667</v>
      </c>
      <c r="C16" s="71" t="s">
        <v>2701</v>
      </c>
      <c r="D16" s="72" t="s">
        <v>2702</v>
      </c>
      <c r="E16" s="16" t="s">
        <v>2703</v>
      </c>
      <c r="F16" s="16" t="n">
        <v>1241</v>
      </c>
      <c r="G16" s="16" t="n">
        <v>327</v>
      </c>
      <c r="H16" s="16" t="n">
        <v>1689</v>
      </c>
      <c r="I16" s="16" t="n">
        <v>895</v>
      </c>
      <c r="J16" s="16" t="n">
        <v>794</v>
      </c>
      <c r="K16" s="16" t="n">
        <v>0</v>
      </c>
      <c r="L16" s="19" t="n">
        <f aca="false">(K16/H16)*100</f>
        <v>0</v>
      </c>
      <c r="M16" s="16" t="n">
        <v>0</v>
      </c>
      <c r="N16" s="19" t="n">
        <f aca="false">(M16/H16)*100</f>
        <v>0</v>
      </c>
      <c r="O16" s="16" t="n">
        <v>80</v>
      </c>
      <c r="P16" s="16" t="n">
        <v>0</v>
      </c>
      <c r="Q16" s="286" t="s">
        <v>49</v>
      </c>
      <c r="R16" s="46" t="n">
        <v>45903</v>
      </c>
      <c r="S16" s="16"/>
      <c r="T16" s="119" t="n">
        <v>153.76</v>
      </c>
      <c r="U16" s="16"/>
      <c r="V16" s="16"/>
      <c r="W16" s="16"/>
      <c r="X16" s="16"/>
      <c r="Y16" s="16"/>
      <c r="Z16" s="16"/>
      <c r="AA16" s="119" t="s">
        <v>50</v>
      </c>
      <c r="AB16" s="119" t="n">
        <v>10</v>
      </c>
      <c r="AC16" s="333" t="s">
        <v>2704</v>
      </c>
      <c r="AD16" s="45"/>
      <c r="AE16" s="45"/>
      <c r="AF16" s="20" t="s">
        <v>52</v>
      </c>
    </row>
    <row r="17" customFormat="false" ht="17.25" hidden="false" customHeight="false" outlineLevel="0" collapsed="false">
      <c r="A17" s="16" t="s">
        <v>42</v>
      </c>
      <c r="B17" s="16" t="s">
        <v>2667</v>
      </c>
      <c r="C17" s="71" t="s">
        <v>2701</v>
      </c>
      <c r="D17" s="16" t="s">
        <v>2705</v>
      </c>
      <c r="E17" s="16" t="s">
        <v>2706</v>
      </c>
      <c r="F17" s="16" t="n">
        <v>1206</v>
      </c>
      <c r="G17" s="16" t="n">
        <v>177</v>
      </c>
      <c r="H17" s="16" t="n">
        <v>1133</v>
      </c>
      <c r="I17" s="16" t="n">
        <v>577</v>
      </c>
      <c r="J17" s="16" t="n">
        <v>556</v>
      </c>
      <c r="K17" s="16" t="n">
        <v>0</v>
      </c>
      <c r="L17" s="19" t="n">
        <f aca="false">(K17/H17)*100</f>
        <v>0</v>
      </c>
      <c r="M17" s="16" t="n">
        <v>0</v>
      </c>
      <c r="N17" s="19" t="n">
        <f aca="false">(M17/H17)*100</f>
        <v>0</v>
      </c>
      <c r="O17" s="16" t="n">
        <v>0</v>
      </c>
      <c r="P17" s="16" t="n">
        <v>0</v>
      </c>
      <c r="Q17" s="286" t="s">
        <v>49</v>
      </c>
      <c r="R17" s="46" t="n">
        <v>45903</v>
      </c>
      <c r="S17" s="16"/>
      <c r="T17" s="119" t="n">
        <v>100.39</v>
      </c>
      <c r="U17" s="16"/>
      <c r="V17" s="16"/>
      <c r="W17" s="16"/>
      <c r="X17" s="16"/>
      <c r="Y17" s="16"/>
      <c r="Z17" s="16"/>
      <c r="AA17" s="119" t="s">
        <v>50</v>
      </c>
      <c r="AB17" s="119" t="n">
        <v>10</v>
      </c>
      <c r="AC17" s="333" t="s">
        <v>2707</v>
      </c>
      <c r="AD17" s="45"/>
      <c r="AE17" s="45"/>
      <c r="AF17" s="20" t="s">
        <v>52</v>
      </c>
    </row>
    <row r="18" customFormat="false" ht="17.25" hidden="false" customHeight="false" outlineLevel="0" collapsed="false">
      <c r="A18" s="16" t="s">
        <v>42</v>
      </c>
      <c r="B18" s="16" t="s">
        <v>2667</v>
      </c>
      <c r="C18" s="71" t="s">
        <v>2701</v>
      </c>
      <c r="D18" s="16" t="s">
        <v>2708</v>
      </c>
      <c r="E18" s="16" t="s">
        <v>2709</v>
      </c>
      <c r="F18" s="16" t="n">
        <v>741</v>
      </c>
      <c r="G18" s="16" t="n">
        <v>291</v>
      </c>
      <c r="H18" s="16" t="n">
        <v>1656</v>
      </c>
      <c r="I18" s="16" t="n">
        <v>857</v>
      </c>
      <c r="J18" s="16" t="n">
        <v>799</v>
      </c>
      <c r="K18" s="16" t="n">
        <v>156</v>
      </c>
      <c r="L18" s="19" t="n">
        <f aca="false">(K18/H18)*100</f>
        <v>9.42028985507247</v>
      </c>
      <c r="M18" s="16" t="n">
        <v>13</v>
      </c>
      <c r="N18" s="19" t="n">
        <f aca="false">(M18/H18)*100</f>
        <v>0.785024154589372</v>
      </c>
      <c r="O18" s="16" t="n">
        <v>1</v>
      </c>
      <c r="P18" s="16" t="n">
        <v>0</v>
      </c>
      <c r="Q18" s="286" t="s">
        <v>49</v>
      </c>
      <c r="R18" s="46" t="n">
        <v>45903</v>
      </c>
      <c r="S18" s="16"/>
      <c r="T18" s="119" t="n">
        <v>61.47</v>
      </c>
      <c r="U18" s="16"/>
      <c r="V18" s="16"/>
      <c r="W18" s="16"/>
      <c r="X18" s="16"/>
      <c r="Y18" s="16"/>
      <c r="Z18" s="16"/>
      <c r="AA18" s="119" t="s">
        <v>50</v>
      </c>
      <c r="AB18" s="119" t="n">
        <v>7</v>
      </c>
      <c r="AC18" s="333" t="s">
        <v>2710</v>
      </c>
      <c r="AD18" s="45" t="n">
        <v>27.1323</v>
      </c>
      <c r="AE18" s="45" t="n">
        <v>72.5587</v>
      </c>
      <c r="AF18" s="20" t="s">
        <v>52</v>
      </c>
    </row>
    <row r="19" customFormat="false" ht="15.75" hidden="false" customHeight="false" outlineLevel="0" collapsed="false">
      <c r="A19" s="16" t="s">
        <v>42</v>
      </c>
      <c r="B19" s="16" t="s">
        <v>2667</v>
      </c>
      <c r="C19" s="71" t="s">
        <v>2711</v>
      </c>
      <c r="D19" s="72" t="s">
        <v>2712</v>
      </c>
      <c r="E19" s="16" t="s">
        <v>2713</v>
      </c>
      <c r="F19" s="16" t="n">
        <v>952.22</v>
      </c>
      <c r="G19" s="16" t="n">
        <v>214</v>
      </c>
      <c r="H19" s="16" t="n">
        <v>1091</v>
      </c>
      <c r="I19" s="16" t="n">
        <v>571</v>
      </c>
      <c r="J19" s="16" t="n">
        <v>520</v>
      </c>
      <c r="K19" s="16" t="n">
        <v>1</v>
      </c>
      <c r="L19" s="19" t="n">
        <f aca="false">(K19/H19)*100</f>
        <v>0.0916590284142988</v>
      </c>
      <c r="M19" s="16" t="n">
        <v>0</v>
      </c>
      <c r="N19" s="19" t="n">
        <f aca="false">(M19/H19)*100</f>
        <v>0</v>
      </c>
      <c r="O19" s="16" t="n">
        <v>33.05</v>
      </c>
      <c r="P19" s="16" t="n">
        <v>0</v>
      </c>
      <c r="Q19" s="89" t="s">
        <v>49</v>
      </c>
      <c r="R19" s="356" t="n">
        <v>45698</v>
      </c>
      <c r="S19" s="16"/>
      <c r="T19" s="89"/>
      <c r="U19" s="16"/>
      <c r="V19" s="16"/>
      <c r="W19" s="16"/>
      <c r="X19" s="16"/>
      <c r="Y19" s="16"/>
      <c r="Z19" s="16"/>
      <c r="AA19" s="89" t="s">
        <v>50</v>
      </c>
      <c r="AB19" s="89" t="n">
        <v>15</v>
      </c>
      <c r="AC19" s="36" t="s">
        <v>2714</v>
      </c>
      <c r="AD19" s="95" t="n">
        <v>26.909624</v>
      </c>
      <c r="AE19" s="95" t="n">
        <v>72.44901</v>
      </c>
      <c r="AF19" s="20" t="s">
        <v>52</v>
      </c>
    </row>
    <row r="20" customFormat="false" ht="15.75" hidden="false" customHeight="false" outlineLevel="0" collapsed="false">
      <c r="A20" s="16" t="s">
        <v>42</v>
      </c>
      <c r="B20" s="16" t="s">
        <v>2667</v>
      </c>
      <c r="C20" s="71" t="s">
        <v>2711</v>
      </c>
      <c r="D20" s="16" t="s">
        <v>2715</v>
      </c>
      <c r="E20" s="16" t="s">
        <v>2716</v>
      </c>
      <c r="F20" s="16" t="n">
        <v>612.04</v>
      </c>
      <c r="G20" s="16" t="n">
        <v>132</v>
      </c>
      <c r="H20" s="16" t="n">
        <v>738</v>
      </c>
      <c r="I20" s="16" t="n">
        <v>394</v>
      </c>
      <c r="J20" s="16" t="n">
        <v>344</v>
      </c>
      <c r="K20" s="16" t="n">
        <v>121</v>
      </c>
      <c r="L20" s="19" t="n">
        <f aca="false">(K20/H20)*100</f>
        <v>16.3956639566396</v>
      </c>
      <c r="M20" s="16" t="n">
        <v>0</v>
      </c>
      <c r="N20" s="19" t="n">
        <f aca="false">(M20/H20)*100</f>
        <v>0</v>
      </c>
      <c r="O20" s="16" t="n">
        <v>2.98</v>
      </c>
      <c r="P20" s="16" t="n">
        <v>0</v>
      </c>
      <c r="Q20" s="89"/>
      <c r="R20" s="21"/>
      <c r="S20" s="16"/>
      <c r="T20" s="89"/>
      <c r="U20" s="16"/>
      <c r="V20" s="16"/>
      <c r="W20" s="16"/>
      <c r="X20" s="16"/>
      <c r="Y20" s="16"/>
      <c r="Z20" s="16"/>
      <c r="AA20" s="89"/>
      <c r="AB20" s="89"/>
      <c r="AC20" s="20"/>
      <c r="AD20" s="20"/>
      <c r="AE20" s="20"/>
      <c r="AF20" s="20"/>
    </row>
    <row r="21" customFormat="false" ht="15.75" hidden="false" customHeight="false" outlineLevel="0" collapsed="false">
      <c r="A21" s="16" t="s">
        <v>42</v>
      </c>
      <c r="B21" s="16" t="s">
        <v>2667</v>
      </c>
      <c r="C21" s="71" t="s">
        <v>2711</v>
      </c>
      <c r="D21" s="16" t="s">
        <v>2717</v>
      </c>
      <c r="E21" s="16" t="s">
        <v>2718</v>
      </c>
      <c r="F21" s="16" t="n">
        <v>367.41</v>
      </c>
      <c r="G21" s="16" t="n">
        <v>84</v>
      </c>
      <c r="H21" s="16" t="n">
        <v>463</v>
      </c>
      <c r="I21" s="16" t="n">
        <v>242</v>
      </c>
      <c r="J21" s="16" t="n">
        <v>221</v>
      </c>
      <c r="K21" s="16" t="n">
        <v>0</v>
      </c>
      <c r="L21" s="19" t="n">
        <f aca="false">(K21/H21)*100</f>
        <v>0</v>
      </c>
      <c r="M21" s="16" t="n">
        <v>0</v>
      </c>
      <c r="N21" s="19" t="n">
        <f aca="false">(M21/H21)*100</f>
        <v>0</v>
      </c>
      <c r="O21" s="16" t="n">
        <v>7.95</v>
      </c>
      <c r="P21" s="16" t="n">
        <v>0</v>
      </c>
      <c r="Q21" s="89"/>
      <c r="R21" s="21"/>
      <c r="S21" s="16"/>
      <c r="T21" s="89"/>
      <c r="U21" s="16"/>
      <c r="V21" s="16"/>
      <c r="W21" s="16"/>
      <c r="X21" s="16"/>
      <c r="Y21" s="16"/>
      <c r="Z21" s="16"/>
      <c r="AA21" s="89"/>
      <c r="AB21" s="89"/>
      <c r="AC21" s="20"/>
      <c r="AD21" s="20"/>
      <c r="AE21" s="20"/>
      <c r="AF21" s="20"/>
    </row>
    <row r="22" customFormat="false" ht="15.75" hidden="false" customHeight="false" outlineLevel="0" collapsed="false">
      <c r="A22" s="16" t="s">
        <v>42</v>
      </c>
      <c r="B22" s="16" t="s">
        <v>2667</v>
      </c>
      <c r="C22" s="71" t="s">
        <v>2711</v>
      </c>
      <c r="D22" s="16" t="s">
        <v>438</v>
      </c>
      <c r="E22" s="16" t="s">
        <v>2719</v>
      </c>
      <c r="F22" s="16" t="n">
        <v>707.93</v>
      </c>
      <c r="G22" s="16" t="n">
        <v>125</v>
      </c>
      <c r="H22" s="16" t="n">
        <v>705</v>
      </c>
      <c r="I22" s="16" t="n">
        <v>383</v>
      </c>
      <c r="J22" s="16" t="n">
        <v>322</v>
      </c>
      <c r="K22" s="16" t="n">
        <v>0</v>
      </c>
      <c r="L22" s="19" t="n">
        <f aca="false">(K22/H22)*100</f>
        <v>0</v>
      </c>
      <c r="M22" s="16" t="n">
        <v>0</v>
      </c>
      <c r="N22" s="19" t="n">
        <f aca="false">(M22/H22)*100</f>
        <v>0</v>
      </c>
      <c r="O22" s="16" t="n">
        <v>39</v>
      </c>
      <c r="P22" s="16" t="n">
        <v>0</v>
      </c>
      <c r="Q22" s="89"/>
      <c r="R22" s="21"/>
      <c r="S22" s="16"/>
      <c r="T22" s="89"/>
      <c r="U22" s="16"/>
      <c r="V22" s="16"/>
      <c r="W22" s="16"/>
      <c r="X22" s="16"/>
      <c r="Y22" s="16"/>
      <c r="Z22" s="16"/>
      <c r="AA22" s="89"/>
      <c r="AB22" s="89"/>
      <c r="AC22" s="20"/>
      <c r="AD22" s="20"/>
      <c r="AE22" s="20"/>
      <c r="AF22" s="20"/>
    </row>
    <row r="23" customFormat="false" ht="15.75" hidden="false" customHeight="false" outlineLevel="0" collapsed="false">
      <c r="A23" s="16" t="s">
        <v>42</v>
      </c>
      <c r="B23" s="16" t="s">
        <v>2667</v>
      </c>
      <c r="C23" s="71" t="s">
        <v>2720</v>
      </c>
      <c r="D23" s="72" t="s">
        <v>2720</v>
      </c>
      <c r="E23" s="16" t="s">
        <v>2721</v>
      </c>
      <c r="F23" s="16" t="n">
        <v>1948.62</v>
      </c>
      <c r="G23" s="16" t="n">
        <v>375</v>
      </c>
      <c r="H23" s="16" t="n">
        <v>2421</v>
      </c>
      <c r="I23" s="16" t="n">
        <v>1286</v>
      </c>
      <c r="J23" s="16" t="n">
        <v>1135</v>
      </c>
      <c r="K23" s="16" t="n">
        <v>578</v>
      </c>
      <c r="L23" s="19" t="n">
        <f aca="false">(K23/H23)*100</f>
        <v>23.8744320528707</v>
      </c>
      <c r="M23" s="16" t="n">
        <v>0</v>
      </c>
      <c r="N23" s="19" t="n">
        <f aca="false">(M23/H23)*100</f>
        <v>0</v>
      </c>
      <c r="O23" s="16" t="n">
        <v>8</v>
      </c>
      <c r="P23" s="16" t="n">
        <v>0</v>
      </c>
      <c r="Q23" s="89"/>
      <c r="R23" s="21"/>
      <c r="S23" s="16"/>
      <c r="T23" s="89"/>
      <c r="U23" s="16"/>
      <c r="V23" s="16"/>
      <c r="W23" s="16"/>
      <c r="X23" s="16"/>
      <c r="Y23" s="16"/>
      <c r="Z23" s="16"/>
      <c r="AA23" s="89"/>
      <c r="AB23" s="89"/>
      <c r="AC23" s="20"/>
      <c r="AD23" s="20"/>
      <c r="AE23" s="20"/>
      <c r="AF23" s="20"/>
    </row>
    <row r="24" customFormat="false" ht="15.75" hidden="false" customHeight="false" outlineLevel="0" collapsed="false">
      <c r="A24" s="16" t="s">
        <v>42</v>
      </c>
      <c r="B24" s="16" t="s">
        <v>2667</v>
      </c>
      <c r="C24" s="71" t="s">
        <v>2722</v>
      </c>
      <c r="D24" s="72" t="s">
        <v>2723</v>
      </c>
      <c r="E24" s="16" t="s">
        <v>2724</v>
      </c>
      <c r="F24" s="16" t="n">
        <v>1579.03</v>
      </c>
      <c r="G24" s="16" t="n">
        <v>459</v>
      </c>
      <c r="H24" s="16" t="n">
        <v>2181</v>
      </c>
      <c r="I24" s="16" t="n">
        <v>1155</v>
      </c>
      <c r="J24" s="16" t="n">
        <v>1026</v>
      </c>
      <c r="K24" s="16" t="n">
        <v>1013</v>
      </c>
      <c r="L24" s="19" t="n">
        <f aca="false">(K24/H24)*100</f>
        <v>46.4465841357176</v>
      </c>
      <c r="M24" s="16" t="n">
        <v>22</v>
      </c>
      <c r="N24" s="19" t="n">
        <f aca="false">(M24/H24)*100</f>
        <v>1.0087116001834</v>
      </c>
      <c r="O24" s="16" t="n">
        <v>36.05</v>
      </c>
      <c r="P24" s="16" t="n">
        <v>45.92</v>
      </c>
      <c r="Q24" s="89" t="s">
        <v>49</v>
      </c>
      <c r="R24" s="34" t="n">
        <v>45201</v>
      </c>
      <c r="S24" s="16"/>
      <c r="T24" s="89" t="n">
        <v>32.3021</v>
      </c>
      <c r="U24" s="16"/>
      <c r="V24" s="16"/>
      <c r="W24" s="16"/>
      <c r="X24" s="16"/>
      <c r="Y24" s="16"/>
      <c r="Z24" s="16"/>
      <c r="AA24" s="89" t="s">
        <v>50</v>
      </c>
      <c r="AB24" s="89" t="n">
        <v>10</v>
      </c>
      <c r="AC24" s="305" t="s">
        <v>2725</v>
      </c>
      <c r="AD24" s="20"/>
      <c r="AE24" s="20"/>
      <c r="AF24" s="20"/>
    </row>
    <row r="25" customFormat="false" ht="15.75" hidden="false" customHeight="false" outlineLevel="0" collapsed="false">
      <c r="A25" s="16" t="s">
        <v>42</v>
      </c>
      <c r="B25" s="16" t="s">
        <v>2667</v>
      </c>
      <c r="C25" s="71" t="s">
        <v>2722</v>
      </c>
      <c r="D25" s="16" t="s">
        <v>2726</v>
      </c>
      <c r="E25" s="16" t="s">
        <v>2727</v>
      </c>
      <c r="F25" s="16" t="n">
        <v>607.98</v>
      </c>
      <c r="G25" s="16" t="n">
        <v>58</v>
      </c>
      <c r="H25" s="16" t="n">
        <v>381</v>
      </c>
      <c r="I25" s="16" t="n">
        <v>205</v>
      </c>
      <c r="J25" s="16" t="n">
        <v>176</v>
      </c>
      <c r="K25" s="16" t="n">
        <v>100</v>
      </c>
      <c r="L25" s="19" t="n">
        <f aca="false">(K25/H25)*100</f>
        <v>26.246719160105</v>
      </c>
      <c r="M25" s="16" t="n">
        <v>0</v>
      </c>
      <c r="N25" s="19" t="n">
        <f aca="false">(M25/H25)*100</f>
        <v>0</v>
      </c>
      <c r="O25" s="16" t="n">
        <v>0</v>
      </c>
      <c r="P25" s="16" t="n">
        <v>0</v>
      </c>
      <c r="Q25" s="89" t="s">
        <v>49</v>
      </c>
      <c r="R25" s="34" t="n">
        <v>45201</v>
      </c>
      <c r="S25" s="16"/>
      <c r="T25" s="89" t="n">
        <v>0</v>
      </c>
      <c r="U25" s="16"/>
      <c r="V25" s="16"/>
      <c r="W25" s="16"/>
      <c r="X25" s="16"/>
      <c r="Y25" s="16"/>
      <c r="Z25" s="16"/>
      <c r="AA25" s="89" t="s">
        <v>50</v>
      </c>
      <c r="AB25" s="89" t="n">
        <v>0</v>
      </c>
      <c r="AC25" s="36"/>
      <c r="AD25" s="20" t="n">
        <v>0</v>
      </c>
      <c r="AE25" s="20" t="n">
        <v>0</v>
      </c>
      <c r="AF25" s="20"/>
    </row>
    <row r="26" customFormat="false" ht="15.75" hidden="false" customHeight="false" outlineLevel="0" collapsed="false">
      <c r="A26" s="16" t="s">
        <v>42</v>
      </c>
      <c r="B26" s="16" t="s">
        <v>2667</v>
      </c>
      <c r="C26" s="71" t="s">
        <v>2722</v>
      </c>
      <c r="D26" s="16" t="s">
        <v>2728</v>
      </c>
      <c r="E26" s="16" t="s">
        <v>2729</v>
      </c>
      <c r="F26" s="16" t="n">
        <v>467.9</v>
      </c>
      <c r="G26" s="16" t="n">
        <v>100</v>
      </c>
      <c r="H26" s="16" t="n">
        <v>491</v>
      </c>
      <c r="I26" s="16" t="n">
        <v>262</v>
      </c>
      <c r="J26" s="16" t="n">
        <v>229</v>
      </c>
      <c r="K26" s="16" t="n">
        <v>419</v>
      </c>
      <c r="L26" s="19" t="n">
        <f aca="false">(K26/H26)*100</f>
        <v>85.3360488798371</v>
      </c>
      <c r="M26" s="16" t="n">
        <v>0</v>
      </c>
      <c r="N26" s="19" t="n">
        <f aca="false">(M26/H26)*100</f>
        <v>0</v>
      </c>
      <c r="O26" s="16" t="n">
        <v>0</v>
      </c>
      <c r="P26" s="16" t="n">
        <v>16</v>
      </c>
      <c r="Q26" s="89" t="s">
        <v>49</v>
      </c>
      <c r="R26" s="34" t="n">
        <v>45201</v>
      </c>
      <c r="S26" s="16"/>
      <c r="T26" s="89" t="n">
        <v>0</v>
      </c>
      <c r="U26" s="16"/>
      <c r="V26" s="16"/>
      <c r="W26" s="16"/>
      <c r="X26" s="16"/>
      <c r="Y26" s="16"/>
      <c r="Z26" s="16"/>
      <c r="AA26" s="89" t="s">
        <v>50</v>
      </c>
      <c r="AB26" s="89" t="n">
        <v>0</v>
      </c>
      <c r="AC26" s="36"/>
      <c r="AD26" s="20" t="n">
        <v>0</v>
      </c>
      <c r="AE26" s="20" t="n">
        <v>0</v>
      </c>
      <c r="AF26" s="20"/>
    </row>
    <row r="27" customFormat="false" ht="17.25" hidden="false" customHeight="false" outlineLevel="0" collapsed="false">
      <c r="A27" s="16" t="s">
        <v>42</v>
      </c>
      <c r="B27" s="16" t="s">
        <v>2667</v>
      </c>
      <c r="C27" s="71" t="s">
        <v>2730</v>
      </c>
      <c r="D27" s="72" t="s">
        <v>2731</v>
      </c>
      <c r="E27" s="16" t="s">
        <v>2732</v>
      </c>
      <c r="F27" s="16" t="n">
        <v>976.62</v>
      </c>
      <c r="G27" s="16" t="n">
        <v>254</v>
      </c>
      <c r="H27" s="16" t="n">
        <v>1317</v>
      </c>
      <c r="I27" s="16" t="n">
        <v>710</v>
      </c>
      <c r="J27" s="16" t="n">
        <v>607</v>
      </c>
      <c r="K27" s="16" t="n">
        <v>238</v>
      </c>
      <c r="L27" s="19" t="n">
        <f aca="false">(K27/H27)*100</f>
        <v>18.0713743356112</v>
      </c>
      <c r="M27" s="16" t="n">
        <v>144</v>
      </c>
      <c r="N27" s="19" t="n">
        <f aca="false">(M27/H27)*100</f>
        <v>10.9339407744875</v>
      </c>
      <c r="O27" s="16" t="n">
        <v>80.04</v>
      </c>
      <c r="P27" s="16" t="n">
        <v>0</v>
      </c>
      <c r="Q27" s="89" t="s">
        <v>49</v>
      </c>
      <c r="R27" s="34" t="n">
        <v>45817</v>
      </c>
      <c r="S27" s="16"/>
      <c r="T27" s="89" t="n">
        <v>78.8325</v>
      </c>
      <c r="U27" s="16"/>
      <c r="V27" s="16"/>
      <c r="W27" s="16"/>
      <c r="X27" s="16"/>
      <c r="Y27" s="16"/>
      <c r="Z27" s="16"/>
      <c r="AA27" s="89" t="s">
        <v>50</v>
      </c>
      <c r="AB27" s="89" t="n">
        <v>12</v>
      </c>
      <c r="AC27" s="130" t="s">
        <v>2733</v>
      </c>
      <c r="AD27" s="95" t="n">
        <v>26.907295</v>
      </c>
      <c r="AE27" s="95" t="n">
        <v>72.420955</v>
      </c>
      <c r="AF27" s="20" t="s">
        <v>52</v>
      </c>
    </row>
    <row r="28" customFormat="false" ht="17.25" hidden="false" customHeight="false" outlineLevel="0" collapsed="false">
      <c r="A28" s="16" t="s">
        <v>42</v>
      </c>
      <c r="B28" s="16" t="s">
        <v>2667</v>
      </c>
      <c r="C28" s="71" t="s">
        <v>2730</v>
      </c>
      <c r="D28" s="16" t="s">
        <v>2734</v>
      </c>
      <c r="E28" s="16" t="s">
        <v>2735</v>
      </c>
      <c r="F28" s="16" t="n">
        <v>990</v>
      </c>
      <c r="G28" s="16" t="n">
        <v>179</v>
      </c>
      <c r="H28" s="16" t="n">
        <v>1118</v>
      </c>
      <c r="I28" s="16" t="n">
        <v>578</v>
      </c>
      <c r="J28" s="16" t="n">
        <v>540</v>
      </c>
      <c r="K28" s="16" t="n">
        <v>0</v>
      </c>
      <c r="L28" s="19" t="n">
        <f aca="false">(K28/H28)*100</f>
        <v>0</v>
      </c>
      <c r="M28" s="16" t="n">
        <v>0</v>
      </c>
      <c r="N28" s="19" t="n">
        <f aca="false">(M28/H28)*100</f>
        <v>0</v>
      </c>
      <c r="O28" s="16" t="n">
        <v>0</v>
      </c>
      <c r="P28" s="16" t="n">
        <v>0</v>
      </c>
      <c r="Q28" s="89" t="s">
        <v>49</v>
      </c>
      <c r="R28" s="34" t="n">
        <v>45817</v>
      </c>
      <c r="S28" s="16"/>
      <c r="T28" s="89"/>
      <c r="U28" s="16"/>
      <c r="V28" s="16"/>
      <c r="W28" s="16"/>
      <c r="X28" s="16"/>
      <c r="Y28" s="16"/>
      <c r="Z28" s="16"/>
      <c r="AA28" s="89" t="s">
        <v>50</v>
      </c>
      <c r="AB28" s="89" t="n">
        <v>12</v>
      </c>
      <c r="AC28" s="357" t="s">
        <v>2736</v>
      </c>
      <c r="AD28" s="95" t="n">
        <v>26.949429</v>
      </c>
      <c r="AE28" s="95" t="n">
        <v>72.453454</v>
      </c>
      <c r="AF28" s="20" t="s">
        <v>52</v>
      </c>
    </row>
    <row r="29" customFormat="false" ht="17.25" hidden="false" customHeight="false" outlineLevel="0" collapsed="false">
      <c r="A29" s="16" t="s">
        <v>42</v>
      </c>
      <c r="B29" s="16" t="s">
        <v>2667</v>
      </c>
      <c r="C29" s="71" t="s">
        <v>2730</v>
      </c>
      <c r="D29" s="16" t="s">
        <v>2737</v>
      </c>
      <c r="E29" s="16" t="s">
        <v>2738</v>
      </c>
      <c r="F29" s="16" t="n">
        <v>499.33</v>
      </c>
      <c r="G29" s="16" t="n">
        <v>113</v>
      </c>
      <c r="H29" s="16" t="n">
        <v>591</v>
      </c>
      <c r="I29" s="16" t="n">
        <v>297</v>
      </c>
      <c r="J29" s="16" t="n">
        <v>294</v>
      </c>
      <c r="K29" s="16" t="n">
        <v>221</v>
      </c>
      <c r="L29" s="19" t="n">
        <f aca="false">(K29/H29)*100</f>
        <v>37.3942470389171</v>
      </c>
      <c r="M29" s="16" t="n">
        <v>83</v>
      </c>
      <c r="N29" s="19" t="n">
        <f aca="false">(M29/H29)*100</f>
        <v>14.0439932318105</v>
      </c>
      <c r="O29" s="16" t="n">
        <v>0</v>
      </c>
      <c r="P29" s="16" t="n">
        <v>0</v>
      </c>
      <c r="Q29" s="89" t="s">
        <v>49</v>
      </c>
      <c r="R29" s="34" t="n">
        <v>45817</v>
      </c>
      <c r="S29" s="16"/>
      <c r="T29" s="89"/>
      <c r="U29" s="16"/>
      <c r="V29" s="16"/>
      <c r="W29" s="16"/>
      <c r="X29" s="16"/>
      <c r="Y29" s="16"/>
      <c r="Z29" s="16"/>
      <c r="AA29" s="89" t="s">
        <v>50</v>
      </c>
      <c r="AB29" s="89" t="n">
        <v>0</v>
      </c>
      <c r="AC29" s="357"/>
      <c r="AD29" s="95" t="n">
        <v>0</v>
      </c>
      <c r="AE29" s="95" t="n">
        <v>0</v>
      </c>
      <c r="AF29" s="20" t="s">
        <v>52</v>
      </c>
    </row>
    <row r="30" customFormat="false" ht="15.75" hidden="false" customHeight="false" outlineLevel="0" collapsed="false">
      <c r="A30" s="16" t="s">
        <v>42</v>
      </c>
      <c r="B30" s="16" t="s">
        <v>2667</v>
      </c>
      <c r="C30" s="71" t="s">
        <v>2739</v>
      </c>
      <c r="D30" s="72" t="s">
        <v>2739</v>
      </c>
      <c r="E30" s="16" t="s">
        <v>2740</v>
      </c>
      <c r="F30" s="16" t="n">
        <v>1360.09</v>
      </c>
      <c r="G30" s="16" t="n">
        <v>245</v>
      </c>
      <c r="H30" s="16" t="n">
        <v>1401</v>
      </c>
      <c r="I30" s="16" t="n">
        <v>726</v>
      </c>
      <c r="J30" s="16" t="n">
        <v>675</v>
      </c>
      <c r="K30" s="16" t="n">
        <v>22</v>
      </c>
      <c r="L30" s="19" t="n">
        <f aca="false">(K30/H30)*100</f>
        <v>1.57030692362598</v>
      </c>
      <c r="M30" s="16" t="n">
        <v>0</v>
      </c>
      <c r="N30" s="19" t="n">
        <f aca="false">(M30/H30)*100</f>
        <v>0</v>
      </c>
      <c r="O30" s="16" t="n">
        <v>0</v>
      </c>
      <c r="P30" s="16" t="n">
        <v>40.01</v>
      </c>
      <c r="Q30" s="89" t="s">
        <v>1052</v>
      </c>
      <c r="R30" s="34" t="n">
        <v>45201</v>
      </c>
      <c r="S30" s="16"/>
      <c r="T30" s="89"/>
      <c r="U30" s="16"/>
      <c r="V30" s="16"/>
      <c r="W30" s="16"/>
      <c r="X30" s="16"/>
      <c r="Y30" s="16"/>
      <c r="Z30" s="16"/>
      <c r="AA30" s="89" t="s">
        <v>50</v>
      </c>
      <c r="AB30" s="89" t="n">
        <v>0</v>
      </c>
      <c r="AC30" s="36"/>
      <c r="AD30" s="20"/>
      <c r="AE30" s="20"/>
      <c r="AF30" s="20"/>
    </row>
    <row r="31" customFormat="false" ht="15.75" hidden="false" customHeight="false" outlineLevel="0" collapsed="false">
      <c r="A31" s="16" t="s">
        <v>42</v>
      </c>
      <c r="B31" s="16" t="s">
        <v>2667</v>
      </c>
      <c r="C31" s="71" t="s">
        <v>2739</v>
      </c>
      <c r="D31" s="16" t="s">
        <v>2741</v>
      </c>
      <c r="E31" s="16" t="s">
        <v>2742</v>
      </c>
      <c r="F31" s="16" t="n">
        <v>626.01</v>
      </c>
      <c r="G31" s="16" t="n">
        <v>114</v>
      </c>
      <c r="H31" s="16" t="n">
        <v>822</v>
      </c>
      <c r="I31" s="16" t="n">
        <v>430</v>
      </c>
      <c r="J31" s="16" t="n">
        <v>392</v>
      </c>
      <c r="K31" s="16" t="n">
        <v>234</v>
      </c>
      <c r="L31" s="19" t="n">
        <f aca="false">(K31/H31)*100</f>
        <v>28.4671532846715</v>
      </c>
      <c r="M31" s="16" t="n">
        <v>59</v>
      </c>
      <c r="N31" s="19" t="n">
        <f aca="false">(M31/H31)*100</f>
        <v>7.17761557177616</v>
      </c>
      <c r="O31" s="16" t="n">
        <v>0</v>
      </c>
      <c r="P31" s="16" t="n">
        <v>0</v>
      </c>
      <c r="Q31" s="89" t="s">
        <v>1052</v>
      </c>
      <c r="R31" s="34" t="n">
        <v>45201</v>
      </c>
      <c r="S31" s="16"/>
      <c r="T31" s="89"/>
      <c r="U31" s="16"/>
      <c r="V31" s="16"/>
      <c r="W31" s="16"/>
      <c r="X31" s="16"/>
      <c r="Y31" s="16"/>
      <c r="Z31" s="16"/>
      <c r="AA31" s="89" t="s">
        <v>50</v>
      </c>
      <c r="AB31" s="89" t="n">
        <v>0</v>
      </c>
      <c r="AC31" s="36"/>
      <c r="AD31" s="20"/>
      <c r="AE31" s="20"/>
      <c r="AF31" s="20"/>
    </row>
    <row r="32" customFormat="false" ht="15.75" hidden="false" customHeight="false" outlineLevel="0" collapsed="false">
      <c r="A32" s="16" t="s">
        <v>42</v>
      </c>
      <c r="B32" s="16" t="s">
        <v>2667</v>
      </c>
      <c r="C32" s="71" t="s">
        <v>2739</v>
      </c>
      <c r="D32" s="16" t="s">
        <v>2743</v>
      </c>
      <c r="E32" s="16" t="s">
        <v>2744</v>
      </c>
      <c r="F32" s="16" t="n">
        <v>843.98</v>
      </c>
      <c r="G32" s="16" t="n">
        <v>108</v>
      </c>
      <c r="H32" s="16" t="n">
        <v>657</v>
      </c>
      <c r="I32" s="16" t="n">
        <v>329</v>
      </c>
      <c r="J32" s="16" t="n">
        <v>328</v>
      </c>
      <c r="K32" s="16" t="n">
        <v>0</v>
      </c>
      <c r="L32" s="19" t="n">
        <f aca="false">(K32/H32)*100</f>
        <v>0</v>
      </c>
      <c r="M32" s="16" t="n">
        <v>0</v>
      </c>
      <c r="N32" s="19" t="n">
        <f aca="false">(M32/H32)*100</f>
        <v>0</v>
      </c>
      <c r="O32" s="16" t="n">
        <v>0</v>
      </c>
      <c r="P32" s="16" t="n">
        <v>0</v>
      </c>
      <c r="Q32" s="89" t="s">
        <v>1052</v>
      </c>
      <c r="R32" s="34" t="n">
        <v>45201</v>
      </c>
      <c r="S32" s="16"/>
      <c r="T32" s="89"/>
      <c r="U32" s="16"/>
      <c r="V32" s="16"/>
      <c r="W32" s="16"/>
      <c r="X32" s="16"/>
      <c r="Y32" s="16"/>
      <c r="Z32" s="16"/>
      <c r="AA32" s="89" t="s">
        <v>50</v>
      </c>
      <c r="AB32" s="89" t="n">
        <v>0</v>
      </c>
      <c r="AC32" s="36"/>
      <c r="AD32" s="20"/>
      <c r="AE32" s="20"/>
      <c r="AF32" s="20"/>
    </row>
    <row r="33" customFormat="false" ht="17.25" hidden="false" customHeight="false" outlineLevel="0" collapsed="false">
      <c r="A33" s="16" t="s">
        <v>42</v>
      </c>
      <c r="B33" s="16" t="s">
        <v>2667</v>
      </c>
      <c r="C33" s="71" t="s">
        <v>2745</v>
      </c>
      <c r="D33" s="72" t="s">
        <v>2746</v>
      </c>
      <c r="E33" s="16" t="s">
        <v>2747</v>
      </c>
      <c r="F33" s="16" t="n">
        <v>3152</v>
      </c>
      <c r="G33" s="16" t="n">
        <v>680</v>
      </c>
      <c r="H33" s="16" t="n">
        <v>4192</v>
      </c>
      <c r="I33" s="16" t="n">
        <v>2193</v>
      </c>
      <c r="J33" s="16" t="n">
        <v>1999</v>
      </c>
      <c r="K33" s="16" t="n">
        <v>898</v>
      </c>
      <c r="L33" s="19" t="n">
        <f aca="false">(K33/H33)*100</f>
        <v>21.4217557251908</v>
      </c>
      <c r="M33" s="16" t="n">
        <v>387</v>
      </c>
      <c r="N33" s="19" t="n">
        <f aca="false">(M33/H33)*100</f>
        <v>9.23187022900764</v>
      </c>
      <c r="O33" s="16" t="n">
        <v>123</v>
      </c>
      <c r="P33" s="16" t="n">
        <v>0</v>
      </c>
      <c r="Q33" s="119" t="s">
        <v>49</v>
      </c>
      <c r="R33" s="46" t="n">
        <v>45931</v>
      </c>
      <c r="S33" s="16"/>
      <c r="T33" s="119" t="n">
        <v>79.58</v>
      </c>
      <c r="U33" s="16"/>
      <c r="V33" s="16"/>
      <c r="W33" s="16"/>
      <c r="X33" s="16"/>
      <c r="Y33" s="16"/>
      <c r="Z33" s="16"/>
      <c r="AA33" s="119" t="s">
        <v>50</v>
      </c>
      <c r="AB33" s="119" t="n">
        <v>10</v>
      </c>
      <c r="AC33" s="358" t="s">
        <v>2748</v>
      </c>
      <c r="AD33" s="45"/>
      <c r="AE33" s="45"/>
      <c r="AF33" s="20" t="s">
        <v>52</v>
      </c>
    </row>
    <row r="34" customFormat="false" ht="17.25" hidden="false" customHeight="false" outlineLevel="0" collapsed="false">
      <c r="A34" s="16"/>
      <c r="B34" s="16"/>
      <c r="C34" s="71"/>
      <c r="D34" s="72"/>
      <c r="E34" s="16"/>
      <c r="F34" s="16"/>
      <c r="G34" s="16"/>
      <c r="H34" s="16"/>
      <c r="I34" s="16"/>
      <c r="J34" s="16"/>
      <c r="K34" s="16"/>
      <c r="L34" s="19"/>
      <c r="M34" s="16"/>
      <c r="N34" s="19"/>
      <c r="O34" s="16"/>
      <c r="P34" s="16"/>
      <c r="Q34" s="125" t="s">
        <v>49</v>
      </c>
      <c r="R34" s="122"/>
      <c r="S34" s="16"/>
      <c r="T34" s="125"/>
      <c r="U34" s="16"/>
      <c r="V34" s="16"/>
      <c r="W34" s="16"/>
      <c r="X34" s="16"/>
      <c r="Y34" s="16"/>
      <c r="Z34" s="16"/>
      <c r="AA34" s="125" t="s">
        <v>50</v>
      </c>
      <c r="AB34" s="125" t="n">
        <v>7</v>
      </c>
      <c r="AC34" s="359" t="s">
        <v>2749</v>
      </c>
      <c r="AD34" s="123"/>
      <c r="AE34" s="123"/>
      <c r="AF34" s="20" t="s">
        <v>52</v>
      </c>
    </row>
    <row r="35" customFormat="false" ht="17.25" hidden="false" customHeight="false" outlineLevel="0" collapsed="false">
      <c r="A35" s="16"/>
      <c r="B35" s="16"/>
      <c r="C35" s="71"/>
      <c r="D35" s="72"/>
      <c r="E35" s="16"/>
      <c r="F35" s="16"/>
      <c r="G35" s="16"/>
      <c r="H35" s="16"/>
      <c r="I35" s="16"/>
      <c r="J35" s="16"/>
      <c r="K35" s="16"/>
      <c r="L35" s="19"/>
      <c r="M35" s="16"/>
      <c r="N35" s="19"/>
      <c r="O35" s="16"/>
      <c r="P35" s="16"/>
      <c r="Q35" s="125" t="s">
        <v>49</v>
      </c>
      <c r="R35" s="122"/>
      <c r="S35" s="16"/>
      <c r="T35" s="125"/>
      <c r="U35" s="16"/>
      <c r="V35" s="16"/>
      <c r="W35" s="16"/>
      <c r="X35" s="16"/>
      <c r="Y35" s="16"/>
      <c r="Z35" s="16"/>
      <c r="AA35" s="125" t="s">
        <v>50</v>
      </c>
      <c r="AB35" s="125" t="n">
        <v>10</v>
      </c>
      <c r="AC35" s="126" t="s">
        <v>2750</v>
      </c>
      <c r="AD35" s="123"/>
      <c r="AE35" s="123"/>
      <c r="AF35" s="20" t="s">
        <v>52</v>
      </c>
    </row>
    <row r="36" customFormat="false" ht="15.75" hidden="false" customHeight="false" outlineLevel="0" collapsed="false">
      <c r="A36" s="16" t="s">
        <v>42</v>
      </c>
      <c r="B36" s="16" t="s">
        <v>2667</v>
      </c>
      <c r="C36" s="71" t="s">
        <v>2751</v>
      </c>
      <c r="D36" s="72" t="s">
        <v>1767</v>
      </c>
      <c r="E36" s="16" t="s">
        <v>2752</v>
      </c>
      <c r="F36" s="16" t="n">
        <v>2110</v>
      </c>
      <c r="G36" s="16" t="n">
        <v>250</v>
      </c>
      <c r="H36" s="16" t="n">
        <v>1469</v>
      </c>
      <c r="I36" s="16" t="n">
        <v>770</v>
      </c>
      <c r="J36" s="16" t="n">
        <v>699</v>
      </c>
      <c r="K36" s="16" t="n">
        <v>94</v>
      </c>
      <c r="L36" s="19" t="n">
        <f aca="false">(K36/H36)*100</f>
        <v>6.39891082368959</v>
      </c>
      <c r="M36" s="16" t="n">
        <v>197</v>
      </c>
      <c r="N36" s="19" t="n">
        <f aca="false">(M36/H36)*100</f>
        <v>13.4104833219877</v>
      </c>
      <c r="O36" s="16" t="n">
        <v>186</v>
      </c>
      <c r="P36" s="16" t="n">
        <v>0</v>
      </c>
      <c r="Q36" s="89" t="s">
        <v>49</v>
      </c>
      <c r="R36" s="21" t="s">
        <v>2753</v>
      </c>
      <c r="S36" s="16"/>
      <c r="T36" s="89"/>
      <c r="U36" s="16"/>
      <c r="V36" s="16"/>
      <c r="W36" s="16"/>
      <c r="X36" s="16"/>
      <c r="Y36" s="16"/>
      <c r="Z36" s="16"/>
      <c r="AA36" s="89" t="s">
        <v>50</v>
      </c>
      <c r="AB36" s="89" t="n">
        <v>5</v>
      </c>
      <c r="AC36" s="36" t="s">
        <v>2754</v>
      </c>
      <c r="AD36" s="95" t="n">
        <v>27.18845</v>
      </c>
      <c r="AE36" s="95" t="n">
        <v>72.51951</v>
      </c>
      <c r="AF36" s="20" t="s">
        <v>52</v>
      </c>
    </row>
    <row r="37" customFormat="false" ht="15.75" hidden="false" customHeight="false" outlineLevel="0" collapsed="false">
      <c r="A37" s="16" t="s">
        <v>42</v>
      </c>
      <c r="B37" s="16" t="s">
        <v>2667</v>
      </c>
      <c r="C37" s="71" t="s">
        <v>2751</v>
      </c>
      <c r="D37" s="16" t="s">
        <v>2755</v>
      </c>
      <c r="E37" s="16" t="s">
        <v>2756</v>
      </c>
      <c r="F37" s="16" t="n">
        <v>878</v>
      </c>
      <c r="G37" s="16" t="n">
        <v>150</v>
      </c>
      <c r="H37" s="16" t="n">
        <v>979</v>
      </c>
      <c r="I37" s="16" t="n">
        <v>515</v>
      </c>
      <c r="J37" s="16" t="n">
        <v>464</v>
      </c>
      <c r="K37" s="16" t="n">
        <v>356</v>
      </c>
      <c r="L37" s="19" t="n">
        <f aca="false">(K37/H37)*100</f>
        <v>36.3636363636364</v>
      </c>
      <c r="M37" s="16" t="n">
        <v>47</v>
      </c>
      <c r="N37" s="19" t="n">
        <f aca="false">(M37/H37)*100</f>
        <v>4.80081716036772</v>
      </c>
      <c r="O37" s="16" t="n">
        <v>2</v>
      </c>
      <c r="P37" s="16" t="n">
        <v>0</v>
      </c>
      <c r="Q37" s="89" t="s">
        <v>49</v>
      </c>
      <c r="R37" s="21" t="s">
        <v>2753</v>
      </c>
      <c r="S37" s="16"/>
      <c r="T37" s="89" t="n">
        <v>0</v>
      </c>
      <c r="U37" s="16"/>
      <c r="V37" s="16"/>
      <c r="W37" s="16"/>
      <c r="X37" s="16"/>
      <c r="Y37" s="16"/>
      <c r="Z37" s="16"/>
      <c r="AA37" s="89" t="s">
        <v>50</v>
      </c>
      <c r="AB37" s="89" t="n">
        <v>0</v>
      </c>
      <c r="AC37" s="36"/>
      <c r="AD37" s="95" t="n">
        <v>0</v>
      </c>
      <c r="AE37" s="95" t="n">
        <v>0</v>
      </c>
      <c r="AF37" s="20" t="s">
        <v>52</v>
      </c>
    </row>
    <row r="38" customFormat="false" ht="15.75" hidden="false" customHeight="false" outlineLevel="0" collapsed="false">
      <c r="A38" s="16" t="s">
        <v>42</v>
      </c>
      <c r="B38" s="16" t="s">
        <v>2667</v>
      </c>
      <c r="C38" s="71" t="s">
        <v>2751</v>
      </c>
      <c r="D38" s="16" t="s">
        <v>2757</v>
      </c>
      <c r="E38" s="16" t="s">
        <v>2758</v>
      </c>
      <c r="F38" s="16" t="n">
        <v>1101</v>
      </c>
      <c r="G38" s="16" t="n">
        <v>197</v>
      </c>
      <c r="H38" s="16" t="n">
        <v>1271</v>
      </c>
      <c r="I38" s="16" t="n">
        <v>670</v>
      </c>
      <c r="J38" s="16" t="n">
        <v>601</v>
      </c>
      <c r="K38" s="16" t="n">
        <v>356</v>
      </c>
      <c r="L38" s="19" t="n">
        <f aca="false">(K38/H38)*100</f>
        <v>28.0094413847364</v>
      </c>
      <c r="M38" s="16" t="n">
        <v>1</v>
      </c>
      <c r="N38" s="19" t="n">
        <f aca="false">(M38/H38)*100</f>
        <v>0.0786782061369001</v>
      </c>
      <c r="O38" s="16" t="n">
        <v>0</v>
      </c>
      <c r="P38" s="16" t="n">
        <v>0</v>
      </c>
      <c r="Q38" s="89" t="s">
        <v>49</v>
      </c>
      <c r="R38" s="21" t="s">
        <v>2753</v>
      </c>
      <c r="S38" s="16"/>
      <c r="T38" s="89" t="n">
        <v>0</v>
      </c>
      <c r="U38" s="16"/>
      <c r="V38" s="16"/>
      <c r="W38" s="16"/>
      <c r="X38" s="16"/>
      <c r="Y38" s="16"/>
      <c r="Z38" s="16"/>
      <c r="AA38" s="89" t="s">
        <v>50</v>
      </c>
      <c r="AB38" s="89" t="n">
        <v>0</v>
      </c>
      <c r="AC38" s="36"/>
      <c r="AD38" s="95" t="n">
        <v>0</v>
      </c>
      <c r="AE38" s="95" t="n">
        <v>0</v>
      </c>
      <c r="AF38" s="20" t="s">
        <v>52</v>
      </c>
    </row>
    <row r="39" customFormat="false" ht="15.75" hidden="false" customHeight="false" outlineLevel="0" collapsed="false">
      <c r="A39" s="16" t="s">
        <v>42</v>
      </c>
      <c r="B39" s="16" t="s">
        <v>2667</v>
      </c>
      <c r="C39" s="71" t="s">
        <v>2759</v>
      </c>
      <c r="D39" s="72" t="s">
        <v>2760</v>
      </c>
      <c r="E39" s="16" t="s">
        <v>2761</v>
      </c>
      <c r="F39" s="16" t="n">
        <v>2280</v>
      </c>
      <c r="G39" s="16" t="n">
        <v>582</v>
      </c>
      <c r="H39" s="16" t="n">
        <v>3407</v>
      </c>
      <c r="I39" s="16" t="n">
        <v>1796</v>
      </c>
      <c r="J39" s="16" t="n">
        <v>1611</v>
      </c>
      <c r="K39" s="16" t="n">
        <v>677</v>
      </c>
      <c r="L39" s="19" t="n">
        <f aca="false">(K39/H39)*100</f>
        <v>19.8708541238626</v>
      </c>
      <c r="M39" s="16" t="n">
        <v>565</v>
      </c>
      <c r="N39" s="19" t="n">
        <f aca="false">(M39/H39)*100</f>
        <v>16.583504549457</v>
      </c>
      <c r="O39" s="16" t="n">
        <v>115</v>
      </c>
      <c r="P39" s="16" t="n">
        <v>0</v>
      </c>
      <c r="Q39" s="89" t="s">
        <v>49</v>
      </c>
      <c r="R39" s="34" t="n">
        <v>45201</v>
      </c>
      <c r="S39" s="16"/>
      <c r="T39" s="89" t="n">
        <v>41.9092</v>
      </c>
      <c r="U39" s="16"/>
      <c r="V39" s="16"/>
      <c r="W39" s="16"/>
      <c r="X39" s="16"/>
      <c r="Y39" s="16"/>
      <c r="Z39" s="16"/>
      <c r="AA39" s="89" t="s">
        <v>50</v>
      </c>
      <c r="AB39" s="89" t="n">
        <v>0</v>
      </c>
      <c r="AC39" s="36"/>
      <c r="AD39" s="20"/>
      <c r="AE39" s="20"/>
      <c r="AF39" s="20"/>
    </row>
    <row r="40" customFormat="false" ht="15.75" hidden="false" customHeight="false" outlineLevel="0" collapsed="false">
      <c r="A40" s="16" t="s">
        <v>42</v>
      </c>
      <c r="B40" s="16" t="s">
        <v>2667</v>
      </c>
      <c r="C40" s="71" t="s">
        <v>2759</v>
      </c>
      <c r="D40" s="16" t="s">
        <v>2762</v>
      </c>
      <c r="E40" s="16" t="s">
        <v>2763</v>
      </c>
      <c r="F40" s="16" t="n">
        <v>677</v>
      </c>
      <c r="G40" s="16" t="n">
        <v>81</v>
      </c>
      <c r="H40" s="16" t="n">
        <v>455</v>
      </c>
      <c r="I40" s="16" t="n">
        <v>238</v>
      </c>
      <c r="J40" s="16" t="n">
        <v>217</v>
      </c>
      <c r="K40" s="16" t="n">
        <v>0</v>
      </c>
      <c r="L40" s="19" t="n">
        <f aca="false">(K40/H40)*100</f>
        <v>0</v>
      </c>
      <c r="M40" s="16" t="n">
        <v>0</v>
      </c>
      <c r="N40" s="19" t="n">
        <f aca="false">(M40/H40)*100</f>
        <v>0</v>
      </c>
      <c r="O40" s="16" t="n">
        <v>0</v>
      </c>
      <c r="P40" s="16" t="n">
        <v>0</v>
      </c>
      <c r="Q40" s="89" t="s">
        <v>49</v>
      </c>
      <c r="R40" s="34" t="n">
        <v>45201</v>
      </c>
      <c r="S40" s="16"/>
      <c r="T40" s="89" t="n">
        <v>0.0405</v>
      </c>
      <c r="U40" s="16"/>
      <c r="V40" s="16"/>
      <c r="W40" s="16"/>
      <c r="X40" s="16"/>
      <c r="Y40" s="16"/>
      <c r="Z40" s="16"/>
      <c r="AA40" s="89" t="s">
        <v>50</v>
      </c>
      <c r="AB40" s="89" t="n">
        <v>0</v>
      </c>
      <c r="AC40" s="36"/>
      <c r="AD40" s="20"/>
      <c r="AE40" s="20"/>
      <c r="AF40" s="20"/>
    </row>
    <row r="41" customFormat="false" ht="15.75" hidden="false" customHeight="false" outlineLevel="0" collapsed="false">
      <c r="A41" s="16" t="s">
        <v>42</v>
      </c>
      <c r="B41" s="16" t="s">
        <v>2667</v>
      </c>
      <c r="C41" s="71" t="s">
        <v>2759</v>
      </c>
      <c r="D41" s="16" t="s">
        <v>2764</v>
      </c>
      <c r="E41" s="16" t="s">
        <v>2765</v>
      </c>
      <c r="F41" s="16" t="n">
        <v>316</v>
      </c>
      <c r="G41" s="16" t="n">
        <v>42</v>
      </c>
      <c r="H41" s="16" t="n">
        <v>291</v>
      </c>
      <c r="I41" s="16" t="n">
        <v>164</v>
      </c>
      <c r="J41" s="16" t="n">
        <v>127</v>
      </c>
      <c r="K41" s="16" t="n">
        <v>0</v>
      </c>
      <c r="L41" s="19" t="n">
        <f aca="false">(K41/H41)*100</f>
        <v>0</v>
      </c>
      <c r="M41" s="16" t="n">
        <v>27</v>
      </c>
      <c r="N41" s="19" t="n">
        <f aca="false">(M41/H41)*100</f>
        <v>9.27835051546392</v>
      </c>
      <c r="O41" s="16" t="n">
        <v>0</v>
      </c>
      <c r="P41" s="16" t="n">
        <v>0</v>
      </c>
      <c r="Q41" s="89"/>
      <c r="R41" s="21"/>
      <c r="S41" s="16"/>
      <c r="T41" s="89"/>
      <c r="U41" s="16"/>
      <c r="V41" s="16"/>
      <c r="W41" s="16"/>
      <c r="X41" s="16"/>
      <c r="Y41" s="16"/>
      <c r="Z41" s="16"/>
      <c r="AA41" s="89"/>
      <c r="AB41" s="89"/>
      <c r="AC41" s="20"/>
      <c r="AD41" s="20"/>
      <c r="AE41" s="20"/>
      <c r="AF41" s="20"/>
    </row>
    <row r="42" customFormat="false" ht="15.75" hidden="false" customHeight="false" outlineLevel="0" collapsed="false">
      <c r="A42" s="16" t="s">
        <v>42</v>
      </c>
      <c r="B42" s="16" t="s">
        <v>2667</v>
      </c>
      <c r="C42" s="71" t="s">
        <v>2759</v>
      </c>
      <c r="D42" s="16" t="s">
        <v>2766</v>
      </c>
      <c r="E42" s="16" t="s">
        <v>2767</v>
      </c>
      <c r="F42" s="16" t="n">
        <v>442</v>
      </c>
      <c r="G42" s="16" t="n">
        <v>79</v>
      </c>
      <c r="H42" s="16" t="n">
        <v>500</v>
      </c>
      <c r="I42" s="16" t="n">
        <v>266</v>
      </c>
      <c r="J42" s="16" t="n">
        <v>234</v>
      </c>
      <c r="K42" s="16" t="n">
        <v>45</v>
      </c>
      <c r="L42" s="19" t="n">
        <f aca="false">(K42/H42)*100</f>
        <v>9</v>
      </c>
      <c r="M42" s="16" t="n">
        <v>0</v>
      </c>
      <c r="N42" s="19" t="n">
        <f aca="false">(M42/H42)*100</f>
        <v>0</v>
      </c>
      <c r="O42" s="16" t="n">
        <v>0</v>
      </c>
      <c r="P42" s="16" t="n">
        <v>0</v>
      </c>
      <c r="Q42" s="89"/>
      <c r="R42" s="21"/>
      <c r="S42" s="16"/>
      <c r="T42" s="89"/>
      <c r="U42" s="16"/>
      <c r="V42" s="16"/>
      <c r="W42" s="16"/>
      <c r="X42" s="16"/>
      <c r="Y42" s="16"/>
      <c r="Z42" s="16"/>
      <c r="AA42" s="89"/>
      <c r="AB42" s="89"/>
      <c r="AC42" s="20"/>
      <c r="AD42" s="20"/>
      <c r="AE42" s="20"/>
      <c r="AF42" s="20"/>
    </row>
    <row r="43" customFormat="false" ht="15.75" hidden="false" customHeight="false" outlineLevel="0" collapsed="false">
      <c r="A43" s="16" t="s">
        <v>42</v>
      </c>
      <c r="B43" s="16" t="s">
        <v>2667</v>
      </c>
      <c r="C43" s="71" t="s">
        <v>2759</v>
      </c>
      <c r="D43" s="16" t="s">
        <v>2768</v>
      </c>
      <c r="E43" s="16" t="s">
        <v>2769</v>
      </c>
      <c r="F43" s="16" t="n">
        <v>467</v>
      </c>
      <c r="G43" s="16" t="n">
        <v>91</v>
      </c>
      <c r="H43" s="16" t="n">
        <v>456</v>
      </c>
      <c r="I43" s="16" t="n">
        <v>237</v>
      </c>
      <c r="J43" s="16" t="n">
        <v>219</v>
      </c>
      <c r="K43" s="16" t="n">
        <v>16</v>
      </c>
      <c r="L43" s="19" t="n">
        <f aca="false">(K43/H43)*100</f>
        <v>3.50877192982456</v>
      </c>
      <c r="M43" s="16" t="n">
        <v>0</v>
      </c>
      <c r="N43" s="19" t="n">
        <f aca="false">(M43/H43)*100</f>
        <v>0</v>
      </c>
      <c r="O43" s="16" t="n">
        <v>80</v>
      </c>
      <c r="P43" s="16" t="n">
        <v>0</v>
      </c>
      <c r="Q43" s="89" t="s">
        <v>49</v>
      </c>
      <c r="R43" s="34" t="n">
        <v>45201</v>
      </c>
      <c r="S43" s="16"/>
      <c r="T43" s="89"/>
      <c r="U43" s="16"/>
      <c r="V43" s="16"/>
      <c r="W43" s="16"/>
      <c r="X43" s="16"/>
      <c r="Y43" s="16"/>
      <c r="Z43" s="16"/>
      <c r="AA43" s="89" t="s">
        <v>50</v>
      </c>
      <c r="AB43" s="89" t="n">
        <v>0</v>
      </c>
      <c r="AC43" s="36"/>
      <c r="AD43" s="20"/>
      <c r="AE43" s="20"/>
      <c r="AF43" s="20"/>
    </row>
    <row r="44" customFormat="false" ht="15.75" hidden="false" customHeight="false" outlineLevel="0" collapsed="false">
      <c r="A44" s="16" t="s">
        <v>42</v>
      </c>
      <c r="B44" s="16" t="s">
        <v>2667</v>
      </c>
      <c r="C44" s="71" t="s">
        <v>2759</v>
      </c>
      <c r="D44" s="16" t="s">
        <v>2770</v>
      </c>
      <c r="E44" s="16" t="s">
        <v>2771</v>
      </c>
      <c r="F44" s="16" t="n">
        <v>516.36</v>
      </c>
      <c r="G44" s="16" t="n">
        <v>141</v>
      </c>
      <c r="H44" s="16" t="n">
        <v>840</v>
      </c>
      <c r="I44" s="16" t="n">
        <v>423</v>
      </c>
      <c r="J44" s="16" t="n">
        <v>417</v>
      </c>
      <c r="K44" s="16" t="n">
        <v>30</v>
      </c>
      <c r="L44" s="19" t="n">
        <f aca="false">(K44/H44)*100</f>
        <v>3.57142857142857</v>
      </c>
      <c r="M44" s="16" t="n">
        <v>0</v>
      </c>
      <c r="N44" s="19" t="n">
        <f aca="false">(M44/H44)*100</f>
        <v>0</v>
      </c>
      <c r="O44" s="16" t="n">
        <v>50.34</v>
      </c>
      <c r="P44" s="16" t="n">
        <v>0</v>
      </c>
      <c r="Q44" s="89" t="s">
        <v>49</v>
      </c>
      <c r="R44" s="34" t="n">
        <v>45201</v>
      </c>
      <c r="S44" s="16"/>
      <c r="T44" s="89"/>
      <c r="U44" s="16"/>
      <c r="V44" s="16"/>
      <c r="W44" s="16"/>
      <c r="X44" s="16"/>
      <c r="Y44" s="16"/>
      <c r="Z44" s="16"/>
      <c r="AA44" s="89" t="s">
        <v>50</v>
      </c>
      <c r="AB44" s="89" t="n">
        <v>0</v>
      </c>
      <c r="AC44" s="36"/>
      <c r="AD44" s="20"/>
      <c r="AE44" s="20"/>
      <c r="AF44" s="20"/>
    </row>
    <row r="45" customFormat="false" ht="15.75" hidden="false" customHeight="false" outlineLevel="0" collapsed="false">
      <c r="A45" s="16" t="s">
        <v>42</v>
      </c>
      <c r="B45" s="16" t="s">
        <v>2667</v>
      </c>
      <c r="C45" s="71" t="s">
        <v>2772</v>
      </c>
      <c r="D45" s="72" t="s">
        <v>2773</v>
      </c>
      <c r="E45" s="16" t="s">
        <v>2774</v>
      </c>
      <c r="F45" s="16" t="n">
        <v>1257</v>
      </c>
      <c r="G45" s="16" t="n">
        <v>294</v>
      </c>
      <c r="H45" s="16" t="n">
        <v>1954</v>
      </c>
      <c r="I45" s="16" t="n">
        <v>1007</v>
      </c>
      <c r="J45" s="16" t="n">
        <v>947</v>
      </c>
      <c r="K45" s="16" t="n">
        <v>437</v>
      </c>
      <c r="L45" s="19" t="n">
        <f aca="false">(K45/H45)*100</f>
        <v>22.3643807574207</v>
      </c>
      <c r="M45" s="16" t="n">
        <v>570</v>
      </c>
      <c r="N45" s="19" t="n">
        <f aca="false">(M45/H45)*100</f>
        <v>29.1709314227226</v>
      </c>
      <c r="O45" s="16" t="n">
        <v>51</v>
      </c>
      <c r="P45" s="16" t="n">
        <v>0</v>
      </c>
      <c r="Q45" s="89" t="s">
        <v>49</v>
      </c>
      <c r="R45" s="34" t="n">
        <v>45112</v>
      </c>
      <c r="S45" s="16"/>
      <c r="T45" s="89"/>
      <c r="U45" s="16"/>
      <c r="V45" s="16"/>
      <c r="W45" s="16"/>
      <c r="X45" s="16"/>
      <c r="Y45" s="16"/>
      <c r="Z45" s="16"/>
      <c r="AA45" s="89" t="s">
        <v>50</v>
      </c>
      <c r="AB45" s="89"/>
      <c r="AC45" s="36"/>
      <c r="AD45" s="20"/>
      <c r="AE45" s="20"/>
      <c r="AF45" s="20"/>
    </row>
    <row r="46" customFormat="false" ht="15.75" hidden="false" customHeight="false" outlineLevel="0" collapsed="false">
      <c r="A46" s="16" t="s">
        <v>42</v>
      </c>
      <c r="B46" s="16" t="s">
        <v>2667</v>
      </c>
      <c r="C46" s="71" t="s">
        <v>2772</v>
      </c>
      <c r="D46" s="16" t="s">
        <v>2775</v>
      </c>
      <c r="E46" s="16" t="s">
        <v>2776</v>
      </c>
      <c r="F46" s="16" t="n">
        <v>335.72</v>
      </c>
      <c r="G46" s="16" t="n">
        <v>56</v>
      </c>
      <c r="H46" s="16" t="n">
        <v>407</v>
      </c>
      <c r="I46" s="16" t="n">
        <v>219</v>
      </c>
      <c r="J46" s="16" t="n">
        <v>188</v>
      </c>
      <c r="K46" s="16" t="n">
        <v>0</v>
      </c>
      <c r="L46" s="19" t="n">
        <f aca="false">(K46/H46)*100</f>
        <v>0</v>
      </c>
      <c r="M46" s="16" t="n">
        <v>0</v>
      </c>
      <c r="N46" s="19" t="n">
        <f aca="false">(M46/H46)*100</f>
        <v>0</v>
      </c>
      <c r="O46" s="16" t="n">
        <v>0</v>
      </c>
      <c r="P46" s="16" t="n">
        <v>0</v>
      </c>
      <c r="Q46" s="89" t="s">
        <v>49</v>
      </c>
      <c r="R46" s="34" t="n">
        <v>45112</v>
      </c>
      <c r="S46" s="16"/>
      <c r="T46" s="89" t="n">
        <v>0</v>
      </c>
      <c r="U46" s="16"/>
      <c r="V46" s="16"/>
      <c r="W46" s="16"/>
      <c r="X46" s="16"/>
      <c r="Y46" s="16"/>
      <c r="Z46" s="16"/>
      <c r="AA46" s="89" t="s">
        <v>50</v>
      </c>
      <c r="AB46" s="89" t="n">
        <v>0</v>
      </c>
      <c r="AC46" s="36"/>
      <c r="AD46" s="20" t="n">
        <v>0</v>
      </c>
      <c r="AE46" s="20" t="n">
        <v>0</v>
      </c>
      <c r="AF46" s="20"/>
    </row>
    <row r="47" customFormat="false" ht="15.75" hidden="false" customHeight="false" outlineLevel="0" collapsed="false">
      <c r="A47" s="16" t="s">
        <v>42</v>
      </c>
      <c r="B47" s="16" t="s">
        <v>2667</v>
      </c>
      <c r="C47" s="71" t="s">
        <v>1508</v>
      </c>
      <c r="D47" s="72" t="s">
        <v>1508</v>
      </c>
      <c r="E47" s="16" t="s">
        <v>2777</v>
      </c>
      <c r="F47" s="16" t="n">
        <v>1508.01</v>
      </c>
      <c r="G47" s="16" t="n">
        <v>243</v>
      </c>
      <c r="H47" s="16" t="n">
        <v>1428</v>
      </c>
      <c r="I47" s="16" t="n">
        <v>725</v>
      </c>
      <c r="J47" s="16" t="n">
        <v>703</v>
      </c>
      <c r="K47" s="16" t="n">
        <v>49</v>
      </c>
      <c r="L47" s="19" t="n">
        <f aca="false">(K47/H47)*100</f>
        <v>3.43137254901961</v>
      </c>
      <c r="M47" s="16" t="n">
        <v>0</v>
      </c>
      <c r="N47" s="19" t="n">
        <f aca="false">(M47/H47)*100</f>
        <v>0</v>
      </c>
      <c r="O47" s="16" t="n">
        <v>65.3</v>
      </c>
      <c r="P47" s="16" t="n">
        <v>0</v>
      </c>
      <c r="Q47" s="89"/>
      <c r="R47" s="21"/>
      <c r="S47" s="16"/>
      <c r="T47" s="89"/>
      <c r="U47" s="16"/>
      <c r="V47" s="16"/>
      <c r="W47" s="16"/>
      <c r="X47" s="16"/>
      <c r="Y47" s="16"/>
      <c r="Z47" s="16"/>
      <c r="AA47" s="89"/>
      <c r="AB47" s="89"/>
      <c r="AC47" s="20"/>
      <c r="AD47" s="20"/>
      <c r="AE47" s="20"/>
      <c r="AF47" s="20"/>
    </row>
    <row r="48" customFormat="false" ht="15.75" hidden="false" customHeight="false" outlineLevel="0" collapsed="false">
      <c r="A48" s="16" t="s">
        <v>42</v>
      </c>
      <c r="B48" s="16" t="s">
        <v>2667</v>
      </c>
      <c r="C48" s="71" t="s">
        <v>1508</v>
      </c>
      <c r="D48" s="16" t="s">
        <v>1746</v>
      </c>
      <c r="E48" s="16" t="s">
        <v>2778</v>
      </c>
      <c r="F48" s="16" t="n">
        <v>657.92</v>
      </c>
      <c r="G48" s="16" t="n">
        <v>67</v>
      </c>
      <c r="H48" s="16" t="n">
        <v>470</v>
      </c>
      <c r="I48" s="16" t="n">
        <v>246</v>
      </c>
      <c r="J48" s="16" t="n">
        <v>224</v>
      </c>
      <c r="K48" s="16" t="n">
        <v>0</v>
      </c>
      <c r="L48" s="19" t="n">
        <f aca="false">(K48/H48)*100</f>
        <v>0</v>
      </c>
      <c r="M48" s="16" t="n">
        <v>0</v>
      </c>
      <c r="N48" s="19" t="n">
        <f aca="false">(M48/H48)*100</f>
        <v>0</v>
      </c>
      <c r="O48" s="16" t="n">
        <v>86.07</v>
      </c>
      <c r="P48" s="16" t="n">
        <v>0</v>
      </c>
      <c r="Q48" s="247" t="s">
        <v>50</v>
      </c>
      <c r="R48" s="34" t="n">
        <v>44609</v>
      </c>
      <c r="S48" s="16"/>
      <c r="T48" s="89" t="n">
        <v>91</v>
      </c>
      <c r="U48" s="16"/>
      <c r="V48" s="16"/>
      <c r="W48" s="16"/>
      <c r="X48" s="16"/>
      <c r="Y48" s="16"/>
      <c r="Z48" s="16"/>
      <c r="AA48" s="247" t="s">
        <v>50</v>
      </c>
      <c r="AB48" s="89" t="n">
        <v>6</v>
      </c>
      <c r="AC48" s="20" t="s">
        <v>2779</v>
      </c>
      <c r="AD48" s="20" t="n">
        <v>26.87276</v>
      </c>
      <c r="AE48" s="20" t="n">
        <v>72.731252</v>
      </c>
      <c r="AF48" s="20"/>
    </row>
    <row r="49" customFormat="false" ht="15.75" hidden="false" customHeight="false" outlineLevel="0" collapsed="false">
      <c r="A49" s="16" t="s">
        <v>42</v>
      </c>
      <c r="B49" s="16" t="s">
        <v>2667</v>
      </c>
      <c r="C49" s="71" t="s">
        <v>1508</v>
      </c>
      <c r="D49" s="16" t="s">
        <v>2780</v>
      </c>
      <c r="E49" s="16" t="s">
        <v>2781</v>
      </c>
      <c r="F49" s="16" t="n">
        <v>727.11</v>
      </c>
      <c r="G49" s="16" t="n">
        <v>175</v>
      </c>
      <c r="H49" s="16" t="n">
        <v>1233</v>
      </c>
      <c r="I49" s="16" t="n">
        <v>646</v>
      </c>
      <c r="J49" s="16" t="n">
        <v>587</v>
      </c>
      <c r="K49" s="16" t="n">
        <v>384</v>
      </c>
      <c r="L49" s="19" t="n">
        <f aca="false">(K49/H49)*100</f>
        <v>31.1435523114355</v>
      </c>
      <c r="M49" s="16" t="n">
        <v>0</v>
      </c>
      <c r="N49" s="19" t="n">
        <f aca="false">(M49/H49)*100</f>
        <v>0</v>
      </c>
      <c r="O49" s="16" t="n">
        <v>16</v>
      </c>
      <c r="P49" s="16" t="n">
        <v>0</v>
      </c>
      <c r="Q49" s="92" t="s">
        <v>70</v>
      </c>
      <c r="R49" s="360" t="n">
        <v>44622</v>
      </c>
      <c r="S49" s="16"/>
      <c r="T49" s="92" t="n">
        <v>101.0418</v>
      </c>
      <c r="U49" s="16"/>
      <c r="V49" s="16"/>
      <c r="W49" s="16"/>
      <c r="X49" s="16"/>
      <c r="Y49" s="16"/>
      <c r="Z49" s="16"/>
      <c r="AA49" s="92"/>
      <c r="AB49" s="92"/>
      <c r="AC49" s="92" t="s">
        <v>310</v>
      </c>
      <c r="AD49" s="24"/>
      <c r="AE49" s="24"/>
      <c r="AF49" s="24"/>
      <c r="AG49" s="361"/>
      <c r="AH49" s="24"/>
      <c r="AI49" s="24"/>
      <c r="AJ49" s="24"/>
      <c r="AK49" s="24"/>
      <c r="AL49" s="24"/>
      <c r="AM49" s="24"/>
      <c r="AN49" s="24" t="s">
        <v>1358</v>
      </c>
      <c r="AO49" s="92" t="n">
        <v>5</v>
      </c>
      <c r="AP49" s="92"/>
      <c r="AQ49" s="24" t="s">
        <v>2782</v>
      </c>
      <c r="AR49" s="24" t="n">
        <v>96.0418</v>
      </c>
      <c r="AS49" s="24" t="n">
        <v>96.0418</v>
      </c>
      <c r="AT49" s="24"/>
      <c r="AU49" s="362" t="n">
        <v>3498</v>
      </c>
      <c r="AV49" s="363" t="n">
        <v>44682</v>
      </c>
    </row>
    <row r="50" customFormat="false" ht="31.5" hidden="false" customHeight="false" outlineLevel="0" collapsed="false">
      <c r="A50" s="16" t="s">
        <v>42</v>
      </c>
      <c r="B50" s="16" t="s">
        <v>2667</v>
      </c>
      <c r="C50" s="71" t="s">
        <v>2783</v>
      </c>
      <c r="D50" s="72" t="s">
        <v>2784</v>
      </c>
      <c r="E50" s="16" t="s">
        <v>2785</v>
      </c>
      <c r="F50" s="16" t="n">
        <v>477</v>
      </c>
      <c r="G50" s="16" t="n">
        <v>100</v>
      </c>
      <c r="H50" s="16" t="n">
        <v>591</v>
      </c>
      <c r="I50" s="16" t="n">
        <v>334</v>
      </c>
      <c r="J50" s="16" t="n">
        <v>257</v>
      </c>
      <c r="K50" s="16" t="n">
        <v>0</v>
      </c>
      <c r="L50" s="19" t="n">
        <f aca="false">(K50/H50)*100</f>
        <v>0</v>
      </c>
      <c r="M50" s="16" t="n">
        <v>0</v>
      </c>
      <c r="N50" s="19" t="n">
        <f aca="false">(M50/H50)*100</f>
        <v>0</v>
      </c>
      <c r="O50" s="16" t="n">
        <v>0</v>
      </c>
      <c r="P50" s="16" t="n">
        <v>0</v>
      </c>
      <c r="Q50" s="89" t="s">
        <v>49</v>
      </c>
      <c r="R50" s="34" t="n">
        <v>45698</v>
      </c>
      <c r="S50" s="16"/>
      <c r="T50" s="89"/>
      <c r="U50" s="16"/>
      <c r="V50" s="16"/>
      <c r="W50" s="16"/>
      <c r="X50" s="16"/>
      <c r="Y50" s="16"/>
      <c r="Z50" s="16"/>
      <c r="AA50" s="89" t="s">
        <v>50</v>
      </c>
      <c r="AB50" s="89" t="n">
        <v>10</v>
      </c>
      <c r="AC50" s="36" t="s">
        <v>2786</v>
      </c>
      <c r="AD50" s="95" t="n">
        <v>26.983615</v>
      </c>
      <c r="AE50" s="95" t="n">
        <v>72.492069</v>
      </c>
      <c r="AF50" s="20" t="s">
        <v>52</v>
      </c>
    </row>
    <row r="51" customFormat="false" ht="15.75" hidden="false" customHeight="false" outlineLevel="0" collapsed="false">
      <c r="A51" s="16" t="s">
        <v>42</v>
      </c>
      <c r="B51" s="16" t="s">
        <v>2667</v>
      </c>
      <c r="C51" s="71" t="s">
        <v>2783</v>
      </c>
      <c r="D51" s="16" t="s">
        <v>129</v>
      </c>
      <c r="E51" s="16" t="s">
        <v>2787</v>
      </c>
      <c r="F51" s="16" t="n">
        <v>1910.1</v>
      </c>
      <c r="G51" s="16" t="n">
        <v>164</v>
      </c>
      <c r="H51" s="16" t="n">
        <v>1020</v>
      </c>
      <c r="I51" s="16" t="n">
        <v>527</v>
      </c>
      <c r="J51" s="16" t="n">
        <v>493</v>
      </c>
      <c r="K51" s="16" t="n">
        <v>0</v>
      </c>
      <c r="L51" s="19" t="n">
        <f aca="false">(K51/H51)*100</f>
        <v>0</v>
      </c>
      <c r="M51" s="16" t="n">
        <v>0</v>
      </c>
      <c r="N51" s="19" t="n">
        <f aca="false">(M51/H51)*100</f>
        <v>0</v>
      </c>
      <c r="O51" s="16" t="n">
        <v>0</v>
      </c>
      <c r="P51" s="16" t="n">
        <v>29</v>
      </c>
      <c r="Q51" s="89" t="s">
        <v>49</v>
      </c>
      <c r="R51" s="34" t="n">
        <v>45698</v>
      </c>
      <c r="S51" s="16"/>
      <c r="T51" s="89"/>
      <c r="U51" s="16"/>
      <c r="V51" s="16"/>
      <c r="W51" s="16"/>
      <c r="X51" s="16"/>
      <c r="Y51" s="16"/>
      <c r="Z51" s="16"/>
      <c r="AA51" s="89" t="s">
        <v>50</v>
      </c>
      <c r="AB51" s="89" t="n">
        <v>0</v>
      </c>
      <c r="AC51" s="36"/>
      <c r="AD51" s="95" t="n">
        <v>0</v>
      </c>
      <c r="AE51" s="95" t="n">
        <v>0</v>
      </c>
      <c r="AF51" s="20" t="s">
        <v>52</v>
      </c>
    </row>
    <row r="52" customFormat="false" ht="15.75" hidden="false" customHeight="false" outlineLevel="0" collapsed="false">
      <c r="A52" s="16" t="s">
        <v>42</v>
      </c>
      <c r="B52" s="16" t="s">
        <v>2667</v>
      </c>
      <c r="C52" s="71" t="s">
        <v>2783</v>
      </c>
      <c r="D52" s="16" t="s">
        <v>2788</v>
      </c>
      <c r="E52" s="16" t="s">
        <v>2789</v>
      </c>
      <c r="F52" s="16" t="n">
        <v>375</v>
      </c>
      <c r="G52" s="16" t="n">
        <v>56</v>
      </c>
      <c r="H52" s="16" t="n">
        <v>305</v>
      </c>
      <c r="I52" s="16" t="n">
        <v>156</v>
      </c>
      <c r="J52" s="16" t="n">
        <v>149</v>
      </c>
      <c r="K52" s="16" t="n">
        <v>0</v>
      </c>
      <c r="L52" s="19" t="n">
        <f aca="false">(K52/H52)*100</f>
        <v>0</v>
      </c>
      <c r="M52" s="16" t="n">
        <v>0</v>
      </c>
      <c r="N52" s="19" t="n">
        <f aca="false">(M52/H52)*100</f>
        <v>0</v>
      </c>
      <c r="O52" s="16" t="n">
        <v>0</v>
      </c>
      <c r="P52" s="16" t="n">
        <v>0</v>
      </c>
      <c r="Q52" s="89" t="s">
        <v>49</v>
      </c>
      <c r="R52" s="34" t="n">
        <v>45698</v>
      </c>
      <c r="S52" s="16"/>
      <c r="T52" s="89"/>
      <c r="U52" s="16"/>
      <c r="V52" s="16"/>
      <c r="W52" s="16"/>
      <c r="X52" s="16"/>
      <c r="Y52" s="16"/>
      <c r="Z52" s="16"/>
      <c r="AA52" s="89" t="s">
        <v>50</v>
      </c>
      <c r="AB52" s="89" t="n">
        <v>0</v>
      </c>
      <c r="AC52" s="36"/>
      <c r="AD52" s="95" t="n">
        <v>0</v>
      </c>
      <c r="AE52" s="95" t="n">
        <v>0</v>
      </c>
      <c r="AF52" s="20" t="s">
        <v>52</v>
      </c>
    </row>
    <row r="53" customFormat="false" ht="15.75" hidden="false" customHeight="false" outlineLevel="0" collapsed="false">
      <c r="A53" s="16" t="s">
        <v>42</v>
      </c>
      <c r="B53" s="16" t="s">
        <v>2667</v>
      </c>
      <c r="C53" s="71" t="s">
        <v>2783</v>
      </c>
      <c r="D53" s="16" t="s">
        <v>2790</v>
      </c>
      <c r="E53" s="16" t="s">
        <v>2791</v>
      </c>
      <c r="F53" s="16" t="n">
        <v>410</v>
      </c>
      <c r="G53" s="16" t="n">
        <v>53</v>
      </c>
      <c r="H53" s="16" t="n">
        <v>353</v>
      </c>
      <c r="I53" s="16" t="n">
        <v>180</v>
      </c>
      <c r="J53" s="16" t="n">
        <v>173</v>
      </c>
      <c r="K53" s="16" t="n">
        <v>0</v>
      </c>
      <c r="L53" s="19" t="n">
        <f aca="false">(K53/H53)*100</f>
        <v>0</v>
      </c>
      <c r="M53" s="16" t="n">
        <v>0</v>
      </c>
      <c r="N53" s="19" t="n">
        <f aca="false">(M53/H53)*100</f>
        <v>0</v>
      </c>
      <c r="O53" s="16" t="n">
        <v>2</v>
      </c>
      <c r="P53" s="16" t="n">
        <v>0</v>
      </c>
      <c r="Q53" s="89" t="s">
        <v>49</v>
      </c>
      <c r="R53" s="34" t="n">
        <v>45698</v>
      </c>
      <c r="S53" s="16"/>
      <c r="T53" s="89"/>
      <c r="U53" s="16"/>
      <c r="V53" s="16"/>
      <c r="W53" s="16"/>
      <c r="X53" s="16"/>
      <c r="Y53" s="16"/>
      <c r="Z53" s="16"/>
      <c r="AA53" s="89" t="s">
        <v>50</v>
      </c>
      <c r="AB53" s="89" t="n">
        <v>0</v>
      </c>
      <c r="AC53" s="36"/>
      <c r="AD53" s="95" t="n">
        <v>0</v>
      </c>
      <c r="AE53" s="95" t="n">
        <v>0</v>
      </c>
      <c r="AF53" s="20" t="s">
        <v>52</v>
      </c>
    </row>
    <row r="54" customFormat="false" ht="15.75" hidden="false" customHeight="false" outlineLevel="0" collapsed="false">
      <c r="A54" s="16" t="s">
        <v>42</v>
      </c>
      <c r="B54" s="16" t="s">
        <v>2667</v>
      </c>
      <c r="C54" s="71" t="s">
        <v>2783</v>
      </c>
      <c r="D54" s="16" t="s">
        <v>2792</v>
      </c>
      <c r="E54" s="16" t="s">
        <v>2793</v>
      </c>
      <c r="F54" s="16" t="n">
        <v>347</v>
      </c>
      <c r="G54" s="16" t="n">
        <v>38</v>
      </c>
      <c r="H54" s="16" t="n">
        <v>251</v>
      </c>
      <c r="I54" s="16" t="n">
        <v>126</v>
      </c>
      <c r="J54" s="16" t="n">
        <v>125</v>
      </c>
      <c r="K54" s="16" t="n">
        <v>4</v>
      </c>
      <c r="L54" s="19" t="n">
        <f aca="false">(K54/H54)*100</f>
        <v>1.59362549800797</v>
      </c>
      <c r="M54" s="16" t="n">
        <v>0</v>
      </c>
      <c r="N54" s="19" t="n">
        <f aca="false">(M54/H54)*100</f>
        <v>0</v>
      </c>
      <c r="O54" s="16" t="n">
        <v>0</v>
      </c>
      <c r="P54" s="16" t="n">
        <v>0</v>
      </c>
      <c r="Q54" s="89" t="s">
        <v>49</v>
      </c>
      <c r="R54" s="34" t="n">
        <v>45698</v>
      </c>
      <c r="S54" s="16"/>
      <c r="T54" s="89" t="n">
        <v>0</v>
      </c>
      <c r="U54" s="16"/>
      <c r="V54" s="16"/>
      <c r="W54" s="16"/>
      <c r="X54" s="16"/>
      <c r="Y54" s="16"/>
      <c r="Z54" s="16"/>
      <c r="AA54" s="89" t="s">
        <v>50</v>
      </c>
      <c r="AB54" s="89" t="n">
        <v>0</v>
      </c>
      <c r="AC54" s="36"/>
      <c r="AD54" s="95" t="n">
        <v>0</v>
      </c>
      <c r="AE54" s="95" t="n">
        <v>0</v>
      </c>
      <c r="AF54" s="20" t="s">
        <v>52</v>
      </c>
    </row>
    <row r="55" customFormat="false" ht="15.75" hidden="false" customHeight="false" outlineLevel="0" collapsed="false">
      <c r="A55" s="16" t="s">
        <v>42</v>
      </c>
      <c r="B55" s="16" t="s">
        <v>2667</v>
      </c>
      <c r="C55" s="71" t="s">
        <v>2794</v>
      </c>
      <c r="D55" s="72" t="s">
        <v>2795</v>
      </c>
      <c r="E55" s="16" t="s">
        <v>2796</v>
      </c>
      <c r="F55" s="16" t="n">
        <v>1237.95</v>
      </c>
      <c r="G55" s="16" t="n">
        <v>164</v>
      </c>
      <c r="H55" s="16" t="n">
        <v>874</v>
      </c>
      <c r="I55" s="16" t="n">
        <v>467</v>
      </c>
      <c r="J55" s="16" t="n">
        <v>407</v>
      </c>
      <c r="K55" s="16" t="n">
        <v>214</v>
      </c>
      <c r="L55" s="19" t="n">
        <f aca="false">(K55/H55)*100</f>
        <v>24.4851258581236</v>
      </c>
      <c r="M55" s="16" t="n">
        <v>0</v>
      </c>
      <c r="N55" s="19" t="n">
        <f aca="false">(M55/H55)*100</f>
        <v>0</v>
      </c>
      <c r="O55" s="16" t="n">
        <v>9.32</v>
      </c>
      <c r="P55" s="16" t="n">
        <v>0</v>
      </c>
      <c r="Q55" s="92" t="s">
        <v>49</v>
      </c>
      <c r="R55" s="25" t="n">
        <v>44623</v>
      </c>
      <c r="S55" s="16"/>
      <c r="T55" s="92" t="n">
        <v>115.4566</v>
      </c>
      <c r="U55" s="16"/>
      <c r="V55" s="16"/>
      <c r="W55" s="16"/>
      <c r="X55" s="16"/>
      <c r="Y55" s="16"/>
      <c r="Z55" s="16"/>
      <c r="AA55" s="92" t="s">
        <v>1358</v>
      </c>
      <c r="AB55" s="92" t="n">
        <v>10</v>
      </c>
      <c r="AC55" s="239" t="s">
        <v>2797</v>
      </c>
      <c r="AD55" s="24" t="n">
        <v>26.81014</v>
      </c>
      <c r="AE55" s="24" t="n">
        <v>72.783989</v>
      </c>
      <c r="AF55" s="20"/>
    </row>
    <row r="56" customFormat="false" ht="15.75" hidden="false" customHeight="false" outlineLevel="0" collapsed="false">
      <c r="A56" s="16" t="s">
        <v>42</v>
      </c>
      <c r="B56" s="16" t="s">
        <v>2667</v>
      </c>
      <c r="C56" s="71" t="s">
        <v>2794</v>
      </c>
      <c r="D56" s="16" t="s">
        <v>2798</v>
      </c>
      <c r="E56" s="16" t="s">
        <v>2799</v>
      </c>
      <c r="F56" s="16" t="n">
        <v>878.69</v>
      </c>
      <c r="G56" s="16" t="n">
        <v>153</v>
      </c>
      <c r="H56" s="16" t="n">
        <v>876</v>
      </c>
      <c r="I56" s="16" t="n">
        <v>472</v>
      </c>
      <c r="J56" s="16" t="n">
        <v>404</v>
      </c>
      <c r="K56" s="16" t="n">
        <v>0</v>
      </c>
      <c r="L56" s="19" t="n">
        <f aca="false">(K56/H56)*100</f>
        <v>0</v>
      </c>
      <c r="M56" s="16" t="n">
        <v>0</v>
      </c>
      <c r="N56" s="19" t="n">
        <f aca="false">(M56/H56)*100</f>
        <v>0</v>
      </c>
      <c r="O56" s="16" t="n">
        <v>119.77</v>
      </c>
      <c r="P56" s="16" t="n">
        <v>0</v>
      </c>
      <c r="Q56" s="89"/>
      <c r="R56" s="21"/>
      <c r="S56" s="16"/>
      <c r="T56" s="89"/>
      <c r="U56" s="16"/>
      <c r="V56" s="16"/>
      <c r="W56" s="16"/>
      <c r="X56" s="16"/>
      <c r="Y56" s="16"/>
      <c r="Z56" s="16"/>
      <c r="AA56" s="89"/>
      <c r="AB56" s="89"/>
      <c r="AC56" s="20"/>
      <c r="AD56" s="20"/>
      <c r="AE56" s="20"/>
      <c r="AF56" s="20"/>
    </row>
    <row r="57" customFormat="false" ht="15.75" hidden="false" customHeight="false" outlineLevel="0" collapsed="false">
      <c r="A57" s="16" t="s">
        <v>42</v>
      </c>
      <c r="B57" s="16" t="s">
        <v>2667</v>
      </c>
      <c r="C57" s="71" t="s">
        <v>2794</v>
      </c>
      <c r="D57" s="16" t="s">
        <v>2800</v>
      </c>
      <c r="E57" s="16" t="s">
        <v>2801</v>
      </c>
      <c r="F57" s="16" t="n">
        <v>453.52</v>
      </c>
      <c r="G57" s="16" t="n">
        <v>75</v>
      </c>
      <c r="H57" s="16" t="n">
        <v>378</v>
      </c>
      <c r="I57" s="16" t="n">
        <v>199</v>
      </c>
      <c r="J57" s="16" t="n">
        <v>179</v>
      </c>
      <c r="K57" s="16" t="n">
        <v>0</v>
      </c>
      <c r="L57" s="19" t="n">
        <f aca="false">(K57/H57)*100</f>
        <v>0</v>
      </c>
      <c r="M57" s="16" t="n">
        <v>0</v>
      </c>
      <c r="N57" s="19" t="n">
        <f aca="false">(M57/H57)*100</f>
        <v>0</v>
      </c>
      <c r="O57" s="16" t="n">
        <v>6</v>
      </c>
      <c r="P57" s="16" t="n">
        <v>0</v>
      </c>
      <c r="Q57" s="89"/>
      <c r="R57" s="21"/>
      <c r="S57" s="16"/>
      <c r="T57" s="89"/>
      <c r="U57" s="16"/>
      <c r="V57" s="16"/>
      <c r="W57" s="16"/>
      <c r="X57" s="16"/>
      <c r="Y57" s="16"/>
      <c r="Z57" s="16"/>
      <c r="AA57" s="89"/>
      <c r="AB57" s="89"/>
      <c r="AC57" s="20"/>
      <c r="AD57" s="20"/>
      <c r="AE57" s="20"/>
      <c r="AF57" s="20"/>
    </row>
    <row r="58" customFormat="false" ht="15.75" hidden="false" customHeight="false" outlineLevel="0" collapsed="false">
      <c r="A58" s="16" t="s">
        <v>42</v>
      </c>
      <c r="B58" s="16" t="s">
        <v>2667</v>
      </c>
      <c r="C58" s="71" t="s">
        <v>2802</v>
      </c>
      <c r="D58" s="72" t="s">
        <v>2803</v>
      </c>
      <c r="E58" s="16" t="s">
        <v>2804</v>
      </c>
      <c r="F58" s="16" t="n">
        <v>577.04</v>
      </c>
      <c r="G58" s="16" t="n">
        <v>119</v>
      </c>
      <c r="H58" s="16" t="n">
        <v>609</v>
      </c>
      <c r="I58" s="16" t="n">
        <v>318</v>
      </c>
      <c r="J58" s="16" t="n">
        <v>291</v>
      </c>
      <c r="K58" s="16" t="n">
        <v>0</v>
      </c>
      <c r="L58" s="19" t="n">
        <f aca="false">(K58/H58)*100</f>
        <v>0</v>
      </c>
      <c r="M58" s="16" t="n">
        <v>0</v>
      </c>
      <c r="N58" s="19" t="n">
        <f aca="false">(M58/H58)*100</f>
        <v>0</v>
      </c>
      <c r="O58" s="16" t="n">
        <v>0</v>
      </c>
      <c r="P58" s="16" t="n">
        <v>0</v>
      </c>
      <c r="Q58" s="89" t="s">
        <v>49</v>
      </c>
      <c r="R58" s="34" t="n">
        <v>45201</v>
      </c>
      <c r="S58" s="16"/>
      <c r="T58" s="89" t="n">
        <v>0</v>
      </c>
      <c r="U58" s="16"/>
      <c r="V58" s="16"/>
      <c r="W58" s="16"/>
      <c r="X58" s="16"/>
      <c r="Y58" s="16"/>
      <c r="Z58" s="16"/>
      <c r="AA58" s="89" t="s">
        <v>50</v>
      </c>
      <c r="AB58" s="89" t="n">
        <v>0</v>
      </c>
      <c r="AC58" s="36"/>
      <c r="AD58" s="20" t="n">
        <v>0</v>
      </c>
      <c r="AE58" s="20" t="n">
        <v>0</v>
      </c>
      <c r="AF58" s="20"/>
    </row>
    <row r="59" customFormat="false" ht="15.75" hidden="false" customHeight="false" outlineLevel="0" collapsed="false">
      <c r="A59" s="16" t="s">
        <v>42</v>
      </c>
      <c r="B59" s="16" t="s">
        <v>2667</v>
      </c>
      <c r="C59" s="71" t="s">
        <v>2802</v>
      </c>
      <c r="D59" s="16" t="s">
        <v>2805</v>
      </c>
      <c r="E59" s="16" t="s">
        <v>2806</v>
      </c>
      <c r="F59" s="16" t="n">
        <v>417.87</v>
      </c>
      <c r="G59" s="16" t="n">
        <v>46</v>
      </c>
      <c r="H59" s="16" t="n">
        <v>307</v>
      </c>
      <c r="I59" s="16" t="n">
        <v>160</v>
      </c>
      <c r="J59" s="16" t="n">
        <v>147</v>
      </c>
      <c r="K59" s="16" t="n">
        <v>0</v>
      </c>
      <c r="L59" s="19" t="n">
        <f aca="false">(K59/H59)*100</f>
        <v>0</v>
      </c>
      <c r="M59" s="16" t="n">
        <v>0</v>
      </c>
      <c r="N59" s="19" t="n">
        <f aca="false">(M59/H59)*100</f>
        <v>0</v>
      </c>
      <c r="O59" s="16" t="n">
        <v>0</v>
      </c>
      <c r="P59" s="16" t="n">
        <v>15</v>
      </c>
      <c r="Q59" s="89" t="s">
        <v>49</v>
      </c>
      <c r="R59" s="34" t="n">
        <v>45201</v>
      </c>
      <c r="S59" s="16"/>
      <c r="T59" s="89"/>
      <c r="U59" s="16"/>
      <c r="V59" s="16"/>
      <c r="W59" s="16"/>
      <c r="X59" s="16"/>
      <c r="Y59" s="16"/>
      <c r="Z59" s="16"/>
      <c r="AA59" s="89" t="s">
        <v>50</v>
      </c>
      <c r="AB59" s="89" t="n">
        <v>0</v>
      </c>
      <c r="AC59" s="36"/>
      <c r="AD59" s="20"/>
      <c r="AE59" s="20"/>
      <c r="AF59" s="20"/>
    </row>
    <row r="60" customFormat="false" ht="15.75" hidden="false" customHeight="false" outlineLevel="0" collapsed="false">
      <c r="A60" s="16" t="s">
        <v>42</v>
      </c>
      <c r="B60" s="16" t="s">
        <v>2667</v>
      </c>
      <c r="C60" s="71" t="s">
        <v>2802</v>
      </c>
      <c r="D60" s="16" t="s">
        <v>2807</v>
      </c>
      <c r="E60" s="16" t="s">
        <v>2808</v>
      </c>
      <c r="F60" s="16" t="n">
        <v>789.45</v>
      </c>
      <c r="G60" s="16" t="n">
        <v>103</v>
      </c>
      <c r="H60" s="16" t="n">
        <v>511</v>
      </c>
      <c r="I60" s="16" t="n">
        <v>266</v>
      </c>
      <c r="J60" s="16" t="n">
        <v>245</v>
      </c>
      <c r="K60" s="16" t="n">
        <v>0</v>
      </c>
      <c r="L60" s="19" t="n">
        <f aca="false">(K60/H60)*100</f>
        <v>0</v>
      </c>
      <c r="M60" s="16" t="n">
        <v>0</v>
      </c>
      <c r="N60" s="19" t="n">
        <f aca="false">(M60/H60)*100</f>
        <v>0</v>
      </c>
      <c r="O60" s="16" t="n">
        <v>0</v>
      </c>
      <c r="P60" s="16" t="n">
        <v>0</v>
      </c>
      <c r="Q60" s="89" t="s">
        <v>49</v>
      </c>
      <c r="R60" s="34" t="n">
        <v>45201</v>
      </c>
      <c r="S60" s="16"/>
      <c r="T60" s="89" t="n">
        <v>0</v>
      </c>
      <c r="U60" s="16"/>
      <c r="V60" s="16"/>
      <c r="W60" s="16"/>
      <c r="X60" s="16"/>
      <c r="Y60" s="16"/>
      <c r="Z60" s="16"/>
      <c r="AA60" s="89" t="s">
        <v>50</v>
      </c>
      <c r="AB60" s="89" t="n">
        <v>0</v>
      </c>
      <c r="AC60" s="36"/>
      <c r="AD60" s="20" t="n">
        <v>0</v>
      </c>
      <c r="AE60" s="20" t="n">
        <v>0</v>
      </c>
      <c r="AF60" s="20"/>
    </row>
    <row r="61" customFormat="false" ht="15.75" hidden="false" customHeight="false" outlineLevel="0" collapsed="false">
      <c r="A61" s="16" t="s">
        <v>42</v>
      </c>
      <c r="B61" s="16" t="s">
        <v>2667</v>
      </c>
      <c r="C61" s="71" t="s">
        <v>2802</v>
      </c>
      <c r="D61" s="16" t="s">
        <v>2809</v>
      </c>
      <c r="E61" s="16" t="s">
        <v>2810</v>
      </c>
      <c r="F61" s="16" t="n">
        <v>538.01</v>
      </c>
      <c r="G61" s="16" t="n">
        <v>71</v>
      </c>
      <c r="H61" s="16" t="n">
        <v>369</v>
      </c>
      <c r="I61" s="16" t="n">
        <v>192</v>
      </c>
      <c r="J61" s="16" t="n">
        <v>177</v>
      </c>
      <c r="K61" s="16" t="n">
        <v>0</v>
      </c>
      <c r="L61" s="19" t="n">
        <f aca="false">(K61/H61)*100</f>
        <v>0</v>
      </c>
      <c r="M61" s="16" t="n">
        <v>0</v>
      </c>
      <c r="N61" s="19" t="n">
        <f aca="false">(M61/H61)*100</f>
        <v>0</v>
      </c>
      <c r="O61" s="16" t="n">
        <v>0</v>
      </c>
      <c r="P61" s="16" t="n">
        <v>6</v>
      </c>
      <c r="Q61" s="89" t="s">
        <v>49</v>
      </c>
      <c r="R61" s="34" t="n">
        <v>45201</v>
      </c>
      <c r="S61" s="16"/>
      <c r="T61" s="89"/>
      <c r="U61" s="16"/>
      <c r="V61" s="16"/>
      <c r="W61" s="16"/>
      <c r="X61" s="16"/>
      <c r="Y61" s="16"/>
      <c r="Z61" s="16"/>
      <c r="AA61" s="89" t="s">
        <v>50</v>
      </c>
      <c r="AB61" s="89" t="n">
        <v>0</v>
      </c>
      <c r="AC61" s="36"/>
      <c r="AD61" s="20"/>
      <c r="AE61" s="20"/>
      <c r="AF61" s="20"/>
    </row>
    <row r="62" customFormat="false" ht="15.75" hidden="false" customHeight="false" outlineLevel="0" collapsed="false">
      <c r="A62" s="16" t="s">
        <v>42</v>
      </c>
      <c r="B62" s="16" t="s">
        <v>2667</v>
      </c>
      <c r="C62" s="71" t="s">
        <v>2802</v>
      </c>
      <c r="D62" s="16" t="s">
        <v>2811</v>
      </c>
      <c r="E62" s="16" t="s">
        <v>2812</v>
      </c>
      <c r="F62" s="16" t="n">
        <v>393</v>
      </c>
      <c r="G62" s="16" t="n">
        <v>131</v>
      </c>
      <c r="H62" s="16" t="n">
        <v>848</v>
      </c>
      <c r="I62" s="16" t="n">
        <v>443</v>
      </c>
      <c r="J62" s="16" t="n">
        <v>405</v>
      </c>
      <c r="K62" s="16" t="n">
        <v>0</v>
      </c>
      <c r="L62" s="19" t="n">
        <f aca="false">(K62/H62)*100</f>
        <v>0</v>
      </c>
      <c r="M62" s="16" t="n">
        <v>0</v>
      </c>
      <c r="N62" s="19" t="n">
        <f aca="false">(M62/H62)*100</f>
        <v>0</v>
      </c>
      <c r="O62" s="16" t="n">
        <v>0</v>
      </c>
      <c r="P62" s="16" t="n">
        <v>69.92</v>
      </c>
      <c r="Q62" s="89" t="s">
        <v>49</v>
      </c>
      <c r="R62" s="34" t="n">
        <v>45201</v>
      </c>
      <c r="S62" s="16"/>
      <c r="T62" s="89"/>
      <c r="U62" s="16"/>
      <c r="V62" s="16"/>
      <c r="W62" s="16"/>
      <c r="X62" s="16"/>
      <c r="Y62" s="16"/>
      <c r="Z62" s="16"/>
      <c r="AA62" s="89" t="s">
        <v>50</v>
      </c>
      <c r="AB62" s="89" t="n">
        <v>8</v>
      </c>
      <c r="AC62" s="305" t="s">
        <v>2813</v>
      </c>
      <c r="AD62" s="20"/>
      <c r="AE62" s="20"/>
      <c r="AF62" s="20"/>
    </row>
    <row r="63" customFormat="false" ht="15.75" hidden="false" customHeight="false" outlineLevel="0" collapsed="false">
      <c r="A63" s="16" t="s">
        <v>42</v>
      </c>
      <c r="B63" s="16" t="s">
        <v>2667</v>
      </c>
      <c r="C63" s="71" t="s">
        <v>2814</v>
      </c>
      <c r="D63" s="72" t="s">
        <v>2815</v>
      </c>
      <c r="E63" s="16" t="s">
        <v>2816</v>
      </c>
      <c r="F63" s="16" t="n">
        <v>1176.05</v>
      </c>
      <c r="G63" s="16" t="n">
        <v>205</v>
      </c>
      <c r="H63" s="16" t="n">
        <v>1189</v>
      </c>
      <c r="I63" s="16" t="n">
        <v>618</v>
      </c>
      <c r="J63" s="16" t="n">
        <v>571</v>
      </c>
      <c r="K63" s="16" t="n">
        <v>171</v>
      </c>
      <c r="L63" s="19" t="n">
        <f aca="false">(K63/H63)*100</f>
        <v>14.3818334735072</v>
      </c>
      <c r="M63" s="16" t="n">
        <v>42</v>
      </c>
      <c r="N63" s="19" t="n">
        <f aca="false">(M63/H63)*100</f>
        <v>3.53238015138772</v>
      </c>
      <c r="O63" s="16" t="n">
        <v>101.04</v>
      </c>
      <c r="P63" s="16" t="n">
        <v>461.28</v>
      </c>
      <c r="Q63" s="89" t="s">
        <v>49</v>
      </c>
      <c r="R63" s="34" t="n">
        <v>45201</v>
      </c>
      <c r="S63" s="16"/>
      <c r="T63" s="89" t="n">
        <v>94.1945</v>
      </c>
      <c r="U63" s="16"/>
      <c r="V63" s="16"/>
      <c r="W63" s="16"/>
      <c r="X63" s="16"/>
      <c r="Y63" s="16"/>
      <c r="Z63" s="16"/>
      <c r="AA63" s="89" t="s">
        <v>50</v>
      </c>
      <c r="AB63" s="89" t="n">
        <v>0</v>
      </c>
      <c r="AC63" s="36"/>
      <c r="AD63" s="20"/>
      <c r="AE63" s="20"/>
      <c r="AF63" s="20"/>
    </row>
    <row r="64" customFormat="false" ht="15.75" hidden="false" customHeight="false" outlineLevel="0" collapsed="false">
      <c r="A64" s="16" t="s">
        <v>42</v>
      </c>
      <c r="B64" s="16" t="s">
        <v>2667</v>
      </c>
      <c r="C64" s="71" t="s">
        <v>2814</v>
      </c>
      <c r="D64" s="16" t="s">
        <v>2817</v>
      </c>
      <c r="E64" s="16" t="s">
        <v>2818</v>
      </c>
      <c r="F64" s="16" t="n">
        <v>671</v>
      </c>
      <c r="G64" s="16" t="n">
        <v>43</v>
      </c>
      <c r="H64" s="16" t="n">
        <v>262</v>
      </c>
      <c r="I64" s="16" t="n">
        <v>143</v>
      </c>
      <c r="J64" s="16" t="n">
        <v>119</v>
      </c>
      <c r="K64" s="16" t="n">
        <v>0</v>
      </c>
      <c r="L64" s="19" t="n">
        <f aca="false">(K64/H64)*100</f>
        <v>0</v>
      </c>
      <c r="M64" s="16" t="n">
        <v>0</v>
      </c>
      <c r="N64" s="19" t="n">
        <f aca="false">(M64/H64)*100</f>
        <v>0</v>
      </c>
      <c r="O64" s="16" t="n">
        <v>0</v>
      </c>
      <c r="P64" s="16" t="n">
        <v>3</v>
      </c>
      <c r="Q64" s="89" t="s">
        <v>49</v>
      </c>
      <c r="R64" s="34" t="n">
        <v>45201</v>
      </c>
      <c r="S64" s="16"/>
      <c r="T64" s="89" t="n">
        <v>0</v>
      </c>
      <c r="U64" s="16"/>
      <c r="V64" s="16"/>
      <c r="W64" s="16"/>
      <c r="X64" s="16"/>
      <c r="Y64" s="16"/>
      <c r="Z64" s="16"/>
      <c r="AA64" s="89" t="s">
        <v>50</v>
      </c>
      <c r="AB64" s="89" t="n">
        <v>0</v>
      </c>
      <c r="AC64" s="36"/>
      <c r="AD64" s="20" t="n">
        <v>0</v>
      </c>
      <c r="AE64" s="20" t="n">
        <v>0</v>
      </c>
      <c r="AF64" s="20"/>
    </row>
    <row r="65" customFormat="false" ht="15.75" hidden="false" customHeight="false" outlineLevel="0" collapsed="false">
      <c r="A65" s="16" t="s">
        <v>42</v>
      </c>
      <c r="B65" s="16" t="s">
        <v>2667</v>
      </c>
      <c r="C65" s="71" t="s">
        <v>2814</v>
      </c>
      <c r="D65" s="16" t="s">
        <v>2819</v>
      </c>
      <c r="E65" s="16" t="s">
        <v>2820</v>
      </c>
      <c r="F65" s="16" t="n">
        <v>599.86</v>
      </c>
      <c r="G65" s="16" t="n">
        <v>85</v>
      </c>
      <c r="H65" s="16" t="n">
        <v>535</v>
      </c>
      <c r="I65" s="16" t="n">
        <v>294</v>
      </c>
      <c r="J65" s="16" t="n">
        <v>241</v>
      </c>
      <c r="K65" s="16" t="n">
        <v>54</v>
      </c>
      <c r="L65" s="19" t="n">
        <f aca="false">(K65/H65)*100</f>
        <v>10.0934579439252</v>
      </c>
      <c r="M65" s="16" t="n">
        <v>28</v>
      </c>
      <c r="N65" s="19" t="n">
        <f aca="false">(M65/H65)*100</f>
        <v>5.23364485981309</v>
      </c>
      <c r="O65" s="16" t="n">
        <v>0</v>
      </c>
      <c r="P65" s="16" t="n">
        <v>230.07</v>
      </c>
      <c r="Q65" s="89" t="s">
        <v>49</v>
      </c>
      <c r="R65" s="34" t="n">
        <v>45201</v>
      </c>
      <c r="S65" s="16"/>
      <c r="T65" s="89" t="n">
        <v>67.7605</v>
      </c>
      <c r="U65" s="16"/>
      <c r="V65" s="16"/>
      <c r="W65" s="16"/>
      <c r="X65" s="16"/>
      <c r="Y65" s="16"/>
      <c r="Z65" s="16"/>
      <c r="AA65" s="89" t="s">
        <v>50</v>
      </c>
      <c r="AB65" s="89" t="n">
        <v>0</v>
      </c>
      <c r="AC65" s="36"/>
      <c r="AD65" s="20"/>
      <c r="AE65" s="20"/>
      <c r="AF65" s="20"/>
    </row>
    <row r="66" customFormat="false" ht="15.75" hidden="false" customHeight="false" outlineLevel="0" collapsed="false">
      <c r="A66" s="16" t="s">
        <v>42</v>
      </c>
      <c r="B66" s="16" t="s">
        <v>2667</v>
      </c>
      <c r="C66" s="71" t="s">
        <v>2814</v>
      </c>
      <c r="D66" s="16" t="s">
        <v>2821</v>
      </c>
      <c r="E66" s="16" t="s">
        <v>2822</v>
      </c>
      <c r="F66" s="16" t="n">
        <v>460.15</v>
      </c>
      <c r="G66" s="16" t="n">
        <v>27</v>
      </c>
      <c r="H66" s="16" t="n">
        <v>149</v>
      </c>
      <c r="I66" s="16" t="n">
        <v>79</v>
      </c>
      <c r="J66" s="16" t="n">
        <v>70</v>
      </c>
      <c r="K66" s="16" t="n">
        <v>20</v>
      </c>
      <c r="L66" s="19" t="n">
        <f aca="false">(K66/H66)*100</f>
        <v>13.4228187919463</v>
      </c>
      <c r="M66" s="16" t="n">
        <v>0</v>
      </c>
      <c r="N66" s="19" t="n">
        <f aca="false">(M66/H66)*100</f>
        <v>0</v>
      </c>
      <c r="O66" s="16" t="n">
        <v>0</v>
      </c>
      <c r="P66" s="16" t="n">
        <v>0</v>
      </c>
      <c r="Q66" s="89" t="s">
        <v>49</v>
      </c>
      <c r="R66" s="34" t="n">
        <v>45201</v>
      </c>
      <c r="S66" s="16"/>
      <c r="T66" s="89" t="n">
        <v>0</v>
      </c>
      <c r="U66" s="16"/>
      <c r="V66" s="16"/>
      <c r="W66" s="16"/>
      <c r="X66" s="16"/>
      <c r="Y66" s="16"/>
      <c r="Z66" s="16"/>
      <c r="AA66" s="89" t="s">
        <v>50</v>
      </c>
      <c r="AB66" s="89" t="n">
        <v>0</v>
      </c>
      <c r="AC66" s="36"/>
      <c r="AD66" s="20" t="n">
        <v>0</v>
      </c>
      <c r="AE66" s="20" t="n">
        <v>0</v>
      </c>
      <c r="AF66" s="20"/>
    </row>
    <row r="67" customFormat="false" ht="15.75" hidden="false" customHeight="false" outlineLevel="0" collapsed="false">
      <c r="A67" s="16" t="s">
        <v>42</v>
      </c>
      <c r="B67" s="16" t="s">
        <v>2667</v>
      </c>
      <c r="C67" s="71" t="s">
        <v>2814</v>
      </c>
      <c r="D67" s="16" t="s">
        <v>2823</v>
      </c>
      <c r="E67" s="16" t="s">
        <v>2824</v>
      </c>
      <c r="F67" s="16" t="n">
        <v>640.02</v>
      </c>
      <c r="G67" s="16" t="n">
        <v>98</v>
      </c>
      <c r="H67" s="16" t="n">
        <v>538</v>
      </c>
      <c r="I67" s="16" t="n">
        <v>293</v>
      </c>
      <c r="J67" s="16" t="n">
        <v>245</v>
      </c>
      <c r="K67" s="16" t="n">
        <v>387</v>
      </c>
      <c r="L67" s="19" t="n">
        <f aca="false">(K67/H67)*100</f>
        <v>71.9330855018587</v>
      </c>
      <c r="M67" s="16" t="n">
        <v>3</v>
      </c>
      <c r="N67" s="19" t="n">
        <f aca="false">(M67/H67)*100</f>
        <v>0.557620817843866</v>
      </c>
      <c r="O67" s="16" t="n">
        <v>0</v>
      </c>
      <c r="P67" s="16" t="n">
        <v>0</v>
      </c>
      <c r="Q67" s="89" t="s">
        <v>49</v>
      </c>
      <c r="R67" s="34" t="n">
        <v>45201</v>
      </c>
      <c r="S67" s="16"/>
      <c r="T67" s="89" t="n">
        <v>0</v>
      </c>
      <c r="U67" s="16"/>
      <c r="V67" s="16"/>
      <c r="W67" s="16"/>
      <c r="X67" s="16"/>
      <c r="Y67" s="16"/>
      <c r="Z67" s="16"/>
      <c r="AA67" s="89" t="s">
        <v>50</v>
      </c>
      <c r="AB67" s="89" t="n">
        <v>0</v>
      </c>
      <c r="AC67" s="36"/>
      <c r="AD67" s="20" t="n">
        <v>0</v>
      </c>
      <c r="AE67" s="20" t="n">
        <v>0</v>
      </c>
      <c r="AF67" s="20"/>
    </row>
    <row r="68" customFormat="false" ht="15.75" hidden="false" customHeight="false" outlineLevel="0" collapsed="false">
      <c r="A68" s="16" t="s">
        <v>42</v>
      </c>
      <c r="B68" s="16" t="s">
        <v>2667</v>
      </c>
      <c r="C68" s="71" t="s">
        <v>2825</v>
      </c>
      <c r="D68" s="72" t="s">
        <v>2826</v>
      </c>
      <c r="E68" s="16" t="s">
        <v>2827</v>
      </c>
      <c r="F68" s="16" t="n">
        <v>1489</v>
      </c>
      <c r="G68" s="16" t="n">
        <v>217</v>
      </c>
      <c r="H68" s="16" t="n">
        <v>1584</v>
      </c>
      <c r="I68" s="16" t="n">
        <v>806</v>
      </c>
      <c r="J68" s="16" t="n">
        <v>778</v>
      </c>
      <c r="K68" s="16" t="n">
        <v>283</v>
      </c>
      <c r="L68" s="19" t="n">
        <f aca="false">(K68/H68)*100</f>
        <v>17.8661616161616</v>
      </c>
      <c r="M68" s="16" t="n">
        <v>0</v>
      </c>
      <c r="N68" s="19" t="n">
        <f aca="false">(M68/H68)*100</f>
        <v>0</v>
      </c>
      <c r="O68" s="16" t="n">
        <v>56</v>
      </c>
      <c r="P68" s="16" t="n">
        <v>0</v>
      </c>
      <c r="Q68" s="247" t="s">
        <v>50</v>
      </c>
      <c r="R68" s="82" t="n">
        <v>44602</v>
      </c>
      <c r="S68" s="16"/>
      <c r="T68" s="84" t="n">
        <v>57.33</v>
      </c>
      <c r="U68" s="16"/>
      <c r="V68" s="16"/>
      <c r="W68" s="16"/>
      <c r="X68" s="16"/>
      <c r="Y68" s="16"/>
      <c r="Z68" s="16"/>
      <c r="AA68" s="247" t="s">
        <v>50</v>
      </c>
      <c r="AB68" s="247" t="n">
        <v>16</v>
      </c>
      <c r="AC68" s="85" t="s">
        <v>2828</v>
      </c>
      <c r="AD68" s="264" t="n">
        <v>26.959753</v>
      </c>
      <c r="AE68" s="312" t="n">
        <v>72.625232</v>
      </c>
      <c r="AF68" s="20"/>
    </row>
    <row r="69" customFormat="false" ht="15.75" hidden="false" customHeight="false" outlineLevel="0" collapsed="false">
      <c r="A69" s="16" t="s">
        <v>42</v>
      </c>
      <c r="B69" s="16" t="s">
        <v>2667</v>
      </c>
      <c r="C69" s="71" t="s">
        <v>2825</v>
      </c>
      <c r="D69" s="16" t="s">
        <v>2829</v>
      </c>
      <c r="E69" s="16" t="s">
        <v>2830</v>
      </c>
      <c r="F69" s="16" t="n">
        <v>739.47</v>
      </c>
      <c r="G69" s="16" t="n">
        <v>312</v>
      </c>
      <c r="H69" s="16" t="n">
        <v>1884</v>
      </c>
      <c r="I69" s="16" t="n">
        <v>976</v>
      </c>
      <c r="J69" s="16" t="n">
        <v>908</v>
      </c>
      <c r="K69" s="16" t="n">
        <v>579</v>
      </c>
      <c r="L69" s="19" t="n">
        <f aca="false">(K69/H69)*100</f>
        <v>30.7324840764331</v>
      </c>
      <c r="M69" s="16" t="n">
        <v>207</v>
      </c>
      <c r="N69" s="19" t="n">
        <f aca="false">(M69/H69)*100</f>
        <v>10.9872611464968</v>
      </c>
      <c r="O69" s="16" t="n">
        <v>16</v>
      </c>
      <c r="P69" s="16" t="n">
        <v>0</v>
      </c>
      <c r="Q69" s="247" t="s">
        <v>50</v>
      </c>
      <c r="R69" s="82" t="n">
        <v>44602</v>
      </c>
      <c r="S69" s="16"/>
      <c r="T69" s="84" t="n">
        <v>34.43</v>
      </c>
      <c r="U69" s="16"/>
      <c r="V69" s="16"/>
      <c r="W69" s="16"/>
      <c r="X69" s="16"/>
      <c r="Y69" s="16"/>
      <c r="Z69" s="16"/>
      <c r="AA69" s="247" t="s">
        <v>50</v>
      </c>
      <c r="AB69" s="247" t="n">
        <v>8</v>
      </c>
      <c r="AC69" s="85" t="s">
        <v>2831</v>
      </c>
      <c r="AD69" s="264" t="n">
        <v>26.959753</v>
      </c>
      <c r="AE69" s="312" t="n">
        <v>72.625232</v>
      </c>
      <c r="AF69" s="20"/>
    </row>
    <row r="70" customFormat="false" ht="15.75" hidden="false" customHeight="false" outlineLevel="0" collapsed="false">
      <c r="A70" s="16" t="s">
        <v>42</v>
      </c>
      <c r="B70" s="16" t="s">
        <v>2667</v>
      </c>
      <c r="C70" s="71" t="s">
        <v>2832</v>
      </c>
      <c r="D70" s="72" t="s">
        <v>2832</v>
      </c>
      <c r="E70" s="16" t="s">
        <v>2833</v>
      </c>
      <c r="F70" s="16" t="n">
        <v>1214</v>
      </c>
      <c r="G70" s="16" t="n">
        <v>161</v>
      </c>
      <c r="H70" s="16" t="n">
        <v>1046</v>
      </c>
      <c r="I70" s="16" t="n">
        <v>548</v>
      </c>
      <c r="J70" s="16" t="n">
        <v>498</v>
      </c>
      <c r="K70" s="16" t="n">
        <v>0</v>
      </c>
      <c r="L70" s="19" t="n">
        <f aca="false">(K70/H70)*100</f>
        <v>0</v>
      </c>
      <c r="M70" s="16" t="n">
        <v>188</v>
      </c>
      <c r="N70" s="19" t="n">
        <f aca="false">(M70/H70)*100</f>
        <v>17.9732313575526</v>
      </c>
      <c r="O70" s="16" t="n">
        <v>33</v>
      </c>
      <c r="P70" s="16" t="n">
        <v>0</v>
      </c>
      <c r="Q70" s="89" t="s">
        <v>49</v>
      </c>
      <c r="R70" s="34" t="n">
        <v>45881</v>
      </c>
      <c r="S70" s="16"/>
      <c r="T70" s="89"/>
      <c r="U70" s="16"/>
      <c r="V70" s="16"/>
      <c r="W70" s="16"/>
      <c r="X70" s="16"/>
      <c r="Y70" s="16"/>
      <c r="Z70" s="16"/>
      <c r="AA70" s="89" t="s">
        <v>50</v>
      </c>
      <c r="AB70" s="89" t="n">
        <v>5</v>
      </c>
      <c r="AC70" s="36" t="s">
        <v>2834</v>
      </c>
      <c r="AD70" s="95" t="n">
        <v>27.03615</v>
      </c>
      <c r="AE70" s="95" t="n">
        <v>72.74145</v>
      </c>
      <c r="AF70" s="20" t="s">
        <v>52</v>
      </c>
    </row>
    <row r="71" customFormat="false" ht="15.75" hidden="false" customHeight="false" outlineLevel="0" collapsed="false">
      <c r="A71" s="16"/>
      <c r="B71" s="16"/>
      <c r="C71" s="71"/>
      <c r="D71" s="72"/>
      <c r="E71" s="16"/>
      <c r="F71" s="16"/>
      <c r="G71" s="16"/>
      <c r="H71" s="16"/>
      <c r="I71" s="16"/>
      <c r="J71" s="16"/>
      <c r="K71" s="16"/>
      <c r="L71" s="19"/>
      <c r="M71" s="16"/>
      <c r="N71" s="19"/>
      <c r="O71" s="16"/>
      <c r="P71" s="16"/>
      <c r="Q71" s="143"/>
      <c r="R71" s="142"/>
      <c r="S71" s="16"/>
      <c r="T71" s="143"/>
      <c r="U71" s="16"/>
      <c r="V71" s="16"/>
      <c r="W71" s="16"/>
      <c r="X71" s="16"/>
      <c r="Y71" s="16"/>
      <c r="Z71" s="16"/>
      <c r="AA71" s="143" t="s">
        <v>50</v>
      </c>
      <c r="AB71" s="143" t="n">
        <v>30</v>
      </c>
      <c r="AC71" s="364" t="s">
        <v>2835</v>
      </c>
      <c r="AD71" s="140" t="n">
        <v>27.031095</v>
      </c>
      <c r="AE71" s="140" t="n">
        <v>72.725216</v>
      </c>
      <c r="AF71" s="20" t="s">
        <v>52</v>
      </c>
    </row>
    <row r="72" customFormat="false" ht="15.75" hidden="false" customHeight="false" outlineLevel="0" collapsed="false">
      <c r="A72" s="16" t="s">
        <v>42</v>
      </c>
      <c r="B72" s="16" t="s">
        <v>2667</v>
      </c>
      <c r="C72" s="71" t="s">
        <v>2832</v>
      </c>
      <c r="D72" s="16" t="s">
        <v>2836</v>
      </c>
      <c r="E72" s="16" t="s">
        <v>2837</v>
      </c>
      <c r="F72" s="16" t="n">
        <v>971.43</v>
      </c>
      <c r="G72" s="16" t="n">
        <v>195</v>
      </c>
      <c r="H72" s="16" t="n">
        <v>1065</v>
      </c>
      <c r="I72" s="16" t="n">
        <v>541</v>
      </c>
      <c r="J72" s="16" t="n">
        <v>524</v>
      </c>
      <c r="K72" s="16" t="n">
        <v>0</v>
      </c>
      <c r="L72" s="19" t="n">
        <f aca="false">(K72/H72)*100</f>
        <v>0</v>
      </c>
      <c r="M72" s="16" t="n">
        <v>0</v>
      </c>
      <c r="N72" s="19" t="n">
        <f aca="false">(M72/H72)*100</f>
        <v>0</v>
      </c>
      <c r="O72" s="16" t="n">
        <v>0</v>
      </c>
      <c r="P72" s="16" t="n">
        <v>0</v>
      </c>
      <c r="Q72" s="89" t="s">
        <v>49</v>
      </c>
      <c r="R72" s="34" t="n">
        <v>45881</v>
      </c>
      <c r="S72" s="16"/>
      <c r="T72" s="89"/>
      <c r="U72" s="16"/>
      <c r="V72" s="16"/>
      <c r="W72" s="16"/>
      <c r="X72" s="16"/>
      <c r="Y72" s="16"/>
      <c r="Z72" s="16"/>
      <c r="AA72" s="89" t="s">
        <v>50</v>
      </c>
      <c r="AB72" s="89" t="n">
        <v>0</v>
      </c>
      <c r="AC72" s="36"/>
      <c r="AD72" s="95" t="n">
        <v>0</v>
      </c>
      <c r="AE72" s="95" t="n">
        <v>0</v>
      </c>
      <c r="AF72" s="20" t="s">
        <v>52</v>
      </c>
    </row>
    <row r="73" customFormat="false" ht="15.75" hidden="false" customHeight="false" outlineLevel="0" collapsed="false">
      <c r="A73" s="16" t="s">
        <v>42</v>
      </c>
      <c r="B73" s="16" t="s">
        <v>2667</v>
      </c>
      <c r="C73" s="71" t="s">
        <v>2832</v>
      </c>
      <c r="D73" s="16" t="s">
        <v>2838</v>
      </c>
      <c r="E73" s="16" t="s">
        <v>2839</v>
      </c>
      <c r="F73" s="16" t="n">
        <v>968.2</v>
      </c>
      <c r="G73" s="16" t="n">
        <v>104</v>
      </c>
      <c r="H73" s="16" t="n">
        <v>524</v>
      </c>
      <c r="I73" s="16" t="n">
        <v>277</v>
      </c>
      <c r="J73" s="16" t="n">
        <v>247</v>
      </c>
      <c r="K73" s="16" t="n">
        <v>5</v>
      </c>
      <c r="L73" s="19" t="n">
        <f aca="false">(K73/H73)*100</f>
        <v>0.954198473282443</v>
      </c>
      <c r="M73" s="16" t="n">
        <v>0</v>
      </c>
      <c r="N73" s="19" t="n">
        <f aca="false">(M73/H73)*100</f>
        <v>0</v>
      </c>
      <c r="O73" s="16" t="n">
        <v>0</v>
      </c>
      <c r="P73" s="16" t="n">
        <v>0</v>
      </c>
      <c r="Q73" s="89" t="s">
        <v>70</v>
      </c>
      <c r="R73" s="34" t="n">
        <v>45881</v>
      </c>
      <c r="S73" s="16"/>
      <c r="T73" s="89" t="n">
        <v>0</v>
      </c>
      <c r="U73" s="16"/>
      <c r="V73" s="16"/>
      <c r="W73" s="16"/>
      <c r="X73" s="16"/>
      <c r="Y73" s="16"/>
      <c r="Z73" s="16"/>
      <c r="AA73" s="89" t="s">
        <v>50</v>
      </c>
      <c r="AB73" s="89" t="n">
        <v>0</v>
      </c>
      <c r="AC73" s="36"/>
      <c r="AD73" s="95" t="n">
        <v>0</v>
      </c>
      <c r="AE73" s="95" t="n">
        <v>0</v>
      </c>
      <c r="AF73" s="20" t="s">
        <v>52</v>
      </c>
    </row>
    <row r="74" customFormat="false" ht="15.75" hidden="false" customHeight="false" outlineLevel="0" collapsed="false">
      <c r="A74" s="16" t="s">
        <v>42</v>
      </c>
      <c r="B74" s="16" t="s">
        <v>2667</v>
      </c>
      <c r="C74" s="71" t="s">
        <v>2832</v>
      </c>
      <c r="D74" s="16" t="s">
        <v>2840</v>
      </c>
      <c r="E74" s="16" t="s">
        <v>2841</v>
      </c>
      <c r="F74" s="16" t="n">
        <v>1231</v>
      </c>
      <c r="G74" s="16" t="n">
        <v>136</v>
      </c>
      <c r="H74" s="16" t="n">
        <v>801</v>
      </c>
      <c r="I74" s="16" t="n">
        <v>409</v>
      </c>
      <c r="J74" s="16" t="n">
        <v>392</v>
      </c>
      <c r="K74" s="16" t="n">
        <v>1</v>
      </c>
      <c r="L74" s="19" t="n">
        <f aca="false">(K74/H74)*100</f>
        <v>0.124843945068664</v>
      </c>
      <c r="M74" s="16" t="n">
        <v>6</v>
      </c>
      <c r="N74" s="19" t="n">
        <f aca="false">(M74/H74)*100</f>
        <v>0.749063670411985</v>
      </c>
      <c r="O74" s="16" t="n">
        <v>0</v>
      </c>
      <c r="P74" s="16" t="n">
        <v>0</v>
      </c>
      <c r="Q74" s="89" t="s">
        <v>49</v>
      </c>
      <c r="R74" s="34" t="n">
        <v>45881</v>
      </c>
      <c r="S74" s="16"/>
      <c r="T74" s="89"/>
      <c r="U74" s="16"/>
      <c r="V74" s="16"/>
      <c r="W74" s="16"/>
      <c r="X74" s="16"/>
      <c r="Y74" s="16"/>
      <c r="Z74" s="16"/>
      <c r="AA74" s="89" t="s">
        <v>50</v>
      </c>
      <c r="AB74" s="89" t="n">
        <v>25</v>
      </c>
      <c r="AC74" s="36" t="s">
        <v>2842</v>
      </c>
      <c r="AD74" s="95" t="n">
        <v>27.011694</v>
      </c>
      <c r="AE74" s="95" t="n">
        <v>72.70251</v>
      </c>
      <c r="AF74" s="20" t="s">
        <v>52</v>
      </c>
    </row>
    <row r="75" customFormat="false" ht="15.75" hidden="false" customHeight="false" outlineLevel="0" collapsed="false">
      <c r="A75" s="16" t="s">
        <v>42</v>
      </c>
      <c r="B75" s="16" t="s">
        <v>2667</v>
      </c>
      <c r="C75" s="71" t="s">
        <v>2843</v>
      </c>
      <c r="D75" s="72" t="s">
        <v>2843</v>
      </c>
      <c r="E75" s="16" t="s">
        <v>2844</v>
      </c>
      <c r="F75" s="16" t="n">
        <v>680</v>
      </c>
      <c r="G75" s="16" t="n">
        <v>117</v>
      </c>
      <c r="H75" s="16" t="n">
        <v>695</v>
      </c>
      <c r="I75" s="16" t="n">
        <v>371</v>
      </c>
      <c r="J75" s="16" t="n">
        <v>324</v>
      </c>
      <c r="K75" s="16" t="n">
        <v>512</v>
      </c>
      <c r="L75" s="19" t="n">
        <f aca="false">(K75/H75)*100</f>
        <v>73.6690647482014</v>
      </c>
      <c r="M75" s="16" t="n">
        <v>0</v>
      </c>
      <c r="N75" s="19" t="n">
        <f aca="false">(M75/H75)*100</f>
        <v>0</v>
      </c>
      <c r="O75" s="16" t="n">
        <v>4</v>
      </c>
      <c r="P75" s="16" t="n">
        <v>0</v>
      </c>
      <c r="Q75" s="92" t="s">
        <v>49</v>
      </c>
      <c r="R75" s="25" t="n">
        <v>45201</v>
      </c>
      <c r="S75" s="16"/>
      <c r="T75" s="92"/>
      <c r="U75" s="16"/>
      <c r="V75" s="16"/>
      <c r="W75" s="16"/>
      <c r="X75" s="16"/>
      <c r="Y75" s="16"/>
      <c r="Z75" s="16"/>
      <c r="AA75" s="92" t="s">
        <v>50</v>
      </c>
      <c r="AB75" s="92" t="n">
        <v>0</v>
      </c>
      <c r="AC75" s="284"/>
      <c r="AD75" s="92" t="n">
        <v>0</v>
      </c>
      <c r="AE75" s="92" t="n">
        <v>0</v>
      </c>
      <c r="AF75" s="20"/>
    </row>
    <row r="76" customFormat="false" ht="15.75" hidden="false" customHeight="false" outlineLevel="0" collapsed="false">
      <c r="A76" s="16" t="s">
        <v>42</v>
      </c>
      <c r="B76" s="16" t="s">
        <v>2667</v>
      </c>
      <c r="C76" s="71" t="s">
        <v>2843</v>
      </c>
      <c r="D76" s="16" t="s">
        <v>2845</v>
      </c>
      <c r="E76" s="16" t="s">
        <v>2846</v>
      </c>
      <c r="F76" s="16" t="n">
        <v>778</v>
      </c>
      <c r="G76" s="16" t="n">
        <v>95</v>
      </c>
      <c r="H76" s="16" t="n">
        <v>483</v>
      </c>
      <c r="I76" s="16" t="n">
        <v>257</v>
      </c>
      <c r="J76" s="16" t="n">
        <v>226</v>
      </c>
      <c r="K76" s="16" t="n">
        <v>6</v>
      </c>
      <c r="L76" s="19" t="n">
        <f aca="false">(K76/H76)*100</f>
        <v>1.24223602484472</v>
      </c>
      <c r="M76" s="16" t="n">
        <v>0</v>
      </c>
      <c r="N76" s="19" t="n">
        <f aca="false">(M76/H76)*100</f>
        <v>0</v>
      </c>
      <c r="O76" s="16" t="n">
        <v>0</v>
      </c>
      <c r="P76" s="16" t="n">
        <v>0</v>
      </c>
      <c r="Q76" s="89" t="s">
        <v>49</v>
      </c>
      <c r="R76" s="34" t="n">
        <v>45201</v>
      </c>
      <c r="S76" s="16"/>
      <c r="T76" s="89"/>
      <c r="U76" s="16"/>
      <c r="V76" s="16"/>
      <c r="W76" s="16"/>
      <c r="X76" s="16"/>
      <c r="Y76" s="16"/>
      <c r="Z76" s="16"/>
      <c r="AA76" s="89" t="s">
        <v>50</v>
      </c>
      <c r="AB76" s="89" t="n">
        <v>0</v>
      </c>
      <c r="AC76" s="254"/>
      <c r="AD76" s="89" t="n">
        <v>0</v>
      </c>
      <c r="AE76" s="89" t="n">
        <v>0</v>
      </c>
      <c r="AF76" s="20"/>
    </row>
    <row r="77" customFormat="false" ht="17.25" hidden="false" customHeight="false" outlineLevel="0" collapsed="false">
      <c r="A77" s="16" t="s">
        <v>42</v>
      </c>
      <c r="B77" s="16" t="s">
        <v>2667</v>
      </c>
      <c r="C77" s="71" t="s">
        <v>2847</v>
      </c>
      <c r="D77" s="72" t="s">
        <v>2847</v>
      </c>
      <c r="E77" s="16" t="s">
        <v>2848</v>
      </c>
      <c r="F77" s="16" t="n">
        <v>1265.27</v>
      </c>
      <c r="G77" s="16" t="n">
        <v>280</v>
      </c>
      <c r="H77" s="16" t="n">
        <v>1429</v>
      </c>
      <c r="I77" s="16" t="n">
        <v>768</v>
      </c>
      <c r="J77" s="16" t="n">
        <v>661</v>
      </c>
      <c r="K77" s="16" t="n">
        <v>0</v>
      </c>
      <c r="L77" s="19" t="n">
        <f aca="false">(K77/H77)*100</f>
        <v>0</v>
      </c>
      <c r="M77" s="16" t="n">
        <v>0</v>
      </c>
      <c r="N77" s="19" t="n">
        <f aca="false">(M77/H77)*100</f>
        <v>0</v>
      </c>
      <c r="O77" s="16" t="n">
        <v>0</v>
      </c>
      <c r="P77" s="16" t="n">
        <v>0</v>
      </c>
      <c r="Q77" s="89" t="s">
        <v>49</v>
      </c>
      <c r="R77" s="34" t="n">
        <v>45698</v>
      </c>
      <c r="S77" s="16"/>
      <c r="T77" s="89"/>
      <c r="U77" s="16"/>
      <c r="V77" s="16"/>
      <c r="W77" s="16"/>
      <c r="X77" s="16"/>
      <c r="Y77" s="16"/>
      <c r="Z77" s="16"/>
      <c r="AA77" s="89" t="s">
        <v>50</v>
      </c>
      <c r="AB77" s="89" t="n">
        <v>12</v>
      </c>
      <c r="AC77" s="357" t="s">
        <v>2849</v>
      </c>
      <c r="AD77" s="95" t="n">
        <v>0</v>
      </c>
      <c r="AE77" s="95" t="n">
        <v>0</v>
      </c>
      <c r="AF77" s="20"/>
    </row>
    <row r="78" customFormat="false" ht="15.75" hidden="false" customHeight="false" outlineLevel="0" collapsed="false">
      <c r="A78" s="16" t="s">
        <v>42</v>
      </c>
      <c r="B78" s="16" t="s">
        <v>2667</v>
      </c>
      <c r="C78" s="71" t="s">
        <v>2847</v>
      </c>
      <c r="D78" s="16" t="s">
        <v>2850</v>
      </c>
      <c r="E78" s="16" t="s">
        <v>2851</v>
      </c>
      <c r="F78" s="16" t="n">
        <v>825.57</v>
      </c>
      <c r="G78" s="16" t="n">
        <v>170</v>
      </c>
      <c r="H78" s="16" t="n">
        <v>795</v>
      </c>
      <c r="I78" s="16" t="n">
        <v>417</v>
      </c>
      <c r="J78" s="16" t="n">
        <v>378</v>
      </c>
      <c r="K78" s="16" t="n">
        <v>0</v>
      </c>
      <c r="L78" s="19" t="n">
        <f aca="false">(K78/H78)*100</f>
        <v>0</v>
      </c>
      <c r="M78" s="16" t="n">
        <v>0</v>
      </c>
      <c r="N78" s="19" t="n">
        <f aca="false">(M78/H78)*100</f>
        <v>0</v>
      </c>
      <c r="O78" s="16" t="n">
        <v>0</v>
      </c>
      <c r="P78" s="16" t="n">
        <v>0</v>
      </c>
      <c r="Q78" s="89" t="s">
        <v>49</v>
      </c>
      <c r="R78" s="34" t="n">
        <v>45698</v>
      </c>
      <c r="S78" s="16"/>
      <c r="T78" s="89"/>
      <c r="U78" s="16"/>
      <c r="V78" s="16"/>
      <c r="W78" s="16"/>
      <c r="X78" s="16"/>
      <c r="Y78" s="16"/>
      <c r="Z78" s="16"/>
      <c r="AA78" s="89" t="s">
        <v>50</v>
      </c>
      <c r="AB78" s="89" t="n">
        <v>0</v>
      </c>
      <c r="AC78" s="36"/>
      <c r="AD78" s="95" t="n">
        <v>0</v>
      </c>
      <c r="AE78" s="95" t="n">
        <v>0</v>
      </c>
      <c r="AF78" s="20"/>
    </row>
    <row r="79" customFormat="false" ht="15.75" hidden="false" customHeight="false" outlineLevel="0" collapsed="false">
      <c r="A79" s="16"/>
      <c r="B79" s="16"/>
      <c r="C79" s="71"/>
      <c r="D79" s="16"/>
      <c r="E79" s="16"/>
      <c r="F79" s="16"/>
      <c r="G79" s="16"/>
      <c r="H79" s="16"/>
      <c r="I79" s="16"/>
      <c r="J79" s="16"/>
      <c r="K79" s="16"/>
      <c r="L79" s="19"/>
      <c r="M79" s="16"/>
      <c r="N79" s="19"/>
      <c r="O79" s="16"/>
      <c r="P79" s="16"/>
      <c r="Q79" s="89" t="s">
        <v>49</v>
      </c>
      <c r="R79" s="34" t="n">
        <v>45698</v>
      </c>
      <c r="S79" s="16"/>
      <c r="T79" s="89"/>
      <c r="U79" s="16"/>
      <c r="V79" s="16"/>
      <c r="W79" s="16"/>
      <c r="X79" s="16"/>
      <c r="Y79" s="16"/>
      <c r="Z79" s="16"/>
      <c r="AA79" s="89" t="s">
        <v>50</v>
      </c>
      <c r="AB79" s="89" t="n">
        <v>0</v>
      </c>
      <c r="AC79" s="36"/>
      <c r="AD79" s="95" t="n">
        <v>0</v>
      </c>
      <c r="AE79" s="95" t="n">
        <v>0</v>
      </c>
      <c r="AF79" s="20"/>
    </row>
    <row r="80" customFormat="false" ht="31.5" hidden="false" customHeight="false" outlineLevel="0" collapsed="false">
      <c r="A80" s="16" t="s">
        <v>42</v>
      </c>
      <c r="B80" s="16" t="s">
        <v>2667</v>
      </c>
      <c r="C80" s="71" t="s">
        <v>2852</v>
      </c>
      <c r="D80" s="72" t="s">
        <v>2853</v>
      </c>
      <c r="E80" s="16" t="s">
        <v>2854</v>
      </c>
      <c r="F80" s="16" t="n">
        <v>300</v>
      </c>
      <c r="G80" s="16" t="n">
        <v>324</v>
      </c>
      <c r="H80" s="16" t="n">
        <v>1756</v>
      </c>
      <c r="I80" s="16" t="n">
        <v>893</v>
      </c>
      <c r="J80" s="16" t="n">
        <v>863</v>
      </c>
      <c r="K80" s="16" t="n">
        <v>641</v>
      </c>
      <c r="L80" s="19" t="n">
        <f aca="false">(K80/H80)*100</f>
        <v>36.503416856492</v>
      </c>
      <c r="M80" s="16" t="n">
        <v>19</v>
      </c>
      <c r="N80" s="19" t="n">
        <f aca="false">(M80/H80)*100</f>
        <v>1.08200455580866</v>
      </c>
      <c r="O80" s="16" t="n">
        <v>90</v>
      </c>
      <c r="P80" s="16" t="n">
        <v>0</v>
      </c>
      <c r="Q80" s="247" t="s">
        <v>50</v>
      </c>
      <c r="R80" s="82" t="n">
        <v>44604</v>
      </c>
      <c r="S80" s="16"/>
      <c r="T80" s="84" t="n">
        <v>105.6</v>
      </c>
      <c r="U80" s="16"/>
      <c r="V80" s="16"/>
      <c r="W80" s="16"/>
      <c r="X80" s="16"/>
      <c r="Y80" s="16"/>
      <c r="Z80" s="16"/>
      <c r="AA80" s="247" t="s">
        <v>50</v>
      </c>
      <c r="AB80" s="247" t="n">
        <v>16</v>
      </c>
      <c r="AC80" s="105" t="s">
        <v>2855</v>
      </c>
      <c r="AD80" s="264" t="n">
        <v>26.985753</v>
      </c>
      <c r="AE80" s="264" t="n">
        <v>72.572055</v>
      </c>
      <c r="AF80" s="20"/>
    </row>
    <row r="81" customFormat="false" ht="15.75" hidden="false" customHeight="false" outlineLevel="0" collapsed="false">
      <c r="A81" s="16" t="s">
        <v>42</v>
      </c>
      <c r="B81" s="16" t="s">
        <v>2667</v>
      </c>
      <c r="C81" s="71" t="s">
        <v>2852</v>
      </c>
      <c r="D81" s="16" t="s">
        <v>1653</v>
      </c>
      <c r="E81" s="16" t="s">
        <v>2856</v>
      </c>
      <c r="F81" s="16" t="n">
        <v>232</v>
      </c>
      <c r="G81" s="16" t="n">
        <v>33</v>
      </c>
      <c r="H81" s="16" t="n">
        <v>189</v>
      </c>
      <c r="I81" s="16" t="n">
        <v>101</v>
      </c>
      <c r="J81" s="16" t="n">
        <v>88</v>
      </c>
      <c r="K81" s="16" t="n">
        <v>33</v>
      </c>
      <c r="L81" s="19" t="n">
        <f aca="false">(K81/H81)*100</f>
        <v>17.4603174603175</v>
      </c>
      <c r="M81" s="16" t="n">
        <v>0</v>
      </c>
      <c r="N81" s="19" t="n">
        <f aca="false">(M81/H81)*100</f>
        <v>0</v>
      </c>
      <c r="O81" s="16" t="n">
        <v>9</v>
      </c>
      <c r="P81" s="16" t="n">
        <v>0</v>
      </c>
      <c r="Q81" s="89"/>
      <c r="R81" s="21"/>
      <c r="S81" s="16"/>
      <c r="T81" s="89"/>
      <c r="U81" s="16"/>
      <c r="V81" s="16"/>
      <c r="W81" s="16"/>
      <c r="X81" s="16"/>
      <c r="Y81" s="16"/>
      <c r="Z81" s="16"/>
      <c r="AA81" s="89"/>
      <c r="AB81" s="89"/>
      <c r="AC81" s="20"/>
      <c r="AD81" s="20"/>
      <c r="AE81" s="20"/>
      <c r="AF81" s="20"/>
    </row>
    <row r="82" customFormat="false" ht="15.75" hidden="false" customHeight="false" outlineLevel="0" collapsed="false">
      <c r="A82" s="16" t="s">
        <v>42</v>
      </c>
      <c r="B82" s="16" t="s">
        <v>2667</v>
      </c>
      <c r="C82" s="71" t="s">
        <v>2852</v>
      </c>
      <c r="D82" s="16" t="s">
        <v>2857</v>
      </c>
      <c r="E82" s="16" t="s">
        <v>2858</v>
      </c>
      <c r="F82" s="16" t="n">
        <v>395</v>
      </c>
      <c r="G82" s="16" t="n">
        <v>74</v>
      </c>
      <c r="H82" s="16" t="n">
        <v>471</v>
      </c>
      <c r="I82" s="16" t="n">
        <v>239</v>
      </c>
      <c r="J82" s="16" t="n">
        <v>232</v>
      </c>
      <c r="K82" s="16" t="n">
        <v>0</v>
      </c>
      <c r="L82" s="19" t="n">
        <f aca="false">(K82/H82)*100</f>
        <v>0</v>
      </c>
      <c r="M82" s="16" t="n">
        <v>0</v>
      </c>
      <c r="N82" s="19" t="n">
        <f aca="false">(M82/H82)*100</f>
        <v>0</v>
      </c>
      <c r="O82" s="16" t="n">
        <v>65</v>
      </c>
      <c r="P82" s="16" t="n">
        <v>0</v>
      </c>
      <c r="Q82" s="89"/>
      <c r="R82" s="21"/>
      <c r="S82" s="16"/>
      <c r="T82" s="89"/>
      <c r="U82" s="16"/>
      <c r="V82" s="16"/>
      <c r="W82" s="16"/>
      <c r="X82" s="16"/>
      <c r="Y82" s="16"/>
      <c r="Z82" s="16"/>
      <c r="AA82" s="89"/>
      <c r="AB82" s="89"/>
      <c r="AC82" s="20"/>
      <c r="AD82" s="20"/>
      <c r="AE82" s="20"/>
      <c r="AF82" s="20"/>
    </row>
    <row r="83" customFormat="false" ht="15.75" hidden="false" customHeight="false" outlineLevel="0" collapsed="false">
      <c r="A83" s="16" t="s">
        <v>42</v>
      </c>
      <c r="B83" s="16" t="s">
        <v>2667</v>
      </c>
      <c r="C83" s="71" t="s">
        <v>2852</v>
      </c>
      <c r="D83" s="16" t="s">
        <v>2859</v>
      </c>
      <c r="E83" s="16" t="s">
        <v>2860</v>
      </c>
      <c r="F83" s="16" t="n">
        <v>500</v>
      </c>
      <c r="G83" s="16" t="n">
        <v>56</v>
      </c>
      <c r="H83" s="16" t="n">
        <v>389</v>
      </c>
      <c r="I83" s="16" t="n">
        <v>209</v>
      </c>
      <c r="J83" s="16" t="n">
        <v>180</v>
      </c>
      <c r="K83" s="16" t="n">
        <v>17</v>
      </c>
      <c r="L83" s="19" t="n">
        <f aca="false">(K83/H83)*100</f>
        <v>4.37017994858612</v>
      </c>
      <c r="M83" s="16" t="n">
        <v>0</v>
      </c>
      <c r="N83" s="19" t="n">
        <f aca="false">(M83/H83)*100</f>
        <v>0</v>
      </c>
      <c r="O83" s="16" t="n">
        <v>0</v>
      </c>
      <c r="P83" s="16" t="n">
        <v>0</v>
      </c>
      <c r="Q83" s="247" t="s">
        <v>50</v>
      </c>
      <c r="R83" s="34" t="n">
        <v>44622</v>
      </c>
      <c r="S83" s="16"/>
      <c r="T83" s="89" t="n">
        <v>30.41</v>
      </c>
      <c r="U83" s="16"/>
      <c r="V83" s="16"/>
      <c r="W83" s="16"/>
      <c r="X83" s="16"/>
      <c r="Y83" s="16"/>
      <c r="Z83" s="16"/>
      <c r="AA83" s="247" t="s">
        <v>50</v>
      </c>
      <c r="AB83" s="89" t="n">
        <v>1</v>
      </c>
      <c r="AC83" s="20" t="s">
        <v>276</v>
      </c>
      <c r="AD83" s="20" t="n">
        <v>27.002687</v>
      </c>
      <c r="AE83" s="20" t="n">
        <v>72.525094</v>
      </c>
      <c r="AF83" s="20"/>
    </row>
    <row r="84" customFormat="false" ht="15.75" hidden="false" customHeight="false" outlineLevel="0" collapsed="false">
      <c r="A84" s="16" t="s">
        <v>42</v>
      </c>
      <c r="B84" s="16" t="s">
        <v>2667</v>
      </c>
      <c r="C84" s="71" t="s">
        <v>2852</v>
      </c>
      <c r="D84" s="16" t="s">
        <v>2861</v>
      </c>
      <c r="E84" s="16" t="s">
        <v>2862</v>
      </c>
      <c r="F84" s="16" t="n">
        <v>265</v>
      </c>
      <c r="G84" s="16" t="n">
        <v>74</v>
      </c>
      <c r="H84" s="16" t="n">
        <v>379</v>
      </c>
      <c r="I84" s="16" t="n">
        <v>204</v>
      </c>
      <c r="J84" s="16" t="n">
        <v>175</v>
      </c>
      <c r="K84" s="16" t="n">
        <v>0</v>
      </c>
      <c r="L84" s="19" t="n">
        <f aca="false">(K84/H84)*100</f>
        <v>0</v>
      </c>
      <c r="M84" s="16" t="n">
        <v>0</v>
      </c>
      <c r="N84" s="19" t="n">
        <f aca="false">(M84/H84)*100</f>
        <v>0</v>
      </c>
      <c r="O84" s="16" t="n">
        <v>32</v>
      </c>
      <c r="P84" s="16" t="n">
        <v>0</v>
      </c>
      <c r="Q84" s="247" t="s">
        <v>50</v>
      </c>
      <c r="R84" s="34" t="n">
        <v>44608</v>
      </c>
      <c r="S84" s="16"/>
      <c r="T84" s="89" t="n">
        <v>32.79</v>
      </c>
      <c r="U84" s="16"/>
      <c r="V84" s="16"/>
      <c r="W84" s="16"/>
      <c r="X84" s="16"/>
      <c r="Y84" s="16"/>
      <c r="Z84" s="16"/>
      <c r="AA84" s="247" t="s">
        <v>50</v>
      </c>
      <c r="AB84" s="89" t="n">
        <v>8</v>
      </c>
      <c r="AC84" s="20" t="s">
        <v>2863</v>
      </c>
      <c r="AD84" s="20" t="n">
        <v>26.97797</v>
      </c>
      <c r="AE84" s="20" t="n">
        <v>72.54076</v>
      </c>
      <c r="AF84" s="20"/>
    </row>
    <row r="85" customFormat="false" ht="15.75" hidden="false" customHeight="false" outlineLevel="0" collapsed="false">
      <c r="A85" s="16" t="s">
        <v>42</v>
      </c>
      <c r="B85" s="16" t="s">
        <v>2667</v>
      </c>
      <c r="C85" s="71" t="s">
        <v>2852</v>
      </c>
      <c r="D85" s="16" t="s">
        <v>2864</v>
      </c>
      <c r="E85" s="16" t="s">
        <v>2865</v>
      </c>
      <c r="F85" s="16" t="n">
        <v>476</v>
      </c>
      <c r="G85" s="16" t="n">
        <v>79</v>
      </c>
      <c r="H85" s="16" t="n">
        <v>396</v>
      </c>
      <c r="I85" s="16" t="n">
        <v>199</v>
      </c>
      <c r="J85" s="16" t="n">
        <v>197</v>
      </c>
      <c r="K85" s="16" t="n">
        <v>7</v>
      </c>
      <c r="L85" s="19" t="n">
        <f aca="false">(K85/H85)*100</f>
        <v>1.76767676767677</v>
      </c>
      <c r="M85" s="16" t="n">
        <v>104</v>
      </c>
      <c r="N85" s="19" t="n">
        <f aca="false">(M85/H85)*100</f>
        <v>26.2626262626263</v>
      </c>
      <c r="O85" s="16" t="n">
        <v>66</v>
      </c>
      <c r="P85" s="16" t="n">
        <v>0</v>
      </c>
      <c r="Q85" s="247" t="s">
        <v>50</v>
      </c>
      <c r="R85" s="34" t="n">
        <v>44610</v>
      </c>
      <c r="S85" s="16"/>
      <c r="T85" s="89" t="n">
        <v>70.29</v>
      </c>
      <c r="U85" s="16"/>
      <c r="V85" s="16"/>
      <c r="W85" s="16"/>
      <c r="X85" s="16"/>
      <c r="Y85" s="16"/>
      <c r="Z85" s="16"/>
      <c r="AA85" s="247" t="s">
        <v>50</v>
      </c>
      <c r="AB85" s="89" t="n">
        <v>2</v>
      </c>
      <c r="AC85" s="20" t="s">
        <v>2866</v>
      </c>
      <c r="AD85" s="20" t="n">
        <v>26.997212</v>
      </c>
      <c r="AE85" s="20" t="n">
        <v>72.540008</v>
      </c>
      <c r="AF85" s="20"/>
    </row>
    <row r="86" customFormat="false" ht="15.75" hidden="false" customHeight="false" outlineLevel="0" collapsed="false">
      <c r="A86" s="16" t="s">
        <v>42</v>
      </c>
      <c r="B86" s="16" t="s">
        <v>2667</v>
      </c>
      <c r="C86" s="71" t="s">
        <v>2852</v>
      </c>
      <c r="D86" s="16" t="s">
        <v>109</v>
      </c>
      <c r="E86" s="16" t="s">
        <v>2867</v>
      </c>
      <c r="F86" s="16" t="n">
        <v>297</v>
      </c>
      <c r="G86" s="16" t="n">
        <v>91</v>
      </c>
      <c r="H86" s="16" t="n">
        <v>614</v>
      </c>
      <c r="I86" s="16" t="n">
        <v>315</v>
      </c>
      <c r="J86" s="16" t="n">
        <v>299</v>
      </c>
      <c r="K86" s="16" t="n">
        <v>24</v>
      </c>
      <c r="L86" s="19" t="n">
        <f aca="false">(K86/H86)*100</f>
        <v>3.90879478827362</v>
      </c>
      <c r="M86" s="16" t="n">
        <v>130</v>
      </c>
      <c r="N86" s="19" t="n">
        <f aca="false">(M86/H86)*100</f>
        <v>21.1726384364821</v>
      </c>
      <c r="O86" s="16" t="n">
        <v>0</v>
      </c>
      <c r="P86" s="16" t="n">
        <v>0</v>
      </c>
      <c r="Q86" s="247" t="s">
        <v>50</v>
      </c>
      <c r="R86" s="34" t="n">
        <v>44609</v>
      </c>
      <c r="S86" s="16"/>
      <c r="T86" s="89" t="n">
        <v>32</v>
      </c>
      <c r="U86" s="16"/>
      <c r="V86" s="16"/>
      <c r="W86" s="16"/>
      <c r="X86" s="16"/>
      <c r="Y86" s="16"/>
      <c r="Z86" s="16"/>
      <c r="AA86" s="247" t="s">
        <v>50</v>
      </c>
      <c r="AB86" s="89" t="n">
        <v>4.8</v>
      </c>
      <c r="AC86" s="20" t="s">
        <v>2868</v>
      </c>
      <c r="AD86" s="20" t="n">
        <v>26.9960052</v>
      </c>
      <c r="AE86" s="20" t="n">
        <v>72.552049</v>
      </c>
      <c r="AF86" s="20"/>
    </row>
    <row r="87" customFormat="false" ht="15.75" hidden="false" customHeight="false" outlineLevel="0" collapsed="false">
      <c r="A87" s="16" t="s">
        <v>42</v>
      </c>
      <c r="B87" s="16" t="s">
        <v>2667</v>
      </c>
      <c r="C87" s="71" t="s">
        <v>2852</v>
      </c>
      <c r="D87" s="16" t="s">
        <v>2869</v>
      </c>
      <c r="E87" s="16" t="s">
        <v>2870</v>
      </c>
      <c r="F87" s="16" t="n">
        <v>549</v>
      </c>
      <c r="G87" s="16" t="n">
        <v>105</v>
      </c>
      <c r="H87" s="16" t="n">
        <v>603</v>
      </c>
      <c r="I87" s="16" t="n">
        <v>306</v>
      </c>
      <c r="J87" s="16" t="n">
        <v>297</v>
      </c>
      <c r="K87" s="16" t="n">
        <v>203</v>
      </c>
      <c r="L87" s="19" t="n">
        <f aca="false">(K87/H87)*100</f>
        <v>33.665008291874</v>
      </c>
      <c r="M87" s="16" t="n">
        <v>0</v>
      </c>
      <c r="N87" s="19" t="n">
        <f aca="false">(M87/H87)*100</f>
        <v>0</v>
      </c>
      <c r="O87" s="16" t="n">
        <v>0</v>
      </c>
      <c r="P87" s="16" t="n">
        <v>0</v>
      </c>
      <c r="Q87" s="89"/>
      <c r="R87" s="21"/>
      <c r="S87" s="16"/>
      <c r="T87" s="89"/>
      <c r="U87" s="16"/>
      <c r="V87" s="16"/>
      <c r="W87" s="16"/>
      <c r="X87" s="16"/>
      <c r="Y87" s="16"/>
      <c r="Z87" s="16"/>
      <c r="AA87" s="89"/>
      <c r="AB87" s="89"/>
      <c r="AC87" s="20"/>
      <c r="AD87" s="20"/>
      <c r="AE87" s="20"/>
      <c r="AF87" s="20"/>
    </row>
    <row r="88" customFormat="false" ht="15.75" hidden="false" customHeight="false" outlineLevel="0" collapsed="false">
      <c r="A88" s="16" t="s">
        <v>42</v>
      </c>
      <c r="B88" s="16" t="s">
        <v>2667</v>
      </c>
      <c r="C88" s="71" t="s">
        <v>2871</v>
      </c>
      <c r="D88" s="72" t="s">
        <v>2872</v>
      </c>
      <c r="E88" s="16" t="s">
        <v>2873</v>
      </c>
      <c r="F88" s="16" t="n">
        <v>1247</v>
      </c>
      <c r="G88" s="16" t="n">
        <v>560</v>
      </c>
      <c r="H88" s="16" t="n">
        <v>3301</v>
      </c>
      <c r="I88" s="16" t="n">
        <v>1738</v>
      </c>
      <c r="J88" s="16" t="n">
        <v>1563</v>
      </c>
      <c r="K88" s="16" t="n">
        <v>538</v>
      </c>
      <c r="L88" s="19" t="n">
        <f aca="false">(K88/H88)*100</f>
        <v>16.2980914874281</v>
      </c>
      <c r="M88" s="16" t="n">
        <v>15</v>
      </c>
      <c r="N88" s="19" t="n">
        <f aca="false">(M88/H88)*100</f>
        <v>0.454407755225689</v>
      </c>
      <c r="O88" s="16" t="n">
        <v>357</v>
      </c>
      <c r="P88" s="16" t="n">
        <v>0</v>
      </c>
      <c r="Q88" s="89"/>
      <c r="R88" s="21"/>
      <c r="S88" s="16"/>
      <c r="T88" s="89"/>
      <c r="U88" s="16"/>
      <c r="V88" s="16"/>
      <c r="W88" s="16"/>
      <c r="X88" s="16"/>
      <c r="Y88" s="16"/>
      <c r="Z88" s="16"/>
      <c r="AA88" s="89"/>
      <c r="AB88" s="89"/>
      <c r="AC88" s="20"/>
      <c r="AD88" s="20"/>
      <c r="AE88" s="20"/>
      <c r="AF88" s="20"/>
    </row>
    <row r="89" customFormat="false" ht="15.75" hidden="false" customHeight="false" outlineLevel="0" collapsed="false">
      <c r="A89" s="16" t="s">
        <v>42</v>
      </c>
      <c r="B89" s="16" t="s">
        <v>2667</v>
      </c>
      <c r="C89" s="71" t="s">
        <v>2871</v>
      </c>
      <c r="D89" s="16" t="s">
        <v>2874</v>
      </c>
      <c r="E89" s="16" t="s">
        <v>2875</v>
      </c>
      <c r="F89" s="16" t="n">
        <v>576</v>
      </c>
      <c r="G89" s="16" t="n">
        <v>77</v>
      </c>
      <c r="H89" s="16" t="n">
        <v>452</v>
      </c>
      <c r="I89" s="16" t="n">
        <v>234</v>
      </c>
      <c r="J89" s="16" t="n">
        <v>218</v>
      </c>
      <c r="K89" s="16" t="n">
        <v>0</v>
      </c>
      <c r="L89" s="19" t="n">
        <f aca="false">(K89/H89)*100</f>
        <v>0</v>
      </c>
      <c r="M89" s="16" t="n">
        <v>1</v>
      </c>
      <c r="N89" s="19" t="n">
        <f aca="false">(M89/H89)*100</f>
        <v>0.221238938053097</v>
      </c>
      <c r="O89" s="16" t="n">
        <v>12</v>
      </c>
      <c r="P89" s="16" t="n">
        <v>0</v>
      </c>
      <c r="Q89" s="92" t="s">
        <v>49</v>
      </c>
      <c r="R89" s="25" t="n">
        <v>44633</v>
      </c>
      <c r="S89" s="16"/>
      <c r="T89" s="92"/>
      <c r="U89" s="16"/>
      <c r="V89" s="16"/>
      <c r="W89" s="16"/>
      <c r="X89" s="16"/>
      <c r="Y89" s="16"/>
      <c r="Z89" s="16"/>
      <c r="AA89" s="92" t="s">
        <v>50</v>
      </c>
      <c r="AB89" s="92" t="n">
        <v>3</v>
      </c>
      <c r="AC89" s="129" t="s">
        <v>276</v>
      </c>
      <c r="AD89" s="24" t="n">
        <v>26.969601</v>
      </c>
      <c r="AE89" s="24" t="n">
        <v>72.55662</v>
      </c>
      <c r="AF89" s="20"/>
    </row>
    <row r="90" customFormat="false" ht="15.75" hidden="false" customHeight="false" outlineLevel="0" collapsed="false">
      <c r="A90" s="16" t="s">
        <v>42</v>
      </c>
      <c r="B90" s="16" t="s">
        <v>2667</v>
      </c>
      <c r="C90" s="71" t="s">
        <v>2871</v>
      </c>
      <c r="D90" s="16" t="s">
        <v>2876</v>
      </c>
      <c r="E90" s="16" t="s">
        <v>2877</v>
      </c>
      <c r="F90" s="16" t="n">
        <v>438</v>
      </c>
      <c r="G90" s="16" t="n">
        <v>97</v>
      </c>
      <c r="H90" s="16" t="n">
        <v>666</v>
      </c>
      <c r="I90" s="16" t="n">
        <v>349</v>
      </c>
      <c r="J90" s="16" t="n">
        <v>317</v>
      </c>
      <c r="K90" s="16" t="n">
        <v>0</v>
      </c>
      <c r="L90" s="19" t="n">
        <f aca="false">(K90/H90)*100</f>
        <v>0</v>
      </c>
      <c r="M90" s="16" t="n">
        <v>34</v>
      </c>
      <c r="N90" s="19" t="n">
        <f aca="false">(M90/H90)*100</f>
        <v>5.10510510510511</v>
      </c>
      <c r="O90" s="16" t="n">
        <v>68</v>
      </c>
      <c r="P90" s="16" t="n">
        <v>0</v>
      </c>
      <c r="Q90" s="89"/>
      <c r="R90" s="21"/>
      <c r="S90" s="16"/>
      <c r="T90" s="89"/>
      <c r="U90" s="16"/>
      <c r="V90" s="16"/>
      <c r="W90" s="16"/>
      <c r="X90" s="16"/>
      <c r="Y90" s="16"/>
      <c r="Z90" s="16"/>
      <c r="AA90" s="89"/>
      <c r="AB90" s="89"/>
      <c r="AC90" s="20"/>
      <c r="AD90" s="20"/>
      <c r="AE90" s="20"/>
      <c r="AF90" s="20"/>
    </row>
    <row r="91" customFormat="false" ht="15.75" hidden="false" customHeight="false" outlineLevel="0" collapsed="false">
      <c r="A91" s="16" t="s">
        <v>42</v>
      </c>
      <c r="B91" s="16" t="s">
        <v>2667</v>
      </c>
      <c r="C91" s="71" t="s">
        <v>2871</v>
      </c>
      <c r="D91" s="16" t="s">
        <v>2878</v>
      </c>
      <c r="E91" s="16" t="s">
        <v>2879</v>
      </c>
      <c r="F91" s="16" t="n">
        <v>455</v>
      </c>
      <c r="G91" s="16" t="n">
        <v>216</v>
      </c>
      <c r="H91" s="16" t="n">
        <v>1311</v>
      </c>
      <c r="I91" s="16" t="n">
        <v>665</v>
      </c>
      <c r="J91" s="16" t="n">
        <v>646</v>
      </c>
      <c r="K91" s="16" t="n">
        <v>184</v>
      </c>
      <c r="L91" s="19" t="n">
        <f aca="false">(K91/H91)*100</f>
        <v>14.0350877192982</v>
      </c>
      <c r="M91" s="16" t="n">
        <v>193</v>
      </c>
      <c r="N91" s="19" t="n">
        <f aca="false">(M91/H91)*100</f>
        <v>14.7215865751335</v>
      </c>
      <c r="O91" s="16" t="n">
        <v>8</v>
      </c>
      <c r="P91" s="16" t="n">
        <v>0</v>
      </c>
      <c r="Q91" s="92" t="s">
        <v>49</v>
      </c>
      <c r="R91" s="25" t="n">
        <v>44633</v>
      </c>
      <c r="S91" s="16"/>
      <c r="T91" s="92" t="n">
        <v>3.91</v>
      </c>
      <c r="U91" s="16"/>
      <c r="V91" s="16"/>
      <c r="W91" s="16"/>
      <c r="X91" s="16"/>
      <c r="Y91" s="16"/>
      <c r="Z91" s="16"/>
      <c r="AA91" s="92" t="s">
        <v>266</v>
      </c>
      <c r="AB91" s="92" t="n">
        <v>1.5</v>
      </c>
      <c r="AC91" s="129" t="s">
        <v>276</v>
      </c>
      <c r="AD91" s="24" t="n">
        <v>26.959717</v>
      </c>
      <c r="AE91" s="24" t="n">
        <v>72.565843</v>
      </c>
      <c r="AF91" s="20"/>
    </row>
    <row r="92" customFormat="false" ht="15.75" hidden="false" customHeight="false" outlineLevel="0" collapsed="false">
      <c r="A92" s="16" t="s">
        <v>42</v>
      </c>
      <c r="B92" s="16" t="s">
        <v>2667</v>
      </c>
      <c r="C92" s="71" t="s">
        <v>2880</v>
      </c>
      <c r="D92" s="72" t="s">
        <v>2881</v>
      </c>
      <c r="E92" s="16" t="s">
        <v>2882</v>
      </c>
      <c r="F92" s="16" t="n">
        <v>1237</v>
      </c>
      <c r="G92" s="16" t="n">
        <v>274</v>
      </c>
      <c r="H92" s="16" t="n">
        <v>1908</v>
      </c>
      <c r="I92" s="16" t="n">
        <v>1005</v>
      </c>
      <c r="J92" s="16" t="n">
        <v>903</v>
      </c>
      <c r="K92" s="16" t="n">
        <v>14</v>
      </c>
      <c r="L92" s="19" t="n">
        <f aca="false">(K92/H92)*100</f>
        <v>0.733752620545073</v>
      </c>
      <c r="M92" s="16" t="n">
        <v>0</v>
      </c>
      <c r="N92" s="19" t="n">
        <f aca="false">(M92/H92)*100</f>
        <v>0</v>
      </c>
      <c r="O92" s="16" t="n">
        <v>167</v>
      </c>
      <c r="P92" s="16" t="n">
        <v>0</v>
      </c>
      <c r="Q92" s="89"/>
      <c r="R92" s="21"/>
      <c r="S92" s="16"/>
      <c r="T92" s="89"/>
      <c r="U92" s="16"/>
      <c r="V92" s="16"/>
      <c r="W92" s="16"/>
      <c r="X92" s="16"/>
      <c r="Y92" s="16"/>
      <c r="Z92" s="16"/>
      <c r="AA92" s="89"/>
      <c r="AB92" s="89"/>
      <c r="AC92" s="20"/>
      <c r="AD92" s="20"/>
      <c r="AE92" s="20"/>
      <c r="AF92" s="20"/>
    </row>
    <row r="93" customFormat="false" ht="15.75" hidden="false" customHeight="false" outlineLevel="0" collapsed="false">
      <c r="A93" s="16" t="s">
        <v>42</v>
      </c>
      <c r="B93" s="16" t="s">
        <v>2667</v>
      </c>
      <c r="C93" s="71" t="s">
        <v>2880</v>
      </c>
      <c r="D93" s="16" t="s">
        <v>2883</v>
      </c>
      <c r="E93" s="16" t="s">
        <v>2884</v>
      </c>
      <c r="F93" s="16" t="n">
        <v>512</v>
      </c>
      <c r="G93" s="16" t="n">
        <v>94</v>
      </c>
      <c r="H93" s="16" t="n">
        <v>606</v>
      </c>
      <c r="I93" s="16" t="n">
        <v>304</v>
      </c>
      <c r="J93" s="16" t="n">
        <v>302</v>
      </c>
      <c r="K93" s="16" t="n">
        <v>0</v>
      </c>
      <c r="L93" s="19" t="n">
        <f aca="false">(K93/H93)*100</f>
        <v>0</v>
      </c>
      <c r="M93" s="16" t="n">
        <v>0</v>
      </c>
      <c r="N93" s="19" t="n">
        <f aca="false">(M93/H93)*100</f>
        <v>0</v>
      </c>
      <c r="O93" s="16" t="n">
        <v>0</v>
      </c>
      <c r="P93" s="16" t="n">
        <v>0</v>
      </c>
      <c r="Q93" s="89"/>
      <c r="R93" s="21"/>
      <c r="S93" s="16"/>
      <c r="T93" s="89"/>
      <c r="U93" s="16"/>
      <c r="V93" s="16"/>
      <c r="W93" s="16"/>
      <c r="X93" s="16"/>
      <c r="Y93" s="16"/>
      <c r="Z93" s="16"/>
      <c r="AA93" s="89"/>
      <c r="AB93" s="89"/>
      <c r="AC93" s="20"/>
      <c r="AD93" s="20"/>
      <c r="AE93" s="20"/>
      <c r="AF93" s="20"/>
    </row>
    <row r="94" customFormat="false" ht="15.75" hidden="false" customHeight="false" outlineLevel="0" collapsed="false">
      <c r="A94" s="16" t="s">
        <v>42</v>
      </c>
      <c r="B94" s="16" t="s">
        <v>2667</v>
      </c>
      <c r="C94" s="71" t="s">
        <v>2885</v>
      </c>
      <c r="D94" s="72" t="s">
        <v>2886</v>
      </c>
      <c r="E94" s="16" t="s">
        <v>2887</v>
      </c>
      <c r="F94" s="16" t="n">
        <v>4726.37</v>
      </c>
      <c r="G94" s="16" t="n">
        <v>671</v>
      </c>
      <c r="H94" s="16" t="n">
        <v>3600</v>
      </c>
      <c r="I94" s="16" t="n">
        <v>1885</v>
      </c>
      <c r="J94" s="16" t="n">
        <v>1715</v>
      </c>
      <c r="K94" s="16" t="n">
        <v>225</v>
      </c>
      <c r="L94" s="19" t="n">
        <f aca="false">(K94/H94)*100</f>
        <v>6.25</v>
      </c>
      <c r="M94" s="16" t="n">
        <v>212</v>
      </c>
      <c r="N94" s="19" t="n">
        <f aca="false">(M94/H94)*100</f>
        <v>5.88888888888889</v>
      </c>
      <c r="O94" s="16" t="n">
        <v>0</v>
      </c>
      <c r="P94" s="16" t="n">
        <v>162</v>
      </c>
      <c r="Q94" s="247" t="s">
        <v>50</v>
      </c>
      <c r="R94" s="74" t="n">
        <v>44608</v>
      </c>
      <c r="S94" s="16"/>
      <c r="T94" s="76" t="n">
        <v>529.12</v>
      </c>
      <c r="U94" s="16"/>
      <c r="V94" s="16"/>
      <c r="W94" s="16"/>
      <c r="X94" s="16"/>
      <c r="Y94" s="16"/>
      <c r="Z94" s="16"/>
      <c r="AA94" s="94" t="s">
        <v>50</v>
      </c>
      <c r="AB94" s="76" t="n">
        <v>30.4</v>
      </c>
      <c r="AC94" s="94" t="s">
        <v>2888</v>
      </c>
      <c r="AD94" s="250" t="n">
        <v>26.921185</v>
      </c>
      <c r="AE94" s="250" t="n">
        <v>72.823906</v>
      </c>
      <c r="AF94" s="20"/>
    </row>
    <row r="95" customFormat="false" ht="15.75" hidden="false" customHeight="false" outlineLevel="0" collapsed="false">
      <c r="A95" s="16" t="s">
        <v>42</v>
      </c>
      <c r="B95" s="16" t="s">
        <v>2667</v>
      </c>
      <c r="C95" s="71" t="s">
        <v>2885</v>
      </c>
      <c r="D95" s="16" t="s">
        <v>2889</v>
      </c>
      <c r="E95" s="16" t="s">
        <v>2890</v>
      </c>
      <c r="F95" s="16" t="n">
        <v>677.88</v>
      </c>
      <c r="G95" s="16" t="n">
        <v>97</v>
      </c>
      <c r="H95" s="16" t="n">
        <v>556</v>
      </c>
      <c r="I95" s="16" t="n">
        <v>273</v>
      </c>
      <c r="J95" s="16" t="n">
        <v>283</v>
      </c>
      <c r="K95" s="16" t="n">
        <v>43</v>
      </c>
      <c r="L95" s="19" t="n">
        <f aca="false">(K95/H95)*100</f>
        <v>7.73381294964029</v>
      </c>
      <c r="M95" s="16" t="n">
        <v>0</v>
      </c>
      <c r="N95" s="19" t="n">
        <f aca="false">(M95/H95)*100</f>
        <v>0</v>
      </c>
      <c r="O95" s="16" t="n">
        <v>0</v>
      </c>
      <c r="P95" s="16" t="n">
        <v>0</v>
      </c>
      <c r="Q95" s="89" t="s">
        <v>1052</v>
      </c>
      <c r="R95" s="34" t="n">
        <v>45201</v>
      </c>
      <c r="S95" s="16"/>
      <c r="T95" s="89"/>
      <c r="U95" s="16"/>
      <c r="V95" s="16"/>
      <c r="W95" s="16"/>
      <c r="X95" s="16"/>
      <c r="Y95" s="16"/>
      <c r="Z95" s="16"/>
      <c r="AA95" s="89" t="s">
        <v>50</v>
      </c>
      <c r="AB95" s="89" t="n">
        <v>0</v>
      </c>
      <c r="AC95" s="36"/>
      <c r="AD95" s="20"/>
      <c r="AE95" s="20"/>
      <c r="AF95" s="20"/>
    </row>
    <row r="96" customFormat="false" ht="15.75" hidden="false" customHeight="false" outlineLevel="0" collapsed="false">
      <c r="A96" s="16" t="s">
        <v>42</v>
      </c>
      <c r="B96" s="16" t="s">
        <v>2667</v>
      </c>
      <c r="C96" s="71" t="s">
        <v>2885</v>
      </c>
      <c r="D96" s="16" t="s">
        <v>2891</v>
      </c>
      <c r="E96" s="16" t="s">
        <v>2892</v>
      </c>
      <c r="F96" s="16" t="n">
        <v>681.58</v>
      </c>
      <c r="G96" s="16" t="n">
        <v>73</v>
      </c>
      <c r="H96" s="16" t="n">
        <v>415</v>
      </c>
      <c r="I96" s="16" t="n">
        <v>208</v>
      </c>
      <c r="J96" s="16" t="n">
        <v>207</v>
      </c>
      <c r="K96" s="16" t="n">
        <v>0</v>
      </c>
      <c r="L96" s="19" t="n">
        <f aca="false">(K96/H96)*100</f>
        <v>0</v>
      </c>
      <c r="M96" s="16" t="n">
        <v>0</v>
      </c>
      <c r="N96" s="19" t="n">
        <f aca="false">(M96/H96)*100</f>
        <v>0</v>
      </c>
      <c r="O96" s="16" t="n">
        <v>0</v>
      </c>
      <c r="P96" s="16" t="n">
        <v>0</v>
      </c>
      <c r="Q96" s="89" t="s">
        <v>1052</v>
      </c>
      <c r="R96" s="34" t="n">
        <v>45201</v>
      </c>
      <c r="S96" s="16"/>
      <c r="T96" s="89"/>
      <c r="U96" s="16"/>
      <c r="V96" s="16"/>
      <c r="W96" s="16"/>
      <c r="X96" s="16"/>
      <c r="Y96" s="16"/>
      <c r="Z96" s="16"/>
      <c r="AA96" s="89" t="s">
        <v>50</v>
      </c>
      <c r="AB96" s="89" t="n">
        <v>0</v>
      </c>
      <c r="AC96" s="36"/>
      <c r="AD96" s="20"/>
      <c r="AE96" s="20"/>
      <c r="AF96" s="20"/>
    </row>
    <row r="97" customFormat="false" ht="15.75" hidden="false" customHeight="false" outlineLevel="0" collapsed="false">
      <c r="A97" s="16" t="s">
        <v>42</v>
      </c>
      <c r="B97" s="16" t="s">
        <v>2667</v>
      </c>
      <c r="C97" s="71" t="s">
        <v>2885</v>
      </c>
      <c r="D97" s="16" t="s">
        <v>2893</v>
      </c>
      <c r="E97" s="16" t="s">
        <v>2894</v>
      </c>
      <c r="F97" s="16" t="n">
        <v>819.03</v>
      </c>
      <c r="G97" s="16" t="n">
        <v>122</v>
      </c>
      <c r="H97" s="16" t="n">
        <v>680</v>
      </c>
      <c r="I97" s="16" t="n">
        <v>339</v>
      </c>
      <c r="J97" s="16" t="n">
        <v>341</v>
      </c>
      <c r="K97" s="16" t="n">
        <v>94</v>
      </c>
      <c r="L97" s="19" t="n">
        <f aca="false">(K97/H97)*100</f>
        <v>13.8235294117647</v>
      </c>
      <c r="M97" s="16" t="n">
        <v>0</v>
      </c>
      <c r="N97" s="19" t="n">
        <f aca="false">(M97/H97)*100</f>
        <v>0</v>
      </c>
      <c r="O97" s="16" t="n">
        <v>0</v>
      </c>
      <c r="P97" s="16" t="n">
        <v>0</v>
      </c>
      <c r="Q97" s="89" t="s">
        <v>1052</v>
      </c>
      <c r="R97" s="34" t="n">
        <v>45201</v>
      </c>
      <c r="S97" s="16"/>
      <c r="T97" s="89"/>
      <c r="U97" s="16"/>
      <c r="V97" s="16"/>
      <c r="W97" s="16"/>
      <c r="X97" s="16"/>
      <c r="Y97" s="16"/>
      <c r="Z97" s="16"/>
      <c r="AA97" s="89" t="s">
        <v>50</v>
      </c>
      <c r="AB97" s="89" t="n">
        <v>0</v>
      </c>
      <c r="AC97" s="36"/>
      <c r="AD97" s="20"/>
      <c r="AE97" s="20"/>
      <c r="AF97" s="20"/>
    </row>
    <row r="98" customFormat="false" ht="15.75" hidden="false" customHeight="false" outlineLevel="0" collapsed="false">
      <c r="A98" s="16" t="s">
        <v>42</v>
      </c>
      <c r="B98" s="16" t="s">
        <v>2667</v>
      </c>
      <c r="C98" s="71" t="s">
        <v>2885</v>
      </c>
      <c r="D98" s="16" t="s">
        <v>2895</v>
      </c>
      <c r="E98" s="16" t="s">
        <v>2896</v>
      </c>
      <c r="F98" s="16" t="n">
        <v>408.47</v>
      </c>
      <c r="G98" s="16" t="n">
        <v>143</v>
      </c>
      <c r="H98" s="16" t="n">
        <v>732</v>
      </c>
      <c r="I98" s="16" t="n">
        <v>390</v>
      </c>
      <c r="J98" s="16" t="n">
        <v>342</v>
      </c>
      <c r="K98" s="16" t="n">
        <v>119</v>
      </c>
      <c r="L98" s="19" t="n">
        <f aca="false">(K98/H98)*100</f>
        <v>16.2568306010929</v>
      </c>
      <c r="M98" s="16" t="n">
        <v>215</v>
      </c>
      <c r="N98" s="19" t="n">
        <f aca="false">(M98/H98)*100</f>
        <v>29.3715846994535</v>
      </c>
      <c r="O98" s="16" t="n">
        <v>0</v>
      </c>
      <c r="P98" s="16" t="n">
        <v>0</v>
      </c>
      <c r="Q98" s="89" t="s">
        <v>1052</v>
      </c>
      <c r="R98" s="34" t="n">
        <v>45201</v>
      </c>
      <c r="S98" s="16"/>
      <c r="T98" s="89" t="n">
        <v>0</v>
      </c>
      <c r="U98" s="16"/>
      <c r="V98" s="16"/>
      <c r="W98" s="16"/>
      <c r="X98" s="16"/>
      <c r="Y98" s="16"/>
      <c r="Z98" s="16"/>
      <c r="AA98" s="89" t="s">
        <v>50</v>
      </c>
      <c r="AB98" s="89" t="n">
        <v>0</v>
      </c>
      <c r="AC98" s="36"/>
      <c r="AD98" s="20" t="n">
        <v>0</v>
      </c>
      <c r="AE98" s="20" t="n">
        <v>0</v>
      </c>
      <c r="AF98" s="20"/>
    </row>
    <row r="99" customFormat="false" ht="31.5" hidden="false" customHeight="false" outlineLevel="0" collapsed="false">
      <c r="A99" s="16" t="s">
        <v>42</v>
      </c>
      <c r="B99" s="16" t="s">
        <v>2667</v>
      </c>
      <c r="C99" s="71" t="s">
        <v>2897</v>
      </c>
      <c r="D99" s="72" t="s">
        <v>2898</v>
      </c>
      <c r="E99" s="16" t="s">
        <v>2899</v>
      </c>
      <c r="F99" s="16" t="n">
        <v>1188.75</v>
      </c>
      <c r="G99" s="16" t="n">
        <v>161</v>
      </c>
      <c r="H99" s="16" t="n">
        <v>978</v>
      </c>
      <c r="I99" s="16" t="n">
        <v>486</v>
      </c>
      <c r="J99" s="16" t="n">
        <v>492</v>
      </c>
      <c r="K99" s="16" t="n">
        <v>249</v>
      </c>
      <c r="L99" s="19" t="n">
        <f aca="false">(K99/H99)*100</f>
        <v>25.4601226993865</v>
      </c>
      <c r="M99" s="16" t="n">
        <v>1</v>
      </c>
      <c r="N99" s="19" t="n">
        <f aca="false">(M99/H99)*100</f>
        <v>0.102249488752556</v>
      </c>
      <c r="O99" s="16" t="n">
        <v>46</v>
      </c>
      <c r="P99" s="16" t="n">
        <v>0</v>
      </c>
      <c r="Q99" s="89" t="s">
        <v>49</v>
      </c>
      <c r="R99" s="356" t="n">
        <v>45725</v>
      </c>
      <c r="S99" s="16"/>
      <c r="T99" s="89"/>
      <c r="U99" s="16"/>
      <c r="V99" s="16"/>
      <c r="W99" s="16"/>
      <c r="X99" s="16"/>
      <c r="Y99" s="16"/>
      <c r="Z99" s="16"/>
      <c r="AA99" s="89" t="s">
        <v>50</v>
      </c>
      <c r="AB99" s="89" t="n">
        <v>5</v>
      </c>
      <c r="AC99" s="36" t="s">
        <v>2900</v>
      </c>
      <c r="AD99" s="95" t="n">
        <v>27.050735</v>
      </c>
      <c r="AE99" s="95" t="n">
        <v>72.63915</v>
      </c>
      <c r="AF99" s="20" t="s">
        <v>52</v>
      </c>
    </row>
    <row r="100" customFormat="false" ht="31.5" hidden="false" customHeight="false" outlineLevel="0" collapsed="false">
      <c r="A100" s="16" t="s">
        <v>42</v>
      </c>
      <c r="B100" s="16" t="s">
        <v>2667</v>
      </c>
      <c r="C100" s="71" t="s">
        <v>2897</v>
      </c>
      <c r="D100" s="16" t="s">
        <v>2901</v>
      </c>
      <c r="E100" s="16" t="s">
        <v>2902</v>
      </c>
      <c r="F100" s="16" t="n">
        <v>587.58</v>
      </c>
      <c r="G100" s="16" t="n">
        <v>70</v>
      </c>
      <c r="H100" s="16" t="n">
        <v>500</v>
      </c>
      <c r="I100" s="16" t="n">
        <v>278</v>
      </c>
      <c r="J100" s="16" t="n">
        <v>222</v>
      </c>
      <c r="K100" s="16" t="n">
        <v>0</v>
      </c>
      <c r="L100" s="19" t="n">
        <f aca="false">(K100/H100)*100</f>
        <v>0</v>
      </c>
      <c r="M100" s="16" t="n">
        <v>303</v>
      </c>
      <c r="N100" s="19" t="n">
        <f aca="false">(M100/H100)*100</f>
        <v>60.6</v>
      </c>
      <c r="O100" s="16" t="n">
        <v>0</v>
      </c>
      <c r="P100" s="16" t="n">
        <v>0</v>
      </c>
      <c r="Q100" s="89" t="s">
        <v>49</v>
      </c>
      <c r="R100" s="356" t="n">
        <v>45725</v>
      </c>
      <c r="S100" s="16"/>
      <c r="T100" s="89"/>
      <c r="U100" s="16"/>
      <c r="V100" s="16"/>
      <c r="W100" s="16"/>
      <c r="X100" s="16"/>
      <c r="Y100" s="16"/>
      <c r="Z100" s="16"/>
      <c r="AA100" s="89" t="s">
        <v>50</v>
      </c>
      <c r="AB100" s="89" t="n">
        <v>2</v>
      </c>
      <c r="AC100" s="36" t="s">
        <v>2903</v>
      </c>
      <c r="AD100" s="95" t="n">
        <v>27.067084</v>
      </c>
      <c r="AE100" s="95" t="n">
        <v>72.650111</v>
      </c>
      <c r="AF100" s="20" t="s">
        <v>52</v>
      </c>
    </row>
    <row r="101" customFormat="false" ht="15.75" hidden="false" customHeight="false" outlineLevel="0" collapsed="false">
      <c r="A101" s="16" t="s">
        <v>42</v>
      </c>
      <c r="B101" s="16" t="s">
        <v>2667</v>
      </c>
      <c r="C101" s="71" t="s">
        <v>2897</v>
      </c>
      <c r="D101" s="16" t="s">
        <v>1659</v>
      </c>
      <c r="E101" s="16" t="s">
        <v>2904</v>
      </c>
      <c r="F101" s="16" t="n">
        <v>734.43</v>
      </c>
      <c r="G101" s="16" t="n">
        <v>147</v>
      </c>
      <c r="H101" s="16" t="n">
        <v>776</v>
      </c>
      <c r="I101" s="16" t="n">
        <v>422</v>
      </c>
      <c r="J101" s="16" t="n">
        <v>354</v>
      </c>
      <c r="K101" s="16" t="n">
        <v>2</v>
      </c>
      <c r="L101" s="19" t="n">
        <f aca="false">(K101/H101)*100</f>
        <v>0.257731958762887</v>
      </c>
      <c r="M101" s="16" t="n">
        <v>5</v>
      </c>
      <c r="N101" s="19" t="n">
        <f aca="false">(M101/H101)*100</f>
        <v>0.644329896907216</v>
      </c>
      <c r="O101" s="16" t="n">
        <v>0</v>
      </c>
      <c r="P101" s="16" t="n">
        <v>0</v>
      </c>
      <c r="Q101" s="89" t="s">
        <v>49</v>
      </c>
      <c r="R101" s="356" t="n">
        <v>45725</v>
      </c>
      <c r="S101" s="16"/>
      <c r="T101" s="89" t="n">
        <v>0</v>
      </c>
      <c r="U101" s="16"/>
      <c r="V101" s="16"/>
      <c r="W101" s="16"/>
      <c r="X101" s="16"/>
      <c r="Y101" s="16"/>
      <c r="Z101" s="16"/>
      <c r="AA101" s="89" t="s">
        <v>50</v>
      </c>
      <c r="AB101" s="89" t="n">
        <v>0</v>
      </c>
      <c r="AC101" s="36"/>
      <c r="AD101" s="95" t="n">
        <v>0</v>
      </c>
      <c r="AE101" s="95" t="n">
        <v>0</v>
      </c>
      <c r="AF101" s="20" t="s">
        <v>52</v>
      </c>
    </row>
    <row r="102" customFormat="false" ht="15.75" hidden="false" customHeight="false" outlineLevel="0" collapsed="false">
      <c r="A102" s="16" t="s">
        <v>42</v>
      </c>
      <c r="B102" s="16" t="s">
        <v>2667</v>
      </c>
      <c r="C102" s="71" t="s">
        <v>2897</v>
      </c>
      <c r="D102" s="16" t="s">
        <v>2905</v>
      </c>
      <c r="E102" s="16" t="s">
        <v>2906</v>
      </c>
      <c r="F102" s="16" t="n">
        <v>740.35</v>
      </c>
      <c r="G102" s="16" t="n">
        <v>140</v>
      </c>
      <c r="H102" s="16" t="n">
        <v>842</v>
      </c>
      <c r="I102" s="16" t="n">
        <v>459</v>
      </c>
      <c r="J102" s="16" t="n">
        <v>383</v>
      </c>
      <c r="K102" s="16" t="n">
        <v>34</v>
      </c>
      <c r="L102" s="19" t="n">
        <f aca="false">(K102/H102)*100</f>
        <v>4.03800475059382</v>
      </c>
      <c r="M102" s="16" t="n">
        <v>14</v>
      </c>
      <c r="N102" s="19" t="n">
        <f aca="false">(M102/H102)*100</f>
        <v>1.66270783847981</v>
      </c>
      <c r="O102" s="16" t="n">
        <v>0</v>
      </c>
      <c r="P102" s="16" t="n">
        <v>0</v>
      </c>
      <c r="Q102" s="89" t="s">
        <v>49</v>
      </c>
      <c r="R102" s="356" t="n">
        <v>45725</v>
      </c>
      <c r="S102" s="16"/>
      <c r="T102" s="89" t="n">
        <v>0</v>
      </c>
      <c r="U102" s="16"/>
      <c r="V102" s="16"/>
      <c r="W102" s="16"/>
      <c r="X102" s="16"/>
      <c r="Y102" s="16"/>
      <c r="Z102" s="16"/>
      <c r="AA102" s="89" t="s">
        <v>50</v>
      </c>
      <c r="AB102" s="89" t="n">
        <v>0</v>
      </c>
      <c r="AC102" s="36"/>
      <c r="AD102" s="95" t="n">
        <v>0</v>
      </c>
      <c r="AE102" s="95" t="n">
        <v>0</v>
      </c>
      <c r="AF102" s="20" t="s">
        <v>52</v>
      </c>
    </row>
    <row r="103" customFormat="false" ht="15.75" hidden="false" customHeight="false" outlineLevel="0" collapsed="false">
      <c r="A103" s="16" t="s">
        <v>42</v>
      </c>
      <c r="B103" s="16" t="s">
        <v>2667</v>
      </c>
      <c r="C103" s="71" t="s">
        <v>2897</v>
      </c>
      <c r="D103" s="16" t="s">
        <v>2907</v>
      </c>
      <c r="E103" s="16" t="s">
        <v>2908</v>
      </c>
      <c r="F103" s="16" t="n">
        <v>792</v>
      </c>
      <c r="G103" s="16" t="n">
        <v>83</v>
      </c>
      <c r="H103" s="16" t="n">
        <v>525</v>
      </c>
      <c r="I103" s="16" t="n">
        <v>290</v>
      </c>
      <c r="J103" s="16" t="n">
        <v>235</v>
      </c>
      <c r="K103" s="16" t="n">
        <v>31</v>
      </c>
      <c r="L103" s="19" t="n">
        <f aca="false">(K103/H103)*100</f>
        <v>5.90476190476191</v>
      </c>
      <c r="M103" s="16" t="n">
        <v>0</v>
      </c>
      <c r="N103" s="19" t="n">
        <f aca="false">(M103/H103)*100</f>
        <v>0</v>
      </c>
      <c r="O103" s="16" t="n">
        <v>332</v>
      </c>
      <c r="P103" s="16" t="n">
        <v>0</v>
      </c>
      <c r="Q103" s="89" t="s">
        <v>49</v>
      </c>
      <c r="R103" s="356" t="n">
        <v>45725</v>
      </c>
      <c r="S103" s="16"/>
      <c r="T103" s="89" t="n">
        <v>0</v>
      </c>
      <c r="U103" s="16"/>
      <c r="V103" s="16"/>
      <c r="W103" s="16"/>
      <c r="X103" s="16"/>
      <c r="Y103" s="16"/>
      <c r="Z103" s="16"/>
      <c r="AA103" s="89" t="s">
        <v>50</v>
      </c>
      <c r="AB103" s="89" t="n">
        <v>0</v>
      </c>
      <c r="AC103" s="36"/>
      <c r="AD103" s="95" t="n">
        <v>0</v>
      </c>
      <c r="AE103" s="95" t="n">
        <v>0</v>
      </c>
      <c r="AF103" s="20" t="s">
        <v>52</v>
      </c>
    </row>
    <row r="104" customFormat="false" ht="31.5" hidden="false" customHeight="false" outlineLevel="0" collapsed="false">
      <c r="A104" s="16" t="s">
        <v>42</v>
      </c>
      <c r="B104" s="16" t="s">
        <v>2667</v>
      </c>
      <c r="C104" s="71" t="s">
        <v>2909</v>
      </c>
      <c r="D104" s="72" t="s">
        <v>2910</v>
      </c>
      <c r="E104" s="16" t="s">
        <v>2911</v>
      </c>
      <c r="F104" s="16" t="n">
        <v>3108.01</v>
      </c>
      <c r="G104" s="16" t="n">
        <v>636</v>
      </c>
      <c r="H104" s="16" t="n">
        <v>3297</v>
      </c>
      <c r="I104" s="16" t="n">
        <v>1705</v>
      </c>
      <c r="J104" s="16" t="n">
        <v>1592</v>
      </c>
      <c r="K104" s="16" t="n">
        <v>840</v>
      </c>
      <c r="L104" s="19" t="n">
        <f aca="false">(K104/H104)*100</f>
        <v>25.4777070063694</v>
      </c>
      <c r="M104" s="16" t="n">
        <v>0</v>
      </c>
      <c r="N104" s="19" t="n">
        <f aca="false">(M104/H104)*100</f>
        <v>0</v>
      </c>
      <c r="O104" s="16" t="n">
        <v>95</v>
      </c>
      <c r="P104" s="16" t="n">
        <v>0</v>
      </c>
      <c r="Q104" s="89" t="s">
        <v>49</v>
      </c>
      <c r="R104" s="34" t="n">
        <v>45143</v>
      </c>
      <c r="S104" s="16"/>
      <c r="T104" s="89" t="n">
        <v>93.6603</v>
      </c>
      <c r="U104" s="16"/>
      <c r="V104" s="16"/>
      <c r="W104" s="16"/>
      <c r="X104" s="16"/>
      <c r="Y104" s="16"/>
      <c r="Z104" s="16"/>
      <c r="AA104" s="89" t="s">
        <v>50</v>
      </c>
      <c r="AB104" s="89" t="n">
        <v>6</v>
      </c>
      <c r="AC104" s="305" t="s">
        <v>2912</v>
      </c>
      <c r="AD104" s="20"/>
      <c r="AE104" s="20"/>
      <c r="AF104" s="20"/>
    </row>
    <row r="105" customFormat="false" ht="15.75" hidden="false" customHeight="false" outlineLevel="0" collapsed="false">
      <c r="A105" s="16" t="s">
        <v>42</v>
      </c>
      <c r="B105" s="16" t="s">
        <v>2667</v>
      </c>
      <c r="C105" s="71" t="s">
        <v>2913</v>
      </c>
      <c r="D105" s="72" t="s">
        <v>2914</v>
      </c>
      <c r="E105" s="16" t="s">
        <v>2915</v>
      </c>
      <c r="F105" s="16" t="n">
        <v>1402.57</v>
      </c>
      <c r="G105" s="16" t="n">
        <v>464</v>
      </c>
      <c r="H105" s="16" t="n">
        <v>2424</v>
      </c>
      <c r="I105" s="16" t="n">
        <v>1257</v>
      </c>
      <c r="J105" s="16" t="n">
        <v>1167</v>
      </c>
      <c r="K105" s="16" t="n">
        <v>770</v>
      </c>
      <c r="L105" s="19" t="n">
        <f aca="false">(K105/H105)*100</f>
        <v>31.7656765676568</v>
      </c>
      <c r="M105" s="16" t="n">
        <v>313</v>
      </c>
      <c r="N105" s="19" t="n">
        <f aca="false">(M105/H105)*100</f>
        <v>12.9125412541254</v>
      </c>
      <c r="O105" s="16" t="n">
        <v>0</v>
      </c>
      <c r="P105" s="16" t="n">
        <v>0</v>
      </c>
      <c r="Q105" s="89"/>
      <c r="R105" s="21"/>
      <c r="S105" s="16"/>
      <c r="T105" s="89"/>
      <c r="U105" s="16"/>
      <c r="V105" s="16"/>
      <c r="W105" s="16"/>
      <c r="X105" s="16"/>
      <c r="Y105" s="16"/>
      <c r="Z105" s="16"/>
      <c r="AA105" s="89"/>
      <c r="AB105" s="89"/>
      <c r="AC105" s="20"/>
      <c r="AD105" s="20"/>
      <c r="AE105" s="20"/>
      <c r="AF105" s="20"/>
    </row>
    <row r="106" customFormat="false" ht="15.75" hidden="false" customHeight="false" outlineLevel="0" collapsed="false">
      <c r="A106" s="16" t="s">
        <v>42</v>
      </c>
      <c r="B106" s="16" t="s">
        <v>2667</v>
      </c>
      <c r="C106" s="71" t="s">
        <v>2913</v>
      </c>
      <c r="D106" s="16" t="s">
        <v>2916</v>
      </c>
      <c r="E106" s="16" t="s">
        <v>2917</v>
      </c>
      <c r="F106" s="16" t="n">
        <v>473.67</v>
      </c>
      <c r="G106" s="16" t="n">
        <v>80</v>
      </c>
      <c r="H106" s="16" t="n">
        <v>431</v>
      </c>
      <c r="I106" s="16" t="n">
        <v>228</v>
      </c>
      <c r="J106" s="16" t="n">
        <v>203</v>
      </c>
      <c r="K106" s="16" t="n">
        <v>51</v>
      </c>
      <c r="L106" s="19" t="n">
        <f aca="false">(K106/H106)*100</f>
        <v>11.8329466357309</v>
      </c>
      <c r="M106" s="16" t="n">
        <v>0</v>
      </c>
      <c r="N106" s="19" t="n">
        <f aca="false">(M106/H106)*100</f>
        <v>0</v>
      </c>
      <c r="O106" s="16" t="n">
        <v>0</v>
      </c>
      <c r="P106" s="16" t="n">
        <v>0</v>
      </c>
      <c r="Q106" s="92" t="s">
        <v>49</v>
      </c>
      <c r="R106" s="25" t="n">
        <v>44625</v>
      </c>
      <c r="S106" s="16"/>
      <c r="T106" s="92"/>
      <c r="U106" s="16"/>
      <c r="V106" s="16"/>
      <c r="W106" s="16"/>
      <c r="X106" s="16"/>
      <c r="Y106" s="16"/>
      <c r="Z106" s="16"/>
      <c r="AA106" s="92" t="s">
        <v>50</v>
      </c>
      <c r="AB106" s="92" t="n">
        <v>6</v>
      </c>
      <c r="AC106" s="129" t="s">
        <v>276</v>
      </c>
      <c r="AD106" s="24" t="n">
        <v>26.970069</v>
      </c>
      <c r="AE106" s="24" t="n">
        <v>72.760575</v>
      </c>
      <c r="AF106" s="20"/>
    </row>
    <row r="107" customFormat="false" ht="15.75" hidden="false" customHeight="false" outlineLevel="0" collapsed="false">
      <c r="A107" s="16" t="s">
        <v>42</v>
      </c>
      <c r="B107" s="16" t="s">
        <v>2667</v>
      </c>
      <c r="C107" s="71" t="s">
        <v>2918</v>
      </c>
      <c r="D107" s="72" t="s">
        <v>2919</v>
      </c>
      <c r="E107" s="16" t="s">
        <v>2920</v>
      </c>
      <c r="F107" s="16" t="n">
        <v>2096.24</v>
      </c>
      <c r="G107" s="16" t="n">
        <v>334</v>
      </c>
      <c r="H107" s="16" t="n">
        <v>1710</v>
      </c>
      <c r="I107" s="16" t="n">
        <v>874</v>
      </c>
      <c r="J107" s="16" t="n">
        <v>836</v>
      </c>
      <c r="K107" s="16" t="n">
        <v>370</v>
      </c>
      <c r="L107" s="19" t="n">
        <f aca="false">(K107/H107)*100</f>
        <v>21.6374269005848</v>
      </c>
      <c r="M107" s="16" t="n">
        <v>0</v>
      </c>
      <c r="N107" s="19" t="n">
        <f aca="false">(M107/H107)*100</f>
        <v>0</v>
      </c>
      <c r="O107" s="16" t="n">
        <v>187</v>
      </c>
      <c r="P107" s="16" t="n">
        <v>0</v>
      </c>
      <c r="Q107" s="89" t="s">
        <v>49</v>
      </c>
      <c r="R107" s="34" t="n">
        <v>45201</v>
      </c>
      <c r="S107" s="16"/>
      <c r="T107" s="89" t="n">
        <v>177.6891</v>
      </c>
      <c r="U107" s="16"/>
      <c r="V107" s="16"/>
      <c r="W107" s="16"/>
      <c r="X107" s="16"/>
      <c r="Y107" s="16"/>
      <c r="Z107" s="16"/>
      <c r="AA107" s="89" t="s">
        <v>50</v>
      </c>
      <c r="AB107" s="89" t="n">
        <v>6</v>
      </c>
      <c r="AC107" s="254" t="s">
        <v>2921</v>
      </c>
      <c r="AD107" s="20"/>
      <c r="AE107" s="20"/>
      <c r="AF107" s="20"/>
    </row>
    <row r="108" customFormat="false" ht="31.5" hidden="false" customHeight="false" outlineLevel="0" collapsed="false">
      <c r="A108" s="16" t="s">
        <v>42</v>
      </c>
      <c r="B108" s="16" t="s">
        <v>2667</v>
      </c>
      <c r="C108" s="71" t="s">
        <v>2918</v>
      </c>
      <c r="D108" s="16" t="s">
        <v>2922</v>
      </c>
      <c r="E108" s="16" t="s">
        <v>2923</v>
      </c>
      <c r="F108" s="16" t="n">
        <v>574.99</v>
      </c>
      <c r="G108" s="16" t="n">
        <v>65</v>
      </c>
      <c r="H108" s="16" t="n">
        <v>364</v>
      </c>
      <c r="I108" s="16" t="n">
        <v>187</v>
      </c>
      <c r="J108" s="16" t="n">
        <v>177</v>
      </c>
      <c r="K108" s="16" t="n">
        <v>0</v>
      </c>
      <c r="L108" s="19" t="n">
        <f aca="false">(K108/H108)*100</f>
        <v>0</v>
      </c>
      <c r="M108" s="16" t="n">
        <v>0</v>
      </c>
      <c r="N108" s="19" t="n">
        <f aca="false">(M108/H108)*100</f>
        <v>0</v>
      </c>
      <c r="O108" s="16" t="n">
        <v>0</v>
      </c>
      <c r="P108" s="16" t="n">
        <v>0</v>
      </c>
      <c r="Q108" s="89" t="s">
        <v>49</v>
      </c>
      <c r="R108" s="34" t="n">
        <v>45201</v>
      </c>
      <c r="S108" s="16"/>
      <c r="T108" s="89"/>
      <c r="U108" s="16"/>
      <c r="V108" s="16"/>
      <c r="W108" s="16"/>
      <c r="X108" s="16"/>
      <c r="Y108" s="16"/>
      <c r="Z108" s="16"/>
      <c r="AA108" s="89" t="s">
        <v>50</v>
      </c>
      <c r="AB108" s="89" t="n">
        <v>8</v>
      </c>
      <c r="AC108" s="305" t="s">
        <v>2924</v>
      </c>
      <c r="AD108" s="20"/>
      <c r="AE108" s="20"/>
      <c r="AF108" s="20"/>
    </row>
    <row r="109" customFormat="false" ht="15.75" hidden="false" customHeight="false" outlineLevel="0" collapsed="false">
      <c r="A109" s="16" t="s">
        <v>42</v>
      </c>
      <c r="B109" s="16" t="s">
        <v>2667</v>
      </c>
      <c r="C109" s="71" t="s">
        <v>2918</v>
      </c>
      <c r="D109" s="16" t="s">
        <v>2925</v>
      </c>
      <c r="E109" s="16" t="s">
        <v>2926</v>
      </c>
      <c r="F109" s="16" t="n">
        <v>739.76</v>
      </c>
      <c r="G109" s="16" t="n">
        <v>129</v>
      </c>
      <c r="H109" s="16" t="n">
        <v>695</v>
      </c>
      <c r="I109" s="16" t="n">
        <v>369</v>
      </c>
      <c r="J109" s="16" t="n">
        <v>326</v>
      </c>
      <c r="K109" s="16" t="n">
        <v>0</v>
      </c>
      <c r="L109" s="19" t="n">
        <f aca="false">(K109/H109)*100</f>
        <v>0</v>
      </c>
      <c r="M109" s="16" t="n">
        <v>1</v>
      </c>
      <c r="N109" s="19" t="n">
        <f aca="false">(M109/H109)*100</f>
        <v>0.143884892086331</v>
      </c>
      <c r="O109" s="16" t="n">
        <v>0</v>
      </c>
      <c r="P109" s="16" t="n">
        <v>0</v>
      </c>
      <c r="Q109" s="89" t="s">
        <v>49</v>
      </c>
      <c r="R109" s="34" t="n">
        <v>45201</v>
      </c>
      <c r="S109" s="16"/>
      <c r="T109" s="89" t="n">
        <v>8.8545</v>
      </c>
      <c r="U109" s="16"/>
      <c r="V109" s="16"/>
      <c r="W109" s="16"/>
      <c r="X109" s="16"/>
      <c r="Y109" s="16"/>
      <c r="Z109" s="16"/>
      <c r="AA109" s="89" t="s">
        <v>50</v>
      </c>
      <c r="AB109" s="89" t="n">
        <v>5</v>
      </c>
      <c r="AC109" s="305" t="s">
        <v>2927</v>
      </c>
      <c r="AD109" s="20"/>
      <c r="AE109" s="20"/>
      <c r="AF109" s="20"/>
    </row>
    <row r="110" customFormat="false" ht="15.75" hidden="false" customHeight="false" outlineLevel="0" collapsed="false">
      <c r="A110" s="16" t="s">
        <v>42</v>
      </c>
      <c r="B110" s="16" t="s">
        <v>2667</v>
      </c>
      <c r="C110" s="71" t="s">
        <v>2918</v>
      </c>
      <c r="D110" s="16" t="s">
        <v>2928</v>
      </c>
      <c r="E110" s="16" t="s">
        <v>2929</v>
      </c>
      <c r="F110" s="16" t="n">
        <v>849.25</v>
      </c>
      <c r="G110" s="16" t="n">
        <v>136</v>
      </c>
      <c r="H110" s="16" t="n">
        <v>760</v>
      </c>
      <c r="I110" s="16" t="n">
        <v>376</v>
      </c>
      <c r="J110" s="16" t="n">
        <v>384</v>
      </c>
      <c r="K110" s="16" t="n">
        <v>221</v>
      </c>
      <c r="L110" s="19" t="n">
        <f aca="false">(K110/H110)*100</f>
        <v>29.0789473684211</v>
      </c>
      <c r="M110" s="16" t="n">
        <v>208</v>
      </c>
      <c r="N110" s="19" t="n">
        <f aca="false">(M110/H110)*100</f>
        <v>27.3684210526316</v>
      </c>
      <c r="O110" s="16" t="n">
        <v>0</v>
      </c>
      <c r="P110" s="16" t="n">
        <v>0</v>
      </c>
      <c r="Q110" s="89" t="s">
        <v>49</v>
      </c>
      <c r="R110" s="34" t="n">
        <v>45201</v>
      </c>
      <c r="S110" s="16"/>
      <c r="T110" s="89"/>
      <c r="U110" s="16"/>
      <c r="V110" s="16"/>
      <c r="W110" s="16"/>
      <c r="X110" s="16"/>
      <c r="Y110" s="16"/>
      <c r="Z110" s="16"/>
      <c r="AA110" s="89" t="s">
        <v>50</v>
      </c>
      <c r="AB110" s="89" t="n">
        <v>0</v>
      </c>
      <c r="AC110" s="36"/>
      <c r="AD110" s="20"/>
      <c r="AE110" s="20"/>
      <c r="AF110" s="20"/>
    </row>
    <row r="111" customFormat="false" ht="15.75" hidden="false" customHeight="false" outlineLevel="0" collapsed="false">
      <c r="A111" s="16" t="s">
        <v>42</v>
      </c>
      <c r="B111" s="16" t="s">
        <v>2667</v>
      </c>
      <c r="C111" s="71" t="s">
        <v>2000</v>
      </c>
      <c r="D111" s="72" t="s">
        <v>2000</v>
      </c>
      <c r="E111" s="16" t="s">
        <v>2930</v>
      </c>
      <c r="F111" s="16" t="n">
        <v>1503</v>
      </c>
      <c r="G111" s="16" t="n">
        <v>210</v>
      </c>
      <c r="H111" s="16" t="n">
        <v>1339</v>
      </c>
      <c r="I111" s="16" t="n">
        <v>706</v>
      </c>
      <c r="J111" s="16" t="n">
        <v>633</v>
      </c>
      <c r="K111" s="16" t="n">
        <v>510</v>
      </c>
      <c r="L111" s="19" t="n">
        <f aca="false">(K111/H111)*100</f>
        <v>38.0881254667662</v>
      </c>
      <c r="M111" s="16" t="n">
        <v>0</v>
      </c>
      <c r="N111" s="19" t="n">
        <f aca="false">(M111/H111)*100</f>
        <v>0</v>
      </c>
      <c r="O111" s="16" t="n">
        <v>71</v>
      </c>
      <c r="P111" s="16" t="n">
        <v>0</v>
      </c>
      <c r="Q111" s="92" t="s">
        <v>49</v>
      </c>
      <c r="R111" s="25" t="n">
        <v>44627</v>
      </c>
      <c r="S111" s="16"/>
      <c r="T111" s="92" t="n">
        <v>110.1557</v>
      </c>
      <c r="U111" s="16"/>
      <c r="V111" s="16"/>
      <c r="W111" s="16"/>
      <c r="X111" s="16"/>
      <c r="Y111" s="16"/>
      <c r="Z111" s="16"/>
      <c r="AA111" s="92" t="s">
        <v>266</v>
      </c>
      <c r="AB111" s="92" t="n">
        <v>10</v>
      </c>
      <c r="AC111" s="239" t="s">
        <v>2931</v>
      </c>
      <c r="AD111" s="24" t="n">
        <v>27.086327</v>
      </c>
      <c r="AE111" s="24" t="n">
        <v>72.496474</v>
      </c>
      <c r="AF111" s="20"/>
    </row>
    <row r="112" customFormat="false" ht="15.75" hidden="false" customHeight="false" outlineLevel="0" collapsed="false">
      <c r="A112" s="16" t="s">
        <v>42</v>
      </c>
      <c r="B112" s="16" t="s">
        <v>2667</v>
      </c>
      <c r="C112" s="71" t="s">
        <v>2000</v>
      </c>
      <c r="D112" s="16" t="s">
        <v>2932</v>
      </c>
      <c r="E112" s="16" t="s">
        <v>2933</v>
      </c>
      <c r="F112" s="16" t="n">
        <v>699</v>
      </c>
      <c r="G112" s="16" t="n">
        <v>63</v>
      </c>
      <c r="H112" s="16" t="n">
        <v>425</v>
      </c>
      <c r="I112" s="16" t="n">
        <v>218</v>
      </c>
      <c r="J112" s="16" t="n">
        <v>207</v>
      </c>
      <c r="K112" s="16" t="n">
        <v>17</v>
      </c>
      <c r="L112" s="19" t="n">
        <f aca="false">(K112/H112)*100</f>
        <v>4</v>
      </c>
      <c r="M112" s="16" t="n">
        <v>0</v>
      </c>
      <c r="N112" s="19" t="n">
        <f aca="false">(M112/H112)*100</f>
        <v>0</v>
      </c>
      <c r="O112" s="16" t="n">
        <v>36</v>
      </c>
      <c r="P112" s="16" t="n">
        <v>0</v>
      </c>
      <c r="Q112" s="92" t="s">
        <v>49</v>
      </c>
      <c r="R112" s="25" t="n">
        <v>44624</v>
      </c>
      <c r="S112" s="16"/>
      <c r="T112" s="92" t="n">
        <v>118.6536</v>
      </c>
      <c r="U112" s="16"/>
      <c r="V112" s="16"/>
      <c r="W112" s="16"/>
      <c r="X112" s="16"/>
      <c r="Y112" s="16"/>
      <c r="Z112" s="16"/>
      <c r="AA112" s="92" t="s">
        <v>266</v>
      </c>
      <c r="AB112" s="92" t="n">
        <v>5</v>
      </c>
      <c r="AC112" s="129" t="s">
        <v>276</v>
      </c>
      <c r="AD112" s="24" t="n">
        <v>27.098492</v>
      </c>
      <c r="AE112" s="24" t="n">
        <v>72.508382</v>
      </c>
      <c r="AF112" s="20"/>
    </row>
    <row r="113" customFormat="false" ht="15.75" hidden="false" customHeight="false" outlineLevel="0" collapsed="false">
      <c r="A113" s="16" t="s">
        <v>42</v>
      </c>
      <c r="B113" s="16" t="s">
        <v>2667</v>
      </c>
      <c r="C113" s="71" t="s">
        <v>2000</v>
      </c>
      <c r="D113" s="16" t="s">
        <v>2934</v>
      </c>
      <c r="E113" s="16" t="s">
        <v>2935</v>
      </c>
      <c r="F113" s="16" t="n">
        <v>1287</v>
      </c>
      <c r="G113" s="16" t="n">
        <v>142</v>
      </c>
      <c r="H113" s="16" t="n">
        <v>817</v>
      </c>
      <c r="I113" s="16" t="n">
        <v>444</v>
      </c>
      <c r="J113" s="16" t="n">
        <v>373</v>
      </c>
      <c r="K113" s="16" t="n">
        <v>42</v>
      </c>
      <c r="L113" s="19" t="n">
        <f aca="false">(K113/H113)*100</f>
        <v>5.14075887392901</v>
      </c>
      <c r="M113" s="16" t="n">
        <v>0</v>
      </c>
      <c r="N113" s="19" t="n">
        <f aca="false">(M113/H113)*100</f>
        <v>0</v>
      </c>
      <c r="O113" s="16" t="n">
        <v>57</v>
      </c>
      <c r="P113" s="16" t="n">
        <v>0</v>
      </c>
      <c r="Q113" s="92" t="s">
        <v>49</v>
      </c>
      <c r="R113" s="25" t="n">
        <v>44623</v>
      </c>
      <c r="S113" s="16"/>
      <c r="T113" s="92" t="n">
        <v>83.15</v>
      </c>
      <c r="U113" s="16"/>
      <c r="V113" s="16"/>
      <c r="W113" s="16"/>
      <c r="X113" s="16"/>
      <c r="Y113" s="16"/>
      <c r="Z113" s="16"/>
      <c r="AA113" s="92" t="s">
        <v>266</v>
      </c>
      <c r="AB113" s="92" t="n">
        <v>2</v>
      </c>
      <c r="AC113" s="129" t="s">
        <v>276</v>
      </c>
      <c r="AD113" s="24" t="n">
        <v>27.054065</v>
      </c>
      <c r="AE113" s="24" t="n">
        <v>72.505063</v>
      </c>
      <c r="AF113" s="20"/>
    </row>
    <row r="114" customFormat="false" ht="15.75" hidden="false" customHeight="false" outlineLevel="0" collapsed="false">
      <c r="A114" s="16" t="s">
        <v>42</v>
      </c>
      <c r="B114" s="16" t="s">
        <v>2667</v>
      </c>
      <c r="C114" s="71" t="s">
        <v>2936</v>
      </c>
      <c r="D114" s="72" t="s">
        <v>2937</v>
      </c>
      <c r="E114" s="16" t="s">
        <v>2938</v>
      </c>
      <c r="F114" s="16" t="n">
        <v>1046</v>
      </c>
      <c r="G114" s="16" t="n">
        <v>160</v>
      </c>
      <c r="H114" s="16" t="n">
        <v>1075</v>
      </c>
      <c r="I114" s="16" t="n">
        <v>542</v>
      </c>
      <c r="J114" s="16" t="n">
        <v>533</v>
      </c>
      <c r="K114" s="16" t="n">
        <v>0</v>
      </c>
      <c r="L114" s="19" t="n">
        <f aca="false">(K114/H114)*100</f>
        <v>0</v>
      </c>
      <c r="M114" s="16" t="n">
        <v>0</v>
      </c>
      <c r="N114" s="19" t="n">
        <f aca="false">(M114/H114)*100</f>
        <v>0</v>
      </c>
      <c r="O114" s="16" t="n">
        <v>0</v>
      </c>
      <c r="P114" s="16" t="n">
        <v>0</v>
      </c>
      <c r="Q114" s="89" t="s">
        <v>49</v>
      </c>
      <c r="R114" s="34" t="n">
        <v>45201</v>
      </c>
      <c r="S114" s="16"/>
      <c r="T114" s="89"/>
      <c r="U114" s="16"/>
      <c r="V114" s="16"/>
      <c r="W114" s="16"/>
      <c r="X114" s="16"/>
      <c r="Y114" s="16"/>
      <c r="Z114" s="16"/>
      <c r="AA114" s="89" t="s">
        <v>50</v>
      </c>
      <c r="AB114" s="89" t="n">
        <v>0</v>
      </c>
      <c r="AC114" s="36"/>
      <c r="AD114" s="20"/>
      <c r="AE114" s="20"/>
      <c r="AF114" s="20"/>
    </row>
    <row r="115" customFormat="false" ht="15.75" hidden="false" customHeight="false" outlineLevel="0" collapsed="false">
      <c r="A115" s="16" t="s">
        <v>42</v>
      </c>
      <c r="B115" s="16" t="s">
        <v>2667</v>
      </c>
      <c r="C115" s="71" t="s">
        <v>2936</v>
      </c>
      <c r="D115" s="16" t="s">
        <v>2939</v>
      </c>
      <c r="E115" s="16" t="s">
        <v>2940</v>
      </c>
      <c r="F115" s="16" t="n">
        <v>413</v>
      </c>
      <c r="G115" s="16" t="n">
        <v>53</v>
      </c>
      <c r="H115" s="16" t="n">
        <v>357</v>
      </c>
      <c r="I115" s="16" t="n">
        <v>178</v>
      </c>
      <c r="J115" s="16" t="n">
        <v>179</v>
      </c>
      <c r="K115" s="16" t="n">
        <v>0</v>
      </c>
      <c r="L115" s="19" t="n">
        <f aca="false">(K115/H115)*100</f>
        <v>0</v>
      </c>
      <c r="M115" s="16" t="n">
        <v>0</v>
      </c>
      <c r="N115" s="19" t="n">
        <f aca="false">(M115/H115)*100</f>
        <v>0</v>
      </c>
      <c r="O115" s="16" t="n">
        <v>0</v>
      </c>
      <c r="P115" s="16" t="n">
        <v>0</v>
      </c>
      <c r="Q115" s="89" t="s">
        <v>49</v>
      </c>
      <c r="R115" s="34" t="n">
        <v>45201</v>
      </c>
      <c r="S115" s="16"/>
      <c r="T115" s="89"/>
      <c r="U115" s="16"/>
      <c r="V115" s="16"/>
      <c r="W115" s="16"/>
      <c r="X115" s="16"/>
      <c r="Y115" s="16"/>
      <c r="Z115" s="16"/>
      <c r="AA115" s="89" t="s">
        <v>50</v>
      </c>
      <c r="AB115" s="89" t="n">
        <v>0</v>
      </c>
      <c r="AC115" s="36"/>
      <c r="AD115" s="20"/>
      <c r="AE115" s="20"/>
      <c r="AF115" s="20"/>
    </row>
    <row r="116" customFormat="false" ht="15.75" hidden="false" customHeight="false" outlineLevel="0" collapsed="false">
      <c r="A116" s="16" t="s">
        <v>42</v>
      </c>
      <c r="B116" s="16" t="s">
        <v>2667</v>
      </c>
      <c r="C116" s="71" t="s">
        <v>2936</v>
      </c>
      <c r="D116" s="16" t="s">
        <v>535</v>
      </c>
      <c r="E116" s="16" t="s">
        <v>2941</v>
      </c>
      <c r="F116" s="16" t="n">
        <v>264</v>
      </c>
      <c r="G116" s="16" t="n">
        <v>56</v>
      </c>
      <c r="H116" s="16" t="n">
        <v>319</v>
      </c>
      <c r="I116" s="16" t="n">
        <v>173</v>
      </c>
      <c r="J116" s="16" t="n">
        <v>146</v>
      </c>
      <c r="K116" s="16" t="n">
        <v>0</v>
      </c>
      <c r="L116" s="19" t="n">
        <f aca="false">(K116/H116)*100</f>
        <v>0</v>
      </c>
      <c r="M116" s="16" t="n">
        <v>0</v>
      </c>
      <c r="N116" s="19" t="n">
        <f aca="false">(M116/H116)*100</f>
        <v>0</v>
      </c>
      <c r="O116" s="16" t="n">
        <v>0</v>
      </c>
      <c r="P116" s="16" t="n">
        <v>0</v>
      </c>
      <c r="Q116" s="89" t="s">
        <v>49</v>
      </c>
      <c r="R116" s="34" t="n">
        <v>45201</v>
      </c>
      <c r="S116" s="16"/>
      <c r="T116" s="89" t="n">
        <v>0</v>
      </c>
      <c r="U116" s="16"/>
      <c r="V116" s="16"/>
      <c r="W116" s="16"/>
      <c r="X116" s="16"/>
      <c r="Y116" s="16"/>
      <c r="Z116" s="16"/>
      <c r="AA116" s="89" t="s">
        <v>50</v>
      </c>
      <c r="AB116" s="89" t="n">
        <v>0</v>
      </c>
      <c r="AC116" s="36"/>
      <c r="AD116" s="20" t="n">
        <v>0</v>
      </c>
      <c r="AE116" s="20" t="n">
        <v>0</v>
      </c>
      <c r="AF116" s="20"/>
    </row>
    <row r="117" customFormat="false" ht="15.75" hidden="false" customHeight="false" outlineLevel="0" collapsed="false">
      <c r="A117" s="16" t="s">
        <v>42</v>
      </c>
      <c r="B117" s="16" t="s">
        <v>2667</v>
      </c>
      <c r="C117" s="71" t="s">
        <v>2936</v>
      </c>
      <c r="D117" s="16" t="s">
        <v>667</v>
      </c>
      <c r="E117" s="16" t="s">
        <v>2942</v>
      </c>
      <c r="F117" s="16" t="n">
        <v>383</v>
      </c>
      <c r="G117" s="16" t="n">
        <v>51</v>
      </c>
      <c r="H117" s="16" t="n">
        <v>352</v>
      </c>
      <c r="I117" s="16" t="n">
        <v>182</v>
      </c>
      <c r="J117" s="16" t="n">
        <v>170</v>
      </c>
      <c r="K117" s="16" t="n">
        <v>10</v>
      </c>
      <c r="L117" s="19" t="n">
        <f aca="false">(K117/H117)*100</f>
        <v>2.84090909090909</v>
      </c>
      <c r="M117" s="16" t="n">
        <v>0</v>
      </c>
      <c r="N117" s="19" t="n">
        <f aca="false">(M117/H117)*100</f>
        <v>0</v>
      </c>
      <c r="O117" s="16" t="n">
        <v>0</v>
      </c>
      <c r="P117" s="16" t="n">
        <v>0</v>
      </c>
      <c r="Q117" s="89" t="s">
        <v>49</v>
      </c>
      <c r="R117" s="34" t="n">
        <v>45201</v>
      </c>
      <c r="S117" s="16"/>
      <c r="T117" s="89"/>
      <c r="U117" s="16"/>
      <c r="V117" s="16"/>
      <c r="W117" s="16"/>
      <c r="X117" s="16"/>
      <c r="Y117" s="16"/>
      <c r="Z117" s="16"/>
      <c r="AA117" s="89" t="s">
        <v>50</v>
      </c>
      <c r="AB117" s="89" t="n">
        <v>0</v>
      </c>
      <c r="AC117" s="36"/>
      <c r="AD117" s="20"/>
      <c r="AE117" s="20"/>
      <c r="AF117" s="20"/>
    </row>
    <row r="118" customFormat="false" ht="15.75" hidden="false" customHeight="false" outlineLevel="0" collapsed="false">
      <c r="A118" s="16" t="s">
        <v>42</v>
      </c>
      <c r="B118" s="16" t="s">
        <v>2667</v>
      </c>
      <c r="C118" s="71" t="s">
        <v>2936</v>
      </c>
      <c r="D118" s="16" t="s">
        <v>2943</v>
      </c>
      <c r="E118" s="16" t="s">
        <v>2944</v>
      </c>
      <c r="F118" s="16" t="n">
        <v>476</v>
      </c>
      <c r="G118" s="16" t="n">
        <v>49</v>
      </c>
      <c r="H118" s="16" t="n">
        <v>314</v>
      </c>
      <c r="I118" s="16" t="n">
        <v>154</v>
      </c>
      <c r="J118" s="16" t="n">
        <v>160</v>
      </c>
      <c r="K118" s="16" t="n">
        <v>0</v>
      </c>
      <c r="L118" s="19" t="n">
        <f aca="false">(K118/H118)*100</f>
        <v>0</v>
      </c>
      <c r="M118" s="16" t="n">
        <v>0</v>
      </c>
      <c r="N118" s="19" t="n">
        <f aca="false">(M118/H118)*100</f>
        <v>0</v>
      </c>
      <c r="O118" s="16" t="n">
        <v>68</v>
      </c>
      <c r="P118" s="16" t="n">
        <v>0</v>
      </c>
      <c r="Q118" s="89" t="s">
        <v>49</v>
      </c>
      <c r="R118" s="34" t="n">
        <v>45201</v>
      </c>
      <c r="S118" s="16"/>
      <c r="T118" s="89" t="n">
        <v>107.1525</v>
      </c>
      <c r="U118" s="16"/>
      <c r="V118" s="16"/>
      <c r="W118" s="16"/>
      <c r="X118" s="16"/>
      <c r="Y118" s="16"/>
      <c r="Z118" s="16"/>
      <c r="AA118" s="89" t="s">
        <v>50</v>
      </c>
      <c r="AB118" s="89" t="n">
        <v>7</v>
      </c>
      <c r="AC118" s="254" t="s">
        <v>2945</v>
      </c>
      <c r="AD118" s="20"/>
      <c r="AE118" s="20"/>
      <c r="AF118" s="20"/>
    </row>
    <row r="119" customFormat="false" ht="15.75" hidden="false" customHeight="false" outlineLevel="0" collapsed="false">
      <c r="A119" s="16" t="s">
        <v>42</v>
      </c>
      <c r="B119" s="16" t="s">
        <v>2667</v>
      </c>
      <c r="C119" s="71" t="s">
        <v>2936</v>
      </c>
      <c r="D119" s="16" t="s">
        <v>2946</v>
      </c>
      <c r="E119" s="16" t="s">
        <v>2947</v>
      </c>
      <c r="F119" s="16" t="n">
        <v>593</v>
      </c>
      <c r="G119" s="16" t="n">
        <v>63</v>
      </c>
      <c r="H119" s="16" t="n">
        <v>392</v>
      </c>
      <c r="I119" s="16" t="n">
        <v>200</v>
      </c>
      <c r="J119" s="16" t="n">
        <v>192</v>
      </c>
      <c r="K119" s="16" t="n">
        <v>0</v>
      </c>
      <c r="L119" s="19" t="n">
        <f aca="false">(K119/H119)*100</f>
        <v>0</v>
      </c>
      <c r="M119" s="16" t="n">
        <v>0</v>
      </c>
      <c r="N119" s="19" t="n">
        <f aca="false">(M119/H119)*100</f>
        <v>0</v>
      </c>
      <c r="O119" s="16" t="n">
        <v>0</v>
      </c>
      <c r="P119" s="16" t="n">
        <v>0</v>
      </c>
      <c r="Q119" s="89" t="s">
        <v>49</v>
      </c>
      <c r="R119" s="34" t="n">
        <v>45201</v>
      </c>
      <c r="S119" s="16"/>
      <c r="T119" s="89"/>
      <c r="U119" s="16"/>
      <c r="V119" s="16"/>
      <c r="W119" s="16"/>
      <c r="X119" s="16"/>
      <c r="Y119" s="16"/>
      <c r="Z119" s="16"/>
      <c r="AA119" s="89" t="s">
        <v>50</v>
      </c>
      <c r="AB119" s="89" t="n">
        <v>0</v>
      </c>
      <c r="AC119" s="36"/>
      <c r="AD119" s="20"/>
      <c r="AE119" s="20"/>
      <c r="AF119" s="20"/>
    </row>
    <row r="120" customFormat="false" ht="17.25" hidden="false" customHeight="false" outlineLevel="0" collapsed="false">
      <c r="A120" s="16" t="s">
        <v>42</v>
      </c>
      <c r="B120" s="16" t="s">
        <v>2667</v>
      </c>
      <c r="C120" s="71" t="s">
        <v>2948</v>
      </c>
      <c r="D120" s="72" t="s">
        <v>2949</v>
      </c>
      <c r="E120" s="16" t="s">
        <v>2950</v>
      </c>
      <c r="F120" s="16" t="n">
        <v>719</v>
      </c>
      <c r="G120" s="16" t="n">
        <v>191</v>
      </c>
      <c r="H120" s="16" t="n">
        <v>1160</v>
      </c>
      <c r="I120" s="16" t="n">
        <v>598</v>
      </c>
      <c r="J120" s="16" t="n">
        <v>562</v>
      </c>
      <c r="K120" s="16" t="n">
        <v>0</v>
      </c>
      <c r="L120" s="19" t="n">
        <f aca="false">(K120/H120)*100</f>
        <v>0</v>
      </c>
      <c r="M120" s="16" t="n">
        <v>0</v>
      </c>
      <c r="N120" s="19" t="n">
        <f aca="false">(M120/H120)*100</f>
        <v>0</v>
      </c>
      <c r="O120" s="16" t="n">
        <v>25</v>
      </c>
      <c r="P120" s="16" t="n">
        <v>0</v>
      </c>
      <c r="Q120" s="286" t="s">
        <v>49</v>
      </c>
      <c r="R120" s="46" t="n">
        <v>45201</v>
      </c>
      <c r="S120" s="16"/>
      <c r="T120" s="119" t="n">
        <v>58.85</v>
      </c>
      <c r="U120" s="16"/>
      <c r="V120" s="16"/>
      <c r="W120" s="16"/>
      <c r="X120" s="16"/>
      <c r="Y120" s="16"/>
      <c r="Z120" s="16"/>
      <c r="AA120" s="119" t="s">
        <v>50</v>
      </c>
      <c r="AB120" s="119" t="n">
        <v>10</v>
      </c>
      <c r="AC120" s="333" t="s">
        <v>2951</v>
      </c>
      <c r="AD120" s="45"/>
      <c r="AE120" s="45"/>
      <c r="AF120" s="20" t="s">
        <v>52</v>
      </c>
    </row>
    <row r="121" customFormat="false" ht="17.25" hidden="false" customHeight="false" outlineLevel="0" collapsed="false">
      <c r="A121" s="16"/>
      <c r="B121" s="16"/>
      <c r="C121" s="71"/>
      <c r="D121" s="72"/>
      <c r="E121" s="16"/>
      <c r="F121" s="16"/>
      <c r="G121" s="16"/>
      <c r="H121" s="16"/>
      <c r="I121" s="16"/>
      <c r="J121" s="16"/>
      <c r="K121" s="16"/>
      <c r="L121" s="19"/>
      <c r="M121" s="16"/>
      <c r="N121" s="19"/>
      <c r="O121" s="16"/>
      <c r="P121" s="16"/>
      <c r="Q121" s="288" t="s">
        <v>49</v>
      </c>
      <c r="R121" s="122" t="n">
        <v>45201</v>
      </c>
      <c r="S121" s="16"/>
      <c r="T121" s="125"/>
      <c r="U121" s="16"/>
      <c r="V121" s="16"/>
      <c r="W121" s="16"/>
      <c r="X121" s="16"/>
      <c r="Y121" s="16"/>
      <c r="Z121" s="16"/>
      <c r="AA121" s="125" t="s">
        <v>50</v>
      </c>
      <c r="AB121" s="125" t="n">
        <v>7</v>
      </c>
      <c r="AC121" s="359" t="s">
        <v>2952</v>
      </c>
      <c r="AD121" s="123"/>
      <c r="AE121" s="123"/>
      <c r="AF121" s="20" t="s">
        <v>52</v>
      </c>
    </row>
    <row r="122" customFormat="false" ht="17.25" hidden="false" customHeight="false" outlineLevel="0" collapsed="false">
      <c r="A122" s="16"/>
      <c r="B122" s="16"/>
      <c r="C122" s="71"/>
      <c r="D122" s="72"/>
      <c r="E122" s="16"/>
      <c r="F122" s="16"/>
      <c r="G122" s="16"/>
      <c r="H122" s="16"/>
      <c r="I122" s="16"/>
      <c r="J122" s="16"/>
      <c r="K122" s="16"/>
      <c r="L122" s="19"/>
      <c r="M122" s="16"/>
      <c r="N122" s="19"/>
      <c r="O122" s="16"/>
      <c r="P122" s="16"/>
      <c r="Q122" s="125"/>
      <c r="R122" s="122" t="n">
        <v>45201</v>
      </c>
      <c r="S122" s="16"/>
      <c r="T122" s="125"/>
      <c r="U122" s="16"/>
      <c r="V122" s="16"/>
      <c r="W122" s="16"/>
      <c r="X122" s="16"/>
      <c r="Y122" s="16"/>
      <c r="Z122" s="16"/>
      <c r="AA122" s="125" t="s">
        <v>50</v>
      </c>
      <c r="AB122" s="125" t="n">
        <v>10</v>
      </c>
      <c r="AC122" s="126" t="s">
        <v>2953</v>
      </c>
      <c r="AD122" s="123"/>
      <c r="AE122" s="123"/>
      <c r="AF122" s="20" t="s">
        <v>52</v>
      </c>
    </row>
    <row r="123" customFormat="false" ht="17.25" hidden="false" customHeight="false" outlineLevel="0" collapsed="false">
      <c r="A123" s="16" t="s">
        <v>42</v>
      </c>
      <c r="B123" s="16" t="s">
        <v>2667</v>
      </c>
      <c r="C123" s="71" t="s">
        <v>2948</v>
      </c>
      <c r="D123" s="16" t="s">
        <v>2954</v>
      </c>
      <c r="E123" s="16" t="s">
        <v>2955</v>
      </c>
      <c r="F123" s="16" t="n">
        <v>909.39</v>
      </c>
      <c r="G123" s="16" t="n">
        <v>406</v>
      </c>
      <c r="H123" s="16" t="n">
        <v>2015</v>
      </c>
      <c r="I123" s="16" t="n">
        <v>1022</v>
      </c>
      <c r="J123" s="16" t="n">
        <v>993</v>
      </c>
      <c r="K123" s="16" t="n">
        <v>561</v>
      </c>
      <c r="L123" s="19" t="n">
        <f aca="false">(K123/H123)*100</f>
        <v>27.8411910669975</v>
      </c>
      <c r="M123" s="16" t="n">
        <v>47</v>
      </c>
      <c r="N123" s="19" t="n">
        <f aca="false">(M123/H123)*100</f>
        <v>2.33250620347395</v>
      </c>
      <c r="O123" s="16" t="n">
        <v>71.53</v>
      </c>
      <c r="P123" s="16" t="n">
        <v>0</v>
      </c>
      <c r="Q123" s="286" t="s">
        <v>49</v>
      </c>
      <c r="R123" s="46" t="n">
        <v>45201</v>
      </c>
      <c r="S123" s="16"/>
      <c r="T123" s="119" t="n">
        <v>70.55</v>
      </c>
      <c r="U123" s="16"/>
      <c r="V123" s="16"/>
      <c r="W123" s="16"/>
      <c r="X123" s="16"/>
      <c r="Y123" s="16"/>
      <c r="Z123" s="16"/>
      <c r="AA123" s="119" t="s">
        <v>50</v>
      </c>
      <c r="AB123" s="119" t="n">
        <v>10</v>
      </c>
      <c r="AC123" s="333" t="s">
        <v>2956</v>
      </c>
      <c r="AD123" s="45"/>
      <c r="AE123" s="45"/>
      <c r="AF123" s="20" t="s">
        <v>52</v>
      </c>
    </row>
    <row r="124" customFormat="false" ht="15.75" hidden="false" customHeight="false" outlineLevel="0" collapsed="false">
      <c r="A124" s="16" t="s">
        <v>42</v>
      </c>
      <c r="B124" s="16" t="s">
        <v>2667</v>
      </c>
      <c r="C124" s="71" t="s">
        <v>2948</v>
      </c>
      <c r="D124" s="16" t="s">
        <v>2957</v>
      </c>
      <c r="E124" s="16" t="s">
        <v>2958</v>
      </c>
      <c r="F124" s="16" t="n">
        <v>240</v>
      </c>
      <c r="G124" s="16" t="n">
        <v>22</v>
      </c>
      <c r="H124" s="16" t="n">
        <v>125</v>
      </c>
      <c r="I124" s="16" t="n">
        <v>59</v>
      </c>
      <c r="J124" s="16" t="n">
        <v>66</v>
      </c>
      <c r="K124" s="16" t="n">
        <v>0</v>
      </c>
      <c r="L124" s="19" t="n">
        <f aca="false">(K124/H124)*100</f>
        <v>0</v>
      </c>
      <c r="M124" s="16" t="n">
        <v>0</v>
      </c>
      <c r="N124" s="19" t="n">
        <f aca="false">(M124/H124)*100</f>
        <v>0</v>
      </c>
      <c r="O124" s="16" t="n">
        <v>20</v>
      </c>
      <c r="P124" s="16" t="n">
        <v>0</v>
      </c>
      <c r="Q124" s="286" t="s">
        <v>49</v>
      </c>
      <c r="R124" s="46" t="n">
        <v>45201</v>
      </c>
      <c r="S124" s="16"/>
      <c r="T124" s="119" t="n">
        <v>7.31</v>
      </c>
      <c r="U124" s="16"/>
      <c r="V124" s="16"/>
      <c r="W124" s="16"/>
      <c r="X124" s="16"/>
      <c r="Y124" s="16"/>
      <c r="Z124" s="16"/>
      <c r="AA124" s="119" t="s">
        <v>50</v>
      </c>
      <c r="AB124" s="119" t="n">
        <v>0</v>
      </c>
      <c r="AC124" s="54" t="n">
        <v>0</v>
      </c>
      <c r="AD124" s="45"/>
      <c r="AE124" s="45"/>
      <c r="AF124" s="20" t="s">
        <v>52</v>
      </c>
    </row>
    <row r="125" customFormat="false" ht="15.75" hidden="false" customHeight="false" outlineLevel="0" collapsed="false">
      <c r="A125" s="16" t="s">
        <v>42</v>
      </c>
      <c r="B125" s="16" t="s">
        <v>2667</v>
      </c>
      <c r="C125" s="71" t="s">
        <v>2948</v>
      </c>
      <c r="D125" s="16" t="s">
        <v>2959</v>
      </c>
      <c r="E125" s="16" t="s">
        <v>2960</v>
      </c>
      <c r="F125" s="16" t="n">
        <v>493</v>
      </c>
      <c r="G125" s="16" t="n">
        <v>131</v>
      </c>
      <c r="H125" s="16" t="n">
        <v>778</v>
      </c>
      <c r="I125" s="16" t="n">
        <v>413</v>
      </c>
      <c r="J125" s="16" t="n">
        <v>365</v>
      </c>
      <c r="K125" s="16" t="n">
        <v>207</v>
      </c>
      <c r="L125" s="19" t="n">
        <f aca="false">(K125/H125)*100</f>
        <v>26.6066838046273</v>
      </c>
      <c r="M125" s="16" t="n">
        <v>0</v>
      </c>
      <c r="N125" s="19" t="n">
        <f aca="false">(M125/H125)*100</f>
        <v>0</v>
      </c>
      <c r="O125" s="16" t="n">
        <v>20</v>
      </c>
      <c r="P125" s="16" t="n">
        <v>0</v>
      </c>
      <c r="Q125" s="288" t="s">
        <v>49</v>
      </c>
      <c r="R125" s="46" t="n">
        <v>45201</v>
      </c>
      <c r="S125" s="16"/>
      <c r="T125" s="119" t="n">
        <v>25.35</v>
      </c>
      <c r="U125" s="16"/>
      <c r="V125" s="16"/>
      <c r="W125" s="16"/>
      <c r="X125" s="16"/>
      <c r="Y125" s="16"/>
      <c r="Z125" s="16"/>
      <c r="AA125" s="119" t="s">
        <v>50</v>
      </c>
      <c r="AB125" s="119" t="n">
        <v>0</v>
      </c>
      <c r="AC125" s="54" t="n">
        <v>0</v>
      </c>
      <c r="AD125" s="45"/>
      <c r="AE125" s="45"/>
      <c r="AF125" s="20" t="s">
        <v>52</v>
      </c>
    </row>
    <row r="126" customFormat="false" ht="15.75" hidden="false" customHeight="false" outlineLevel="0" collapsed="false">
      <c r="A126" s="16" t="s">
        <v>42</v>
      </c>
      <c r="B126" s="16" t="s">
        <v>2667</v>
      </c>
      <c r="C126" s="71" t="s">
        <v>2948</v>
      </c>
      <c r="D126" s="16" t="s">
        <v>242</v>
      </c>
      <c r="E126" s="16" t="s">
        <v>2961</v>
      </c>
      <c r="F126" s="16" t="n">
        <v>296</v>
      </c>
      <c r="G126" s="16" t="n">
        <v>108</v>
      </c>
      <c r="H126" s="16" t="n">
        <v>472</v>
      </c>
      <c r="I126" s="16" t="n">
        <v>245</v>
      </c>
      <c r="J126" s="16" t="n">
        <v>227</v>
      </c>
      <c r="K126" s="16" t="n">
        <v>20</v>
      </c>
      <c r="L126" s="19" t="n">
        <f aca="false">(K126/H126)*100</f>
        <v>4.23728813559322</v>
      </c>
      <c r="M126" s="16" t="n">
        <v>1</v>
      </c>
      <c r="N126" s="19" t="n">
        <f aca="false">(M126/H126)*100</f>
        <v>0.211864406779661</v>
      </c>
      <c r="O126" s="16" t="n">
        <v>15</v>
      </c>
      <c r="P126" s="16" t="n">
        <v>0</v>
      </c>
      <c r="Q126" s="286" t="s">
        <v>49</v>
      </c>
      <c r="R126" s="46" t="n">
        <v>45201</v>
      </c>
      <c r="S126" s="16"/>
      <c r="T126" s="119" t="n">
        <v>28.64</v>
      </c>
      <c r="U126" s="16"/>
      <c r="V126" s="16"/>
      <c r="W126" s="16"/>
      <c r="X126" s="16"/>
      <c r="Y126" s="16"/>
      <c r="Z126" s="16"/>
      <c r="AA126" s="119" t="s">
        <v>50</v>
      </c>
      <c r="AB126" s="119" t="n">
        <v>0</v>
      </c>
      <c r="AC126" s="54" t="n">
        <v>0</v>
      </c>
      <c r="AD126" s="45"/>
      <c r="AE126" s="45"/>
      <c r="AF126" s="20" t="s">
        <v>52</v>
      </c>
    </row>
    <row r="127" customFormat="false" ht="15.75" hidden="false" customHeight="false" outlineLevel="0" collapsed="false">
      <c r="A127" s="16" t="s">
        <v>42</v>
      </c>
      <c r="B127" s="16" t="s">
        <v>2667</v>
      </c>
      <c r="C127" s="71" t="s">
        <v>2962</v>
      </c>
      <c r="D127" s="72" t="s">
        <v>2963</v>
      </c>
      <c r="E127" s="16" t="s">
        <v>2964</v>
      </c>
      <c r="F127" s="16" t="n">
        <v>4225</v>
      </c>
      <c r="G127" s="16" t="n">
        <v>650</v>
      </c>
      <c r="H127" s="16" t="n">
        <v>3947</v>
      </c>
      <c r="I127" s="16" t="n">
        <v>2087</v>
      </c>
      <c r="J127" s="16" t="n">
        <v>1860</v>
      </c>
      <c r="K127" s="16" t="n">
        <v>578</v>
      </c>
      <c r="L127" s="19" t="n">
        <f aca="false">(K127/H127)*100</f>
        <v>14.6440334431214</v>
      </c>
      <c r="M127" s="16" t="n">
        <v>6</v>
      </c>
      <c r="N127" s="19" t="n">
        <f aca="false">(M127/H127)*100</f>
        <v>0.152014187990879</v>
      </c>
      <c r="O127" s="16" t="n">
        <v>309</v>
      </c>
      <c r="P127" s="16" t="n">
        <v>0</v>
      </c>
      <c r="Q127" s="89" t="s">
        <v>49</v>
      </c>
      <c r="R127" s="34" t="n">
        <v>45201</v>
      </c>
      <c r="S127" s="16"/>
      <c r="T127" s="89" t="n">
        <v>70.6419</v>
      </c>
      <c r="U127" s="16"/>
      <c r="V127" s="16"/>
      <c r="W127" s="16"/>
      <c r="X127" s="16"/>
      <c r="Y127" s="16"/>
      <c r="Z127" s="16"/>
      <c r="AA127" s="89" t="s">
        <v>50</v>
      </c>
      <c r="AB127" s="89" t="n">
        <v>10</v>
      </c>
      <c r="AC127" s="254" t="s">
        <v>2965</v>
      </c>
      <c r="AD127" s="20"/>
      <c r="AE127" s="20"/>
      <c r="AF127" s="20"/>
    </row>
    <row r="128" customFormat="false" ht="15.75" hidden="false" customHeight="false" outlineLevel="0" collapsed="false">
      <c r="A128" s="16" t="s">
        <v>42</v>
      </c>
      <c r="B128" s="16" t="s">
        <v>2667</v>
      </c>
      <c r="C128" s="71" t="s">
        <v>129</v>
      </c>
      <c r="D128" s="72" t="s">
        <v>129</v>
      </c>
      <c r="E128" s="16" t="s">
        <v>2966</v>
      </c>
      <c r="F128" s="16" t="n">
        <v>307.57</v>
      </c>
      <c r="G128" s="16" t="n">
        <v>126</v>
      </c>
      <c r="H128" s="16" t="n">
        <v>770</v>
      </c>
      <c r="I128" s="16" t="n">
        <v>424</v>
      </c>
      <c r="J128" s="16" t="n">
        <v>346</v>
      </c>
      <c r="K128" s="16" t="n">
        <v>563</v>
      </c>
      <c r="L128" s="19" t="n">
        <f aca="false">(K128/H128)*100</f>
        <v>73.1168831168831</v>
      </c>
      <c r="M128" s="16" t="n">
        <v>0</v>
      </c>
      <c r="N128" s="19" t="n">
        <f aca="false">(M128/H128)*100</f>
        <v>0</v>
      </c>
      <c r="O128" s="16" t="n">
        <v>70.41</v>
      </c>
      <c r="P128" s="16" t="n">
        <v>0</v>
      </c>
      <c r="Q128" s="247" t="s">
        <v>50</v>
      </c>
      <c r="R128" s="34" t="n">
        <v>44613</v>
      </c>
      <c r="S128" s="16"/>
      <c r="T128" s="89" t="n">
        <v>78</v>
      </c>
      <c r="U128" s="16"/>
      <c r="V128" s="16"/>
      <c r="W128" s="16"/>
      <c r="X128" s="16"/>
      <c r="Y128" s="16"/>
      <c r="Z128" s="16"/>
      <c r="AA128" s="247" t="s">
        <v>50</v>
      </c>
      <c r="AB128" s="89" t="n">
        <v>1</v>
      </c>
      <c r="AC128" s="20" t="s">
        <v>276</v>
      </c>
      <c r="AD128" s="20" t="n">
        <v>26.997857</v>
      </c>
      <c r="AE128" s="20" t="n">
        <v>72.580093</v>
      </c>
      <c r="AF128" s="20"/>
    </row>
    <row r="129" customFormat="false" ht="15.75" hidden="false" customHeight="false" outlineLevel="0" collapsed="false">
      <c r="A129" s="16" t="s">
        <v>42</v>
      </c>
      <c r="B129" s="16" t="s">
        <v>2667</v>
      </c>
      <c r="C129" s="71" t="s">
        <v>129</v>
      </c>
      <c r="D129" s="16" t="s">
        <v>2967</v>
      </c>
      <c r="E129" s="16" t="s">
        <v>2968</v>
      </c>
      <c r="F129" s="16" t="n">
        <v>316.62</v>
      </c>
      <c r="G129" s="16" t="n">
        <v>97</v>
      </c>
      <c r="H129" s="16" t="n">
        <v>539</v>
      </c>
      <c r="I129" s="16" t="n">
        <v>270</v>
      </c>
      <c r="J129" s="16" t="n">
        <v>269</v>
      </c>
      <c r="K129" s="16" t="n">
        <v>0</v>
      </c>
      <c r="L129" s="19" t="n">
        <f aca="false">(K129/H129)*100</f>
        <v>0</v>
      </c>
      <c r="M129" s="16" t="n">
        <v>0</v>
      </c>
      <c r="N129" s="19" t="n">
        <f aca="false">(M129/H129)*100</f>
        <v>0</v>
      </c>
      <c r="O129" s="16" t="n">
        <v>12</v>
      </c>
      <c r="P129" s="16" t="n">
        <v>0</v>
      </c>
      <c r="Q129" s="92" t="s">
        <v>49</v>
      </c>
      <c r="R129" s="25" t="n">
        <v>44628</v>
      </c>
      <c r="S129" s="16"/>
      <c r="T129" s="92" t="n">
        <v>12.5371</v>
      </c>
      <c r="U129" s="16"/>
      <c r="V129" s="16"/>
      <c r="W129" s="16"/>
      <c r="X129" s="16"/>
      <c r="Y129" s="16"/>
      <c r="Z129" s="16"/>
      <c r="AA129" s="92" t="s">
        <v>266</v>
      </c>
      <c r="AB129" s="92" t="n">
        <v>2</v>
      </c>
      <c r="AC129" s="129" t="s">
        <v>2969</v>
      </c>
      <c r="AD129" s="24" t="n">
        <v>27.003901</v>
      </c>
      <c r="AE129" s="24" t="n">
        <v>72.578201</v>
      </c>
      <c r="AF129" s="20"/>
    </row>
    <row r="130" customFormat="false" ht="15.75" hidden="false" customHeight="false" outlineLevel="0" collapsed="false">
      <c r="A130" s="16" t="s">
        <v>42</v>
      </c>
      <c r="B130" s="16" t="s">
        <v>2667</v>
      </c>
      <c r="C130" s="71" t="s">
        <v>129</v>
      </c>
      <c r="D130" s="16" t="s">
        <v>2970</v>
      </c>
      <c r="E130" s="16" t="s">
        <v>2971</v>
      </c>
      <c r="F130" s="16" t="n">
        <v>296.33</v>
      </c>
      <c r="G130" s="16" t="n">
        <v>83</v>
      </c>
      <c r="H130" s="16" t="n">
        <v>539</v>
      </c>
      <c r="I130" s="16" t="n">
        <v>285</v>
      </c>
      <c r="J130" s="16" t="n">
        <v>254</v>
      </c>
      <c r="K130" s="16" t="n">
        <v>0</v>
      </c>
      <c r="L130" s="19" t="n">
        <f aca="false">(K130/H130)*100</f>
        <v>0</v>
      </c>
      <c r="M130" s="16" t="n">
        <v>0</v>
      </c>
      <c r="N130" s="19" t="n">
        <f aca="false">(M130/H130)*100</f>
        <v>0</v>
      </c>
      <c r="O130" s="16" t="n">
        <v>4</v>
      </c>
      <c r="P130" s="16" t="n">
        <v>0</v>
      </c>
      <c r="Q130" s="89" t="s">
        <v>49</v>
      </c>
      <c r="R130" s="34" t="n">
        <v>45201</v>
      </c>
      <c r="S130" s="16"/>
      <c r="T130" s="89"/>
      <c r="U130" s="16"/>
      <c r="V130" s="16"/>
      <c r="W130" s="16"/>
      <c r="X130" s="16"/>
      <c r="Y130" s="16"/>
      <c r="Z130" s="16"/>
      <c r="AA130" s="89" t="s">
        <v>50</v>
      </c>
      <c r="AB130" s="89" t="n">
        <v>0</v>
      </c>
      <c r="AC130" s="36"/>
      <c r="AD130" s="20"/>
      <c r="AE130" s="20"/>
      <c r="AF130" s="20"/>
    </row>
    <row r="131" customFormat="false" ht="15.75" hidden="false" customHeight="false" outlineLevel="0" collapsed="false">
      <c r="A131" s="16" t="s">
        <v>42</v>
      </c>
      <c r="B131" s="16" t="s">
        <v>2667</v>
      </c>
      <c r="C131" s="71" t="s">
        <v>129</v>
      </c>
      <c r="D131" s="16" t="s">
        <v>2972</v>
      </c>
      <c r="E131" s="16" t="s">
        <v>2973</v>
      </c>
      <c r="F131" s="16" t="n">
        <v>286</v>
      </c>
      <c r="G131" s="16" t="n">
        <v>83</v>
      </c>
      <c r="H131" s="16" t="n">
        <v>521</v>
      </c>
      <c r="I131" s="16" t="n">
        <v>259</v>
      </c>
      <c r="J131" s="16" t="n">
        <v>262</v>
      </c>
      <c r="K131" s="16" t="n">
        <v>0</v>
      </c>
      <c r="L131" s="19" t="n">
        <f aca="false">(K131/H131)*100</f>
        <v>0</v>
      </c>
      <c r="M131" s="16" t="n">
        <v>0</v>
      </c>
      <c r="N131" s="19" t="n">
        <f aca="false">(M131/H131)*100</f>
        <v>0</v>
      </c>
      <c r="O131" s="16" t="n">
        <v>0</v>
      </c>
      <c r="P131" s="16" t="n">
        <v>0</v>
      </c>
      <c r="Q131" s="92" t="s">
        <v>49</v>
      </c>
      <c r="R131" s="25" t="n">
        <v>44629</v>
      </c>
      <c r="S131" s="16"/>
      <c r="T131" s="92" t="n">
        <v>23.8</v>
      </c>
      <c r="U131" s="16"/>
      <c r="V131" s="16"/>
      <c r="W131" s="16"/>
      <c r="X131" s="16"/>
      <c r="Y131" s="16"/>
      <c r="Z131" s="16"/>
      <c r="AA131" s="92" t="s">
        <v>266</v>
      </c>
      <c r="AB131" s="92" t="n">
        <v>1</v>
      </c>
      <c r="AC131" s="129" t="s">
        <v>276</v>
      </c>
      <c r="AD131" s="24" t="n">
        <v>27.045595</v>
      </c>
      <c r="AE131" s="24" t="n">
        <v>72.580814</v>
      </c>
      <c r="AF131" s="20"/>
    </row>
    <row r="132" customFormat="false" ht="15.75" hidden="false" customHeight="false" outlineLevel="0" collapsed="false">
      <c r="A132" s="16" t="s">
        <v>42</v>
      </c>
      <c r="B132" s="16" t="s">
        <v>2667</v>
      </c>
      <c r="C132" s="71" t="s">
        <v>129</v>
      </c>
      <c r="D132" s="16" t="s">
        <v>2974</v>
      </c>
      <c r="E132" s="16" t="s">
        <v>2975</v>
      </c>
      <c r="F132" s="16" t="n">
        <v>280.7</v>
      </c>
      <c r="G132" s="16" t="n">
        <v>61</v>
      </c>
      <c r="H132" s="16" t="n">
        <v>397</v>
      </c>
      <c r="I132" s="16" t="n">
        <v>199</v>
      </c>
      <c r="J132" s="16" t="n">
        <v>198</v>
      </c>
      <c r="K132" s="16" t="n">
        <v>0</v>
      </c>
      <c r="L132" s="19" t="n">
        <f aca="false">(K132/H132)*100</f>
        <v>0</v>
      </c>
      <c r="M132" s="16" t="n">
        <v>0</v>
      </c>
      <c r="N132" s="19" t="n">
        <f aca="false">(M132/H132)*100</f>
        <v>0</v>
      </c>
      <c r="O132" s="16" t="n">
        <v>34</v>
      </c>
      <c r="P132" s="16" t="n">
        <v>0</v>
      </c>
      <c r="Q132" s="92" t="s">
        <v>49</v>
      </c>
      <c r="R132" s="25" t="n">
        <v>44634</v>
      </c>
      <c r="S132" s="16"/>
      <c r="T132" s="92" t="n">
        <v>40.8</v>
      </c>
      <c r="U132" s="16"/>
      <c r="V132" s="16"/>
      <c r="W132" s="16"/>
      <c r="X132" s="16"/>
      <c r="Y132" s="16"/>
      <c r="Z132" s="16"/>
      <c r="AA132" s="92" t="s">
        <v>266</v>
      </c>
      <c r="AB132" s="92" t="n">
        <v>5</v>
      </c>
      <c r="AC132" s="129" t="s">
        <v>276</v>
      </c>
      <c r="AD132" s="24" t="n">
        <v>27.054633</v>
      </c>
      <c r="AE132" s="24" t="n">
        <v>72.569423</v>
      </c>
      <c r="AF132" s="20"/>
    </row>
    <row r="133" customFormat="false" ht="15.75" hidden="false" customHeight="false" outlineLevel="0" collapsed="false">
      <c r="F133" s="1" t="n">
        <f aca="false">SUM(F4:F132)</f>
        <v>114432.57</v>
      </c>
      <c r="G133" s="1" t="n">
        <f aca="false">SUM(G4:G132)</f>
        <v>20889</v>
      </c>
      <c r="H133" s="1" t="n">
        <f aca="false">SUM(H4:H132)</f>
        <v>121870</v>
      </c>
      <c r="I133" s="1" t="n">
        <f aca="false">SUM(I4:I132)</f>
        <v>63669</v>
      </c>
      <c r="J133" s="1" t="n">
        <f aca="false">SUM(J4:J132)</f>
        <v>58201</v>
      </c>
      <c r="K133" s="1" t="n">
        <f aca="false">SUM(K4:K132)</f>
        <v>19447</v>
      </c>
      <c r="M133" s="1" t="n">
        <f aca="false">SUM(M4:M132)</f>
        <v>4770</v>
      </c>
      <c r="O133" s="1" t="n">
        <f aca="false">SUM(O4:O132)</f>
        <v>4922.85</v>
      </c>
      <c r="P133" s="1" t="n">
        <f aca="false">SUM(P4:P132)</f>
        <v>1078.2</v>
      </c>
    </row>
  </sheetData>
  <mergeCells count="3">
    <mergeCell ref="K2:L2"/>
    <mergeCell ref="M2:N2"/>
    <mergeCell ref="AD2:AE2"/>
  </mergeCells>
  <conditionalFormatting sqref="AC13">
    <cfRule type="duplicateValues" priority="2" aboveAverage="0" equalAverage="0" bottom="0" percent="0" rank="0" text="" dxfId="12"/>
  </conditionalFormatting>
  <conditionalFormatting sqref="AC69">
    <cfRule type="duplicateValues" priority="3" aboveAverage="0" equalAverage="0" bottom="0" percent="0" rank="0" text="" dxfId="13"/>
  </conditionalFormatting>
  <conditionalFormatting sqref="AC68">
    <cfRule type="duplicateValues" priority="4" aboveAverage="0" equalAverage="0" bottom="0" percent="0" rank="0" text="" dxfId="14"/>
  </conditionalFormatting>
  <conditionalFormatting sqref="AC2:AC3">
    <cfRule type="duplicateValues" priority="5" aboveAverage="0" equalAverage="0" bottom="0" percent="0" rank="0" text="" dxfId="15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E135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pane xSplit="3" ySplit="2" topLeftCell="W3" activePane="bottomRight" state="frozen"/>
      <selection pane="topLeft" activeCell="B1" activeCellId="0" sqref="B1"/>
      <selection pane="topRight" activeCell="W1" activeCellId="0" sqref="W1"/>
      <selection pane="bottomLeft" activeCell="B3" activeCellId="0" sqref="B3"/>
      <selection pane="bottomRight" activeCell="AC1" activeCellId="0" sqref="AC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58" width="10"/>
    <col collapsed="false" customWidth="true" hidden="false" outlineLevel="0" max="2" min="2" style="58" width="6"/>
    <col collapsed="false" customWidth="true" hidden="false" outlineLevel="0" max="3" min="3" style="58" width="15.57"/>
    <col collapsed="false" customWidth="true" hidden="false" outlineLevel="0" max="4" min="4" style="58" width="23.43"/>
    <col collapsed="false" customWidth="true" hidden="false" outlineLevel="0" max="5" min="5" style="58" width="18.71"/>
    <col collapsed="false" customWidth="true" hidden="false" outlineLevel="0" max="6" min="6" style="58" width="14"/>
    <col collapsed="false" customWidth="true" hidden="false" outlineLevel="0" max="7" min="7" style="58" width="10.28"/>
    <col collapsed="false" customWidth="true" hidden="false" outlineLevel="0" max="8" min="8" style="58" width="11.85"/>
    <col collapsed="false" customWidth="true" hidden="false" outlineLevel="0" max="9" min="9" style="58" width="6.57"/>
    <col collapsed="false" customWidth="true" hidden="false" outlineLevel="0" max="11" min="10" style="58" width="9.71"/>
    <col collapsed="false" customWidth="true" hidden="false" outlineLevel="0" max="12" min="12" style="58" width="8.57"/>
    <col collapsed="false" customWidth="true" hidden="false" outlineLevel="0" max="13" min="13" style="58" width="10.71"/>
    <col collapsed="false" customWidth="true" hidden="false" outlineLevel="0" max="14" min="14" style="58" width="8.57"/>
    <col collapsed="false" customWidth="true" hidden="false" outlineLevel="0" max="15" min="15" style="58" width="13"/>
    <col collapsed="false" customWidth="true" hidden="false" outlineLevel="0" max="16" min="16" style="58" width="11.57"/>
    <col collapsed="false" customWidth="true" hidden="false" outlineLevel="0" max="17" min="17" style="58" width="15.43"/>
    <col collapsed="false" customWidth="true" hidden="false" outlineLevel="0" max="18" min="18" style="58" width="17.14"/>
    <col collapsed="false" customWidth="true" hidden="false" outlineLevel="0" max="19" min="19" style="58" width="15"/>
    <col collapsed="false" customWidth="true" hidden="false" outlineLevel="0" max="20" min="20" style="58" width="15.85"/>
    <col collapsed="false" customWidth="true" hidden="false" outlineLevel="0" max="25" min="21" style="58" width="15"/>
    <col collapsed="false" customWidth="true" hidden="false" outlineLevel="0" max="28" min="26" style="58" width="13.14"/>
    <col collapsed="false" customWidth="true" hidden="false" outlineLevel="0" max="29" min="29" style="59" width="40.85"/>
    <col collapsed="false" customWidth="true" hidden="false" outlineLevel="0" max="30" min="30" style="58" width="16.85"/>
    <col collapsed="false" customWidth="true" hidden="false" outlineLevel="0" max="31" min="31" style="58" width="18.57"/>
    <col collapsed="false" customWidth="false" hidden="false" outlineLevel="0" max="1024" min="32" style="58" width="9.14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</row>
    <row r="2" s="110" customFormat="true" ht="99.75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</row>
    <row r="3" s="110" customFormat="true" ht="33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321" t="s">
        <v>1259</v>
      </c>
      <c r="L3" s="321" t="s">
        <v>34</v>
      </c>
      <c r="M3" s="321" t="s">
        <v>1259</v>
      </c>
      <c r="N3" s="321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</row>
    <row r="4" customFormat="false" ht="15.75" hidden="false" customHeight="false" outlineLevel="0" collapsed="false">
      <c r="A4" s="16" t="s">
        <v>42</v>
      </c>
      <c r="B4" s="16" t="s">
        <v>2976</v>
      </c>
      <c r="C4" s="71" t="s">
        <v>2916</v>
      </c>
      <c r="D4" s="72" t="s">
        <v>2916</v>
      </c>
      <c r="E4" s="16" t="s">
        <v>2977</v>
      </c>
      <c r="F4" s="16" t="n">
        <v>755.98</v>
      </c>
      <c r="G4" s="16" t="n">
        <v>248</v>
      </c>
      <c r="H4" s="16" t="n">
        <v>1579</v>
      </c>
      <c r="I4" s="16" t="n">
        <v>800</v>
      </c>
      <c r="J4" s="16" t="n">
        <v>779</v>
      </c>
      <c r="K4" s="16" t="n">
        <v>0</v>
      </c>
      <c r="L4" s="19" t="n">
        <f aca="false">(K4/H4)*100</f>
        <v>0</v>
      </c>
      <c r="M4" s="16" t="n">
        <v>0</v>
      </c>
      <c r="N4" s="19" t="n">
        <f aca="false">(M4/H4)*100</f>
        <v>0</v>
      </c>
      <c r="O4" s="16" t="n">
        <v>0</v>
      </c>
      <c r="P4" s="16" t="n">
        <v>0</v>
      </c>
      <c r="Q4" s="20" t="s">
        <v>49</v>
      </c>
      <c r="R4" s="34" t="n">
        <v>45145</v>
      </c>
      <c r="S4" s="16"/>
      <c r="T4" s="36" t="n">
        <v>0</v>
      </c>
      <c r="U4" s="16"/>
      <c r="V4" s="16"/>
      <c r="W4" s="16"/>
      <c r="X4" s="16"/>
      <c r="Y4" s="16"/>
      <c r="Z4" s="16"/>
      <c r="AA4" s="119" t="s">
        <v>266</v>
      </c>
      <c r="AB4" s="300" t="n">
        <v>0</v>
      </c>
      <c r="AC4" s="36" t="n">
        <v>0</v>
      </c>
      <c r="AD4" s="300" t="n">
        <v>0</v>
      </c>
      <c r="AE4" s="300" t="n">
        <v>0</v>
      </c>
    </row>
    <row r="5" customFormat="false" ht="15.75" hidden="false" customHeight="false" outlineLevel="0" collapsed="false">
      <c r="A5" s="16" t="s">
        <v>42</v>
      </c>
      <c r="B5" s="16" t="s">
        <v>2976</v>
      </c>
      <c r="C5" s="71" t="s">
        <v>2916</v>
      </c>
      <c r="D5" s="16" t="s">
        <v>2978</v>
      </c>
      <c r="E5" s="16" t="s">
        <v>2979</v>
      </c>
      <c r="F5" s="16" t="n">
        <v>445.91</v>
      </c>
      <c r="G5" s="16" t="n">
        <v>37</v>
      </c>
      <c r="H5" s="16" t="n">
        <v>223</v>
      </c>
      <c r="I5" s="16" t="n">
        <v>119</v>
      </c>
      <c r="J5" s="16" t="n">
        <v>104</v>
      </c>
      <c r="K5" s="16" t="n">
        <v>0</v>
      </c>
      <c r="L5" s="19" t="n">
        <f aca="false">(K5/H5)*100</f>
        <v>0</v>
      </c>
      <c r="M5" s="16" t="n">
        <v>0</v>
      </c>
      <c r="N5" s="19" t="n">
        <f aca="false">(M5/H5)*100</f>
        <v>0</v>
      </c>
      <c r="O5" s="16" t="n">
        <v>0</v>
      </c>
      <c r="P5" s="16" t="n">
        <v>0</v>
      </c>
      <c r="Q5" s="20" t="s">
        <v>49</v>
      </c>
      <c r="R5" s="34" t="n">
        <v>45145</v>
      </c>
      <c r="S5" s="16"/>
      <c r="T5" s="36" t="n">
        <v>0</v>
      </c>
      <c r="U5" s="16"/>
      <c r="V5" s="16"/>
      <c r="W5" s="16"/>
      <c r="X5" s="16"/>
      <c r="Y5" s="16"/>
      <c r="Z5" s="16"/>
      <c r="AA5" s="119" t="s">
        <v>266</v>
      </c>
      <c r="AB5" s="300" t="n">
        <v>0</v>
      </c>
      <c r="AC5" s="36" t="n">
        <v>0</v>
      </c>
      <c r="AD5" s="300" t="n">
        <v>0</v>
      </c>
      <c r="AE5" s="300" t="n">
        <v>0</v>
      </c>
    </row>
    <row r="6" customFormat="false" ht="15.75" hidden="false" customHeight="false" outlineLevel="0" collapsed="false">
      <c r="A6" s="16" t="s">
        <v>42</v>
      </c>
      <c r="B6" s="16" t="s">
        <v>2976</v>
      </c>
      <c r="C6" s="71" t="s">
        <v>2916</v>
      </c>
      <c r="D6" s="16" t="s">
        <v>638</v>
      </c>
      <c r="E6" s="16" t="s">
        <v>2980</v>
      </c>
      <c r="F6" s="16" t="n">
        <v>557.5</v>
      </c>
      <c r="G6" s="16" t="n">
        <v>148</v>
      </c>
      <c r="H6" s="16" t="n">
        <v>894</v>
      </c>
      <c r="I6" s="16" t="n">
        <v>451</v>
      </c>
      <c r="J6" s="16" t="n">
        <v>443</v>
      </c>
      <c r="K6" s="16" t="n">
        <v>0</v>
      </c>
      <c r="L6" s="19" t="n">
        <f aca="false">(K6/H6)*100</f>
        <v>0</v>
      </c>
      <c r="M6" s="16" t="n">
        <v>0</v>
      </c>
      <c r="N6" s="19" t="n">
        <f aca="false">(M6/H6)*100</f>
        <v>0</v>
      </c>
      <c r="O6" s="16" t="n">
        <v>0</v>
      </c>
      <c r="P6" s="16" t="n">
        <v>0</v>
      </c>
      <c r="Q6" s="20" t="s">
        <v>49</v>
      </c>
      <c r="R6" s="34" t="n">
        <v>45145</v>
      </c>
      <c r="S6" s="16"/>
      <c r="T6" s="36" t="n">
        <v>0</v>
      </c>
      <c r="U6" s="16"/>
      <c r="V6" s="16"/>
      <c r="W6" s="16"/>
      <c r="X6" s="16"/>
      <c r="Y6" s="16"/>
      <c r="Z6" s="16"/>
      <c r="AA6" s="119" t="s">
        <v>266</v>
      </c>
      <c r="AB6" s="300" t="n">
        <v>0</v>
      </c>
      <c r="AC6" s="36" t="n">
        <v>0</v>
      </c>
      <c r="AD6" s="300" t="n">
        <v>0</v>
      </c>
      <c r="AE6" s="300" t="n">
        <v>0</v>
      </c>
    </row>
    <row r="7" customFormat="false" ht="15.75" hidden="false" customHeight="false" outlineLevel="0" collapsed="false">
      <c r="A7" s="16" t="s">
        <v>42</v>
      </c>
      <c r="B7" s="16" t="s">
        <v>2976</v>
      </c>
      <c r="C7" s="71" t="s">
        <v>2981</v>
      </c>
      <c r="D7" s="72" t="s">
        <v>2982</v>
      </c>
      <c r="E7" s="16" t="s">
        <v>2983</v>
      </c>
      <c r="F7" s="16" t="n">
        <v>1948.6</v>
      </c>
      <c r="G7" s="16" t="n">
        <v>262</v>
      </c>
      <c r="H7" s="16" t="n">
        <v>1624</v>
      </c>
      <c r="I7" s="16" t="n">
        <v>819</v>
      </c>
      <c r="J7" s="16" t="n">
        <v>805</v>
      </c>
      <c r="K7" s="16" t="n">
        <v>232</v>
      </c>
      <c r="L7" s="19" t="n">
        <f aca="false">(K7/H7)*100</f>
        <v>14.2857142857143</v>
      </c>
      <c r="M7" s="16" t="n">
        <v>0</v>
      </c>
      <c r="N7" s="19" t="n">
        <f aca="false">(M7/H7)*100</f>
        <v>0</v>
      </c>
      <c r="O7" s="16" t="n">
        <v>0</v>
      </c>
      <c r="P7" s="16" t="n">
        <v>0</v>
      </c>
      <c r="Q7" s="20" t="s">
        <v>49</v>
      </c>
      <c r="R7" s="34" t="n">
        <v>44879</v>
      </c>
      <c r="S7" s="16"/>
      <c r="T7" s="20" t="n">
        <v>74.6644</v>
      </c>
      <c r="U7" s="16"/>
      <c r="V7" s="16"/>
      <c r="W7" s="16"/>
      <c r="X7" s="16"/>
      <c r="Y7" s="16"/>
      <c r="Z7" s="16"/>
      <c r="AA7" s="119" t="s">
        <v>266</v>
      </c>
      <c r="AB7" s="89" t="n">
        <v>5</v>
      </c>
      <c r="AC7" s="90" t="s">
        <v>2984</v>
      </c>
      <c r="AD7" s="20"/>
      <c r="AE7" s="20"/>
    </row>
    <row r="8" customFormat="false" ht="15.75" hidden="false" customHeight="false" outlineLevel="0" collapsed="false">
      <c r="A8" s="16"/>
      <c r="B8" s="16"/>
      <c r="C8" s="71"/>
      <c r="D8" s="72"/>
      <c r="E8" s="16"/>
      <c r="F8" s="16"/>
      <c r="G8" s="16"/>
      <c r="H8" s="16"/>
      <c r="I8" s="16"/>
      <c r="J8" s="16"/>
      <c r="K8" s="16"/>
      <c r="L8" s="19"/>
      <c r="M8" s="16"/>
      <c r="N8" s="19"/>
      <c r="O8" s="16"/>
      <c r="P8" s="16"/>
      <c r="Q8" s="228"/>
      <c r="R8" s="97"/>
      <c r="S8" s="16"/>
      <c r="T8" s="228"/>
      <c r="U8" s="16"/>
      <c r="V8" s="16"/>
      <c r="W8" s="16"/>
      <c r="X8" s="16"/>
      <c r="Y8" s="16"/>
      <c r="Z8" s="16"/>
      <c r="AA8" s="232" t="s">
        <v>266</v>
      </c>
      <c r="AB8" s="93" t="n">
        <v>10</v>
      </c>
      <c r="AC8" s="98" t="s">
        <v>2985</v>
      </c>
      <c r="AD8" s="228"/>
      <c r="AE8" s="228"/>
    </row>
    <row r="9" customFormat="false" ht="15.75" hidden="false" customHeight="false" outlineLevel="0" collapsed="false">
      <c r="A9" s="16"/>
      <c r="B9" s="16"/>
      <c r="C9" s="71"/>
      <c r="D9" s="72"/>
      <c r="E9" s="16"/>
      <c r="F9" s="16"/>
      <c r="G9" s="16"/>
      <c r="H9" s="16"/>
      <c r="I9" s="16"/>
      <c r="J9" s="16"/>
      <c r="K9" s="16"/>
      <c r="L9" s="19"/>
      <c r="M9" s="16"/>
      <c r="N9" s="19"/>
      <c r="O9" s="16"/>
      <c r="P9" s="16"/>
      <c r="Q9" s="228"/>
      <c r="R9" s="97"/>
      <c r="S9" s="16"/>
      <c r="T9" s="228"/>
      <c r="U9" s="16"/>
      <c r="V9" s="16"/>
      <c r="W9" s="16"/>
      <c r="X9" s="16"/>
      <c r="Y9" s="16"/>
      <c r="Z9" s="16"/>
      <c r="AA9" s="232" t="s">
        <v>266</v>
      </c>
      <c r="AB9" s="93" t="n">
        <v>10</v>
      </c>
      <c r="AC9" s="98" t="s">
        <v>2986</v>
      </c>
      <c r="AD9" s="228"/>
      <c r="AE9" s="228"/>
    </row>
    <row r="10" customFormat="false" ht="15.75" hidden="false" customHeight="false" outlineLevel="0" collapsed="false">
      <c r="A10" s="16"/>
      <c r="B10" s="16"/>
      <c r="C10" s="71"/>
      <c r="D10" s="72"/>
      <c r="E10" s="16"/>
      <c r="F10" s="16"/>
      <c r="G10" s="16"/>
      <c r="H10" s="16"/>
      <c r="I10" s="16"/>
      <c r="J10" s="16"/>
      <c r="K10" s="16"/>
      <c r="L10" s="19"/>
      <c r="M10" s="16"/>
      <c r="N10" s="19"/>
      <c r="O10" s="16"/>
      <c r="P10" s="16"/>
      <c r="Q10" s="228"/>
      <c r="R10" s="97"/>
      <c r="S10" s="16"/>
      <c r="T10" s="228"/>
      <c r="U10" s="16"/>
      <c r="V10" s="16"/>
      <c r="W10" s="16"/>
      <c r="X10" s="16"/>
      <c r="Y10" s="16"/>
      <c r="Z10" s="16"/>
      <c r="AA10" s="232" t="s">
        <v>266</v>
      </c>
      <c r="AB10" s="93" t="n">
        <v>10</v>
      </c>
      <c r="AC10" s="98" t="s">
        <v>2987</v>
      </c>
      <c r="AD10" s="228"/>
      <c r="AE10" s="228"/>
    </row>
    <row r="11" customFormat="false" ht="15.75" hidden="false" customHeight="false" outlineLevel="0" collapsed="false">
      <c r="A11" s="16"/>
      <c r="B11" s="16"/>
      <c r="C11" s="71"/>
      <c r="D11" s="72"/>
      <c r="E11" s="16"/>
      <c r="F11" s="16"/>
      <c r="G11" s="16"/>
      <c r="H11" s="16"/>
      <c r="I11" s="16"/>
      <c r="J11" s="16"/>
      <c r="K11" s="16"/>
      <c r="L11" s="19"/>
      <c r="M11" s="16"/>
      <c r="N11" s="19"/>
      <c r="O11" s="16"/>
      <c r="P11" s="16"/>
      <c r="Q11" s="228"/>
      <c r="R11" s="97"/>
      <c r="S11" s="16"/>
      <c r="T11" s="228"/>
      <c r="U11" s="16"/>
      <c r="V11" s="16"/>
      <c r="W11" s="16"/>
      <c r="X11" s="16"/>
      <c r="Y11" s="16"/>
      <c r="Z11" s="16"/>
      <c r="AA11" s="232" t="s">
        <v>266</v>
      </c>
      <c r="AB11" s="93" t="n">
        <v>5</v>
      </c>
      <c r="AC11" s="98" t="s">
        <v>2988</v>
      </c>
      <c r="AD11" s="228"/>
      <c r="AE11" s="228"/>
    </row>
    <row r="12" customFormat="false" ht="15.75" hidden="false" customHeight="false" outlineLevel="0" collapsed="false">
      <c r="A12" s="16" t="s">
        <v>42</v>
      </c>
      <c r="B12" s="16" t="s">
        <v>2976</v>
      </c>
      <c r="C12" s="71" t="s">
        <v>2981</v>
      </c>
      <c r="D12" s="16" t="s">
        <v>2989</v>
      </c>
      <c r="E12" s="16" t="s">
        <v>2990</v>
      </c>
      <c r="F12" s="16" t="n">
        <v>1020.8</v>
      </c>
      <c r="G12" s="16" t="n">
        <v>108</v>
      </c>
      <c r="H12" s="16" t="n">
        <v>592</v>
      </c>
      <c r="I12" s="16" t="n">
        <v>311</v>
      </c>
      <c r="J12" s="16" t="n">
        <v>281</v>
      </c>
      <c r="K12" s="16" t="n">
        <v>0</v>
      </c>
      <c r="L12" s="19" t="n">
        <f aca="false">(K12/H12)*100</f>
        <v>0</v>
      </c>
      <c r="M12" s="16" t="n">
        <v>428</v>
      </c>
      <c r="N12" s="19" t="n">
        <f aca="false">(M12/H12)*100</f>
        <v>72.2972972972973</v>
      </c>
      <c r="O12" s="16" t="n">
        <v>0</v>
      </c>
      <c r="P12" s="16" t="n">
        <v>32.9</v>
      </c>
      <c r="Q12" s="20" t="s">
        <v>49</v>
      </c>
      <c r="R12" s="34" t="n">
        <v>44879</v>
      </c>
      <c r="S12" s="16"/>
      <c r="T12" s="105" t="n">
        <v>0</v>
      </c>
      <c r="U12" s="16"/>
      <c r="V12" s="16"/>
      <c r="W12" s="16"/>
      <c r="X12" s="16"/>
      <c r="Y12" s="16"/>
      <c r="Z12" s="16"/>
      <c r="AA12" s="119"/>
      <c r="AB12" s="105"/>
      <c r="AC12" s="36" t="n">
        <v>0</v>
      </c>
      <c r="AD12" s="105" t="n">
        <v>0</v>
      </c>
      <c r="AE12" s="105" t="n">
        <v>0</v>
      </c>
    </row>
    <row r="13" customFormat="false" ht="15.75" hidden="false" customHeight="false" outlineLevel="0" collapsed="false">
      <c r="A13" s="16" t="s">
        <v>42</v>
      </c>
      <c r="B13" s="16" t="s">
        <v>2976</v>
      </c>
      <c r="C13" s="71" t="s">
        <v>2981</v>
      </c>
      <c r="D13" s="16" t="s">
        <v>2991</v>
      </c>
      <c r="E13" s="16" t="s">
        <v>2992</v>
      </c>
      <c r="F13" s="16" t="n">
        <v>1325.8</v>
      </c>
      <c r="G13" s="16" t="n">
        <v>206</v>
      </c>
      <c r="H13" s="16" t="n">
        <v>1187</v>
      </c>
      <c r="I13" s="16" t="n">
        <v>593</v>
      </c>
      <c r="J13" s="16" t="n">
        <v>594</v>
      </c>
      <c r="K13" s="16" t="n">
        <v>140</v>
      </c>
      <c r="L13" s="19" t="n">
        <f aca="false">(K13/H13)*100</f>
        <v>11.7944397641112</v>
      </c>
      <c r="M13" s="16" t="n">
        <v>94</v>
      </c>
      <c r="N13" s="19" t="n">
        <f aca="false">(M13/H13)*100</f>
        <v>7.91912384161752</v>
      </c>
      <c r="O13" s="16" t="n">
        <v>70.1</v>
      </c>
      <c r="P13" s="16" t="n">
        <v>0</v>
      </c>
      <c r="Q13" s="20" t="s">
        <v>49</v>
      </c>
      <c r="R13" s="34" t="n">
        <v>44879</v>
      </c>
      <c r="S13" s="16"/>
      <c r="T13" s="105" t="n">
        <v>0</v>
      </c>
      <c r="U13" s="16"/>
      <c r="V13" s="16"/>
      <c r="W13" s="16"/>
      <c r="X13" s="16"/>
      <c r="Y13" s="16"/>
      <c r="Z13" s="16"/>
      <c r="AA13" s="119"/>
      <c r="AB13" s="105"/>
      <c r="AC13" s="36" t="n">
        <v>0</v>
      </c>
      <c r="AD13" s="105" t="n">
        <v>0</v>
      </c>
      <c r="AE13" s="105" t="n">
        <v>0</v>
      </c>
    </row>
    <row r="14" customFormat="false" ht="15.75" hidden="false" customHeight="false" outlineLevel="0" collapsed="false">
      <c r="A14" s="16" t="s">
        <v>42</v>
      </c>
      <c r="B14" s="16" t="s">
        <v>2976</v>
      </c>
      <c r="C14" s="71" t="s">
        <v>2981</v>
      </c>
      <c r="D14" s="16" t="s">
        <v>2993</v>
      </c>
      <c r="E14" s="16" t="s">
        <v>2994</v>
      </c>
      <c r="F14" s="16" t="n">
        <v>504</v>
      </c>
      <c r="G14" s="16" t="n">
        <v>100</v>
      </c>
      <c r="H14" s="16" t="n">
        <v>552</v>
      </c>
      <c r="I14" s="16" t="n">
        <v>286</v>
      </c>
      <c r="J14" s="16" t="n">
        <v>266</v>
      </c>
      <c r="K14" s="16" t="n">
        <v>0</v>
      </c>
      <c r="L14" s="19" t="n">
        <f aca="false">(K14/H14)*100</f>
        <v>0</v>
      </c>
      <c r="M14" s="16" t="n">
        <v>0</v>
      </c>
      <c r="N14" s="19" t="n">
        <f aca="false">(M14/H14)*100</f>
        <v>0</v>
      </c>
      <c r="O14" s="16" t="n">
        <v>0</v>
      </c>
      <c r="P14" s="16" t="n">
        <v>20</v>
      </c>
      <c r="Q14" s="20" t="s">
        <v>49</v>
      </c>
      <c r="R14" s="34" t="n">
        <v>44879</v>
      </c>
      <c r="S14" s="16"/>
      <c r="T14" s="105" t="n">
        <v>0</v>
      </c>
      <c r="U14" s="16"/>
      <c r="V14" s="16"/>
      <c r="W14" s="16"/>
      <c r="X14" s="16"/>
      <c r="Y14" s="16"/>
      <c r="Z14" s="16"/>
      <c r="AA14" s="119"/>
      <c r="AB14" s="105"/>
      <c r="AC14" s="36" t="n">
        <v>0</v>
      </c>
      <c r="AD14" s="105" t="n">
        <v>0</v>
      </c>
      <c r="AE14" s="105" t="n">
        <v>0</v>
      </c>
    </row>
    <row r="15" customFormat="false" ht="15.75" hidden="false" customHeight="false" outlineLevel="0" collapsed="false">
      <c r="A15" s="16" t="s">
        <v>42</v>
      </c>
      <c r="B15" s="16" t="s">
        <v>2976</v>
      </c>
      <c r="C15" s="71" t="s">
        <v>2995</v>
      </c>
      <c r="D15" s="72" t="s">
        <v>2996</v>
      </c>
      <c r="E15" s="16" t="s">
        <v>2997</v>
      </c>
      <c r="F15" s="16" t="n">
        <v>5568.56</v>
      </c>
      <c r="G15" s="16" t="n">
        <v>898</v>
      </c>
      <c r="H15" s="16" t="n">
        <v>5299</v>
      </c>
      <c r="I15" s="16" t="n">
        <v>2754</v>
      </c>
      <c r="J15" s="16" t="n">
        <v>2545</v>
      </c>
      <c r="K15" s="16" t="n">
        <v>1378</v>
      </c>
      <c r="L15" s="19" t="n">
        <f aca="false">(K15/H15)*100</f>
        <v>26.0049065861483</v>
      </c>
      <c r="M15" s="16" t="n">
        <v>11</v>
      </c>
      <c r="N15" s="19" t="n">
        <f aca="false">(M15/H15)*100</f>
        <v>0.207586337044725</v>
      </c>
      <c r="O15" s="16" t="n">
        <v>159</v>
      </c>
      <c r="P15" s="16" t="n">
        <v>0</v>
      </c>
      <c r="Q15" s="24" t="s">
        <v>49</v>
      </c>
      <c r="R15" s="25" t="n">
        <v>44879</v>
      </c>
      <c r="S15" s="16"/>
      <c r="T15" s="24" t="n">
        <v>0</v>
      </c>
      <c r="U15" s="16"/>
      <c r="V15" s="16"/>
      <c r="W15" s="16"/>
      <c r="X15" s="16"/>
      <c r="Y15" s="16"/>
      <c r="Z15" s="16"/>
      <c r="AA15" s="119"/>
      <c r="AB15" s="92"/>
      <c r="AC15" s="57" t="n">
        <v>0</v>
      </c>
      <c r="AD15" s="24" t="n">
        <v>0</v>
      </c>
      <c r="AE15" s="24" t="n">
        <v>0</v>
      </c>
    </row>
    <row r="16" customFormat="false" ht="15.75" hidden="false" customHeight="false" outlineLevel="0" collapsed="false">
      <c r="A16" s="16" t="s">
        <v>42</v>
      </c>
      <c r="B16" s="16" t="s">
        <v>2976</v>
      </c>
      <c r="C16" s="71" t="s">
        <v>2995</v>
      </c>
      <c r="D16" s="16" t="s">
        <v>2998</v>
      </c>
      <c r="E16" s="16" t="s">
        <v>2999</v>
      </c>
      <c r="F16" s="16" t="n">
        <v>693</v>
      </c>
      <c r="G16" s="16" t="n">
        <v>247</v>
      </c>
      <c r="H16" s="16" t="n">
        <v>1355</v>
      </c>
      <c r="I16" s="16" t="n">
        <v>695</v>
      </c>
      <c r="J16" s="16" t="n">
        <v>660</v>
      </c>
      <c r="K16" s="16" t="n">
        <v>22</v>
      </c>
      <c r="L16" s="19" t="n">
        <f aca="false">(K16/H16)*100</f>
        <v>1.62361623616236</v>
      </c>
      <c r="M16" s="16" t="n">
        <v>0</v>
      </c>
      <c r="N16" s="19" t="n">
        <f aca="false">(M16/H16)*100</f>
        <v>0</v>
      </c>
      <c r="O16" s="16" t="n">
        <v>25</v>
      </c>
      <c r="P16" s="16" t="n">
        <v>0</v>
      </c>
      <c r="Q16" s="20" t="s">
        <v>49</v>
      </c>
      <c r="R16" s="34" t="n">
        <v>44879</v>
      </c>
      <c r="S16" s="16"/>
      <c r="T16" s="20" t="n">
        <v>0</v>
      </c>
      <c r="U16" s="16"/>
      <c r="V16" s="16"/>
      <c r="W16" s="16"/>
      <c r="X16" s="16"/>
      <c r="Y16" s="16"/>
      <c r="Z16" s="16"/>
      <c r="AA16" s="119"/>
      <c r="AB16" s="89"/>
      <c r="AC16" s="36" t="n">
        <v>0</v>
      </c>
      <c r="AD16" s="20" t="n">
        <v>0</v>
      </c>
      <c r="AE16" s="20" t="n">
        <v>0</v>
      </c>
    </row>
    <row r="17" customFormat="false" ht="15.75" hidden="false" customHeight="false" outlineLevel="0" collapsed="false">
      <c r="A17" s="16" t="s">
        <v>42</v>
      </c>
      <c r="B17" s="16" t="s">
        <v>2976</v>
      </c>
      <c r="C17" s="71" t="s">
        <v>3000</v>
      </c>
      <c r="D17" s="72" t="s">
        <v>3001</v>
      </c>
      <c r="E17" s="16" t="s">
        <v>3002</v>
      </c>
      <c r="F17" s="16" t="n">
        <v>2304.21</v>
      </c>
      <c r="G17" s="16" t="n">
        <v>385</v>
      </c>
      <c r="H17" s="16" t="n">
        <v>2318</v>
      </c>
      <c r="I17" s="16" t="n">
        <v>1205</v>
      </c>
      <c r="J17" s="16" t="n">
        <v>1113</v>
      </c>
      <c r="K17" s="16" t="n">
        <v>531</v>
      </c>
      <c r="L17" s="19" t="n">
        <f aca="false">(K17/H17)*100</f>
        <v>22.9076790336497</v>
      </c>
      <c r="M17" s="16" t="n">
        <v>2</v>
      </c>
      <c r="N17" s="19" t="n">
        <f aca="false">(M17/H17)*100</f>
        <v>0.0862812769628991</v>
      </c>
      <c r="O17" s="16" t="n">
        <v>95.21</v>
      </c>
      <c r="P17" s="16" t="n">
        <v>0</v>
      </c>
      <c r="Q17" s="20" t="s">
        <v>49</v>
      </c>
      <c r="R17" s="34" t="n">
        <v>44836</v>
      </c>
      <c r="S17" s="16"/>
      <c r="T17" s="20" t="n">
        <v>53.5883</v>
      </c>
      <c r="U17" s="16"/>
      <c r="V17" s="16"/>
      <c r="W17" s="16"/>
      <c r="X17" s="16"/>
      <c r="Y17" s="16"/>
      <c r="Z17" s="16"/>
      <c r="AA17" s="89" t="s">
        <v>50</v>
      </c>
      <c r="AB17" s="89" t="n">
        <v>0</v>
      </c>
      <c r="AC17" s="90"/>
      <c r="AD17" s="20"/>
      <c r="AE17" s="20"/>
    </row>
    <row r="18" customFormat="false" ht="15.75" hidden="false" customHeight="false" outlineLevel="0" collapsed="false">
      <c r="A18" s="16" t="s">
        <v>42</v>
      </c>
      <c r="B18" s="16" t="s">
        <v>2976</v>
      </c>
      <c r="C18" s="71" t="s">
        <v>3000</v>
      </c>
      <c r="D18" s="16" t="s">
        <v>3003</v>
      </c>
      <c r="E18" s="16" t="s">
        <v>3004</v>
      </c>
      <c r="F18" s="16" t="n">
        <v>433.27</v>
      </c>
      <c r="G18" s="16" t="n">
        <v>114</v>
      </c>
      <c r="H18" s="16" t="n">
        <v>633</v>
      </c>
      <c r="I18" s="16" t="n">
        <v>331</v>
      </c>
      <c r="J18" s="16" t="n">
        <v>302</v>
      </c>
      <c r="K18" s="16" t="n">
        <v>116</v>
      </c>
      <c r="L18" s="19" t="n">
        <f aca="false">(K18/H18)*100</f>
        <v>18.3254344391785</v>
      </c>
      <c r="M18" s="16" t="n">
        <v>30</v>
      </c>
      <c r="N18" s="19" t="n">
        <f aca="false">(M18/H18)*100</f>
        <v>4.739336492891</v>
      </c>
      <c r="O18" s="16" t="n">
        <v>12.01</v>
      </c>
      <c r="P18" s="16" t="n">
        <v>0</v>
      </c>
      <c r="Q18" s="20" t="s">
        <v>49</v>
      </c>
      <c r="R18" s="34" t="n">
        <v>44836</v>
      </c>
      <c r="S18" s="16"/>
      <c r="T18" s="20" t="n">
        <v>13.0146</v>
      </c>
      <c r="U18" s="16"/>
      <c r="V18" s="16"/>
      <c r="W18" s="16"/>
      <c r="X18" s="16"/>
      <c r="Y18" s="16"/>
      <c r="Z18" s="16"/>
      <c r="AA18" s="89" t="s">
        <v>50</v>
      </c>
      <c r="AB18" s="89" t="n">
        <v>0</v>
      </c>
      <c r="AC18" s="90"/>
      <c r="AD18" s="20"/>
      <c r="AE18" s="20"/>
    </row>
    <row r="19" customFormat="false" ht="15.75" hidden="false" customHeight="false" outlineLevel="0" collapsed="false">
      <c r="A19" s="16" t="s">
        <v>42</v>
      </c>
      <c r="B19" s="16" t="s">
        <v>2976</v>
      </c>
      <c r="C19" s="71" t="s">
        <v>3000</v>
      </c>
      <c r="D19" s="16" t="s">
        <v>3005</v>
      </c>
      <c r="E19" s="16" t="s">
        <v>3006</v>
      </c>
      <c r="F19" s="16" t="n">
        <v>1043.41</v>
      </c>
      <c r="G19" s="16" t="n">
        <v>237</v>
      </c>
      <c r="H19" s="16" t="n">
        <v>1437</v>
      </c>
      <c r="I19" s="16" t="n">
        <v>716</v>
      </c>
      <c r="J19" s="16" t="n">
        <v>721</v>
      </c>
      <c r="K19" s="16" t="n">
        <v>546</v>
      </c>
      <c r="L19" s="19" t="n">
        <f aca="false">(K19/H19)*100</f>
        <v>37.9958246346555</v>
      </c>
      <c r="M19" s="16" t="n">
        <v>0</v>
      </c>
      <c r="N19" s="19" t="n">
        <f aca="false">(M19/H19)*100</f>
        <v>0</v>
      </c>
      <c r="O19" s="16" t="n">
        <v>57.22</v>
      </c>
      <c r="P19" s="16" t="n">
        <v>0</v>
      </c>
      <c r="Q19" s="20" t="s">
        <v>49</v>
      </c>
      <c r="R19" s="34" t="n">
        <v>44836</v>
      </c>
      <c r="S19" s="16"/>
      <c r="T19" s="20" t="n">
        <v>31.5817</v>
      </c>
      <c r="U19" s="16"/>
      <c r="V19" s="16"/>
      <c r="W19" s="16"/>
      <c r="X19" s="16"/>
      <c r="Y19" s="16"/>
      <c r="Z19" s="16"/>
      <c r="AA19" s="89" t="s">
        <v>50</v>
      </c>
      <c r="AB19" s="89" t="n">
        <v>0</v>
      </c>
      <c r="AC19" s="90"/>
      <c r="AD19" s="20"/>
      <c r="AE19" s="20"/>
    </row>
    <row r="20" customFormat="false" ht="15.75" hidden="false" customHeight="false" outlineLevel="0" collapsed="false">
      <c r="A20" s="16" t="s">
        <v>42</v>
      </c>
      <c r="B20" s="16" t="s">
        <v>2976</v>
      </c>
      <c r="C20" s="71" t="s">
        <v>3000</v>
      </c>
      <c r="D20" s="16" t="s">
        <v>3007</v>
      </c>
      <c r="E20" s="16" t="s">
        <v>3008</v>
      </c>
      <c r="F20" s="16" t="n">
        <v>888.31</v>
      </c>
      <c r="G20" s="16" t="n">
        <v>197</v>
      </c>
      <c r="H20" s="16" t="n">
        <v>1134</v>
      </c>
      <c r="I20" s="16" t="n">
        <v>582</v>
      </c>
      <c r="J20" s="16" t="n">
        <v>552</v>
      </c>
      <c r="K20" s="16" t="n">
        <v>263</v>
      </c>
      <c r="L20" s="19" t="n">
        <f aca="false">(K20/H20)*100</f>
        <v>23.1922398589065</v>
      </c>
      <c r="M20" s="16" t="n">
        <v>1</v>
      </c>
      <c r="N20" s="19" t="n">
        <f aca="false">(M20/H20)*100</f>
        <v>0.0881834215167548</v>
      </c>
      <c r="O20" s="16" t="n">
        <v>28.09</v>
      </c>
      <c r="P20" s="16" t="n">
        <v>0</v>
      </c>
      <c r="Q20" s="20" t="s">
        <v>49</v>
      </c>
      <c r="R20" s="34" t="n">
        <v>44836</v>
      </c>
      <c r="S20" s="16"/>
      <c r="T20" s="20" t="n">
        <v>28.3603</v>
      </c>
      <c r="U20" s="16"/>
      <c r="V20" s="16"/>
      <c r="W20" s="16"/>
      <c r="X20" s="16"/>
      <c r="Y20" s="16"/>
      <c r="Z20" s="16"/>
      <c r="AA20" s="89" t="s">
        <v>50</v>
      </c>
      <c r="AB20" s="89" t="n">
        <v>0</v>
      </c>
      <c r="AC20" s="90"/>
      <c r="AD20" s="20"/>
      <c r="AE20" s="20"/>
    </row>
    <row r="21" customFormat="false" ht="31.5" hidden="false" customHeight="false" outlineLevel="0" collapsed="false">
      <c r="A21" s="16" t="s">
        <v>42</v>
      </c>
      <c r="B21" s="16" t="s">
        <v>2976</v>
      </c>
      <c r="C21" s="71" t="s">
        <v>3009</v>
      </c>
      <c r="D21" s="72" t="s">
        <v>3010</v>
      </c>
      <c r="E21" s="16" t="s">
        <v>3011</v>
      </c>
      <c r="F21" s="16" t="n">
        <v>1313.9</v>
      </c>
      <c r="G21" s="16" t="n">
        <v>966</v>
      </c>
      <c r="H21" s="16" t="n">
        <v>5428</v>
      </c>
      <c r="I21" s="16" t="n">
        <v>2849</v>
      </c>
      <c r="J21" s="16" t="n">
        <v>2579</v>
      </c>
      <c r="K21" s="16" t="n">
        <v>1175</v>
      </c>
      <c r="L21" s="19" t="n">
        <f aca="false">(K21/H21)*100</f>
        <v>21.6470154753132</v>
      </c>
      <c r="M21" s="16" t="n">
        <v>899</v>
      </c>
      <c r="N21" s="19" t="n">
        <f aca="false">(M21/H21)*100</f>
        <v>16.5622697126013</v>
      </c>
      <c r="O21" s="16" t="n">
        <v>0</v>
      </c>
      <c r="P21" s="16" t="n">
        <v>90.9</v>
      </c>
      <c r="Q21" s="20" t="s">
        <v>49</v>
      </c>
      <c r="R21" s="34" t="n">
        <v>45317</v>
      </c>
      <c r="S21" s="16"/>
      <c r="T21" s="89" t="n">
        <v>90.88</v>
      </c>
      <c r="U21" s="16"/>
      <c r="V21" s="16"/>
      <c r="W21" s="16"/>
      <c r="X21" s="16"/>
      <c r="Y21" s="16"/>
      <c r="Z21" s="16"/>
      <c r="AA21" s="89" t="s">
        <v>266</v>
      </c>
      <c r="AB21" s="289" t="n">
        <v>4</v>
      </c>
      <c r="AC21" s="301" t="s">
        <v>3012</v>
      </c>
      <c r="AD21" s="89" t="n">
        <v>26.198871</v>
      </c>
      <c r="AE21" s="89" t="n">
        <v>72.922993</v>
      </c>
    </row>
    <row r="22" customFormat="false" ht="15.75" hidden="false" customHeight="false" outlineLevel="0" collapsed="false">
      <c r="A22" s="16"/>
      <c r="B22" s="16"/>
      <c r="C22" s="71"/>
      <c r="D22" s="72"/>
      <c r="E22" s="16"/>
      <c r="F22" s="16"/>
      <c r="G22" s="16"/>
      <c r="H22" s="16"/>
      <c r="I22" s="16"/>
      <c r="J22" s="16"/>
      <c r="K22" s="16"/>
      <c r="L22" s="19"/>
      <c r="M22" s="16"/>
      <c r="N22" s="19"/>
      <c r="O22" s="16"/>
      <c r="P22" s="16"/>
      <c r="Q22" s="228" t="s">
        <v>49</v>
      </c>
      <c r="R22" s="234"/>
      <c r="S22" s="16"/>
      <c r="T22" s="93"/>
      <c r="U22" s="16"/>
      <c r="V22" s="16"/>
      <c r="W22" s="16"/>
      <c r="X22" s="16"/>
      <c r="Y22" s="16"/>
      <c r="Z22" s="16"/>
      <c r="AA22" s="89" t="s">
        <v>266</v>
      </c>
      <c r="AB22" s="302" t="n">
        <v>15</v>
      </c>
      <c r="AC22" s="303" t="s">
        <v>3013</v>
      </c>
      <c r="AD22" s="93" t="n">
        <v>26.172259</v>
      </c>
      <c r="AE22" s="93" t="n">
        <v>72.936898</v>
      </c>
    </row>
    <row r="23" customFormat="false" ht="15.75" hidden="false" customHeight="false" outlineLevel="0" collapsed="false">
      <c r="A23" s="16" t="s">
        <v>42</v>
      </c>
      <c r="B23" s="16" t="s">
        <v>2976</v>
      </c>
      <c r="C23" s="71" t="s">
        <v>3009</v>
      </c>
      <c r="D23" s="16" t="s">
        <v>3014</v>
      </c>
      <c r="E23" s="16" t="s">
        <v>3015</v>
      </c>
      <c r="F23" s="16" t="n">
        <v>323</v>
      </c>
      <c r="G23" s="16" t="n">
        <v>359</v>
      </c>
      <c r="H23" s="16" t="n">
        <v>1961</v>
      </c>
      <c r="I23" s="16" t="n">
        <v>1036</v>
      </c>
      <c r="J23" s="16" t="n">
        <v>925</v>
      </c>
      <c r="K23" s="16" t="n">
        <v>96</v>
      </c>
      <c r="L23" s="19" t="n">
        <f aca="false">(K23/H23)*100</f>
        <v>4.89546149923508</v>
      </c>
      <c r="M23" s="16" t="n">
        <v>0</v>
      </c>
      <c r="N23" s="19" t="n">
        <f aca="false">(M23/H23)*100</f>
        <v>0</v>
      </c>
      <c r="O23" s="16" t="n">
        <v>0</v>
      </c>
      <c r="P23" s="16" t="n">
        <v>19.1</v>
      </c>
      <c r="Q23" s="20" t="s">
        <v>49</v>
      </c>
      <c r="R23" s="34" t="n">
        <v>45317</v>
      </c>
      <c r="S23" s="16"/>
      <c r="T23" s="89" t="n">
        <v>19.1</v>
      </c>
      <c r="U23" s="16"/>
      <c r="V23" s="16"/>
      <c r="W23" s="16"/>
      <c r="X23" s="16"/>
      <c r="Y23" s="16"/>
      <c r="Z23" s="16"/>
      <c r="AA23" s="89" t="s">
        <v>266</v>
      </c>
      <c r="AB23" s="289" t="n">
        <v>0</v>
      </c>
      <c r="AC23" s="300"/>
      <c r="AD23" s="89" t="n">
        <v>0</v>
      </c>
      <c r="AE23" s="89" t="n">
        <v>0</v>
      </c>
    </row>
    <row r="24" customFormat="false" ht="15.75" hidden="false" customHeight="false" outlineLevel="0" collapsed="false">
      <c r="A24" s="16" t="s">
        <v>42</v>
      </c>
      <c r="B24" s="16" t="s">
        <v>2976</v>
      </c>
      <c r="C24" s="71" t="s">
        <v>3016</v>
      </c>
      <c r="D24" s="72" t="s">
        <v>3017</v>
      </c>
      <c r="E24" s="16" t="s">
        <v>3018</v>
      </c>
      <c r="F24" s="16" t="n">
        <v>483.9</v>
      </c>
      <c r="G24" s="16" t="n">
        <v>109</v>
      </c>
      <c r="H24" s="16" t="n">
        <v>547</v>
      </c>
      <c r="I24" s="16" t="n">
        <v>290</v>
      </c>
      <c r="J24" s="16" t="n">
        <v>257</v>
      </c>
      <c r="K24" s="16" t="n">
        <v>140</v>
      </c>
      <c r="L24" s="19" t="n">
        <f aca="false">(K24/H24)*100</f>
        <v>25.5941499085923</v>
      </c>
      <c r="M24" s="16" t="n">
        <v>1</v>
      </c>
      <c r="N24" s="19" t="n">
        <f aca="false">(M24/H24)*100</f>
        <v>0.182815356489945</v>
      </c>
      <c r="O24" s="16" t="n">
        <v>79.4</v>
      </c>
      <c r="P24" s="16" t="n">
        <v>0</v>
      </c>
      <c r="Q24" s="20" t="s">
        <v>49</v>
      </c>
      <c r="R24" s="34" t="n">
        <v>44879</v>
      </c>
      <c r="S24" s="16"/>
      <c r="T24" s="20" t="n">
        <v>79.4154</v>
      </c>
      <c r="U24" s="16"/>
      <c r="V24" s="16"/>
      <c r="W24" s="16"/>
      <c r="X24" s="16"/>
      <c r="Y24" s="16"/>
      <c r="Z24" s="16"/>
      <c r="AA24" s="119" t="s">
        <v>266</v>
      </c>
      <c r="AB24" s="89" t="n">
        <v>10</v>
      </c>
      <c r="AC24" s="90" t="s">
        <v>3019</v>
      </c>
      <c r="AD24" s="20"/>
      <c r="AE24" s="20"/>
    </row>
    <row r="25" customFormat="false" ht="15.75" hidden="false" customHeight="false" outlineLevel="0" collapsed="false">
      <c r="A25" s="16"/>
      <c r="B25" s="16"/>
      <c r="C25" s="71"/>
      <c r="D25" s="72"/>
      <c r="E25" s="16"/>
      <c r="F25" s="16"/>
      <c r="G25" s="16"/>
      <c r="H25" s="16"/>
      <c r="I25" s="16"/>
      <c r="J25" s="16"/>
      <c r="K25" s="16"/>
      <c r="L25" s="19"/>
      <c r="M25" s="16"/>
      <c r="N25" s="19"/>
      <c r="O25" s="16"/>
      <c r="P25" s="16"/>
      <c r="Q25" s="228" t="s">
        <v>49</v>
      </c>
      <c r="R25" s="97"/>
      <c r="S25" s="16"/>
      <c r="T25" s="228"/>
      <c r="U25" s="16"/>
      <c r="V25" s="16"/>
      <c r="W25" s="16"/>
      <c r="X25" s="16"/>
      <c r="Y25" s="16"/>
      <c r="Z25" s="16"/>
      <c r="AA25" s="232" t="s">
        <v>266</v>
      </c>
      <c r="AB25" s="93" t="n">
        <v>10</v>
      </c>
      <c r="AC25" s="98" t="s">
        <v>3020</v>
      </c>
      <c r="AD25" s="228"/>
      <c r="AE25" s="228"/>
    </row>
    <row r="26" customFormat="false" ht="15.75" hidden="false" customHeight="false" outlineLevel="0" collapsed="false">
      <c r="A26" s="16"/>
      <c r="B26" s="16"/>
      <c r="C26" s="71"/>
      <c r="D26" s="72"/>
      <c r="E26" s="16"/>
      <c r="F26" s="16"/>
      <c r="G26" s="16"/>
      <c r="H26" s="16"/>
      <c r="I26" s="16"/>
      <c r="J26" s="16"/>
      <c r="K26" s="16"/>
      <c r="L26" s="19"/>
      <c r="M26" s="16"/>
      <c r="N26" s="19"/>
      <c r="O26" s="16"/>
      <c r="P26" s="16"/>
      <c r="Q26" s="228" t="s">
        <v>49</v>
      </c>
      <c r="R26" s="97"/>
      <c r="S26" s="16"/>
      <c r="T26" s="228"/>
      <c r="U26" s="16"/>
      <c r="V26" s="16"/>
      <c r="W26" s="16"/>
      <c r="X26" s="16"/>
      <c r="Y26" s="16"/>
      <c r="Z26" s="16"/>
      <c r="AA26" s="232" t="s">
        <v>266</v>
      </c>
      <c r="AB26" s="93" t="n">
        <v>10</v>
      </c>
      <c r="AC26" s="98" t="s">
        <v>3021</v>
      </c>
      <c r="AD26" s="228"/>
      <c r="AE26" s="228"/>
    </row>
    <row r="27" customFormat="false" ht="15.75" hidden="false" customHeight="false" outlineLevel="0" collapsed="false">
      <c r="A27" s="16" t="s">
        <v>42</v>
      </c>
      <c r="B27" s="16" t="s">
        <v>2976</v>
      </c>
      <c r="C27" s="71" t="s">
        <v>3016</v>
      </c>
      <c r="D27" s="16" t="s">
        <v>3022</v>
      </c>
      <c r="E27" s="16" t="s">
        <v>3023</v>
      </c>
      <c r="F27" s="16" t="n">
        <v>526.8</v>
      </c>
      <c r="G27" s="16" t="n">
        <v>117</v>
      </c>
      <c r="H27" s="16" t="n">
        <v>618</v>
      </c>
      <c r="I27" s="16" t="n">
        <v>327</v>
      </c>
      <c r="J27" s="16" t="n">
        <v>291</v>
      </c>
      <c r="K27" s="16" t="n">
        <v>3</v>
      </c>
      <c r="L27" s="19" t="n">
        <f aca="false">(K27/H27)*100</f>
        <v>0.485436893203883</v>
      </c>
      <c r="M27" s="16" t="n">
        <v>2</v>
      </c>
      <c r="N27" s="19" t="n">
        <f aca="false">(M27/H27)*100</f>
        <v>0.323624595469256</v>
      </c>
      <c r="O27" s="16" t="n">
        <v>0</v>
      </c>
      <c r="P27" s="16" t="n">
        <v>0</v>
      </c>
      <c r="Q27" s="20" t="s">
        <v>49</v>
      </c>
      <c r="R27" s="34" t="n">
        <v>44879</v>
      </c>
      <c r="S27" s="16"/>
      <c r="T27" s="20"/>
      <c r="U27" s="16"/>
      <c r="V27" s="16"/>
      <c r="W27" s="16"/>
      <c r="X27" s="16"/>
      <c r="Y27" s="16"/>
      <c r="Z27" s="16"/>
      <c r="AA27" s="119" t="s">
        <v>266</v>
      </c>
      <c r="AB27" s="89" t="n">
        <v>10</v>
      </c>
      <c r="AC27" s="90" t="s">
        <v>3024</v>
      </c>
      <c r="AD27" s="20"/>
      <c r="AE27" s="20"/>
    </row>
    <row r="28" customFormat="false" ht="15.75" hidden="false" customHeight="false" outlineLevel="0" collapsed="false">
      <c r="A28" s="16" t="s">
        <v>42</v>
      </c>
      <c r="B28" s="16" t="s">
        <v>2976</v>
      </c>
      <c r="C28" s="71" t="s">
        <v>3016</v>
      </c>
      <c r="D28" s="16" t="s">
        <v>3025</v>
      </c>
      <c r="E28" s="16" t="s">
        <v>3026</v>
      </c>
      <c r="F28" s="16" t="n">
        <v>223.7</v>
      </c>
      <c r="G28" s="16" t="n">
        <v>12</v>
      </c>
      <c r="H28" s="16" t="n">
        <v>46</v>
      </c>
      <c r="I28" s="16" t="n">
        <v>26</v>
      </c>
      <c r="J28" s="16" t="n">
        <v>20</v>
      </c>
      <c r="K28" s="16" t="n">
        <v>5</v>
      </c>
      <c r="L28" s="19" t="n">
        <f aca="false">(K28/H28)*100</f>
        <v>10.8695652173913</v>
      </c>
      <c r="M28" s="16" t="n">
        <v>0</v>
      </c>
      <c r="N28" s="19" t="n">
        <f aca="false">(M28/H28)*100</f>
        <v>0</v>
      </c>
      <c r="O28" s="16" t="n">
        <v>0</v>
      </c>
      <c r="P28" s="16" t="n">
        <v>0</v>
      </c>
      <c r="Q28" s="16"/>
      <c r="R28" s="87"/>
      <c r="S28" s="16"/>
      <c r="T28" s="16"/>
      <c r="U28" s="16"/>
      <c r="V28" s="16"/>
      <c r="W28" s="16"/>
      <c r="X28" s="16"/>
      <c r="Y28" s="16"/>
      <c r="Z28" s="16"/>
      <c r="AA28" s="88"/>
      <c r="AB28" s="88"/>
      <c r="AC28" s="28"/>
      <c r="AD28" s="16"/>
      <c r="AE28" s="16"/>
    </row>
    <row r="29" customFormat="false" ht="15.75" hidden="false" customHeight="false" outlineLevel="0" collapsed="false">
      <c r="A29" s="16" t="s">
        <v>42</v>
      </c>
      <c r="B29" s="16" t="s">
        <v>2976</v>
      </c>
      <c r="C29" s="71" t="s">
        <v>3016</v>
      </c>
      <c r="D29" s="16" t="s">
        <v>2229</v>
      </c>
      <c r="E29" s="16" t="s">
        <v>3027</v>
      </c>
      <c r="F29" s="16" t="n">
        <v>1391.8</v>
      </c>
      <c r="G29" s="16" t="n">
        <v>202</v>
      </c>
      <c r="H29" s="16" t="n">
        <v>1103</v>
      </c>
      <c r="I29" s="16" t="n">
        <v>574</v>
      </c>
      <c r="J29" s="16" t="n">
        <v>529</v>
      </c>
      <c r="K29" s="16" t="n">
        <v>6</v>
      </c>
      <c r="L29" s="19" t="n">
        <f aca="false">(K29/H29)*100</f>
        <v>0.543970988213962</v>
      </c>
      <c r="M29" s="16" t="n">
        <v>0</v>
      </c>
      <c r="N29" s="19" t="n">
        <f aca="false">(M29/H29)*100</f>
        <v>0</v>
      </c>
      <c r="O29" s="16" t="n">
        <v>0</v>
      </c>
      <c r="P29" s="16" t="n">
        <v>0</v>
      </c>
      <c r="Q29" s="16"/>
      <c r="R29" s="87"/>
      <c r="S29" s="16"/>
      <c r="T29" s="16"/>
      <c r="U29" s="16"/>
      <c r="V29" s="16"/>
      <c r="W29" s="16"/>
      <c r="X29" s="16"/>
      <c r="Y29" s="16"/>
      <c r="Z29" s="16"/>
      <c r="AA29" s="88"/>
      <c r="AB29" s="88"/>
      <c r="AC29" s="28"/>
      <c r="AD29" s="16"/>
      <c r="AE29" s="16"/>
    </row>
    <row r="30" customFormat="false" ht="15.75" hidden="false" customHeight="false" outlineLevel="0" collapsed="false">
      <c r="A30" s="16" t="s">
        <v>42</v>
      </c>
      <c r="B30" s="16" t="s">
        <v>2976</v>
      </c>
      <c r="C30" s="71" t="s">
        <v>3016</v>
      </c>
      <c r="D30" s="16" t="s">
        <v>2498</v>
      </c>
      <c r="E30" s="16" t="s">
        <v>3028</v>
      </c>
      <c r="F30" s="16" t="n">
        <v>327.3</v>
      </c>
      <c r="G30" s="16" t="n">
        <v>94</v>
      </c>
      <c r="H30" s="16" t="n">
        <v>569</v>
      </c>
      <c r="I30" s="16" t="n">
        <v>299</v>
      </c>
      <c r="J30" s="16" t="n">
        <v>270</v>
      </c>
      <c r="K30" s="16" t="n">
        <v>33</v>
      </c>
      <c r="L30" s="19" t="n">
        <f aca="false">(K30/H30)*100</f>
        <v>5.79964850615114</v>
      </c>
      <c r="M30" s="16" t="n">
        <v>4</v>
      </c>
      <c r="N30" s="19" t="n">
        <f aca="false">(M30/H30)*100</f>
        <v>0.70298769771529</v>
      </c>
      <c r="O30" s="16" t="n">
        <v>4.7</v>
      </c>
      <c r="P30" s="16" t="n">
        <v>0</v>
      </c>
      <c r="Q30" s="16"/>
      <c r="R30" s="87"/>
      <c r="S30" s="16"/>
      <c r="T30" s="16"/>
      <c r="U30" s="16"/>
      <c r="V30" s="16"/>
      <c r="W30" s="16"/>
      <c r="X30" s="16"/>
      <c r="Y30" s="16"/>
      <c r="Z30" s="16"/>
      <c r="AA30" s="88"/>
      <c r="AB30" s="88"/>
      <c r="AC30" s="28"/>
      <c r="AD30" s="16"/>
      <c r="AE30" s="16"/>
    </row>
    <row r="31" customFormat="false" ht="15.75" hidden="false" customHeight="false" outlineLevel="0" collapsed="false">
      <c r="A31" s="16" t="s">
        <v>42</v>
      </c>
      <c r="B31" s="16" t="s">
        <v>2976</v>
      </c>
      <c r="C31" s="71" t="s">
        <v>3016</v>
      </c>
      <c r="D31" s="16" t="s">
        <v>3029</v>
      </c>
      <c r="E31" s="16" t="s">
        <v>3030</v>
      </c>
      <c r="F31" s="16" t="n">
        <v>298.5</v>
      </c>
      <c r="G31" s="16" t="n">
        <v>51</v>
      </c>
      <c r="H31" s="16" t="n">
        <v>267</v>
      </c>
      <c r="I31" s="16" t="n">
        <v>134</v>
      </c>
      <c r="J31" s="16" t="n">
        <v>133</v>
      </c>
      <c r="K31" s="16" t="n">
        <v>0</v>
      </c>
      <c r="L31" s="19" t="n">
        <f aca="false">(K31/H31)*100</f>
        <v>0</v>
      </c>
      <c r="M31" s="16" t="n">
        <v>0</v>
      </c>
      <c r="N31" s="19" t="n">
        <f aca="false">(M31/H31)*100</f>
        <v>0</v>
      </c>
      <c r="O31" s="16" t="n">
        <v>0</v>
      </c>
      <c r="P31" s="16" t="n">
        <v>0</v>
      </c>
      <c r="Q31" s="16"/>
      <c r="R31" s="87"/>
      <c r="S31" s="16"/>
      <c r="T31" s="16"/>
      <c r="U31" s="16"/>
      <c r="V31" s="16"/>
      <c r="W31" s="16"/>
      <c r="X31" s="16"/>
      <c r="Y31" s="16"/>
      <c r="Z31" s="16"/>
      <c r="AA31" s="88"/>
      <c r="AB31" s="88"/>
      <c r="AC31" s="28"/>
      <c r="AD31" s="16"/>
      <c r="AE31" s="16"/>
    </row>
    <row r="32" customFormat="false" ht="31.5" hidden="false" customHeight="false" outlineLevel="0" collapsed="false">
      <c r="A32" s="16" t="s">
        <v>42</v>
      </c>
      <c r="B32" s="16" t="s">
        <v>2976</v>
      </c>
      <c r="C32" s="71" t="s">
        <v>3031</v>
      </c>
      <c r="D32" s="72" t="s">
        <v>3031</v>
      </c>
      <c r="E32" s="16" t="s">
        <v>3032</v>
      </c>
      <c r="F32" s="16" t="n">
        <v>859.27</v>
      </c>
      <c r="G32" s="16" t="n">
        <v>148</v>
      </c>
      <c r="H32" s="16" t="n">
        <v>787</v>
      </c>
      <c r="I32" s="16" t="n">
        <v>403</v>
      </c>
      <c r="J32" s="16" t="n">
        <v>384</v>
      </c>
      <c r="K32" s="16" t="n">
        <v>130</v>
      </c>
      <c r="L32" s="19" t="n">
        <f aca="false">(K32/H32)*100</f>
        <v>16.5184243964422</v>
      </c>
      <c r="M32" s="16" t="n">
        <v>0</v>
      </c>
      <c r="N32" s="19" t="n">
        <f aca="false">(M32/H32)*100</f>
        <v>0</v>
      </c>
      <c r="O32" s="16" t="n">
        <v>24.09</v>
      </c>
      <c r="P32" s="16" t="n">
        <v>0</v>
      </c>
      <c r="Q32" s="20" t="s">
        <v>49</v>
      </c>
      <c r="R32" s="34" t="n">
        <v>44879</v>
      </c>
      <c r="S32" s="16"/>
      <c r="T32" s="20" t="n">
        <v>24.3216</v>
      </c>
      <c r="U32" s="16" t="s">
        <v>50</v>
      </c>
      <c r="V32" s="16"/>
      <c r="W32" s="16"/>
      <c r="X32" s="16"/>
      <c r="Y32" s="16"/>
      <c r="Z32" s="16"/>
      <c r="AA32" s="119" t="s">
        <v>266</v>
      </c>
      <c r="AB32" s="89" t="n">
        <v>5</v>
      </c>
      <c r="AC32" s="90" t="s">
        <v>3033</v>
      </c>
      <c r="AD32" s="20"/>
      <c r="AE32" s="20"/>
    </row>
    <row r="33" customFormat="false" ht="31.5" hidden="false" customHeight="false" outlineLevel="0" collapsed="false">
      <c r="A33" s="16"/>
      <c r="B33" s="16"/>
      <c r="C33" s="71"/>
      <c r="D33" s="72"/>
      <c r="E33" s="16"/>
      <c r="F33" s="16"/>
      <c r="G33" s="16"/>
      <c r="H33" s="16"/>
      <c r="I33" s="16"/>
      <c r="J33" s="16"/>
      <c r="K33" s="16"/>
      <c r="L33" s="19"/>
      <c r="M33" s="16"/>
      <c r="N33" s="19"/>
      <c r="O33" s="16"/>
      <c r="P33" s="16"/>
      <c r="Q33" s="228" t="s">
        <v>49</v>
      </c>
      <c r="R33" s="234"/>
      <c r="S33" s="16"/>
      <c r="T33" s="228"/>
      <c r="U33" s="16"/>
      <c r="V33" s="16"/>
      <c r="W33" s="16"/>
      <c r="X33" s="16"/>
      <c r="Y33" s="16"/>
      <c r="Z33" s="16"/>
      <c r="AA33" s="232" t="s">
        <v>266</v>
      </c>
      <c r="AB33" s="93" t="n">
        <v>20</v>
      </c>
      <c r="AC33" s="98" t="s">
        <v>3034</v>
      </c>
      <c r="AD33" s="228"/>
      <c r="AE33" s="228"/>
    </row>
    <row r="34" customFormat="false" ht="15.75" hidden="false" customHeight="false" outlineLevel="0" collapsed="false">
      <c r="A34" s="16" t="s">
        <v>42</v>
      </c>
      <c r="B34" s="16" t="s">
        <v>2976</v>
      </c>
      <c r="C34" s="71" t="s">
        <v>3031</v>
      </c>
      <c r="D34" s="16" t="s">
        <v>3035</v>
      </c>
      <c r="E34" s="16" t="s">
        <v>3036</v>
      </c>
      <c r="F34" s="16" t="n">
        <v>670.41</v>
      </c>
      <c r="G34" s="16" t="n">
        <v>54</v>
      </c>
      <c r="H34" s="16" t="n">
        <v>309</v>
      </c>
      <c r="I34" s="16" t="n">
        <v>155</v>
      </c>
      <c r="J34" s="16" t="n">
        <v>154</v>
      </c>
      <c r="K34" s="16" t="n">
        <v>0</v>
      </c>
      <c r="L34" s="19" t="n">
        <f aca="false">(K34/H34)*100</f>
        <v>0</v>
      </c>
      <c r="M34" s="16" t="n">
        <v>0</v>
      </c>
      <c r="N34" s="19" t="n">
        <f aca="false">(M34/H34)*100</f>
        <v>0</v>
      </c>
      <c r="O34" s="16" t="n">
        <v>58.92</v>
      </c>
      <c r="P34" s="16" t="n">
        <v>0</v>
      </c>
      <c r="Q34" s="20" t="s">
        <v>49</v>
      </c>
      <c r="R34" s="34" t="n">
        <v>44879</v>
      </c>
      <c r="S34" s="16"/>
      <c r="T34" s="20"/>
      <c r="U34" s="16" t="s">
        <v>50</v>
      </c>
      <c r="V34" s="16"/>
      <c r="W34" s="16"/>
      <c r="X34" s="16"/>
      <c r="Y34" s="16"/>
      <c r="Z34" s="16"/>
      <c r="AA34" s="119"/>
      <c r="AB34" s="89"/>
      <c r="AC34" s="90" t="n">
        <v>0</v>
      </c>
      <c r="AD34" s="20"/>
      <c r="AE34" s="20"/>
    </row>
    <row r="35" customFormat="false" ht="15.75" hidden="false" customHeight="false" outlineLevel="0" collapsed="false">
      <c r="A35" s="16" t="s">
        <v>42</v>
      </c>
      <c r="B35" s="16" t="s">
        <v>2976</v>
      </c>
      <c r="C35" s="71" t="s">
        <v>3031</v>
      </c>
      <c r="D35" s="16" t="s">
        <v>194</v>
      </c>
      <c r="E35" s="16" t="s">
        <v>3037</v>
      </c>
      <c r="F35" s="16" t="n">
        <v>685.51</v>
      </c>
      <c r="G35" s="16" t="n">
        <v>41</v>
      </c>
      <c r="H35" s="16" t="n">
        <v>214</v>
      </c>
      <c r="I35" s="16" t="n">
        <v>109</v>
      </c>
      <c r="J35" s="16" t="n">
        <v>105</v>
      </c>
      <c r="K35" s="16" t="n">
        <v>38</v>
      </c>
      <c r="L35" s="19" t="n">
        <f aca="false">(K35/H35)*100</f>
        <v>17.7570093457944</v>
      </c>
      <c r="M35" s="16" t="n">
        <v>0</v>
      </c>
      <c r="N35" s="19" t="n">
        <f aca="false">(M35/H35)*100</f>
        <v>0</v>
      </c>
      <c r="O35" s="16" t="n">
        <v>35.27</v>
      </c>
      <c r="P35" s="16" t="n">
        <v>0</v>
      </c>
      <c r="Q35" s="20" t="s">
        <v>49</v>
      </c>
      <c r="R35" s="34" t="n">
        <v>44879</v>
      </c>
      <c r="S35" s="16"/>
      <c r="T35" s="20"/>
      <c r="U35" s="16" t="s">
        <v>50</v>
      </c>
      <c r="V35" s="16"/>
      <c r="W35" s="16"/>
      <c r="X35" s="16"/>
      <c r="Y35" s="16"/>
      <c r="Z35" s="16"/>
      <c r="AA35" s="119"/>
      <c r="AB35" s="89"/>
      <c r="AC35" s="90" t="n">
        <v>0</v>
      </c>
      <c r="AD35" s="20"/>
      <c r="AE35" s="20"/>
    </row>
    <row r="36" customFormat="false" ht="15.75" hidden="false" customHeight="false" outlineLevel="0" collapsed="false">
      <c r="A36" s="16" t="s">
        <v>42</v>
      </c>
      <c r="B36" s="16" t="s">
        <v>2976</v>
      </c>
      <c r="C36" s="71" t="s">
        <v>3031</v>
      </c>
      <c r="D36" s="16" t="s">
        <v>3038</v>
      </c>
      <c r="E36" s="16" t="s">
        <v>3039</v>
      </c>
      <c r="F36" s="16" t="n">
        <v>284.18</v>
      </c>
      <c r="G36" s="16" t="n">
        <v>56</v>
      </c>
      <c r="H36" s="16" t="n">
        <v>372</v>
      </c>
      <c r="I36" s="16" t="n">
        <v>194</v>
      </c>
      <c r="J36" s="16" t="n">
        <v>178</v>
      </c>
      <c r="K36" s="16" t="n">
        <v>0</v>
      </c>
      <c r="L36" s="19" t="n">
        <f aca="false">(K36/H36)*100</f>
        <v>0</v>
      </c>
      <c r="M36" s="16" t="n">
        <v>4</v>
      </c>
      <c r="N36" s="19" t="n">
        <f aca="false">(M36/H36)*100</f>
        <v>1.0752688172043</v>
      </c>
      <c r="O36" s="16" t="n">
        <v>0</v>
      </c>
      <c r="P36" s="16" t="n">
        <v>0</v>
      </c>
      <c r="Q36" s="20" t="s">
        <v>49</v>
      </c>
      <c r="R36" s="34" t="n">
        <v>44879</v>
      </c>
      <c r="S36" s="16"/>
      <c r="T36" s="20"/>
      <c r="U36" s="16" t="s">
        <v>50</v>
      </c>
      <c r="V36" s="16"/>
      <c r="W36" s="16"/>
      <c r="X36" s="16"/>
      <c r="Y36" s="16"/>
      <c r="Z36" s="16"/>
      <c r="AA36" s="119"/>
      <c r="AB36" s="89"/>
      <c r="AC36" s="90" t="n">
        <v>0</v>
      </c>
      <c r="AD36" s="20"/>
      <c r="AE36" s="20"/>
    </row>
    <row r="37" customFormat="false" ht="15.75" hidden="false" customHeight="false" outlineLevel="0" collapsed="false">
      <c r="A37" s="16" t="s">
        <v>42</v>
      </c>
      <c r="B37" s="16" t="s">
        <v>2976</v>
      </c>
      <c r="C37" s="71" t="s">
        <v>3031</v>
      </c>
      <c r="D37" s="16" t="s">
        <v>3040</v>
      </c>
      <c r="E37" s="16" t="s">
        <v>3041</v>
      </c>
      <c r="F37" s="16" t="n">
        <v>959.24</v>
      </c>
      <c r="G37" s="16" t="n">
        <v>111</v>
      </c>
      <c r="H37" s="16" t="n">
        <v>588</v>
      </c>
      <c r="I37" s="16" t="n">
        <v>322</v>
      </c>
      <c r="J37" s="16" t="n">
        <v>266</v>
      </c>
      <c r="K37" s="16" t="n">
        <v>48</v>
      </c>
      <c r="L37" s="19" t="n">
        <f aca="false">(K37/H37)*100</f>
        <v>8.16326530612245</v>
      </c>
      <c r="M37" s="16" t="n">
        <v>0</v>
      </c>
      <c r="N37" s="19" t="n">
        <f aca="false">(M37/H37)*100</f>
        <v>0</v>
      </c>
      <c r="O37" s="16" t="n">
        <v>96.03</v>
      </c>
      <c r="P37" s="16" t="n">
        <v>7.02</v>
      </c>
      <c r="Q37" s="20" t="s">
        <v>49</v>
      </c>
      <c r="R37" s="34" t="n">
        <v>44879</v>
      </c>
      <c r="S37" s="16"/>
      <c r="T37" s="20" t="n">
        <v>95.7808</v>
      </c>
      <c r="U37" s="16" t="s">
        <v>50</v>
      </c>
      <c r="V37" s="16"/>
      <c r="W37" s="16"/>
      <c r="X37" s="16"/>
      <c r="Y37" s="16"/>
      <c r="Z37" s="16"/>
      <c r="AA37" s="119"/>
      <c r="AB37" s="89"/>
      <c r="AC37" s="90" t="n">
        <v>0</v>
      </c>
      <c r="AD37" s="20"/>
      <c r="AE37" s="20"/>
    </row>
    <row r="38" customFormat="false" ht="15.75" hidden="false" customHeight="false" outlineLevel="0" collapsed="false">
      <c r="A38" s="16" t="s">
        <v>42</v>
      </c>
      <c r="B38" s="16" t="s">
        <v>2976</v>
      </c>
      <c r="C38" s="71" t="s">
        <v>3042</v>
      </c>
      <c r="D38" s="72" t="s">
        <v>3043</v>
      </c>
      <c r="E38" s="16" t="s">
        <v>3044</v>
      </c>
      <c r="F38" s="16" t="n">
        <v>2586.52</v>
      </c>
      <c r="G38" s="16" t="n">
        <v>1026</v>
      </c>
      <c r="H38" s="16" t="n">
        <v>6019</v>
      </c>
      <c r="I38" s="16" t="n">
        <v>3134</v>
      </c>
      <c r="J38" s="16" t="n">
        <v>2885</v>
      </c>
      <c r="K38" s="16" t="n">
        <v>1427</v>
      </c>
      <c r="L38" s="19" t="n">
        <f aca="false">(K38/H38)*100</f>
        <v>23.708257185579</v>
      </c>
      <c r="M38" s="16" t="n">
        <v>209</v>
      </c>
      <c r="N38" s="19" t="n">
        <f aca="false">(M38/H38)*100</f>
        <v>3.47233759760758</v>
      </c>
      <c r="O38" s="16" t="n">
        <v>73.75</v>
      </c>
      <c r="P38" s="16" t="n">
        <v>0</v>
      </c>
      <c r="Q38" s="16"/>
      <c r="R38" s="87"/>
      <c r="S38" s="16"/>
      <c r="T38" s="16"/>
      <c r="U38" s="16"/>
      <c r="V38" s="16"/>
      <c r="W38" s="16"/>
      <c r="X38" s="16"/>
      <c r="Y38" s="16"/>
      <c r="Z38" s="16"/>
      <c r="AA38" s="88"/>
      <c r="AB38" s="88"/>
      <c r="AC38" s="28"/>
      <c r="AD38" s="16"/>
      <c r="AE38" s="16"/>
    </row>
    <row r="39" customFormat="false" ht="15.75" hidden="false" customHeight="false" outlineLevel="0" collapsed="false">
      <c r="A39" s="16" t="s">
        <v>42</v>
      </c>
      <c r="B39" s="16" t="s">
        <v>2976</v>
      </c>
      <c r="C39" s="71" t="s">
        <v>3042</v>
      </c>
      <c r="D39" s="16" t="s">
        <v>3045</v>
      </c>
      <c r="E39" s="16" t="s">
        <v>3046</v>
      </c>
      <c r="F39" s="16" t="n">
        <v>234.87</v>
      </c>
      <c r="G39" s="16" t="n">
        <v>64</v>
      </c>
      <c r="H39" s="16" t="n">
        <v>407</v>
      </c>
      <c r="I39" s="16" t="n">
        <v>209</v>
      </c>
      <c r="J39" s="16" t="n">
        <v>198</v>
      </c>
      <c r="K39" s="16" t="n">
        <v>0</v>
      </c>
      <c r="L39" s="19" t="n">
        <f aca="false">(K39/H39)*100</f>
        <v>0</v>
      </c>
      <c r="M39" s="16" t="n">
        <v>0</v>
      </c>
      <c r="N39" s="19" t="n">
        <f aca="false">(M39/H39)*100</f>
        <v>0</v>
      </c>
      <c r="O39" s="16" t="n">
        <v>0</v>
      </c>
      <c r="P39" s="16" t="n">
        <v>0</v>
      </c>
      <c r="Q39" s="16"/>
      <c r="R39" s="87"/>
      <c r="S39" s="16"/>
      <c r="T39" s="16"/>
      <c r="U39" s="16"/>
      <c r="V39" s="16"/>
      <c r="W39" s="16"/>
      <c r="X39" s="16"/>
      <c r="Y39" s="16"/>
      <c r="Z39" s="16"/>
      <c r="AA39" s="88"/>
      <c r="AB39" s="88"/>
      <c r="AC39" s="28"/>
      <c r="AD39" s="16"/>
      <c r="AE39" s="16"/>
    </row>
    <row r="40" customFormat="false" ht="15.75" hidden="false" customHeight="false" outlineLevel="0" collapsed="false">
      <c r="A40" s="16" t="s">
        <v>42</v>
      </c>
      <c r="B40" s="16" t="s">
        <v>2976</v>
      </c>
      <c r="C40" s="71" t="s">
        <v>3042</v>
      </c>
      <c r="D40" s="16" t="s">
        <v>3047</v>
      </c>
      <c r="E40" s="16" t="s">
        <v>3048</v>
      </c>
      <c r="F40" s="16" t="n">
        <v>759.05</v>
      </c>
      <c r="G40" s="16" t="n">
        <v>50</v>
      </c>
      <c r="H40" s="16" t="n">
        <v>251</v>
      </c>
      <c r="I40" s="16" t="n">
        <v>131</v>
      </c>
      <c r="J40" s="16" t="n">
        <v>120</v>
      </c>
      <c r="K40" s="16" t="n">
        <v>62</v>
      </c>
      <c r="L40" s="19" t="n">
        <f aca="false">(K40/H40)*100</f>
        <v>24.7011952191235</v>
      </c>
      <c r="M40" s="16" t="n">
        <v>6</v>
      </c>
      <c r="N40" s="19" t="n">
        <f aca="false">(M40/H40)*100</f>
        <v>2.39043824701195</v>
      </c>
      <c r="O40" s="16" t="n">
        <v>19.09</v>
      </c>
      <c r="P40" s="16" t="n">
        <v>0</v>
      </c>
      <c r="Q40" s="16"/>
      <c r="R40" s="87"/>
      <c r="S40" s="16"/>
      <c r="T40" s="16"/>
      <c r="U40" s="16"/>
      <c r="V40" s="16"/>
      <c r="W40" s="16"/>
      <c r="X40" s="16"/>
      <c r="Y40" s="16"/>
      <c r="Z40" s="16"/>
      <c r="AA40" s="88"/>
      <c r="AB40" s="88"/>
      <c r="AC40" s="28"/>
      <c r="AD40" s="16"/>
      <c r="AE40" s="16"/>
    </row>
    <row r="41" customFormat="false" ht="15.75" hidden="false" customHeight="false" outlineLevel="0" collapsed="false">
      <c r="A41" s="16" t="s">
        <v>42</v>
      </c>
      <c r="B41" s="16" t="s">
        <v>2976</v>
      </c>
      <c r="C41" s="71" t="s">
        <v>3042</v>
      </c>
      <c r="D41" s="16" t="s">
        <v>3049</v>
      </c>
      <c r="E41" s="16" t="s">
        <v>3050</v>
      </c>
      <c r="F41" s="16" t="n">
        <v>636.53</v>
      </c>
      <c r="G41" s="16" t="n">
        <v>68</v>
      </c>
      <c r="H41" s="16" t="n">
        <v>371</v>
      </c>
      <c r="I41" s="16" t="n">
        <v>182</v>
      </c>
      <c r="J41" s="16" t="n">
        <v>189</v>
      </c>
      <c r="K41" s="16" t="n">
        <v>0</v>
      </c>
      <c r="L41" s="19" t="n">
        <f aca="false">(K41/H41)*100</f>
        <v>0</v>
      </c>
      <c r="M41" s="16" t="n">
        <v>0</v>
      </c>
      <c r="N41" s="19" t="n">
        <f aca="false">(M41/H41)*100</f>
        <v>0</v>
      </c>
      <c r="O41" s="16" t="n">
        <v>0</v>
      </c>
      <c r="P41" s="16" t="n">
        <v>0</v>
      </c>
      <c r="Q41" s="16"/>
      <c r="R41" s="87"/>
      <c r="S41" s="16"/>
      <c r="T41" s="16"/>
      <c r="U41" s="16"/>
      <c r="V41" s="16"/>
      <c r="W41" s="16"/>
      <c r="X41" s="16"/>
      <c r="Y41" s="16"/>
      <c r="Z41" s="16"/>
      <c r="AA41" s="88"/>
      <c r="AB41" s="88"/>
      <c r="AC41" s="28"/>
      <c r="AD41" s="16"/>
      <c r="AE41" s="16"/>
    </row>
    <row r="42" customFormat="false" ht="15.75" hidden="false" customHeight="false" outlineLevel="0" collapsed="false">
      <c r="A42" s="16" t="s">
        <v>42</v>
      </c>
      <c r="B42" s="16" t="s">
        <v>2976</v>
      </c>
      <c r="C42" s="71" t="s">
        <v>3042</v>
      </c>
      <c r="D42" s="16" t="s">
        <v>3051</v>
      </c>
      <c r="E42" s="16" t="s">
        <v>3052</v>
      </c>
      <c r="F42" s="16" t="n">
        <v>705.58</v>
      </c>
      <c r="G42" s="16" t="n">
        <v>83</v>
      </c>
      <c r="H42" s="16" t="n">
        <v>387</v>
      </c>
      <c r="I42" s="16" t="n">
        <v>202</v>
      </c>
      <c r="J42" s="16" t="n">
        <v>185</v>
      </c>
      <c r="K42" s="16" t="n">
        <v>115</v>
      </c>
      <c r="L42" s="19" t="n">
        <f aca="false">(K42/H42)*100</f>
        <v>29.7157622739018</v>
      </c>
      <c r="M42" s="16" t="n">
        <v>122</v>
      </c>
      <c r="N42" s="19" t="n">
        <f aca="false">(M42/H42)*100</f>
        <v>31.5245478036176</v>
      </c>
      <c r="O42" s="16" t="n">
        <v>50.05</v>
      </c>
      <c r="P42" s="16" t="n">
        <v>0</v>
      </c>
      <c r="Q42" s="16"/>
      <c r="R42" s="87"/>
      <c r="S42" s="16"/>
      <c r="T42" s="16"/>
      <c r="U42" s="16"/>
      <c r="V42" s="16"/>
      <c r="W42" s="16"/>
      <c r="X42" s="16"/>
      <c r="Y42" s="16"/>
      <c r="Z42" s="16"/>
      <c r="AA42" s="88"/>
      <c r="AB42" s="88"/>
      <c r="AC42" s="28"/>
      <c r="AD42" s="16"/>
      <c r="AE42" s="16"/>
    </row>
    <row r="43" customFormat="false" ht="15.75" hidden="false" customHeight="false" outlineLevel="0" collapsed="false">
      <c r="A43" s="16" t="s">
        <v>42</v>
      </c>
      <c r="B43" s="16" t="s">
        <v>2976</v>
      </c>
      <c r="C43" s="71" t="s">
        <v>3053</v>
      </c>
      <c r="D43" s="72" t="s">
        <v>3053</v>
      </c>
      <c r="E43" s="16" t="s">
        <v>3054</v>
      </c>
      <c r="F43" s="16" t="n">
        <v>516.7</v>
      </c>
      <c r="G43" s="16" t="n">
        <v>445</v>
      </c>
      <c r="H43" s="16" t="n">
        <v>2735</v>
      </c>
      <c r="I43" s="16" t="n">
        <v>1421</v>
      </c>
      <c r="J43" s="16" t="n">
        <v>1314</v>
      </c>
      <c r="K43" s="16" t="n">
        <v>376</v>
      </c>
      <c r="L43" s="19" t="n">
        <f aca="false">(K43/H43)*100</f>
        <v>13.7477148080439</v>
      </c>
      <c r="M43" s="16" t="n">
        <v>215</v>
      </c>
      <c r="N43" s="19" t="n">
        <f aca="false">(M43/H43)*100</f>
        <v>7.86106032906764</v>
      </c>
      <c r="O43" s="16" t="n">
        <v>0</v>
      </c>
      <c r="P43" s="16" t="n">
        <v>0</v>
      </c>
      <c r="Q43" s="20" t="s">
        <v>49</v>
      </c>
      <c r="R43" s="34" t="n">
        <v>44879</v>
      </c>
      <c r="S43" s="16"/>
      <c r="T43" s="20" t="n">
        <v>0</v>
      </c>
      <c r="U43" s="16"/>
      <c r="V43" s="16"/>
      <c r="W43" s="16"/>
      <c r="X43" s="16"/>
      <c r="Y43" s="16"/>
      <c r="Z43" s="16"/>
      <c r="AA43" s="119"/>
      <c r="AB43" s="89"/>
      <c r="AC43" s="36" t="n">
        <v>0</v>
      </c>
      <c r="AD43" s="20" t="n">
        <v>0</v>
      </c>
      <c r="AE43" s="20" t="n">
        <v>0</v>
      </c>
    </row>
    <row r="44" customFormat="false" ht="31.5" hidden="false" customHeight="false" outlineLevel="0" collapsed="false">
      <c r="A44" s="16" t="s">
        <v>42</v>
      </c>
      <c r="B44" s="16" t="s">
        <v>2976</v>
      </c>
      <c r="C44" s="71" t="s">
        <v>3055</v>
      </c>
      <c r="D44" s="72" t="s">
        <v>3056</v>
      </c>
      <c r="E44" s="16" t="s">
        <v>3057</v>
      </c>
      <c r="F44" s="16" t="n">
        <v>3367.41</v>
      </c>
      <c r="G44" s="16" t="n">
        <v>984</v>
      </c>
      <c r="H44" s="16" t="n">
        <v>5909</v>
      </c>
      <c r="I44" s="16" t="n">
        <v>3048</v>
      </c>
      <c r="J44" s="16" t="n">
        <v>2861</v>
      </c>
      <c r="K44" s="16" t="n">
        <v>770</v>
      </c>
      <c r="L44" s="19" t="n">
        <f aca="false">(K44/H44)*100</f>
        <v>13.0309697072263</v>
      </c>
      <c r="M44" s="16" t="n">
        <v>0</v>
      </c>
      <c r="N44" s="19" t="n">
        <f aca="false">(M44/H44)*100</f>
        <v>0</v>
      </c>
      <c r="O44" s="16" t="n">
        <v>340.1</v>
      </c>
      <c r="P44" s="16" t="n">
        <v>0</v>
      </c>
      <c r="Q44" s="20" t="s">
        <v>49</v>
      </c>
      <c r="R44" s="34" t="n">
        <v>44879</v>
      </c>
      <c r="S44" s="16"/>
      <c r="T44" s="20" t="n">
        <v>199.1745</v>
      </c>
      <c r="U44" s="16"/>
      <c r="V44" s="16"/>
      <c r="W44" s="16"/>
      <c r="X44" s="16"/>
      <c r="Y44" s="16"/>
      <c r="Z44" s="16"/>
      <c r="AA44" s="119" t="s">
        <v>266</v>
      </c>
      <c r="AB44" s="89" t="n">
        <v>5</v>
      </c>
      <c r="AC44" s="90" t="s">
        <v>3058</v>
      </c>
      <c r="AD44" s="20"/>
      <c r="AE44" s="20"/>
    </row>
    <row r="45" customFormat="false" ht="31.5" hidden="false" customHeight="false" outlineLevel="0" collapsed="false">
      <c r="A45" s="16"/>
      <c r="B45" s="16"/>
      <c r="C45" s="71"/>
      <c r="D45" s="72"/>
      <c r="E45" s="16"/>
      <c r="F45" s="16"/>
      <c r="G45" s="16"/>
      <c r="H45" s="16"/>
      <c r="I45" s="16"/>
      <c r="J45" s="16"/>
      <c r="K45" s="16"/>
      <c r="L45" s="19"/>
      <c r="M45" s="16"/>
      <c r="N45" s="19"/>
      <c r="O45" s="16"/>
      <c r="P45" s="16"/>
      <c r="Q45" s="228" t="s">
        <v>49</v>
      </c>
      <c r="R45" s="97"/>
      <c r="S45" s="16"/>
      <c r="T45" s="228"/>
      <c r="U45" s="16"/>
      <c r="V45" s="16"/>
      <c r="W45" s="16"/>
      <c r="X45" s="16"/>
      <c r="Y45" s="16"/>
      <c r="Z45" s="16"/>
      <c r="AA45" s="232" t="s">
        <v>266</v>
      </c>
      <c r="AB45" s="93" t="n">
        <v>20</v>
      </c>
      <c r="AC45" s="98" t="s">
        <v>3059</v>
      </c>
      <c r="AD45" s="228"/>
      <c r="AE45" s="228"/>
    </row>
    <row r="46" customFormat="false" ht="15.75" hidden="false" customHeight="false" outlineLevel="0" collapsed="false">
      <c r="A46" s="16"/>
      <c r="B46" s="16"/>
      <c r="C46" s="71"/>
      <c r="D46" s="72"/>
      <c r="E46" s="16"/>
      <c r="F46" s="16"/>
      <c r="G46" s="16"/>
      <c r="H46" s="16"/>
      <c r="I46" s="16"/>
      <c r="J46" s="16"/>
      <c r="K46" s="16"/>
      <c r="L46" s="19"/>
      <c r="M46" s="16"/>
      <c r="N46" s="19"/>
      <c r="O46" s="16"/>
      <c r="P46" s="16"/>
      <c r="Q46" s="228" t="s">
        <v>49</v>
      </c>
      <c r="R46" s="97"/>
      <c r="S46" s="16"/>
      <c r="T46" s="228"/>
      <c r="U46" s="16"/>
      <c r="V46" s="16"/>
      <c r="W46" s="16"/>
      <c r="X46" s="16"/>
      <c r="Y46" s="16"/>
      <c r="Z46" s="16"/>
      <c r="AA46" s="232" t="s">
        <v>266</v>
      </c>
      <c r="AB46" s="93" t="n">
        <v>5</v>
      </c>
      <c r="AC46" s="98" t="s">
        <v>3060</v>
      </c>
      <c r="AD46" s="228"/>
      <c r="AE46" s="228"/>
    </row>
    <row r="47" customFormat="false" ht="31.5" hidden="false" customHeight="false" outlineLevel="0" collapsed="false">
      <c r="A47" s="16"/>
      <c r="B47" s="16"/>
      <c r="C47" s="71"/>
      <c r="D47" s="72"/>
      <c r="E47" s="16"/>
      <c r="F47" s="16"/>
      <c r="G47" s="16"/>
      <c r="H47" s="16"/>
      <c r="I47" s="16"/>
      <c r="J47" s="16"/>
      <c r="K47" s="16"/>
      <c r="L47" s="19"/>
      <c r="M47" s="16"/>
      <c r="N47" s="19"/>
      <c r="O47" s="16"/>
      <c r="P47" s="16"/>
      <c r="Q47" s="228" t="s">
        <v>49</v>
      </c>
      <c r="R47" s="97"/>
      <c r="S47" s="16"/>
      <c r="T47" s="228"/>
      <c r="U47" s="16"/>
      <c r="V47" s="16"/>
      <c r="W47" s="16"/>
      <c r="X47" s="16"/>
      <c r="Y47" s="16"/>
      <c r="Z47" s="16"/>
      <c r="AA47" s="232" t="s">
        <v>266</v>
      </c>
      <c r="AB47" s="93" t="n">
        <v>20</v>
      </c>
      <c r="AC47" s="98" t="s">
        <v>3061</v>
      </c>
      <c r="AD47" s="228"/>
      <c r="AE47" s="228"/>
    </row>
    <row r="48" customFormat="false" ht="31.5" hidden="false" customHeight="false" outlineLevel="0" collapsed="false">
      <c r="A48" s="16"/>
      <c r="B48" s="16"/>
      <c r="C48" s="71"/>
      <c r="D48" s="72"/>
      <c r="E48" s="16"/>
      <c r="F48" s="16"/>
      <c r="G48" s="16"/>
      <c r="H48" s="16"/>
      <c r="I48" s="16"/>
      <c r="J48" s="16"/>
      <c r="K48" s="16"/>
      <c r="L48" s="19"/>
      <c r="M48" s="16"/>
      <c r="N48" s="19"/>
      <c r="O48" s="16"/>
      <c r="P48" s="16"/>
      <c r="Q48" s="228" t="s">
        <v>49</v>
      </c>
      <c r="R48" s="97"/>
      <c r="S48" s="16"/>
      <c r="T48" s="228"/>
      <c r="U48" s="16"/>
      <c r="V48" s="16"/>
      <c r="W48" s="16"/>
      <c r="X48" s="16"/>
      <c r="Y48" s="16"/>
      <c r="Z48" s="16"/>
      <c r="AA48" s="232" t="s">
        <v>266</v>
      </c>
      <c r="AB48" s="93" t="n">
        <v>15</v>
      </c>
      <c r="AC48" s="98" t="s">
        <v>3062</v>
      </c>
      <c r="AD48" s="228"/>
      <c r="AE48" s="228"/>
    </row>
    <row r="49" customFormat="false" ht="15.75" hidden="false" customHeight="false" outlineLevel="0" collapsed="false">
      <c r="A49" s="16" t="s">
        <v>42</v>
      </c>
      <c r="B49" s="16" t="s">
        <v>2976</v>
      </c>
      <c r="C49" s="71" t="s">
        <v>3055</v>
      </c>
      <c r="D49" s="16" t="s">
        <v>3063</v>
      </c>
      <c r="E49" s="16" t="s">
        <v>3064</v>
      </c>
      <c r="F49" s="16" t="n">
        <v>1260.99</v>
      </c>
      <c r="G49" s="16" t="n">
        <v>147</v>
      </c>
      <c r="H49" s="16" t="n">
        <v>815</v>
      </c>
      <c r="I49" s="16" t="n">
        <v>419</v>
      </c>
      <c r="J49" s="16" t="n">
        <v>396</v>
      </c>
      <c r="K49" s="16" t="n">
        <v>178</v>
      </c>
      <c r="L49" s="19" t="n">
        <f aca="false">(K49/H49)*100</f>
        <v>21.840490797546</v>
      </c>
      <c r="M49" s="16" t="n">
        <v>0</v>
      </c>
      <c r="N49" s="19" t="n">
        <f aca="false">(M49/H49)*100</f>
        <v>0</v>
      </c>
      <c r="O49" s="16" t="n">
        <v>270.1</v>
      </c>
      <c r="P49" s="16" t="n">
        <v>0</v>
      </c>
      <c r="Q49" s="20" t="s">
        <v>49</v>
      </c>
      <c r="R49" s="34" t="n">
        <v>44879</v>
      </c>
      <c r="S49" s="16"/>
      <c r="T49" s="20" t="n">
        <v>174.8402</v>
      </c>
      <c r="U49" s="16"/>
      <c r="V49" s="16"/>
      <c r="W49" s="16"/>
      <c r="X49" s="16"/>
      <c r="Y49" s="16"/>
      <c r="Z49" s="16"/>
      <c r="AA49" s="119" t="s">
        <v>266</v>
      </c>
      <c r="AB49" s="89" t="n">
        <v>15</v>
      </c>
      <c r="AC49" s="90" t="s">
        <v>3065</v>
      </c>
      <c r="AD49" s="20"/>
      <c r="AE49" s="20"/>
    </row>
    <row r="50" customFormat="false" ht="15.75" hidden="false" customHeight="false" outlineLevel="0" collapsed="false">
      <c r="A50" s="16" t="s">
        <v>42</v>
      </c>
      <c r="B50" s="16" t="s">
        <v>2976</v>
      </c>
      <c r="C50" s="71" t="s">
        <v>3066</v>
      </c>
      <c r="D50" s="72" t="s">
        <v>3067</v>
      </c>
      <c r="E50" s="16" t="s">
        <v>3068</v>
      </c>
      <c r="F50" s="16" t="n">
        <v>2562.48</v>
      </c>
      <c r="G50" s="16" t="n">
        <v>2632</v>
      </c>
      <c r="H50" s="16" t="n">
        <v>15127</v>
      </c>
      <c r="I50" s="16" t="n">
        <v>7886</v>
      </c>
      <c r="J50" s="16" t="n">
        <v>7241</v>
      </c>
      <c r="K50" s="16" t="n">
        <v>2325</v>
      </c>
      <c r="L50" s="19" t="n">
        <f aca="false">(K50/H50)*100</f>
        <v>15.3698684471475</v>
      </c>
      <c r="M50" s="16" t="n">
        <v>102</v>
      </c>
      <c r="N50" s="19" t="n">
        <f aca="false">(M50/H50)*100</f>
        <v>0.674291002842599</v>
      </c>
      <c r="O50" s="16" t="n">
        <v>51</v>
      </c>
      <c r="P50" s="16" t="n">
        <v>0</v>
      </c>
      <c r="Q50" s="20" t="s">
        <v>49</v>
      </c>
      <c r="R50" s="34" t="n">
        <v>44917</v>
      </c>
      <c r="S50" s="16"/>
      <c r="T50" s="20" t="n">
        <v>0</v>
      </c>
      <c r="U50" s="16"/>
      <c r="V50" s="16"/>
      <c r="W50" s="16"/>
      <c r="X50" s="16"/>
      <c r="Y50" s="16"/>
      <c r="Z50" s="16"/>
      <c r="AA50" s="119"/>
      <c r="AB50" s="89"/>
      <c r="AC50" s="36" t="n">
        <v>0</v>
      </c>
      <c r="AD50" s="20" t="n">
        <v>0</v>
      </c>
      <c r="AE50" s="20" t="n">
        <v>0</v>
      </c>
    </row>
    <row r="51" customFormat="false" ht="31.5" hidden="false" customHeight="false" outlineLevel="0" collapsed="false">
      <c r="A51" s="16" t="s">
        <v>42</v>
      </c>
      <c r="B51" s="16" t="s">
        <v>2976</v>
      </c>
      <c r="C51" s="71" t="s">
        <v>3069</v>
      </c>
      <c r="D51" s="72" t="s">
        <v>3070</v>
      </c>
      <c r="E51" s="16" t="s">
        <v>3071</v>
      </c>
      <c r="F51" s="16" t="n">
        <v>1724.8</v>
      </c>
      <c r="G51" s="16" t="n">
        <v>409</v>
      </c>
      <c r="H51" s="16" t="n">
        <v>2201</v>
      </c>
      <c r="I51" s="16" t="n">
        <v>1145</v>
      </c>
      <c r="J51" s="16" t="n">
        <v>1056</v>
      </c>
      <c r="K51" s="16" t="n">
        <v>519</v>
      </c>
      <c r="L51" s="19" t="n">
        <f aca="false">(K51/H51)*100</f>
        <v>23.5801908223535</v>
      </c>
      <c r="M51" s="16" t="n">
        <v>96</v>
      </c>
      <c r="N51" s="19" t="n">
        <f aca="false">(M51/H51)*100</f>
        <v>4.36165379373012</v>
      </c>
      <c r="O51" s="16" t="n">
        <v>100</v>
      </c>
      <c r="P51" s="16" t="n">
        <v>0</v>
      </c>
      <c r="Q51" s="20" t="s">
        <v>49</v>
      </c>
      <c r="R51" s="34" t="n">
        <v>45231</v>
      </c>
      <c r="S51" s="16"/>
      <c r="T51" s="89" t="n">
        <v>3.33</v>
      </c>
      <c r="U51" s="16"/>
      <c r="V51" s="16"/>
      <c r="W51" s="16"/>
      <c r="X51" s="16"/>
      <c r="Y51" s="16"/>
      <c r="Z51" s="16"/>
      <c r="AA51" s="89" t="s">
        <v>266</v>
      </c>
      <c r="AB51" s="289" t="n">
        <v>2</v>
      </c>
      <c r="AC51" s="301" t="s">
        <v>3072</v>
      </c>
      <c r="AD51" s="89" t="n">
        <v>26.071972</v>
      </c>
      <c r="AE51" s="89" t="n">
        <v>73.07111</v>
      </c>
    </row>
    <row r="52" customFormat="false" ht="15.75" hidden="false" customHeight="false" outlineLevel="0" collapsed="false">
      <c r="A52" s="16"/>
      <c r="B52" s="16"/>
      <c r="C52" s="71"/>
      <c r="D52" s="72"/>
      <c r="E52" s="16"/>
      <c r="F52" s="16"/>
      <c r="G52" s="16"/>
      <c r="H52" s="16"/>
      <c r="I52" s="16"/>
      <c r="J52" s="16"/>
      <c r="K52" s="16"/>
      <c r="L52" s="19"/>
      <c r="M52" s="16"/>
      <c r="N52" s="19"/>
      <c r="O52" s="16"/>
      <c r="P52" s="16"/>
      <c r="Q52" s="228" t="s">
        <v>49</v>
      </c>
      <c r="R52" s="234"/>
      <c r="S52" s="16"/>
      <c r="T52" s="93"/>
      <c r="U52" s="16"/>
      <c r="V52" s="16"/>
      <c r="W52" s="16"/>
      <c r="X52" s="16"/>
      <c r="Y52" s="16"/>
      <c r="Z52" s="16"/>
      <c r="AA52" s="89" t="s">
        <v>266</v>
      </c>
      <c r="AB52" s="302" t="n">
        <v>2</v>
      </c>
      <c r="AC52" s="303" t="s">
        <v>3073</v>
      </c>
      <c r="AD52" s="93" t="n">
        <v>26.070162</v>
      </c>
      <c r="AE52" s="93" t="n">
        <v>73.05687</v>
      </c>
    </row>
    <row r="53" customFormat="false" ht="15.75" hidden="false" customHeight="false" outlineLevel="0" collapsed="false">
      <c r="A53" s="16" t="s">
        <v>42</v>
      </c>
      <c r="B53" s="16" t="s">
        <v>2976</v>
      </c>
      <c r="C53" s="71" t="s">
        <v>3069</v>
      </c>
      <c r="D53" s="16" t="s">
        <v>3074</v>
      </c>
      <c r="E53" s="16" t="s">
        <v>3075</v>
      </c>
      <c r="F53" s="16" t="n">
        <v>323.04</v>
      </c>
      <c r="G53" s="16" t="n">
        <v>39</v>
      </c>
      <c r="H53" s="16" t="n">
        <v>205</v>
      </c>
      <c r="I53" s="16" t="n">
        <v>113</v>
      </c>
      <c r="J53" s="16" t="n">
        <v>92</v>
      </c>
      <c r="K53" s="16" t="n">
        <v>9</v>
      </c>
      <c r="L53" s="19" t="n">
        <f aca="false">(K53/H53)*100</f>
        <v>4.39024390243902</v>
      </c>
      <c r="M53" s="16" t="n">
        <v>0</v>
      </c>
      <c r="N53" s="19" t="n">
        <f aca="false">(M53/H53)*100</f>
        <v>0</v>
      </c>
      <c r="O53" s="16" t="n">
        <v>0</v>
      </c>
      <c r="P53" s="16" t="n">
        <v>0</v>
      </c>
      <c r="Q53" s="20" t="s">
        <v>49</v>
      </c>
      <c r="R53" s="34" t="n">
        <v>45231</v>
      </c>
      <c r="S53" s="16"/>
      <c r="T53" s="89" t="n">
        <v>0</v>
      </c>
      <c r="U53" s="16"/>
      <c r="V53" s="16"/>
      <c r="W53" s="16"/>
      <c r="X53" s="16"/>
      <c r="Y53" s="16"/>
      <c r="Z53" s="16"/>
      <c r="AA53" s="89" t="s">
        <v>266</v>
      </c>
      <c r="AB53" s="289" t="n">
        <v>0</v>
      </c>
      <c r="AC53" s="301"/>
      <c r="AD53" s="89" t="n">
        <v>0</v>
      </c>
      <c r="AE53" s="89" t="n">
        <v>0</v>
      </c>
    </row>
    <row r="54" customFormat="false" ht="15.75" hidden="false" customHeight="false" outlineLevel="0" collapsed="false">
      <c r="A54" s="16" t="s">
        <v>42</v>
      </c>
      <c r="B54" s="16" t="s">
        <v>2976</v>
      </c>
      <c r="C54" s="71" t="s">
        <v>3069</v>
      </c>
      <c r="D54" s="16" t="s">
        <v>3076</v>
      </c>
      <c r="E54" s="16" t="s">
        <v>3077</v>
      </c>
      <c r="F54" s="16" t="n">
        <v>595.5</v>
      </c>
      <c r="G54" s="16" t="n">
        <v>143</v>
      </c>
      <c r="H54" s="16" t="n">
        <v>743</v>
      </c>
      <c r="I54" s="16" t="n">
        <v>373</v>
      </c>
      <c r="J54" s="16" t="n">
        <v>370</v>
      </c>
      <c r="K54" s="16" t="n">
        <v>203</v>
      </c>
      <c r="L54" s="19" t="n">
        <f aca="false">(K54/H54)*100</f>
        <v>27.321668909825</v>
      </c>
      <c r="M54" s="16" t="n">
        <v>0</v>
      </c>
      <c r="N54" s="19" t="n">
        <f aca="false">(M54/H54)*100</f>
        <v>0</v>
      </c>
      <c r="O54" s="16" t="n">
        <v>0</v>
      </c>
      <c r="P54" s="16" t="n">
        <v>0</v>
      </c>
      <c r="Q54" s="20" t="s">
        <v>49</v>
      </c>
      <c r="R54" s="34" t="n">
        <v>45231</v>
      </c>
      <c r="S54" s="16"/>
      <c r="T54" s="89" t="n">
        <v>0</v>
      </c>
      <c r="U54" s="16"/>
      <c r="V54" s="16"/>
      <c r="W54" s="16"/>
      <c r="X54" s="16"/>
      <c r="Y54" s="16"/>
      <c r="Z54" s="16"/>
      <c r="AA54" s="89" t="s">
        <v>266</v>
      </c>
      <c r="AB54" s="289" t="n">
        <v>0</v>
      </c>
      <c r="AC54" s="300"/>
      <c r="AD54" s="89" t="n">
        <v>0</v>
      </c>
      <c r="AE54" s="89" t="n">
        <v>0</v>
      </c>
    </row>
    <row r="55" customFormat="false" ht="15.75" hidden="false" customHeight="false" outlineLevel="0" collapsed="false">
      <c r="A55" s="16" t="s">
        <v>42</v>
      </c>
      <c r="B55" s="16" t="s">
        <v>2976</v>
      </c>
      <c r="C55" s="71" t="s">
        <v>3069</v>
      </c>
      <c r="D55" s="16" t="s">
        <v>3078</v>
      </c>
      <c r="E55" s="16" t="s">
        <v>3079</v>
      </c>
      <c r="F55" s="16" t="n">
        <v>1315.8</v>
      </c>
      <c r="G55" s="16" t="n">
        <v>187</v>
      </c>
      <c r="H55" s="16" t="n">
        <v>1216</v>
      </c>
      <c r="I55" s="16" t="n">
        <v>606</v>
      </c>
      <c r="J55" s="16" t="n">
        <v>610</v>
      </c>
      <c r="K55" s="16" t="n">
        <v>71</v>
      </c>
      <c r="L55" s="19" t="n">
        <f aca="false">(K55/H55)*100</f>
        <v>5.83881578947368</v>
      </c>
      <c r="M55" s="16" t="n">
        <v>74</v>
      </c>
      <c r="N55" s="19" t="n">
        <f aca="false">(M55/H55)*100</f>
        <v>6.08552631578947</v>
      </c>
      <c r="O55" s="16" t="n">
        <v>0</v>
      </c>
      <c r="P55" s="16" t="n">
        <v>0</v>
      </c>
      <c r="Q55" s="20" t="s">
        <v>49</v>
      </c>
      <c r="R55" s="34" t="n">
        <v>45231</v>
      </c>
      <c r="S55" s="16"/>
      <c r="T55" s="89" t="n">
        <v>4.13</v>
      </c>
      <c r="U55" s="16"/>
      <c r="V55" s="16"/>
      <c r="W55" s="16"/>
      <c r="X55" s="16"/>
      <c r="Y55" s="16"/>
      <c r="Z55" s="16"/>
      <c r="AA55" s="89" t="s">
        <v>266</v>
      </c>
      <c r="AB55" s="289" t="n">
        <v>0</v>
      </c>
      <c r="AC55" s="300"/>
      <c r="AD55" s="89" t="n">
        <v>0</v>
      </c>
      <c r="AE55" s="89" t="n">
        <v>0</v>
      </c>
    </row>
    <row r="56" customFormat="false" ht="15.75" hidden="false" customHeight="false" outlineLevel="0" collapsed="false">
      <c r="A56" s="16" t="s">
        <v>42</v>
      </c>
      <c r="B56" s="16" t="s">
        <v>2976</v>
      </c>
      <c r="C56" s="71" t="s">
        <v>3080</v>
      </c>
      <c r="D56" s="72" t="s">
        <v>3081</v>
      </c>
      <c r="E56" s="16" t="s">
        <v>3082</v>
      </c>
      <c r="F56" s="16" t="n">
        <v>4434.43</v>
      </c>
      <c r="G56" s="16" t="n">
        <v>843</v>
      </c>
      <c r="H56" s="16" t="n">
        <v>4767</v>
      </c>
      <c r="I56" s="16" t="n">
        <v>2482</v>
      </c>
      <c r="J56" s="16" t="n">
        <v>2285</v>
      </c>
      <c r="K56" s="16" t="n">
        <v>1096</v>
      </c>
      <c r="L56" s="19" t="n">
        <f aca="false">(K56/H56)*100</f>
        <v>22.9913992028529</v>
      </c>
      <c r="M56" s="16" t="n">
        <v>13</v>
      </c>
      <c r="N56" s="19" t="n">
        <f aca="false">(M56/H56)*100</f>
        <v>0.272708202223621</v>
      </c>
      <c r="O56" s="16" t="n">
        <v>76.28</v>
      </c>
      <c r="P56" s="16" t="n">
        <v>0</v>
      </c>
      <c r="Q56" s="16"/>
      <c r="R56" s="87"/>
      <c r="S56" s="16"/>
      <c r="T56" s="16"/>
      <c r="U56" s="16"/>
      <c r="V56" s="16"/>
      <c r="W56" s="16"/>
      <c r="X56" s="16"/>
      <c r="Y56" s="16"/>
      <c r="Z56" s="16"/>
      <c r="AA56" s="88"/>
      <c r="AB56" s="88"/>
      <c r="AC56" s="28"/>
      <c r="AD56" s="16"/>
      <c r="AE56" s="16"/>
    </row>
    <row r="57" customFormat="false" ht="15.75" hidden="false" customHeight="false" outlineLevel="0" collapsed="false">
      <c r="A57" s="16" t="s">
        <v>42</v>
      </c>
      <c r="B57" s="16" t="s">
        <v>2976</v>
      </c>
      <c r="C57" s="71" t="s">
        <v>3080</v>
      </c>
      <c r="D57" s="16" t="s">
        <v>3083</v>
      </c>
      <c r="E57" s="16" t="s">
        <v>3084</v>
      </c>
      <c r="F57" s="16" t="n">
        <v>499.69</v>
      </c>
      <c r="G57" s="16" t="n">
        <v>60</v>
      </c>
      <c r="H57" s="16" t="n">
        <v>307</v>
      </c>
      <c r="I57" s="16" t="n">
        <v>167</v>
      </c>
      <c r="J57" s="16" t="n">
        <v>140</v>
      </c>
      <c r="K57" s="16" t="n">
        <v>9</v>
      </c>
      <c r="L57" s="19" t="n">
        <f aca="false">(K57/H57)*100</f>
        <v>2.93159609120521</v>
      </c>
      <c r="M57" s="16" t="n">
        <v>29</v>
      </c>
      <c r="N57" s="19" t="n">
        <f aca="false">(M57/H57)*100</f>
        <v>9.44625407166124</v>
      </c>
      <c r="O57" s="16" t="n">
        <v>18.3</v>
      </c>
      <c r="P57" s="16" t="n">
        <v>0</v>
      </c>
      <c r="Q57" s="16"/>
      <c r="R57" s="87"/>
      <c r="S57" s="16"/>
      <c r="T57" s="16"/>
      <c r="U57" s="16"/>
      <c r="V57" s="16"/>
      <c r="W57" s="16"/>
      <c r="X57" s="16"/>
      <c r="Y57" s="16"/>
      <c r="Z57" s="16"/>
      <c r="AA57" s="88"/>
      <c r="AB57" s="88"/>
      <c r="AC57" s="28"/>
      <c r="AD57" s="16"/>
      <c r="AE57" s="16"/>
    </row>
    <row r="58" customFormat="false" ht="15.75" hidden="false" customHeight="false" outlineLevel="0" collapsed="false">
      <c r="A58" s="16" t="s">
        <v>42</v>
      </c>
      <c r="B58" s="16" t="s">
        <v>2976</v>
      </c>
      <c r="C58" s="71" t="s">
        <v>3085</v>
      </c>
      <c r="D58" s="72" t="s">
        <v>3086</v>
      </c>
      <c r="E58" s="16" t="s">
        <v>3087</v>
      </c>
      <c r="F58" s="16" t="n">
        <v>3217.27</v>
      </c>
      <c r="G58" s="16" t="n">
        <v>543</v>
      </c>
      <c r="H58" s="16" t="n">
        <v>3322</v>
      </c>
      <c r="I58" s="16" t="n">
        <v>1690</v>
      </c>
      <c r="J58" s="16" t="n">
        <v>1632</v>
      </c>
      <c r="K58" s="16" t="n">
        <v>461</v>
      </c>
      <c r="L58" s="19" t="n">
        <f aca="false">(K58/H58)*100</f>
        <v>13.8771824202288</v>
      </c>
      <c r="M58" s="16" t="n">
        <v>26</v>
      </c>
      <c r="N58" s="19" t="n">
        <f aca="false">(M58/H58)*100</f>
        <v>0.78266104756171</v>
      </c>
      <c r="O58" s="16" t="n">
        <v>516.03</v>
      </c>
      <c r="P58" s="16" t="n">
        <v>0</v>
      </c>
      <c r="Q58" s="24" t="s">
        <v>49</v>
      </c>
      <c r="R58" s="25" t="n">
        <v>44879</v>
      </c>
      <c r="S58" s="16"/>
      <c r="T58" s="24" t="n">
        <v>1.4569</v>
      </c>
      <c r="U58" s="16"/>
      <c r="V58" s="16"/>
      <c r="W58" s="16"/>
      <c r="X58" s="16"/>
      <c r="Y58" s="16"/>
      <c r="Z58" s="16"/>
      <c r="AA58" s="119" t="s">
        <v>266</v>
      </c>
      <c r="AB58" s="92" t="n">
        <v>6</v>
      </c>
      <c r="AC58" s="96" t="s">
        <v>3088</v>
      </c>
      <c r="AD58" s="92" t="n">
        <v>26.05</v>
      </c>
      <c r="AE58" s="92" t="n">
        <v>73.14</v>
      </c>
    </row>
    <row r="59" customFormat="false" ht="15.75" hidden="false" customHeight="false" outlineLevel="0" collapsed="false">
      <c r="A59" s="16" t="s">
        <v>42</v>
      </c>
      <c r="B59" s="16" t="s">
        <v>2976</v>
      </c>
      <c r="C59" s="71" t="s">
        <v>3085</v>
      </c>
      <c r="D59" s="16" t="s">
        <v>3089</v>
      </c>
      <c r="E59" s="16" t="s">
        <v>3090</v>
      </c>
      <c r="F59" s="16" t="n">
        <v>1091.35</v>
      </c>
      <c r="G59" s="16" t="n">
        <v>208</v>
      </c>
      <c r="H59" s="16" t="n">
        <v>1169</v>
      </c>
      <c r="I59" s="16" t="n">
        <v>608</v>
      </c>
      <c r="J59" s="16" t="n">
        <v>561</v>
      </c>
      <c r="K59" s="16" t="n">
        <v>125</v>
      </c>
      <c r="L59" s="19" t="n">
        <f aca="false">(K59/H59)*100</f>
        <v>10.6928999144568</v>
      </c>
      <c r="M59" s="16" t="n">
        <v>0</v>
      </c>
      <c r="N59" s="19" t="n">
        <f aca="false">(M59/H59)*100</f>
        <v>0</v>
      </c>
      <c r="O59" s="16" t="n">
        <v>246.05</v>
      </c>
      <c r="P59" s="16" t="n">
        <v>0</v>
      </c>
      <c r="Q59" s="24" t="s">
        <v>49</v>
      </c>
      <c r="R59" s="25" t="n">
        <v>44879</v>
      </c>
      <c r="S59" s="16"/>
      <c r="T59" s="24" t="n">
        <v>168.4299</v>
      </c>
      <c r="U59" s="16"/>
      <c r="V59" s="16"/>
      <c r="W59" s="16"/>
      <c r="X59" s="16"/>
      <c r="Y59" s="16"/>
      <c r="Z59" s="16"/>
      <c r="AA59" s="119" t="s">
        <v>266</v>
      </c>
      <c r="AB59" s="92" t="n">
        <v>11</v>
      </c>
      <c r="AC59" s="96" t="s">
        <v>3091</v>
      </c>
      <c r="AD59" s="92" t="n">
        <v>26.07</v>
      </c>
      <c r="AE59" s="92" t="n">
        <v>73.15</v>
      </c>
    </row>
    <row r="60" customFormat="false" ht="15.75" hidden="false" customHeight="false" outlineLevel="0" collapsed="false">
      <c r="A60" s="16" t="s">
        <v>42</v>
      </c>
      <c r="B60" s="16" t="s">
        <v>2976</v>
      </c>
      <c r="C60" s="71" t="s">
        <v>3092</v>
      </c>
      <c r="D60" s="72" t="s">
        <v>3092</v>
      </c>
      <c r="E60" s="16" t="s">
        <v>3093</v>
      </c>
      <c r="F60" s="16" t="n">
        <v>624</v>
      </c>
      <c r="G60" s="16" t="n">
        <v>329</v>
      </c>
      <c r="H60" s="16" t="n">
        <v>1959</v>
      </c>
      <c r="I60" s="16" t="n">
        <v>1028</v>
      </c>
      <c r="J60" s="16" t="n">
        <v>931</v>
      </c>
      <c r="K60" s="16" t="n">
        <v>366</v>
      </c>
      <c r="L60" s="19" t="n">
        <f aca="false">(K60/H60)*100</f>
        <v>18.6830015313936</v>
      </c>
      <c r="M60" s="16" t="n">
        <v>126</v>
      </c>
      <c r="N60" s="19" t="n">
        <f aca="false">(M60/H60)*100</f>
        <v>6.43185298621746</v>
      </c>
      <c r="O60" s="16" t="n">
        <v>35</v>
      </c>
      <c r="P60" s="16" t="n">
        <v>0</v>
      </c>
      <c r="Q60" s="16"/>
      <c r="R60" s="87"/>
      <c r="S60" s="16"/>
      <c r="T60" s="16"/>
      <c r="U60" s="16"/>
      <c r="V60" s="16"/>
      <c r="W60" s="16"/>
      <c r="X60" s="16"/>
      <c r="Y60" s="16"/>
      <c r="Z60" s="16"/>
      <c r="AA60" s="88"/>
      <c r="AB60" s="88"/>
      <c r="AC60" s="28"/>
      <c r="AD60" s="16"/>
      <c r="AE60" s="16"/>
    </row>
    <row r="61" customFormat="false" ht="15.75" hidden="false" customHeight="false" outlineLevel="0" collapsed="false">
      <c r="A61" s="16" t="s">
        <v>42</v>
      </c>
      <c r="B61" s="16" t="s">
        <v>2976</v>
      </c>
      <c r="C61" s="71" t="s">
        <v>3094</v>
      </c>
      <c r="D61" s="72" t="s">
        <v>3095</v>
      </c>
      <c r="E61" s="16" t="s">
        <v>3096</v>
      </c>
      <c r="F61" s="16" t="n">
        <v>2500.3</v>
      </c>
      <c r="G61" s="16" t="n">
        <v>584</v>
      </c>
      <c r="H61" s="16" t="n">
        <v>3197</v>
      </c>
      <c r="I61" s="16" t="n">
        <v>1652</v>
      </c>
      <c r="J61" s="16" t="n">
        <v>1545</v>
      </c>
      <c r="K61" s="16" t="n">
        <v>437</v>
      </c>
      <c r="L61" s="19" t="n">
        <f aca="false">(K61/H61)*100</f>
        <v>13.6690647482014</v>
      </c>
      <c r="M61" s="16" t="n">
        <v>75</v>
      </c>
      <c r="N61" s="19" t="n">
        <f aca="false">(M61/H61)*100</f>
        <v>2.34594932749453</v>
      </c>
      <c r="O61" s="16" t="n">
        <v>51.04</v>
      </c>
      <c r="P61" s="16" t="n">
        <v>0</v>
      </c>
      <c r="Q61" s="20" t="s">
        <v>49</v>
      </c>
      <c r="R61" s="34" t="n">
        <v>44879</v>
      </c>
      <c r="S61" s="16"/>
      <c r="T61" s="20" t="n">
        <v>103.8988</v>
      </c>
      <c r="U61" s="16"/>
      <c r="V61" s="16"/>
      <c r="W61" s="16"/>
      <c r="X61" s="16"/>
      <c r="Y61" s="16"/>
      <c r="Z61" s="16"/>
      <c r="AA61" s="119" t="s">
        <v>266</v>
      </c>
      <c r="AB61" s="89" t="n">
        <v>5</v>
      </c>
      <c r="AC61" s="90" t="s">
        <v>3097</v>
      </c>
      <c r="AD61" s="20"/>
      <c r="AE61" s="20"/>
    </row>
    <row r="62" customFormat="false" ht="15.75" hidden="false" customHeight="false" outlineLevel="0" collapsed="false">
      <c r="A62" s="16"/>
      <c r="B62" s="16"/>
      <c r="C62" s="71"/>
      <c r="D62" s="72"/>
      <c r="E62" s="16"/>
      <c r="F62" s="16"/>
      <c r="G62" s="16"/>
      <c r="H62" s="16"/>
      <c r="I62" s="16"/>
      <c r="J62" s="16"/>
      <c r="K62" s="16"/>
      <c r="L62" s="19"/>
      <c r="M62" s="16"/>
      <c r="N62" s="19"/>
      <c r="O62" s="16"/>
      <c r="P62" s="16"/>
      <c r="Q62" s="228" t="s">
        <v>49</v>
      </c>
      <c r="R62" s="234"/>
      <c r="S62" s="16"/>
      <c r="T62" s="228"/>
      <c r="U62" s="16"/>
      <c r="V62" s="16"/>
      <c r="W62" s="16"/>
      <c r="X62" s="16"/>
      <c r="Y62" s="16"/>
      <c r="Z62" s="16"/>
      <c r="AA62" s="232" t="s">
        <v>266</v>
      </c>
      <c r="AB62" s="93" t="n">
        <v>10</v>
      </c>
      <c r="AC62" s="98" t="s">
        <v>3098</v>
      </c>
      <c r="AD62" s="228"/>
      <c r="AE62" s="228"/>
    </row>
    <row r="63" customFormat="false" ht="31.5" hidden="false" customHeight="false" outlineLevel="0" collapsed="false">
      <c r="A63" s="16"/>
      <c r="B63" s="16"/>
      <c r="C63" s="71"/>
      <c r="D63" s="72"/>
      <c r="E63" s="16"/>
      <c r="F63" s="16"/>
      <c r="G63" s="16"/>
      <c r="H63" s="16"/>
      <c r="I63" s="16"/>
      <c r="J63" s="16"/>
      <c r="K63" s="16"/>
      <c r="L63" s="19"/>
      <c r="M63" s="16"/>
      <c r="N63" s="19"/>
      <c r="O63" s="16"/>
      <c r="P63" s="16"/>
      <c r="Q63" s="228" t="s">
        <v>49</v>
      </c>
      <c r="R63" s="234"/>
      <c r="S63" s="16"/>
      <c r="T63" s="228"/>
      <c r="U63" s="16"/>
      <c r="V63" s="16"/>
      <c r="W63" s="16"/>
      <c r="X63" s="16"/>
      <c r="Y63" s="16"/>
      <c r="Z63" s="16"/>
      <c r="AA63" s="232" t="s">
        <v>266</v>
      </c>
      <c r="AB63" s="93" t="n">
        <v>20</v>
      </c>
      <c r="AC63" s="98" t="s">
        <v>3099</v>
      </c>
      <c r="AD63" s="228"/>
      <c r="AE63" s="228"/>
    </row>
    <row r="64" customFormat="false" ht="15.75" hidden="false" customHeight="false" outlineLevel="0" collapsed="false">
      <c r="A64" s="16" t="s">
        <v>42</v>
      </c>
      <c r="B64" s="16" t="s">
        <v>2976</v>
      </c>
      <c r="C64" s="71" t="s">
        <v>3094</v>
      </c>
      <c r="D64" s="16" t="s">
        <v>3100</v>
      </c>
      <c r="E64" s="16" t="s">
        <v>3101</v>
      </c>
      <c r="F64" s="16" t="n">
        <v>1301.39</v>
      </c>
      <c r="G64" s="16" t="n">
        <v>132</v>
      </c>
      <c r="H64" s="16" t="n">
        <v>732</v>
      </c>
      <c r="I64" s="16" t="n">
        <v>375</v>
      </c>
      <c r="J64" s="16" t="n">
        <v>357</v>
      </c>
      <c r="K64" s="16" t="n">
        <v>65</v>
      </c>
      <c r="L64" s="19" t="n">
        <f aca="false">(K64/H64)*100</f>
        <v>8.87978142076503</v>
      </c>
      <c r="M64" s="16" t="n">
        <v>53</v>
      </c>
      <c r="N64" s="19" t="n">
        <f aca="false">(M64/H64)*100</f>
        <v>7.24043715846995</v>
      </c>
      <c r="O64" s="16" t="n">
        <v>0</v>
      </c>
      <c r="P64" s="16" t="n">
        <v>0</v>
      </c>
      <c r="Q64" s="20" t="s">
        <v>49</v>
      </c>
      <c r="R64" s="34" t="n">
        <v>44879</v>
      </c>
      <c r="S64" s="16"/>
      <c r="T64" s="20" t="n">
        <v>2.8328</v>
      </c>
      <c r="U64" s="16"/>
      <c r="V64" s="16"/>
      <c r="W64" s="16"/>
      <c r="X64" s="16"/>
      <c r="Y64" s="16"/>
      <c r="Z64" s="16"/>
      <c r="AA64" s="119" t="s">
        <v>266</v>
      </c>
      <c r="AB64" s="89" t="n">
        <v>15</v>
      </c>
      <c r="AC64" s="90" t="s">
        <v>3102</v>
      </c>
      <c r="AD64" s="20"/>
      <c r="AE64" s="20"/>
    </row>
    <row r="65" customFormat="false" ht="15.75" hidden="false" customHeight="false" outlineLevel="0" collapsed="false">
      <c r="A65" s="16" t="s">
        <v>42</v>
      </c>
      <c r="B65" s="16" t="s">
        <v>2976</v>
      </c>
      <c r="C65" s="71" t="s">
        <v>3094</v>
      </c>
      <c r="D65" s="16" t="s">
        <v>3103</v>
      </c>
      <c r="E65" s="16" t="s">
        <v>3104</v>
      </c>
      <c r="F65" s="16" t="n">
        <v>537.39</v>
      </c>
      <c r="G65" s="16" t="n">
        <v>209</v>
      </c>
      <c r="H65" s="16" t="n">
        <v>1238</v>
      </c>
      <c r="I65" s="16" t="n">
        <v>661</v>
      </c>
      <c r="J65" s="16" t="n">
        <v>577</v>
      </c>
      <c r="K65" s="16" t="n">
        <v>240</v>
      </c>
      <c r="L65" s="19" t="n">
        <f aca="false">(K65/H65)*100</f>
        <v>19.3861066235864</v>
      </c>
      <c r="M65" s="16" t="n">
        <v>0</v>
      </c>
      <c r="N65" s="19" t="n">
        <f aca="false">(M65/H65)*100</f>
        <v>0</v>
      </c>
      <c r="O65" s="16" t="n">
        <v>17.09</v>
      </c>
      <c r="P65" s="16" t="n">
        <v>0</v>
      </c>
      <c r="Q65" s="20" t="s">
        <v>49</v>
      </c>
      <c r="R65" s="34" t="n">
        <v>44879</v>
      </c>
      <c r="S65" s="16"/>
      <c r="T65" s="20" t="n">
        <v>16.6973</v>
      </c>
      <c r="U65" s="16"/>
      <c r="V65" s="16"/>
      <c r="W65" s="16"/>
      <c r="X65" s="16"/>
      <c r="Y65" s="16"/>
      <c r="Z65" s="16"/>
      <c r="AA65" s="119" t="s">
        <v>266</v>
      </c>
      <c r="AB65" s="89" t="n">
        <v>15</v>
      </c>
      <c r="AC65" s="90" t="s">
        <v>3105</v>
      </c>
      <c r="AD65" s="20"/>
      <c r="AE65" s="20"/>
    </row>
    <row r="66" customFormat="false" ht="15.75" hidden="false" customHeight="false" outlineLevel="0" collapsed="false">
      <c r="A66" s="16" t="s">
        <v>42</v>
      </c>
      <c r="B66" s="16" t="s">
        <v>2976</v>
      </c>
      <c r="C66" s="71" t="s">
        <v>3094</v>
      </c>
      <c r="D66" s="16" t="s">
        <v>2615</v>
      </c>
      <c r="E66" s="16" t="s">
        <v>3106</v>
      </c>
      <c r="F66" s="16" t="n">
        <v>495.45</v>
      </c>
      <c r="G66" s="16" t="n">
        <v>176</v>
      </c>
      <c r="H66" s="16" t="n">
        <v>1163</v>
      </c>
      <c r="I66" s="16" t="n">
        <v>586</v>
      </c>
      <c r="J66" s="16" t="n">
        <v>577</v>
      </c>
      <c r="K66" s="16" t="n">
        <v>98</v>
      </c>
      <c r="L66" s="19" t="n">
        <f aca="false">(K66/H66)*100</f>
        <v>8.42648323301806</v>
      </c>
      <c r="M66" s="16" t="n">
        <v>0</v>
      </c>
      <c r="N66" s="19" t="n">
        <f aca="false">(M66/H66)*100</f>
        <v>0</v>
      </c>
      <c r="O66" s="16" t="n">
        <v>28.31</v>
      </c>
      <c r="P66" s="16" t="n">
        <v>0</v>
      </c>
      <c r="Q66" s="20" t="s">
        <v>49</v>
      </c>
      <c r="R66" s="34" t="n">
        <v>44879</v>
      </c>
      <c r="S66" s="16"/>
      <c r="T66" s="20" t="n">
        <v>21.3512</v>
      </c>
      <c r="U66" s="16"/>
      <c r="V66" s="16"/>
      <c r="W66" s="16"/>
      <c r="X66" s="16"/>
      <c r="Y66" s="16"/>
      <c r="Z66" s="16"/>
      <c r="AA66" s="119" t="s">
        <v>266</v>
      </c>
      <c r="AB66" s="89" t="n">
        <v>15</v>
      </c>
      <c r="AC66" s="90" t="s">
        <v>3107</v>
      </c>
      <c r="AD66" s="20"/>
      <c r="AE66" s="20"/>
    </row>
    <row r="67" customFormat="false" ht="15.75" hidden="false" customHeight="false" outlineLevel="0" collapsed="false">
      <c r="A67" s="16" t="s">
        <v>42</v>
      </c>
      <c r="B67" s="16" t="s">
        <v>2976</v>
      </c>
      <c r="C67" s="71" t="s">
        <v>3108</v>
      </c>
      <c r="D67" s="72" t="s">
        <v>3109</v>
      </c>
      <c r="E67" s="16" t="s">
        <v>3110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0</v>
      </c>
      <c r="K67" s="16" t="n">
        <v>0</v>
      </c>
      <c r="L67" s="365" t="e">
        <f aca="false">(K67/H67)*100</f>
        <v>#DIV/0!</v>
      </c>
      <c r="M67" s="366" t="n">
        <v>0</v>
      </c>
      <c r="N67" s="365" t="e">
        <f aca="false">(M67/H67)*100</f>
        <v>#DIV/0!</v>
      </c>
      <c r="O67" s="16" t="n">
        <v>0</v>
      </c>
      <c r="P67" s="16" t="n">
        <v>0</v>
      </c>
      <c r="Q67" s="20" t="s">
        <v>49</v>
      </c>
      <c r="R67" s="34" t="n">
        <v>45201</v>
      </c>
      <c r="S67" s="16"/>
      <c r="T67" s="89" t="n">
        <v>0</v>
      </c>
      <c r="U67" s="16"/>
      <c r="V67" s="16"/>
      <c r="W67" s="16"/>
      <c r="X67" s="16"/>
      <c r="Y67" s="16"/>
      <c r="Z67" s="16"/>
      <c r="AA67" s="89" t="s">
        <v>266</v>
      </c>
      <c r="AB67" s="289" t="n">
        <v>0</v>
      </c>
      <c r="AC67" s="301"/>
      <c r="AD67" s="89" t="n">
        <v>0</v>
      </c>
      <c r="AE67" s="89" t="n">
        <v>0</v>
      </c>
    </row>
    <row r="68" customFormat="false" ht="31.5" hidden="false" customHeight="false" outlineLevel="0" collapsed="false">
      <c r="A68" s="16" t="s">
        <v>42</v>
      </c>
      <c r="B68" s="16" t="s">
        <v>2976</v>
      </c>
      <c r="C68" s="71" t="s">
        <v>3111</v>
      </c>
      <c r="D68" s="72" t="s">
        <v>3112</v>
      </c>
      <c r="E68" s="16" t="s">
        <v>3113</v>
      </c>
      <c r="F68" s="16" t="n">
        <v>883.95</v>
      </c>
      <c r="G68" s="16" t="n">
        <v>285</v>
      </c>
      <c r="H68" s="16" t="n">
        <v>1621</v>
      </c>
      <c r="I68" s="16" t="n">
        <v>829</v>
      </c>
      <c r="J68" s="16" t="n">
        <v>792</v>
      </c>
      <c r="K68" s="16" t="n">
        <v>319</v>
      </c>
      <c r="L68" s="19" t="n">
        <f aca="false">(K68/H68)*100</f>
        <v>19.6792103639729</v>
      </c>
      <c r="M68" s="16" t="n">
        <v>0</v>
      </c>
      <c r="N68" s="19" t="n">
        <f aca="false">(M68/H68)*100</f>
        <v>0</v>
      </c>
      <c r="O68" s="16" t="n">
        <v>85.17</v>
      </c>
      <c r="P68" s="16" t="n">
        <v>0</v>
      </c>
      <c r="Q68" s="24" t="s">
        <v>49</v>
      </c>
      <c r="R68" s="25" t="n">
        <v>45222</v>
      </c>
      <c r="S68" s="16"/>
      <c r="T68" s="24" t="n">
        <v>530.63</v>
      </c>
      <c r="U68" s="16"/>
      <c r="V68" s="16"/>
      <c r="W68" s="16"/>
      <c r="X68" s="16"/>
      <c r="Y68" s="16"/>
      <c r="Z68" s="16"/>
      <c r="AA68" s="92" t="s">
        <v>266</v>
      </c>
      <c r="AB68" s="76" t="n">
        <v>8</v>
      </c>
      <c r="AC68" s="90" t="s">
        <v>3114</v>
      </c>
      <c r="AD68" s="24" t="n">
        <v>26.10157</v>
      </c>
      <c r="AE68" s="92" t="n">
        <v>73.336686</v>
      </c>
    </row>
    <row r="69" customFormat="false" ht="47.25" hidden="false" customHeight="false" outlineLevel="0" collapsed="false">
      <c r="A69" s="16" t="s">
        <v>42</v>
      </c>
      <c r="B69" s="16" t="s">
        <v>2976</v>
      </c>
      <c r="C69" s="71" t="s">
        <v>3111</v>
      </c>
      <c r="D69" s="16" t="s">
        <v>3115</v>
      </c>
      <c r="E69" s="16" t="s">
        <v>3116</v>
      </c>
      <c r="F69" s="16" t="n">
        <v>960.35</v>
      </c>
      <c r="G69" s="16" t="n">
        <v>84</v>
      </c>
      <c r="H69" s="16" t="n">
        <v>390</v>
      </c>
      <c r="I69" s="16" t="n">
        <v>212</v>
      </c>
      <c r="J69" s="16" t="n">
        <v>178</v>
      </c>
      <c r="K69" s="16" t="n">
        <v>18</v>
      </c>
      <c r="L69" s="19" t="n">
        <f aca="false">(K69/H69)*100</f>
        <v>4.61538461538462</v>
      </c>
      <c r="M69" s="16" t="n">
        <v>0</v>
      </c>
      <c r="N69" s="19" t="n">
        <f aca="false">(M69/H69)*100</f>
        <v>0</v>
      </c>
      <c r="O69" s="16" t="n">
        <v>51.23</v>
      </c>
      <c r="P69" s="16" t="n">
        <v>10.09</v>
      </c>
      <c r="Q69" s="20" t="s">
        <v>49</v>
      </c>
      <c r="R69" s="34" t="n">
        <v>45222</v>
      </c>
      <c r="S69" s="16"/>
      <c r="T69" s="20" t="n">
        <v>111.35</v>
      </c>
      <c r="U69" s="16"/>
      <c r="V69" s="16"/>
      <c r="W69" s="16"/>
      <c r="X69" s="16"/>
      <c r="Y69" s="16"/>
      <c r="Z69" s="16"/>
      <c r="AA69" s="89" t="s">
        <v>3117</v>
      </c>
      <c r="AB69" s="289" t="n">
        <v>12</v>
      </c>
      <c r="AC69" s="90" t="s">
        <v>3118</v>
      </c>
      <c r="AD69" s="20" t="n">
        <v>26.069986</v>
      </c>
      <c r="AE69" s="89" t="n">
        <v>73.34877</v>
      </c>
    </row>
    <row r="70" customFormat="false" ht="31.5" hidden="false" customHeight="false" outlineLevel="0" collapsed="false">
      <c r="A70" s="16" t="s">
        <v>42</v>
      </c>
      <c r="B70" s="16" t="s">
        <v>2976</v>
      </c>
      <c r="C70" s="71" t="s">
        <v>3111</v>
      </c>
      <c r="D70" s="16" t="s">
        <v>3119</v>
      </c>
      <c r="E70" s="16" t="s">
        <v>3120</v>
      </c>
      <c r="F70" s="16" t="n">
        <v>1815.3</v>
      </c>
      <c r="G70" s="16" t="n">
        <v>186</v>
      </c>
      <c r="H70" s="16" t="n">
        <v>1090</v>
      </c>
      <c r="I70" s="16" t="n">
        <v>584</v>
      </c>
      <c r="J70" s="16" t="n">
        <v>506</v>
      </c>
      <c r="K70" s="16" t="n">
        <v>446</v>
      </c>
      <c r="L70" s="19" t="n">
        <f aca="false">(K70/H70)*100</f>
        <v>40.9174311926606</v>
      </c>
      <c r="M70" s="16" t="n">
        <v>94</v>
      </c>
      <c r="N70" s="19" t="n">
        <f aca="false">(M70/H70)*100</f>
        <v>8.62385321100918</v>
      </c>
      <c r="O70" s="16" t="n">
        <v>166.17</v>
      </c>
      <c r="P70" s="16" t="n">
        <v>0</v>
      </c>
      <c r="Q70" s="20" t="s">
        <v>49</v>
      </c>
      <c r="R70" s="34" t="n">
        <v>45222</v>
      </c>
      <c r="S70" s="16"/>
      <c r="T70" s="20" t="n">
        <v>913.69</v>
      </c>
      <c r="U70" s="16"/>
      <c r="V70" s="16"/>
      <c r="W70" s="16"/>
      <c r="X70" s="16"/>
      <c r="Y70" s="16"/>
      <c r="Z70" s="16"/>
      <c r="AA70" s="89" t="s">
        <v>3117</v>
      </c>
      <c r="AB70" s="289" t="n">
        <v>12</v>
      </c>
      <c r="AC70" s="90" t="s">
        <v>3121</v>
      </c>
      <c r="AD70" s="20" t="n">
        <v>26.089735</v>
      </c>
      <c r="AE70" s="89" t="n">
        <v>73.340207</v>
      </c>
    </row>
    <row r="71" customFormat="false" ht="47.25" hidden="false" customHeight="false" outlineLevel="0" collapsed="false">
      <c r="A71" s="16"/>
      <c r="B71" s="16"/>
      <c r="C71" s="71"/>
      <c r="D71" s="16"/>
      <c r="E71" s="16"/>
      <c r="F71" s="16"/>
      <c r="G71" s="16"/>
      <c r="H71" s="16"/>
      <c r="I71" s="16"/>
      <c r="J71" s="16"/>
      <c r="K71" s="16"/>
      <c r="L71" s="19"/>
      <c r="M71" s="16"/>
      <c r="N71" s="19"/>
      <c r="O71" s="16"/>
      <c r="P71" s="16"/>
      <c r="Q71" s="256" t="s">
        <v>49</v>
      </c>
      <c r="R71" s="173"/>
      <c r="S71" s="16"/>
      <c r="T71" s="256"/>
      <c r="U71" s="16"/>
      <c r="V71" s="16"/>
      <c r="W71" s="16"/>
      <c r="X71" s="16"/>
      <c r="Y71" s="16"/>
      <c r="Z71" s="16"/>
      <c r="AA71" s="174" t="s">
        <v>3117</v>
      </c>
      <c r="AB71" s="176" t="n">
        <v>10</v>
      </c>
      <c r="AC71" s="367" t="s">
        <v>3122</v>
      </c>
      <c r="AD71" s="256" t="n">
        <v>26.130728</v>
      </c>
      <c r="AE71" s="174" t="n">
        <v>73.310434</v>
      </c>
    </row>
    <row r="72" customFormat="false" ht="15.75" hidden="false" customHeight="false" outlineLevel="0" collapsed="false">
      <c r="A72" s="16" t="s">
        <v>42</v>
      </c>
      <c r="B72" s="16" t="s">
        <v>2976</v>
      </c>
      <c r="C72" s="71" t="s">
        <v>3123</v>
      </c>
      <c r="D72" s="72" t="s">
        <v>3124</v>
      </c>
      <c r="E72" s="16" t="s">
        <v>3125</v>
      </c>
      <c r="F72" s="16" t="n">
        <v>885.6</v>
      </c>
      <c r="G72" s="16" t="n">
        <v>303</v>
      </c>
      <c r="H72" s="16" t="n">
        <v>1744</v>
      </c>
      <c r="I72" s="16" t="n">
        <v>921</v>
      </c>
      <c r="J72" s="16" t="n">
        <v>823</v>
      </c>
      <c r="K72" s="16" t="n">
        <v>639</v>
      </c>
      <c r="L72" s="19" t="n">
        <f aca="false">(K72/H72)*100</f>
        <v>36.6399082568807</v>
      </c>
      <c r="M72" s="16" t="n">
        <v>0</v>
      </c>
      <c r="N72" s="19" t="n">
        <f aca="false">(M72/H72)*100</f>
        <v>0</v>
      </c>
      <c r="O72" s="16" t="n">
        <v>23.07</v>
      </c>
      <c r="P72" s="16" t="n">
        <v>0</v>
      </c>
      <c r="Q72" s="20" t="s">
        <v>49</v>
      </c>
      <c r="R72" s="34" t="n">
        <v>44879</v>
      </c>
      <c r="S72" s="16"/>
      <c r="T72" s="20" t="n">
        <v>94.9391</v>
      </c>
      <c r="U72" s="16"/>
      <c r="V72" s="16"/>
      <c r="W72" s="16"/>
      <c r="X72" s="16"/>
      <c r="Y72" s="16"/>
      <c r="Z72" s="16"/>
      <c r="AA72" s="119" t="s">
        <v>266</v>
      </c>
      <c r="AB72" s="89" t="n">
        <v>15</v>
      </c>
      <c r="AC72" s="90" t="s">
        <v>3126</v>
      </c>
      <c r="AD72" s="20"/>
      <c r="AE72" s="20"/>
    </row>
    <row r="73" customFormat="false" ht="15.75" hidden="false" customHeight="false" outlineLevel="0" collapsed="false">
      <c r="A73" s="16"/>
      <c r="B73" s="16"/>
      <c r="C73" s="71"/>
      <c r="D73" s="72"/>
      <c r="E73" s="16"/>
      <c r="F73" s="16"/>
      <c r="G73" s="16"/>
      <c r="H73" s="16"/>
      <c r="I73" s="16"/>
      <c r="J73" s="16"/>
      <c r="K73" s="16"/>
      <c r="L73" s="19"/>
      <c r="M73" s="16"/>
      <c r="N73" s="19"/>
      <c r="O73" s="16"/>
      <c r="P73" s="16"/>
      <c r="Q73" s="228"/>
      <c r="R73" s="97"/>
      <c r="S73" s="16"/>
      <c r="T73" s="228"/>
      <c r="U73" s="16"/>
      <c r="V73" s="16"/>
      <c r="W73" s="16"/>
      <c r="X73" s="16"/>
      <c r="Y73" s="16"/>
      <c r="Z73" s="16"/>
      <c r="AA73" s="232" t="s">
        <v>266</v>
      </c>
      <c r="AB73" s="93" t="n">
        <v>10</v>
      </c>
      <c r="AC73" s="98" t="s">
        <v>3127</v>
      </c>
      <c r="AD73" s="228"/>
      <c r="AE73" s="228"/>
    </row>
    <row r="74" customFormat="false" ht="15.75" hidden="false" customHeight="false" outlineLevel="0" collapsed="false">
      <c r="A74" s="16"/>
      <c r="B74" s="16"/>
      <c r="C74" s="71"/>
      <c r="D74" s="72"/>
      <c r="E74" s="16"/>
      <c r="F74" s="16"/>
      <c r="G74" s="16"/>
      <c r="H74" s="16"/>
      <c r="I74" s="16"/>
      <c r="J74" s="16"/>
      <c r="K74" s="16"/>
      <c r="L74" s="19"/>
      <c r="M74" s="16"/>
      <c r="N74" s="19"/>
      <c r="O74" s="16"/>
      <c r="P74" s="16"/>
      <c r="Q74" s="228"/>
      <c r="R74" s="97"/>
      <c r="S74" s="16"/>
      <c r="T74" s="228"/>
      <c r="U74" s="16"/>
      <c r="V74" s="16"/>
      <c r="W74" s="16"/>
      <c r="X74" s="16"/>
      <c r="Y74" s="16"/>
      <c r="Z74" s="16"/>
      <c r="AA74" s="232" t="s">
        <v>266</v>
      </c>
      <c r="AB74" s="93" t="n">
        <v>10</v>
      </c>
      <c r="AC74" s="98" t="s">
        <v>3128</v>
      </c>
      <c r="AD74" s="228"/>
      <c r="AE74" s="228"/>
    </row>
    <row r="75" customFormat="false" ht="15.75" hidden="false" customHeight="false" outlineLevel="0" collapsed="false">
      <c r="A75" s="16" t="s">
        <v>42</v>
      </c>
      <c r="B75" s="16" t="s">
        <v>2976</v>
      </c>
      <c r="C75" s="71" t="s">
        <v>3123</v>
      </c>
      <c r="D75" s="16" t="s">
        <v>3129</v>
      </c>
      <c r="E75" s="16" t="s">
        <v>3130</v>
      </c>
      <c r="F75" s="16" t="n">
        <v>984.8</v>
      </c>
      <c r="G75" s="16" t="n">
        <v>118</v>
      </c>
      <c r="H75" s="16" t="n">
        <v>678</v>
      </c>
      <c r="I75" s="16" t="n">
        <v>343</v>
      </c>
      <c r="J75" s="16" t="n">
        <v>335</v>
      </c>
      <c r="K75" s="16" t="n">
        <v>84</v>
      </c>
      <c r="L75" s="19" t="n">
        <f aca="false">(K75/H75)*100</f>
        <v>12.3893805309735</v>
      </c>
      <c r="M75" s="16" t="n">
        <v>0</v>
      </c>
      <c r="N75" s="19" t="n">
        <f aca="false">(M75/H75)*100</f>
        <v>0</v>
      </c>
      <c r="O75" s="16" t="n">
        <v>9.18</v>
      </c>
      <c r="P75" s="16" t="n">
        <v>0</v>
      </c>
      <c r="Q75" s="20" t="s">
        <v>49</v>
      </c>
      <c r="R75" s="34" t="n">
        <v>44879</v>
      </c>
      <c r="S75" s="16"/>
      <c r="T75" s="20"/>
      <c r="U75" s="16"/>
      <c r="V75" s="16"/>
      <c r="W75" s="16"/>
      <c r="X75" s="16"/>
      <c r="Y75" s="16"/>
      <c r="Z75" s="16"/>
      <c r="AA75" s="119"/>
      <c r="AB75" s="89"/>
      <c r="AC75" s="36" t="n">
        <v>0</v>
      </c>
      <c r="AD75" s="20" t="n">
        <v>0</v>
      </c>
      <c r="AE75" s="20" t="n">
        <v>0</v>
      </c>
    </row>
    <row r="76" customFormat="false" ht="15.75" hidden="false" customHeight="false" outlineLevel="0" collapsed="false">
      <c r="A76" s="16" t="s">
        <v>42</v>
      </c>
      <c r="B76" s="16" t="s">
        <v>2976</v>
      </c>
      <c r="C76" s="71" t="s">
        <v>3123</v>
      </c>
      <c r="D76" s="16" t="s">
        <v>3131</v>
      </c>
      <c r="E76" s="16" t="s">
        <v>3132</v>
      </c>
      <c r="F76" s="16" t="n">
        <v>916.77</v>
      </c>
      <c r="G76" s="16" t="n">
        <v>216</v>
      </c>
      <c r="H76" s="16" t="n">
        <v>1093</v>
      </c>
      <c r="I76" s="16" t="n">
        <v>568</v>
      </c>
      <c r="J76" s="16" t="n">
        <v>525</v>
      </c>
      <c r="K76" s="16" t="n">
        <v>215</v>
      </c>
      <c r="L76" s="19" t="n">
        <f aca="false">(K76/H76)*100</f>
        <v>19.6706312900274</v>
      </c>
      <c r="M76" s="16" t="n">
        <v>7</v>
      </c>
      <c r="N76" s="19" t="n">
        <f aca="false">(M76/H76)*100</f>
        <v>0.640439158279963</v>
      </c>
      <c r="O76" s="16" t="n">
        <v>55.44</v>
      </c>
      <c r="P76" s="16" t="n">
        <v>0</v>
      </c>
      <c r="Q76" s="20" t="s">
        <v>49</v>
      </c>
      <c r="R76" s="34" t="n">
        <v>44879</v>
      </c>
      <c r="S76" s="16"/>
      <c r="T76" s="20"/>
      <c r="U76" s="16"/>
      <c r="V76" s="16"/>
      <c r="W76" s="16"/>
      <c r="X76" s="16"/>
      <c r="Y76" s="16"/>
      <c r="Z76" s="16"/>
      <c r="AA76" s="119"/>
      <c r="AB76" s="89"/>
      <c r="AC76" s="36" t="n">
        <v>0</v>
      </c>
      <c r="AD76" s="20" t="n">
        <v>0</v>
      </c>
      <c r="AE76" s="20" t="n">
        <v>0</v>
      </c>
    </row>
    <row r="77" customFormat="false" ht="15.75" hidden="false" customHeight="false" outlineLevel="0" collapsed="false">
      <c r="A77" s="16" t="s">
        <v>42</v>
      </c>
      <c r="B77" s="16" t="s">
        <v>2976</v>
      </c>
      <c r="C77" s="71" t="s">
        <v>3123</v>
      </c>
      <c r="D77" s="16" t="s">
        <v>3133</v>
      </c>
      <c r="E77" s="16" t="s">
        <v>3134</v>
      </c>
      <c r="F77" s="16" t="n">
        <v>916.63</v>
      </c>
      <c r="G77" s="16" t="n">
        <v>146</v>
      </c>
      <c r="H77" s="16" t="n">
        <v>724</v>
      </c>
      <c r="I77" s="16" t="n">
        <v>374</v>
      </c>
      <c r="J77" s="16" t="n">
        <v>350</v>
      </c>
      <c r="K77" s="16" t="n">
        <v>253</v>
      </c>
      <c r="L77" s="19" t="n">
        <f aca="false">(K77/H77)*100</f>
        <v>34.9447513812155</v>
      </c>
      <c r="M77" s="16" t="n">
        <v>222</v>
      </c>
      <c r="N77" s="19" t="n">
        <f aca="false">(M77/H77)*100</f>
        <v>30.6629834254144</v>
      </c>
      <c r="O77" s="16" t="n">
        <v>13.31</v>
      </c>
      <c r="P77" s="16" t="n">
        <v>0</v>
      </c>
      <c r="Q77" s="20" t="s">
        <v>49</v>
      </c>
      <c r="R77" s="34" t="n">
        <v>44879</v>
      </c>
      <c r="S77" s="16"/>
      <c r="T77" s="20"/>
      <c r="U77" s="16"/>
      <c r="V77" s="16"/>
      <c r="W77" s="16"/>
      <c r="X77" s="16"/>
      <c r="Y77" s="16"/>
      <c r="Z77" s="16"/>
      <c r="AA77" s="119"/>
      <c r="AB77" s="89"/>
      <c r="AC77" s="36" t="n">
        <v>0</v>
      </c>
      <c r="AD77" s="20" t="n">
        <v>0</v>
      </c>
      <c r="AE77" s="20" t="n">
        <v>0</v>
      </c>
    </row>
    <row r="78" customFormat="false" ht="31.5" hidden="false" customHeight="false" outlineLevel="0" collapsed="false">
      <c r="A78" s="16" t="s">
        <v>42</v>
      </c>
      <c r="B78" s="16" t="s">
        <v>2976</v>
      </c>
      <c r="C78" s="71" t="s">
        <v>3135</v>
      </c>
      <c r="D78" s="72" t="s">
        <v>3136</v>
      </c>
      <c r="E78" s="16" t="s">
        <v>3137</v>
      </c>
      <c r="F78" s="16" t="n">
        <v>1831.75</v>
      </c>
      <c r="G78" s="16" t="n">
        <v>711</v>
      </c>
      <c r="H78" s="16" t="n">
        <v>4049</v>
      </c>
      <c r="I78" s="16" t="n">
        <v>2067</v>
      </c>
      <c r="J78" s="16" t="n">
        <v>1982</v>
      </c>
      <c r="K78" s="16" t="n">
        <v>932</v>
      </c>
      <c r="L78" s="19" t="n">
        <f aca="false">(K78/H78)*100</f>
        <v>23.0180291429983</v>
      </c>
      <c r="M78" s="16" t="n">
        <v>0</v>
      </c>
      <c r="N78" s="19" t="n">
        <f aca="false">(M78/H78)*100</f>
        <v>0</v>
      </c>
      <c r="O78" s="16" t="n">
        <v>102.04</v>
      </c>
      <c r="P78" s="16" t="n">
        <v>0</v>
      </c>
      <c r="Q78" s="20" t="s">
        <v>49</v>
      </c>
      <c r="R78" s="34" t="n">
        <v>44879</v>
      </c>
      <c r="S78" s="16"/>
      <c r="T78" s="20" t="n">
        <v>70.7127</v>
      </c>
      <c r="U78" s="16"/>
      <c r="V78" s="16"/>
      <c r="W78" s="16"/>
      <c r="X78" s="16"/>
      <c r="Y78" s="16"/>
      <c r="Z78" s="16"/>
      <c r="AA78" s="119" t="s">
        <v>266</v>
      </c>
      <c r="AB78" s="89" t="n">
        <v>5</v>
      </c>
      <c r="AC78" s="90" t="s">
        <v>3138</v>
      </c>
      <c r="AD78" s="20"/>
      <c r="AE78" s="20"/>
    </row>
    <row r="79" customFormat="false" ht="31.5" hidden="false" customHeight="false" outlineLevel="0" collapsed="false">
      <c r="A79" s="16"/>
      <c r="B79" s="16"/>
      <c r="C79" s="71"/>
      <c r="D79" s="72"/>
      <c r="E79" s="16"/>
      <c r="F79" s="16"/>
      <c r="G79" s="16"/>
      <c r="H79" s="16"/>
      <c r="I79" s="16"/>
      <c r="J79" s="16"/>
      <c r="K79" s="16"/>
      <c r="L79" s="19"/>
      <c r="M79" s="16"/>
      <c r="N79" s="19"/>
      <c r="O79" s="16"/>
      <c r="P79" s="16"/>
      <c r="Q79" s="228" t="s">
        <v>49</v>
      </c>
      <c r="R79" s="97"/>
      <c r="S79" s="16"/>
      <c r="T79" s="228"/>
      <c r="U79" s="16"/>
      <c r="V79" s="16"/>
      <c r="W79" s="16"/>
      <c r="X79" s="16"/>
      <c r="Y79" s="16"/>
      <c r="Z79" s="16"/>
      <c r="AA79" s="232" t="s">
        <v>266</v>
      </c>
      <c r="AB79" s="93" t="n">
        <v>5</v>
      </c>
      <c r="AC79" s="98" t="s">
        <v>3139</v>
      </c>
      <c r="AD79" s="228"/>
      <c r="AE79" s="228"/>
    </row>
    <row r="80" customFormat="false" ht="15.75" hidden="false" customHeight="false" outlineLevel="0" collapsed="false">
      <c r="A80" s="16" t="s">
        <v>42</v>
      </c>
      <c r="B80" s="16" t="s">
        <v>2976</v>
      </c>
      <c r="C80" s="71" t="s">
        <v>3135</v>
      </c>
      <c r="D80" s="16" t="s">
        <v>3140</v>
      </c>
      <c r="E80" s="16" t="s">
        <v>3141</v>
      </c>
      <c r="F80" s="16" t="n">
        <v>619.8</v>
      </c>
      <c r="G80" s="16" t="n">
        <v>125</v>
      </c>
      <c r="H80" s="16" t="n">
        <v>754</v>
      </c>
      <c r="I80" s="16" t="n">
        <v>384</v>
      </c>
      <c r="J80" s="16" t="n">
        <v>370</v>
      </c>
      <c r="K80" s="16" t="n">
        <v>12</v>
      </c>
      <c r="L80" s="19" t="n">
        <f aca="false">(K80/H80)*100</f>
        <v>1.59151193633952</v>
      </c>
      <c r="M80" s="16" t="n">
        <v>0</v>
      </c>
      <c r="N80" s="19" t="n">
        <f aca="false">(M80/H80)*100</f>
        <v>0</v>
      </c>
      <c r="O80" s="16" t="n">
        <v>0</v>
      </c>
      <c r="P80" s="16" t="n">
        <v>0</v>
      </c>
      <c r="Q80" s="24" t="s">
        <v>49</v>
      </c>
      <c r="R80" s="25" t="n">
        <v>44879</v>
      </c>
      <c r="S80" s="16"/>
      <c r="T80" s="24" t="n">
        <v>9.2997</v>
      </c>
      <c r="U80" s="16"/>
      <c r="V80" s="16"/>
      <c r="W80" s="16"/>
      <c r="X80" s="16"/>
      <c r="Y80" s="16"/>
      <c r="Z80" s="16"/>
      <c r="AA80" s="119" t="s">
        <v>266</v>
      </c>
      <c r="AB80" s="92" t="n">
        <v>5</v>
      </c>
      <c r="AC80" s="96" t="s">
        <v>3142</v>
      </c>
      <c r="AD80" s="24"/>
      <c r="AE80" s="24"/>
    </row>
    <row r="81" customFormat="false" ht="15.75" hidden="false" customHeight="false" outlineLevel="0" collapsed="false">
      <c r="A81" s="16" t="s">
        <v>42</v>
      </c>
      <c r="B81" s="16" t="s">
        <v>2976</v>
      </c>
      <c r="C81" s="71" t="s">
        <v>3135</v>
      </c>
      <c r="D81" s="16" t="s">
        <v>3143</v>
      </c>
      <c r="E81" s="16" t="s">
        <v>3144</v>
      </c>
      <c r="F81" s="16" t="n">
        <v>370.04</v>
      </c>
      <c r="G81" s="16" t="n">
        <v>38</v>
      </c>
      <c r="H81" s="16" t="n">
        <v>154</v>
      </c>
      <c r="I81" s="16" t="n">
        <v>79</v>
      </c>
      <c r="J81" s="16" t="n">
        <v>75</v>
      </c>
      <c r="K81" s="16" t="n">
        <v>0</v>
      </c>
      <c r="L81" s="19" t="n">
        <f aca="false">(K81/H81)*100</f>
        <v>0</v>
      </c>
      <c r="M81" s="16" t="n">
        <v>0</v>
      </c>
      <c r="N81" s="19" t="n">
        <f aca="false">(M81/H81)*100</f>
        <v>0</v>
      </c>
      <c r="O81" s="16" t="n">
        <v>6.3</v>
      </c>
      <c r="P81" s="16" t="n">
        <v>0</v>
      </c>
      <c r="Q81" s="24" t="s">
        <v>49</v>
      </c>
      <c r="R81" s="25" t="n">
        <v>44879</v>
      </c>
      <c r="S81" s="16"/>
      <c r="T81" s="24" t="n">
        <v>6.305</v>
      </c>
      <c r="U81" s="16"/>
      <c r="V81" s="16"/>
      <c r="W81" s="16"/>
      <c r="X81" s="16"/>
      <c r="Y81" s="16"/>
      <c r="Z81" s="16"/>
      <c r="AA81" s="119" t="s">
        <v>266</v>
      </c>
      <c r="AB81" s="92" t="n">
        <v>5</v>
      </c>
      <c r="AC81" s="96" t="s">
        <v>3145</v>
      </c>
      <c r="AD81" s="24"/>
      <c r="AE81" s="24"/>
    </row>
    <row r="82" customFormat="false" ht="31.5" hidden="false" customHeight="false" outlineLevel="0" collapsed="false">
      <c r="A82" s="16" t="s">
        <v>42</v>
      </c>
      <c r="B82" s="16" t="s">
        <v>2976</v>
      </c>
      <c r="C82" s="71" t="s">
        <v>3135</v>
      </c>
      <c r="D82" s="16" t="s">
        <v>3146</v>
      </c>
      <c r="E82" s="16" t="s">
        <v>3147</v>
      </c>
      <c r="F82" s="16" t="n">
        <v>779</v>
      </c>
      <c r="G82" s="16" t="n">
        <v>162</v>
      </c>
      <c r="H82" s="16" t="n">
        <v>851</v>
      </c>
      <c r="I82" s="16" t="n">
        <v>455</v>
      </c>
      <c r="J82" s="16" t="n">
        <v>396</v>
      </c>
      <c r="K82" s="16" t="n">
        <v>18</v>
      </c>
      <c r="L82" s="19" t="n">
        <f aca="false">(K82/H82)*100</f>
        <v>2.11515863689777</v>
      </c>
      <c r="M82" s="16" t="n">
        <v>0</v>
      </c>
      <c r="N82" s="19" t="n">
        <f aca="false">(M82/H82)*100</f>
        <v>0</v>
      </c>
      <c r="O82" s="16" t="n">
        <v>150</v>
      </c>
      <c r="P82" s="16" t="n">
        <v>0</v>
      </c>
      <c r="Q82" s="24" t="s">
        <v>49</v>
      </c>
      <c r="R82" s="25" t="n">
        <v>44879</v>
      </c>
      <c r="S82" s="16"/>
      <c r="T82" s="24" t="n">
        <v>136.633</v>
      </c>
      <c r="U82" s="16"/>
      <c r="V82" s="16"/>
      <c r="W82" s="16"/>
      <c r="X82" s="16"/>
      <c r="Y82" s="16"/>
      <c r="Z82" s="16"/>
      <c r="AA82" s="119" t="s">
        <v>266</v>
      </c>
      <c r="AB82" s="92" t="n">
        <v>10</v>
      </c>
      <c r="AC82" s="96" t="s">
        <v>3148</v>
      </c>
      <c r="AD82" s="24"/>
      <c r="AE82" s="24"/>
    </row>
    <row r="83" customFormat="false" ht="15.75" hidden="false" customHeight="false" outlineLevel="0" collapsed="false">
      <c r="A83" s="16"/>
      <c r="B83" s="16"/>
      <c r="C83" s="71"/>
      <c r="D83" s="16"/>
      <c r="E83" s="16"/>
      <c r="F83" s="16"/>
      <c r="G83" s="16"/>
      <c r="H83" s="16"/>
      <c r="I83" s="16"/>
      <c r="J83" s="16"/>
      <c r="K83" s="16"/>
      <c r="L83" s="19"/>
      <c r="M83" s="16"/>
      <c r="N83" s="19"/>
      <c r="O83" s="16"/>
      <c r="P83" s="16"/>
      <c r="Q83" s="228" t="s">
        <v>49</v>
      </c>
      <c r="R83" s="234" t="n">
        <v>44879</v>
      </c>
      <c r="S83" s="16"/>
      <c r="T83" s="228"/>
      <c r="U83" s="16"/>
      <c r="V83" s="16"/>
      <c r="W83" s="16"/>
      <c r="X83" s="16"/>
      <c r="Y83" s="16"/>
      <c r="Z83" s="16"/>
      <c r="AA83" s="232" t="s">
        <v>266</v>
      </c>
      <c r="AB83" s="93" t="n">
        <v>15</v>
      </c>
      <c r="AC83" s="98" t="s">
        <v>3149</v>
      </c>
      <c r="AD83" s="228"/>
      <c r="AE83" s="228"/>
    </row>
    <row r="84" customFormat="false" ht="15.75" hidden="false" customHeight="false" outlineLevel="0" collapsed="false">
      <c r="A84" s="16" t="s">
        <v>42</v>
      </c>
      <c r="B84" s="16" t="s">
        <v>2976</v>
      </c>
      <c r="C84" s="71" t="s">
        <v>3150</v>
      </c>
      <c r="D84" s="72" t="s">
        <v>3151</v>
      </c>
      <c r="E84" s="16" t="s">
        <v>3152</v>
      </c>
      <c r="F84" s="16" t="n">
        <v>2361</v>
      </c>
      <c r="G84" s="16" t="n">
        <v>926</v>
      </c>
      <c r="H84" s="16" t="n">
        <v>5648</v>
      </c>
      <c r="I84" s="16" t="n">
        <v>2893</v>
      </c>
      <c r="J84" s="16" t="n">
        <v>2755</v>
      </c>
      <c r="K84" s="16" t="n">
        <v>1340</v>
      </c>
      <c r="L84" s="19" t="n">
        <f aca="false">(K84/H84)*100</f>
        <v>23.7252124645892</v>
      </c>
      <c r="M84" s="16" t="n">
        <v>30</v>
      </c>
      <c r="N84" s="19" t="n">
        <f aca="false">(M84/H84)*100</f>
        <v>0.531161473087819</v>
      </c>
      <c r="O84" s="16" t="n">
        <v>72</v>
      </c>
      <c r="P84" s="16" t="n">
        <v>0</v>
      </c>
      <c r="Q84" s="16"/>
      <c r="R84" s="87"/>
      <c r="S84" s="16"/>
      <c r="T84" s="16"/>
      <c r="U84" s="16"/>
      <c r="V84" s="16"/>
      <c r="W84" s="16"/>
      <c r="X84" s="16"/>
      <c r="Y84" s="16"/>
      <c r="Z84" s="16"/>
      <c r="AA84" s="88"/>
      <c r="AB84" s="88"/>
      <c r="AC84" s="28"/>
      <c r="AD84" s="16"/>
      <c r="AE84" s="16"/>
    </row>
    <row r="85" customFormat="false" ht="15.75" hidden="false" customHeight="false" outlineLevel="0" collapsed="false">
      <c r="A85" s="16" t="s">
        <v>42</v>
      </c>
      <c r="B85" s="16" t="s">
        <v>2976</v>
      </c>
      <c r="C85" s="71" t="s">
        <v>3150</v>
      </c>
      <c r="D85" s="16" t="s">
        <v>3153</v>
      </c>
      <c r="E85" s="16" t="s">
        <v>3154</v>
      </c>
      <c r="F85" s="16" t="n">
        <v>2933</v>
      </c>
      <c r="G85" s="16" t="n">
        <v>1186</v>
      </c>
      <c r="H85" s="16" t="n">
        <v>6419</v>
      </c>
      <c r="I85" s="16" t="n">
        <v>3238</v>
      </c>
      <c r="J85" s="16" t="n">
        <v>3181</v>
      </c>
      <c r="K85" s="16" t="n">
        <v>1387</v>
      </c>
      <c r="L85" s="19" t="n">
        <f aca="false">(K85/H85)*100</f>
        <v>21.6077270602898</v>
      </c>
      <c r="M85" s="16" t="n">
        <v>45</v>
      </c>
      <c r="N85" s="19" t="n">
        <f aca="false">(M85/H85)*100</f>
        <v>0.701043776289142</v>
      </c>
      <c r="O85" s="16" t="n">
        <v>119</v>
      </c>
      <c r="P85" s="16" t="n">
        <v>0</v>
      </c>
      <c r="Q85" s="16"/>
      <c r="R85" s="87"/>
      <c r="S85" s="16"/>
      <c r="T85" s="16"/>
      <c r="U85" s="16"/>
      <c r="V85" s="16"/>
      <c r="W85" s="16"/>
      <c r="X85" s="16"/>
      <c r="Y85" s="16"/>
      <c r="Z85" s="16"/>
      <c r="AA85" s="88"/>
      <c r="AB85" s="88"/>
      <c r="AC85" s="28"/>
      <c r="AD85" s="16"/>
      <c r="AE85" s="16"/>
    </row>
    <row r="86" customFormat="false" ht="15.75" hidden="false" customHeight="false" outlineLevel="0" collapsed="false">
      <c r="A86" s="16" t="s">
        <v>42</v>
      </c>
      <c r="B86" s="16" t="s">
        <v>2976</v>
      </c>
      <c r="C86" s="71" t="s">
        <v>3150</v>
      </c>
      <c r="D86" s="16" t="s">
        <v>3155</v>
      </c>
      <c r="E86" s="16" t="s">
        <v>3156</v>
      </c>
      <c r="F86" s="16" t="n">
        <v>1318</v>
      </c>
      <c r="G86" s="16" t="n">
        <v>54</v>
      </c>
      <c r="H86" s="16" t="n">
        <v>442</v>
      </c>
      <c r="I86" s="16" t="n">
        <v>225</v>
      </c>
      <c r="J86" s="16" t="n">
        <v>217</v>
      </c>
      <c r="K86" s="16" t="n">
        <v>8</v>
      </c>
      <c r="L86" s="19" t="n">
        <f aca="false">(K86/H86)*100</f>
        <v>1.80995475113122</v>
      </c>
      <c r="M86" s="16" t="n">
        <v>0</v>
      </c>
      <c r="N86" s="19" t="n">
        <f aca="false">(M86/H86)*100</f>
        <v>0</v>
      </c>
      <c r="O86" s="16" t="n">
        <v>0</v>
      </c>
      <c r="P86" s="16" t="n">
        <v>0</v>
      </c>
      <c r="Q86" s="16"/>
      <c r="R86" s="87"/>
      <c r="S86" s="16"/>
      <c r="T86" s="16"/>
      <c r="U86" s="16"/>
      <c r="V86" s="16"/>
      <c r="W86" s="16"/>
      <c r="X86" s="16"/>
      <c r="Y86" s="16"/>
      <c r="Z86" s="16"/>
      <c r="AA86" s="88"/>
      <c r="AB86" s="88"/>
      <c r="AC86" s="28"/>
      <c r="AD86" s="16"/>
      <c r="AE86" s="16"/>
    </row>
    <row r="87" customFormat="false" ht="15.75" hidden="false" customHeight="false" outlineLevel="0" collapsed="false">
      <c r="A87" s="16" t="s">
        <v>42</v>
      </c>
      <c r="B87" s="16" t="s">
        <v>2976</v>
      </c>
      <c r="C87" s="71" t="s">
        <v>3150</v>
      </c>
      <c r="D87" s="16" t="s">
        <v>3157</v>
      </c>
      <c r="E87" s="16" t="s">
        <v>3158</v>
      </c>
      <c r="F87" s="16" t="n">
        <v>1251</v>
      </c>
      <c r="G87" s="16" t="n">
        <v>116</v>
      </c>
      <c r="H87" s="16" t="n">
        <v>757</v>
      </c>
      <c r="I87" s="16" t="n">
        <v>372</v>
      </c>
      <c r="J87" s="16" t="n">
        <v>385</v>
      </c>
      <c r="K87" s="16" t="n">
        <v>71</v>
      </c>
      <c r="L87" s="19" t="n">
        <f aca="false">(K87/H87)*100</f>
        <v>9.37912813738441</v>
      </c>
      <c r="M87" s="16" t="n">
        <v>4</v>
      </c>
      <c r="N87" s="19" t="n">
        <f aca="false">(M87/H87)*100</f>
        <v>0.528401585204756</v>
      </c>
      <c r="O87" s="16" t="n">
        <v>0</v>
      </c>
      <c r="P87" s="16" t="n">
        <v>0</v>
      </c>
      <c r="Q87" s="16"/>
      <c r="R87" s="87"/>
      <c r="S87" s="16"/>
      <c r="T87" s="16"/>
      <c r="U87" s="16"/>
      <c r="V87" s="16"/>
      <c r="W87" s="16"/>
      <c r="X87" s="16"/>
      <c r="Y87" s="16"/>
      <c r="Z87" s="16"/>
      <c r="AA87" s="88"/>
      <c r="AB87" s="88"/>
      <c r="AC87" s="28"/>
      <c r="AD87" s="16"/>
      <c r="AE87" s="16"/>
    </row>
    <row r="88" customFormat="false" ht="15.75" hidden="false" customHeight="false" outlineLevel="0" collapsed="false">
      <c r="A88" s="16" t="s">
        <v>42</v>
      </c>
      <c r="B88" s="16" t="s">
        <v>2976</v>
      </c>
      <c r="C88" s="71" t="s">
        <v>3159</v>
      </c>
      <c r="D88" s="72" t="s">
        <v>3159</v>
      </c>
      <c r="E88" s="16" t="s">
        <v>3160</v>
      </c>
      <c r="F88" s="16" t="n">
        <v>398.83</v>
      </c>
      <c r="G88" s="16" t="n">
        <v>175</v>
      </c>
      <c r="H88" s="16" t="n">
        <v>1036</v>
      </c>
      <c r="I88" s="16" t="n">
        <v>548</v>
      </c>
      <c r="J88" s="16" t="n">
        <v>488</v>
      </c>
      <c r="K88" s="16" t="n">
        <v>239</v>
      </c>
      <c r="L88" s="19" t="n">
        <f aca="false">(K88/H88)*100</f>
        <v>23.0694980694981</v>
      </c>
      <c r="M88" s="16" t="n">
        <v>204</v>
      </c>
      <c r="N88" s="19" t="n">
        <f aca="false">(M88/H88)*100</f>
        <v>19.6911196911197</v>
      </c>
      <c r="O88" s="16" t="n">
        <v>0</v>
      </c>
      <c r="P88" s="16" t="n">
        <v>0</v>
      </c>
      <c r="Q88" s="20" t="s">
        <v>49</v>
      </c>
      <c r="R88" s="34" t="n">
        <v>45153</v>
      </c>
      <c r="S88" s="16"/>
      <c r="T88" s="20"/>
      <c r="U88" s="16"/>
      <c r="V88" s="16"/>
      <c r="W88" s="16"/>
      <c r="X88" s="16"/>
      <c r="Y88" s="16"/>
      <c r="Z88" s="16"/>
      <c r="AA88" s="119" t="s">
        <v>266</v>
      </c>
      <c r="AB88" s="300" t="n">
        <v>0</v>
      </c>
      <c r="AC88" s="36" t="n">
        <v>0</v>
      </c>
      <c r="AD88" s="89"/>
      <c r="AE88" s="89"/>
    </row>
    <row r="89" customFormat="false" ht="15.75" hidden="false" customHeight="false" outlineLevel="0" collapsed="false">
      <c r="A89" s="16" t="s">
        <v>42</v>
      </c>
      <c r="B89" s="16" t="s">
        <v>2976</v>
      </c>
      <c r="C89" s="71" t="s">
        <v>3159</v>
      </c>
      <c r="D89" s="16" t="s">
        <v>3161</v>
      </c>
      <c r="E89" s="16" t="s">
        <v>3162</v>
      </c>
      <c r="F89" s="16" t="n">
        <v>456.59</v>
      </c>
      <c r="G89" s="16" t="n">
        <v>61</v>
      </c>
      <c r="H89" s="16" t="n">
        <v>371</v>
      </c>
      <c r="I89" s="16" t="n">
        <v>189</v>
      </c>
      <c r="J89" s="16" t="n">
        <v>182</v>
      </c>
      <c r="K89" s="16" t="n">
        <v>5</v>
      </c>
      <c r="L89" s="19" t="n">
        <f aca="false">(K89/H89)*100</f>
        <v>1.34770889487871</v>
      </c>
      <c r="M89" s="16" t="n">
        <v>4</v>
      </c>
      <c r="N89" s="19" t="n">
        <f aca="false">(M89/H89)*100</f>
        <v>1.07816711590297</v>
      </c>
      <c r="O89" s="16" t="n">
        <v>38.25</v>
      </c>
      <c r="P89" s="16" t="n">
        <v>0</v>
      </c>
      <c r="Q89" s="20" t="s">
        <v>49</v>
      </c>
      <c r="R89" s="34" t="n">
        <v>45153</v>
      </c>
      <c r="S89" s="16"/>
      <c r="T89" s="20" t="n">
        <v>1.2869</v>
      </c>
      <c r="U89" s="16"/>
      <c r="V89" s="16"/>
      <c r="W89" s="16"/>
      <c r="X89" s="16"/>
      <c r="Y89" s="16"/>
      <c r="Z89" s="16"/>
      <c r="AA89" s="119" t="s">
        <v>266</v>
      </c>
      <c r="AB89" s="89" t="n">
        <v>15</v>
      </c>
      <c r="AC89" s="90" t="s">
        <v>3163</v>
      </c>
      <c r="AD89" s="89" t="n">
        <v>26.12</v>
      </c>
      <c r="AE89" s="89" t="n">
        <v>73.26</v>
      </c>
    </row>
    <row r="90" customFormat="false" ht="15.75" hidden="false" customHeight="false" outlineLevel="0" collapsed="false">
      <c r="A90" s="16" t="s">
        <v>42</v>
      </c>
      <c r="B90" s="16" t="s">
        <v>2976</v>
      </c>
      <c r="C90" s="71" t="s">
        <v>3159</v>
      </c>
      <c r="D90" s="16" t="s">
        <v>3164</v>
      </c>
      <c r="E90" s="16" t="s">
        <v>3165</v>
      </c>
      <c r="F90" s="16" t="n">
        <v>152.82</v>
      </c>
      <c r="G90" s="16" t="n">
        <v>119</v>
      </c>
      <c r="H90" s="16" t="n">
        <v>679</v>
      </c>
      <c r="I90" s="16" t="n">
        <v>337</v>
      </c>
      <c r="J90" s="16" t="n">
        <v>342</v>
      </c>
      <c r="K90" s="16" t="n">
        <v>90</v>
      </c>
      <c r="L90" s="19" t="n">
        <f aca="false">(K90/H90)*100</f>
        <v>13.2547864506627</v>
      </c>
      <c r="M90" s="16" t="n">
        <v>164</v>
      </c>
      <c r="N90" s="19" t="n">
        <f aca="false">(M90/H90)*100</f>
        <v>24.1531664212077</v>
      </c>
      <c r="O90" s="16" t="n">
        <v>21.9</v>
      </c>
      <c r="P90" s="16" t="n">
        <v>0</v>
      </c>
      <c r="Q90" s="20" t="s">
        <v>49</v>
      </c>
      <c r="R90" s="34" t="n">
        <v>45153</v>
      </c>
      <c r="S90" s="16"/>
      <c r="T90" s="20"/>
      <c r="U90" s="16"/>
      <c r="V90" s="16"/>
      <c r="W90" s="16"/>
      <c r="X90" s="16"/>
      <c r="Y90" s="16"/>
      <c r="Z90" s="16"/>
      <c r="AA90" s="119" t="s">
        <v>266</v>
      </c>
      <c r="AB90" s="300" t="n">
        <v>0</v>
      </c>
      <c r="AC90" s="36" t="n">
        <v>0</v>
      </c>
      <c r="AD90" s="89"/>
      <c r="AE90" s="89"/>
    </row>
    <row r="91" customFormat="false" ht="15.75" hidden="false" customHeight="false" outlineLevel="0" collapsed="false">
      <c r="A91" s="16" t="s">
        <v>42</v>
      </c>
      <c r="B91" s="16" t="s">
        <v>2976</v>
      </c>
      <c r="C91" s="71" t="s">
        <v>3159</v>
      </c>
      <c r="D91" s="16" t="s">
        <v>3166</v>
      </c>
      <c r="E91" s="16" t="s">
        <v>3167</v>
      </c>
      <c r="F91" s="16" t="n">
        <v>406.59</v>
      </c>
      <c r="G91" s="16" t="n">
        <v>62</v>
      </c>
      <c r="H91" s="16" t="n">
        <v>353</v>
      </c>
      <c r="I91" s="16" t="n">
        <v>185</v>
      </c>
      <c r="J91" s="16" t="n">
        <v>168</v>
      </c>
      <c r="K91" s="16" t="n">
        <v>61</v>
      </c>
      <c r="L91" s="19" t="n">
        <f aca="false">(K91/H91)*100</f>
        <v>17.2804532577904</v>
      </c>
      <c r="M91" s="16" t="n">
        <v>0</v>
      </c>
      <c r="N91" s="19" t="n">
        <f aca="false">(M91/H91)*100</f>
        <v>0</v>
      </c>
      <c r="O91" s="16" t="n">
        <v>12.42</v>
      </c>
      <c r="P91" s="16" t="n">
        <v>0</v>
      </c>
      <c r="Q91" s="20" t="s">
        <v>49</v>
      </c>
      <c r="R91" s="34" t="n">
        <v>45153</v>
      </c>
      <c r="S91" s="16"/>
      <c r="T91" s="20"/>
      <c r="U91" s="16"/>
      <c r="V91" s="16"/>
      <c r="W91" s="16"/>
      <c r="X91" s="16"/>
      <c r="Y91" s="16"/>
      <c r="Z91" s="16"/>
      <c r="AA91" s="119" t="s">
        <v>266</v>
      </c>
      <c r="AB91" s="300" t="n">
        <v>0</v>
      </c>
      <c r="AC91" s="36" t="n">
        <v>0</v>
      </c>
      <c r="AD91" s="89"/>
      <c r="AE91" s="89"/>
    </row>
    <row r="92" customFormat="false" ht="15.75" hidden="false" customHeight="false" outlineLevel="0" collapsed="false">
      <c r="A92" s="16" t="s">
        <v>42</v>
      </c>
      <c r="B92" s="16" t="s">
        <v>2976</v>
      </c>
      <c r="C92" s="71" t="s">
        <v>3159</v>
      </c>
      <c r="D92" s="16" t="s">
        <v>3168</v>
      </c>
      <c r="E92" s="16" t="s">
        <v>3169</v>
      </c>
      <c r="F92" s="16" t="n">
        <v>830</v>
      </c>
      <c r="G92" s="16" t="n">
        <v>165</v>
      </c>
      <c r="H92" s="16" t="n">
        <v>896</v>
      </c>
      <c r="I92" s="16" t="n">
        <v>462</v>
      </c>
      <c r="J92" s="16" t="n">
        <v>434</v>
      </c>
      <c r="K92" s="16" t="n">
        <v>411</v>
      </c>
      <c r="L92" s="19" t="n">
        <f aca="false">(K92/H92)*100</f>
        <v>45.8705357142857</v>
      </c>
      <c r="M92" s="16" t="n">
        <v>0</v>
      </c>
      <c r="N92" s="19" t="n">
        <f aca="false">(M92/H92)*100</f>
        <v>0</v>
      </c>
      <c r="O92" s="16" t="n">
        <v>11</v>
      </c>
      <c r="P92" s="16" t="n">
        <v>0</v>
      </c>
      <c r="Q92" s="20" t="s">
        <v>49</v>
      </c>
      <c r="R92" s="34" t="n">
        <v>45153</v>
      </c>
      <c r="S92" s="16"/>
      <c r="T92" s="20"/>
      <c r="U92" s="16"/>
      <c r="V92" s="16"/>
      <c r="W92" s="16"/>
      <c r="X92" s="16"/>
      <c r="Y92" s="16"/>
      <c r="Z92" s="16"/>
      <c r="AA92" s="119" t="s">
        <v>266</v>
      </c>
      <c r="AB92" s="300" t="n">
        <v>0</v>
      </c>
      <c r="AC92" s="36" t="n">
        <v>0</v>
      </c>
      <c r="AD92" s="89"/>
      <c r="AE92" s="89"/>
    </row>
    <row r="93" customFormat="false" ht="15.75" hidden="false" customHeight="false" outlineLevel="0" collapsed="false">
      <c r="A93" s="16" t="s">
        <v>42</v>
      </c>
      <c r="B93" s="16" t="s">
        <v>2976</v>
      </c>
      <c r="C93" s="71" t="s">
        <v>3170</v>
      </c>
      <c r="D93" s="72" t="s">
        <v>3171</v>
      </c>
      <c r="E93" s="16" t="s">
        <v>3172</v>
      </c>
      <c r="F93" s="16" t="n">
        <v>0</v>
      </c>
      <c r="G93" s="16" t="n">
        <v>0</v>
      </c>
      <c r="H93" s="16" t="n">
        <v>0</v>
      </c>
      <c r="I93" s="16" t="n">
        <v>0</v>
      </c>
      <c r="J93" s="16" t="n">
        <v>0</v>
      </c>
      <c r="K93" s="16" t="n">
        <v>0</v>
      </c>
      <c r="L93" s="19"/>
      <c r="M93" s="16"/>
      <c r="N93" s="19"/>
      <c r="O93" s="16" t="n">
        <v>0</v>
      </c>
      <c r="P93" s="16" t="n">
        <v>0</v>
      </c>
      <c r="Q93" s="16"/>
      <c r="R93" s="87"/>
      <c r="S93" s="16"/>
      <c r="T93" s="16"/>
      <c r="U93" s="16"/>
      <c r="V93" s="16"/>
      <c r="W93" s="16"/>
      <c r="X93" s="16"/>
      <c r="Y93" s="16"/>
      <c r="Z93" s="16"/>
      <c r="AA93" s="88"/>
      <c r="AB93" s="88"/>
      <c r="AC93" s="28"/>
      <c r="AD93" s="16"/>
      <c r="AE93" s="16"/>
    </row>
    <row r="94" customFormat="false" ht="15.75" hidden="false" customHeight="false" outlineLevel="0" collapsed="false">
      <c r="A94" s="16" t="s">
        <v>42</v>
      </c>
      <c r="B94" s="16" t="s">
        <v>2976</v>
      </c>
      <c r="C94" s="71" t="s">
        <v>3170</v>
      </c>
      <c r="D94" s="16" t="s">
        <v>3173</v>
      </c>
      <c r="E94" s="16" t="s">
        <v>3174</v>
      </c>
      <c r="F94" s="16" t="n">
        <v>601.33</v>
      </c>
      <c r="G94" s="16" t="n">
        <v>357</v>
      </c>
      <c r="H94" s="16" t="n">
        <v>2254</v>
      </c>
      <c r="I94" s="16" t="n">
        <v>1141</v>
      </c>
      <c r="J94" s="16" t="n">
        <v>1113</v>
      </c>
      <c r="K94" s="16" t="n">
        <v>68</v>
      </c>
      <c r="L94" s="19" t="n">
        <f aca="false">(K94/H94)*100</f>
        <v>3.01685891748004</v>
      </c>
      <c r="M94" s="16" t="n">
        <v>395</v>
      </c>
      <c r="N94" s="19" t="n">
        <f aca="false">(M94/H94)*100</f>
        <v>17.5244010647737</v>
      </c>
      <c r="O94" s="16" t="n">
        <v>0</v>
      </c>
      <c r="P94" s="16" t="n">
        <v>0</v>
      </c>
      <c r="Q94" s="16"/>
      <c r="R94" s="87"/>
      <c r="S94" s="16"/>
      <c r="T94" s="16"/>
      <c r="U94" s="16"/>
      <c r="V94" s="16"/>
      <c r="W94" s="16"/>
      <c r="X94" s="16"/>
      <c r="Y94" s="16"/>
      <c r="Z94" s="16"/>
      <c r="AA94" s="88"/>
      <c r="AB94" s="88"/>
      <c r="AC94" s="28"/>
      <c r="AD94" s="16"/>
      <c r="AE94" s="16"/>
    </row>
    <row r="95" customFormat="false" ht="15.75" hidden="false" customHeight="false" outlineLevel="0" collapsed="false">
      <c r="A95" s="16" t="s">
        <v>42</v>
      </c>
      <c r="B95" s="16" t="s">
        <v>2976</v>
      </c>
      <c r="C95" s="71" t="s">
        <v>3175</v>
      </c>
      <c r="D95" s="72" t="s">
        <v>3176</v>
      </c>
      <c r="E95" s="16" t="s">
        <v>3177</v>
      </c>
      <c r="F95" s="16" t="n">
        <v>3441</v>
      </c>
      <c r="G95" s="16" t="n">
        <v>959</v>
      </c>
      <c r="H95" s="16" t="n">
        <v>5287</v>
      </c>
      <c r="I95" s="16" t="n">
        <v>2707</v>
      </c>
      <c r="J95" s="16" t="n">
        <v>2580</v>
      </c>
      <c r="K95" s="16" t="n">
        <v>1012</v>
      </c>
      <c r="L95" s="19" t="n">
        <f aca="false">(K95/H95)*100</f>
        <v>19.1412899564971</v>
      </c>
      <c r="M95" s="16" t="n">
        <v>0</v>
      </c>
      <c r="N95" s="19" t="n">
        <f aca="false">(M95/H95)*100</f>
        <v>0</v>
      </c>
      <c r="O95" s="16" t="n">
        <v>70</v>
      </c>
      <c r="P95" s="16" t="n">
        <v>0</v>
      </c>
      <c r="Q95" s="24" t="s">
        <v>49</v>
      </c>
      <c r="R95" s="25" t="n">
        <v>45201</v>
      </c>
      <c r="S95" s="16"/>
      <c r="T95" s="92" t="n">
        <v>0</v>
      </c>
      <c r="U95" s="16"/>
      <c r="V95" s="16"/>
      <c r="W95" s="16"/>
      <c r="X95" s="16"/>
      <c r="Y95" s="16"/>
      <c r="Z95" s="16"/>
      <c r="AA95" s="92" t="s">
        <v>266</v>
      </c>
      <c r="AB95" s="76" t="n">
        <v>0</v>
      </c>
      <c r="AC95" s="304"/>
      <c r="AD95" s="92" t="n">
        <v>0</v>
      </c>
      <c r="AE95" s="92" t="n">
        <v>0</v>
      </c>
    </row>
    <row r="96" customFormat="false" ht="15.75" hidden="false" customHeight="false" outlineLevel="0" collapsed="false">
      <c r="A96" s="16"/>
      <c r="B96" s="16"/>
      <c r="C96" s="71"/>
      <c r="D96" s="72"/>
      <c r="E96" s="16"/>
      <c r="F96" s="16"/>
      <c r="G96" s="16"/>
      <c r="H96" s="16"/>
      <c r="I96" s="16"/>
      <c r="J96" s="16"/>
      <c r="K96" s="16"/>
      <c r="L96" s="19"/>
      <c r="M96" s="16"/>
      <c r="N96" s="19"/>
      <c r="O96" s="16"/>
      <c r="P96" s="16"/>
      <c r="Q96" s="368" t="s">
        <v>49</v>
      </c>
      <c r="R96" s="369" t="n">
        <v>45201</v>
      </c>
      <c r="S96" s="16"/>
      <c r="T96" s="370" t="n">
        <v>0</v>
      </c>
      <c r="U96" s="16"/>
      <c r="V96" s="16"/>
      <c r="W96" s="16"/>
      <c r="X96" s="16"/>
      <c r="Y96" s="16"/>
      <c r="Z96" s="16"/>
      <c r="AA96" s="370" t="s">
        <v>266</v>
      </c>
      <c r="AB96" s="371" t="n">
        <v>0</v>
      </c>
      <c r="AC96" s="372"/>
      <c r="AD96" s="370" t="n">
        <v>0</v>
      </c>
      <c r="AE96" s="370" t="n">
        <v>0</v>
      </c>
    </row>
    <row r="97" customFormat="false" ht="15.75" hidden="false" customHeight="false" outlineLevel="0" collapsed="false">
      <c r="A97" s="16"/>
      <c r="B97" s="16"/>
      <c r="C97" s="71"/>
      <c r="D97" s="72"/>
      <c r="E97" s="16"/>
      <c r="F97" s="16"/>
      <c r="G97" s="16"/>
      <c r="H97" s="16"/>
      <c r="I97" s="16"/>
      <c r="J97" s="16"/>
      <c r="K97" s="16"/>
      <c r="L97" s="19"/>
      <c r="M97" s="16"/>
      <c r="N97" s="19"/>
      <c r="O97" s="16"/>
      <c r="P97" s="16"/>
      <c r="Q97" s="368" t="s">
        <v>49</v>
      </c>
      <c r="R97" s="369" t="n">
        <v>45201</v>
      </c>
      <c r="S97" s="16"/>
      <c r="T97" s="370" t="n">
        <v>0</v>
      </c>
      <c r="U97" s="16"/>
      <c r="V97" s="16"/>
      <c r="W97" s="16"/>
      <c r="X97" s="16"/>
      <c r="Y97" s="16"/>
      <c r="Z97" s="16"/>
      <c r="AA97" s="370" t="s">
        <v>266</v>
      </c>
      <c r="AB97" s="371" t="n">
        <v>0</v>
      </c>
      <c r="AC97" s="372"/>
      <c r="AD97" s="370" t="n">
        <v>0</v>
      </c>
      <c r="AE97" s="370" t="n">
        <v>0</v>
      </c>
    </row>
    <row r="98" customFormat="false" ht="15.75" hidden="false" customHeight="false" outlineLevel="0" collapsed="false">
      <c r="A98" s="16" t="s">
        <v>42</v>
      </c>
      <c r="B98" s="16" t="s">
        <v>2976</v>
      </c>
      <c r="C98" s="71" t="s">
        <v>3175</v>
      </c>
      <c r="D98" s="16" t="s">
        <v>3178</v>
      </c>
      <c r="E98" s="16" t="s">
        <v>3179</v>
      </c>
      <c r="F98" s="16" t="n">
        <v>771</v>
      </c>
      <c r="G98" s="16" t="n">
        <v>97</v>
      </c>
      <c r="H98" s="16" t="n">
        <v>487</v>
      </c>
      <c r="I98" s="16" t="n">
        <v>245</v>
      </c>
      <c r="J98" s="16" t="n">
        <v>242</v>
      </c>
      <c r="K98" s="16" t="n">
        <v>13</v>
      </c>
      <c r="L98" s="19" t="n">
        <f aca="false">(K98/H98)*100</f>
        <v>2.6694045174538</v>
      </c>
      <c r="M98" s="16" t="n">
        <v>0</v>
      </c>
      <c r="N98" s="19" t="n">
        <f aca="false">(M98/H98)*100</f>
        <v>0</v>
      </c>
      <c r="O98" s="16" t="n">
        <v>13</v>
      </c>
      <c r="P98" s="16" t="n">
        <v>0</v>
      </c>
      <c r="Q98" s="20" t="s">
        <v>49</v>
      </c>
      <c r="R98" s="34" t="n">
        <v>45201</v>
      </c>
      <c r="S98" s="16"/>
      <c r="T98" s="89" t="n">
        <v>0</v>
      </c>
      <c r="U98" s="16"/>
      <c r="V98" s="16"/>
      <c r="W98" s="16"/>
      <c r="X98" s="16"/>
      <c r="Y98" s="16"/>
      <c r="Z98" s="16"/>
      <c r="AA98" s="89" t="s">
        <v>266</v>
      </c>
      <c r="AB98" s="289" t="n">
        <v>0</v>
      </c>
      <c r="AC98" s="300"/>
      <c r="AD98" s="89" t="n">
        <v>0</v>
      </c>
      <c r="AE98" s="89" t="n">
        <v>0</v>
      </c>
    </row>
    <row r="99" customFormat="false" ht="15.75" hidden="false" customHeight="false" outlineLevel="0" collapsed="false">
      <c r="A99" s="16" t="s">
        <v>42</v>
      </c>
      <c r="B99" s="16" t="s">
        <v>2976</v>
      </c>
      <c r="C99" s="71" t="s">
        <v>3175</v>
      </c>
      <c r="D99" s="16" t="s">
        <v>3180</v>
      </c>
      <c r="E99" s="16" t="s">
        <v>3181</v>
      </c>
      <c r="F99" s="16" t="n">
        <v>1481</v>
      </c>
      <c r="G99" s="16" t="n">
        <v>204</v>
      </c>
      <c r="H99" s="16" t="n">
        <v>1102</v>
      </c>
      <c r="I99" s="16" t="n">
        <v>596</v>
      </c>
      <c r="J99" s="16" t="n">
        <v>506</v>
      </c>
      <c r="K99" s="16" t="n">
        <v>317</v>
      </c>
      <c r="L99" s="19" t="n">
        <f aca="false">(K99/H99)*100</f>
        <v>28.7658802177858</v>
      </c>
      <c r="M99" s="16" t="n">
        <v>0</v>
      </c>
      <c r="N99" s="19" t="n">
        <f aca="false">(M99/H99)*100</f>
        <v>0</v>
      </c>
      <c r="O99" s="16" t="n">
        <v>6</v>
      </c>
      <c r="P99" s="16" t="n">
        <v>0</v>
      </c>
      <c r="Q99" s="16"/>
      <c r="R99" s="87"/>
      <c r="S99" s="16"/>
      <c r="T99" s="16"/>
      <c r="U99" s="16"/>
      <c r="V99" s="16"/>
      <c r="W99" s="16"/>
      <c r="X99" s="16"/>
      <c r="Y99" s="16"/>
      <c r="Z99" s="16"/>
      <c r="AA99" s="88"/>
      <c r="AB99" s="88"/>
      <c r="AC99" s="28"/>
      <c r="AD99" s="16"/>
      <c r="AE99" s="16"/>
    </row>
    <row r="100" customFormat="false" ht="15.75" hidden="false" customHeight="false" outlineLevel="0" collapsed="false">
      <c r="A100" s="16" t="s">
        <v>42</v>
      </c>
      <c r="B100" s="16" t="s">
        <v>2976</v>
      </c>
      <c r="C100" s="71" t="s">
        <v>3175</v>
      </c>
      <c r="D100" s="16" t="s">
        <v>3182</v>
      </c>
      <c r="E100" s="16" t="s">
        <v>3183</v>
      </c>
      <c r="F100" s="16" t="n">
        <v>282</v>
      </c>
      <c r="G100" s="16" t="n">
        <v>75</v>
      </c>
      <c r="H100" s="16" t="n">
        <v>412</v>
      </c>
      <c r="I100" s="16" t="n">
        <v>214</v>
      </c>
      <c r="J100" s="16" t="n">
        <v>198</v>
      </c>
      <c r="K100" s="16" t="n">
        <v>0</v>
      </c>
      <c r="L100" s="19" t="n">
        <f aca="false">(K100/H100)*100</f>
        <v>0</v>
      </c>
      <c r="M100" s="16" t="n">
        <v>0</v>
      </c>
      <c r="N100" s="19" t="n">
        <f aca="false">(M100/H100)*100</f>
        <v>0</v>
      </c>
      <c r="O100" s="16" t="n">
        <v>0</v>
      </c>
      <c r="P100" s="16" t="n">
        <v>0</v>
      </c>
      <c r="Q100" s="16"/>
      <c r="R100" s="87"/>
      <c r="S100" s="16"/>
      <c r="T100" s="16"/>
      <c r="U100" s="16"/>
      <c r="V100" s="16"/>
      <c r="W100" s="16"/>
      <c r="X100" s="16"/>
      <c r="Y100" s="16"/>
      <c r="Z100" s="16"/>
      <c r="AA100" s="88"/>
      <c r="AB100" s="88"/>
      <c r="AC100" s="28"/>
      <c r="AD100" s="16"/>
      <c r="AE100" s="16"/>
    </row>
    <row r="101" customFormat="false" ht="15.75" hidden="false" customHeight="false" outlineLevel="0" collapsed="false">
      <c r="A101" s="16" t="s">
        <v>42</v>
      </c>
      <c r="B101" s="16" t="s">
        <v>2976</v>
      </c>
      <c r="C101" s="71" t="s">
        <v>3175</v>
      </c>
      <c r="D101" s="16" t="s">
        <v>3184</v>
      </c>
      <c r="E101" s="16" t="s">
        <v>3185</v>
      </c>
      <c r="F101" s="16" t="n">
        <v>923</v>
      </c>
      <c r="G101" s="16" t="n">
        <v>108</v>
      </c>
      <c r="H101" s="16" t="n">
        <v>500</v>
      </c>
      <c r="I101" s="16" t="n">
        <v>255</v>
      </c>
      <c r="J101" s="16" t="n">
        <v>245</v>
      </c>
      <c r="K101" s="16" t="n">
        <v>94</v>
      </c>
      <c r="L101" s="19" t="n">
        <f aca="false">(K101/H101)*100</f>
        <v>18.8</v>
      </c>
      <c r="M101" s="16" t="n">
        <v>0</v>
      </c>
      <c r="N101" s="19" t="n">
        <f aca="false">(M101/H101)*100</f>
        <v>0</v>
      </c>
      <c r="O101" s="16" t="n">
        <v>75</v>
      </c>
      <c r="P101" s="16" t="n">
        <v>252</v>
      </c>
      <c r="Q101" s="16"/>
      <c r="R101" s="87"/>
      <c r="S101" s="16"/>
      <c r="T101" s="16"/>
      <c r="U101" s="16"/>
      <c r="V101" s="16"/>
      <c r="W101" s="16"/>
      <c r="X101" s="16"/>
      <c r="Y101" s="16"/>
      <c r="Z101" s="16"/>
      <c r="AA101" s="88"/>
      <c r="AB101" s="88"/>
      <c r="AC101" s="28"/>
      <c r="AD101" s="16"/>
      <c r="AE101" s="16"/>
    </row>
    <row r="102" customFormat="false" ht="15.75" hidden="false" customHeight="false" outlineLevel="0" collapsed="false">
      <c r="A102" s="16" t="s">
        <v>42</v>
      </c>
      <c r="B102" s="16" t="s">
        <v>2976</v>
      </c>
      <c r="C102" s="71" t="s">
        <v>3186</v>
      </c>
      <c r="D102" s="72" t="s">
        <v>3187</v>
      </c>
      <c r="E102" s="16" t="s">
        <v>3188</v>
      </c>
      <c r="F102" s="16" t="n">
        <v>577.31</v>
      </c>
      <c r="G102" s="16" t="n">
        <v>210</v>
      </c>
      <c r="H102" s="16" t="n">
        <v>1335</v>
      </c>
      <c r="I102" s="16" t="n">
        <v>674</v>
      </c>
      <c r="J102" s="16" t="n">
        <v>661</v>
      </c>
      <c r="K102" s="16" t="n">
        <v>89</v>
      </c>
      <c r="L102" s="19" t="n">
        <f aca="false">(K102/H102)*100</f>
        <v>6.66666666666667</v>
      </c>
      <c r="M102" s="16" t="n">
        <v>0</v>
      </c>
      <c r="N102" s="19" t="n">
        <f aca="false">(M102/H102)*100</f>
        <v>0</v>
      </c>
      <c r="O102" s="16" t="n">
        <v>0</v>
      </c>
      <c r="P102" s="16" t="n">
        <v>0</v>
      </c>
      <c r="Q102" s="20" t="s">
        <v>49</v>
      </c>
      <c r="R102" s="34" t="n">
        <v>45153</v>
      </c>
      <c r="S102" s="16"/>
      <c r="T102" s="20"/>
      <c r="U102" s="16" t="s">
        <v>50</v>
      </c>
      <c r="V102" s="16"/>
      <c r="W102" s="16"/>
      <c r="X102" s="16"/>
      <c r="Y102" s="16"/>
      <c r="Z102" s="16"/>
      <c r="AA102" s="89" t="s">
        <v>50</v>
      </c>
      <c r="AB102" s="89" t="n">
        <v>10</v>
      </c>
      <c r="AC102" s="90" t="s">
        <v>3189</v>
      </c>
      <c r="AD102" s="89" t="n">
        <v>26.21</v>
      </c>
      <c r="AE102" s="89" t="n">
        <v>73.13</v>
      </c>
    </row>
    <row r="103" customFormat="false" ht="31.5" hidden="false" customHeight="false" outlineLevel="0" collapsed="false">
      <c r="A103" s="16"/>
      <c r="B103" s="16"/>
      <c r="C103" s="71"/>
      <c r="D103" s="72"/>
      <c r="E103" s="16"/>
      <c r="F103" s="16"/>
      <c r="G103" s="16"/>
      <c r="H103" s="16"/>
      <c r="I103" s="16"/>
      <c r="J103" s="16"/>
      <c r="K103" s="16"/>
      <c r="L103" s="19"/>
      <c r="M103" s="16"/>
      <c r="N103" s="19"/>
      <c r="O103" s="16"/>
      <c r="P103" s="16"/>
      <c r="Q103" s="228" t="s">
        <v>49</v>
      </c>
      <c r="R103" s="97"/>
      <c r="S103" s="16"/>
      <c r="T103" s="228"/>
      <c r="U103" s="16"/>
      <c r="V103" s="16"/>
      <c r="W103" s="16"/>
      <c r="X103" s="16"/>
      <c r="Y103" s="16"/>
      <c r="Z103" s="16"/>
      <c r="AA103" s="93" t="s">
        <v>50</v>
      </c>
      <c r="AB103" s="93" t="n">
        <v>8</v>
      </c>
      <c r="AC103" s="98" t="s">
        <v>3190</v>
      </c>
      <c r="AD103" s="93" t="n">
        <v>26.21</v>
      </c>
      <c r="AE103" s="93" t="n">
        <v>73.13</v>
      </c>
    </row>
    <row r="104" customFormat="false" ht="15.75" hidden="false" customHeight="false" outlineLevel="0" collapsed="false">
      <c r="A104" s="16" t="s">
        <v>42</v>
      </c>
      <c r="B104" s="16" t="s">
        <v>2976</v>
      </c>
      <c r="C104" s="71" t="s">
        <v>3186</v>
      </c>
      <c r="D104" s="16" t="s">
        <v>3191</v>
      </c>
      <c r="E104" s="16" t="s">
        <v>3192</v>
      </c>
      <c r="F104" s="16" t="n">
        <v>557.39</v>
      </c>
      <c r="G104" s="16" t="n">
        <v>118</v>
      </c>
      <c r="H104" s="16" t="n">
        <v>704</v>
      </c>
      <c r="I104" s="16" t="n">
        <v>359</v>
      </c>
      <c r="J104" s="16" t="n">
        <v>345</v>
      </c>
      <c r="K104" s="16" t="n">
        <v>0</v>
      </c>
      <c r="L104" s="19" t="n">
        <f aca="false">(K104/H104)*100</f>
        <v>0</v>
      </c>
      <c r="M104" s="16" t="n">
        <v>0</v>
      </c>
      <c r="N104" s="19" t="n">
        <f aca="false">(M104/H104)*100</f>
        <v>0</v>
      </c>
      <c r="O104" s="16" t="n">
        <v>11.09</v>
      </c>
      <c r="P104" s="16" t="n">
        <v>0</v>
      </c>
      <c r="Q104" s="20" t="s">
        <v>49</v>
      </c>
      <c r="R104" s="34" t="n">
        <v>45153</v>
      </c>
      <c r="S104" s="16"/>
      <c r="T104" s="20"/>
      <c r="U104" s="16" t="s">
        <v>50</v>
      </c>
      <c r="V104" s="16"/>
      <c r="W104" s="16"/>
      <c r="X104" s="16"/>
      <c r="Y104" s="16"/>
      <c r="Z104" s="16"/>
      <c r="AA104" s="89" t="s">
        <v>50</v>
      </c>
      <c r="AB104" s="89" t="n">
        <v>11</v>
      </c>
      <c r="AC104" s="90" t="s">
        <v>3193</v>
      </c>
      <c r="AD104" s="89" t="n">
        <v>26.23</v>
      </c>
      <c r="AE104" s="89" t="n">
        <v>73.11</v>
      </c>
    </row>
    <row r="105" customFormat="false" ht="15.75" hidden="false" customHeight="false" outlineLevel="0" collapsed="false">
      <c r="A105" s="16" t="s">
        <v>42</v>
      </c>
      <c r="B105" s="16" t="s">
        <v>2976</v>
      </c>
      <c r="C105" s="71" t="s">
        <v>3186</v>
      </c>
      <c r="D105" s="16" t="s">
        <v>3194</v>
      </c>
      <c r="E105" s="16" t="s">
        <v>3195</v>
      </c>
      <c r="F105" s="16" t="n">
        <v>811.37</v>
      </c>
      <c r="G105" s="16" t="n">
        <v>173</v>
      </c>
      <c r="H105" s="16" t="n">
        <v>1179</v>
      </c>
      <c r="I105" s="16" t="n">
        <v>606</v>
      </c>
      <c r="J105" s="16" t="n">
        <v>573</v>
      </c>
      <c r="K105" s="16" t="n">
        <v>81</v>
      </c>
      <c r="L105" s="19" t="n">
        <f aca="false">(K105/H105)*100</f>
        <v>6.87022900763359</v>
      </c>
      <c r="M105" s="16" t="n">
        <v>0</v>
      </c>
      <c r="N105" s="19" t="n">
        <f aca="false">(M105/H105)*100</f>
        <v>0</v>
      </c>
      <c r="O105" s="16" t="n">
        <v>37.1</v>
      </c>
      <c r="P105" s="16" t="n">
        <v>0</v>
      </c>
      <c r="Q105" s="20" t="s">
        <v>49</v>
      </c>
      <c r="R105" s="34" t="n">
        <v>45153</v>
      </c>
      <c r="S105" s="16"/>
      <c r="T105" s="20" t="n">
        <v>157.41</v>
      </c>
      <c r="U105" s="16" t="s">
        <v>50</v>
      </c>
      <c r="V105" s="16"/>
      <c r="W105" s="16"/>
      <c r="X105" s="16"/>
      <c r="Y105" s="16"/>
      <c r="Z105" s="16"/>
      <c r="AA105" s="89" t="s">
        <v>50</v>
      </c>
      <c r="AB105" s="89" t="n">
        <v>8</v>
      </c>
      <c r="AC105" s="305" t="s">
        <v>3196</v>
      </c>
      <c r="AD105" s="89" t="n">
        <v>26.23</v>
      </c>
      <c r="AE105" s="89" t="n">
        <v>73.13</v>
      </c>
    </row>
    <row r="106" customFormat="false" ht="15.75" hidden="false" customHeight="false" outlineLevel="0" collapsed="false">
      <c r="A106" s="16" t="s">
        <v>42</v>
      </c>
      <c r="B106" s="16" t="s">
        <v>2976</v>
      </c>
      <c r="C106" s="71" t="s">
        <v>3197</v>
      </c>
      <c r="D106" s="72" t="s">
        <v>3198</v>
      </c>
      <c r="E106" s="16" t="s">
        <v>3199</v>
      </c>
      <c r="F106" s="16" t="n">
        <v>2963</v>
      </c>
      <c r="G106" s="16" t="n">
        <v>1067</v>
      </c>
      <c r="H106" s="16" t="n">
        <v>6592</v>
      </c>
      <c r="I106" s="16" t="n">
        <v>3399</v>
      </c>
      <c r="J106" s="16" t="n">
        <v>3193</v>
      </c>
      <c r="K106" s="16" t="n">
        <v>1193</v>
      </c>
      <c r="L106" s="19" t="n">
        <f aca="false">(K106/H106)*100</f>
        <v>18.0976941747573</v>
      </c>
      <c r="M106" s="16" t="n">
        <v>25</v>
      </c>
      <c r="N106" s="19" t="n">
        <f aca="false">(M106/H106)*100</f>
        <v>0.379247572815534</v>
      </c>
      <c r="O106" s="16" t="n">
        <v>60</v>
      </c>
      <c r="P106" s="16" t="n">
        <v>0</v>
      </c>
      <c r="Q106" s="20" t="s">
        <v>49</v>
      </c>
      <c r="R106" s="168" t="n">
        <v>44952</v>
      </c>
      <c r="S106" s="16"/>
      <c r="T106" s="89" t="s">
        <v>968</v>
      </c>
      <c r="U106" s="16"/>
      <c r="V106" s="16"/>
      <c r="W106" s="16"/>
      <c r="X106" s="16"/>
      <c r="Y106" s="16"/>
      <c r="Z106" s="16"/>
      <c r="AA106" s="89" t="s">
        <v>266</v>
      </c>
      <c r="AB106" s="289" t="n">
        <v>0</v>
      </c>
      <c r="AC106" s="301" t="s">
        <v>3200</v>
      </c>
      <c r="AD106" s="89" t="n">
        <v>26.150505</v>
      </c>
      <c r="AE106" s="89" t="n">
        <v>72.981652</v>
      </c>
    </row>
    <row r="107" customFormat="false" ht="15.75" hidden="false" customHeight="false" outlineLevel="0" collapsed="false">
      <c r="A107" s="16"/>
      <c r="B107" s="16"/>
      <c r="C107" s="71"/>
      <c r="D107" s="72"/>
      <c r="E107" s="16"/>
      <c r="F107" s="16"/>
      <c r="G107" s="16"/>
      <c r="H107" s="16"/>
      <c r="I107" s="16"/>
      <c r="J107" s="16"/>
      <c r="K107" s="16"/>
      <c r="L107" s="19"/>
      <c r="M107" s="16"/>
      <c r="N107" s="19"/>
      <c r="O107" s="16"/>
      <c r="P107" s="16"/>
      <c r="Q107" s="373" t="s">
        <v>49</v>
      </c>
      <c r="R107" s="234"/>
      <c r="S107" s="16"/>
      <c r="T107" s="93"/>
      <c r="U107" s="16"/>
      <c r="V107" s="16"/>
      <c r="W107" s="16"/>
      <c r="X107" s="16"/>
      <c r="Y107" s="16"/>
      <c r="Z107" s="16"/>
      <c r="AA107" s="89" t="s">
        <v>266</v>
      </c>
      <c r="AB107" s="302" t="n">
        <v>0</v>
      </c>
      <c r="AC107" s="303" t="s">
        <v>3201</v>
      </c>
      <c r="AD107" s="93" t="n">
        <v>26.089708</v>
      </c>
      <c r="AE107" s="93" t="n">
        <v>73.01132</v>
      </c>
    </row>
    <row r="108" customFormat="false" ht="15.75" hidden="false" customHeight="false" outlineLevel="0" collapsed="false">
      <c r="A108" s="16" t="s">
        <v>42</v>
      </c>
      <c r="B108" s="16" t="s">
        <v>2976</v>
      </c>
      <c r="C108" s="71" t="s">
        <v>3197</v>
      </c>
      <c r="D108" s="16" t="s">
        <v>3202</v>
      </c>
      <c r="E108" s="16" t="s">
        <v>3203</v>
      </c>
      <c r="F108" s="16" t="n">
        <v>486</v>
      </c>
      <c r="G108" s="16" t="n">
        <v>55</v>
      </c>
      <c r="H108" s="16" t="n">
        <v>296</v>
      </c>
      <c r="I108" s="16" t="n">
        <v>158</v>
      </c>
      <c r="J108" s="16" t="n">
        <v>138</v>
      </c>
      <c r="K108" s="16" t="n">
        <v>0</v>
      </c>
      <c r="L108" s="19" t="n">
        <f aca="false">(K108/H108)*100</f>
        <v>0</v>
      </c>
      <c r="M108" s="16" t="n">
        <v>3</v>
      </c>
      <c r="N108" s="19" t="n">
        <f aca="false">(M108/H108)*100</f>
        <v>1.01351351351351</v>
      </c>
      <c r="O108" s="16" t="n">
        <v>0</v>
      </c>
      <c r="P108" s="16" t="n">
        <v>0</v>
      </c>
      <c r="Q108" s="20" t="s">
        <v>49</v>
      </c>
      <c r="R108" s="34" t="n">
        <v>45317</v>
      </c>
      <c r="S108" s="16"/>
      <c r="T108" s="89" t="n">
        <v>0</v>
      </c>
      <c r="U108" s="16"/>
      <c r="V108" s="16"/>
      <c r="W108" s="16"/>
      <c r="X108" s="16"/>
      <c r="Y108" s="16"/>
      <c r="Z108" s="16"/>
      <c r="AA108" s="89" t="s">
        <v>266</v>
      </c>
      <c r="AB108" s="289" t="n">
        <v>0</v>
      </c>
      <c r="AC108" s="300"/>
      <c r="AD108" s="89" t="n">
        <v>0</v>
      </c>
      <c r="AE108" s="89" t="n">
        <v>0</v>
      </c>
    </row>
    <row r="109" customFormat="false" ht="15.75" hidden="false" customHeight="false" outlineLevel="0" collapsed="false">
      <c r="A109" s="16" t="s">
        <v>42</v>
      </c>
      <c r="B109" s="16" t="s">
        <v>2976</v>
      </c>
      <c r="C109" s="71" t="s">
        <v>3197</v>
      </c>
      <c r="D109" s="16" t="s">
        <v>3204</v>
      </c>
      <c r="E109" s="16" t="s">
        <v>3205</v>
      </c>
      <c r="F109" s="16" t="n">
        <v>619</v>
      </c>
      <c r="G109" s="16" t="n">
        <v>131</v>
      </c>
      <c r="H109" s="16" t="n">
        <v>670</v>
      </c>
      <c r="I109" s="16" t="n">
        <v>362</v>
      </c>
      <c r="J109" s="16" t="n">
        <v>308</v>
      </c>
      <c r="K109" s="16" t="n">
        <v>74</v>
      </c>
      <c r="L109" s="19" t="n">
        <f aca="false">(K109/H109)*100</f>
        <v>11.044776119403</v>
      </c>
      <c r="M109" s="16" t="n">
        <v>7</v>
      </c>
      <c r="N109" s="19" t="n">
        <f aca="false">(M109/H109)*100</f>
        <v>1.04477611940299</v>
      </c>
      <c r="O109" s="16" t="n">
        <v>0</v>
      </c>
      <c r="P109" s="16" t="n">
        <v>0</v>
      </c>
      <c r="Q109" s="20" t="s">
        <v>49</v>
      </c>
      <c r="R109" s="34" t="n">
        <v>45317</v>
      </c>
      <c r="S109" s="16"/>
      <c r="T109" s="89" t="n">
        <v>0</v>
      </c>
      <c r="U109" s="16"/>
      <c r="V109" s="16"/>
      <c r="W109" s="16"/>
      <c r="X109" s="16"/>
      <c r="Y109" s="16"/>
      <c r="Z109" s="16"/>
      <c r="AA109" s="89" t="s">
        <v>266</v>
      </c>
      <c r="AB109" s="289" t="n">
        <v>0</v>
      </c>
      <c r="AC109" s="300"/>
      <c r="AD109" s="89" t="n">
        <v>0</v>
      </c>
      <c r="AE109" s="89" t="n">
        <v>0</v>
      </c>
    </row>
    <row r="110" customFormat="false" ht="15.75" hidden="false" customHeight="false" outlineLevel="0" collapsed="false">
      <c r="A110" s="16" t="s">
        <v>42</v>
      </c>
      <c r="B110" s="16" t="s">
        <v>2976</v>
      </c>
      <c r="C110" s="71" t="s">
        <v>3206</v>
      </c>
      <c r="D110" s="72" t="s">
        <v>3207</v>
      </c>
      <c r="E110" s="16" t="s">
        <v>3208</v>
      </c>
      <c r="F110" s="16" t="n">
        <v>0</v>
      </c>
      <c r="G110" s="16" t="n">
        <v>0</v>
      </c>
      <c r="H110" s="16" t="n">
        <v>0</v>
      </c>
      <c r="I110" s="16" t="n">
        <v>0</v>
      </c>
      <c r="J110" s="16" t="n">
        <v>0</v>
      </c>
      <c r="K110" s="16" t="n">
        <v>0</v>
      </c>
      <c r="L110" s="19"/>
      <c r="M110" s="16"/>
      <c r="N110" s="19"/>
      <c r="O110" s="16" t="n">
        <v>0</v>
      </c>
      <c r="P110" s="16" t="n">
        <v>0</v>
      </c>
      <c r="Q110" s="20" t="s">
        <v>49</v>
      </c>
      <c r="R110" s="34" t="n">
        <v>45201</v>
      </c>
      <c r="S110" s="16"/>
      <c r="T110" s="20"/>
      <c r="U110" s="16"/>
      <c r="V110" s="16"/>
      <c r="W110" s="16"/>
      <c r="X110" s="16"/>
      <c r="Y110" s="16"/>
      <c r="Z110" s="16"/>
      <c r="AA110" s="89" t="s">
        <v>50</v>
      </c>
      <c r="AB110" s="89" t="n">
        <v>0</v>
      </c>
      <c r="AC110" s="90"/>
      <c r="AD110" s="20"/>
      <c r="AE110" s="20"/>
    </row>
    <row r="111" customFormat="false" ht="15.75" hidden="false" customHeight="false" outlineLevel="0" collapsed="false">
      <c r="A111" s="16" t="s">
        <v>42</v>
      </c>
      <c r="B111" s="16" t="s">
        <v>2976</v>
      </c>
      <c r="C111" s="71" t="s">
        <v>3209</v>
      </c>
      <c r="D111" s="72" t="s">
        <v>3209</v>
      </c>
      <c r="E111" s="16" t="s">
        <v>3210</v>
      </c>
      <c r="F111" s="16" t="n">
        <v>1027.33</v>
      </c>
      <c r="G111" s="16" t="n">
        <v>533</v>
      </c>
      <c r="H111" s="16" t="n">
        <v>2902</v>
      </c>
      <c r="I111" s="16" t="n">
        <v>1521</v>
      </c>
      <c r="J111" s="16" t="n">
        <v>1381</v>
      </c>
      <c r="K111" s="16" t="n">
        <v>532</v>
      </c>
      <c r="L111" s="19" t="n">
        <f aca="false">(K111/H111)*100</f>
        <v>18.3321847002068</v>
      </c>
      <c r="M111" s="16" t="n">
        <v>0</v>
      </c>
      <c r="N111" s="19" t="n">
        <f aca="false">(M111/H111)*100</f>
        <v>0</v>
      </c>
      <c r="O111" s="16" t="n">
        <v>0</v>
      </c>
      <c r="P111" s="16" t="n">
        <v>0</v>
      </c>
      <c r="Q111" s="24" t="s">
        <v>49</v>
      </c>
      <c r="R111" s="25" t="n">
        <v>44879</v>
      </c>
      <c r="S111" s="16"/>
      <c r="T111" s="20" t="n">
        <v>28.4736</v>
      </c>
      <c r="U111" s="16"/>
      <c r="V111" s="16"/>
      <c r="W111" s="16"/>
      <c r="X111" s="16"/>
      <c r="Y111" s="16"/>
      <c r="Z111" s="16"/>
      <c r="AA111" s="119" t="s">
        <v>266</v>
      </c>
      <c r="AB111" s="89" t="n">
        <v>15</v>
      </c>
      <c r="AC111" s="90" t="s">
        <v>3211</v>
      </c>
      <c r="AD111" s="20"/>
      <c r="AE111" s="20"/>
    </row>
    <row r="112" customFormat="false" ht="15.75" hidden="false" customHeight="false" outlineLevel="0" collapsed="false">
      <c r="A112" s="16"/>
      <c r="B112" s="16"/>
      <c r="C112" s="71"/>
      <c r="D112" s="72"/>
      <c r="E112" s="16"/>
      <c r="F112" s="16"/>
      <c r="G112" s="16"/>
      <c r="H112" s="16"/>
      <c r="I112" s="16"/>
      <c r="J112" s="16"/>
      <c r="K112" s="16"/>
      <c r="L112" s="19"/>
      <c r="M112" s="16"/>
      <c r="N112" s="19"/>
      <c r="O112" s="16"/>
      <c r="P112" s="16"/>
      <c r="Q112" s="228" t="s">
        <v>49</v>
      </c>
      <c r="R112" s="234"/>
      <c r="S112" s="16"/>
      <c r="T112" s="228"/>
      <c r="U112" s="16"/>
      <c r="V112" s="16"/>
      <c r="W112" s="16"/>
      <c r="X112" s="16"/>
      <c r="Y112" s="16"/>
      <c r="Z112" s="16"/>
      <c r="AA112" s="232" t="s">
        <v>266</v>
      </c>
      <c r="AB112" s="93" t="n">
        <v>10</v>
      </c>
      <c r="AC112" s="98" t="s">
        <v>3212</v>
      </c>
      <c r="AD112" s="228"/>
      <c r="AE112" s="228"/>
    </row>
    <row r="113" customFormat="false" ht="15.75" hidden="false" customHeight="false" outlineLevel="0" collapsed="false">
      <c r="A113" s="16" t="s">
        <v>42</v>
      </c>
      <c r="B113" s="16" t="s">
        <v>2976</v>
      </c>
      <c r="C113" s="71" t="s">
        <v>3209</v>
      </c>
      <c r="D113" s="16" t="s">
        <v>3213</v>
      </c>
      <c r="E113" s="16" t="s">
        <v>3214</v>
      </c>
      <c r="F113" s="16" t="n">
        <v>1289.8</v>
      </c>
      <c r="G113" s="16" t="n">
        <v>117</v>
      </c>
      <c r="H113" s="16" t="n">
        <v>683</v>
      </c>
      <c r="I113" s="16" t="n">
        <v>361</v>
      </c>
      <c r="J113" s="16" t="n">
        <v>322</v>
      </c>
      <c r="K113" s="16" t="n">
        <v>320</v>
      </c>
      <c r="L113" s="19" t="n">
        <f aca="false">(K113/H113)*100</f>
        <v>46.8521229868228</v>
      </c>
      <c r="M113" s="16" t="n">
        <v>0</v>
      </c>
      <c r="N113" s="19" t="n">
        <f aca="false">(M113/H113)*100</f>
        <v>0</v>
      </c>
      <c r="O113" s="16" t="n">
        <v>0</v>
      </c>
      <c r="P113" s="16" t="n">
        <v>0</v>
      </c>
      <c r="Q113" s="24" t="s">
        <v>49</v>
      </c>
      <c r="R113" s="25" t="n">
        <v>44879</v>
      </c>
      <c r="S113" s="16"/>
      <c r="T113" s="20"/>
      <c r="U113" s="16"/>
      <c r="V113" s="16"/>
      <c r="W113" s="16"/>
      <c r="X113" s="16"/>
      <c r="Y113" s="16"/>
      <c r="Z113" s="16"/>
      <c r="AA113" s="119" t="s">
        <v>266</v>
      </c>
      <c r="AB113" s="89" t="n">
        <v>10</v>
      </c>
      <c r="AC113" s="90" t="s">
        <v>3215</v>
      </c>
      <c r="AD113" s="20"/>
      <c r="AE113" s="20"/>
    </row>
    <row r="114" customFormat="false" ht="15.75" hidden="false" customHeight="false" outlineLevel="0" collapsed="false">
      <c r="A114" s="16" t="s">
        <v>42</v>
      </c>
      <c r="B114" s="16" t="s">
        <v>2976</v>
      </c>
      <c r="C114" s="71" t="s">
        <v>3209</v>
      </c>
      <c r="D114" s="16" t="s">
        <v>3216</v>
      </c>
      <c r="E114" s="16" t="s">
        <v>3217</v>
      </c>
      <c r="F114" s="16" t="n">
        <v>457.25</v>
      </c>
      <c r="G114" s="16" t="n">
        <v>95</v>
      </c>
      <c r="H114" s="16" t="n">
        <v>595</v>
      </c>
      <c r="I114" s="16" t="n">
        <v>310</v>
      </c>
      <c r="J114" s="16" t="n">
        <v>285</v>
      </c>
      <c r="K114" s="16" t="n">
        <v>12</v>
      </c>
      <c r="L114" s="19" t="n">
        <f aca="false">(K114/H114)*100</f>
        <v>2.01680672268908</v>
      </c>
      <c r="M114" s="16" t="n">
        <v>0</v>
      </c>
      <c r="N114" s="19" t="n">
        <f aca="false">(M114/H114)*100</f>
        <v>0</v>
      </c>
      <c r="O114" s="16" t="n">
        <v>0</v>
      </c>
      <c r="P114" s="16" t="n">
        <v>0</v>
      </c>
      <c r="Q114" s="20" t="s">
        <v>49</v>
      </c>
      <c r="R114" s="34" t="n">
        <v>44879</v>
      </c>
      <c r="S114" s="16"/>
      <c r="T114" s="20" t="n">
        <v>0</v>
      </c>
      <c r="U114" s="16"/>
      <c r="V114" s="16"/>
      <c r="W114" s="16"/>
      <c r="X114" s="16"/>
      <c r="Y114" s="16"/>
      <c r="Z114" s="16"/>
      <c r="AA114" s="119"/>
      <c r="AB114" s="89"/>
      <c r="AC114" s="36" t="n">
        <v>0</v>
      </c>
      <c r="AD114" s="20" t="n">
        <v>0</v>
      </c>
      <c r="AE114" s="20" t="n">
        <v>0</v>
      </c>
    </row>
    <row r="115" customFormat="false" ht="31.5" hidden="false" customHeight="false" outlineLevel="0" collapsed="false">
      <c r="A115" s="16" t="s">
        <v>42</v>
      </c>
      <c r="B115" s="16" t="s">
        <v>2976</v>
      </c>
      <c r="C115" s="71" t="s">
        <v>3209</v>
      </c>
      <c r="D115" s="16" t="s">
        <v>3218</v>
      </c>
      <c r="E115" s="16" t="s">
        <v>3219</v>
      </c>
      <c r="F115" s="16" t="n">
        <v>843.82</v>
      </c>
      <c r="G115" s="16" t="n">
        <v>156</v>
      </c>
      <c r="H115" s="16" t="n">
        <v>789</v>
      </c>
      <c r="I115" s="16" t="n">
        <v>412</v>
      </c>
      <c r="J115" s="16" t="n">
        <v>377</v>
      </c>
      <c r="K115" s="16" t="n">
        <v>4</v>
      </c>
      <c r="L115" s="19" t="n">
        <f aca="false">(K115/H115)*100</f>
        <v>0.506970849176172</v>
      </c>
      <c r="M115" s="16" t="n">
        <v>274</v>
      </c>
      <c r="N115" s="19" t="n">
        <f aca="false">(M115/H115)*100</f>
        <v>34.7275031685678</v>
      </c>
      <c r="O115" s="16" t="n">
        <v>0</v>
      </c>
      <c r="P115" s="16" t="n">
        <v>0</v>
      </c>
      <c r="Q115" s="24" t="s">
        <v>49</v>
      </c>
      <c r="R115" s="25" t="n">
        <v>44879</v>
      </c>
      <c r="S115" s="16"/>
      <c r="T115" s="20"/>
      <c r="U115" s="16"/>
      <c r="V115" s="16"/>
      <c r="W115" s="16"/>
      <c r="X115" s="16"/>
      <c r="Y115" s="16"/>
      <c r="Z115" s="16"/>
      <c r="AA115" s="119" t="s">
        <v>266</v>
      </c>
      <c r="AB115" s="89" t="n">
        <v>10</v>
      </c>
      <c r="AC115" s="90" t="s">
        <v>3220</v>
      </c>
      <c r="AD115" s="20"/>
      <c r="AE115" s="20"/>
    </row>
    <row r="116" customFormat="false" ht="47.25" hidden="false" customHeight="false" outlineLevel="0" collapsed="false">
      <c r="A116" s="16" t="s">
        <v>42</v>
      </c>
      <c r="B116" s="16" t="s">
        <v>2976</v>
      </c>
      <c r="C116" s="71" t="s">
        <v>3221</v>
      </c>
      <c r="D116" s="72" t="s">
        <v>3222</v>
      </c>
      <c r="E116" s="16" t="s">
        <v>3223</v>
      </c>
      <c r="F116" s="16" t="n">
        <v>1283.4</v>
      </c>
      <c r="G116" s="16" t="n">
        <v>267</v>
      </c>
      <c r="H116" s="16" t="n">
        <v>1447</v>
      </c>
      <c r="I116" s="16" t="n">
        <v>748</v>
      </c>
      <c r="J116" s="16" t="n">
        <v>699</v>
      </c>
      <c r="K116" s="16" t="n">
        <v>319</v>
      </c>
      <c r="L116" s="19" t="n">
        <f aca="false">(K116/H116)*100</f>
        <v>22.0456116102281</v>
      </c>
      <c r="M116" s="16" t="n">
        <v>83</v>
      </c>
      <c r="N116" s="19" t="n">
        <f aca="false">(M116/H116)*100</f>
        <v>5.73600552868003</v>
      </c>
      <c r="O116" s="16" t="n">
        <v>35</v>
      </c>
      <c r="P116" s="16" t="n">
        <v>0</v>
      </c>
      <c r="Q116" s="20" t="s">
        <v>49</v>
      </c>
      <c r="R116" s="25" t="n">
        <v>44959</v>
      </c>
      <c r="S116" s="16"/>
      <c r="T116" s="92" t="n">
        <v>42.33</v>
      </c>
      <c r="U116" s="16"/>
      <c r="V116" s="16"/>
      <c r="W116" s="16"/>
      <c r="X116" s="16"/>
      <c r="Y116" s="16"/>
      <c r="Z116" s="16"/>
      <c r="AA116" s="89" t="s">
        <v>266</v>
      </c>
      <c r="AB116" s="76" t="n">
        <v>12</v>
      </c>
      <c r="AC116" s="304" t="s">
        <v>3224</v>
      </c>
      <c r="AD116" s="92" t="n">
        <v>26.060256</v>
      </c>
      <c r="AE116" s="92" t="n">
        <v>72.979336</v>
      </c>
    </row>
    <row r="117" customFormat="false" ht="31.5" hidden="false" customHeight="false" outlineLevel="0" collapsed="false">
      <c r="A117" s="16"/>
      <c r="B117" s="16"/>
      <c r="C117" s="71"/>
      <c r="D117" s="72"/>
      <c r="E117" s="16"/>
      <c r="F117" s="16"/>
      <c r="G117" s="16"/>
      <c r="H117" s="16"/>
      <c r="I117" s="16"/>
      <c r="J117" s="16"/>
      <c r="K117" s="16"/>
      <c r="L117" s="19"/>
      <c r="M117" s="16"/>
      <c r="N117" s="19"/>
      <c r="O117" s="16"/>
      <c r="P117" s="16"/>
      <c r="Q117" s="228" t="s">
        <v>49</v>
      </c>
      <c r="R117" s="234"/>
      <c r="S117" s="16"/>
      <c r="T117" s="93"/>
      <c r="U117" s="16"/>
      <c r="V117" s="16"/>
      <c r="W117" s="16"/>
      <c r="X117" s="16"/>
      <c r="Y117" s="16"/>
      <c r="Z117" s="16"/>
      <c r="AA117" s="89" t="s">
        <v>266</v>
      </c>
      <c r="AB117" s="302" t="n">
        <v>10</v>
      </c>
      <c r="AC117" s="303" t="s">
        <v>3225</v>
      </c>
      <c r="AD117" s="93" t="n">
        <v>26.070459</v>
      </c>
      <c r="AE117" s="93" t="n">
        <v>72.910371</v>
      </c>
    </row>
    <row r="118" customFormat="false" ht="15.75" hidden="false" customHeight="false" outlineLevel="0" collapsed="false">
      <c r="A118" s="16" t="s">
        <v>42</v>
      </c>
      <c r="B118" s="16" t="s">
        <v>2976</v>
      </c>
      <c r="C118" s="71" t="s">
        <v>3221</v>
      </c>
      <c r="D118" s="16" t="s">
        <v>3226</v>
      </c>
      <c r="E118" s="16" t="s">
        <v>3227</v>
      </c>
      <c r="F118" s="16" t="n">
        <v>946.61</v>
      </c>
      <c r="G118" s="16" t="n">
        <v>263</v>
      </c>
      <c r="H118" s="16" t="n">
        <v>1221</v>
      </c>
      <c r="I118" s="16" t="n">
        <v>619</v>
      </c>
      <c r="J118" s="16" t="n">
        <v>602</v>
      </c>
      <c r="K118" s="16" t="n">
        <v>355</v>
      </c>
      <c r="L118" s="19" t="n">
        <f aca="false">(K118/H118)*100</f>
        <v>29.0745290745291</v>
      </c>
      <c r="M118" s="16" t="n">
        <v>93</v>
      </c>
      <c r="N118" s="19" t="n">
        <f aca="false">(M118/H118)*100</f>
        <v>7.61670761670762</v>
      </c>
      <c r="O118" s="16" t="n">
        <v>0</v>
      </c>
      <c r="P118" s="16" t="n">
        <v>0</v>
      </c>
      <c r="Q118" s="20" t="s">
        <v>49</v>
      </c>
      <c r="R118" s="34" t="n">
        <v>44959</v>
      </c>
      <c r="S118" s="16"/>
      <c r="T118" s="89" t="n">
        <v>7.68</v>
      </c>
      <c r="U118" s="16"/>
      <c r="V118" s="16"/>
      <c r="W118" s="16"/>
      <c r="X118" s="16"/>
      <c r="Y118" s="16"/>
      <c r="Z118" s="16"/>
      <c r="AA118" s="89" t="s">
        <v>266</v>
      </c>
      <c r="AB118" s="289" t="n">
        <v>0</v>
      </c>
      <c r="AC118" s="300"/>
      <c r="AD118" s="89" t="n">
        <v>0</v>
      </c>
      <c r="AE118" s="89" t="n">
        <v>0</v>
      </c>
    </row>
    <row r="119" customFormat="false" ht="15.75" hidden="false" customHeight="false" outlineLevel="0" collapsed="false">
      <c r="A119" s="16" t="s">
        <v>42</v>
      </c>
      <c r="B119" s="16" t="s">
        <v>2976</v>
      </c>
      <c r="C119" s="71" t="s">
        <v>3228</v>
      </c>
      <c r="D119" s="72" t="s">
        <v>3229</v>
      </c>
      <c r="E119" s="16" t="s">
        <v>3230</v>
      </c>
      <c r="F119" s="16" t="n">
        <v>2742</v>
      </c>
      <c r="G119" s="16" t="n">
        <v>448</v>
      </c>
      <c r="H119" s="16" t="n">
        <v>2508</v>
      </c>
      <c r="I119" s="16" t="n">
        <v>1279</v>
      </c>
      <c r="J119" s="16" t="n">
        <v>1229</v>
      </c>
      <c r="K119" s="16" t="n">
        <v>382</v>
      </c>
      <c r="L119" s="19" t="n">
        <f aca="false">(K119/H119)*100</f>
        <v>15.2312599681021</v>
      </c>
      <c r="M119" s="16" t="n">
        <v>28</v>
      </c>
      <c r="N119" s="19" t="n">
        <f aca="false">(M119/H119)*100</f>
        <v>1.11642743221691</v>
      </c>
      <c r="O119" s="16" t="n">
        <v>0</v>
      </c>
      <c r="P119" s="16" t="n">
        <v>0</v>
      </c>
      <c r="Q119" s="20" t="s">
        <v>49</v>
      </c>
      <c r="R119" s="34" t="n">
        <v>44879</v>
      </c>
      <c r="S119" s="16"/>
      <c r="T119" s="20" t="n">
        <v>2.6385</v>
      </c>
      <c r="U119" s="16"/>
      <c r="V119" s="16"/>
      <c r="W119" s="16"/>
      <c r="X119" s="16"/>
      <c r="Y119" s="16"/>
      <c r="Z119" s="16"/>
      <c r="AA119" s="119" t="s">
        <v>266</v>
      </c>
      <c r="AB119" s="89" t="n">
        <v>10</v>
      </c>
      <c r="AC119" s="90" t="s">
        <v>3231</v>
      </c>
      <c r="AD119" s="20"/>
      <c r="AE119" s="20"/>
    </row>
    <row r="120" customFormat="false" ht="15.75" hidden="false" customHeight="false" outlineLevel="0" collapsed="false">
      <c r="A120" s="16"/>
      <c r="B120" s="16"/>
      <c r="C120" s="71"/>
      <c r="D120" s="72"/>
      <c r="E120" s="16"/>
      <c r="F120" s="16"/>
      <c r="G120" s="16"/>
      <c r="H120" s="16"/>
      <c r="I120" s="16"/>
      <c r="J120" s="16"/>
      <c r="K120" s="16"/>
      <c r="L120" s="19"/>
      <c r="M120" s="16"/>
      <c r="N120" s="19"/>
      <c r="O120" s="16"/>
      <c r="P120" s="16"/>
      <c r="Q120" s="228" t="s">
        <v>49</v>
      </c>
      <c r="R120" s="234" t="n">
        <v>44879</v>
      </c>
      <c r="S120" s="16"/>
      <c r="T120" s="228"/>
      <c r="U120" s="16"/>
      <c r="V120" s="16"/>
      <c r="W120" s="16"/>
      <c r="X120" s="16"/>
      <c r="Y120" s="16"/>
      <c r="Z120" s="16"/>
      <c r="AA120" s="232" t="s">
        <v>266</v>
      </c>
      <c r="AB120" s="93" t="n">
        <v>10</v>
      </c>
      <c r="AC120" s="98" t="s">
        <v>3232</v>
      </c>
      <c r="AD120" s="228"/>
      <c r="AE120" s="228"/>
    </row>
    <row r="121" customFormat="false" ht="15.75" hidden="false" customHeight="false" outlineLevel="0" collapsed="false">
      <c r="A121" s="16" t="s">
        <v>42</v>
      </c>
      <c r="B121" s="16" t="s">
        <v>2976</v>
      </c>
      <c r="C121" s="71" t="s">
        <v>3228</v>
      </c>
      <c r="D121" s="16" t="s">
        <v>3233</v>
      </c>
      <c r="E121" s="16" t="s">
        <v>3234</v>
      </c>
      <c r="F121" s="16" t="n">
        <v>679.52</v>
      </c>
      <c r="G121" s="16" t="n">
        <v>76</v>
      </c>
      <c r="H121" s="16" t="n">
        <v>382</v>
      </c>
      <c r="I121" s="16" t="n">
        <v>195</v>
      </c>
      <c r="J121" s="16" t="n">
        <v>187</v>
      </c>
      <c r="K121" s="16" t="n">
        <v>5</v>
      </c>
      <c r="L121" s="19" t="n">
        <f aca="false">(K121/H121)*100</f>
        <v>1.30890052356021</v>
      </c>
      <c r="M121" s="16" t="n">
        <v>0</v>
      </c>
      <c r="N121" s="19" t="n">
        <f aca="false">(M121/H121)*100</f>
        <v>0</v>
      </c>
      <c r="O121" s="16" t="n">
        <v>0</v>
      </c>
      <c r="P121" s="16" t="n">
        <v>0</v>
      </c>
      <c r="Q121" s="20" t="s">
        <v>49</v>
      </c>
      <c r="R121" s="34" t="n">
        <v>44879</v>
      </c>
      <c r="S121" s="16"/>
      <c r="T121" s="20" t="n">
        <v>0</v>
      </c>
      <c r="U121" s="16"/>
      <c r="V121" s="16"/>
      <c r="W121" s="16"/>
      <c r="X121" s="16"/>
      <c r="Y121" s="16"/>
      <c r="Z121" s="16"/>
      <c r="AA121" s="119"/>
      <c r="AB121" s="89"/>
      <c r="AC121" s="90" t="n">
        <v>0</v>
      </c>
      <c r="AD121" s="20" t="n">
        <v>0</v>
      </c>
      <c r="AE121" s="20" t="n">
        <v>0</v>
      </c>
    </row>
    <row r="122" customFormat="false" ht="15.75" hidden="false" customHeight="false" outlineLevel="0" collapsed="false">
      <c r="A122" s="16" t="s">
        <v>42</v>
      </c>
      <c r="B122" s="16" t="s">
        <v>2976</v>
      </c>
      <c r="C122" s="71" t="s">
        <v>3228</v>
      </c>
      <c r="D122" s="16" t="s">
        <v>3235</v>
      </c>
      <c r="E122" s="16" t="s">
        <v>3236</v>
      </c>
      <c r="F122" s="16" t="n">
        <v>1544.44</v>
      </c>
      <c r="G122" s="16" t="n">
        <v>203</v>
      </c>
      <c r="H122" s="16" t="n">
        <v>985</v>
      </c>
      <c r="I122" s="16" t="n">
        <v>504</v>
      </c>
      <c r="J122" s="16" t="n">
        <v>481</v>
      </c>
      <c r="K122" s="16" t="n">
        <v>84</v>
      </c>
      <c r="L122" s="19" t="n">
        <f aca="false">(K122/H122)*100</f>
        <v>8.52791878172589</v>
      </c>
      <c r="M122" s="16" t="n">
        <v>274</v>
      </c>
      <c r="N122" s="19" t="n">
        <f aca="false">(M122/H122)*100</f>
        <v>27.8172588832487</v>
      </c>
      <c r="O122" s="16" t="n">
        <v>87.96</v>
      </c>
      <c r="P122" s="16" t="n">
        <v>3.69</v>
      </c>
      <c r="Q122" s="20" t="s">
        <v>49</v>
      </c>
      <c r="R122" s="34" t="n">
        <v>44879</v>
      </c>
      <c r="S122" s="16"/>
      <c r="T122" s="20" t="n">
        <v>54.9805</v>
      </c>
      <c r="U122" s="16"/>
      <c r="V122" s="16"/>
      <c r="W122" s="16"/>
      <c r="X122" s="16"/>
      <c r="Y122" s="16"/>
      <c r="Z122" s="16"/>
      <c r="AA122" s="119" t="s">
        <v>266</v>
      </c>
      <c r="AB122" s="89" t="n">
        <v>10</v>
      </c>
      <c r="AC122" s="90" t="s">
        <v>3237</v>
      </c>
      <c r="AD122" s="20"/>
      <c r="AE122" s="20"/>
    </row>
    <row r="123" customFormat="false" ht="15.75" hidden="false" customHeight="false" outlineLevel="0" collapsed="false">
      <c r="A123" s="16"/>
      <c r="B123" s="16"/>
      <c r="C123" s="71"/>
      <c r="D123" s="16"/>
      <c r="E123" s="16"/>
      <c r="F123" s="16"/>
      <c r="G123" s="16"/>
      <c r="H123" s="16"/>
      <c r="I123" s="16"/>
      <c r="J123" s="16"/>
      <c r="K123" s="16"/>
      <c r="L123" s="19"/>
      <c r="M123" s="16"/>
      <c r="N123" s="19"/>
      <c r="O123" s="16"/>
      <c r="P123" s="16"/>
      <c r="Q123" s="228" t="s">
        <v>49</v>
      </c>
      <c r="R123" s="234" t="n">
        <v>44879</v>
      </c>
      <c r="S123" s="16"/>
      <c r="T123" s="228"/>
      <c r="U123" s="16"/>
      <c r="V123" s="16"/>
      <c r="W123" s="16"/>
      <c r="X123" s="16"/>
      <c r="Y123" s="16"/>
      <c r="Z123" s="16"/>
      <c r="AA123" s="232" t="s">
        <v>266</v>
      </c>
      <c r="AB123" s="93" t="n">
        <v>15</v>
      </c>
      <c r="AC123" s="98" t="s">
        <v>3238</v>
      </c>
      <c r="AD123" s="228"/>
      <c r="AE123" s="228"/>
    </row>
    <row r="124" customFormat="false" ht="15.75" hidden="false" customHeight="false" outlineLevel="0" collapsed="false">
      <c r="A124" s="16"/>
      <c r="B124" s="16"/>
      <c r="C124" s="71"/>
      <c r="D124" s="16"/>
      <c r="E124" s="16"/>
      <c r="F124" s="16"/>
      <c r="G124" s="16"/>
      <c r="H124" s="16"/>
      <c r="I124" s="16"/>
      <c r="J124" s="16"/>
      <c r="K124" s="16"/>
      <c r="L124" s="19"/>
      <c r="M124" s="16"/>
      <c r="N124" s="19"/>
      <c r="O124" s="16"/>
      <c r="P124" s="16"/>
      <c r="Q124" s="228" t="s">
        <v>49</v>
      </c>
      <c r="R124" s="234" t="n">
        <v>44879</v>
      </c>
      <c r="S124" s="16"/>
      <c r="T124" s="228"/>
      <c r="U124" s="16"/>
      <c r="V124" s="16"/>
      <c r="W124" s="16"/>
      <c r="X124" s="16"/>
      <c r="Y124" s="16"/>
      <c r="Z124" s="16"/>
      <c r="AA124" s="232" t="s">
        <v>266</v>
      </c>
      <c r="AB124" s="93" t="n">
        <v>15</v>
      </c>
      <c r="AC124" s="98" t="s">
        <v>3239</v>
      </c>
      <c r="AD124" s="228"/>
      <c r="AE124" s="228"/>
    </row>
    <row r="125" customFormat="false" ht="15.75" hidden="false" customHeight="false" outlineLevel="0" collapsed="false">
      <c r="A125" s="16"/>
      <c r="B125" s="16"/>
      <c r="C125" s="71"/>
      <c r="D125" s="16"/>
      <c r="E125" s="16"/>
      <c r="F125" s="16"/>
      <c r="G125" s="16"/>
      <c r="H125" s="16"/>
      <c r="I125" s="16"/>
      <c r="J125" s="16"/>
      <c r="K125" s="16"/>
      <c r="L125" s="19"/>
      <c r="M125" s="16"/>
      <c r="N125" s="19"/>
      <c r="O125" s="16"/>
      <c r="P125" s="16"/>
      <c r="Q125" s="228" t="s">
        <v>49</v>
      </c>
      <c r="R125" s="234" t="n">
        <v>44879</v>
      </c>
      <c r="S125" s="16"/>
      <c r="T125" s="228"/>
      <c r="U125" s="16"/>
      <c r="V125" s="16"/>
      <c r="W125" s="16"/>
      <c r="X125" s="16"/>
      <c r="Y125" s="16"/>
      <c r="Z125" s="16"/>
      <c r="AA125" s="232" t="s">
        <v>266</v>
      </c>
      <c r="AB125" s="93" t="n">
        <v>15</v>
      </c>
      <c r="AC125" s="98" t="s">
        <v>3240</v>
      </c>
      <c r="AD125" s="228"/>
      <c r="AE125" s="228"/>
    </row>
    <row r="126" customFormat="false" ht="15.75" hidden="false" customHeight="false" outlineLevel="0" collapsed="false">
      <c r="A126" s="16" t="s">
        <v>42</v>
      </c>
      <c r="B126" s="16" t="s">
        <v>2976</v>
      </c>
      <c r="C126" s="71" t="s">
        <v>3228</v>
      </c>
      <c r="D126" s="16" t="s">
        <v>3241</v>
      </c>
      <c r="E126" s="16" t="s">
        <v>3242</v>
      </c>
      <c r="F126" s="16" t="n">
        <v>851</v>
      </c>
      <c r="G126" s="16" t="n">
        <v>74</v>
      </c>
      <c r="H126" s="16" t="n">
        <v>416</v>
      </c>
      <c r="I126" s="16" t="n">
        <v>231</v>
      </c>
      <c r="J126" s="16" t="n">
        <v>185</v>
      </c>
      <c r="K126" s="16" t="n">
        <v>49</v>
      </c>
      <c r="L126" s="19" t="n">
        <f aca="false">(K126/H126)*100</f>
        <v>11.7788461538462</v>
      </c>
      <c r="M126" s="16" t="n">
        <v>0</v>
      </c>
      <c r="N126" s="19" t="n">
        <f aca="false">(M126/H126)*100</f>
        <v>0</v>
      </c>
      <c r="O126" s="16" t="n">
        <v>0</v>
      </c>
      <c r="P126" s="16" t="n">
        <v>0</v>
      </c>
      <c r="Q126" s="20" t="s">
        <v>49</v>
      </c>
      <c r="R126" s="34" t="n">
        <v>44879</v>
      </c>
      <c r="S126" s="16"/>
      <c r="T126" s="20"/>
      <c r="U126" s="16"/>
      <c r="V126" s="16"/>
      <c r="W126" s="16"/>
      <c r="X126" s="16"/>
      <c r="Y126" s="16"/>
      <c r="Z126" s="16"/>
      <c r="AA126" s="119" t="s">
        <v>266</v>
      </c>
      <c r="AB126" s="89" t="n">
        <v>10</v>
      </c>
      <c r="AC126" s="90" t="s">
        <v>3243</v>
      </c>
      <c r="AD126" s="20"/>
      <c r="AE126" s="20"/>
    </row>
    <row r="127" customFormat="false" ht="15.75" hidden="false" customHeight="false" outlineLevel="0" collapsed="false">
      <c r="A127" s="16" t="s">
        <v>42</v>
      </c>
      <c r="B127" s="16" t="s">
        <v>2976</v>
      </c>
      <c r="C127" s="71" t="s">
        <v>3228</v>
      </c>
      <c r="D127" s="16" t="s">
        <v>3244</v>
      </c>
      <c r="E127" s="16" t="s">
        <v>3245</v>
      </c>
      <c r="F127" s="16" t="n">
        <v>691.83</v>
      </c>
      <c r="G127" s="16" t="n">
        <v>235</v>
      </c>
      <c r="H127" s="16" t="n">
        <v>1098</v>
      </c>
      <c r="I127" s="16" t="n">
        <v>563</v>
      </c>
      <c r="J127" s="16" t="n">
        <v>535</v>
      </c>
      <c r="K127" s="16" t="n">
        <v>0</v>
      </c>
      <c r="L127" s="19" t="n">
        <f aca="false">(K127/H127)*100</f>
        <v>0</v>
      </c>
      <c r="M127" s="16" t="n">
        <v>0</v>
      </c>
      <c r="N127" s="19" t="n">
        <f aca="false">(M127/H127)*100</f>
        <v>0</v>
      </c>
      <c r="O127" s="16" t="n">
        <v>0</v>
      </c>
      <c r="P127" s="16" t="n">
        <v>0</v>
      </c>
      <c r="Q127" s="20" t="s">
        <v>49</v>
      </c>
      <c r="R127" s="34" t="n">
        <v>44879</v>
      </c>
      <c r="S127" s="16"/>
      <c r="T127" s="20"/>
      <c r="U127" s="16"/>
      <c r="V127" s="16"/>
      <c r="W127" s="16"/>
      <c r="X127" s="16"/>
      <c r="Y127" s="16"/>
      <c r="Z127" s="16"/>
      <c r="AA127" s="119" t="s">
        <v>266</v>
      </c>
      <c r="AB127" s="89" t="n">
        <v>10</v>
      </c>
      <c r="AC127" s="90" t="s">
        <v>3246</v>
      </c>
      <c r="AD127" s="20"/>
      <c r="AE127" s="20"/>
    </row>
    <row r="128" customFormat="false" ht="31.5" hidden="false" customHeight="false" outlineLevel="0" collapsed="false">
      <c r="A128" s="16" t="s">
        <v>42</v>
      </c>
      <c r="B128" s="16" t="s">
        <v>2976</v>
      </c>
      <c r="C128" s="71" t="s">
        <v>3228</v>
      </c>
      <c r="D128" s="16" t="s">
        <v>3247</v>
      </c>
      <c r="E128" s="16" t="s">
        <v>3248</v>
      </c>
      <c r="F128" s="16" t="n">
        <v>838.2</v>
      </c>
      <c r="G128" s="16" t="n">
        <v>80</v>
      </c>
      <c r="H128" s="16" t="n">
        <v>455</v>
      </c>
      <c r="I128" s="16" t="n">
        <v>223</v>
      </c>
      <c r="J128" s="16" t="n">
        <v>232</v>
      </c>
      <c r="K128" s="16" t="n">
        <v>0</v>
      </c>
      <c r="L128" s="19" t="n">
        <f aca="false">(K128/H128)*100</f>
        <v>0</v>
      </c>
      <c r="M128" s="16" t="n">
        <v>0</v>
      </c>
      <c r="N128" s="19" t="n">
        <f aca="false">(M128/H128)*100</f>
        <v>0</v>
      </c>
      <c r="O128" s="16" t="n">
        <v>0</v>
      </c>
      <c r="P128" s="16" t="n">
        <v>0</v>
      </c>
      <c r="Q128" s="20" t="s">
        <v>49</v>
      </c>
      <c r="R128" s="34" t="n">
        <v>44879</v>
      </c>
      <c r="S128" s="16"/>
      <c r="T128" s="20" t="n">
        <v>8.5146</v>
      </c>
      <c r="U128" s="16"/>
      <c r="V128" s="16"/>
      <c r="W128" s="16"/>
      <c r="X128" s="16"/>
      <c r="Y128" s="16"/>
      <c r="Z128" s="16"/>
      <c r="AA128" s="119" t="s">
        <v>266</v>
      </c>
      <c r="AB128" s="89" t="n">
        <v>10</v>
      </c>
      <c r="AC128" s="90" t="s">
        <v>3249</v>
      </c>
      <c r="AD128" s="20"/>
      <c r="AE128" s="20"/>
    </row>
    <row r="129" customFormat="false" ht="15.75" hidden="false" customHeight="false" outlineLevel="0" collapsed="false">
      <c r="A129" s="16" t="s">
        <v>42</v>
      </c>
      <c r="B129" s="16" t="s">
        <v>2976</v>
      </c>
      <c r="C129" s="71" t="s">
        <v>3228</v>
      </c>
      <c r="D129" s="16" t="s">
        <v>3250</v>
      </c>
      <c r="E129" s="16" t="s">
        <v>3251</v>
      </c>
      <c r="F129" s="16" t="n">
        <v>1204.2</v>
      </c>
      <c r="G129" s="16" t="n">
        <v>340</v>
      </c>
      <c r="H129" s="16" t="n">
        <v>1787</v>
      </c>
      <c r="I129" s="16" t="n">
        <v>924</v>
      </c>
      <c r="J129" s="16" t="n">
        <v>863</v>
      </c>
      <c r="K129" s="16" t="n">
        <v>1314</v>
      </c>
      <c r="L129" s="19" t="n">
        <f aca="false">(K129/H129)*100</f>
        <v>73.5310576385003</v>
      </c>
      <c r="M129" s="16" t="n">
        <v>0</v>
      </c>
      <c r="N129" s="19" t="n">
        <f aca="false">(M129/H129)*100</f>
        <v>0</v>
      </c>
      <c r="O129" s="16" t="n">
        <v>0</v>
      </c>
      <c r="P129" s="16" t="n">
        <v>0</v>
      </c>
      <c r="Q129" s="20" t="s">
        <v>49</v>
      </c>
      <c r="R129" s="34" t="n">
        <v>44879</v>
      </c>
      <c r="S129" s="16"/>
      <c r="T129" s="20"/>
      <c r="U129" s="16"/>
      <c r="V129" s="16"/>
      <c r="W129" s="16"/>
      <c r="X129" s="16"/>
      <c r="Y129" s="16"/>
      <c r="Z129" s="16"/>
      <c r="AA129" s="119" t="s">
        <v>266</v>
      </c>
      <c r="AB129" s="89" t="n">
        <v>10</v>
      </c>
      <c r="AC129" s="90" t="s">
        <v>3252</v>
      </c>
      <c r="AD129" s="20"/>
      <c r="AE129" s="20"/>
    </row>
    <row r="130" customFormat="false" ht="15.75" hidden="false" customHeight="false" outlineLevel="0" collapsed="false">
      <c r="A130" s="16"/>
      <c r="B130" s="16"/>
      <c r="C130" s="71"/>
      <c r="D130" s="16"/>
      <c r="E130" s="16"/>
      <c r="F130" s="16"/>
      <c r="G130" s="16"/>
      <c r="H130" s="16"/>
      <c r="I130" s="16"/>
      <c r="J130" s="16"/>
      <c r="K130" s="16"/>
      <c r="L130" s="19"/>
      <c r="M130" s="16"/>
      <c r="N130" s="19"/>
      <c r="O130" s="16"/>
      <c r="P130" s="16"/>
      <c r="Q130" s="228" t="s">
        <v>49</v>
      </c>
      <c r="R130" s="234" t="n">
        <v>44879</v>
      </c>
      <c r="S130" s="16"/>
      <c r="T130" s="228"/>
      <c r="U130" s="16"/>
      <c r="V130" s="16"/>
      <c r="W130" s="16"/>
      <c r="X130" s="16"/>
      <c r="Y130" s="16"/>
      <c r="Z130" s="16"/>
      <c r="AA130" s="232" t="s">
        <v>266</v>
      </c>
      <c r="AB130" s="93" t="n">
        <v>10</v>
      </c>
      <c r="AC130" s="98" t="s">
        <v>3253</v>
      </c>
      <c r="AD130" s="228"/>
      <c r="AE130" s="228"/>
    </row>
    <row r="131" customFormat="false" ht="31.5" hidden="false" customHeight="false" outlineLevel="0" collapsed="false">
      <c r="A131" s="16" t="s">
        <v>42</v>
      </c>
      <c r="B131" s="16" t="s">
        <v>2976</v>
      </c>
      <c r="C131" s="71" t="s">
        <v>3254</v>
      </c>
      <c r="D131" s="72" t="s">
        <v>3255</v>
      </c>
      <c r="E131" s="16" t="s">
        <v>3256</v>
      </c>
      <c r="F131" s="16" t="n">
        <v>2222.3</v>
      </c>
      <c r="G131" s="16" t="n">
        <v>559</v>
      </c>
      <c r="H131" s="16" t="n">
        <v>2871</v>
      </c>
      <c r="I131" s="16" t="n">
        <v>1459</v>
      </c>
      <c r="J131" s="16" t="n">
        <v>1412</v>
      </c>
      <c r="K131" s="16" t="n">
        <v>537</v>
      </c>
      <c r="L131" s="19" t="n">
        <f aca="false">(K131/H131)*100</f>
        <v>18.7042842215256</v>
      </c>
      <c r="M131" s="16" t="n">
        <v>13</v>
      </c>
      <c r="N131" s="19" t="n">
        <f aca="false">(M131/H131)*100</f>
        <v>0.452803901079763</v>
      </c>
      <c r="O131" s="16" t="n">
        <v>0</v>
      </c>
      <c r="P131" s="16" t="n">
        <v>0</v>
      </c>
      <c r="Q131" s="20" t="s">
        <v>49</v>
      </c>
      <c r="R131" s="34" t="n">
        <v>45201</v>
      </c>
      <c r="S131" s="16"/>
      <c r="T131" s="20" t="n">
        <v>50.011</v>
      </c>
      <c r="U131" s="16"/>
      <c r="V131" s="16"/>
      <c r="W131" s="16"/>
      <c r="X131" s="16"/>
      <c r="Y131" s="16"/>
      <c r="Z131" s="16"/>
      <c r="AA131" s="89" t="s">
        <v>50</v>
      </c>
      <c r="AB131" s="89" t="n">
        <v>8</v>
      </c>
      <c r="AC131" s="90" t="s">
        <v>3257</v>
      </c>
      <c r="AD131" s="20"/>
      <c r="AE131" s="20"/>
    </row>
    <row r="132" customFormat="false" ht="15.75" hidden="false" customHeight="false" outlineLevel="0" collapsed="false">
      <c r="A132" s="16" t="s">
        <v>42</v>
      </c>
      <c r="B132" s="16" t="s">
        <v>2976</v>
      </c>
      <c r="C132" s="71" t="s">
        <v>3254</v>
      </c>
      <c r="D132" s="16" t="s">
        <v>3258</v>
      </c>
      <c r="E132" s="16" t="s">
        <v>3259</v>
      </c>
      <c r="F132" s="16" t="n">
        <v>725.4</v>
      </c>
      <c r="G132" s="16" t="n">
        <v>66</v>
      </c>
      <c r="H132" s="16" t="n">
        <v>349</v>
      </c>
      <c r="I132" s="16" t="n">
        <v>182</v>
      </c>
      <c r="J132" s="16" t="n">
        <v>167</v>
      </c>
      <c r="K132" s="16" t="n">
        <v>0</v>
      </c>
      <c r="L132" s="19" t="n">
        <f aca="false">(K132/H132)*100</f>
        <v>0</v>
      </c>
      <c r="M132" s="16" t="n">
        <v>0</v>
      </c>
      <c r="N132" s="19" t="n">
        <f aca="false">(M132/H132)*100</f>
        <v>0</v>
      </c>
      <c r="O132" s="16" t="n">
        <v>0</v>
      </c>
      <c r="P132" s="16" t="n">
        <v>0</v>
      </c>
      <c r="Q132" s="20" t="s">
        <v>49</v>
      </c>
      <c r="R132" s="34" t="n">
        <v>45201</v>
      </c>
      <c r="S132" s="16"/>
      <c r="T132" s="20"/>
      <c r="U132" s="16"/>
      <c r="V132" s="16"/>
      <c r="W132" s="16"/>
      <c r="X132" s="16"/>
      <c r="Y132" s="16"/>
      <c r="Z132" s="16"/>
      <c r="AA132" s="89" t="s">
        <v>50</v>
      </c>
      <c r="AB132" s="89" t="n">
        <v>0</v>
      </c>
      <c r="AC132" s="90"/>
      <c r="AD132" s="20"/>
      <c r="AE132" s="20"/>
    </row>
    <row r="133" customFormat="false" ht="15.75" hidden="false" customHeight="false" outlineLevel="0" collapsed="false">
      <c r="A133" s="16" t="s">
        <v>42</v>
      </c>
      <c r="B133" s="16" t="s">
        <v>2976</v>
      </c>
      <c r="C133" s="71" t="s">
        <v>3260</v>
      </c>
      <c r="D133" s="72" t="s">
        <v>3261</v>
      </c>
      <c r="E133" s="16" t="s">
        <v>3262</v>
      </c>
      <c r="F133" s="16" t="n">
        <v>1621</v>
      </c>
      <c r="G133" s="16" t="n">
        <v>491</v>
      </c>
      <c r="H133" s="16" t="n">
        <v>2844</v>
      </c>
      <c r="I133" s="16" t="n">
        <v>1480</v>
      </c>
      <c r="J133" s="16" t="n">
        <v>1364</v>
      </c>
      <c r="K133" s="16" t="n">
        <v>934</v>
      </c>
      <c r="L133" s="19" t="n">
        <f aca="false">(K133/H133)*100</f>
        <v>32.8410689170183</v>
      </c>
      <c r="M133" s="16" t="n">
        <v>78</v>
      </c>
      <c r="N133" s="19" t="n">
        <f aca="false">(M133/H133)*100</f>
        <v>2.74261603375527</v>
      </c>
      <c r="O133" s="16" t="n">
        <v>50</v>
      </c>
      <c r="P133" s="16" t="n">
        <v>0</v>
      </c>
      <c r="Q133" s="16"/>
      <c r="R133" s="87"/>
      <c r="S133" s="16"/>
      <c r="T133" s="16"/>
      <c r="U133" s="16"/>
      <c r="V133" s="16"/>
      <c r="W133" s="16"/>
      <c r="X133" s="16"/>
      <c r="Y133" s="16"/>
      <c r="Z133" s="16"/>
      <c r="AA133" s="88"/>
      <c r="AB133" s="88"/>
      <c r="AC133" s="28"/>
      <c r="AD133" s="16"/>
      <c r="AE133" s="16"/>
    </row>
    <row r="134" customFormat="false" ht="15.75" hidden="false" customHeight="false" outlineLevel="0" collapsed="false">
      <c r="A134" s="16" t="s">
        <v>42</v>
      </c>
      <c r="B134" s="16" t="s">
        <v>2976</v>
      </c>
      <c r="C134" s="71" t="s">
        <v>3260</v>
      </c>
      <c r="D134" s="16" t="s">
        <v>3263</v>
      </c>
      <c r="E134" s="16" t="s">
        <v>3264</v>
      </c>
      <c r="F134" s="16" t="n">
        <v>890</v>
      </c>
      <c r="G134" s="16" t="n">
        <v>258</v>
      </c>
      <c r="H134" s="16" t="n">
        <v>1561</v>
      </c>
      <c r="I134" s="16" t="n">
        <v>779</v>
      </c>
      <c r="J134" s="16" t="n">
        <v>782</v>
      </c>
      <c r="K134" s="16" t="n">
        <v>451</v>
      </c>
      <c r="L134" s="19" t="n">
        <f aca="false">(K134/H134)*100</f>
        <v>28.891736066624</v>
      </c>
      <c r="M134" s="16" t="n">
        <v>233</v>
      </c>
      <c r="N134" s="19" t="n">
        <f aca="false">(M134/H134)*100</f>
        <v>14.9263292761051</v>
      </c>
      <c r="O134" s="16" t="n">
        <v>14</v>
      </c>
      <c r="P134" s="16" t="n">
        <v>0</v>
      </c>
      <c r="Q134" s="16"/>
      <c r="R134" s="87"/>
      <c r="S134" s="16"/>
      <c r="T134" s="16"/>
      <c r="U134" s="16"/>
      <c r="V134" s="16"/>
      <c r="W134" s="16"/>
      <c r="X134" s="16"/>
      <c r="Y134" s="16"/>
      <c r="Z134" s="16"/>
      <c r="AA134" s="88"/>
      <c r="AB134" s="88"/>
      <c r="AC134" s="28"/>
      <c r="AD134" s="16"/>
      <c r="AE134" s="16"/>
    </row>
    <row r="135" customFormat="false" ht="15.75" hidden="false" customHeight="false" outlineLevel="0" collapsed="false">
      <c r="F135" s="58" t="n">
        <f aca="false">SUM(F4:F134)</f>
        <v>111570.72</v>
      </c>
      <c r="G135" s="58" t="n">
        <f aca="false">SUM(G4:G134)</f>
        <v>27921</v>
      </c>
      <c r="H135" s="58" t="n">
        <f aca="false">SUM(H4:H134)</f>
        <v>159336</v>
      </c>
      <c r="I135" s="58" t="n">
        <f aca="false">SUM(I4:I134)</f>
        <v>82269</v>
      </c>
      <c r="J135" s="58" t="n">
        <f aca="false">SUM(J4:J134)</f>
        <v>77067</v>
      </c>
      <c r="K135" s="58" t="n">
        <f aca="false">SUM(K4:K134)</f>
        <v>28641</v>
      </c>
      <c r="M135" s="58" t="n">
        <f aca="false">SUM(M4:M134)</f>
        <v>4902</v>
      </c>
      <c r="O135" s="58" t="n">
        <f aca="false">SUM(O4:O134)</f>
        <v>4032.86</v>
      </c>
      <c r="P135" s="58" t="n">
        <f aca="false">SUM(P4:P134)</f>
        <v>435.7</v>
      </c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16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F7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4" ySplit="2" topLeftCell="T3" activePane="bottomRight" state="frozen"/>
      <selection pane="topLeft" activeCell="A1" activeCellId="0" sqref="A1"/>
      <selection pane="topRight" activeCell="T1" activeCellId="0" sqref="T1"/>
      <selection pane="bottomLeft" activeCell="A3" activeCellId="0" sqref="A3"/>
      <selection pane="bottomRight" activeCell="T1" activeCellId="0" sqref="T1"/>
    </sheetView>
  </sheetViews>
  <sheetFormatPr defaultColWidth="9.14453125" defaultRowHeight="18.75" zeroHeight="false" outlineLevelRow="0" outlineLevelCol="0"/>
  <cols>
    <col collapsed="false" customWidth="true" hidden="false" outlineLevel="0" max="1" min="1" style="374" width="10"/>
    <col collapsed="false" customWidth="true" hidden="false" outlineLevel="0" max="2" min="2" style="374" width="9.85"/>
    <col collapsed="false" customWidth="true" hidden="false" outlineLevel="0" max="3" min="3" style="374" width="19.85"/>
    <col collapsed="false" customWidth="true" hidden="false" outlineLevel="0" max="4" min="4" style="374" width="21.43"/>
    <col collapsed="false" customWidth="true" hidden="false" outlineLevel="0" max="5" min="5" style="374" width="18.71"/>
    <col collapsed="false" customWidth="true" hidden="false" outlineLevel="0" max="6" min="6" style="374" width="11.43"/>
    <col collapsed="false" customWidth="true" hidden="false" outlineLevel="0" max="7" min="7" style="374" width="11.57"/>
    <col collapsed="false" customWidth="true" hidden="false" outlineLevel="0" max="8" min="8" style="374" width="10.71"/>
    <col collapsed="false" customWidth="true" hidden="false" outlineLevel="0" max="10" min="9" style="374" width="10.85"/>
    <col collapsed="false" customWidth="true" hidden="false" outlineLevel="0" max="11" min="11" style="374" width="10.71"/>
    <col collapsed="false" customWidth="true" hidden="false" outlineLevel="0" max="12" min="12" style="374" width="13.85"/>
    <col collapsed="false" customWidth="true" hidden="false" outlineLevel="0" max="13" min="13" style="374" width="10.71"/>
    <col collapsed="false" customWidth="true" hidden="false" outlineLevel="0" max="14" min="14" style="374" width="11"/>
    <col collapsed="false" customWidth="true" hidden="false" outlineLevel="0" max="15" min="15" style="374" width="13.71"/>
    <col collapsed="false" customWidth="true" hidden="false" outlineLevel="0" max="17" min="16" style="374" width="11.57"/>
    <col collapsed="false" customWidth="true" hidden="false" outlineLevel="0" max="18" min="18" style="374" width="15.28"/>
    <col collapsed="false" customWidth="true" hidden="false" outlineLevel="0" max="24" min="19" style="374" width="13.43"/>
    <col collapsed="false" customWidth="true" hidden="false" outlineLevel="0" max="25" min="25" style="374" width="15.43"/>
    <col collapsed="false" customWidth="true" hidden="false" outlineLevel="0" max="28" min="26" style="374" width="13.43"/>
    <col collapsed="false" customWidth="true" hidden="false" outlineLevel="0" max="29" min="29" style="374" width="37"/>
    <col collapsed="false" customWidth="true" hidden="false" outlineLevel="0" max="30" min="30" style="374" width="12.14"/>
    <col collapsed="false" customWidth="true" hidden="false" outlineLevel="0" max="31" min="31" style="374" width="17.28"/>
    <col collapsed="false" customWidth="true" hidden="false" outlineLevel="0" max="32" min="32" style="374" width="12.85"/>
    <col collapsed="false" customWidth="false" hidden="false" outlineLevel="0" max="1024" min="33" style="374" width="9.14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</row>
    <row r="2" s="376" customFormat="true" ht="141.75" hidden="false" customHeight="true" outlineLevel="0" collapsed="false">
      <c r="A2" s="216" t="s">
        <v>4</v>
      </c>
      <c r="B2" s="216" t="s">
        <v>5</v>
      </c>
      <c r="C2" s="216" t="s">
        <v>6</v>
      </c>
      <c r="D2" s="216" t="s">
        <v>7</v>
      </c>
      <c r="E2" s="216" t="s">
        <v>8</v>
      </c>
      <c r="F2" s="216" t="s">
        <v>9</v>
      </c>
      <c r="G2" s="216" t="s">
        <v>10</v>
      </c>
      <c r="H2" s="216" t="s">
        <v>11</v>
      </c>
      <c r="I2" s="216" t="s">
        <v>12</v>
      </c>
      <c r="J2" s="216" t="s">
        <v>13</v>
      </c>
      <c r="K2" s="217" t="s">
        <v>14</v>
      </c>
      <c r="L2" s="217"/>
      <c r="M2" s="217" t="s">
        <v>15</v>
      </c>
      <c r="N2" s="21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375" t="s">
        <v>1258</v>
      </c>
    </row>
    <row r="3" s="376" customFormat="true" ht="18.75" hidden="false" customHeight="false" outlineLevel="0" collapsed="false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378"/>
    </row>
    <row r="4" customFormat="false" ht="18.75" hidden="false" customHeight="false" outlineLevel="0" collapsed="false">
      <c r="A4" s="379" t="s">
        <v>42</v>
      </c>
      <c r="B4" s="379" t="s">
        <v>3265</v>
      </c>
      <c r="C4" s="378" t="s">
        <v>3266</v>
      </c>
      <c r="D4" s="380" t="s">
        <v>3266</v>
      </c>
      <c r="E4" s="379" t="s">
        <v>3267</v>
      </c>
      <c r="F4" s="379" t="n">
        <v>816</v>
      </c>
      <c r="G4" s="379" t="n">
        <v>259</v>
      </c>
      <c r="H4" s="379" t="n">
        <v>1424</v>
      </c>
      <c r="I4" s="379" t="n">
        <v>757</v>
      </c>
      <c r="J4" s="379" t="n">
        <v>667</v>
      </c>
      <c r="K4" s="379" t="n">
        <v>225</v>
      </c>
      <c r="L4" s="19" t="n">
        <f aca="false">(K4/H4)*100</f>
        <v>15.8005617977528</v>
      </c>
      <c r="M4" s="379" t="n">
        <v>196</v>
      </c>
      <c r="N4" s="19" t="n">
        <f aca="false">(M4/H4)*100</f>
        <v>13.7640449438202</v>
      </c>
      <c r="O4" s="379" t="n">
        <v>43</v>
      </c>
      <c r="P4" s="379" t="n">
        <v>0</v>
      </c>
      <c r="Q4" s="183" t="s">
        <v>49</v>
      </c>
      <c r="R4" s="381" t="n">
        <v>44897</v>
      </c>
      <c r="S4" s="379"/>
      <c r="T4" s="382" t="n">
        <v>0</v>
      </c>
      <c r="U4" s="379"/>
      <c r="V4" s="379"/>
      <c r="W4" s="379"/>
      <c r="X4" s="379"/>
      <c r="Y4" s="379"/>
      <c r="Z4" s="379"/>
      <c r="AA4" s="383" t="n">
        <v>0</v>
      </c>
      <c r="AB4" s="383" t="n">
        <v>0</v>
      </c>
      <c r="AC4" s="382" t="n">
        <v>0</v>
      </c>
      <c r="AD4" s="382" t="n">
        <v>0</v>
      </c>
      <c r="AE4" s="382" t="n">
        <v>0</v>
      </c>
      <c r="AF4" s="379"/>
    </row>
    <row r="5" customFormat="false" ht="18.75" hidden="false" customHeight="false" outlineLevel="0" collapsed="false">
      <c r="A5" s="379" t="s">
        <v>42</v>
      </c>
      <c r="B5" s="379" t="s">
        <v>3265</v>
      </c>
      <c r="C5" s="378" t="s">
        <v>3266</v>
      </c>
      <c r="D5" s="379" t="s">
        <v>3268</v>
      </c>
      <c r="E5" s="379" t="s">
        <v>3269</v>
      </c>
      <c r="F5" s="379" t="n">
        <v>323</v>
      </c>
      <c r="G5" s="379" t="n">
        <v>36</v>
      </c>
      <c r="H5" s="379" t="n">
        <v>198</v>
      </c>
      <c r="I5" s="379" t="n">
        <v>95</v>
      </c>
      <c r="J5" s="379" t="n">
        <v>103</v>
      </c>
      <c r="K5" s="379" t="n">
        <v>61</v>
      </c>
      <c r="L5" s="19" t="n">
        <f aca="false">(K5/H5)*100</f>
        <v>30.8080808080808</v>
      </c>
      <c r="M5" s="379" t="n">
        <v>0</v>
      </c>
      <c r="N5" s="19" t="n">
        <f aca="false">(M5/H5)*100</f>
        <v>0</v>
      </c>
      <c r="O5" s="379" t="n">
        <v>33</v>
      </c>
      <c r="P5" s="379" t="n">
        <v>0</v>
      </c>
      <c r="Q5" s="183" t="s">
        <v>49</v>
      </c>
      <c r="R5" s="381" t="n">
        <v>44897</v>
      </c>
      <c r="S5" s="379"/>
      <c r="T5" s="382" t="n">
        <v>0</v>
      </c>
      <c r="U5" s="379"/>
      <c r="V5" s="379"/>
      <c r="W5" s="379"/>
      <c r="X5" s="379"/>
      <c r="Y5" s="379"/>
      <c r="Z5" s="379"/>
      <c r="AA5" s="383" t="n">
        <v>0</v>
      </c>
      <c r="AB5" s="383" t="n">
        <v>0</v>
      </c>
      <c r="AC5" s="382" t="n">
        <v>0</v>
      </c>
      <c r="AD5" s="382" t="n">
        <v>0</v>
      </c>
      <c r="AE5" s="382" t="n">
        <v>0</v>
      </c>
      <c r="AF5" s="379"/>
    </row>
    <row r="6" customFormat="false" ht="18.75" hidden="false" customHeight="false" outlineLevel="0" collapsed="false">
      <c r="A6" s="379" t="s">
        <v>42</v>
      </c>
      <c r="B6" s="379" t="s">
        <v>3265</v>
      </c>
      <c r="C6" s="378" t="s">
        <v>3266</v>
      </c>
      <c r="D6" s="379" t="s">
        <v>3270</v>
      </c>
      <c r="E6" s="379" t="s">
        <v>3271</v>
      </c>
      <c r="F6" s="379" t="n">
        <v>570.83</v>
      </c>
      <c r="G6" s="379" t="n">
        <v>80</v>
      </c>
      <c r="H6" s="379" t="n">
        <v>441</v>
      </c>
      <c r="I6" s="379" t="n">
        <v>227</v>
      </c>
      <c r="J6" s="379" t="n">
        <v>214</v>
      </c>
      <c r="K6" s="379" t="n">
        <v>45</v>
      </c>
      <c r="L6" s="19" t="n">
        <f aca="false">(K6/H6)*100</f>
        <v>10.2040816326531</v>
      </c>
      <c r="M6" s="379" t="n">
        <v>0</v>
      </c>
      <c r="N6" s="19" t="n">
        <f aca="false">(M6/H6)*100</f>
        <v>0</v>
      </c>
      <c r="O6" s="379" t="n">
        <v>5.75</v>
      </c>
      <c r="P6" s="379" t="n">
        <v>0</v>
      </c>
      <c r="Q6" s="183" t="s">
        <v>49</v>
      </c>
      <c r="R6" s="381" t="n">
        <v>44897</v>
      </c>
      <c r="S6" s="379"/>
      <c r="T6" s="382" t="n">
        <v>0</v>
      </c>
      <c r="U6" s="379"/>
      <c r="V6" s="379"/>
      <c r="W6" s="379"/>
      <c r="X6" s="379"/>
      <c r="Y6" s="379"/>
      <c r="Z6" s="379"/>
      <c r="AA6" s="383" t="n">
        <v>0</v>
      </c>
      <c r="AB6" s="383" t="n">
        <v>0</v>
      </c>
      <c r="AC6" s="382" t="n">
        <v>0</v>
      </c>
      <c r="AD6" s="382" t="n">
        <v>0</v>
      </c>
      <c r="AE6" s="382" t="n">
        <v>0</v>
      </c>
      <c r="AF6" s="379"/>
    </row>
    <row r="7" customFormat="false" ht="18.75" hidden="false" customHeight="false" outlineLevel="0" collapsed="false">
      <c r="A7" s="379" t="s">
        <v>42</v>
      </c>
      <c r="B7" s="379" t="s">
        <v>3265</v>
      </c>
      <c r="C7" s="378" t="s">
        <v>3272</v>
      </c>
      <c r="D7" s="380" t="s">
        <v>3273</v>
      </c>
      <c r="E7" s="379" t="s">
        <v>3274</v>
      </c>
      <c r="F7" s="379" t="n">
        <v>2686</v>
      </c>
      <c r="G7" s="379" t="n">
        <v>749</v>
      </c>
      <c r="H7" s="379" t="n">
        <v>4341</v>
      </c>
      <c r="I7" s="379" t="n">
        <v>2254</v>
      </c>
      <c r="J7" s="379" t="n">
        <v>2087</v>
      </c>
      <c r="K7" s="379" t="n">
        <v>501</v>
      </c>
      <c r="L7" s="19" t="n">
        <f aca="false">(K7/H7)*100</f>
        <v>11.5411195577056</v>
      </c>
      <c r="M7" s="379" t="n">
        <v>351</v>
      </c>
      <c r="N7" s="19" t="n">
        <f aca="false">(M7/H7)*100</f>
        <v>8.08569454042847</v>
      </c>
      <c r="O7" s="379" t="n">
        <v>2</v>
      </c>
      <c r="P7" s="379" t="n">
        <v>0</v>
      </c>
      <c r="Q7" s="183" t="s">
        <v>49</v>
      </c>
      <c r="R7" s="381" t="n">
        <v>44836</v>
      </c>
      <c r="S7" s="379"/>
      <c r="T7" s="382" t="n">
        <v>0</v>
      </c>
      <c r="U7" s="379"/>
      <c r="V7" s="379"/>
      <c r="W7" s="379"/>
      <c r="X7" s="379"/>
      <c r="Y7" s="379"/>
      <c r="Z7" s="379"/>
      <c r="AA7" s="383" t="n">
        <v>0</v>
      </c>
      <c r="AB7" s="383" t="n">
        <v>0</v>
      </c>
      <c r="AC7" s="384" t="n">
        <v>0</v>
      </c>
      <c r="AD7" s="382" t="n">
        <v>0</v>
      </c>
      <c r="AE7" s="382" t="n">
        <v>0</v>
      </c>
      <c r="AF7" s="379"/>
    </row>
    <row r="8" customFormat="false" ht="18.75" hidden="false" customHeight="false" outlineLevel="0" collapsed="false">
      <c r="A8" s="379" t="s">
        <v>42</v>
      </c>
      <c r="B8" s="379" t="s">
        <v>3265</v>
      </c>
      <c r="C8" s="378" t="s">
        <v>3272</v>
      </c>
      <c r="D8" s="379" t="s">
        <v>3275</v>
      </c>
      <c r="E8" s="379" t="s">
        <v>3276</v>
      </c>
      <c r="F8" s="379" t="n">
        <v>635</v>
      </c>
      <c r="G8" s="379" t="n">
        <v>77</v>
      </c>
      <c r="H8" s="379" t="n">
        <v>444</v>
      </c>
      <c r="I8" s="379" t="n">
        <v>224</v>
      </c>
      <c r="J8" s="379" t="n">
        <v>220</v>
      </c>
      <c r="K8" s="379" t="n">
        <v>109</v>
      </c>
      <c r="L8" s="19" t="n">
        <f aca="false">(K8/H8)*100</f>
        <v>24.5495495495495</v>
      </c>
      <c r="M8" s="379" t="n">
        <v>30</v>
      </c>
      <c r="N8" s="19" t="n">
        <f aca="false">(M8/H8)*100</f>
        <v>6.75675675675676</v>
      </c>
      <c r="O8" s="379" t="n">
        <v>0</v>
      </c>
      <c r="P8" s="379" t="n">
        <v>0</v>
      </c>
      <c r="Q8" s="183" t="s">
        <v>49</v>
      </c>
      <c r="R8" s="381" t="n">
        <v>44836</v>
      </c>
      <c r="S8" s="379"/>
      <c r="T8" s="382" t="n">
        <v>0</v>
      </c>
      <c r="U8" s="379"/>
      <c r="V8" s="379"/>
      <c r="W8" s="379"/>
      <c r="X8" s="379"/>
      <c r="Y8" s="379"/>
      <c r="Z8" s="379"/>
      <c r="AA8" s="383" t="n">
        <v>0</v>
      </c>
      <c r="AB8" s="383" t="n">
        <v>0</v>
      </c>
      <c r="AC8" s="384" t="n">
        <v>0</v>
      </c>
      <c r="AD8" s="382" t="n">
        <v>0</v>
      </c>
      <c r="AE8" s="382" t="n">
        <v>0</v>
      </c>
      <c r="AF8" s="379"/>
    </row>
    <row r="9" customFormat="false" ht="18.75" hidden="false" customHeight="false" outlineLevel="0" collapsed="false">
      <c r="A9" s="379" t="s">
        <v>42</v>
      </c>
      <c r="B9" s="379" t="s">
        <v>3265</v>
      </c>
      <c r="C9" s="378" t="s">
        <v>3277</v>
      </c>
      <c r="D9" s="380" t="s">
        <v>3278</v>
      </c>
      <c r="E9" s="379" t="s">
        <v>3279</v>
      </c>
      <c r="F9" s="379" t="n">
        <v>1799</v>
      </c>
      <c r="G9" s="379" t="n">
        <v>471</v>
      </c>
      <c r="H9" s="379" t="n">
        <v>2772</v>
      </c>
      <c r="I9" s="379" t="n">
        <v>1468</v>
      </c>
      <c r="J9" s="379" t="n">
        <v>1304</v>
      </c>
      <c r="K9" s="379" t="n">
        <v>238</v>
      </c>
      <c r="L9" s="19" t="n">
        <f aca="false">(K9/H9)*100</f>
        <v>8.58585858585859</v>
      </c>
      <c r="M9" s="379" t="n">
        <v>284</v>
      </c>
      <c r="N9" s="19" t="n">
        <f aca="false">(M9/H9)*100</f>
        <v>10.2453102453102</v>
      </c>
      <c r="O9" s="379" t="n">
        <v>167</v>
      </c>
      <c r="P9" s="379" t="n">
        <v>0</v>
      </c>
      <c r="Q9" s="183" t="s">
        <v>49</v>
      </c>
      <c r="R9" s="381" t="n">
        <v>44836</v>
      </c>
      <c r="S9" s="379"/>
      <c r="T9" s="183" t="n">
        <v>134.992</v>
      </c>
      <c r="U9" s="379"/>
      <c r="V9" s="379"/>
      <c r="W9" s="379"/>
      <c r="X9" s="379"/>
      <c r="Y9" s="379"/>
      <c r="Z9" s="379"/>
      <c r="AA9" s="385" t="s">
        <v>266</v>
      </c>
      <c r="AB9" s="180" t="n">
        <v>10</v>
      </c>
      <c r="AC9" s="384" t="s">
        <v>317</v>
      </c>
      <c r="AD9" s="183"/>
      <c r="AE9" s="183"/>
      <c r="AF9" s="379"/>
    </row>
    <row r="10" customFormat="false" ht="18.75" hidden="false" customHeight="false" outlineLevel="0" collapsed="false">
      <c r="A10" s="379" t="s">
        <v>42</v>
      </c>
      <c r="B10" s="379" t="s">
        <v>3265</v>
      </c>
      <c r="C10" s="378" t="s">
        <v>3277</v>
      </c>
      <c r="D10" s="379" t="s">
        <v>134</v>
      </c>
      <c r="E10" s="379" t="s">
        <v>3280</v>
      </c>
      <c r="F10" s="379" t="n">
        <v>296.03</v>
      </c>
      <c r="G10" s="379" t="n">
        <v>52</v>
      </c>
      <c r="H10" s="379" t="n">
        <v>364</v>
      </c>
      <c r="I10" s="379" t="n">
        <v>190</v>
      </c>
      <c r="J10" s="379" t="n">
        <v>174</v>
      </c>
      <c r="K10" s="379" t="n">
        <v>14</v>
      </c>
      <c r="L10" s="19" t="n">
        <f aca="false">(K10/H10)*100</f>
        <v>3.84615384615385</v>
      </c>
      <c r="M10" s="379" t="n">
        <v>0</v>
      </c>
      <c r="N10" s="19" t="n">
        <f aca="false">(M10/H10)*100</f>
        <v>0</v>
      </c>
      <c r="O10" s="379" t="n">
        <v>3</v>
      </c>
      <c r="P10" s="379" t="n">
        <v>0</v>
      </c>
      <c r="Q10" s="183" t="s">
        <v>49</v>
      </c>
      <c r="R10" s="381" t="n">
        <v>44836</v>
      </c>
      <c r="S10" s="379"/>
      <c r="T10" s="183" t="n">
        <v>0</v>
      </c>
      <c r="U10" s="379"/>
      <c r="V10" s="379"/>
      <c r="W10" s="379"/>
      <c r="X10" s="379"/>
      <c r="Y10" s="379"/>
      <c r="Z10" s="379"/>
      <c r="AA10" s="180" t="n">
        <v>0</v>
      </c>
      <c r="AB10" s="180" t="n">
        <v>0</v>
      </c>
      <c r="AC10" s="382" t="n">
        <v>0</v>
      </c>
      <c r="AD10" s="183" t="n">
        <v>0</v>
      </c>
      <c r="AE10" s="183" t="n">
        <v>0</v>
      </c>
      <c r="AF10" s="379"/>
    </row>
    <row r="11" customFormat="false" ht="18.75" hidden="false" customHeight="false" outlineLevel="0" collapsed="false">
      <c r="A11" s="379" t="s">
        <v>42</v>
      </c>
      <c r="B11" s="379" t="s">
        <v>3265</v>
      </c>
      <c r="C11" s="378" t="s">
        <v>3277</v>
      </c>
      <c r="D11" s="379" t="s">
        <v>1253</v>
      </c>
      <c r="E11" s="379" t="s">
        <v>3281</v>
      </c>
      <c r="F11" s="379" t="n">
        <v>730.68</v>
      </c>
      <c r="G11" s="379" t="n">
        <v>137</v>
      </c>
      <c r="H11" s="379" t="n">
        <v>771</v>
      </c>
      <c r="I11" s="379" t="n">
        <v>392</v>
      </c>
      <c r="J11" s="379" t="n">
        <v>379</v>
      </c>
      <c r="K11" s="379" t="n">
        <v>0</v>
      </c>
      <c r="L11" s="19" t="n">
        <f aca="false">(K11/H11)*100</f>
        <v>0</v>
      </c>
      <c r="M11" s="379" t="n">
        <v>0</v>
      </c>
      <c r="N11" s="19" t="n">
        <f aca="false">(M11/H11)*100</f>
        <v>0</v>
      </c>
      <c r="O11" s="379" t="n">
        <v>8.23</v>
      </c>
      <c r="P11" s="379" t="n">
        <v>0</v>
      </c>
      <c r="Q11" s="183" t="s">
        <v>49</v>
      </c>
      <c r="R11" s="381" t="n">
        <v>44836</v>
      </c>
      <c r="S11" s="379"/>
      <c r="T11" s="183" t="n">
        <v>0</v>
      </c>
      <c r="U11" s="379"/>
      <c r="V11" s="379"/>
      <c r="W11" s="379"/>
      <c r="X11" s="379"/>
      <c r="Y11" s="379"/>
      <c r="Z11" s="379"/>
      <c r="AA11" s="180" t="n">
        <v>0</v>
      </c>
      <c r="AB11" s="180" t="n">
        <v>0</v>
      </c>
      <c r="AC11" s="382" t="n">
        <v>0</v>
      </c>
      <c r="AD11" s="183" t="n">
        <v>0</v>
      </c>
      <c r="AE11" s="183" t="n">
        <v>0</v>
      </c>
      <c r="AF11" s="379"/>
    </row>
    <row r="12" customFormat="false" ht="18.75" hidden="false" customHeight="false" outlineLevel="0" collapsed="false">
      <c r="A12" s="379" t="s">
        <v>42</v>
      </c>
      <c r="B12" s="379" t="s">
        <v>3265</v>
      </c>
      <c r="C12" s="378" t="s">
        <v>3282</v>
      </c>
      <c r="D12" s="380" t="s">
        <v>3283</v>
      </c>
      <c r="E12" s="379" t="s">
        <v>3284</v>
      </c>
      <c r="F12" s="379" t="n">
        <v>4801</v>
      </c>
      <c r="G12" s="379" t="n">
        <v>919</v>
      </c>
      <c r="H12" s="379" t="n">
        <v>5034</v>
      </c>
      <c r="I12" s="379" t="n">
        <v>2531</v>
      </c>
      <c r="J12" s="379" t="n">
        <v>2503</v>
      </c>
      <c r="K12" s="379" t="n">
        <v>1116</v>
      </c>
      <c r="L12" s="19" t="n">
        <f aca="false">(K12/H12)*100</f>
        <v>22.1692491060787</v>
      </c>
      <c r="M12" s="379" t="n">
        <v>4</v>
      </c>
      <c r="N12" s="19" t="n">
        <f aca="false">(M12/H12)*100</f>
        <v>0.0794596742153357</v>
      </c>
      <c r="O12" s="379" t="n">
        <v>601</v>
      </c>
      <c r="P12" s="379" t="n">
        <v>0</v>
      </c>
      <c r="Q12" s="386" t="s">
        <v>49</v>
      </c>
      <c r="R12" s="387" t="n">
        <v>44836</v>
      </c>
      <c r="S12" s="379"/>
      <c r="T12" s="386" t="n">
        <v>275.3824</v>
      </c>
      <c r="U12" s="379"/>
      <c r="V12" s="379"/>
      <c r="W12" s="379"/>
      <c r="X12" s="379"/>
      <c r="Y12" s="379"/>
      <c r="Z12" s="379"/>
      <c r="AA12" s="388" t="s">
        <v>266</v>
      </c>
      <c r="AB12" s="385" t="n">
        <v>20</v>
      </c>
      <c r="AC12" s="389" t="s">
        <v>3285</v>
      </c>
      <c r="AD12" s="386"/>
      <c r="AE12" s="386"/>
      <c r="AF12" s="379"/>
    </row>
    <row r="13" customFormat="false" ht="18.75" hidden="false" customHeight="false" outlineLevel="0" collapsed="false">
      <c r="A13" s="379" t="s">
        <v>42</v>
      </c>
      <c r="B13" s="379" t="s">
        <v>3265</v>
      </c>
      <c r="C13" s="378" t="s">
        <v>3282</v>
      </c>
      <c r="D13" s="379" t="s">
        <v>3286</v>
      </c>
      <c r="E13" s="379" t="s">
        <v>3287</v>
      </c>
      <c r="F13" s="379" t="n">
        <v>1054</v>
      </c>
      <c r="G13" s="379" t="n">
        <v>135</v>
      </c>
      <c r="H13" s="379" t="n">
        <v>850</v>
      </c>
      <c r="I13" s="379" t="n">
        <v>436</v>
      </c>
      <c r="J13" s="379" t="n">
        <v>414</v>
      </c>
      <c r="K13" s="379" t="n">
        <v>0</v>
      </c>
      <c r="L13" s="19" t="n">
        <f aca="false">(K13/H13)*100</f>
        <v>0</v>
      </c>
      <c r="M13" s="379" t="n">
        <v>0</v>
      </c>
      <c r="N13" s="19" t="n">
        <f aca="false">(M13/H13)*100</f>
        <v>0</v>
      </c>
      <c r="O13" s="379" t="n">
        <v>0</v>
      </c>
      <c r="P13" s="379" t="n">
        <v>0</v>
      </c>
      <c r="Q13" s="386" t="s">
        <v>49</v>
      </c>
      <c r="R13" s="387" t="n">
        <v>44836</v>
      </c>
      <c r="S13" s="379"/>
      <c r="T13" s="386" t="n">
        <v>0</v>
      </c>
      <c r="U13" s="379"/>
      <c r="V13" s="379"/>
      <c r="W13" s="379"/>
      <c r="X13" s="379"/>
      <c r="Y13" s="379"/>
      <c r="Z13" s="379"/>
      <c r="AA13" s="385" t="n">
        <v>0</v>
      </c>
      <c r="AB13" s="385" t="n">
        <v>0</v>
      </c>
      <c r="AC13" s="390" t="n">
        <v>0</v>
      </c>
      <c r="AD13" s="386" t="n">
        <v>0</v>
      </c>
      <c r="AE13" s="386" t="n">
        <v>0</v>
      </c>
      <c r="AF13" s="379"/>
    </row>
    <row r="14" customFormat="false" ht="18.75" hidden="false" customHeight="false" outlineLevel="0" collapsed="false">
      <c r="A14" s="379" t="s">
        <v>42</v>
      </c>
      <c r="B14" s="379" t="s">
        <v>3265</v>
      </c>
      <c r="C14" s="378" t="s">
        <v>2928</v>
      </c>
      <c r="D14" s="380" t="s">
        <v>2928</v>
      </c>
      <c r="E14" s="379" t="s">
        <v>3288</v>
      </c>
      <c r="F14" s="379" t="n">
        <v>694.91</v>
      </c>
      <c r="G14" s="379" t="n">
        <v>161</v>
      </c>
      <c r="H14" s="379" t="n">
        <v>1024</v>
      </c>
      <c r="I14" s="379" t="n">
        <v>539</v>
      </c>
      <c r="J14" s="379" t="n">
        <v>485</v>
      </c>
      <c r="K14" s="379" t="n">
        <v>0</v>
      </c>
      <c r="L14" s="19" t="n">
        <f aca="false">(K14/H14)*100</f>
        <v>0</v>
      </c>
      <c r="M14" s="379" t="n">
        <v>0</v>
      </c>
      <c r="N14" s="19" t="n">
        <f aca="false">(M14/H14)*100</f>
        <v>0</v>
      </c>
      <c r="O14" s="379" t="n">
        <v>23.6</v>
      </c>
      <c r="P14" s="379" t="n">
        <v>0</v>
      </c>
      <c r="Q14" s="386" t="s">
        <v>49</v>
      </c>
      <c r="R14" s="387" t="n">
        <v>44712</v>
      </c>
      <c r="S14" s="379"/>
      <c r="T14" s="386" t="n">
        <v>23.06</v>
      </c>
      <c r="U14" s="379"/>
      <c r="V14" s="379"/>
      <c r="W14" s="379"/>
      <c r="X14" s="379"/>
      <c r="Y14" s="379"/>
      <c r="Z14" s="379"/>
      <c r="AA14" s="385" t="s">
        <v>266</v>
      </c>
      <c r="AB14" s="385" t="n">
        <v>15</v>
      </c>
      <c r="AC14" s="390" t="s">
        <v>276</v>
      </c>
      <c r="AD14" s="386"/>
      <c r="AE14" s="386"/>
      <c r="AF14" s="379"/>
    </row>
    <row r="15" customFormat="false" ht="18.75" hidden="false" customHeight="false" outlineLevel="0" collapsed="false">
      <c r="A15" s="379" t="s">
        <v>42</v>
      </c>
      <c r="B15" s="379" t="s">
        <v>3265</v>
      </c>
      <c r="C15" s="378" t="s">
        <v>2928</v>
      </c>
      <c r="D15" s="379" t="s">
        <v>3289</v>
      </c>
      <c r="E15" s="379" t="s">
        <v>3290</v>
      </c>
      <c r="F15" s="379" t="n">
        <v>635.73</v>
      </c>
      <c r="G15" s="379" t="n">
        <v>67</v>
      </c>
      <c r="H15" s="379" t="n">
        <v>272</v>
      </c>
      <c r="I15" s="379" t="n">
        <v>141</v>
      </c>
      <c r="J15" s="379" t="n">
        <v>131</v>
      </c>
      <c r="K15" s="379" t="n">
        <v>0</v>
      </c>
      <c r="L15" s="19" t="n">
        <f aca="false">(K15/H15)*100</f>
        <v>0</v>
      </c>
      <c r="M15" s="379" t="n">
        <v>0</v>
      </c>
      <c r="N15" s="19" t="n">
        <f aca="false">(M15/H15)*100</f>
        <v>0</v>
      </c>
      <c r="O15" s="379" t="n">
        <v>0</v>
      </c>
      <c r="P15" s="379" t="n">
        <v>0</v>
      </c>
      <c r="Q15" s="386" t="s">
        <v>49</v>
      </c>
      <c r="R15" s="387" t="n">
        <v>44712</v>
      </c>
      <c r="S15" s="379"/>
      <c r="T15" s="386"/>
      <c r="U15" s="379"/>
      <c r="V15" s="379"/>
      <c r="W15" s="379"/>
      <c r="X15" s="379"/>
      <c r="Y15" s="379"/>
      <c r="Z15" s="379"/>
      <c r="AA15" s="385" t="s">
        <v>266</v>
      </c>
      <c r="AB15" s="385" t="n">
        <v>5</v>
      </c>
      <c r="AC15" s="390" t="s">
        <v>276</v>
      </c>
      <c r="AD15" s="386"/>
      <c r="AE15" s="386"/>
      <c r="AF15" s="379"/>
    </row>
    <row r="16" customFormat="false" ht="18.75" hidden="false" customHeight="false" outlineLevel="0" collapsed="false">
      <c r="A16" s="379" t="s">
        <v>42</v>
      </c>
      <c r="B16" s="379" t="s">
        <v>3265</v>
      </c>
      <c r="C16" s="378" t="s">
        <v>3291</v>
      </c>
      <c r="D16" s="380" t="s">
        <v>3292</v>
      </c>
      <c r="E16" s="379" t="s">
        <v>3293</v>
      </c>
      <c r="F16" s="379" t="n">
        <v>2659.06</v>
      </c>
      <c r="G16" s="379" t="n">
        <v>633</v>
      </c>
      <c r="H16" s="379" t="n">
        <v>3513</v>
      </c>
      <c r="I16" s="379" t="n">
        <v>1782</v>
      </c>
      <c r="J16" s="379" t="n">
        <v>1731</v>
      </c>
      <c r="K16" s="379" t="n">
        <v>512</v>
      </c>
      <c r="L16" s="19" t="n">
        <f aca="false">(K16/H16)*100</f>
        <v>14.5744378024481</v>
      </c>
      <c r="M16" s="379" t="n">
        <v>280</v>
      </c>
      <c r="N16" s="19" t="n">
        <f aca="false">(M16/H16)*100</f>
        <v>7.97039567321378</v>
      </c>
      <c r="O16" s="379" t="n">
        <v>271.19</v>
      </c>
      <c r="P16" s="379" t="n">
        <v>0</v>
      </c>
      <c r="Q16" s="391" t="s">
        <v>49</v>
      </c>
      <c r="R16" s="391" t="n">
        <v>45771</v>
      </c>
      <c r="S16" s="379"/>
      <c r="T16" s="392" t="s">
        <v>3294</v>
      </c>
      <c r="U16" s="379"/>
      <c r="V16" s="379"/>
      <c r="W16" s="379"/>
      <c r="X16" s="379"/>
      <c r="Y16" s="379"/>
      <c r="Z16" s="379"/>
      <c r="AA16" s="388" t="s">
        <v>50</v>
      </c>
      <c r="AB16" s="388" t="n">
        <v>7</v>
      </c>
      <c r="AC16" s="393" t="s">
        <v>3295</v>
      </c>
      <c r="AD16" s="392" t="n">
        <v>26.460089</v>
      </c>
      <c r="AE16" s="392" t="n">
        <v>73.229167</v>
      </c>
      <c r="AF16" s="20" t="s">
        <v>52</v>
      </c>
    </row>
    <row r="17" customFormat="false" ht="18.75" hidden="false" customHeight="false" outlineLevel="0" collapsed="false">
      <c r="A17" s="379"/>
      <c r="B17" s="379"/>
      <c r="C17" s="378"/>
      <c r="D17" s="380"/>
      <c r="E17" s="379"/>
      <c r="F17" s="379"/>
      <c r="G17" s="379"/>
      <c r="H17" s="379"/>
      <c r="I17" s="379"/>
      <c r="J17" s="379"/>
      <c r="K17" s="379"/>
      <c r="L17" s="19"/>
      <c r="M17" s="379"/>
      <c r="N17" s="19"/>
      <c r="O17" s="379"/>
      <c r="P17" s="379"/>
      <c r="Q17" s="394"/>
      <c r="R17" s="394"/>
      <c r="S17" s="379"/>
      <c r="T17" s="395"/>
      <c r="U17" s="379"/>
      <c r="V17" s="379"/>
      <c r="W17" s="379"/>
      <c r="X17" s="379"/>
      <c r="Y17" s="379"/>
      <c r="Z17" s="379"/>
      <c r="AA17" s="396" t="s">
        <v>50</v>
      </c>
      <c r="AB17" s="396" t="n">
        <v>5</v>
      </c>
      <c r="AC17" s="397" t="s">
        <v>3296</v>
      </c>
      <c r="AD17" s="395" t="n">
        <v>26.462682</v>
      </c>
      <c r="AE17" s="395" t="n">
        <v>73.23652</v>
      </c>
      <c r="AF17" s="20" t="s">
        <v>52</v>
      </c>
    </row>
    <row r="18" customFormat="false" ht="18.75" hidden="false" customHeight="false" outlineLevel="0" collapsed="false">
      <c r="A18" s="379"/>
      <c r="B18" s="379"/>
      <c r="C18" s="378"/>
      <c r="D18" s="380"/>
      <c r="E18" s="379"/>
      <c r="F18" s="379"/>
      <c r="G18" s="379"/>
      <c r="H18" s="379"/>
      <c r="I18" s="379"/>
      <c r="J18" s="379"/>
      <c r="K18" s="379"/>
      <c r="L18" s="19"/>
      <c r="M18" s="379"/>
      <c r="N18" s="19"/>
      <c r="O18" s="379"/>
      <c r="P18" s="379"/>
      <c r="Q18" s="394"/>
      <c r="R18" s="394"/>
      <c r="S18" s="379"/>
      <c r="T18" s="395"/>
      <c r="U18" s="379"/>
      <c r="V18" s="379"/>
      <c r="W18" s="379"/>
      <c r="X18" s="379"/>
      <c r="Y18" s="379"/>
      <c r="Z18" s="379"/>
      <c r="AA18" s="396" t="s">
        <v>50</v>
      </c>
      <c r="AB18" s="396" t="n">
        <v>3</v>
      </c>
      <c r="AC18" s="397" t="s">
        <v>3297</v>
      </c>
      <c r="AD18" s="395" t="n">
        <v>26.467574</v>
      </c>
      <c r="AE18" s="395" t="n">
        <v>73.226769</v>
      </c>
      <c r="AF18" s="20" t="s">
        <v>52</v>
      </c>
    </row>
    <row r="19" customFormat="false" ht="18.75" hidden="false" customHeight="false" outlineLevel="0" collapsed="false">
      <c r="A19" s="379"/>
      <c r="B19" s="379"/>
      <c r="C19" s="378"/>
      <c r="D19" s="380"/>
      <c r="E19" s="379"/>
      <c r="F19" s="379"/>
      <c r="G19" s="379"/>
      <c r="H19" s="379"/>
      <c r="I19" s="379"/>
      <c r="J19" s="379"/>
      <c r="K19" s="379"/>
      <c r="L19" s="19"/>
      <c r="M19" s="379"/>
      <c r="N19" s="19"/>
      <c r="O19" s="379"/>
      <c r="P19" s="379"/>
      <c r="Q19" s="394"/>
      <c r="R19" s="394"/>
      <c r="S19" s="379"/>
      <c r="T19" s="395"/>
      <c r="U19" s="379"/>
      <c r="V19" s="379"/>
      <c r="W19" s="379"/>
      <c r="X19" s="379"/>
      <c r="Y19" s="379"/>
      <c r="Z19" s="379"/>
      <c r="AA19" s="396" t="s">
        <v>50</v>
      </c>
      <c r="AB19" s="396" t="n">
        <v>7</v>
      </c>
      <c r="AC19" s="397" t="s">
        <v>3298</v>
      </c>
      <c r="AD19" s="395" t="n">
        <v>26.459797</v>
      </c>
      <c r="AE19" s="395" t="n">
        <v>73.223303</v>
      </c>
      <c r="AF19" s="20" t="s">
        <v>52</v>
      </c>
    </row>
    <row r="20" customFormat="false" ht="18.75" hidden="false" customHeight="false" outlineLevel="0" collapsed="false">
      <c r="A20" s="379" t="s">
        <v>42</v>
      </c>
      <c r="B20" s="379" t="s">
        <v>3265</v>
      </c>
      <c r="C20" s="378" t="s">
        <v>3291</v>
      </c>
      <c r="D20" s="379" t="s">
        <v>3299</v>
      </c>
      <c r="E20" s="379" t="s">
        <v>3300</v>
      </c>
      <c r="F20" s="379" t="n">
        <v>657.35</v>
      </c>
      <c r="G20" s="379" t="n">
        <v>49</v>
      </c>
      <c r="H20" s="379" t="n">
        <v>308</v>
      </c>
      <c r="I20" s="379" t="n">
        <v>164</v>
      </c>
      <c r="J20" s="379" t="n">
        <v>144</v>
      </c>
      <c r="K20" s="379" t="n">
        <v>1</v>
      </c>
      <c r="L20" s="19" t="n">
        <f aca="false">(K20/H20)*100</f>
        <v>0.324675324675325</v>
      </c>
      <c r="M20" s="379" t="n">
        <v>0</v>
      </c>
      <c r="N20" s="19" t="n">
        <f aca="false">(M20/H20)*100</f>
        <v>0</v>
      </c>
      <c r="O20" s="379" t="n">
        <v>13.05</v>
      </c>
      <c r="P20" s="379" t="n">
        <v>0</v>
      </c>
      <c r="Q20" s="391" t="s">
        <v>49</v>
      </c>
      <c r="R20" s="391" t="n">
        <v>45771</v>
      </c>
      <c r="S20" s="379"/>
      <c r="T20" s="392" t="n">
        <v>79.05</v>
      </c>
      <c r="U20" s="379"/>
      <c r="V20" s="379"/>
      <c r="W20" s="379"/>
      <c r="X20" s="379"/>
      <c r="Y20" s="379"/>
      <c r="Z20" s="379"/>
      <c r="AA20" s="388" t="s">
        <v>50</v>
      </c>
      <c r="AB20" s="388" t="n">
        <v>7</v>
      </c>
      <c r="AC20" s="398" t="s">
        <v>3301</v>
      </c>
      <c r="AD20" s="392" t="n">
        <v>26.450319</v>
      </c>
      <c r="AE20" s="392" t="n">
        <v>73.207323</v>
      </c>
      <c r="AF20" s="20" t="s">
        <v>52</v>
      </c>
    </row>
    <row r="21" customFormat="false" ht="18.75" hidden="false" customHeight="false" outlineLevel="0" collapsed="false">
      <c r="A21" s="379"/>
      <c r="B21" s="379"/>
      <c r="C21" s="378"/>
      <c r="D21" s="379"/>
      <c r="E21" s="379"/>
      <c r="F21" s="379"/>
      <c r="G21" s="379"/>
      <c r="H21" s="379"/>
      <c r="I21" s="379"/>
      <c r="J21" s="379"/>
      <c r="K21" s="379"/>
      <c r="L21" s="19"/>
      <c r="M21" s="379"/>
      <c r="N21" s="19"/>
      <c r="O21" s="379"/>
      <c r="P21" s="379"/>
      <c r="Q21" s="394"/>
      <c r="R21" s="394"/>
      <c r="S21" s="379"/>
      <c r="T21" s="395"/>
      <c r="U21" s="379"/>
      <c r="V21" s="379"/>
      <c r="W21" s="379"/>
      <c r="X21" s="379"/>
      <c r="Y21" s="379"/>
      <c r="Z21" s="379"/>
      <c r="AA21" s="396" t="s">
        <v>50</v>
      </c>
      <c r="AB21" s="396" t="n">
        <v>10</v>
      </c>
      <c r="AC21" s="397" t="s">
        <v>3302</v>
      </c>
      <c r="AD21" s="395" t="n">
        <v>26.445656</v>
      </c>
      <c r="AE21" s="395" t="n">
        <v>73.209539</v>
      </c>
      <c r="AF21" s="20" t="s">
        <v>52</v>
      </c>
    </row>
    <row r="22" customFormat="false" ht="18.75" hidden="false" customHeight="false" outlineLevel="0" collapsed="false">
      <c r="A22" s="379" t="s">
        <v>42</v>
      </c>
      <c r="B22" s="379" t="s">
        <v>3265</v>
      </c>
      <c r="C22" s="378" t="s">
        <v>3303</v>
      </c>
      <c r="D22" s="380" t="s">
        <v>3304</v>
      </c>
      <c r="E22" s="379" t="s">
        <v>3305</v>
      </c>
      <c r="F22" s="379" t="n">
        <v>2498.25</v>
      </c>
      <c r="G22" s="379" t="n">
        <v>616</v>
      </c>
      <c r="H22" s="379" t="n">
        <v>3886</v>
      </c>
      <c r="I22" s="379" t="n">
        <v>1979</v>
      </c>
      <c r="J22" s="379" t="n">
        <v>1907</v>
      </c>
      <c r="K22" s="379" t="n">
        <v>779</v>
      </c>
      <c r="L22" s="19" t="n">
        <f aca="false">(K22/H22)*100</f>
        <v>20.0463201235203</v>
      </c>
      <c r="M22" s="379" t="n">
        <v>0</v>
      </c>
      <c r="N22" s="19" t="n">
        <f aca="false">(M22/H22)*100</f>
        <v>0</v>
      </c>
      <c r="O22" s="379" t="n">
        <v>76.06</v>
      </c>
      <c r="P22" s="379" t="n">
        <v>0</v>
      </c>
      <c r="Q22" s="386" t="s">
        <v>49</v>
      </c>
      <c r="R22" s="387" t="n">
        <v>44837</v>
      </c>
      <c r="S22" s="379"/>
      <c r="T22" s="386" t="n">
        <v>39.4288</v>
      </c>
      <c r="U22" s="379"/>
      <c r="V22" s="379"/>
      <c r="W22" s="379"/>
      <c r="X22" s="379"/>
      <c r="Y22" s="379"/>
      <c r="Z22" s="379"/>
      <c r="AA22" s="385" t="s">
        <v>266</v>
      </c>
      <c r="AB22" s="385" t="n">
        <v>15</v>
      </c>
      <c r="AC22" s="390" t="s">
        <v>276</v>
      </c>
      <c r="AD22" s="386"/>
      <c r="AE22" s="386"/>
      <c r="AF22" s="379"/>
    </row>
    <row r="23" customFormat="false" ht="18.75" hidden="false" customHeight="false" outlineLevel="0" collapsed="false">
      <c r="A23" s="379" t="s">
        <v>42</v>
      </c>
      <c r="B23" s="379" t="s">
        <v>3265</v>
      </c>
      <c r="C23" s="378" t="s">
        <v>3306</v>
      </c>
      <c r="D23" s="380" t="s">
        <v>3306</v>
      </c>
      <c r="E23" s="379" t="s">
        <v>3307</v>
      </c>
      <c r="F23" s="379" t="n">
        <v>2329.06</v>
      </c>
      <c r="G23" s="379" t="n">
        <v>459</v>
      </c>
      <c r="H23" s="379" t="n">
        <v>2563</v>
      </c>
      <c r="I23" s="379" t="n">
        <v>1343</v>
      </c>
      <c r="J23" s="379" t="n">
        <v>1220</v>
      </c>
      <c r="K23" s="379" t="n">
        <v>549</v>
      </c>
      <c r="L23" s="19" t="n">
        <f aca="false">(K23/H23)*100</f>
        <v>21.420210690597</v>
      </c>
      <c r="M23" s="379" t="n">
        <v>0</v>
      </c>
      <c r="N23" s="19" t="n">
        <f aca="false">(M23/H23)*100</f>
        <v>0</v>
      </c>
      <c r="O23" s="379" t="n">
        <v>88.06</v>
      </c>
      <c r="P23" s="379" t="n">
        <v>0</v>
      </c>
      <c r="Q23" s="399" t="s">
        <v>49</v>
      </c>
      <c r="R23" s="400" t="n">
        <v>45698</v>
      </c>
      <c r="S23" s="379"/>
      <c r="T23" s="399" t="n">
        <v>71.19</v>
      </c>
      <c r="U23" s="379"/>
      <c r="V23" s="379"/>
      <c r="W23" s="379"/>
      <c r="X23" s="379"/>
      <c r="Y23" s="379"/>
      <c r="Z23" s="379"/>
      <c r="AA23" s="401" t="s">
        <v>50</v>
      </c>
      <c r="AB23" s="401" t="n">
        <v>0</v>
      </c>
      <c r="AC23" s="402"/>
      <c r="AD23" s="399"/>
      <c r="AE23" s="399"/>
      <c r="AF23" s="379" t="s">
        <v>52</v>
      </c>
    </row>
    <row r="24" customFormat="false" ht="18.75" hidden="false" customHeight="false" outlineLevel="0" collapsed="false">
      <c r="A24" s="379" t="s">
        <v>42</v>
      </c>
      <c r="B24" s="379" t="s">
        <v>3265</v>
      </c>
      <c r="C24" s="378" t="s">
        <v>3306</v>
      </c>
      <c r="D24" s="379" t="s">
        <v>3308</v>
      </c>
      <c r="E24" s="379" t="s">
        <v>3309</v>
      </c>
      <c r="F24" s="379" t="n">
        <v>409</v>
      </c>
      <c r="G24" s="379" t="n">
        <v>130</v>
      </c>
      <c r="H24" s="379" t="n">
        <v>701</v>
      </c>
      <c r="I24" s="379" t="n">
        <v>370</v>
      </c>
      <c r="J24" s="379" t="n">
        <v>331</v>
      </c>
      <c r="K24" s="379" t="n">
        <v>142</v>
      </c>
      <c r="L24" s="19" t="n">
        <f aca="false">(K24/H24)*100</f>
        <v>20.2567760342368</v>
      </c>
      <c r="M24" s="379" t="n">
        <v>18</v>
      </c>
      <c r="N24" s="19" t="n">
        <f aca="false">(M24/H24)*100</f>
        <v>2.56776034236805</v>
      </c>
      <c r="O24" s="379" t="n">
        <v>32</v>
      </c>
      <c r="P24" s="379" t="n">
        <v>0</v>
      </c>
      <c r="Q24" s="399" t="s">
        <v>49</v>
      </c>
      <c r="R24" s="400" t="n">
        <v>45698</v>
      </c>
      <c r="S24" s="379"/>
      <c r="T24" s="399" t="n">
        <v>32.29</v>
      </c>
      <c r="U24" s="379"/>
      <c r="V24" s="379"/>
      <c r="W24" s="379"/>
      <c r="X24" s="379"/>
      <c r="Y24" s="379"/>
      <c r="Z24" s="379"/>
      <c r="AA24" s="401" t="s">
        <v>50</v>
      </c>
      <c r="AB24" s="401" t="n">
        <v>0</v>
      </c>
      <c r="AC24" s="402"/>
      <c r="AD24" s="399"/>
      <c r="AE24" s="399"/>
      <c r="AF24" s="379" t="s">
        <v>52</v>
      </c>
    </row>
    <row r="25" customFormat="false" ht="18.75" hidden="false" customHeight="false" outlineLevel="0" collapsed="false">
      <c r="A25" s="379" t="s">
        <v>42</v>
      </c>
      <c r="B25" s="379" t="s">
        <v>3265</v>
      </c>
      <c r="C25" s="378" t="s">
        <v>3310</v>
      </c>
      <c r="D25" s="380" t="s">
        <v>3311</v>
      </c>
      <c r="E25" s="379" t="s">
        <v>3312</v>
      </c>
      <c r="F25" s="379" t="n">
        <v>851.11</v>
      </c>
      <c r="G25" s="379" t="n">
        <v>224</v>
      </c>
      <c r="H25" s="379" t="n">
        <v>1446</v>
      </c>
      <c r="I25" s="379" t="n">
        <v>718</v>
      </c>
      <c r="J25" s="379" t="n">
        <v>728</v>
      </c>
      <c r="K25" s="379" t="n">
        <v>747</v>
      </c>
      <c r="L25" s="19" t="n">
        <f aca="false">(K25/H25)*100</f>
        <v>51.6597510373444</v>
      </c>
      <c r="M25" s="379" t="n">
        <v>1</v>
      </c>
      <c r="N25" s="19" t="n">
        <f aca="false">(M25/H25)*100</f>
        <v>0.0691562932226833</v>
      </c>
      <c r="O25" s="379" t="n">
        <v>14</v>
      </c>
      <c r="P25" s="379" t="n">
        <v>0</v>
      </c>
      <c r="Q25" s="386" t="s">
        <v>49</v>
      </c>
      <c r="R25" s="387" t="n">
        <v>44907</v>
      </c>
      <c r="S25" s="379"/>
      <c r="T25" s="386" t="n">
        <v>13.1344</v>
      </c>
      <c r="U25" s="379"/>
      <c r="V25" s="379"/>
      <c r="W25" s="379"/>
      <c r="X25" s="379"/>
      <c r="Y25" s="379"/>
      <c r="Z25" s="379"/>
      <c r="AA25" s="385" t="s">
        <v>266</v>
      </c>
      <c r="AB25" s="385" t="n">
        <v>10</v>
      </c>
      <c r="AC25" s="390" t="s">
        <v>276</v>
      </c>
      <c r="AD25" s="386"/>
      <c r="AE25" s="386"/>
      <c r="AF25" s="379"/>
    </row>
    <row r="26" customFormat="false" ht="18.75" hidden="false" customHeight="false" outlineLevel="0" collapsed="false">
      <c r="A26" s="379" t="s">
        <v>42</v>
      </c>
      <c r="B26" s="379" t="s">
        <v>3265</v>
      </c>
      <c r="C26" s="378" t="s">
        <v>3310</v>
      </c>
      <c r="D26" s="379" t="s">
        <v>3313</v>
      </c>
      <c r="E26" s="379" t="s">
        <v>3314</v>
      </c>
      <c r="F26" s="379" t="n">
        <v>925</v>
      </c>
      <c r="G26" s="379" t="n">
        <v>213</v>
      </c>
      <c r="H26" s="379" t="n">
        <v>1288</v>
      </c>
      <c r="I26" s="379" t="n">
        <v>672</v>
      </c>
      <c r="J26" s="379" t="n">
        <v>616</v>
      </c>
      <c r="K26" s="379" t="n">
        <v>362</v>
      </c>
      <c r="L26" s="19" t="n">
        <f aca="false">(K26/H26)*100</f>
        <v>28.1055900621118</v>
      </c>
      <c r="M26" s="379" t="n">
        <v>0</v>
      </c>
      <c r="N26" s="19" t="n">
        <f aca="false">(M26/H26)*100</f>
        <v>0</v>
      </c>
      <c r="O26" s="379" t="n">
        <v>50</v>
      </c>
      <c r="P26" s="379" t="n">
        <v>0</v>
      </c>
      <c r="Q26" s="386" t="s">
        <v>49</v>
      </c>
      <c r="R26" s="387" t="n">
        <v>44907</v>
      </c>
      <c r="S26" s="379"/>
      <c r="T26" s="386" t="n">
        <v>49.784</v>
      </c>
      <c r="U26" s="379"/>
      <c r="V26" s="379"/>
      <c r="W26" s="379"/>
      <c r="X26" s="379"/>
      <c r="Y26" s="379"/>
      <c r="Z26" s="379"/>
      <c r="AA26" s="385" t="s">
        <v>266</v>
      </c>
      <c r="AB26" s="385" t="n">
        <v>15</v>
      </c>
      <c r="AC26" s="390" t="s">
        <v>276</v>
      </c>
      <c r="AD26" s="386"/>
      <c r="AE26" s="386"/>
      <c r="AF26" s="379"/>
    </row>
    <row r="27" customFormat="false" ht="18.75" hidden="false" customHeight="false" outlineLevel="0" collapsed="false">
      <c r="A27" s="379" t="s">
        <v>42</v>
      </c>
      <c r="B27" s="379" t="s">
        <v>3265</v>
      </c>
      <c r="C27" s="378" t="s">
        <v>3315</v>
      </c>
      <c r="D27" s="380" t="s">
        <v>3315</v>
      </c>
      <c r="E27" s="379" t="s">
        <v>3316</v>
      </c>
      <c r="F27" s="379" t="n">
        <v>1800</v>
      </c>
      <c r="G27" s="379" t="n">
        <v>320</v>
      </c>
      <c r="H27" s="379" t="n">
        <v>1824</v>
      </c>
      <c r="I27" s="379" t="n">
        <v>901</v>
      </c>
      <c r="J27" s="379" t="n">
        <v>923</v>
      </c>
      <c r="K27" s="379" t="n">
        <v>105</v>
      </c>
      <c r="L27" s="19" t="n">
        <f aca="false">(K27/H27)*100</f>
        <v>5.75657894736842</v>
      </c>
      <c r="M27" s="379" t="n">
        <v>73</v>
      </c>
      <c r="N27" s="19" t="n">
        <f aca="false">(M27/H27)*100</f>
        <v>4.00219298245614</v>
      </c>
      <c r="O27" s="379" t="n">
        <v>71</v>
      </c>
      <c r="P27" s="379" t="n">
        <v>0</v>
      </c>
      <c r="Q27" s="386" t="s">
        <v>70</v>
      </c>
      <c r="R27" s="387" t="n">
        <v>44900</v>
      </c>
      <c r="S27" s="379"/>
      <c r="T27" s="386" t="n">
        <v>70.3488</v>
      </c>
      <c r="U27" s="379"/>
      <c r="V27" s="379"/>
      <c r="W27" s="379"/>
      <c r="X27" s="379"/>
      <c r="Y27" s="379"/>
      <c r="Z27" s="379"/>
      <c r="AA27" s="388" t="s">
        <v>266</v>
      </c>
      <c r="AB27" s="385" t="n">
        <v>10</v>
      </c>
      <c r="AC27" s="389" t="s">
        <v>3317</v>
      </c>
      <c r="AD27" s="386"/>
      <c r="AE27" s="386"/>
      <c r="AF27" s="379"/>
    </row>
    <row r="28" customFormat="false" ht="18.75" hidden="false" customHeight="false" outlineLevel="0" collapsed="false">
      <c r="A28" s="379" t="s">
        <v>42</v>
      </c>
      <c r="B28" s="379" t="s">
        <v>3265</v>
      </c>
      <c r="C28" s="378" t="s">
        <v>3315</v>
      </c>
      <c r="D28" s="379" t="s">
        <v>3318</v>
      </c>
      <c r="E28" s="379" t="s">
        <v>3319</v>
      </c>
      <c r="F28" s="379" t="n">
        <v>435</v>
      </c>
      <c r="G28" s="379" t="n">
        <v>78</v>
      </c>
      <c r="H28" s="379" t="n">
        <v>459</v>
      </c>
      <c r="I28" s="379" t="n">
        <v>254</v>
      </c>
      <c r="J28" s="379" t="n">
        <v>205</v>
      </c>
      <c r="K28" s="379" t="n">
        <v>13</v>
      </c>
      <c r="L28" s="19" t="n">
        <f aca="false">(K28/H28)*100</f>
        <v>2.8322440087146</v>
      </c>
      <c r="M28" s="379" t="n">
        <v>177</v>
      </c>
      <c r="N28" s="19" t="n">
        <f aca="false">(M28/H28)*100</f>
        <v>38.562091503268</v>
      </c>
      <c r="O28" s="379" t="n">
        <v>0</v>
      </c>
      <c r="P28" s="379" t="n">
        <v>34</v>
      </c>
      <c r="Q28" s="386" t="s">
        <v>49</v>
      </c>
      <c r="R28" s="387" t="n">
        <v>44901</v>
      </c>
      <c r="S28" s="379"/>
      <c r="T28" s="386"/>
      <c r="U28" s="379"/>
      <c r="V28" s="379"/>
      <c r="W28" s="379"/>
      <c r="X28" s="379"/>
      <c r="Y28" s="379"/>
      <c r="Z28" s="379"/>
      <c r="AA28" s="388"/>
      <c r="AB28" s="385"/>
      <c r="AC28" s="386" t="n">
        <v>0</v>
      </c>
      <c r="AD28" s="386"/>
      <c r="AE28" s="386"/>
      <c r="AF28" s="379"/>
    </row>
    <row r="29" customFormat="false" ht="18.75" hidden="false" customHeight="false" outlineLevel="0" collapsed="false">
      <c r="A29" s="379" t="s">
        <v>42</v>
      </c>
      <c r="B29" s="379" t="s">
        <v>3265</v>
      </c>
      <c r="C29" s="378" t="s">
        <v>3315</v>
      </c>
      <c r="D29" s="379" t="s">
        <v>3320</v>
      </c>
      <c r="E29" s="379" t="s">
        <v>3321</v>
      </c>
      <c r="F29" s="379" t="n">
        <v>362</v>
      </c>
      <c r="G29" s="379" t="n">
        <v>60</v>
      </c>
      <c r="H29" s="379" t="n">
        <v>344</v>
      </c>
      <c r="I29" s="379" t="n">
        <v>174</v>
      </c>
      <c r="J29" s="379" t="n">
        <v>170</v>
      </c>
      <c r="K29" s="379" t="n">
        <v>0</v>
      </c>
      <c r="L29" s="19" t="n">
        <f aca="false">(K29/H29)*100</f>
        <v>0</v>
      </c>
      <c r="M29" s="379" t="n">
        <v>0</v>
      </c>
      <c r="N29" s="19" t="n">
        <f aca="false">(M29/H29)*100</f>
        <v>0</v>
      </c>
      <c r="O29" s="379" t="n">
        <v>0</v>
      </c>
      <c r="P29" s="379" t="n">
        <v>21</v>
      </c>
      <c r="Q29" s="386" t="s">
        <v>49</v>
      </c>
      <c r="R29" s="387" t="n">
        <v>44900</v>
      </c>
      <c r="S29" s="379"/>
      <c r="T29" s="386" t="n">
        <v>2.7888</v>
      </c>
      <c r="U29" s="379"/>
      <c r="V29" s="379"/>
      <c r="W29" s="379"/>
      <c r="X29" s="379"/>
      <c r="Y29" s="379"/>
      <c r="Z29" s="379"/>
      <c r="AA29" s="388" t="s">
        <v>266</v>
      </c>
      <c r="AB29" s="385" t="n">
        <v>2</v>
      </c>
      <c r="AC29" s="389" t="s">
        <v>3322</v>
      </c>
      <c r="AD29" s="386"/>
      <c r="AE29" s="386"/>
      <c r="AF29" s="379"/>
    </row>
    <row r="30" customFormat="false" ht="18.75" hidden="false" customHeight="false" outlineLevel="0" collapsed="false">
      <c r="A30" s="379" t="s">
        <v>42</v>
      </c>
      <c r="B30" s="379" t="s">
        <v>3265</v>
      </c>
      <c r="C30" s="378" t="s">
        <v>3323</v>
      </c>
      <c r="D30" s="380" t="s">
        <v>3324</v>
      </c>
      <c r="E30" s="379" t="s">
        <v>3325</v>
      </c>
      <c r="F30" s="379" t="n">
        <v>618.86</v>
      </c>
      <c r="G30" s="379" t="n">
        <v>241</v>
      </c>
      <c r="H30" s="379" t="n">
        <v>1329</v>
      </c>
      <c r="I30" s="379" t="n">
        <v>705</v>
      </c>
      <c r="J30" s="379" t="n">
        <v>624</v>
      </c>
      <c r="K30" s="379" t="n">
        <v>304</v>
      </c>
      <c r="L30" s="19" t="n">
        <f aca="false">(K30/H30)*100</f>
        <v>22.8743416102333</v>
      </c>
      <c r="M30" s="379" t="n">
        <v>74</v>
      </c>
      <c r="N30" s="19" t="n">
        <f aca="false">(M30/H30)*100</f>
        <v>5.56809631301731</v>
      </c>
      <c r="O30" s="379" t="n">
        <v>3.07</v>
      </c>
      <c r="P30" s="379" t="n">
        <v>0</v>
      </c>
      <c r="Q30" s="183" t="s">
        <v>49</v>
      </c>
      <c r="R30" s="381" t="n">
        <v>44625</v>
      </c>
      <c r="S30" s="379"/>
      <c r="T30" s="183" t="n">
        <v>2.096</v>
      </c>
      <c r="U30" s="379"/>
      <c r="V30" s="379"/>
      <c r="W30" s="379"/>
      <c r="X30" s="379"/>
      <c r="Y30" s="379"/>
      <c r="Z30" s="379"/>
      <c r="AA30" s="385" t="s">
        <v>266</v>
      </c>
      <c r="AB30" s="180" t="n">
        <v>10</v>
      </c>
      <c r="AC30" s="384" t="s">
        <v>317</v>
      </c>
      <c r="AD30" s="183"/>
      <c r="AE30" s="183"/>
      <c r="AF30" s="379"/>
    </row>
    <row r="31" customFormat="false" ht="18.75" hidden="false" customHeight="false" outlineLevel="0" collapsed="false">
      <c r="A31" s="379" t="s">
        <v>42</v>
      </c>
      <c r="B31" s="379" t="s">
        <v>3265</v>
      </c>
      <c r="C31" s="378" t="s">
        <v>3323</v>
      </c>
      <c r="D31" s="379" t="s">
        <v>3326</v>
      </c>
      <c r="E31" s="379" t="s">
        <v>3327</v>
      </c>
      <c r="F31" s="379" t="n">
        <v>243.08</v>
      </c>
      <c r="G31" s="379" t="n">
        <v>179</v>
      </c>
      <c r="H31" s="379" t="n">
        <v>887</v>
      </c>
      <c r="I31" s="379" t="n">
        <v>456</v>
      </c>
      <c r="J31" s="379" t="n">
        <v>431</v>
      </c>
      <c r="K31" s="379" t="n">
        <v>290</v>
      </c>
      <c r="L31" s="19" t="n">
        <f aca="false">(K31/H31)*100</f>
        <v>32.6944757609921</v>
      </c>
      <c r="M31" s="379" t="n">
        <v>94</v>
      </c>
      <c r="N31" s="19" t="n">
        <f aca="false">(M31/H31)*100</f>
        <v>10.597519729425</v>
      </c>
      <c r="O31" s="379" t="n">
        <v>9.05</v>
      </c>
      <c r="P31" s="379" t="n">
        <v>0</v>
      </c>
      <c r="Q31" s="386" t="s">
        <v>49</v>
      </c>
      <c r="R31" s="387" t="n">
        <v>44625</v>
      </c>
      <c r="S31" s="379"/>
      <c r="T31" s="386" t="n">
        <v>8.0048</v>
      </c>
      <c r="U31" s="379"/>
      <c r="V31" s="379"/>
      <c r="W31" s="379"/>
      <c r="X31" s="379"/>
      <c r="Y31" s="379"/>
      <c r="Z31" s="379"/>
      <c r="AA31" s="385" t="s">
        <v>266</v>
      </c>
      <c r="AB31" s="385" t="n">
        <v>5</v>
      </c>
      <c r="AC31" s="390" t="s">
        <v>276</v>
      </c>
      <c r="AD31" s="386"/>
      <c r="AE31" s="386"/>
      <c r="AF31" s="379"/>
    </row>
    <row r="32" customFormat="false" ht="18.75" hidden="false" customHeight="false" outlineLevel="0" collapsed="false">
      <c r="A32" s="379" t="s">
        <v>42</v>
      </c>
      <c r="B32" s="379" t="s">
        <v>3265</v>
      </c>
      <c r="C32" s="378" t="s">
        <v>3323</v>
      </c>
      <c r="D32" s="379" t="s">
        <v>3328</v>
      </c>
      <c r="E32" s="379" t="s">
        <v>3329</v>
      </c>
      <c r="F32" s="379" t="n">
        <v>231.09</v>
      </c>
      <c r="G32" s="379" t="n">
        <v>53</v>
      </c>
      <c r="H32" s="379" t="n">
        <v>298</v>
      </c>
      <c r="I32" s="379" t="n">
        <v>148</v>
      </c>
      <c r="J32" s="379" t="n">
        <v>150</v>
      </c>
      <c r="K32" s="379" t="n">
        <v>0</v>
      </c>
      <c r="L32" s="19" t="n">
        <f aca="false">(K32/H32)*100</f>
        <v>0</v>
      </c>
      <c r="M32" s="379" t="n">
        <v>0</v>
      </c>
      <c r="N32" s="19" t="n">
        <f aca="false">(M32/H32)*100</f>
        <v>0</v>
      </c>
      <c r="O32" s="379" t="n">
        <v>0</v>
      </c>
      <c r="P32" s="379" t="n">
        <v>0</v>
      </c>
      <c r="Q32" s="386" t="s">
        <v>49</v>
      </c>
      <c r="R32" s="387" t="n">
        <v>44625</v>
      </c>
      <c r="S32" s="379"/>
      <c r="T32" s="386"/>
      <c r="U32" s="379"/>
      <c r="V32" s="379"/>
      <c r="W32" s="379"/>
      <c r="X32" s="379"/>
      <c r="Y32" s="379"/>
      <c r="Z32" s="379"/>
      <c r="AA32" s="385" t="s">
        <v>266</v>
      </c>
      <c r="AB32" s="385" t="n">
        <v>5</v>
      </c>
      <c r="AC32" s="390" t="s">
        <v>276</v>
      </c>
      <c r="AD32" s="386"/>
      <c r="AE32" s="386"/>
      <c r="AF32" s="379"/>
    </row>
    <row r="33" customFormat="false" ht="18.75" hidden="false" customHeight="false" outlineLevel="0" collapsed="false">
      <c r="A33" s="379" t="s">
        <v>42</v>
      </c>
      <c r="B33" s="379" t="s">
        <v>3265</v>
      </c>
      <c r="C33" s="378" t="s">
        <v>3330</v>
      </c>
      <c r="D33" s="380" t="s">
        <v>3330</v>
      </c>
      <c r="E33" s="379" t="s">
        <v>3331</v>
      </c>
      <c r="F33" s="379" t="n">
        <v>1217.01</v>
      </c>
      <c r="G33" s="379" t="n">
        <v>307</v>
      </c>
      <c r="H33" s="379" t="n">
        <v>1593</v>
      </c>
      <c r="I33" s="379" t="n">
        <v>804</v>
      </c>
      <c r="J33" s="379" t="n">
        <v>789</v>
      </c>
      <c r="K33" s="379" t="n">
        <v>241</v>
      </c>
      <c r="L33" s="19" t="n">
        <f aca="false">(K33/H33)*100</f>
        <v>15.1286880100439</v>
      </c>
      <c r="M33" s="379" t="n">
        <v>24</v>
      </c>
      <c r="N33" s="19" t="n">
        <f aca="false">(M33/H33)*100</f>
        <v>1.50659133709981</v>
      </c>
      <c r="O33" s="379" t="n">
        <v>17</v>
      </c>
      <c r="P33" s="379" t="n">
        <v>0</v>
      </c>
      <c r="Q33" s="386" t="s">
        <v>49</v>
      </c>
      <c r="R33" s="387" t="n">
        <v>44836</v>
      </c>
      <c r="S33" s="379"/>
      <c r="T33" s="390" t="n">
        <v>18.7504</v>
      </c>
      <c r="U33" s="379"/>
      <c r="V33" s="379"/>
      <c r="W33" s="379"/>
      <c r="X33" s="379"/>
      <c r="Y33" s="379"/>
      <c r="Z33" s="379"/>
      <c r="AA33" s="388" t="s">
        <v>266</v>
      </c>
      <c r="AB33" s="403" t="n">
        <v>10</v>
      </c>
      <c r="AC33" s="384" t="s">
        <v>3332</v>
      </c>
      <c r="AD33" s="390" t="n">
        <v>0</v>
      </c>
      <c r="AE33" s="390" t="n">
        <v>0</v>
      </c>
      <c r="AF33" s="379"/>
    </row>
    <row r="34" customFormat="false" ht="18.75" hidden="false" customHeight="false" outlineLevel="0" collapsed="false">
      <c r="A34" s="379" t="s">
        <v>42</v>
      </c>
      <c r="B34" s="379" t="s">
        <v>3265</v>
      </c>
      <c r="C34" s="378" t="s">
        <v>3330</v>
      </c>
      <c r="D34" s="379" t="s">
        <v>3333</v>
      </c>
      <c r="E34" s="379" t="s">
        <v>3334</v>
      </c>
      <c r="F34" s="379" t="n">
        <v>444.21</v>
      </c>
      <c r="G34" s="379" t="n">
        <v>114</v>
      </c>
      <c r="H34" s="379" t="n">
        <v>574</v>
      </c>
      <c r="I34" s="379" t="n">
        <v>298</v>
      </c>
      <c r="J34" s="379" t="n">
        <v>276</v>
      </c>
      <c r="K34" s="379" t="n">
        <v>109</v>
      </c>
      <c r="L34" s="19" t="n">
        <f aca="false">(K34/H34)*100</f>
        <v>18.9895470383275</v>
      </c>
      <c r="M34" s="379" t="n">
        <v>0</v>
      </c>
      <c r="N34" s="19" t="n">
        <f aca="false">(M34/H34)*100</f>
        <v>0</v>
      </c>
      <c r="O34" s="379" t="n">
        <v>11.25</v>
      </c>
      <c r="P34" s="379" t="n">
        <v>0</v>
      </c>
      <c r="Q34" s="386" t="s">
        <v>49</v>
      </c>
      <c r="R34" s="387" t="n">
        <v>44836</v>
      </c>
      <c r="S34" s="379"/>
      <c r="T34" s="390" t="n">
        <v>20.9184</v>
      </c>
      <c r="U34" s="379"/>
      <c r="V34" s="379"/>
      <c r="W34" s="379"/>
      <c r="X34" s="379"/>
      <c r="Y34" s="379"/>
      <c r="Z34" s="379"/>
      <c r="AA34" s="388" t="s">
        <v>266</v>
      </c>
      <c r="AB34" s="403" t="n">
        <v>20</v>
      </c>
      <c r="AC34" s="384" t="s">
        <v>3335</v>
      </c>
      <c r="AD34" s="404" t="n">
        <v>0</v>
      </c>
      <c r="AE34" s="390" t="n">
        <v>0</v>
      </c>
      <c r="AF34" s="379"/>
    </row>
    <row r="35" customFormat="false" ht="18.75" hidden="false" customHeight="false" outlineLevel="0" collapsed="false">
      <c r="A35" s="379" t="s">
        <v>42</v>
      </c>
      <c r="B35" s="379" t="s">
        <v>3265</v>
      </c>
      <c r="C35" s="378" t="s">
        <v>3330</v>
      </c>
      <c r="D35" s="379" t="s">
        <v>3336</v>
      </c>
      <c r="E35" s="379" t="s">
        <v>3337</v>
      </c>
      <c r="F35" s="379" t="n">
        <v>266.26</v>
      </c>
      <c r="G35" s="379" t="n">
        <v>112</v>
      </c>
      <c r="H35" s="379" t="n">
        <v>602</v>
      </c>
      <c r="I35" s="379" t="n">
        <v>315</v>
      </c>
      <c r="J35" s="379" t="n">
        <v>287</v>
      </c>
      <c r="K35" s="379" t="n">
        <v>206</v>
      </c>
      <c r="L35" s="19" t="n">
        <f aca="false">(K35/H35)*100</f>
        <v>34.21926910299</v>
      </c>
      <c r="M35" s="379" t="n">
        <v>86</v>
      </c>
      <c r="N35" s="19" t="n">
        <f aca="false">(M35/H35)*100</f>
        <v>14.2857142857143</v>
      </c>
      <c r="O35" s="379" t="n">
        <v>9</v>
      </c>
      <c r="P35" s="379" t="n">
        <v>0</v>
      </c>
      <c r="Q35" s="386" t="s">
        <v>49</v>
      </c>
      <c r="R35" s="387" t="n">
        <v>44836</v>
      </c>
      <c r="S35" s="379"/>
      <c r="T35" s="390" t="n">
        <v>8.3344</v>
      </c>
      <c r="U35" s="379"/>
      <c r="V35" s="379"/>
      <c r="W35" s="379"/>
      <c r="X35" s="379"/>
      <c r="Y35" s="379"/>
      <c r="Z35" s="379"/>
      <c r="AA35" s="388" t="s">
        <v>266</v>
      </c>
      <c r="AB35" s="403" t="n">
        <v>20</v>
      </c>
      <c r="AC35" s="384" t="s">
        <v>3338</v>
      </c>
      <c r="AD35" s="390" t="n">
        <v>0</v>
      </c>
      <c r="AE35" s="390" t="n">
        <v>0</v>
      </c>
      <c r="AF35" s="379"/>
    </row>
    <row r="36" customFormat="false" ht="40.5" hidden="false" customHeight="false" outlineLevel="0" collapsed="false">
      <c r="A36" s="379" t="s">
        <v>42</v>
      </c>
      <c r="B36" s="379" t="s">
        <v>3265</v>
      </c>
      <c r="C36" s="378" t="s">
        <v>3339</v>
      </c>
      <c r="D36" s="380" t="s">
        <v>3339</v>
      </c>
      <c r="E36" s="379" t="s">
        <v>3340</v>
      </c>
      <c r="F36" s="379" t="n">
        <v>1681.05</v>
      </c>
      <c r="G36" s="379" t="n">
        <v>361</v>
      </c>
      <c r="H36" s="379" t="n">
        <v>2175</v>
      </c>
      <c r="I36" s="379" t="n">
        <v>1086</v>
      </c>
      <c r="J36" s="379" t="n">
        <v>1089</v>
      </c>
      <c r="K36" s="379" t="n">
        <v>8</v>
      </c>
      <c r="L36" s="19" t="n">
        <f aca="false">(K36/H36)*100</f>
        <v>0.367816091954023</v>
      </c>
      <c r="M36" s="379" t="n">
        <v>0</v>
      </c>
      <c r="N36" s="19" t="n">
        <f aca="false">(M36/H36)*100</f>
        <v>0</v>
      </c>
      <c r="O36" s="379" t="n">
        <v>35.19</v>
      </c>
      <c r="P36" s="379" t="n">
        <v>0</v>
      </c>
      <c r="Q36" s="386" t="s">
        <v>49</v>
      </c>
      <c r="R36" s="405" t="s">
        <v>3341</v>
      </c>
      <c r="S36" s="379"/>
      <c r="T36" s="406" t="n">
        <v>34.98</v>
      </c>
      <c r="U36" s="379"/>
      <c r="V36" s="379"/>
      <c r="W36" s="379"/>
      <c r="X36" s="379"/>
      <c r="Y36" s="379"/>
      <c r="Z36" s="379"/>
      <c r="AA36" s="385" t="s">
        <v>50</v>
      </c>
      <c r="AB36" s="385" t="n">
        <v>5</v>
      </c>
      <c r="AC36" s="407" t="s">
        <v>3342</v>
      </c>
      <c r="AD36" s="408" t="n">
        <v>26.325685</v>
      </c>
      <c r="AE36" s="409" t="n">
        <v>73.216118</v>
      </c>
      <c r="AF36" s="379" t="s">
        <v>1277</v>
      </c>
    </row>
    <row r="37" customFormat="false" ht="40.5" hidden="false" customHeight="false" outlineLevel="0" collapsed="false">
      <c r="A37" s="379"/>
      <c r="B37" s="379"/>
      <c r="C37" s="378"/>
      <c r="D37" s="380"/>
      <c r="E37" s="379"/>
      <c r="F37" s="379"/>
      <c r="G37" s="379"/>
      <c r="H37" s="379"/>
      <c r="I37" s="379"/>
      <c r="J37" s="379"/>
      <c r="K37" s="379"/>
      <c r="L37" s="19"/>
      <c r="M37" s="379"/>
      <c r="N37" s="19"/>
      <c r="O37" s="379"/>
      <c r="P37" s="379"/>
      <c r="Q37" s="410"/>
      <c r="R37" s="411"/>
      <c r="S37" s="379"/>
      <c r="T37" s="412"/>
      <c r="U37" s="379"/>
      <c r="V37" s="379"/>
      <c r="W37" s="379"/>
      <c r="X37" s="379"/>
      <c r="Y37" s="379"/>
      <c r="Z37" s="379"/>
      <c r="AA37" s="413" t="s">
        <v>50</v>
      </c>
      <c r="AB37" s="413" t="n">
        <v>8</v>
      </c>
      <c r="AC37" s="414" t="s">
        <v>3343</v>
      </c>
      <c r="AD37" s="415" t="n">
        <v>26.325736</v>
      </c>
      <c r="AE37" s="415" t="n">
        <v>73.214084</v>
      </c>
      <c r="AF37" s="379" t="s">
        <v>1277</v>
      </c>
    </row>
    <row r="38" customFormat="false" ht="40.5" hidden="false" customHeight="false" outlineLevel="0" collapsed="false">
      <c r="A38" s="379"/>
      <c r="B38" s="379"/>
      <c r="C38" s="378"/>
      <c r="D38" s="380"/>
      <c r="E38" s="379"/>
      <c r="F38" s="379"/>
      <c r="G38" s="379"/>
      <c r="H38" s="379"/>
      <c r="I38" s="379"/>
      <c r="J38" s="379"/>
      <c r="K38" s="379"/>
      <c r="L38" s="19"/>
      <c r="M38" s="379"/>
      <c r="N38" s="19"/>
      <c r="O38" s="379"/>
      <c r="P38" s="379"/>
      <c r="Q38" s="410"/>
      <c r="R38" s="411"/>
      <c r="S38" s="379"/>
      <c r="T38" s="412"/>
      <c r="U38" s="379"/>
      <c r="V38" s="379"/>
      <c r="W38" s="379"/>
      <c r="X38" s="379"/>
      <c r="Y38" s="379"/>
      <c r="Z38" s="379"/>
      <c r="AA38" s="413" t="s">
        <v>50</v>
      </c>
      <c r="AB38" s="413" t="n">
        <v>5</v>
      </c>
      <c r="AC38" s="416" t="s">
        <v>3344</v>
      </c>
      <c r="AD38" s="415" t="n">
        <v>26.327856</v>
      </c>
      <c r="AE38" s="415" t="n">
        <v>73.212404</v>
      </c>
      <c r="AF38" s="379" t="s">
        <v>1277</v>
      </c>
    </row>
    <row r="39" customFormat="false" ht="18.75" hidden="false" customHeight="false" outlineLevel="0" collapsed="false">
      <c r="A39" s="379" t="s">
        <v>42</v>
      </c>
      <c r="B39" s="379" t="s">
        <v>3265</v>
      </c>
      <c r="C39" s="378" t="s">
        <v>3339</v>
      </c>
      <c r="D39" s="379" t="s">
        <v>3345</v>
      </c>
      <c r="E39" s="379" t="s">
        <v>3346</v>
      </c>
      <c r="F39" s="379" t="n">
        <v>926</v>
      </c>
      <c r="G39" s="379" t="n">
        <v>97</v>
      </c>
      <c r="H39" s="379" t="n">
        <v>630</v>
      </c>
      <c r="I39" s="379" t="n">
        <v>333</v>
      </c>
      <c r="J39" s="379" t="n">
        <v>297</v>
      </c>
      <c r="K39" s="379" t="n">
        <v>0</v>
      </c>
      <c r="L39" s="19" t="n">
        <f aca="false">(K39/H39)*100</f>
        <v>0</v>
      </c>
      <c r="M39" s="379" t="n">
        <v>0</v>
      </c>
      <c r="N39" s="19" t="n">
        <f aca="false">(M39/H39)*100</f>
        <v>0</v>
      </c>
      <c r="O39" s="379" t="n">
        <v>13</v>
      </c>
      <c r="P39" s="379" t="n">
        <v>0</v>
      </c>
      <c r="Q39" s="386" t="s">
        <v>49</v>
      </c>
      <c r="R39" s="405" t="n">
        <v>45986</v>
      </c>
      <c r="S39" s="379"/>
      <c r="T39" s="406" t="n">
        <v>0</v>
      </c>
      <c r="U39" s="379"/>
      <c r="V39" s="379"/>
      <c r="W39" s="379"/>
      <c r="X39" s="379"/>
      <c r="Y39" s="379"/>
      <c r="Z39" s="379"/>
      <c r="AA39" s="385" t="s">
        <v>50</v>
      </c>
      <c r="AB39" s="385"/>
      <c r="AC39" s="417"/>
      <c r="AD39" s="409"/>
      <c r="AE39" s="409"/>
      <c r="AF39" s="379" t="s">
        <v>1277</v>
      </c>
    </row>
    <row r="40" customFormat="false" ht="40.5" hidden="false" customHeight="false" outlineLevel="0" collapsed="false">
      <c r="A40" s="379" t="s">
        <v>42</v>
      </c>
      <c r="B40" s="379" t="s">
        <v>3265</v>
      </c>
      <c r="C40" s="378" t="s">
        <v>3347</v>
      </c>
      <c r="D40" s="380" t="s">
        <v>3348</v>
      </c>
      <c r="E40" s="379" t="s">
        <v>3349</v>
      </c>
      <c r="F40" s="379" t="n">
        <v>1425.56</v>
      </c>
      <c r="G40" s="379" t="n">
        <v>387</v>
      </c>
      <c r="H40" s="379" t="n">
        <v>2211</v>
      </c>
      <c r="I40" s="379" t="n">
        <v>1111</v>
      </c>
      <c r="J40" s="379" t="n">
        <v>1100</v>
      </c>
      <c r="K40" s="379" t="n">
        <v>434</v>
      </c>
      <c r="L40" s="19" t="n">
        <f aca="false">(K40/H40)*100</f>
        <v>19.6291270918137</v>
      </c>
      <c r="M40" s="379" t="n">
        <v>0</v>
      </c>
      <c r="N40" s="19" t="n">
        <f aca="false">(M40/H40)*100</f>
        <v>0</v>
      </c>
      <c r="O40" s="379" t="n">
        <v>66.26</v>
      </c>
      <c r="P40" s="379" t="n">
        <v>0</v>
      </c>
      <c r="Q40" s="386" t="s">
        <v>49</v>
      </c>
      <c r="R40" s="405" t="n">
        <v>45932</v>
      </c>
      <c r="S40" s="379"/>
      <c r="T40" s="406" t="n">
        <v>42.18</v>
      </c>
      <c r="U40" s="379"/>
      <c r="V40" s="379"/>
      <c r="W40" s="379"/>
      <c r="X40" s="379"/>
      <c r="Y40" s="379"/>
      <c r="Z40" s="379"/>
      <c r="AA40" s="385" t="s">
        <v>50</v>
      </c>
      <c r="AB40" s="385" t="n">
        <v>1</v>
      </c>
      <c r="AC40" s="407" t="s">
        <v>3350</v>
      </c>
      <c r="AD40" s="409" t="n">
        <v>26.378136</v>
      </c>
      <c r="AE40" s="409" t="n">
        <v>73.280337</v>
      </c>
      <c r="AF40" s="379" t="s">
        <v>1277</v>
      </c>
    </row>
    <row r="41" customFormat="false" ht="60.75" hidden="false" customHeight="false" outlineLevel="0" collapsed="false">
      <c r="A41" s="379"/>
      <c r="B41" s="379"/>
      <c r="C41" s="378"/>
      <c r="D41" s="380"/>
      <c r="E41" s="379"/>
      <c r="F41" s="379"/>
      <c r="G41" s="379"/>
      <c r="H41" s="379"/>
      <c r="I41" s="379"/>
      <c r="J41" s="379"/>
      <c r="K41" s="379"/>
      <c r="L41" s="19"/>
      <c r="M41" s="379"/>
      <c r="N41" s="19"/>
      <c r="O41" s="379"/>
      <c r="P41" s="379"/>
      <c r="Q41" s="410"/>
      <c r="R41" s="411"/>
      <c r="S41" s="379"/>
      <c r="T41" s="412"/>
      <c r="U41" s="379"/>
      <c r="V41" s="379"/>
      <c r="W41" s="379"/>
      <c r="X41" s="379"/>
      <c r="Y41" s="379"/>
      <c r="Z41" s="379"/>
      <c r="AA41" s="413" t="s">
        <v>50</v>
      </c>
      <c r="AB41" s="413" t="n">
        <v>2</v>
      </c>
      <c r="AC41" s="416" t="s">
        <v>3351</v>
      </c>
      <c r="AD41" s="415" t="n">
        <v>26.379208</v>
      </c>
      <c r="AE41" s="415" t="n">
        <v>73.289471</v>
      </c>
      <c r="AF41" s="379" t="s">
        <v>1277</v>
      </c>
    </row>
    <row r="42" customFormat="false" ht="18.75" hidden="false" customHeight="false" outlineLevel="0" collapsed="false">
      <c r="A42" s="379" t="s">
        <v>42</v>
      </c>
      <c r="B42" s="379" t="s">
        <v>3265</v>
      </c>
      <c r="C42" s="378" t="s">
        <v>3352</v>
      </c>
      <c r="D42" s="380" t="s">
        <v>3353</v>
      </c>
      <c r="E42" s="379" t="s">
        <v>3354</v>
      </c>
      <c r="F42" s="379" t="n">
        <v>1036</v>
      </c>
      <c r="G42" s="379" t="n">
        <v>387</v>
      </c>
      <c r="H42" s="379" t="n">
        <v>2331</v>
      </c>
      <c r="I42" s="379" t="n">
        <v>1228</v>
      </c>
      <c r="J42" s="379" t="n">
        <v>1103</v>
      </c>
      <c r="K42" s="379" t="n">
        <v>212</v>
      </c>
      <c r="L42" s="19" t="n">
        <f aca="false">(K42/H42)*100</f>
        <v>9.0948090948091</v>
      </c>
      <c r="M42" s="379" t="n">
        <v>172</v>
      </c>
      <c r="N42" s="19" t="n">
        <f aca="false">(M42/H42)*100</f>
        <v>7.37880737880738</v>
      </c>
      <c r="O42" s="379" t="n">
        <v>0</v>
      </c>
      <c r="P42" s="379" t="n">
        <v>0</v>
      </c>
      <c r="Q42" s="379"/>
      <c r="R42" s="379"/>
      <c r="S42" s="379"/>
      <c r="T42" s="379"/>
      <c r="U42" s="379"/>
      <c r="V42" s="379"/>
      <c r="W42" s="379"/>
      <c r="X42" s="379"/>
      <c r="Y42" s="379"/>
      <c r="Z42" s="379"/>
      <c r="AA42" s="418"/>
      <c r="AB42" s="418"/>
      <c r="AC42" s="379"/>
      <c r="AD42" s="379"/>
      <c r="AE42" s="379"/>
      <c r="AF42" s="379"/>
    </row>
    <row r="43" customFormat="false" ht="18.75" hidden="false" customHeight="false" outlineLevel="0" collapsed="false">
      <c r="A43" s="379" t="s">
        <v>42</v>
      </c>
      <c r="B43" s="379" t="s">
        <v>3265</v>
      </c>
      <c r="C43" s="378" t="s">
        <v>3352</v>
      </c>
      <c r="D43" s="379" t="s">
        <v>3355</v>
      </c>
      <c r="E43" s="379" t="s">
        <v>3356</v>
      </c>
      <c r="F43" s="379" t="n">
        <v>265</v>
      </c>
      <c r="G43" s="379" t="n">
        <v>115</v>
      </c>
      <c r="H43" s="379" t="n">
        <v>727</v>
      </c>
      <c r="I43" s="379" t="n">
        <v>384</v>
      </c>
      <c r="J43" s="379" t="n">
        <v>343</v>
      </c>
      <c r="K43" s="379" t="n">
        <v>0</v>
      </c>
      <c r="L43" s="19" t="n">
        <f aca="false">(K43/H43)*100</f>
        <v>0</v>
      </c>
      <c r="M43" s="379" t="n">
        <v>0</v>
      </c>
      <c r="N43" s="19" t="n">
        <f aca="false">(M43/H43)*100</f>
        <v>0</v>
      </c>
      <c r="O43" s="379" t="n">
        <v>0</v>
      </c>
      <c r="P43" s="379" t="n">
        <v>0</v>
      </c>
      <c r="Q43" s="379"/>
      <c r="R43" s="379"/>
      <c r="S43" s="379"/>
      <c r="T43" s="379"/>
      <c r="U43" s="379"/>
      <c r="V43" s="379"/>
      <c r="W43" s="379"/>
      <c r="X43" s="379"/>
      <c r="Y43" s="379"/>
      <c r="Z43" s="379"/>
      <c r="AA43" s="418"/>
      <c r="AB43" s="418"/>
      <c r="AC43" s="379"/>
      <c r="AD43" s="379"/>
      <c r="AE43" s="379"/>
      <c r="AF43" s="379"/>
    </row>
    <row r="44" customFormat="false" ht="18.75" hidden="false" customHeight="false" outlineLevel="0" collapsed="false">
      <c r="A44" s="379" t="s">
        <v>42</v>
      </c>
      <c r="B44" s="379" t="s">
        <v>3265</v>
      </c>
      <c r="C44" s="378" t="s">
        <v>3352</v>
      </c>
      <c r="D44" s="379" t="s">
        <v>3357</v>
      </c>
      <c r="E44" s="379" t="s">
        <v>3358</v>
      </c>
      <c r="F44" s="379" t="n">
        <v>318</v>
      </c>
      <c r="G44" s="379" t="n">
        <v>191</v>
      </c>
      <c r="H44" s="379" t="n">
        <v>1233</v>
      </c>
      <c r="I44" s="379" t="n">
        <v>645</v>
      </c>
      <c r="J44" s="379" t="n">
        <v>588</v>
      </c>
      <c r="K44" s="379" t="n">
        <v>175</v>
      </c>
      <c r="L44" s="19" t="n">
        <f aca="false">(K44/H44)*100</f>
        <v>14.1930251419303</v>
      </c>
      <c r="M44" s="379" t="n">
        <v>0</v>
      </c>
      <c r="N44" s="19" t="n">
        <f aca="false">(M44/H44)*100</f>
        <v>0</v>
      </c>
      <c r="O44" s="379" t="n">
        <v>0</v>
      </c>
      <c r="P44" s="379" t="n">
        <v>0</v>
      </c>
      <c r="Q44" s="379"/>
      <c r="R44" s="379"/>
      <c r="S44" s="379"/>
      <c r="T44" s="379"/>
      <c r="U44" s="379"/>
      <c r="V44" s="379"/>
      <c r="W44" s="379"/>
      <c r="X44" s="379"/>
      <c r="Y44" s="379"/>
      <c r="Z44" s="379"/>
      <c r="AA44" s="418"/>
      <c r="AB44" s="418"/>
      <c r="AC44" s="379"/>
      <c r="AD44" s="379"/>
      <c r="AE44" s="379"/>
      <c r="AF44" s="379"/>
    </row>
    <row r="45" customFormat="false" ht="18.75" hidden="false" customHeight="false" outlineLevel="0" collapsed="false">
      <c r="A45" s="379" t="s">
        <v>42</v>
      </c>
      <c r="B45" s="379" t="s">
        <v>3265</v>
      </c>
      <c r="C45" s="378" t="s">
        <v>3359</v>
      </c>
      <c r="D45" s="380" t="s">
        <v>3360</v>
      </c>
      <c r="E45" s="379" t="s">
        <v>3361</v>
      </c>
      <c r="F45" s="379" t="n">
        <v>1516.53</v>
      </c>
      <c r="G45" s="379" t="n">
        <v>360</v>
      </c>
      <c r="H45" s="379" t="n">
        <v>1997</v>
      </c>
      <c r="I45" s="379" t="n">
        <v>1000</v>
      </c>
      <c r="J45" s="379" t="n">
        <v>997</v>
      </c>
      <c r="K45" s="379" t="n">
        <v>284</v>
      </c>
      <c r="L45" s="19" t="n">
        <f aca="false">(K45/H45)*100</f>
        <v>14.221331997997</v>
      </c>
      <c r="M45" s="379" t="n">
        <v>0</v>
      </c>
      <c r="N45" s="19" t="n">
        <f aca="false">(M45/H45)*100</f>
        <v>0</v>
      </c>
      <c r="O45" s="379" t="n">
        <v>69</v>
      </c>
      <c r="P45" s="379" t="n">
        <v>0</v>
      </c>
      <c r="Q45" s="386" t="s">
        <v>49</v>
      </c>
      <c r="R45" s="387" t="n">
        <v>44836</v>
      </c>
      <c r="S45" s="379"/>
      <c r="T45" s="386" t="n">
        <v>75.5232</v>
      </c>
      <c r="U45" s="379"/>
      <c r="V45" s="379"/>
      <c r="W45" s="379"/>
      <c r="X45" s="379"/>
      <c r="Y45" s="379"/>
      <c r="Z45" s="379"/>
      <c r="AA45" s="385" t="s">
        <v>266</v>
      </c>
      <c r="AB45" s="385" t="n">
        <v>15</v>
      </c>
      <c r="AC45" s="390" t="s">
        <v>276</v>
      </c>
      <c r="AD45" s="386"/>
      <c r="AE45" s="386"/>
      <c r="AF45" s="379"/>
    </row>
    <row r="46" customFormat="false" ht="18.75" hidden="false" customHeight="false" outlineLevel="0" collapsed="false">
      <c r="A46" s="379" t="s">
        <v>42</v>
      </c>
      <c r="B46" s="379" t="s">
        <v>3265</v>
      </c>
      <c r="C46" s="378" t="s">
        <v>3359</v>
      </c>
      <c r="D46" s="379" t="s">
        <v>1118</v>
      </c>
      <c r="E46" s="379" t="s">
        <v>3362</v>
      </c>
      <c r="F46" s="379" t="n">
        <v>748.26</v>
      </c>
      <c r="G46" s="379" t="n">
        <v>91</v>
      </c>
      <c r="H46" s="379" t="n">
        <v>577</v>
      </c>
      <c r="I46" s="379" t="n">
        <v>306</v>
      </c>
      <c r="J46" s="379" t="n">
        <v>271</v>
      </c>
      <c r="K46" s="379" t="n">
        <v>52</v>
      </c>
      <c r="L46" s="19" t="n">
        <f aca="false">(K46/H46)*100</f>
        <v>9.01213171577123</v>
      </c>
      <c r="M46" s="379" t="n">
        <v>0</v>
      </c>
      <c r="N46" s="19" t="n">
        <f aca="false">(M46/H46)*100</f>
        <v>0</v>
      </c>
      <c r="O46" s="379" t="n">
        <v>29.85</v>
      </c>
      <c r="P46" s="379" t="n">
        <v>0</v>
      </c>
      <c r="Q46" s="386" t="s">
        <v>49</v>
      </c>
      <c r="R46" s="387" t="n">
        <v>44836</v>
      </c>
      <c r="S46" s="379"/>
      <c r="T46" s="386" t="n">
        <v>24.9824</v>
      </c>
      <c r="U46" s="379"/>
      <c r="V46" s="379"/>
      <c r="W46" s="379"/>
      <c r="X46" s="379"/>
      <c r="Y46" s="379"/>
      <c r="Z46" s="379"/>
      <c r="AA46" s="385" t="s">
        <v>266</v>
      </c>
      <c r="AB46" s="385" t="n">
        <v>10</v>
      </c>
      <c r="AC46" s="390" t="s">
        <v>276</v>
      </c>
      <c r="AD46" s="386"/>
      <c r="AE46" s="386"/>
      <c r="AF46" s="379"/>
    </row>
    <row r="47" customFormat="false" ht="18.75" hidden="false" customHeight="false" outlineLevel="0" collapsed="false">
      <c r="A47" s="379" t="s">
        <v>42</v>
      </c>
      <c r="B47" s="379" t="s">
        <v>3265</v>
      </c>
      <c r="C47" s="378" t="s">
        <v>3363</v>
      </c>
      <c r="D47" s="380" t="s">
        <v>3364</v>
      </c>
      <c r="E47" s="379" t="s">
        <v>3365</v>
      </c>
      <c r="F47" s="379" t="n">
        <v>715</v>
      </c>
      <c r="G47" s="379" t="n">
        <v>628</v>
      </c>
      <c r="H47" s="379" t="n">
        <v>3400</v>
      </c>
      <c r="I47" s="379" t="n">
        <v>1744</v>
      </c>
      <c r="J47" s="379" t="n">
        <v>1656</v>
      </c>
      <c r="K47" s="379" t="n">
        <v>1252</v>
      </c>
      <c r="L47" s="19" t="n">
        <f aca="false">(K47/H47)*100</f>
        <v>36.8235294117647</v>
      </c>
      <c r="M47" s="379" t="n">
        <v>294</v>
      </c>
      <c r="N47" s="19" t="n">
        <f aca="false">(M47/H47)*100</f>
        <v>8.64705882352941</v>
      </c>
      <c r="O47" s="379" t="n">
        <v>31</v>
      </c>
      <c r="P47" s="379" t="n">
        <v>0</v>
      </c>
      <c r="Q47" s="183" t="s">
        <v>49</v>
      </c>
      <c r="R47" s="381" t="n">
        <v>44836</v>
      </c>
      <c r="S47" s="379"/>
      <c r="T47" s="183" t="n">
        <v>30.264</v>
      </c>
      <c r="U47" s="379"/>
      <c r="V47" s="379"/>
      <c r="W47" s="379"/>
      <c r="X47" s="379"/>
      <c r="Y47" s="379"/>
      <c r="Z47" s="379"/>
      <c r="AA47" s="385" t="s">
        <v>266</v>
      </c>
      <c r="AB47" s="180" t="n">
        <v>5</v>
      </c>
      <c r="AC47" s="384" t="s">
        <v>317</v>
      </c>
      <c r="AD47" s="183"/>
      <c r="AE47" s="183"/>
      <c r="AF47" s="379"/>
    </row>
    <row r="48" customFormat="false" ht="18.75" hidden="false" customHeight="false" outlineLevel="0" collapsed="false">
      <c r="A48" s="379" t="s">
        <v>42</v>
      </c>
      <c r="B48" s="379" t="s">
        <v>3265</v>
      </c>
      <c r="C48" s="378" t="s">
        <v>3366</v>
      </c>
      <c r="D48" s="380" t="s">
        <v>3366</v>
      </c>
      <c r="E48" s="379" t="s">
        <v>3367</v>
      </c>
      <c r="F48" s="379" t="n">
        <v>1703.31</v>
      </c>
      <c r="G48" s="379" t="n">
        <v>344</v>
      </c>
      <c r="H48" s="379" t="n">
        <v>1843</v>
      </c>
      <c r="I48" s="379" t="n">
        <v>955</v>
      </c>
      <c r="J48" s="379" t="n">
        <v>888</v>
      </c>
      <c r="K48" s="379" t="n">
        <v>202</v>
      </c>
      <c r="L48" s="19" t="n">
        <f aca="false">(K48/H48)*100</f>
        <v>10.9603906673901</v>
      </c>
      <c r="M48" s="379" t="n">
        <v>44</v>
      </c>
      <c r="N48" s="19" t="n">
        <f aca="false">(M48/H48)*100</f>
        <v>2.38741182854042</v>
      </c>
      <c r="O48" s="379" t="n">
        <v>21.1</v>
      </c>
      <c r="P48" s="379" t="n">
        <v>0</v>
      </c>
      <c r="Q48" s="183" t="s">
        <v>49</v>
      </c>
      <c r="R48" s="381" t="n">
        <v>44836</v>
      </c>
      <c r="S48" s="379"/>
      <c r="T48" s="183" t="n">
        <v>5</v>
      </c>
      <c r="U48" s="379"/>
      <c r="V48" s="379"/>
      <c r="W48" s="379"/>
      <c r="X48" s="379"/>
      <c r="Y48" s="379"/>
      <c r="Z48" s="379"/>
      <c r="AA48" s="180"/>
      <c r="AB48" s="180" t="n">
        <v>0</v>
      </c>
      <c r="AC48" s="382" t="n">
        <v>0</v>
      </c>
      <c r="AD48" s="183"/>
      <c r="AE48" s="183"/>
      <c r="AF48" s="379"/>
    </row>
    <row r="49" customFormat="false" ht="60.75" hidden="false" customHeight="false" outlineLevel="0" collapsed="false">
      <c r="A49" s="379" t="s">
        <v>42</v>
      </c>
      <c r="B49" s="379" t="s">
        <v>3265</v>
      </c>
      <c r="C49" s="378" t="s">
        <v>3368</v>
      </c>
      <c r="D49" s="380" t="s">
        <v>3369</v>
      </c>
      <c r="E49" s="379" t="s">
        <v>3370</v>
      </c>
      <c r="F49" s="379" t="n">
        <v>1628</v>
      </c>
      <c r="G49" s="379" t="n">
        <v>309</v>
      </c>
      <c r="H49" s="379" t="n">
        <v>1859</v>
      </c>
      <c r="I49" s="379" t="n">
        <v>921</v>
      </c>
      <c r="J49" s="379" t="n">
        <v>938</v>
      </c>
      <c r="K49" s="379" t="n">
        <v>355</v>
      </c>
      <c r="L49" s="19" t="n">
        <f aca="false">(K49/H49)*100</f>
        <v>19.0962883270576</v>
      </c>
      <c r="M49" s="379" t="n">
        <v>0</v>
      </c>
      <c r="N49" s="19" t="n">
        <f aca="false">(M49/H49)*100</f>
        <v>0</v>
      </c>
      <c r="O49" s="379" t="n">
        <v>69</v>
      </c>
      <c r="P49" s="379" t="n">
        <v>0</v>
      </c>
      <c r="Q49" s="386" t="s">
        <v>49</v>
      </c>
      <c r="R49" s="405" t="n">
        <v>45932</v>
      </c>
      <c r="S49" s="379"/>
      <c r="T49" s="406" t="n">
        <v>68.99</v>
      </c>
      <c r="U49" s="379"/>
      <c r="V49" s="379"/>
      <c r="W49" s="379"/>
      <c r="X49" s="379"/>
      <c r="Y49" s="379"/>
      <c r="Z49" s="379"/>
      <c r="AA49" s="385" t="s">
        <v>50</v>
      </c>
      <c r="AB49" s="385" t="n">
        <v>5</v>
      </c>
      <c r="AC49" s="407" t="s">
        <v>3371</v>
      </c>
      <c r="AD49" s="409" t="n">
        <v>26.441424</v>
      </c>
      <c r="AE49" s="409" t="n">
        <v>73.116545</v>
      </c>
      <c r="AF49" s="379" t="s">
        <v>1277</v>
      </c>
    </row>
    <row r="50" customFormat="false" ht="20.25" hidden="false" customHeight="false" outlineLevel="0" collapsed="false">
      <c r="A50" s="379" t="s">
        <v>42</v>
      </c>
      <c r="B50" s="379" t="s">
        <v>3265</v>
      </c>
      <c r="C50" s="378" t="s">
        <v>3368</v>
      </c>
      <c r="D50" s="379" t="s">
        <v>3372</v>
      </c>
      <c r="E50" s="379" t="s">
        <v>3373</v>
      </c>
      <c r="F50" s="379" t="n">
        <v>506</v>
      </c>
      <c r="G50" s="379" t="n">
        <v>419</v>
      </c>
      <c r="H50" s="379" t="n">
        <v>2138</v>
      </c>
      <c r="I50" s="379" t="n">
        <v>1439</v>
      </c>
      <c r="J50" s="379" t="n">
        <v>699</v>
      </c>
      <c r="K50" s="379" t="n">
        <v>4</v>
      </c>
      <c r="L50" s="19" t="n">
        <f aca="false">(K50/H50)*100</f>
        <v>0.187090739008419</v>
      </c>
      <c r="M50" s="379" t="n">
        <v>0</v>
      </c>
      <c r="N50" s="19" t="n">
        <f aca="false">(M50/H50)*100</f>
        <v>0</v>
      </c>
      <c r="O50" s="379" t="n">
        <v>42</v>
      </c>
      <c r="P50" s="379" t="n">
        <v>0</v>
      </c>
      <c r="Q50" s="386" t="s">
        <v>49</v>
      </c>
      <c r="R50" s="405" t="n">
        <v>45932</v>
      </c>
      <c r="S50" s="379"/>
      <c r="T50" s="406" t="n">
        <v>31.16</v>
      </c>
      <c r="U50" s="379"/>
      <c r="V50" s="379"/>
      <c r="W50" s="379"/>
      <c r="X50" s="379"/>
      <c r="Y50" s="379"/>
      <c r="Z50" s="379"/>
      <c r="AA50" s="385" t="s">
        <v>50</v>
      </c>
      <c r="AB50" s="385" t="n">
        <v>4</v>
      </c>
      <c r="AC50" s="407" t="s">
        <v>3374</v>
      </c>
      <c r="AD50" s="409" t="n">
        <v>26.423474</v>
      </c>
      <c r="AE50" s="409" t="n">
        <v>73.12338</v>
      </c>
      <c r="AF50" s="379" t="s">
        <v>1277</v>
      </c>
    </row>
    <row r="51" customFormat="false" ht="18.75" hidden="false" customHeight="false" outlineLevel="0" collapsed="false">
      <c r="A51" s="379" t="s">
        <v>42</v>
      </c>
      <c r="B51" s="379" t="s">
        <v>3265</v>
      </c>
      <c r="C51" s="378" t="s">
        <v>3375</v>
      </c>
      <c r="D51" s="380" t="s">
        <v>3376</v>
      </c>
      <c r="E51" s="379" t="s">
        <v>3377</v>
      </c>
      <c r="F51" s="379" t="n">
        <v>1283</v>
      </c>
      <c r="G51" s="379" t="n">
        <v>330</v>
      </c>
      <c r="H51" s="379" t="n">
        <v>1963</v>
      </c>
      <c r="I51" s="379" t="n">
        <v>1045</v>
      </c>
      <c r="J51" s="379" t="n">
        <v>918</v>
      </c>
      <c r="K51" s="379" t="n">
        <v>506</v>
      </c>
      <c r="L51" s="19" t="n">
        <f aca="false">(K51/H51)*100</f>
        <v>25.776872134488</v>
      </c>
      <c r="M51" s="379" t="n">
        <v>0</v>
      </c>
      <c r="N51" s="19" t="n">
        <f aca="false">(M51/H51)*100</f>
        <v>0</v>
      </c>
      <c r="O51" s="379" t="n">
        <v>0</v>
      </c>
      <c r="P51" s="379" t="n">
        <v>0</v>
      </c>
      <c r="Q51" s="386" t="s">
        <v>49</v>
      </c>
      <c r="R51" s="387" t="n">
        <v>44712</v>
      </c>
      <c r="S51" s="379"/>
      <c r="T51" s="386" t="n">
        <v>0</v>
      </c>
      <c r="U51" s="379"/>
      <c r="V51" s="379"/>
      <c r="W51" s="379"/>
      <c r="X51" s="379"/>
      <c r="Y51" s="379"/>
      <c r="Z51" s="379"/>
      <c r="AA51" s="388"/>
      <c r="AB51" s="385"/>
      <c r="AC51" s="389" t="n">
        <v>0</v>
      </c>
      <c r="AD51" s="386" t="n">
        <v>0</v>
      </c>
      <c r="AE51" s="386" t="n">
        <v>0</v>
      </c>
      <c r="AF51" s="379"/>
    </row>
    <row r="52" customFormat="false" ht="18.75" hidden="false" customHeight="false" outlineLevel="0" collapsed="false">
      <c r="A52" s="379" t="s">
        <v>42</v>
      </c>
      <c r="B52" s="379" t="s">
        <v>3265</v>
      </c>
      <c r="C52" s="378" t="s">
        <v>3375</v>
      </c>
      <c r="D52" s="379" t="s">
        <v>3378</v>
      </c>
      <c r="E52" s="379" t="s">
        <v>3379</v>
      </c>
      <c r="F52" s="379" t="n">
        <v>541</v>
      </c>
      <c r="G52" s="379" t="n">
        <v>316</v>
      </c>
      <c r="H52" s="379" t="n">
        <v>2015</v>
      </c>
      <c r="I52" s="379" t="n">
        <v>1043</v>
      </c>
      <c r="J52" s="379" t="n">
        <v>972</v>
      </c>
      <c r="K52" s="379" t="n">
        <v>3</v>
      </c>
      <c r="L52" s="19" t="n">
        <f aca="false">(K52/H52)*100</f>
        <v>0.148883374689826</v>
      </c>
      <c r="M52" s="379" t="n">
        <v>0</v>
      </c>
      <c r="N52" s="19" t="n">
        <f aca="false">(M52/H52)*100</f>
        <v>0</v>
      </c>
      <c r="O52" s="379" t="n">
        <v>0</v>
      </c>
      <c r="P52" s="379" t="n">
        <v>0</v>
      </c>
      <c r="Q52" s="386" t="s">
        <v>49</v>
      </c>
      <c r="R52" s="387" t="n">
        <v>44712</v>
      </c>
      <c r="S52" s="379"/>
      <c r="T52" s="386" t="n">
        <v>0</v>
      </c>
      <c r="U52" s="379"/>
      <c r="V52" s="379"/>
      <c r="W52" s="379"/>
      <c r="X52" s="379"/>
      <c r="Y52" s="379"/>
      <c r="Z52" s="379"/>
      <c r="AA52" s="388"/>
      <c r="AB52" s="385"/>
      <c r="AC52" s="390" t="n">
        <v>0</v>
      </c>
      <c r="AD52" s="386" t="n">
        <v>0</v>
      </c>
      <c r="AE52" s="386" t="n">
        <v>0</v>
      </c>
      <c r="AF52" s="379"/>
    </row>
    <row r="53" customFormat="false" ht="18.75" hidden="false" customHeight="false" outlineLevel="0" collapsed="false">
      <c r="A53" s="379" t="s">
        <v>42</v>
      </c>
      <c r="B53" s="379" t="s">
        <v>3265</v>
      </c>
      <c r="C53" s="378" t="s">
        <v>3380</v>
      </c>
      <c r="D53" s="380" t="s">
        <v>3381</v>
      </c>
      <c r="E53" s="379" t="s">
        <v>3382</v>
      </c>
      <c r="F53" s="379" t="n">
        <v>0</v>
      </c>
      <c r="G53" s="379" t="n">
        <v>0</v>
      </c>
      <c r="H53" s="379" t="n">
        <v>0</v>
      </c>
      <c r="I53" s="379" t="n">
        <v>0</v>
      </c>
      <c r="J53" s="379" t="n">
        <v>0</v>
      </c>
      <c r="K53" s="379" t="n">
        <v>0</v>
      </c>
      <c r="L53" s="379" t="n">
        <v>0</v>
      </c>
      <c r="M53" s="379" t="n">
        <v>0</v>
      </c>
      <c r="N53" s="379" t="n">
        <v>0</v>
      </c>
      <c r="O53" s="379" t="n">
        <v>0</v>
      </c>
      <c r="P53" s="379" t="n">
        <v>0</v>
      </c>
      <c r="Q53" s="183" t="s">
        <v>49</v>
      </c>
      <c r="R53" s="381" t="n">
        <v>44836</v>
      </c>
      <c r="S53" s="379"/>
      <c r="T53" s="382" t="n">
        <v>0</v>
      </c>
      <c r="U53" s="379"/>
      <c r="V53" s="379"/>
      <c r="W53" s="379"/>
      <c r="X53" s="379"/>
      <c r="Y53" s="379"/>
      <c r="Z53" s="379"/>
      <c r="AA53" s="383" t="n">
        <v>0</v>
      </c>
      <c r="AB53" s="383" t="n">
        <v>0</v>
      </c>
      <c r="AC53" s="382" t="n">
        <v>0</v>
      </c>
      <c r="AD53" s="382" t="n">
        <v>0</v>
      </c>
      <c r="AE53" s="382" t="n">
        <v>0</v>
      </c>
      <c r="AF53" s="379"/>
    </row>
    <row r="54" customFormat="false" ht="18.75" hidden="false" customHeight="false" outlineLevel="0" collapsed="false">
      <c r="A54" s="379" t="s">
        <v>42</v>
      </c>
      <c r="B54" s="379" t="s">
        <v>3265</v>
      </c>
      <c r="C54" s="378" t="s">
        <v>3383</v>
      </c>
      <c r="D54" s="380" t="s">
        <v>3384</v>
      </c>
      <c r="E54" s="379" t="s">
        <v>3385</v>
      </c>
      <c r="F54" s="379" t="n">
        <v>1026</v>
      </c>
      <c r="G54" s="379" t="n">
        <v>305</v>
      </c>
      <c r="H54" s="379" t="n">
        <v>1883</v>
      </c>
      <c r="I54" s="379" t="n">
        <v>983</v>
      </c>
      <c r="J54" s="379" t="n">
        <v>900</v>
      </c>
      <c r="K54" s="379" t="n">
        <v>233</v>
      </c>
      <c r="L54" s="19" t="n">
        <f aca="false">(K54/H54)*100</f>
        <v>12.3738714816782</v>
      </c>
      <c r="M54" s="379" t="n">
        <v>0</v>
      </c>
      <c r="N54" s="19" t="n">
        <f aca="false">(M54/H54)*100</f>
        <v>0</v>
      </c>
      <c r="O54" s="379" t="n">
        <v>36</v>
      </c>
      <c r="P54" s="379" t="n">
        <v>0</v>
      </c>
      <c r="Q54" s="386" t="s">
        <v>49</v>
      </c>
      <c r="R54" s="387" t="n">
        <v>44836</v>
      </c>
      <c r="S54" s="379"/>
      <c r="T54" s="386" t="n">
        <v>32.7584</v>
      </c>
      <c r="U54" s="379"/>
      <c r="V54" s="379"/>
      <c r="W54" s="379"/>
      <c r="X54" s="379"/>
      <c r="Y54" s="379"/>
      <c r="Z54" s="379"/>
      <c r="AA54" s="388" t="s">
        <v>266</v>
      </c>
      <c r="AB54" s="385" t="n">
        <v>15</v>
      </c>
      <c r="AC54" s="389" t="s">
        <v>3386</v>
      </c>
      <c r="AD54" s="386"/>
      <c r="AE54" s="386"/>
      <c r="AF54" s="379"/>
    </row>
    <row r="55" customFormat="false" ht="18.75" hidden="false" customHeight="false" outlineLevel="0" collapsed="false">
      <c r="A55" s="379" t="s">
        <v>42</v>
      </c>
      <c r="B55" s="379" t="s">
        <v>3265</v>
      </c>
      <c r="C55" s="378" t="s">
        <v>3383</v>
      </c>
      <c r="D55" s="379" t="s">
        <v>3387</v>
      </c>
      <c r="E55" s="379" t="s">
        <v>3388</v>
      </c>
      <c r="F55" s="379" t="n">
        <v>639</v>
      </c>
      <c r="G55" s="379" t="n">
        <v>216</v>
      </c>
      <c r="H55" s="379" t="n">
        <v>1120</v>
      </c>
      <c r="I55" s="379" t="n">
        <v>608</v>
      </c>
      <c r="J55" s="379" t="n">
        <v>512</v>
      </c>
      <c r="K55" s="379" t="n">
        <v>317</v>
      </c>
      <c r="L55" s="19" t="n">
        <f aca="false">(K55/H55)*100</f>
        <v>28.3035714285714</v>
      </c>
      <c r="M55" s="379" t="n">
        <v>0</v>
      </c>
      <c r="N55" s="19" t="n">
        <f aca="false">(M55/H55)*100</f>
        <v>0</v>
      </c>
      <c r="O55" s="379" t="n">
        <v>48</v>
      </c>
      <c r="P55" s="379" t="n">
        <v>0</v>
      </c>
      <c r="Q55" s="386" t="s">
        <v>49</v>
      </c>
      <c r="R55" s="387" t="n">
        <v>44836</v>
      </c>
      <c r="S55" s="379"/>
      <c r="T55" s="386" t="n">
        <v>57.7424</v>
      </c>
      <c r="U55" s="379"/>
      <c r="V55" s="379"/>
      <c r="W55" s="379"/>
      <c r="X55" s="379"/>
      <c r="Y55" s="379"/>
      <c r="Z55" s="379"/>
      <c r="AA55" s="388"/>
      <c r="AB55" s="385"/>
      <c r="AC55" s="390" t="n">
        <v>0</v>
      </c>
      <c r="AD55" s="386"/>
      <c r="AE55" s="386"/>
      <c r="AF55" s="379"/>
    </row>
    <row r="56" customFormat="false" ht="18.75" hidden="false" customHeight="false" outlineLevel="0" collapsed="false">
      <c r="A56" s="379" t="s">
        <v>42</v>
      </c>
      <c r="B56" s="379" t="s">
        <v>3265</v>
      </c>
      <c r="C56" s="378" t="s">
        <v>3383</v>
      </c>
      <c r="D56" s="379" t="s">
        <v>3389</v>
      </c>
      <c r="E56" s="379" t="s">
        <v>3390</v>
      </c>
      <c r="F56" s="379" t="n">
        <v>677</v>
      </c>
      <c r="G56" s="379" t="n">
        <v>109</v>
      </c>
      <c r="H56" s="379" t="n">
        <v>555</v>
      </c>
      <c r="I56" s="379" t="n">
        <v>281</v>
      </c>
      <c r="J56" s="379" t="n">
        <v>274</v>
      </c>
      <c r="K56" s="379" t="n">
        <v>9</v>
      </c>
      <c r="L56" s="19" t="n">
        <f aca="false">(K56/H56)*100</f>
        <v>1.62162162162162</v>
      </c>
      <c r="M56" s="379" t="n">
        <v>342</v>
      </c>
      <c r="N56" s="19" t="n">
        <f aca="false">(M56/H56)*100</f>
        <v>61.6216216216216</v>
      </c>
      <c r="O56" s="379" t="n">
        <v>17</v>
      </c>
      <c r="P56" s="379" t="n">
        <v>0</v>
      </c>
      <c r="Q56" s="386" t="s">
        <v>49</v>
      </c>
      <c r="R56" s="387" t="n">
        <v>44836</v>
      </c>
      <c r="S56" s="379"/>
      <c r="T56" s="386" t="n">
        <v>15.8592</v>
      </c>
      <c r="U56" s="379"/>
      <c r="V56" s="379"/>
      <c r="W56" s="379"/>
      <c r="X56" s="379"/>
      <c r="Y56" s="379"/>
      <c r="Z56" s="379"/>
      <c r="AA56" s="388" t="s">
        <v>266</v>
      </c>
      <c r="AB56" s="385" t="n">
        <v>10</v>
      </c>
      <c r="AC56" s="389" t="s">
        <v>3391</v>
      </c>
      <c r="AD56" s="386"/>
      <c r="AE56" s="386"/>
      <c r="AF56" s="379"/>
    </row>
    <row r="57" customFormat="false" ht="18.75" hidden="false" customHeight="false" outlineLevel="0" collapsed="false">
      <c r="A57" s="379" t="s">
        <v>42</v>
      </c>
      <c r="B57" s="379" t="s">
        <v>3265</v>
      </c>
      <c r="C57" s="378" t="s">
        <v>3383</v>
      </c>
      <c r="D57" s="379" t="s">
        <v>3392</v>
      </c>
      <c r="E57" s="379" t="s">
        <v>3393</v>
      </c>
      <c r="F57" s="379" t="n">
        <v>846</v>
      </c>
      <c r="G57" s="379" t="n">
        <v>175</v>
      </c>
      <c r="H57" s="379" t="n">
        <v>1085</v>
      </c>
      <c r="I57" s="379" t="n">
        <v>574</v>
      </c>
      <c r="J57" s="379" t="n">
        <v>511</v>
      </c>
      <c r="K57" s="379" t="n">
        <v>142</v>
      </c>
      <c r="L57" s="19" t="n">
        <f aca="false">(K57/H57)*100</f>
        <v>13.0875576036866</v>
      </c>
      <c r="M57" s="379" t="n">
        <v>0</v>
      </c>
      <c r="N57" s="19" t="n">
        <f aca="false">(M57/H57)*100</f>
        <v>0</v>
      </c>
      <c r="O57" s="379" t="n">
        <v>31</v>
      </c>
      <c r="P57" s="379" t="n">
        <v>0</v>
      </c>
      <c r="Q57" s="386" t="s">
        <v>49</v>
      </c>
      <c r="R57" s="387" t="n">
        <v>44836</v>
      </c>
      <c r="S57" s="379"/>
      <c r="T57" s="386" t="n">
        <v>31</v>
      </c>
      <c r="U57" s="379"/>
      <c r="V57" s="379"/>
      <c r="W57" s="379"/>
      <c r="X57" s="379"/>
      <c r="Y57" s="379"/>
      <c r="Z57" s="379"/>
      <c r="AA57" s="388"/>
      <c r="AB57" s="385"/>
      <c r="AC57" s="382" t="n">
        <v>0</v>
      </c>
      <c r="AD57" s="183"/>
      <c r="AE57" s="183"/>
      <c r="AF57" s="379"/>
    </row>
    <row r="58" customFormat="false" ht="18.75" hidden="false" customHeight="false" outlineLevel="0" collapsed="false">
      <c r="A58" s="379" t="s">
        <v>42</v>
      </c>
      <c r="B58" s="379" t="s">
        <v>3265</v>
      </c>
      <c r="C58" s="378" t="s">
        <v>3394</v>
      </c>
      <c r="D58" s="380" t="s">
        <v>3394</v>
      </c>
      <c r="E58" s="379" t="s">
        <v>3395</v>
      </c>
      <c r="F58" s="379" t="n">
        <v>1517</v>
      </c>
      <c r="G58" s="379" t="n">
        <v>401</v>
      </c>
      <c r="H58" s="379" t="n">
        <v>2414</v>
      </c>
      <c r="I58" s="379" t="n">
        <v>1287</v>
      </c>
      <c r="J58" s="379" t="n">
        <v>1127</v>
      </c>
      <c r="K58" s="379" t="n">
        <v>807</v>
      </c>
      <c r="L58" s="19" t="n">
        <f aca="false">(K58/H58)*100</f>
        <v>33.4299917149959</v>
      </c>
      <c r="M58" s="379" t="n">
        <v>0</v>
      </c>
      <c r="N58" s="19" t="n">
        <f aca="false">(M58/H58)*100</f>
        <v>0</v>
      </c>
      <c r="O58" s="379" t="n">
        <v>87</v>
      </c>
      <c r="P58" s="379" t="n">
        <v>0</v>
      </c>
      <c r="Q58" s="386" t="s">
        <v>49</v>
      </c>
      <c r="R58" s="387" t="n">
        <v>44901</v>
      </c>
      <c r="S58" s="379"/>
      <c r="T58" s="386" t="n">
        <v>83.0608</v>
      </c>
      <c r="U58" s="379"/>
      <c r="V58" s="379"/>
      <c r="W58" s="379"/>
      <c r="X58" s="379"/>
      <c r="Y58" s="379"/>
      <c r="Z58" s="379"/>
      <c r="AA58" s="385" t="s">
        <v>266</v>
      </c>
      <c r="AB58" s="385" t="n">
        <v>15</v>
      </c>
      <c r="AC58" s="390" t="s">
        <v>276</v>
      </c>
      <c r="AD58" s="386"/>
      <c r="AE58" s="386"/>
      <c r="AF58" s="379"/>
    </row>
    <row r="59" customFormat="false" ht="18.75" hidden="false" customHeight="false" outlineLevel="0" collapsed="false">
      <c r="A59" s="379" t="s">
        <v>42</v>
      </c>
      <c r="B59" s="379" t="s">
        <v>3265</v>
      </c>
      <c r="C59" s="378" t="s">
        <v>3396</v>
      </c>
      <c r="D59" s="380" t="s">
        <v>3397</v>
      </c>
      <c r="E59" s="379" t="s">
        <v>3398</v>
      </c>
      <c r="F59" s="379" t="n">
        <v>3161.86</v>
      </c>
      <c r="G59" s="379" t="n">
        <v>969</v>
      </c>
      <c r="H59" s="379" t="n">
        <v>5319</v>
      </c>
      <c r="I59" s="379" t="n">
        <v>2742</v>
      </c>
      <c r="J59" s="379" t="n">
        <v>2577</v>
      </c>
      <c r="K59" s="379" t="n">
        <v>1027</v>
      </c>
      <c r="L59" s="19" t="n">
        <f aca="false">(K59/H59)*100</f>
        <v>19.3081406279376</v>
      </c>
      <c r="M59" s="379" t="n">
        <v>99</v>
      </c>
      <c r="N59" s="19" t="n">
        <f aca="false">(M59/H59)*100</f>
        <v>1.86125211505922</v>
      </c>
      <c r="O59" s="379" t="n">
        <v>287.15</v>
      </c>
      <c r="P59" s="379" t="n">
        <v>0</v>
      </c>
      <c r="Q59" s="183" t="s">
        <v>49</v>
      </c>
      <c r="R59" s="381" t="n">
        <v>44762</v>
      </c>
      <c r="S59" s="379"/>
      <c r="T59" s="183" t="n">
        <v>128.16</v>
      </c>
      <c r="U59" s="379" t="s">
        <v>50</v>
      </c>
      <c r="V59" s="379"/>
      <c r="W59" s="379"/>
      <c r="X59" s="379"/>
      <c r="Y59" s="379"/>
      <c r="Z59" s="379"/>
      <c r="AA59" s="180" t="s">
        <v>50</v>
      </c>
      <c r="AB59" s="180" t="n">
        <v>2</v>
      </c>
      <c r="AC59" s="419" t="s">
        <v>317</v>
      </c>
      <c r="AD59" s="183" t="n">
        <v>26.43867</v>
      </c>
      <c r="AE59" s="183" t="n">
        <v>73.284205</v>
      </c>
      <c r="AF59" s="379"/>
    </row>
    <row r="60" customFormat="false" ht="18.75" hidden="false" customHeight="false" outlineLevel="0" collapsed="false">
      <c r="A60" s="379" t="s">
        <v>42</v>
      </c>
      <c r="B60" s="379" t="s">
        <v>3265</v>
      </c>
      <c r="C60" s="378" t="s">
        <v>3396</v>
      </c>
      <c r="D60" s="379" t="s">
        <v>1107</v>
      </c>
      <c r="E60" s="379" t="s">
        <v>3399</v>
      </c>
      <c r="F60" s="379" t="n">
        <v>1139.89</v>
      </c>
      <c r="G60" s="379" t="n">
        <v>261</v>
      </c>
      <c r="H60" s="379" t="n">
        <v>1388</v>
      </c>
      <c r="I60" s="379" t="n">
        <v>693</v>
      </c>
      <c r="J60" s="379" t="n">
        <v>695</v>
      </c>
      <c r="K60" s="379" t="n">
        <v>80</v>
      </c>
      <c r="L60" s="19" t="n">
        <f aca="false">(K60/H60)*100</f>
        <v>5.76368876080692</v>
      </c>
      <c r="M60" s="379" t="n">
        <v>10</v>
      </c>
      <c r="N60" s="19" t="n">
        <f aca="false">(M60/H60)*100</f>
        <v>0.720461095100865</v>
      </c>
      <c r="O60" s="379" t="n">
        <v>0</v>
      </c>
      <c r="P60" s="379" t="n">
        <v>0</v>
      </c>
      <c r="Q60" s="386" t="s">
        <v>49</v>
      </c>
      <c r="R60" s="387" t="n">
        <v>44879</v>
      </c>
      <c r="S60" s="379"/>
      <c r="T60" s="386"/>
      <c r="U60" s="379" t="s">
        <v>50</v>
      </c>
      <c r="V60" s="379"/>
      <c r="W60" s="379"/>
      <c r="X60" s="379"/>
      <c r="Y60" s="379"/>
      <c r="Z60" s="379"/>
      <c r="AA60" s="385" t="s">
        <v>266</v>
      </c>
      <c r="AB60" s="385" t="n">
        <v>2</v>
      </c>
      <c r="AC60" s="390" t="s">
        <v>276</v>
      </c>
      <c r="AD60" s="386"/>
      <c r="AE60" s="386"/>
      <c r="AF60" s="379"/>
    </row>
    <row r="61" customFormat="false" ht="18.75" hidden="false" customHeight="false" outlineLevel="0" collapsed="false">
      <c r="A61" s="379" t="s">
        <v>42</v>
      </c>
      <c r="B61" s="379" t="s">
        <v>3265</v>
      </c>
      <c r="C61" s="378" t="s">
        <v>3396</v>
      </c>
      <c r="D61" s="379" t="s">
        <v>3400</v>
      </c>
      <c r="E61" s="379" t="s">
        <v>3401</v>
      </c>
      <c r="F61" s="379" t="n">
        <v>879.97</v>
      </c>
      <c r="G61" s="379" t="n">
        <v>122</v>
      </c>
      <c r="H61" s="379" t="n">
        <v>748</v>
      </c>
      <c r="I61" s="379" t="n">
        <v>381</v>
      </c>
      <c r="J61" s="379" t="n">
        <v>367</v>
      </c>
      <c r="K61" s="379" t="n">
        <v>49</v>
      </c>
      <c r="L61" s="19" t="n">
        <f aca="false">(K61/H61)*100</f>
        <v>6.55080213903743</v>
      </c>
      <c r="M61" s="379" t="n">
        <v>0</v>
      </c>
      <c r="N61" s="19" t="n">
        <f aca="false">(M61/H61)*100</f>
        <v>0</v>
      </c>
      <c r="O61" s="379" t="n">
        <v>0</v>
      </c>
      <c r="P61" s="379" t="n">
        <v>0</v>
      </c>
      <c r="Q61" s="386" t="s">
        <v>49</v>
      </c>
      <c r="R61" s="387" t="n">
        <v>44879</v>
      </c>
      <c r="S61" s="379"/>
      <c r="T61" s="386"/>
      <c r="U61" s="379" t="s">
        <v>50</v>
      </c>
      <c r="V61" s="379"/>
      <c r="W61" s="379"/>
      <c r="X61" s="379"/>
      <c r="Y61" s="379"/>
      <c r="Z61" s="379"/>
      <c r="AA61" s="385" t="s">
        <v>266</v>
      </c>
      <c r="AB61" s="385" t="n">
        <v>10</v>
      </c>
      <c r="AC61" s="390" t="s">
        <v>276</v>
      </c>
      <c r="AD61" s="386"/>
      <c r="AE61" s="386"/>
      <c r="AF61" s="379"/>
    </row>
    <row r="62" customFormat="false" ht="18.75" hidden="false" customHeight="false" outlineLevel="0" collapsed="false">
      <c r="A62" s="379" t="s">
        <v>42</v>
      </c>
      <c r="B62" s="379" t="s">
        <v>3265</v>
      </c>
      <c r="C62" s="378" t="s">
        <v>3402</v>
      </c>
      <c r="D62" s="380" t="s">
        <v>3402</v>
      </c>
      <c r="E62" s="379" t="s">
        <v>3403</v>
      </c>
      <c r="F62" s="379" t="n">
        <v>722</v>
      </c>
      <c r="G62" s="379" t="n">
        <v>165</v>
      </c>
      <c r="H62" s="379" t="n">
        <v>1019</v>
      </c>
      <c r="I62" s="379" t="n">
        <v>520</v>
      </c>
      <c r="J62" s="379" t="n">
        <v>499</v>
      </c>
      <c r="K62" s="379" t="n">
        <v>111</v>
      </c>
      <c r="L62" s="19" t="n">
        <f aca="false">(K62/H62)*100</f>
        <v>10.8930323846909</v>
      </c>
      <c r="M62" s="379" t="n">
        <v>314</v>
      </c>
      <c r="N62" s="19" t="n">
        <f aca="false">(M62/H62)*100</f>
        <v>30.8145240431796</v>
      </c>
      <c r="O62" s="379" t="n">
        <v>0</v>
      </c>
      <c r="P62" s="379" t="n">
        <v>0</v>
      </c>
      <c r="Q62" s="391" t="s">
        <v>49</v>
      </c>
      <c r="R62" s="391" t="n">
        <v>45770</v>
      </c>
      <c r="S62" s="379"/>
      <c r="T62" s="392" t="n">
        <v>0</v>
      </c>
      <c r="U62" s="379"/>
      <c r="V62" s="379"/>
      <c r="W62" s="379"/>
      <c r="X62" s="379"/>
      <c r="Y62" s="379"/>
      <c r="Z62" s="379"/>
      <c r="AA62" s="388" t="s">
        <v>50</v>
      </c>
      <c r="AB62" s="388" t="n">
        <v>7</v>
      </c>
      <c r="AC62" s="398" t="s">
        <v>3404</v>
      </c>
      <c r="AD62" s="392" t="n">
        <v>26.296181</v>
      </c>
      <c r="AE62" s="392" t="n">
        <v>73.133944</v>
      </c>
      <c r="AF62" s="379" t="s">
        <v>52</v>
      </c>
    </row>
    <row r="63" customFormat="false" ht="18.75" hidden="false" customHeight="false" outlineLevel="0" collapsed="false">
      <c r="A63" s="379" t="s">
        <v>42</v>
      </c>
      <c r="B63" s="379" t="s">
        <v>3265</v>
      </c>
      <c r="C63" s="378" t="s">
        <v>3402</v>
      </c>
      <c r="D63" s="379" t="s">
        <v>3405</v>
      </c>
      <c r="E63" s="379" t="s">
        <v>3406</v>
      </c>
      <c r="F63" s="379" t="n">
        <v>597</v>
      </c>
      <c r="G63" s="379" t="n">
        <v>181</v>
      </c>
      <c r="H63" s="379" t="n">
        <v>964</v>
      </c>
      <c r="I63" s="379" t="n">
        <v>510</v>
      </c>
      <c r="J63" s="379" t="n">
        <v>454</v>
      </c>
      <c r="K63" s="379" t="n">
        <v>151</v>
      </c>
      <c r="L63" s="19" t="n">
        <f aca="false">(K63/H63)*100</f>
        <v>15.6639004149378</v>
      </c>
      <c r="M63" s="379" t="n">
        <v>0</v>
      </c>
      <c r="N63" s="19" t="n">
        <f aca="false">(M63/H63)*100</f>
        <v>0</v>
      </c>
      <c r="O63" s="379" t="n">
        <v>0</v>
      </c>
      <c r="P63" s="379" t="n">
        <v>0</v>
      </c>
      <c r="Q63" s="391" t="s">
        <v>49</v>
      </c>
      <c r="R63" s="391" t="n">
        <v>45770</v>
      </c>
      <c r="S63" s="379"/>
      <c r="T63" s="392" t="n">
        <v>14.73</v>
      </c>
      <c r="U63" s="379"/>
      <c r="V63" s="379"/>
      <c r="W63" s="379"/>
      <c r="X63" s="379"/>
      <c r="Y63" s="379"/>
      <c r="Z63" s="379"/>
      <c r="AA63" s="388" t="s">
        <v>50</v>
      </c>
      <c r="AB63" s="388"/>
      <c r="AC63" s="393"/>
      <c r="AD63" s="392"/>
      <c r="AE63" s="392"/>
      <c r="AF63" s="379" t="s">
        <v>52</v>
      </c>
    </row>
    <row r="64" customFormat="false" ht="18.75" hidden="false" customHeight="false" outlineLevel="0" collapsed="false">
      <c r="A64" s="379" t="s">
        <v>42</v>
      </c>
      <c r="B64" s="379" t="s">
        <v>3265</v>
      </c>
      <c r="C64" s="378" t="s">
        <v>3402</v>
      </c>
      <c r="D64" s="379" t="s">
        <v>3407</v>
      </c>
      <c r="E64" s="379" t="s">
        <v>3408</v>
      </c>
      <c r="F64" s="379" t="n">
        <v>828</v>
      </c>
      <c r="G64" s="379" t="n">
        <v>123</v>
      </c>
      <c r="H64" s="379" t="n">
        <v>666</v>
      </c>
      <c r="I64" s="379" t="n">
        <v>335</v>
      </c>
      <c r="J64" s="379" t="n">
        <v>331</v>
      </c>
      <c r="K64" s="379" t="n">
        <v>79</v>
      </c>
      <c r="L64" s="19" t="n">
        <f aca="false">(K64/H64)*100</f>
        <v>11.8618618618619</v>
      </c>
      <c r="M64" s="379" t="n">
        <v>68</v>
      </c>
      <c r="N64" s="19" t="n">
        <f aca="false">(M64/H64)*100</f>
        <v>10.2102102102102</v>
      </c>
      <c r="O64" s="379" t="n">
        <v>0</v>
      </c>
      <c r="P64" s="379" t="n">
        <v>0</v>
      </c>
      <c r="Q64" s="391" t="s">
        <v>49</v>
      </c>
      <c r="R64" s="391" t="n">
        <v>45770</v>
      </c>
      <c r="S64" s="379"/>
      <c r="T64" s="392" t="n">
        <v>1.14</v>
      </c>
      <c r="U64" s="379"/>
      <c r="V64" s="379"/>
      <c r="W64" s="379"/>
      <c r="X64" s="379"/>
      <c r="Y64" s="379"/>
      <c r="Z64" s="379"/>
      <c r="AA64" s="388" t="s">
        <v>50</v>
      </c>
      <c r="AB64" s="388"/>
      <c r="AC64" s="393"/>
      <c r="AD64" s="392"/>
      <c r="AE64" s="392"/>
      <c r="AF64" s="379" t="s">
        <v>52</v>
      </c>
    </row>
    <row r="65" customFormat="false" ht="18.75" hidden="false" customHeight="false" outlineLevel="0" collapsed="false">
      <c r="A65" s="379" t="s">
        <v>42</v>
      </c>
      <c r="B65" s="379" t="s">
        <v>3265</v>
      </c>
      <c r="C65" s="378" t="s">
        <v>3409</v>
      </c>
      <c r="D65" s="380" t="s">
        <v>866</v>
      </c>
      <c r="E65" s="379" t="s">
        <v>3410</v>
      </c>
      <c r="F65" s="379" t="n">
        <v>912</v>
      </c>
      <c r="G65" s="379" t="n">
        <v>289</v>
      </c>
      <c r="H65" s="379" t="n">
        <v>1788</v>
      </c>
      <c r="I65" s="379" t="n">
        <v>937</v>
      </c>
      <c r="J65" s="379" t="n">
        <v>851</v>
      </c>
      <c r="K65" s="379" t="n">
        <v>615</v>
      </c>
      <c r="L65" s="19" t="n">
        <f aca="false">(K65/H65)*100</f>
        <v>34.3959731543624</v>
      </c>
      <c r="M65" s="379" t="n">
        <v>4</v>
      </c>
      <c r="N65" s="19" t="n">
        <f aca="false">(M65/H65)*100</f>
        <v>0.223713646532438</v>
      </c>
      <c r="O65" s="379" t="n">
        <v>82</v>
      </c>
      <c r="P65" s="379" t="n">
        <v>2</v>
      </c>
      <c r="Q65" s="386" t="s">
        <v>49</v>
      </c>
      <c r="R65" s="387" t="n">
        <v>44901</v>
      </c>
      <c r="S65" s="379"/>
      <c r="T65" s="386" t="n">
        <v>56.64</v>
      </c>
      <c r="U65" s="379"/>
      <c r="V65" s="379"/>
      <c r="W65" s="379"/>
      <c r="X65" s="379"/>
      <c r="Y65" s="379"/>
      <c r="Z65" s="379"/>
      <c r="AA65" s="388" t="s">
        <v>266</v>
      </c>
      <c r="AB65" s="385" t="n">
        <v>20</v>
      </c>
      <c r="AC65" s="389" t="s">
        <v>3411</v>
      </c>
      <c r="AD65" s="386"/>
      <c r="AE65" s="386"/>
      <c r="AF65" s="379"/>
    </row>
    <row r="66" customFormat="false" ht="18.75" hidden="false" customHeight="false" outlineLevel="0" collapsed="false">
      <c r="A66" s="379" t="s">
        <v>42</v>
      </c>
      <c r="B66" s="379" t="s">
        <v>3265</v>
      </c>
      <c r="C66" s="378" t="s">
        <v>3409</v>
      </c>
      <c r="D66" s="379" t="s">
        <v>3412</v>
      </c>
      <c r="E66" s="379" t="s">
        <v>3413</v>
      </c>
      <c r="F66" s="379" t="n">
        <v>817</v>
      </c>
      <c r="G66" s="379" t="n">
        <v>204</v>
      </c>
      <c r="H66" s="379" t="n">
        <v>1242</v>
      </c>
      <c r="I66" s="379" t="n">
        <v>655</v>
      </c>
      <c r="J66" s="379" t="n">
        <v>587</v>
      </c>
      <c r="K66" s="379" t="n">
        <v>226</v>
      </c>
      <c r="L66" s="19" t="n">
        <f aca="false">(K66/H66)*100</f>
        <v>18.1964573268921</v>
      </c>
      <c r="M66" s="379" t="n">
        <v>153</v>
      </c>
      <c r="N66" s="19" t="n">
        <f aca="false">(M66/H66)*100</f>
        <v>12.3188405797101</v>
      </c>
      <c r="O66" s="379" t="n">
        <v>0</v>
      </c>
      <c r="P66" s="379" t="n">
        <v>78</v>
      </c>
      <c r="Q66" s="386" t="s">
        <v>49</v>
      </c>
      <c r="R66" s="387" t="n">
        <v>44901</v>
      </c>
      <c r="S66" s="379"/>
      <c r="T66" s="386" t="n">
        <v>0</v>
      </c>
      <c r="U66" s="379"/>
      <c r="V66" s="379"/>
      <c r="W66" s="379"/>
      <c r="X66" s="379"/>
      <c r="Y66" s="379"/>
      <c r="Z66" s="379"/>
      <c r="AA66" s="388"/>
      <c r="AB66" s="385"/>
      <c r="AC66" s="389" t="n">
        <v>0</v>
      </c>
      <c r="AD66" s="386" t="n">
        <v>0</v>
      </c>
      <c r="AE66" s="386" t="n">
        <v>0</v>
      </c>
      <c r="AF66" s="379"/>
    </row>
    <row r="67" customFormat="false" ht="18.75" hidden="false" customHeight="false" outlineLevel="0" collapsed="false">
      <c r="A67" s="379" t="s">
        <v>42</v>
      </c>
      <c r="B67" s="379" t="s">
        <v>3265</v>
      </c>
      <c r="C67" s="378" t="s">
        <v>3414</v>
      </c>
      <c r="D67" s="380" t="s">
        <v>3414</v>
      </c>
      <c r="E67" s="379" t="s">
        <v>3415</v>
      </c>
      <c r="F67" s="379" t="n">
        <v>2162</v>
      </c>
      <c r="G67" s="379" t="n">
        <v>414</v>
      </c>
      <c r="H67" s="379" t="n">
        <v>2410</v>
      </c>
      <c r="I67" s="379" t="n">
        <v>1250</v>
      </c>
      <c r="J67" s="379" t="n">
        <v>1160</v>
      </c>
      <c r="K67" s="379" t="n">
        <v>306</v>
      </c>
      <c r="L67" s="19" t="n">
        <f aca="false">(K67/H67)*100</f>
        <v>12.6970954356846</v>
      </c>
      <c r="M67" s="379" t="n">
        <v>129</v>
      </c>
      <c r="N67" s="19" t="n">
        <f aca="false">(M67/H67)*100</f>
        <v>5.35269709543568</v>
      </c>
      <c r="O67" s="379" t="n">
        <v>78</v>
      </c>
      <c r="P67" s="379" t="n">
        <v>0</v>
      </c>
      <c r="Q67" s="386" t="s">
        <v>49</v>
      </c>
      <c r="R67" s="387" t="n">
        <v>44879</v>
      </c>
      <c r="S67" s="379"/>
      <c r="T67" s="386" t="n">
        <v>94.9328</v>
      </c>
      <c r="U67" s="379"/>
      <c r="V67" s="379"/>
      <c r="W67" s="379"/>
      <c r="X67" s="379"/>
      <c r="Y67" s="379"/>
      <c r="Z67" s="379"/>
      <c r="AA67" s="388" t="s">
        <v>266</v>
      </c>
      <c r="AB67" s="385" t="n">
        <v>10</v>
      </c>
      <c r="AC67" s="389" t="s">
        <v>3416</v>
      </c>
      <c r="AD67" s="386"/>
      <c r="AE67" s="386"/>
      <c r="AF67" s="379"/>
    </row>
    <row r="68" customFormat="false" ht="18.75" hidden="false" customHeight="false" outlineLevel="0" collapsed="false">
      <c r="A68" s="379" t="s">
        <v>42</v>
      </c>
      <c r="B68" s="379" t="s">
        <v>3265</v>
      </c>
      <c r="C68" s="378" t="s">
        <v>3414</v>
      </c>
      <c r="D68" s="379" t="s">
        <v>3417</v>
      </c>
      <c r="E68" s="379" t="s">
        <v>3418</v>
      </c>
      <c r="F68" s="379" t="n">
        <v>1697</v>
      </c>
      <c r="G68" s="379" t="n">
        <v>384</v>
      </c>
      <c r="H68" s="379" t="n">
        <v>2081</v>
      </c>
      <c r="I68" s="379" t="n">
        <v>1065</v>
      </c>
      <c r="J68" s="379" t="n">
        <v>1016</v>
      </c>
      <c r="K68" s="379" t="n">
        <v>414</v>
      </c>
      <c r="L68" s="19" t="n">
        <f aca="false">(K68/H68)*100</f>
        <v>19.8942815953868</v>
      </c>
      <c r="M68" s="379" t="n">
        <v>1</v>
      </c>
      <c r="N68" s="19" t="n">
        <f aca="false">(M68/H68)*100</f>
        <v>0.0480538202787122</v>
      </c>
      <c r="O68" s="379" t="n">
        <v>245</v>
      </c>
      <c r="P68" s="379" t="n">
        <v>0</v>
      </c>
      <c r="Q68" s="386" t="s">
        <v>49</v>
      </c>
      <c r="R68" s="387" t="n">
        <v>44879</v>
      </c>
      <c r="S68" s="379"/>
      <c r="T68" s="386" t="n">
        <v>236.8496</v>
      </c>
      <c r="U68" s="379"/>
      <c r="V68" s="379"/>
      <c r="W68" s="379"/>
      <c r="X68" s="379"/>
      <c r="Y68" s="379"/>
      <c r="Z68" s="379"/>
      <c r="AA68" s="388" t="s">
        <v>266</v>
      </c>
      <c r="AB68" s="385" t="n">
        <v>10</v>
      </c>
      <c r="AC68" s="389" t="s">
        <v>3419</v>
      </c>
      <c r="AD68" s="386"/>
      <c r="AE68" s="386"/>
      <c r="AF68" s="379"/>
    </row>
    <row r="69" customFormat="false" ht="18.75" hidden="false" customHeight="false" outlineLevel="0" collapsed="false">
      <c r="A69" s="379" t="s">
        <v>42</v>
      </c>
      <c r="B69" s="379" t="s">
        <v>3265</v>
      </c>
      <c r="C69" s="378" t="s">
        <v>3420</v>
      </c>
      <c r="D69" s="380" t="s">
        <v>3420</v>
      </c>
      <c r="E69" s="379" t="s">
        <v>3421</v>
      </c>
      <c r="F69" s="379" t="n">
        <v>663</v>
      </c>
      <c r="G69" s="379" t="n">
        <v>230</v>
      </c>
      <c r="H69" s="379" t="n">
        <v>1438</v>
      </c>
      <c r="I69" s="379" t="n">
        <v>753</v>
      </c>
      <c r="J69" s="379" t="n">
        <v>685</v>
      </c>
      <c r="K69" s="379" t="n">
        <v>257</v>
      </c>
      <c r="L69" s="19" t="n">
        <f aca="false">(K69/H69)*100</f>
        <v>17.8720445062587</v>
      </c>
      <c r="M69" s="379" t="n">
        <v>317</v>
      </c>
      <c r="N69" s="19" t="n">
        <f aca="false">(M69/H69)*100</f>
        <v>22.0445062586926</v>
      </c>
      <c r="O69" s="379" t="n">
        <v>0</v>
      </c>
      <c r="P69" s="379" t="n">
        <v>0</v>
      </c>
      <c r="Q69" s="183" t="s">
        <v>49</v>
      </c>
      <c r="R69" s="381" t="n">
        <v>44879</v>
      </c>
      <c r="S69" s="379"/>
      <c r="T69" s="183"/>
      <c r="U69" s="379" t="s">
        <v>50</v>
      </c>
      <c r="V69" s="379"/>
      <c r="W69" s="379"/>
      <c r="X69" s="379"/>
      <c r="Y69" s="379"/>
      <c r="Z69" s="379"/>
      <c r="AA69" s="388" t="s">
        <v>266</v>
      </c>
      <c r="AB69" s="180" t="n">
        <v>6</v>
      </c>
      <c r="AC69" s="384" t="s">
        <v>3422</v>
      </c>
      <c r="AD69" s="180" t="n">
        <v>26.27</v>
      </c>
      <c r="AE69" s="180" t="n">
        <v>73.11</v>
      </c>
      <c r="AF69" s="379"/>
    </row>
    <row r="70" customFormat="false" ht="18.75" hidden="false" customHeight="false" outlineLevel="0" collapsed="false">
      <c r="A70" s="379" t="s">
        <v>42</v>
      </c>
      <c r="B70" s="379" t="s">
        <v>3265</v>
      </c>
      <c r="C70" s="378" t="s">
        <v>3420</v>
      </c>
      <c r="D70" s="379" t="s">
        <v>3423</v>
      </c>
      <c r="E70" s="379" t="s">
        <v>3424</v>
      </c>
      <c r="F70" s="379" t="n">
        <v>540</v>
      </c>
      <c r="G70" s="379" t="n">
        <v>165</v>
      </c>
      <c r="H70" s="379" t="n">
        <v>1075</v>
      </c>
      <c r="I70" s="379" t="n">
        <v>566</v>
      </c>
      <c r="J70" s="379" t="n">
        <v>509</v>
      </c>
      <c r="K70" s="379" t="n">
        <v>246</v>
      </c>
      <c r="L70" s="19" t="n">
        <f aca="false">(K70/H70)*100</f>
        <v>22.8837209302326</v>
      </c>
      <c r="M70" s="379" t="n">
        <v>0</v>
      </c>
      <c r="N70" s="19" t="n">
        <f aca="false">(M70/H70)*100</f>
        <v>0</v>
      </c>
      <c r="O70" s="379" t="n">
        <v>0</v>
      </c>
      <c r="P70" s="379" t="n">
        <v>0</v>
      </c>
      <c r="Q70" s="183" t="s">
        <v>49</v>
      </c>
      <c r="R70" s="381" t="n">
        <v>44879</v>
      </c>
      <c r="S70" s="379"/>
      <c r="T70" s="183"/>
      <c r="U70" s="379"/>
      <c r="V70" s="379"/>
      <c r="W70" s="379"/>
      <c r="X70" s="379"/>
      <c r="Y70" s="379"/>
      <c r="Z70" s="379"/>
      <c r="AA70" s="388" t="s">
        <v>266</v>
      </c>
      <c r="AB70" s="180" t="n">
        <v>0</v>
      </c>
      <c r="AC70" s="382" t="n">
        <v>0</v>
      </c>
      <c r="AD70" s="180"/>
      <c r="AE70" s="180"/>
      <c r="AF70" s="379"/>
    </row>
    <row r="71" customFormat="false" ht="18.75" hidden="false" customHeight="false" outlineLevel="0" collapsed="false">
      <c r="A71" s="379" t="s">
        <v>42</v>
      </c>
      <c r="B71" s="379" t="s">
        <v>3265</v>
      </c>
      <c r="C71" s="378" t="s">
        <v>3420</v>
      </c>
      <c r="D71" s="379" t="s">
        <v>3425</v>
      </c>
      <c r="E71" s="379" t="s">
        <v>3426</v>
      </c>
      <c r="F71" s="379" t="n">
        <v>41</v>
      </c>
      <c r="G71" s="379" t="n">
        <v>0</v>
      </c>
      <c r="H71" s="379" t="n">
        <v>0</v>
      </c>
      <c r="I71" s="379" t="n">
        <v>0</v>
      </c>
      <c r="J71" s="379" t="n">
        <v>0</v>
      </c>
      <c r="K71" s="379" t="n">
        <v>0</v>
      </c>
      <c r="L71" s="19" t="n">
        <v>0</v>
      </c>
      <c r="M71" s="379" t="n">
        <v>0</v>
      </c>
      <c r="N71" s="19" t="n">
        <v>0</v>
      </c>
      <c r="O71" s="379" t="n">
        <v>0</v>
      </c>
      <c r="P71" s="379" t="n">
        <v>0</v>
      </c>
      <c r="Q71" s="379"/>
      <c r="R71" s="379"/>
      <c r="S71" s="379"/>
      <c r="T71" s="379"/>
      <c r="U71" s="379"/>
      <c r="V71" s="379"/>
      <c r="W71" s="379"/>
      <c r="X71" s="379"/>
      <c r="Y71" s="379"/>
      <c r="Z71" s="379"/>
      <c r="AA71" s="418"/>
      <c r="AB71" s="418"/>
      <c r="AC71" s="379"/>
      <c r="AD71" s="379"/>
      <c r="AE71" s="379"/>
      <c r="AF71" s="379"/>
    </row>
    <row r="72" customFormat="false" ht="18.75" hidden="false" customHeight="false" outlineLevel="0" collapsed="false">
      <c r="F72" s="374" t="n">
        <f aca="false">SUM(F4:F71)</f>
        <v>64146.95</v>
      </c>
      <c r="G72" s="374" t="n">
        <f aca="false">SUM(G4:G71)</f>
        <v>15979</v>
      </c>
      <c r="H72" s="374" t="n">
        <f aca="false">SUM(H4:H71)</f>
        <v>91844</v>
      </c>
      <c r="I72" s="374" t="n">
        <f aca="false">SUM(I4:I71)</f>
        <v>47717</v>
      </c>
      <c r="J72" s="374" t="n">
        <f aca="false">SUM(J4:J71)</f>
        <v>44127</v>
      </c>
      <c r="K72" s="374" t="n">
        <f aca="false">SUM(K4:K71)</f>
        <v>15225</v>
      </c>
      <c r="M72" s="374" t="n">
        <f aca="false">SUM(M4:M71)</f>
        <v>3639</v>
      </c>
      <c r="O72" s="374" t="n">
        <f aca="false">SUM(O4:O71)</f>
        <v>2838.86</v>
      </c>
      <c r="P72" s="374" t="n">
        <f aca="false">SUM(P4:P71)</f>
        <v>135</v>
      </c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17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F1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X3" activePane="bottomRight" state="frozen"/>
      <selection pane="topLeft" activeCell="A1" activeCellId="0" sqref="A1"/>
      <selection pane="topRight" activeCell="X1" activeCellId="0" sqref="X1"/>
      <selection pane="bottomLeft" activeCell="A3" activeCellId="0" sqref="A3"/>
      <selection pane="bottomRight" activeCell="AC1" activeCellId="0" sqref="AC1"/>
    </sheetView>
  </sheetViews>
  <sheetFormatPr defaultColWidth="9.14453125" defaultRowHeight="15.75" zeroHeight="false" outlineLevelRow="0" outlineLevelCol="0"/>
  <cols>
    <col collapsed="false" customWidth="true" hidden="false" outlineLevel="0" max="1" min="1" style="1" width="9.28"/>
    <col collapsed="false" customWidth="true" hidden="false" outlineLevel="0" max="2" min="2" style="1" width="6.71"/>
    <col collapsed="false" customWidth="true" hidden="false" outlineLevel="0" max="3" min="3" style="1" width="19.71"/>
    <col collapsed="false" customWidth="true" hidden="false" outlineLevel="0" max="4" min="4" style="1" width="20.14"/>
    <col collapsed="false" customWidth="true" hidden="false" outlineLevel="0" max="5" min="5" style="1" width="19.14"/>
    <col collapsed="false" customWidth="true" hidden="false" outlineLevel="0" max="6" min="6" style="1" width="12.28"/>
    <col collapsed="false" customWidth="true" hidden="false" outlineLevel="0" max="7" min="7" style="1" width="7.71"/>
    <col collapsed="false" customWidth="true" hidden="false" outlineLevel="0" max="8" min="8" style="1" width="9.43"/>
    <col collapsed="false" customWidth="true" hidden="false" outlineLevel="0" max="9" min="9" style="1" width="10.28"/>
    <col collapsed="false" customWidth="true" hidden="false" outlineLevel="0" max="10" min="10" style="1" width="7.71"/>
    <col collapsed="false" customWidth="true" hidden="false" outlineLevel="0" max="11" min="11" style="1" width="9.43"/>
    <col collapsed="false" customWidth="true" hidden="false" outlineLevel="0" max="12" min="12" style="1" width="8.28"/>
    <col collapsed="false" customWidth="true" hidden="false" outlineLevel="0" max="13" min="13" style="1" width="9.43"/>
    <col collapsed="false" customWidth="true" hidden="false" outlineLevel="0" max="14" min="14" style="1" width="8.14"/>
    <col collapsed="false" customWidth="true" hidden="false" outlineLevel="0" max="15" min="15" style="1" width="14.28"/>
    <col collapsed="false" customWidth="true" hidden="false" outlineLevel="0" max="16" min="16" style="1" width="10.43"/>
    <col collapsed="false" customWidth="true" hidden="false" outlineLevel="0" max="17" min="17" style="1" width="10.71"/>
    <col collapsed="false" customWidth="true" hidden="false" outlineLevel="0" max="18" min="18" style="1" width="13.14"/>
    <col collapsed="false" customWidth="true" hidden="false" outlineLevel="0" max="20" min="19" style="1" width="15"/>
    <col collapsed="false" customWidth="true" hidden="false" outlineLevel="0" max="21" min="21" style="1" width="13.43"/>
    <col collapsed="false" customWidth="true" hidden="false" outlineLevel="0" max="27" min="22" style="1" width="15"/>
    <col collapsed="false" customWidth="true" hidden="false" outlineLevel="0" max="28" min="28" style="0" width="13.57"/>
    <col collapsed="false" customWidth="true" hidden="false" outlineLevel="0" max="29" min="29" style="2" width="30.29"/>
    <col collapsed="false" customWidth="true" hidden="false" outlineLevel="0" max="30" min="30" style="1" width="10.71"/>
    <col collapsed="false" customWidth="true" hidden="false" outlineLevel="0" max="31" min="31" style="1" width="11.85"/>
    <col collapsed="false" customWidth="true" hidden="false" outlineLevel="0" max="32" min="32" style="1" width="13.43"/>
    <col collapsed="false" customWidth="false" hidden="false" outlineLevel="0" max="1024" min="33" style="1" width="9.14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</row>
    <row r="2" s="13" customFormat="true" ht="126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  <c r="AF2" s="85" t="s">
        <v>1715</v>
      </c>
    </row>
    <row r="3" s="13" customFormat="tru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  <c r="AF3" s="297"/>
    </row>
    <row r="4" customFormat="false" ht="18.75" hidden="false" customHeight="false" outlineLevel="0" collapsed="false">
      <c r="A4" s="16" t="s">
        <v>42</v>
      </c>
      <c r="B4" s="16" t="s">
        <v>3427</v>
      </c>
      <c r="C4" s="71" t="s">
        <v>3428</v>
      </c>
      <c r="D4" s="72" t="s">
        <v>3429</v>
      </c>
      <c r="E4" s="16" t="s">
        <v>3430</v>
      </c>
      <c r="F4" s="16" t="n">
        <v>2773.76</v>
      </c>
      <c r="G4" s="16" t="n">
        <v>654</v>
      </c>
      <c r="H4" s="16" t="n">
        <v>3694</v>
      </c>
      <c r="I4" s="16" t="n">
        <v>1887</v>
      </c>
      <c r="J4" s="16" t="n">
        <v>1807</v>
      </c>
      <c r="K4" s="16" t="n">
        <v>861</v>
      </c>
      <c r="L4" s="19" t="n">
        <f aca="false">(K4/H4)*100</f>
        <v>23.3080671358961</v>
      </c>
      <c r="M4" s="16" t="n">
        <v>159</v>
      </c>
      <c r="N4" s="19" t="n">
        <f aca="false">(M4/H4)*100</f>
        <v>4.30427720628046</v>
      </c>
      <c r="O4" s="16" t="n">
        <v>87.07</v>
      </c>
      <c r="P4" s="16" t="n">
        <v>0</v>
      </c>
      <c r="Q4" s="45" t="s">
        <v>49</v>
      </c>
      <c r="R4" s="53" t="n">
        <v>45201</v>
      </c>
      <c r="S4" s="420"/>
      <c r="T4" s="45" t="n">
        <v>85</v>
      </c>
      <c r="U4" s="20"/>
      <c r="V4" s="16"/>
      <c r="W4" s="16"/>
      <c r="X4" s="16"/>
      <c r="Y4" s="16"/>
      <c r="Z4" s="16"/>
      <c r="AA4" s="119" t="s">
        <v>50</v>
      </c>
      <c r="AB4" s="119" t="n">
        <v>0</v>
      </c>
      <c r="AC4" s="128"/>
      <c r="AD4" s="45"/>
      <c r="AE4" s="45"/>
      <c r="AF4" s="379" t="s">
        <v>52</v>
      </c>
    </row>
    <row r="5" customFormat="false" ht="18.75" hidden="false" customHeight="false" outlineLevel="0" collapsed="false">
      <c r="A5" s="16" t="s">
        <v>42</v>
      </c>
      <c r="B5" s="16" t="s">
        <v>3427</v>
      </c>
      <c r="C5" s="71" t="s">
        <v>3428</v>
      </c>
      <c r="D5" s="16" t="s">
        <v>3431</v>
      </c>
      <c r="E5" s="16" t="s">
        <v>3432</v>
      </c>
      <c r="F5" s="16" t="n">
        <v>1909.38</v>
      </c>
      <c r="G5" s="16" t="n">
        <v>241</v>
      </c>
      <c r="H5" s="16" t="n">
        <v>1403</v>
      </c>
      <c r="I5" s="16" t="n">
        <v>731</v>
      </c>
      <c r="J5" s="16" t="n">
        <v>672</v>
      </c>
      <c r="K5" s="16" t="n">
        <v>235</v>
      </c>
      <c r="L5" s="19" t="n">
        <f aca="false">(K5/H5)*100</f>
        <v>16.7498218104063</v>
      </c>
      <c r="M5" s="16" t="n">
        <v>111</v>
      </c>
      <c r="N5" s="19" t="n">
        <f aca="false">(M5/H5)*100</f>
        <v>7.91161796151105</v>
      </c>
      <c r="O5" s="16" t="n">
        <v>98.42</v>
      </c>
      <c r="P5" s="16" t="n">
        <v>0</v>
      </c>
      <c r="Q5" s="53" t="s">
        <v>49</v>
      </c>
      <c r="R5" s="53" t="n">
        <v>45201</v>
      </c>
      <c r="S5" s="420"/>
      <c r="T5" s="45" t="n">
        <v>98.09</v>
      </c>
      <c r="U5" s="20"/>
      <c r="V5" s="16"/>
      <c r="W5" s="16"/>
      <c r="X5" s="16"/>
      <c r="Y5" s="16"/>
      <c r="Z5" s="16"/>
      <c r="AA5" s="119" t="s">
        <v>50</v>
      </c>
      <c r="AB5" s="119" t="n">
        <v>0</v>
      </c>
      <c r="AC5" s="340"/>
      <c r="AD5" s="45"/>
      <c r="AE5" s="45"/>
      <c r="AF5" s="379" t="s">
        <v>52</v>
      </c>
    </row>
    <row r="6" customFormat="false" ht="18.75" hidden="false" customHeight="false" outlineLevel="0" collapsed="false">
      <c r="A6" s="16" t="s">
        <v>42</v>
      </c>
      <c r="B6" s="16" t="s">
        <v>3427</v>
      </c>
      <c r="C6" s="71" t="s">
        <v>3428</v>
      </c>
      <c r="D6" s="16" t="s">
        <v>3433</v>
      </c>
      <c r="E6" s="16" t="s">
        <v>3434</v>
      </c>
      <c r="F6" s="16" t="n">
        <v>979.5</v>
      </c>
      <c r="G6" s="16" t="n">
        <v>132</v>
      </c>
      <c r="H6" s="16" t="n">
        <v>977</v>
      </c>
      <c r="I6" s="16" t="n">
        <v>524</v>
      </c>
      <c r="J6" s="16" t="n">
        <v>453</v>
      </c>
      <c r="K6" s="16" t="n">
        <v>75</v>
      </c>
      <c r="L6" s="19" t="n">
        <f aca="false">(K6/H6)*100</f>
        <v>7.67656090071648</v>
      </c>
      <c r="M6" s="16" t="n">
        <v>20</v>
      </c>
      <c r="N6" s="19" t="n">
        <f aca="false">(M6/H6)*100</f>
        <v>2.04708290685773</v>
      </c>
      <c r="O6" s="16" t="n">
        <v>1.11</v>
      </c>
      <c r="P6" s="16" t="n">
        <v>0</v>
      </c>
      <c r="Q6" s="53" t="s">
        <v>49</v>
      </c>
      <c r="R6" s="53" t="n">
        <v>45201</v>
      </c>
      <c r="S6" s="420"/>
      <c r="T6" s="45" t="n">
        <v>1.1</v>
      </c>
      <c r="U6" s="20"/>
      <c r="V6" s="16"/>
      <c r="W6" s="16"/>
      <c r="X6" s="16"/>
      <c r="Y6" s="16"/>
      <c r="Z6" s="16"/>
      <c r="AA6" s="119" t="s">
        <v>50</v>
      </c>
      <c r="AB6" s="119" t="n">
        <v>0</v>
      </c>
      <c r="AC6" s="340"/>
      <c r="AD6" s="45"/>
      <c r="AE6" s="45"/>
      <c r="AF6" s="379" t="s">
        <v>52</v>
      </c>
    </row>
    <row r="7" customFormat="false" ht="31.5" hidden="false" customHeight="false" outlineLevel="0" collapsed="false">
      <c r="A7" s="16" t="s">
        <v>42</v>
      </c>
      <c r="B7" s="16" t="s">
        <v>3427</v>
      </c>
      <c r="C7" s="71" t="s">
        <v>3435</v>
      </c>
      <c r="D7" s="72" t="s">
        <v>3436</v>
      </c>
      <c r="E7" s="16" t="s">
        <v>3437</v>
      </c>
      <c r="F7" s="16" t="n">
        <v>2491.62</v>
      </c>
      <c r="G7" s="16" t="n">
        <v>591</v>
      </c>
      <c r="H7" s="16" t="n">
        <v>3843</v>
      </c>
      <c r="I7" s="16" t="n">
        <v>1987</v>
      </c>
      <c r="J7" s="16" t="n">
        <v>1856</v>
      </c>
      <c r="K7" s="16" t="n">
        <v>310</v>
      </c>
      <c r="L7" s="19" t="n">
        <f aca="false">(K7/H7)*100</f>
        <v>8.06661462399167</v>
      </c>
      <c r="M7" s="16" t="n">
        <v>720</v>
      </c>
      <c r="N7" s="19" t="n">
        <f aca="false">(M7/H7)*100</f>
        <v>18.7353629976581</v>
      </c>
      <c r="O7" s="16" t="n">
        <v>107.17</v>
      </c>
      <c r="P7" s="16" t="n">
        <v>0</v>
      </c>
      <c r="Q7" s="24" t="s">
        <v>49</v>
      </c>
      <c r="R7" s="421" t="n">
        <v>44836</v>
      </c>
      <c r="S7" s="420"/>
      <c r="T7" s="24"/>
      <c r="U7" s="20"/>
      <c r="V7" s="16"/>
      <c r="W7" s="16"/>
      <c r="X7" s="16"/>
      <c r="Y7" s="16"/>
      <c r="Z7" s="16"/>
      <c r="AA7" s="119" t="s">
        <v>266</v>
      </c>
      <c r="AB7" s="92" t="n">
        <v>9</v>
      </c>
      <c r="AC7" s="96" t="s">
        <v>3438</v>
      </c>
      <c r="AD7" s="92" t="n">
        <v>26.82</v>
      </c>
      <c r="AE7" s="92" t="n">
        <v>73.05</v>
      </c>
      <c r="AF7" s="20"/>
    </row>
    <row r="8" customFormat="false" ht="15.75" hidden="false" customHeight="false" outlineLevel="0" collapsed="false">
      <c r="A8" s="16"/>
      <c r="B8" s="16"/>
      <c r="C8" s="71"/>
      <c r="D8" s="72"/>
      <c r="E8" s="16"/>
      <c r="F8" s="16"/>
      <c r="G8" s="16"/>
      <c r="H8" s="16"/>
      <c r="I8" s="16"/>
      <c r="J8" s="16"/>
      <c r="K8" s="16"/>
      <c r="L8" s="19"/>
      <c r="M8" s="16"/>
      <c r="N8" s="19"/>
      <c r="O8" s="16"/>
      <c r="P8" s="16"/>
      <c r="Q8" s="228" t="s">
        <v>49</v>
      </c>
      <c r="R8" s="228"/>
      <c r="S8" s="420"/>
      <c r="T8" s="297"/>
      <c r="U8" s="20"/>
      <c r="V8" s="16"/>
      <c r="W8" s="16"/>
      <c r="X8" s="16"/>
      <c r="Y8" s="16"/>
      <c r="Z8" s="16"/>
      <c r="AA8" s="422" t="s">
        <v>266</v>
      </c>
      <c r="AB8" s="169" t="n">
        <v>10</v>
      </c>
      <c r="AC8" s="423" t="s">
        <v>3439</v>
      </c>
      <c r="AD8" s="169" t="n">
        <v>26.76</v>
      </c>
      <c r="AE8" s="169" t="n">
        <v>73.05</v>
      </c>
      <c r="AF8" s="297"/>
    </row>
    <row r="9" customFormat="false" ht="15.75" hidden="false" customHeight="false" outlineLevel="0" collapsed="false">
      <c r="A9" s="16" t="s">
        <v>42</v>
      </c>
      <c r="B9" s="16" t="s">
        <v>3427</v>
      </c>
      <c r="C9" s="71" t="s">
        <v>3435</v>
      </c>
      <c r="D9" s="16" t="s">
        <v>3440</v>
      </c>
      <c r="E9" s="16" t="s">
        <v>3441</v>
      </c>
      <c r="F9" s="16" t="n">
        <v>1542.41</v>
      </c>
      <c r="G9" s="16" t="n">
        <v>397</v>
      </c>
      <c r="H9" s="16" t="n">
        <v>2287</v>
      </c>
      <c r="I9" s="16" t="n">
        <v>1190</v>
      </c>
      <c r="J9" s="16" t="n">
        <v>1097</v>
      </c>
      <c r="K9" s="16" t="n">
        <v>277</v>
      </c>
      <c r="L9" s="19" t="n">
        <f aca="false">(K9/H9)*100</f>
        <v>12.1119370354176</v>
      </c>
      <c r="M9" s="16" t="n">
        <v>230</v>
      </c>
      <c r="N9" s="19" t="n">
        <f aca="false">(M9/H9)*100</f>
        <v>10.056843025798</v>
      </c>
      <c r="O9" s="16" t="n">
        <v>94.29</v>
      </c>
      <c r="P9" s="16" t="n">
        <v>0</v>
      </c>
      <c r="Q9" s="24" t="s">
        <v>49</v>
      </c>
      <c r="R9" s="421" t="n">
        <v>44836</v>
      </c>
      <c r="S9" s="420"/>
      <c r="T9" s="24" t="n">
        <v>40.0233</v>
      </c>
      <c r="U9" s="20"/>
      <c r="V9" s="16"/>
      <c r="W9" s="16"/>
      <c r="X9" s="16"/>
      <c r="Y9" s="16"/>
      <c r="Z9" s="16"/>
      <c r="AA9" s="119" t="s">
        <v>266</v>
      </c>
      <c r="AB9" s="92" t="n">
        <v>5</v>
      </c>
      <c r="AC9" s="96" t="s">
        <v>1825</v>
      </c>
      <c r="AD9" s="92" t="n">
        <v>26.77</v>
      </c>
      <c r="AE9" s="92" t="n">
        <v>73.06</v>
      </c>
      <c r="AF9" s="20"/>
    </row>
    <row r="10" customFormat="false" ht="15.75" hidden="false" customHeight="false" outlineLevel="0" collapsed="false">
      <c r="A10" s="16"/>
      <c r="B10" s="16"/>
      <c r="C10" s="71"/>
      <c r="D10" s="16"/>
      <c r="E10" s="424"/>
      <c r="F10" s="16"/>
      <c r="G10" s="16"/>
      <c r="H10" s="16"/>
      <c r="I10" s="16"/>
      <c r="J10" s="16"/>
      <c r="K10" s="16"/>
      <c r="L10" s="19"/>
      <c r="M10" s="16"/>
      <c r="N10" s="19"/>
      <c r="O10" s="16"/>
      <c r="P10" s="16"/>
      <c r="Q10" s="228" t="s">
        <v>49</v>
      </c>
      <c r="R10" s="228"/>
      <c r="S10" s="420"/>
      <c r="T10" s="228"/>
      <c r="U10" s="20"/>
      <c r="V10" s="16"/>
      <c r="W10" s="16"/>
      <c r="X10" s="16"/>
      <c r="Y10" s="16"/>
      <c r="Z10" s="16"/>
      <c r="AA10" s="169"/>
      <c r="AB10" s="169" t="n">
        <v>5</v>
      </c>
      <c r="AC10" s="423" t="s">
        <v>3442</v>
      </c>
      <c r="AD10" s="169" t="n">
        <v>26.78</v>
      </c>
      <c r="AE10" s="169" t="n">
        <v>73.05</v>
      </c>
      <c r="AF10" s="20"/>
    </row>
    <row r="11" customFormat="false" ht="31.5" hidden="false" customHeight="false" outlineLevel="0" collapsed="false">
      <c r="A11" s="16"/>
      <c r="B11" s="16"/>
      <c r="C11" s="71"/>
      <c r="D11" s="16"/>
      <c r="E11" s="16"/>
      <c r="F11" s="16"/>
      <c r="G11" s="16"/>
      <c r="H11" s="16"/>
      <c r="I11" s="16"/>
      <c r="J11" s="16"/>
      <c r="K11" s="16"/>
      <c r="L11" s="19"/>
      <c r="M11" s="16"/>
      <c r="N11" s="19"/>
      <c r="O11" s="16"/>
      <c r="P11" s="16"/>
      <c r="Q11" s="228" t="s">
        <v>49</v>
      </c>
      <c r="R11" s="228"/>
      <c r="S11" s="420"/>
      <c r="T11" s="228"/>
      <c r="U11" s="20"/>
      <c r="V11" s="16"/>
      <c r="W11" s="16"/>
      <c r="X11" s="16"/>
      <c r="Y11" s="16"/>
      <c r="Z11" s="16"/>
      <c r="AA11" s="169"/>
      <c r="AB11" s="169" t="n">
        <v>12</v>
      </c>
      <c r="AC11" s="423" t="s">
        <v>3443</v>
      </c>
      <c r="AD11" s="169" t="n">
        <v>26.78</v>
      </c>
      <c r="AE11" s="169" t="n">
        <v>73.05</v>
      </c>
      <c r="AF11" s="20"/>
    </row>
    <row r="12" customFormat="false" ht="15.75" hidden="false" customHeight="false" outlineLevel="0" collapsed="false">
      <c r="A12" s="16" t="s">
        <v>42</v>
      </c>
      <c r="B12" s="16" t="s">
        <v>3427</v>
      </c>
      <c r="C12" s="71" t="s">
        <v>3444</v>
      </c>
      <c r="D12" s="72" t="s">
        <v>3445</v>
      </c>
      <c r="E12" s="16" t="s">
        <v>3446</v>
      </c>
      <c r="F12" s="16" t="n">
        <v>682.07</v>
      </c>
      <c r="G12" s="16" t="n">
        <v>199</v>
      </c>
      <c r="H12" s="16" t="n">
        <v>1225</v>
      </c>
      <c r="I12" s="16" t="n">
        <v>624</v>
      </c>
      <c r="J12" s="16" t="n">
        <v>601</v>
      </c>
      <c r="K12" s="16" t="n">
        <v>301</v>
      </c>
      <c r="L12" s="19" t="n">
        <f aca="false">(K12/H12)*100</f>
        <v>24.5714285714286</v>
      </c>
      <c r="M12" s="16" t="n">
        <v>177</v>
      </c>
      <c r="N12" s="19" t="n">
        <f aca="false">(M12/H12)*100</f>
        <v>14.4489795918367</v>
      </c>
      <c r="O12" s="16" t="n">
        <v>167</v>
      </c>
      <c r="P12" s="16" t="n">
        <v>0</v>
      </c>
      <c r="Q12" s="20"/>
      <c r="R12" s="20"/>
      <c r="S12" s="420"/>
      <c r="T12" s="20"/>
      <c r="U12" s="20"/>
      <c r="V12" s="16"/>
      <c r="W12" s="16"/>
      <c r="X12" s="16"/>
      <c r="Y12" s="16"/>
      <c r="Z12" s="16"/>
      <c r="AA12" s="89"/>
      <c r="AB12" s="89"/>
      <c r="AC12" s="36"/>
      <c r="AD12" s="20"/>
      <c r="AE12" s="20"/>
      <c r="AF12" s="20"/>
    </row>
    <row r="13" customFormat="false" ht="15.75" hidden="false" customHeight="false" outlineLevel="0" collapsed="false">
      <c r="A13" s="16" t="s">
        <v>42</v>
      </c>
      <c r="B13" s="16" t="s">
        <v>3427</v>
      </c>
      <c r="C13" s="71" t="s">
        <v>3444</v>
      </c>
      <c r="D13" s="16" t="s">
        <v>3447</v>
      </c>
      <c r="E13" s="16" t="s">
        <v>3448</v>
      </c>
      <c r="F13" s="16" t="n">
        <v>1064.46</v>
      </c>
      <c r="G13" s="16" t="n">
        <v>197</v>
      </c>
      <c r="H13" s="16" t="n">
        <v>1228</v>
      </c>
      <c r="I13" s="16" t="n">
        <v>636</v>
      </c>
      <c r="J13" s="16" t="n">
        <v>592</v>
      </c>
      <c r="K13" s="16" t="n">
        <v>88</v>
      </c>
      <c r="L13" s="19" t="n">
        <f aca="false">(K13/H13)*100</f>
        <v>7.16612377850163</v>
      </c>
      <c r="M13" s="16" t="n">
        <v>26</v>
      </c>
      <c r="N13" s="19" t="n">
        <f aca="false">(M13/H13)*100</f>
        <v>2.11726384364821</v>
      </c>
      <c r="O13" s="16" t="n">
        <v>173.02</v>
      </c>
      <c r="P13" s="16" t="n">
        <v>0</v>
      </c>
      <c r="Q13" s="20"/>
      <c r="R13" s="20"/>
      <c r="S13" s="420"/>
      <c r="T13" s="20"/>
      <c r="U13" s="20"/>
      <c r="V13" s="16"/>
      <c r="W13" s="16"/>
      <c r="X13" s="16"/>
      <c r="Y13" s="16"/>
      <c r="Z13" s="16"/>
      <c r="AA13" s="89"/>
      <c r="AB13" s="89"/>
      <c r="AC13" s="36"/>
      <c r="AD13" s="20"/>
      <c r="AE13" s="20"/>
      <c r="AF13" s="20"/>
    </row>
    <row r="14" customFormat="false" ht="15.75" hidden="false" customHeight="false" outlineLevel="0" collapsed="false">
      <c r="A14" s="16" t="s">
        <v>42</v>
      </c>
      <c r="B14" s="16" t="s">
        <v>3427</v>
      </c>
      <c r="C14" s="71" t="s">
        <v>3444</v>
      </c>
      <c r="D14" s="16" t="s">
        <v>2508</v>
      </c>
      <c r="E14" s="16" t="s">
        <v>3449</v>
      </c>
      <c r="F14" s="16" t="n">
        <v>692.97</v>
      </c>
      <c r="G14" s="16" t="n">
        <v>181</v>
      </c>
      <c r="H14" s="16" t="n">
        <v>1108</v>
      </c>
      <c r="I14" s="16" t="n">
        <v>569</v>
      </c>
      <c r="J14" s="16" t="n">
        <v>539</v>
      </c>
      <c r="K14" s="16" t="n">
        <v>1</v>
      </c>
      <c r="L14" s="19" t="n">
        <f aca="false">(K14/H14)*100</f>
        <v>0.0902527075812274</v>
      </c>
      <c r="M14" s="16" t="n">
        <v>191</v>
      </c>
      <c r="N14" s="19" t="n">
        <f aca="false">(M14/H14)*100</f>
        <v>17.2382671480144</v>
      </c>
      <c r="O14" s="16" t="n">
        <v>0</v>
      </c>
      <c r="P14" s="16" t="n">
        <v>0</v>
      </c>
      <c r="Q14" s="20"/>
      <c r="R14" s="20"/>
      <c r="S14" s="420"/>
      <c r="T14" s="20"/>
      <c r="U14" s="20"/>
      <c r="V14" s="16"/>
      <c r="W14" s="16"/>
      <c r="X14" s="16"/>
      <c r="Y14" s="16"/>
      <c r="Z14" s="16"/>
      <c r="AA14" s="89"/>
      <c r="AB14" s="89"/>
      <c r="AC14" s="36"/>
      <c r="AD14" s="20"/>
      <c r="AE14" s="20"/>
      <c r="AF14" s="20"/>
    </row>
    <row r="15" customFormat="false" ht="31.5" hidden="false" customHeight="false" outlineLevel="0" collapsed="false">
      <c r="A15" s="16" t="s">
        <v>42</v>
      </c>
      <c r="B15" s="16" t="s">
        <v>3427</v>
      </c>
      <c r="C15" s="71" t="s">
        <v>3450</v>
      </c>
      <c r="D15" s="72" t="s">
        <v>3451</v>
      </c>
      <c r="E15" s="16" t="s">
        <v>3452</v>
      </c>
      <c r="F15" s="16" t="n">
        <v>2287.95</v>
      </c>
      <c r="G15" s="16" t="n">
        <v>538</v>
      </c>
      <c r="H15" s="16" t="n">
        <v>3483</v>
      </c>
      <c r="I15" s="16" t="n">
        <v>1793</v>
      </c>
      <c r="J15" s="16" t="n">
        <v>1690</v>
      </c>
      <c r="K15" s="16" t="n">
        <v>819</v>
      </c>
      <c r="L15" s="19" t="n">
        <f aca="false">(K15/H15)*100</f>
        <v>23.5142118863049</v>
      </c>
      <c r="M15" s="16" t="n">
        <v>0</v>
      </c>
      <c r="N15" s="19" t="n">
        <f aca="false">(M15/H15)*100</f>
        <v>0</v>
      </c>
      <c r="O15" s="16" t="n">
        <v>20.65</v>
      </c>
      <c r="P15" s="16" t="n">
        <v>0</v>
      </c>
      <c r="Q15" s="20"/>
      <c r="R15" s="20"/>
      <c r="S15" s="420"/>
      <c r="T15" s="20" t="n">
        <v>17.2154</v>
      </c>
      <c r="U15" s="20"/>
      <c r="V15" s="16"/>
      <c r="W15" s="16"/>
      <c r="X15" s="16"/>
      <c r="Y15" s="16"/>
      <c r="Z15" s="16"/>
      <c r="AA15" s="89" t="s">
        <v>50</v>
      </c>
      <c r="AB15" s="89" t="n">
        <v>8</v>
      </c>
      <c r="AC15" s="90" t="s">
        <v>3453</v>
      </c>
      <c r="AD15" s="20"/>
      <c r="AE15" s="20"/>
      <c r="AF15" s="20"/>
    </row>
    <row r="16" customFormat="false" ht="15.75" hidden="false" customHeight="false" outlineLevel="0" collapsed="false">
      <c r="A16" s="16"/>
      <c r="B16" s="16"/>
      <c r="C16" s="71"/>
      <c r="D16" s="72"/>
      <c r="E16" s="16"/>
      <c r="F16" s="16"/>
      <c r="G16" s="16"/>
      <c r="H16" s="16"/>
      <c r="I16" s="16"/>
      <c r="J16" s="16"/>
      <c r="K16" s="16"/>
      <c r="L16" s="19"/>
      <c r="M16" s="16"/>
      <c r="N16" s="19"/>
      <c r="O16" s="16"/>
      <c r="P16" s="16"/>
      <c r="Q16" s="228"/>
      <c r="R16" s="228"/>
      <c r="S16" s="420"/>
      <c r="T16" s="228"/>
      <c r="U16" s="20"/>
      <c r="V16" s="16"/>
      <c r="W16" s="16"/>
      <c r="X16" s="16"/>
      <c r="Y16" s="16"/>
      <c r="Z16" s="16"/>
      <c r="AA16" s="93" t="s">
        <v>50</v>
      </c>
      <c r="AB16" s="93" t="n">
        <v>8</v>
      </c>
      <c r="AC16" s="98" t="s">
        <v>3454</v>
      </c>
      <c r="AD16" s="228"/>
      <c r="AE16" s="228"/>
      <c r="AF16" s="20"/>
    </row>
    <row r="17" customFormat="false" ht="15.75" hidden="false" customHeight="false" outlineLevel="0" collapsed="false">
      <c r="A17" s="16" t="s">
        <v>42</v>
      </c>
      <c r="B17" s="16" t="s">
        <v>3427</v>
      </c>
      <c r="C17" s="71" t="s">
        <v>3455</v>
      </c>
      <c r="D17" s="72" t="s">
        <v>3456</v>
      </c>
      <c r="E17" s="16" t="s">
        <v>3457</v>
      </c>
      <c r="F17" s="16" t="n">
        <v>434.86</v>
      </c>
      <c r="G17" s="16" t="n">
        <v>182</v>
      </c>
      <c r="H17" s="16" t="n">
        <v>1109</v>
      </c>
      <c r="I17" s="16" t="n">
        <v>584</v>
      </c>
      <c r="J17" s="16" t="n">
        <v>525</v>
      </c>
      <c r="K17" s="16" t="n">
        <v>467</v>
      </c>
      <c r="L17" s="19" t="n">
        <f aca="false">(K17/H17)*100</f>
        <v>42.1100090171325</v>
      </c>
      <c r="M17" s="16" t="n">
        <v>0</v>
      </c>
      <c r="N17" s="19" t="n">
        <f aca="false">(M17/H17)*100</f>
        <v>0</v>
      </c>
      <c r="O17" s="16" t="n">
        <v>10.99</v>
      </c>
      <c r="P17" s="16" t="n">
        <v>0</v>
      </c>
      <c r="Q17" s="20" t="s">
        <v>49</v>
      </c>
      <c r="R17" s="153" t="n">
        <v>44836</v>
      </c>
      <c r="S17" s="420"/>
      <c r="T17" s="20" t="n">
        <v>8.895</v>
      </c>
      <c r="U17" s="20"/>
      <c r="V17" s="16"/>
      <c r="W17" s="16"/>
      <c r="X17" s="16"/>
      <c r="Y17" s="16"/>
      <c r="Z17" s="16"/>
      <c r="AA17" s="89" t="s">
        <v>50</v>
      </c>
      <c r="AB17" s="89" t="n">
        <v>0</v>
      </c>
      <c r="AC17" s="36"/>
      <c r="AD17" s="20"/>
      <c r="AE17" s="20"/>
      <c r="AF17" s="20"/>
    </row>
    <row r="18" customFormat="false" ht="15.75" hidden="false" customHeight="false" outlineLevel="0" collapsed="false">
      <c r="A18" s="16" t="s">
        <v>42</v>
      </c>
      <c r="B18" s="16" t="s">
        <v>3427</v>
      </c>
      <c r="C18" s="71" t="s">
        <v>3455</v>
      </c>
      <c r="D18" s="16" t="s">
        <v>53</v>
      </c>
      <c r="E18" s="16" t="s">
        <v>3458</v>
      </c>
      <c r="F18" s="16" t="n">
        <v>970.88</v>
      </c>
      <c r="G18" s="16" t="n">
        <v>139</v>
      </c>
      <c r="H18" s="16" t="n">
        <v>873</v>
      </c>
      <c r="I18" s="16" t="n">
        <v>433</v>
      </c>
      <c r="J18" s="16" t="n">
        <v>440</v>
      </c>
      <c r="K18" s="16" t="n">
        <v>249</v>
      </c>
      <c r="L18" s="19" t="n">
        <f aca="false">(K18/H18)*100</f>
        <v>28.5223367697594</v>
      </c>
      <c r="M18" s="16" t="n">
        <v>75</v>
      </c>
      <c r="N18" s="19" t="n">
        <f aca="false">(M18/H18)*100</f>
        <v>8.59106529209622</v>
      </c>
      <c r="O18" s="16" t="n">
        <v>29.01</v>
      </c>
      <c r="P18" s="16" t="n">
        <v>0</v>
      </c>
      <c r="Q18" s="20" t="s">
        <v>49</v>
      </c>
      <c r="R18" s="153" t="n">
        <v>44836</v>
      </c>
      <c r="S18" s="420"/>
      <c r="T18" s="20" t="n">
        <v>7.9157</v>
      </c>
      <c r="U18" s="20"/>
      <c r="V18" s="16"/>
      <c r="W18" s="16"/>
      <c r="X18" s="16"/>
      <c r="Y18" s="16"/>
      <c r="Z18" s="16"/>
      <c r="AA18" s="89" t="s">
        <v>50</v>
      </c>
      <c r="AB18" s="89" t="n">
        <v>0</v>
      </c>
      <c r="AC18" s="36"/>
      <c r="AD18" s="20"/>
      <c r="AE18" s="20"/>
      <c r="AF18" s="20"/>
    </row>
    <row r="19" customFormat="false" ht="31.5" hidden="false" customHeight="false" outlineLevel="0" collapsed="false">
      <c r="A19" s="16" t="s">
        <v>42</v>
      </c>
      <c r="B19" s="16" t="s">
        <v>3427</v>
      </c>
      <c r="C19" s="71" t="s">
        <v>3455</v>
      </c>
      <c r="D19" s="16" t="s">
        <v>3459</v>
      </c>
      <c r="E19" s="16" t="s">
        <v>3460</v>
      </c>
      <c r="F19" s="16" t="n">
        <v>636.32</v>
      </c>
      <c r="G19" s="16" t="n">
        <v>86</v>
      </c>
      <c r="H19" s="16" t="n">
        <v>549</v>
      </c>
      <c r="I19" s="16" t="n">
        <v>281</v>
      </c>
      <c r="J19" s="16" t="n">
        <v>268</v>
      </c>
      <c r="K19" s="16" t="n">
        <v>267</v>
      </c>
      <c r="L19" s="19" t="n">
        <f aca="false">(K19/H19)*100</f>
        <v>48.6338797814208</v>
      </c>
      <c r="M19" s="16" t="n">
        <v>17</v>
      </c>
      <c r="N19" s="19" t="n">
        <f aca="false">(M19/H19)*100</f>
        <v>3.09653916211293</v>
      </c>
      <c r="O19" s="16" t="n">
        <v>128.06</v>
      </c>
      <c r="P19" s="16" t="n">
        <v>0</v>
      </c>
      <c r="Q19" s="20" t="s">
        <v>49</v>
      </c>
      <c r="R19" s="153" t="n">
        <v>44836</v>
      </c>
      <c r="S19" s="420"/>
      <c r="T19" s="20" t="n">
        <v>127.1925</v>
      </c>
      <c r="U19" s="20"/>
      <c r="V19" s="16"/>
      <c r="W19" s="16"/>
      <c r="X19" s="16"/>
      <c r="Y19" s="16"/>
      <c r="Z19" s="16"/>
      <c r="AA19" s="89" t="s">
        <v>50</v>
      </c>
      <c r="AB19" s="89" t="n">
        <v>10</v>
      </c>
      <c r="AC19" s="90" t="s">
        <v>3461</v>
      </c>
      <c r="AD19" s="20"/>
      <c r="AE19" s="20"/>
      <c r="AF19" s="20"/>
    </row>
    <row r="20" customFormat="false" ht="15.75" hidden="false" customHeight="false" outlineLevel="0" collapsed="false">
      <c r="A20" s="16"/>
      <c r="B20" s="16"/>
      <c r="C20" s="71"/>
      <c r="D20" s="16"/>
      <c r="E20" s="16"/>
      <c r="F20" s="16"/>
      <c r="G20" s="16"/>
      <c r="H20" s="16"/>
      <c r="I20" s="16"/>
      <c r="J20" s="16"/>
      <c r="K20" s="16"/>
      <c r="L20" s="19"/>
      <c r="M20" s="16"/>
      <c r="N20" s="19"/>
      <c r="O20" s="16"/>
      <c r="P20" s="16"/>
      <c r="Q20" s="228"/>
      <c r="R20" s="228"/>
      <c r="S20" s="420"/>
      <c r="T20" s="228"/>
      <c r="U20" s="20"/>
      <c r="V20" s="16"/>
      <c r="W20" s="16"/>
      <c r="X20" s="16"/>
      <c r="Y20" s="16"/>
      <c r="Z20" s="16"/>
      <c r="AA20" s="93" t="s">
        <v>50</v>
      </c>
      <c r="AB20" s="93" t="n">
        <v>10</v>
      </c>
      <c r="AC20" s="98" t="s">
        <v>3462</v>
      </c>
      <c r="AD20" s="228"/>
      <c r="AE20" s="228"/>
      <c r="AF20" s="20"/>
    </row>
    <row r="21" customFormat="false" ht="31.5" hidden="false" customHeight="false" outlineLevel="0" collapsed="false">
      <c r="A21" s="16" t="s">
        <v>42</v>
      </c>
      <c r="B21" s="16" t="s">
        <v>3427</v>
      </c>
      <c r="C21" s="71" t="s">
        <v>3455</v>
      </c>
      <c r="D21" s="16" t="s">
        <v>3463</v>
      </c>
      <c r="E21" s="16" t="s">
        <v>3464</v>
      </c>
      <c r="F21" s="16" t="n">
        <v>926.55</v>
      </c>
      <c r="G21" s="16" t="n">
        <v>216</v>
      </c>
      <c r="H21" s="16" t="n">
        <v>1313</v>
      </c>
      <c r="I21" s="16" t="n">
        <v>664</v>
      </c>
      <c r="J21" s="16" t="n">
        <v>649</v>
      </c>
      <c r="K21" s="16" t="n">
        <v>0</v>
      </c>
      <c r="L21" s="19" t="n">
        <f aca="false">(K21/H21)*100</f>
        <v>0</v>
      </c>
      <c r="M21" s="16" t="n">
        <v>0</v>
      </c>
      <c r="N21" s="19" t="n">
        <f aca="false">(M21/H21)*100</f>
        <v>0</v>
      </c>
      <c r="O21" s="16" t="n">
        <v>0</v>
      </c>
      <c r="P21" s="16" t="n">
        <v>0</v>
      </c>
      <c r="Q21" s="20" t="s">
        <v>49</v>
      </c>
      <c r="R21" s="153" t="n">
        <v>44836</v>
      </c>
      <c r="S21" s="420"/>
      <c r="T21" s="20"/>
      <c r="U21" s="20"/>
      <c r="V21" s="16"/>
      <c r="W21" s="16"/>
      <c r="X21" s="16"/>
      <c r="Y21" s="16"/>
      <c r="Z21" s="16"/>
      <c r="AA21" s="89" t="s">
        <v>50</v>
      </c>
      <c r="AB21" s="89" t="n">
        <v>10</v>
      </c>
      <c r="AC21" s="90" t="s">
        <v>3465</v>
      </c>
      <c r="AD21" s="20"/>
      <c r="AE21" s="20"/>
      <c r="AF21" s="20"/>
    </row>
    <row r="22" customFormat="false" ht="15.75" hidden="false" customHeight="false" outlineLevel="0" collapsed="false">
      <c r="A22" s="16"/>
      <c r="B22" s="16"/>
      <c r="C22" s="71"/>
      <c r="D22" s="16"/>
      <c r="E22" s="16"/>
      <c r="F22" s="16"/>
      <c r="G22" s="16"/>
      <c r="H22" s="16"/>
      <c r="I22" s="16"/>
      <c r="J22" s="16"/>
      <c r="K22" s="16"/>
      <c r="L22" s="19"/>
      <c r="M22" s="16"/>
      <c r="N22" s="19"/>
      <c r="O22" s="16"/>
      <c r="P22" s="16"/>
      <c r="Q22" s="228"/>
      <c r="R22" s="228"/>
      <c r="S22" s="420"/>
      <c r="T22" s="228"/>
      <c r="U22" s="20"/>
      <c r="V22" s="16"/>
      <c r="W22" s="16"/>
      <c r="X22" s="16"/>
      <c r="Y22" s="16"/>
      <c r="Z22" s="16"/>
      <c r="AA22" s="93" t="s">
        <v>50</v>
      </c>
      <c r="AB22" s="93" t="n">
        <v>10</v>
      </c>
      <c r="AC22" s="98" t="s">
        <v>3466</v>
      </c>
      <c r="AD22" s="228"/>
      <c r="AE22" s="228"/>
      <c r="AF22" s="20"/>
    </row>
    <row r="23" customFormat="false" ht="15.75" hidden="false" customHeight="false" outlineLevel="0" collapsed="false">
      <c r="A23" s="16" t="s">
        <v>42</v>
      </c>
      <c r="B23" s="16" t="s">
        <v>3427</v>
      </c>
      <c r="C23" s="71" t="s">
        <v>3455</v>
      </c>
      <c r="D23" s="16" t="s">
        <v>3467</v>
      </c>
      <c r="E23" s="16" t="s">
        <v>3468</v>
      </c>
      <c r="F23" s="16" t="n">
        <v>531.37</v>
      </c>
      <c r="G23" s="16" t="n">
        <v>120</v>
      </c>
      <c r="H23" s="16" t="n">
        <v>700</v>
      </c>
      <c r="I23" s="16" t="n">
        <v>357</v>
      </c>
      <c r="J23" s="16" t="n">
        <v>343</v>
      </c>
      <c r="K23" s="16" t="n">
        <v>104</v>
      </c>
      <c r="L23" s="19" t="n">
        <f aca="false">(K23/H23)*100</f>
        <v>14.8571428571429</v>
      </c>
      <c r="M23" s="16" t="n">
        <v>0</v>
      </c>
      <c r="N23" s="19" t="n">
        <f aca="false">(M23/H23)*100</f>
        <v>0</v>
      </c>
      <c r="O23" s="16" t="n">
        <v>0</v>
      </c>
      <c r="P23" s="16" t="n">
        <v>0</v>
      </c>
      <c r="Q23" s="20" t="s">
        <v>49</v>
      </c>
      <c r="R23" s="153" t="n">
        <v>44836</v>
      </c>
      <c r="S23" s="420"/>
      <c r="T23" s="20" t="n">
        <v>7.5596</v>
      </c>
      <c r="U23" s="20"/>
      <c r="V23" s="16"/>
      <c r="W23" s="16"/>
      <c r="X23" s="16"/>
      <c r="Y23" s="16"/>
      <c r="Z23" s="16"/>
      <c r="AA23" s="89" t="s">
        <v>50</v>
      </c>
      <c r="AB23" s="89" t="n">
        <v>0</v>
      </c>
      <c r="AC23" s="36"/>
      <c r="AD23" s="20"/>
      <c r="AE23" s="20"/>
      <c r="AF23" s="20"/>
    </row>
    <row r="24" customFormat="false" ht="31.5" hidden="false" customHeight="false" outlineLevel="0" collapsed="false">
      <c r="A24" s="16" t="s">
        <v>42</v>
      </c>
      <c r="B24" s="16" t="s">
        <v>3427</v>
      </c>
      <c r="C24" s="71" t="s">
        <v>3455</v>
      </c>
      <c r="D24" s="16" t="s">
        <v>3469</v>
      </c>
      <c r="E24" s="16" t="s">
        <v>3470</v>
      </c>
      <c r="F24" s="16" t="n">
        <v>1394.71</v>
      </c>
      <c r="G24" s="16" t="n">
        <v>132</v>
      </c>
      <c r="H24" s="16" t="n">
        <v>861</v>
      </c>
      <c r="I24" s="16" t="n">
        <v>462</v>
      </c>
      <c r="J24" s="16" t="n">
        <v>399</v>
      </c>
      <c r="K24" s="16" t="n">
        <v>59</v>
      </c>
      <c r="L24" s="19" t="n">
        <f aca="false">(K24/H24)*100</f>
        <v>6.85249709639954</v>
      </c>
      <c r="M24" s="16" t="n">
        <v>0</v>
      </c>
      <c r="N24" s="19" t="n">
        <f aca="false">(M24/H24)*100</f>
        <v>0</v>
      </c>
      <c r="O24" s="16" t="n">
        <v>0</v>
      </c>
      <c r="P24" s="16" t="n">
        <v>0</v>
      </c>
      <c r="Q24" s="20" t="s">
        <v>49</v>
      </c>
      <c r="R24" s="153" t="n">
        <v>44836</v>
      </c>
      <c r="S24" s="420"/>
      <c r="T24" s="20" t="n">
        <v>39.86</v>
      </c>
      <c r="U24" s="20"/>
      <c r="V24" s="16"/>
      <c r="W24" s="16"/>
      <c r="X24" s="16"/>
      <c r="Y24" s="16"/>
      <c r="Z24" s="16"/>
      <c r="AA24" s="89" t="s">
        <v>50</v>
      </c>
      <c r="AB24" s="89" t="n">
        <v>5</v>
      </c>
      <c r="AC24" s="90" t="s">
        <v>3471</v>
      </c>
      <c r="AD24" s="20"/>
      <c r="AE24" s="20"/>
      <c r="AF24" s="20"/>
    </row>
    <row r="25" customFormat="false" ht="15.75" hidden="false" customHeight="false" outlineLevel="0" collapsed="false">
      <c r="A25" s="16" t="s">
        <v>42</v>
      </c>
      <c r="B25" s="16" t="s">
        <v>3427</v>
      </c>
      <c r="C25" s="71" t="s">
        <v>3472</v>
      </c>
      <c r="D25" s="72" t="s">
        <v>3473</v>
      </c>
      <c r="E25" s="16" t="s">
        <v>3474</v>
      </c>
      <c r="F25" s="16" t="n">
        <v>546.29</v>
      </c>
      <c r="G25" s="16" t="n">
        <v>119</v>
      </c>
      <c r="H25" s="16" t="n">
        <v>744</v>
      </c>
      <c r="I25" s="16" t="n">
        <v>392</v>
      </c>
      <c r="J25" s="16" t="n">
        <v>352</v>
      </c>
      <c r="K25" s="16" t="n">
        <v>292</v>
      </c>
      <c r="L25" s="19" t="n">
        <f aca="false">(K25/H25)*100</f>
        <v>39.247311827957</v>
      </c>
      <c r="M25" s="16" t="n">
        <v>46</v>
      </c>
      <c r="N25" s="19" t="n">
        <f aca="false">(M25/H25)*100</f>
        <v>6.18279569892473</v>
      </c>
      <c r="O25" s="16" t="n">
        <v>100.01</v>
      </c>
      <c r="P25" s="16" t="n">
        <v>0</v>
      </c>
      <c r="Q25" s="20"/>
      <c r="R25" s="20"/>
      <c r="S25" s="420"/>
      <c r="T25" s="20"/>
      <c r="U25" s="20"/>
      <c r="V25" s="16"/>
      <c r="W25" s="16"/>
      <c r="X25" s="16"/>
      <c r="Y25" s="16"/>
      <c r="Z25" s="16"/>
      <c r="AA25" s="89"/>
      <c r="AB25" s="89"/>
      <c r="AC25" s="36"/>
      <c r="AD25" s="20"/>
      <c r="AE25" s="20"/>
      <c r="AF25" s="20"/>
    </row>
    <row r="26" customFormat="false" ht="15.75" hidden="false" customHeight="false" outlineLevel="0" collapsed="false">
      <c r="A26" s="16" t="s">
        <v>42</v>
      </c>
      <c r="B26" s="16" t="s">
        <v>3427</v>
      </c>
      <c r="C26" s="71" t="s">
        <v>3472</v>
      </c>
      <c r="D26" s="16" t="s">
        <v>129</v>
      </c>
      <c r="E26" s="16" t="s">
        <v>3475</v>
      </c>
      <c r="F26" s="16" t="n">
        <v>383.6</v>
      </c>
      <c r="G26" s="16" t="n">
        <v>98</v>
      </c>
      <c r="H26" s="16" t="n">
        <v>591</v>
      </c>
      <c r="I26" s="16" t="n">
        <v>288</v>
      </c>
      <c r="J26" s="16" t="n">
        <v>303</v>
      </c>
      <c r="K26" s="16" t="n">
        <v>0</v>
      </c>
      <c r="L26" s="19" t="n">
        <f aca="false">(K26/H26)*100</f>
        <v>0</v>
      </c>
      <c r="M26" s="16" t="n">
        <v>0</v>
      </c>
      <c r="N26" s="19" t="n">
        <f aca="false">(M26/H26)*100</f>
        <v>0</v>
      </c>
      <c r="O26" s="16" t="n">
        <v>0</v>
      </c>
      <c r="P26" s="16" t="n">
        <v>0</v>
      </c>
      <c r="Q26" s="20"/>
      <c r="R26" s="20"/>
      <c r="S26" s="420"/>
      <c r="T26" s="20"/>
      <c r="U26" s="20"/>
      <c r="V26" s="16"/>
      <c r="W26" s="16"/>
      <c r="X26" s="16"/>
      <c r="Y26" s="16"/>
      <c r="Z26" s="16"/>
      <c r="AA26" s="89"/>
      <c r="AB26" s="89"/>
      <c r="AC26" s="36"/>
      <c r="AD26" s="20"/>
      <c r="AE26" s="20"/>
      <c r="AF26" s="20"/>
    </row>
    <row r="27" customFormat="false" ht="15.75" hidden="false" customHeight="false" outlineLevel="0" collapsed="false">
      <c r="A27" s="16" t="s">
        <v>42</v>
      </c>
      <c r="B27" s="16" t="s">
        <v>3427</v>
      </c>
      <c r="C27" s="71" t="s">
        <v>3472</v>
      </c>
      <c r="D27" s="16" t="s">
        <v>3476</v>
      </c>
      <c r="E27" s="16" t="s">
        <v>3477</v>
      </c>
      <c r="F27" s="16" t="n">
        <v>462.25</v>
      </c>
      <c r="G27" s="16" t="n">
        <v>131</v>
      </c>
      <c r="H27" s="16" t="n">
        <v>666</v>
      </c>
      <c r="I27" s="16" t="n">
        <v>334</v>
      </c>
      <c r="J27" s="16" t="n">
        <v>332</v>
      </c>
      <c r="K27" s="16" t="n">
        <v>0</v>
      </c>
      <c r="L27" s="19" t="n">
        <f aca="false">(K27/H27)*100</f>
        <v>0</v>
      </c>
      <c r="M27" s="16" t="n">
        <v>0</v>
      </c>
      <c r="N27" s="19" t="n">
        <f aca="false">(M27/H27)*100</f>
        <v>0</v>
      </c>
      <c r="O27" s="16" t="n">
        <v>0</v>
      </c>
      <c r="P27" s="16" t="n">
        <v>0</v>
      </c>
      <c r="Q27" s="20"/>
      <c r="R27" s="20"/>
      <c r="S27" s="420"/>
      <c r="T27" s="20"/>
      <c r="U27" s="20"/>
      <c r="V27" s="16"/>
      <c r="W27" s="16"/>
      <c r="X27" s="16"/>
      <c r="Y27" s="16"/>
      <c r="Z27" s="16"/>
      <c r="AA27" s="89"/>
      <c r="AB27" s="89"/>
      <c r="AC27" s="36"/>
      <c r="AD27" s="20"/>
      <c r="AE27" s="20"/>
      <c r="AF27" s="20"/>
    </row>
    <row r="28" customFormat="false" ht="15.75" hidden="false" customHeight="false" outlineLevel="0" collapsed="false">
      <c r="A28" s="16" t="s">
        <v>42</v>
      </c>
      <c r="B28" s="16" t="s">
        <v>3427</v>
      </c>
      <c r="C28" s="71" t="s">
        <v>3472</v>
      </c>
      <c r="D28" s="16" t="s">
        <v>3478</v>
      </c>
      <c r="E28" s="16" t="s">
        <v>3479</v>
      </c>
      <c r="F28" s="16" t="n">
        <v>508.01</v>
      </c>
      <c r="G28" s="16" t="n">
        <v>54</v>
      </c>
      <c r="H28" s="16" t="n">
        <v>395</v>
      </c>
      <c r="I28" s="16" t="n">
        <v>208</v>
      </c>
      <c r="J28" s="16" t="n">
        <v>187</v>
      </c>
      <c r="K28" s="16" t="n">
        <v>0</v>
      </c>
      <c r="L28" s="19" t="n">
        <f aca="false">(K28/H28)*100</f>
        <v>0</v>
      </c>
      <c r="M28" s="16" t="n">
        <v>0</v>
      </c>
      <c r="N28" s="19" t="n">
        <f aca="false">(M28/H28)*100</f>
        <v>0</v>
      </c>
      <c r="O28" s="16" t="n">
        <v>0</v>
      </c>
      <c r="P28" s="16" t="n">
        <v>0</v>
      </c>
      <c r="Q28" s="20"/>
      <c r="R28" s="20"/>
      <c r="S28" s="420"/>
      <c r="T28" s="20"/>
      <c r="U28" s="20"/>
      <c r="V28" s="16"/>
      <c r="W28" s="16"/>
      <c r="X28" s="16"/>
      <c r="Y28" s="16"/>
      <c r="Z28" s="16"/>
      <c r="AA28" s="89"/>
      <c r="AB28" s="89"/>
      <c r="AC28" s="36"/>
      <c r="AD28" s="20"/>
      <c r="AE28" s="20"/>
      <c r="AF28" s="20"/>
    </row>
    <row r="29" customFormat="false" ht="15.75" hidden="false" customHeight="false" outlineLevel="0" collapsed="false">
      <c r="A29" s="16" t="s">
        <v>42</v>
      </c>
      <c r="B29" s="16" t="s">
        <v>3427</v>
      </c>
      <c r="C29" s="71" t="s">
        <v>3472</v>
      </c>
      <c r="D29" s="16" t="s">
        <v>1710</v>
      </c>
      <c r="E29" s="16" t="s">
        <v>3480</v>
      </c>
      <c r="F29" s="16" t="n">
        <v>427.15</v>
      </c>
      <c r="G29" s="16" t="n">
        <v>70</v>
      </c>
      <c r="H29" s="16" t="n">
        <v>364</v>
      </c>
      <c r="I29" s="16" t="n">
        <v>182</v>
      </c>
      <c r="J29" s="16" t="n">
        <v>182</v>
      </c>
      <c r="K29" s="16" t="n">
        <v>0</v>
      </c>
      <c r="L29" s="19" t="n">
        <f aca="false">(K29/H29)*100</f>
        <v>0</v>
      </c>
      <c r="M29" s="16" t="n">
        <v>0</v>
      </c>
      <c r="N29" s="19" t="n">
        <f aca="false">(M29/H29)*100</f>
        <v>0</v>
      </c>
      <c r="O29" s="16" t="n">
        <v>0</v>
      </c>
      <c r="P29" s="16" t="n">
        <v>0</v>
      </c>
      <c r="Q29" s="20"/>
      <c r="R29" s="20"/>
      <c r="S29" s="420"/>
      <c r="T29" s="20"/>
      <c r="U29" s="20"/>
      <c r="V29" s="16"/>
      <c r="W29" s="16"/>
      <c r="X29" s="16"/>
      <c r="Y29" s="16"/>
      <c r="Z29" s="16"/>
      <c r="AA29" s="89"/>
      <c r="AB29" s="89"/>
      <c r="AC29" s="36"/>
      <c r="AD29" s="20"/>
      <c r="AE29" s="20"/>
      <c r="AF29" s="20"/>
    </row>
    <row r="30" customFormat="false" ht="15.75" hidden="false" customHeight="false" outlineLevel="0" collapsed="false">
      <c r="A30" s="16" t="s">
        <v>42</v>
      </c>
      <c r="B30" s="16" t="s">
        <v>3427</v>
      </c>
      <c r="C30" s="71" t="s">
        <v>3472</v>
      </c>
      <c r="D30" s="16" t="s">
        <v>3481</v>
      </c>
      <c r="E30" s="16" t="s">
        <v>3482</v>
      </c>
      <c r="F30" s="16" t="n">
        <v>431.03</v>
      </c>
      <c r="G30" s="16" t="n">
        <v>84</v>
      </c>
      <c r="H30" s="16" t="n">
        <v>543</v>
      </c>
      <c r="I30" s="16" t="n">
        <v>270</v>
      </c>
      <c r="J30" s="16" t="n">
        <v>273</v>
      </c>
      <c r="K30" s="16" t="n">
        <v>316</v>
      </c>
      <c r="L30" s="19" t="n">
        <f aca="false">(K30/H30)*100</f>
        <v>58.195211786372</v>
      </c>
      <c r="M30" s="16" t="n">
        <v>41</v>
      </c>
      <c r="N30" s="19" t="n">
        <f aca="false">(M30/H30)*100</f>
        <v>7.55064456721915</v>
      </c>
      <c r="O30" s="16" t="n">
        <v>31</v>
      </c>
      <c r="P30" s="16" t="n">
        <v>0</v>
      </c>
      <c r="Q30" s="20"/>
      <c r="R30" s="20"/>
      <c r="S30" s="420"/>
      <c r="T30" s="20"/>
      <c r="U30" s="20"/>
      <c r="V30" s="16"/>
      <c r="W30" s="16"/>
      <c r="X30" s="16"/>
      <c r="Y30" s="16"/>
      <c r="Z30" s="16"/>
      <c r="AA30" s="89"/>
      <c r="AB30" s="89"/>
      <c r="AC30" s="36"/>
      <c r="AD30" s="20"/>
      <c r="AE30" s="20"/>
      <c r="AF30" s="20"/>
    </row>
    <row r="31" customFormat="false" ht="15.75" hidden="false" customHeight="false" outlineLevel="0" collapsed="false">
      <c r="A31" s="16" t="s">
        <v>42</v>
      </c>
      <c r="B31" s="16" t="s">
        <v>3427</v>
      </c>
      <c r="C31" s="71" t="s">
        <v>3483</v>
      </c>
      <c r="D31" s="72" t="s">
        <v>3483</v>
      </c>
      <c r="E31" s="16" t="s">
        <v>3484</v>
      </c>
      <c r="F31" s="16" t="n">
        <v>1104.82</v>
      </c>
      <c r="G31" s="16" t="n">
        <v>242</v>
      </c>
      <c r="H31" s="16" t="n">
        <v>1513</v>
      </c>
      <c r="I31" s="16" t="n">
        <v>792</v>
      </c>
      <c r="J31" s="16" t="n">
        <v>721</v>
      </c>
      <c r="K31" s="16" t="n">
        <v>203</v>
      </c>
      <c r="L31" s="19" t="n">
        <f aca="false">(K31/H31)*100</f>
        <v>13.4170522141441</v>
      </c>
      <c r="M31" s="16" t="n">
        <v>231</v>
      </c>
      <c r="N31" s="19" t="n">
        <f aca="false">(M31/H31)*100</f>
        <v>15.2676801057502</v>
      </c>
      <c r="O31" s="16" t="n">
        <v>1</v>
      </c>
      <c r="P31" s="16" t="n">
        <v>0</v>
      </c>
      <c r="Q31" s="20"/>
      <c r="R31" s="20"/>
      <c r="S31" s="420"/>
      <c r="T31" s="20"/>
      <c r="U31" s="20"/>
      <c r="V31" s="16"/>
      <c r="W31" s="16"/>
      <c r="X31" s="16"/>
      <c r="Y31" s="16"/>
      <c r="Z31" s="16"/>
      <c r="AA31" s="89"/>
      <c r="AB31" s="89"/>
      <c r="AC31" s="36"/>
      <c r="AD31" s="20"/>
      <c r="AE31" s="20"/>
      <c r="AF31" s="20"/>
    </row>
    <row r="32" customFormat="false" ht="15.75" hidden="false" customHeight="false" outlineLevel="0" collapsed="false">
      <c r="A32" s="16" t="s">
        <v>42</v>
      </c>
      <c r="B32" s="16" t="s">
        <v>3427</v>
      </c>
      <c r="C32" s="71" t="s">
        <v>3483</v>
      </c>
      <c r="D32" s="16" t="s">
        <v>3485</v>
      </c>
      <c r="E32" s="16" t="s">
        <v>3486</v>
      </c>
      <c r="F32" s="16" t="n">
        <v>1062.43</v>
      </c>
      <c r="G32" s="16" t="n">
        <v>118</v>
      </c>
      <c r="H32" s="16" t="n">
        <v>692</v>
      </c>
      <c r="I32" s="16" t="n">
        <v>344</v>
      </c>
      <c r="J32" s="16" t="n">
        <v>348</v>
      </c>
      <c r="K32" s="16" t="n">
        <v>0</v>
      </c>
      <c r="L32" s="19" t="n">
        <f aca="false">(K32/H32)*100</f>
        <v>0</v>
      </c>
      <c r="M32" s="16" t="n">
        <v>0</v>
      </c>
      <c r="N32" s="19" t="n">
        <f aca="false">(M32/H32)*100</f>
        <v>0</v>
      </c>
      <c r="O32" s="16" t="n">
        <v>0</v>
      </c>
      <c r="P32" s="16" t="n">
        <v>0</v>
      </c>
      <c r="Q32" s="20"/>
      <c r="R32" s="20"/>
      <c r="S32" s="420"/>
      <c r="T32" s="20"/>
      <c r="U32" s="20"/>
      <c r="V32" s="16"/>
      <c r="W32" s="16"/>
      <c r="X32" s="16"/>
      <c r="Y32" s="16"/>
      <c r="Z32" s="16"/>
      <c r="AA32" s="89"/>
      <c r="AB32" s="89"/>
      <c r="AC32" s="36"/>
      <c r="AD32" s="20"/>
      <c r="AE32" s="20"/>
      <c r="AF32" s="20"/>
    </row>
    <row r="33" customFormat="false" ht="15.75" hidden="false" customHeight="false" outlineLevel="0" collapsed="false">
      <c r="A33" s="16" t="s">
        <v>42</v>
      </c>
      <c r="B33" s="16" t="s">
        <v>3427</v>
      </c>
      <c r="C33" s="71" t="s">
        <v>3483</v>
      </c>
      <c r="D33" s="16" t="s">
        <v>3487</v>
      </c>
      <c r="E33" s="16" t="s">
        <v>3488</v>
      </c>
      <c r="F33" s="16" t="n">
        <v>1177.95</v>
      </c>
      <c r="G33" s="16" t="n">
        <v>99</v>
      </c>
      <c r="H33" s="16" t="n">
        <v>601</v>
      </c>
      <c r="I33" s="16" t="n">
        <v>311</v>
      </c>
      <c r="J33" s="16" t="n">
        <v>290</v>
      </c>
      <c r="K33" s="16" t="n">
        <v>0</v>
      </c>
      <c r="L33" s="19" t="n">
        <f aca="false">(K33/H33)*100</f>
        <v>0</v>
      </c>
      <c r="M33" s="16" t="n">
        <v>0</v>
      </c>
      <c r="N33" s="19" t="n">
        <f aca="false">(M33/H33)*100</f>
        <v>0</v>
      </c>
      <c r="O33" s="16" t="n">
        <v>12.26</v>
      </c>
      <c r="P33" s="16" t="n">
        <v>0</v>
      </c>
      <c r="Q33" s="20"/>
      <c r="R33" s="20"/>
      <c r="S33" s="420"/>
      <c r="T33" s="20"/>
      <c r="U33" s="20"/>
      <c r="V33" s="16"/>
      <c r="W33" s="16"/>
      <c r="X33" s="16"/>
      <c r="Y33" s="16"/>
      <c r="Z33" s="16"/>
      <c r="AA33" s="89"/>
      <c r="AB33" s="89"/>
      <c r="AC33" s="36"/>
      <c r="AD33" s="20"/>
      <c r="AE33" s="20"/>
      <c r="AF33" s="20"/>
    </row>
    <row r="34" customFormat="false" ht="34.5" hidden="false" customHeight="false" outlineLevel="0" collapsed="false">
      <c r="A34" s="16" t="s">
        <v>42</v>
      </c>
      <c r="B34" s="16" t="s">
        <v>3427</v>
      </c>
      <c r="C34" s="71" t="s">
        <v>3489</v>
      </c>
      <c r="D34" s="72" t="s">
        <v>3490</v>
      </c>
      <c r="E34" s="16" t="s">
        <v>3491</v>
      </c>
      <c r="F34" s="16" t="n">
        <v>1130.61</v>
      </c>
      <c r="G34" s="16" t="n">
        <v>381</v>
      </c>
      <c r="H34" s="16" t="n">
        <v>2516</v>
      </c>
      <c r="I34" s="16" t="n">
        <v>1323</v>
      </c>
      <c r="J34" s="16" t="n">
        <v>1193</v>
      </c>
      <c r="K34" s="16" t="n">
        <v>818</v>
      </c>
      <c r="L34" s="19" t="n">
        <f aca="false">(K34/H34)*100</f>
        <v>32.5119236883943</v>
      </c>
      <c r="M34" s="16" t="n">
        <v>193</v>
      </c>
      <c r="N34" s="19" t="n">
        <f aca="false">(M34/H34)*100</f>
        <v>7.67090620031796</v>
      </c>
      <c r="O34" s="16" t="n">
        <v>0</v>
      </c>
      <c r="P34" s="16" t="n">
        <v>0</v>
      </c>
      <c r="Q34" s="53" t="s">
        <v>49</v>
      </c>
      <c r="R34" s="53" t="n">
        <v>45737</v>
      </c>
      <c r="S34" s="420"/>
      <c r="T34" s="45" t="n">
        <v>22.2</v>
      </c>
      <c r="U34" s="20"/>
      <c r="V34" s="16"/>
      <c r="W34" s="16"/>
      <c r="X34" s="16"/>
      <c r="Y34" s="16"/>
      <c r="Z34" s="16"/>
      <c r="AA34" s="119" t="s">
        <v>50</v>
      </c>
      <c r="AB34" s="119" t="n">
        <v>4</v>
      </c>
      <c r="AC34" s="127" t="s">
        <v>3492</v>
      </c>
      <c r="AD34" s="45"/>
      <c r="AE34" s="45"/>
      <c r="AF34" s="20" t="s">
        <v>52</v>
      </c>
    </row>
    <row r="35" customFormat="false" ht="15.75" hidden="false" customHeight="false" outlineLevel="0" collapsed="false">
      <c r="A35" s="16" t="s">
        <v>42</v>
      </c>
      <c r="B35" s="16" t="s">
        <v>3427</v>
      </c>
      <c r="C35" s="71" t="s">
        <v>3489</v>
      </c>
      <c r="D35" s="16" t="s">
        <v>1653</v>
      </c>
      <c r="E35" s="16" t="s">
        <v>3493</v>
      </c>
      <c r="F35" s="16" t="n">
        <v>607.41</v>
      </c>
      <c r="G35" s="16" t="n">
        <v>62</v>
      </c>
      <c r="H35" s="16" t="n">
        <v>311</v>
      </c>
      <c r="I35" s="16" t="n">
        <v>171</v>
      </c>
      <c r="J35" s="16" t="n">
        <v>140</v>
      </c>
      <c r="K35" s="16" t="n">
        <v>61</v>
      </c>
      <c r="L35" s="19" t="n">
        <f aca="false">(K35/H35)*100</f>
        <v>19.6141479099678</v>
      </c>
      <c r="M35" s="16" t="n">
        <v>50</v>
      </c>
      <c r="N35" s="19" t="n">
        <f aca="false">(M35/H35)*100</f>
        <v>16.0771704180064</v>
      </c>
      <c r="O35" s="16" t="n">
        <v>0</v>
      </c>
      <c r="P35" s="16" t="n">
        <v>0</v>
      </c>
      <c r="Q35" s="53" t="s">
        <v>49</v>
      </c>
      <c r="R35" s="53" t="n">
        <v>45737</v>
      </c>
      <c r="S35" s="420"/>
      <c r="T35" s="45" t="n">
        <v>0</v>
      </c>
      <c r="U35" s="45"/>
      <c r="V35" s="16"/>
      <c r="W35" s="16"/>
      <c r="X35" s="16"/>
      <c r="Y35" s="16"/>
      <c r="Z35" s="16"/>
      <c r="AA35" s="119" t="s">
        <v>50</v>
      </c>
      <c r="AB35" s="119"/>
      <c r="AC35" s="128"/>
      <c r="AD35" s="45"/>
      <c r="AE35" s="45"/>
      <c r="AF35" s="20" t="s">
        <v>52</v>
      </c>
    </row>
    <row r="36" customFormat="false" ht="17.25" hidden="false" customHeight="false" outlineLevel="0" collapsed="false">
      <c r="A36" s="16" t="s">
        <v>42</v>
      </c>
      <c r="B36" s="16" t="s">
        <v>3427</v>
      </c>
      <c r="C36" s="71" t="s">
        <v>3489</v>
      </c>
      <c r="D36" s="16" t="s">
        <v>3494</v>
      </c>
      <c r="E36" s="16" t="s">
        <v>3495</v>
      </c>
      <c r="F36" s="16" t="n">
        <v>466.28</v>
      </c>
      <c r="G36" s="16" t="n">
        <v>84</v>
      </c>
      <c r="H36" s="16" t="n">
        <v>590</v>
      </c>
      <c r="I36" s="16" t="n">
        <v>299</v>
      </c>
      <c r="J36" s="16" t="n">
        <v>291</v>
      </c>
      <c r="K36" s="16" t="n">
        <v>0</v>
      </c>
      <c r="L36" s="19" t="n">
        <f aca="false">(K36/H36)*100</f>
        <v>0</v>
      </c>
      <c r="M36" s="16" t="n">
        <v>0</v>
      </c>
      <c r="N36" s="19" t="n">
        <f aca="false">(M36/H36)*100</f>
        <v>0</v>
      </c>
      <c r="O36" s="16" t="n">
        <v>0</v>
      </c>
      <c r="P36" s="16" t="n">
        <v>0</v>
      </c>
      <c r="Q36" s="53" t="s">
        <v>49</v>
      </c>
      <c r="R36" s="53" t="n">
        <v>45737</v>
      </c>
      <c r="S36" s="420"/>
      <c r="T36" s="45" t="n">
        <v>0</v>
      </c>
      <c r="U36" s="45"/>
      <c r="V36" s="16"/>
      <c r="W36" s="16"/>
      <c r="X36" s="16"/>
      <c r="Y36" s="16"/>
      <c r="Z36" s="16"/>
      <c r="AA36" s="119" t="s">
        <v>50</v>
      </c>
      <c r="AB36" s="119"/>
      <c r="AC36" s="127"/>
      <c r="AD36" s="45"/>
      <c r="AE36" s="45"/>
      <c r="AF36" s="20" t="s">
        <v>52</v>
      </c>
    </row>
    <row r="37" customFormat="false" ht="15.75" hidden="false" customHeight="false" outlineLevel="0" collapsed="false">
      <c r="A37" s="16" t="s">
        <v>42</v>
      </c>
      <c r="B37" s="16" t="s">
        <v>3427</v>
      </c>
      <c r="C37" s="71" t="s">
        <v>3489</v>
      </c>
      <c r="D37" s="16" t="s">
        <v>3496</v>
      </c>
      <c r="E37" s="16" t="s">
        <v>3497</v>
      </c>
      <c r="F37" s="16" t="n">
        <v>252.17</v>
      </c>
      <c r="G37" s="16" t="n">
        <v>59</v>
      </c>
      <c r="H37" s="16" t="n">
        <v>372</v>
      </c>
      <c r="I37" s="16" t="n">
        <v>193</v>
      </c>
      <c r="J37" s="16" t="n">
        <v>179</v>
      </c>
      <c r="K37" s="16" t="n">
        <v>0</v>
      </c>
      <c r="L37" s="19" t="n">
        <f aca="false">(K37/H37)*100</f>
        <v>0</v>
      </c>
      <c r="M37" s="16" t="n">
        <v>0</v>
      </c>
      <c r="N37" s="19" t="n">
        <f aca="false">(M37/H37)*100</f>
        <v>0</v>
      </c>
      <c r="O37" s="16" t="n">
        <v>0</v>
      </c>
      <c r="P37" s="16" t="n">
        <v>0</v>
      </c>
      <c r="Q37" s="53" t="s">
        <v>49</v>
      </c>
      <c r="R37" s="53" t="n">
        <v>45737</v>
      </c>
      <c r="S37" s="420"/>
      <c r="T37" s="45" t="n">
        <v>0</v>
      </c>
      <c r="U37" s="45"/>
      <c r="V37" s="16"/>
      <c r="W37" s="16"/>
      <c r="X37" s="16"/>
      <c r="Y37" s="16"/>
      <c r="Z37" s="16"/>
      <c r="AA37" s="119" t="s">
        <v>50</v>
      </c>
      <c r="AB37" s="119"/>
      <c r="AC37" s="128"/>
      <c r="AD37" s="45"/>
      <c r="AE37" s="45"/>
      <c r="AF37" s="20" t="s">
        <v>52</v>
      </c>
    </row>
    <row r="38" customFormat="false" ht="15.75" hidden="false" customHeight="false" outlineLevel="0" collapsed="false">
      <c r="A38" s="16" t="s">
        <v>42</v>
      </c>
      <c r="B38" s="16" t="s">
        <v>3427</v>
      </c>
      <c r="C38" s="71" t="s">
        <v>3489</v>
      </c>
      <c r="D38" s="16" t="s">
        <v>474</v>
      </c>
      <c r="E38" s="16" t="s">
        <v>3498</v>
      </c>
      <c r="F38" s="16" t="n">
        <v>334.05</v>
      </c>
      <c r="G38" s="16" t="n">
        <v>50</v>
      </c>
      <c r="H38" s="16" t="n">
        <v>307</v>
      </c>
      <c r="I38" s="16" t="n">
        <v>156</v>
      </c>
      <c r="J38" s="16" t="n">
        <v>151</v>
      </c>
      <c r="K38" s="16" t="n">
        <v>0</v>
      </c>
      <c r="L38" s="19" t="n">
        <f aca="false">(K38/H38)*100</f>
        <v>0</v>
      </c>
      <c r="M38" s="16" t="n">
        <v>0</v>
      </c>
      <c r="N38" s="19" t="n">
        <f aca="false">(M38/H38)*100</f>
        <v>0</v>
      </c>
      <c r="O38" s="16" t="n">
        <v>0</v>
      </c>
      <c r="P38" s="16" t="n">
        <v>0</v>
      </c>
      <c r="Q38" s="53" t="s">
        <v>49</v>
      </c>
      <c r="R38" s="53" t="n">
        <v>45737</v>
      </c>
      <c r="S38" s="420"/>
      <c r="T38" s="45" t="n">
        <v>0</v>
      </c>
      <c r="U38" s="45"/>
      <c r="V38" s="16"/>
      <c r="W38" s="16"/>
      <c r="X38" s="16"/>
      <c r="Y38" s="16"/>
      <c r="Z38" s="16"/>
      <c r="AA38" s="119" t="s">
        <v>50</v>
      </c>
      <c r="AB38" s="119"/>
      <c r="AC38" s="340"/>
      <c r="AD38" s="45"/>
      <c r="AE38" s="45"/>
      <c r="AF38" s="20" t="s">
        <v>52</v>
      </c>
    </row>
    <row r="39" customFormat="false" ht="15.75" hidden="false" customHeight="false" outlineLevel="0" collapsed="false">
      <c r="A39" s="16" t="s">
        <v>42</v>
      </c>
      <c r="B39" s="16" t="s">
        <v>3427</v>
      </c>
      <c r="C39" s="71" t="s">
        <v>3489</v>
      </c>
      <c r="D39" s="16" t="s">
        <v>784</v>
      </c>
      <c r="E39" s="16" t="s">
        <v>3499</v>
      </c>
      <c r="F39" s="16" t="n">
        <v>145.3</v>
      </c>
      <c r="G39" s="16" t="n">
        <v>73</v>
      </c>
      <c r="H39" s="16" t="n">
        <v>359</v>
      </c>
      <c r="I39" s="16" t="n">
        <v>180</v>
      </c>
      <c r="J39" s="16" t="n">
        <v>179</v>
      </c>
      <c r="K39" s="16" t="n">
        <v>0</v>
      </c>
      <c r="L39" s="19" t="n">
        <f aca="false">(K39/H39)*100</f>
        <v>0</v>
      </c>
      <c r="M39" s="16" t="n">
        <v>0</v>
      </c>
      <c r="N39" s="19" t="n">
        <f aca="false">(M39/H39)*100</f>
        <v>0</v>
      </c>
      <c r="O39" s="16" t="n">
        <v>0</v>
      </c>
      <c r="P39" s="16" t="n">
        <v>0</v>
      </c>
      <c r="Q39" s="425" t="s">
        <v>49</v>
      </c>
      <c r="R39" s="425" t="n">
        <v>45737</v>
      </c>
      <c r="S39" s="420"/>
      <c r="T39" s="426" t="n">
        <v>0</v>
      </c>
      <c r="U39" s="20"/>
      <c r="V39" s="16"/>
      <c r="W39" s="16"/>
      <c r="X39" s="16"/>
      <c r="Y39" s="16"/>
      <c r="Z39" s="16"/>
      <c r="AA39" s="427" t="s">
        <v>50</v>
      </c>
      <c r="AB39" s="427"/>
      <c r="AC39" s="428"/>
      <c r="AD39" s="426"/>
      <c r="AE39" s="426"/>
      <c r="AF39" s="20" t="s">
        <v>52</v>
      </c>
    </row>
    <row r="40" customFormat="false" ht="15.75" hidden="false" customHeight="false" outlineLevel="0" collapsed="false">
      <c r="A40" s="16" t="s">
        <v>42</v>
      </c>
      <c r="B40" s="16" t="s">
        <v>3427</v>
      </c>
      <c r="C40" s="71" t="s">
        <v>3500</v>
      </c>
      <c r="D40" s="72" t="s">
        <v>3501</v>
      </c>
      <c r="E40" s="16" t="s">
        <v>3502</v>
      </c>
      <c r="F40" s="16" t="n">
        <v>3644.69</v>
      </c>
      <c r="G40" s="16" t="n">
        <v>698</v>
      </c>
      <c r="H40" s="16" t="n">
        <v>4206</v>
      </c>
      <c r="I40" s="16" t="n">
        <v>2162</v>
      </c>
      <c r="J40" s="16" t="n">
        <v>2044</v>
      </c>
      <c r="K40" s="16" t="n">
        <v>327</v>
      </c>
      <c r="L40" s="19" t="n">
        <f aca="false">(K40/H40)*100</f>
        <v>7.77460770328103</v>
      </c>
      <c r="M40" s="16" t="n">
        <v>211</v>
      </c>
      <c r="N40" s="19" t="n">
        <f aca="false">(M40/H40)*100</f>
        <v>5.01664289110794</v>
      </c>
      <c r="O40" s="16" t="n">
        <v>100.95</v>
      </c>
      <c r="P40" s="16" t="n">
        <v>0</v>
      </c>
      <c r="Q40" s="20"/>
      <c r="R40" s="20"/>
      <c r="S40" s="420"/>
      <c r="T40" s="20"/>
      <c r="U40" s="20"/>
      <c r="V40" s="16"/>
      <c r="W40" s="16"/>
      <c r="X40" s="16"/>
      <c r="Y40" s="16"/>
      <c r="Z40" s="16"/>
      <c r="AA40" s="89"/>
      <c r="AB40" s="89"/>
      <c r="AC40" s="36"/>
      <c r="AD40" s="20"/>
      <c r="AE40" s="20"/>
      <c r="AF40" s="20"/>
    </row>
    <row r="41" customFormat="false" ht="15.75" hidden="false" customHeight="false" outlineLevel="0" collapsed="false">
      <c r="A41" s="16" t="s">
        <v>42</v>
      </c>
      <c r="B41" s="16" t="s">
        <v>3427</v>
      </c>
      <c r="C41" s="71" t="s">
        <v>3500</v>
      </c>
      <c r="D41" s="16" t="s">
        <v>3503</v>
      </c>
      <c r="E41" s="16" t="s">
        <v>3504</v>
      </c>
      <c r="F41" s="16" t="n">
        <v>1027.45</v>
      </c>
      <c r="G41" s="16" t="n">
        <v>166</v>
      </c>
      <c r="H41" s="16" t="n">
        <v>977</v>
      </c>
      <c r="I41" s="16" t="n">
        <v>500</v>
      </c>
      <c r="J41" s="16" t="n">
        <v>477</v>
      </c>
      <c r="K41" s="16" t="n">
        <v>0</v>
      </c>
      <c r="L41" s="19" t="n">
        <f aca="false">(K41/H41)*100</f>
        <v>0</v>
      </c>
      <c r="M41" s="16" t="n">
        <v>0</v>
      </c>
      <c r="N41" s="19" t="n">
        <f aca="false">(M41/H41)*100</f>
        <v>0</v>
      </c>
      <c r="O41" s="16" t="n">
        <v>62.8</v>
      </c>
      <c r="P41" s="16" t="n">
        <v>0</v>
      </c>
      <c r="Q41" s="20"/>
      <c r="R41" s="20"/>
      <c r="S41" s="420"/>
      <c r="T41" s="20"/>
      <c r="U41" s="20"/>
      <c r="V41" s="16"/>
      <c r="W41" s="16"/>
      <c r="X41" s="16"/>
      <c r="Y41" s="16"/>
      <c r="Z41" s="16"/>
      <c r="AA41" s="89"/>
      <c r="AB41" s="89"/>
      <c r="AC41" s="36"/>
      <c r="AD41" s="20"/>
      <c r="AE41" s="20"/>
      <c r="AF41" s="20"/>
    </row>
    <row r="42" customFormat="false" ht="30" hidden="false" customHeight="false" outlineLevel="0" collapsed="false">
      <c r="A42" s="16" t="s">
        <v>42</v>
      </c>
      <c r="B42" s="16" t="s">
        <v>3427</v>
      </c>
      <c r="C42" s="71" t="s">
        <v>3505</v>
      </c>
      <c r="D42" s="72" t="s">
        <v>3506</v>
      </c>
      <c r="E42" s="16" t="s">
        <v>3507</v>
      </c>
      <c r="F42" s="16" t="n">
        <v>2035.75</v>
      </c>
      <c r="G42" s="16" t="n">
        <v>532</v>
      </c>
      <c r="H42" s="16" t="n">
        <v>3266</v>
      </c>
      <c r="I42" s="16" t="n">
        <v>1712</v>
      </c>
      <c r="J42" s="16" t="n">
        <v>1554</v>
      </c>
      <c r="K42" s="16" t="n">
        <v>733</v>
      </c>
      <c r="L42" s="19" t="n">
        <f aca="false">(K42/H42)*100</f>
        <v>22.4433557868953</v>
      </c>
      <c r="M42" s="16" t="n">
        <v>227</v>
      </c>
      <c r="N42" s="19" t="n">
        <f aca="false">(M42/H42)*100</f>
        <v>6.95039804041641</v>
      </c>
      <c r="O42" s="16" t="n">
        <v>320.07</v>
      </c>
      <c r="P42" s="16" t="n">
        <v>0</v>
      </c>
      <c r="Q42" s="247" t="s">
        <v>50</v>
      </c>
      <c r="R42" s="109" t="n">
        <v>44195</v>
      </c>
      <c r="S42" s="420"/>
      <c r="T42" s="105" t="n">
        <v>327.75</v>
      </c>
      <c r="U42" s="20"/>
      <c r="V42" s="16"/>
      <c r="W42" s="16"/>
      <c r="X42" s="16"/>
      <c r="Y42" s="16"/>
      <c r="Z42" s="16"/>
      <c r="AA42" s="247" t="s">
        <v>50</v>
      </c>
      <c r="AB42" s="105" t="n">
        <v>11</v>
      </c>
      <c r="AC42" s="107" t="s">
        <v>3508</v>
      </c>
      <c r="AD42" s="105" t="n">
        <v>26.799649</v>
      </c>
      <c r="AE42" s="94" t="n">
        <v>73.1180065</v>
      </c>
      <c r="AF42" s="20"/>
    </row>
    <row r="43" customFormat="false" ht="30" hidden="false" customHeight="false" outlineLevel="0" collapsed="false">
      <c r="A43" s="16"/>
      <c r="B43" s="16"/>
      <c r="C43" s="71"/>
      <c r="D43" s="72"/>
      <c r="E43" s="16"/>
      <c r="F43" s="16"/>
      <c r="G43" s="16"/>
      <c r="H43" s="16"/>
      <c r="I43" s="16"/>
      <c r="J43" s="16"/>
      <c r="K43" s="16"/>
      <c r="L43" s="19"/>
      <c r="M43" s="16"/>
      <c r="N43" s="19"/>
      <c r="O43" s="16"/>
      <c r="P43" s="16"/>
      <c r="Q43" s="247" t="s">
        <v>50</v>
      </c>
      <c r="R43" s="429" t="n">
        <v>43684</v>
      </c>
      <c r="S43" s="420"/>
      <c r="T43" s="252" t="n">
        <v>320</v>
      </c>
      <c r="U43" s="20"/>
      <c r="V43" s="16"/>
      <c r="W43" s="16"/>
      <c r="X43" s="16"/>
      <c r="Y43" s="16"/>
      <c r="Z43" s="16"/>
      <c r="AA43" s="247" t="s">
        <v>50</v>
      </c>
      <c r="AB43" s="252" t="n">
        <v>16.61</v>
      </c>
      <c r="AC43" s="252" t="s">
        <v>3509</v>
      </c>
      <c r="AD43" s="249" t="n">
        <v>26.799649</v>
      </c>
      <c r="AE43" s="249" t="n">
        <v>73.1180065</v>
      </c>
      <c r="AF43" s="20"/>
    </row>
    <row r="44" customFormat="false" ht="31.5" hidden="false" customHeight="false" outlineLevel="0" collapsed="false">
      <c r="A44" s="16" t="s">
        <v>42</v>
      </c>
      <c r="B44" s="16" t="s">
        <v>3427</v>
      </c>
      <c r="C44" s="71" t="s">
        <v>3505</v>
      </c>
      <c r="D44" s="16" t="s">
        <v>3510</v>
      </c>
      <c r="E44" s="16" t="s">
        <v>3511</v>
      </c>
      <c r="F44" s="16" t="n">
        <v>2060.74</v>
      </c>
      <c r="G44" s="16" t="n">
        <v>219</v>
      </c>
      <c r="H44" s="16" t="n">
        <v>1352</v>
      </c>
      <c r="I44" s="16" t="n">
        <v>724</v>
      </c>
      <c r="J44" s="16" t="n">
        <v>628</v>
      </c>
      <c r="K44" s="16" t="n">
        <v>0</v>
      </c>
      <c r="L44" s="19" t="n">
        <f aca="false">(K44/H44)*100</f>
        <v>0</v>
      </c>
      <c r="M44" s="16" t="n">
        <v>1</v>
      </c>
      <c r="N44" s="19" t="n">
        <f aca="false">(M44/H44)*100</f>
        <v>0.0739644970414201</v>
      </c>
      <c r="O44" s="16" t="n">
        <v>62.03</v>
      </c>
      <c r="P44" s="16" t="n">
        <v>0</v>
      </c>
      <c r="Q44" s="247" t="s">
        <v>50</v>
      </c>
      <c r="R44" s="109" t="n">
        <v>44195</v>
      </c>
      <c r="S44" s="420"/>
      <c r="T44" s="94" t="n">
        <v>62</v>
      </c>
      <c r="U44" s="20"/>
      <c r="V44" s="16"/>
      <c r="W44" s="16"/>
      <c r="X44" s="16"/>
      <c r="Y44" s="16"/>
      <c r="Z44" s="16"/>
      <c r="AA44" s="247" t="s">
        <v>50</v>
      </c>
      <c r="AB44" s="94" t="n">
        <v>9.83</v>
      </c>
      <c r="AC44" s="94" t="s">
        <v>3512</v>
      </c>
      <c r="AD44" s="250" t="n">
        <v>26.812725</v>
      </c>
      <c r="AE44" s="76" t="n">
        <v>73.100977</v>
      </c>
      <c r="AF44" s="20"/>
    </row>
    <row r="45" customFormat="false" ht="15.75" hidden="false" customHeight="false" outlineLevel="0" collapsed="false">
      <c r="A45" s="16" t="s">
        <v>42</v>
      </c>
      <c r="B45" s="16" t="s">
        <v>3427</v>
      </c>
      <c r="C45" s="71" t="s">
        <v>3513</v>
      </c>
      <c r="D45" s="72" t="s">
        <v>3514</v>
      </c>
      <c r="E45" s="16" t="s">
        <v>3515</v>
      </c>
      <c r="F45" s="16" t="n">
        <v>2470</v>
      </c>
      <c r="G45" s="16" t="n">
        <v>538</v>
      </c>
      <c r="H45" s="16" t="n">
        <v>3656</v>
      </c>
      <c r="I45" s="16" t="n">
        <v>1861</v>
      </c>
      <c r="J45" s="16" t="n">
        <v>1795</v>
      </c>
      <c r="K45" s="16" t="n">
        <v>526</v>
      </c>
      <c r="L45" s="19" t="n">
        <f aca="false">(K45/H45)*100</f>
        <v>14.3873085339168</v>
      </c>
      <c r="M45" s="16" t="n">
        <v>152</v>
      </c>
      <c r="N45" s="19" t="n">
        <f aca="false">(M45/H45)*100</f>
        <v>4.15754923413567</v>
      </c>
      <c r="O45" s="16" t="n">
        <v>102.85</v>
      </c>
      <c r="P45" s="16" t="n">
        <v>0</v>
      </c>
      <c r="Q45" s="20"/>
      <c r="R45" s="20"/>
      <c r="S45" s="420"/>
      <c r="T45" s="20"/>
      <c r="U45" s="20"/>
      <c r="V45" s="16"/>
      <c r="W45" s="16"/>
      <c r="X45" s="16"/>
      <c r="Y45" s="16"/>
      <c r="Z45" s="16"/>
      <c r="AA45" s="89"/>
      <c r="AB45" s="89"/>
      <c r="AC45" s="36"/>
      <c r="AD45" s="20"/>
      <c r="AE45" s="20"/>
      <c r="AF45" s="20"/>
    </row>
    <row r="46" customFormat="false" ht="15.75" hidden="false" customHeight="false" outlineLevel="0" collapsed="false">
      <c r="A46" s="16" t="s">
        <v>42</v>
      </c>
      <c r="B46" s="16" t="s">
        <v>3427</v>
      </c>
      <c r="C46" s="71" t="s">
        <v>3516</v>
      </c>
      <c r="D46" s="72" t="s">
        <v>3517</v>
      </c>
      <c r="E46" s="16" t="s">
        <v>3518</v>
      </c>
      <c r="F46" s="16" t="n">
        <v>1416.66</v>
      </c>
      <c r="G46" s="16" t="n">
        <v>303</v>
      </c>
      <c r="H46" s="16" t="n">
        <v>2043</v>
      </c>
      <c r="I46" s="16" t="n">
        <v>1046</v>
      </c>
      <c r="J46" s="16" t="n">
        <v>997</v>
      </c>
      <c r="K46" s="16" t="n">
        <v>528</v>
      </c>
      <c r="L46" s="19" t="n">
        <f aca="false">(K46/H46)*100</f>
        <v>25.8443465491924</v>
      </c>
      <c r="M46" s="16" t="n">
        <v>36</v>
      </c>
      <c r="N46" s="19" t="n">
        <f aca="false">(M46/H46)*100</f>
        <v>1.76211453744493</v>
      </c>
      <c r="O46" s="16" t="n">
        <v>36.17</v>
      </c>
      <c r="P46" s="16" t="n">
        <v>0</v>
      </c>
      <c r="Q46" s="20" t="s">
        <v>49</v>
      </c>
      <c r="R46" s="153" t="n">
        <v>44836</v>
      </c>
      <c r="S46" s="420"/>
      <c r="T46" s="20" t="n">
        <v>58.4137</v>
      </c>
      <c r="U46" s="20"/>
      <c r="V46" s="16"/>
      <c r="W46" s="16"/>
      <c r="X46" s="16"/>
      <c r="Y46" s="16"/>
      <c r="Z46" s="16"/>
      <c r="AA46" s="89" t="s">
        <v>50</v>
      </c>
      <c r="AB46" s="89" t="n">
        <v>10</v>
      </c>
      <c r="AC46" s="90" t="s">
        <v>3519</v>
      </c>
      <c r="AD46" s="20"/>
      <c r="AE46" s="20"/>
      <c r="AF46" s="20"/>
    </row>
    <row r="47" customFormat="false" ht="15.75" hidden="false" customHeight="false" outlineLevel="0" collapsed="false">
      <c r="A47" s="16"/>
      <c r="B47" s="16"/>
      <c r="C47" s="71"/>
      <c r="D47" s="72"/>
      <c r="E47" s="16"/>
      <c r="F47" s="16"/>
      <c r="G47" s="16"/>
      <c r="H47" s="16"/>
      <c r="I47" s="16"/>
      <c r="J47" s="16"/>
      <c r="K47" s="16"/>
      <c r="L47" s="19"/>
      <c r="M47" s="16"/>
      <c r="N47" s="19"/>
      <c r="O47" s="16"/>
      <c r="P47" s="16"/>
      <c r="Q47" s="228"/>
      <c r="R47" s="228"/>
      <c r="S47" s="420"/>
      <c r="T47" s="228"/>
      <c r="U47" s="20"/>
      <c r="V47" s="16"/>
      <c r="W47" s="16"/>
      <c r="X47" s="16"/>
      <c r="Y47" s="16"/>
      <c r="Z47" s="16"/>
      <c r="AA47" s="93" t="s">
        <v>50</v>
      </c>
      <c r="AB47" s="93" t="n">
        <v>12</v>
      </c>
      <c r="AC47" s="98" t="s">
        <v>3520</v>
      </c>
      <c r="AD47" s="228"/>
      <c r="AE47" s="228"/>
      <c r="AF47" s="20"/>
    </row>
    <row r="48" customFormat="false" ht="15.75" hidden="false" customHeight="false" outlineLevel="0" collapsed="false">
      <c r="A48" s="16" t="s">
        <v>42</v>
      </c>
      <c r="B48" s="16" t="s">
        <v>3427</v>
      </c>
      <c r="C48" s="71" t="s">
        <v>3516</v>
      </c>
      <c r="D48" s="16" t="s">
        <v>3043</v>
      </c>
      <c r="E48" s="16" t="s">
        <v>3521</v>
      </c>
      <c r="F48" s="16" t="n">
        <v>503.85</v>
      </c>
      <c r="G48" s="16" t="n">
        <v>86</v>
      </c>
      <c r="H48" s="16" t="n">
        <v>503</v>
      </c>
      <c r="I48" s="16" t="n">
        <v>271</v>
      </c>
      <c r="J48" s="16" t="n">
        <v>232</v>
      </c>
      <c r="K48" s="16" t="n">
        <v>193</v>
      </c>
      <c r="L48" s="19" t="n">
        <f aca="false">(K48/H48)*100</f>
        <v>38.3697813121272</v>
      </c>
      <c r="M48" s="16" t="n">
        <v>0</v>
      </c>
      <c r="N48" s="19" t="n">
        <f aca="false">(M48/H48)*100</f>
        <v>0</v>
      </c>
      <c r="O48" s="16" t="n">
        <v>0</v>
      </c>
      <c r="P48" s="16" t="n">
        <v>0</v>
      </c>
      <c r="Q48" s="20" t="s">
        <v>49</v>
      </c>
      <c r="R48" s="153" t="n">
        <v>44836</v>
      </c>
      <c r="S48" s="420"/>
      <c r="T48" s="20" t="n">
        <v>0</v>
      </c>
      <c r="U48" s="20"/>
      <c r="V48" s="16"/>
      <c r="W48" s="16"/>
      <c r="X48" s="16"/>
      <c r="Y48" s="16"/>
      <c r="Z48" s="16"/>
      <c r="AA48" s="89" t="s">
        <v>50</v>
      </c>
      <c r="AB48" s="89" t="n">
        <v>0</v>
      </c>
      <c r="AC48" s="36"/>
      <c r="AD48" s="20" t="n">
        <v>0</v>
      </c>
      <c r="AE48" s="20" t="n">
        <v>0</v>
      </c>
      <c r="AF48" s="20"/>
    </row>
    <row r="49" customFormat="false" ht="15.75" hidden="false" customHeight="false" outlineLevel="0" collapsed="false">
      <c r="A49" s="16" t="s">
        <v>42</v>
      </c>
      <c r="B49" s="16" t="s">
        <v>3427</v>
      </c>
      <c r="C49" s="71" t="s">
        <v>3516</v>
      </c>
      <c r="D49" s="16" t="s">
        <v>3522</v>
      </c>
      <c r="E49" s="16" t="s">
        <v>3523</v>
      </c>
      <c r="F49" s="16" t="n">
        <v>1075.37</v>
      </c>
      <c r="G49" s="16" t="n">
        <v>134</v>
      </c>
      <c r="H49" s="16" t="n">
        <v>991</v>
      </c>
      <c r="I49" s="16" t="n">
        <v>511</v>
      </c>
      <c r="J49" s="16" t="n">
        <v>480</v>
      </c>
      <c r="K49" s="16" t="n">
        <v>223</v>
      </c>
      <c r="L49" s="19" t="n">
        <f aca="false">(K49/H49)*100</f>
        <v>22.5025227043391</v>
      </c>
      <c r="M49" s="16" t="n">
        <v>113</v>
      </c>
      <c r="N49" s="19" t="n">
        <f aca="false">(M49/H49)*100</f>
        <v>11.4026236125126</v>
      </c>
      <c r="O49" s="16" t="n">
        <v>54.17</v>
      </c>
      <c r="P49" s="16" t="n">
        <v>0</v>
      </c>
      <c r="Q49" s="20" t="s">
        <v>49</v>
      </c>
      <c r="R49" s="153" t="n">
        <v>44836</v>
      </c>
      <c r="S49" s="420"/>
      <c r="T49" s="20" t="n">
        <v>31.6121</v>
      </c>
      <c r="U49" s="20"/>
      <c r="V49" s="16"/>
      <c r="W49" s="16"/>
      <c r="X49" s="16"/>
      <c r="Y49" s="16"/>
      <c r="Z49" s="16"/>
      <c r="AA49" s="89" t="s">
        <v>50</v>
      </c>
      <c r="AB49" s="89" t="n">
        <v>12</v>
      </c>
      <c r="AC49" s="90" t="s">
        <v>3524</v>
      </c>
      <c r="AD49" s="20"/>
      <c r="AE49" s="20"/>
      <c r="AF49" s="20"/>
    </row>
    <row r="50" customFormat="false" ht="15.75" hidden="false" customHeight="false" outlineLevel="0" collapsed="false">
      <c r="A50" s="16"/>
      <c r="B50" s="16"/>
      <c r="C50" s="71"/>
      <c r="D50" s="16"/>
      <c r="E50" s="16"/>
      <c r="F50" s="16"/>
      <c r="G50" s="16"/>
      <c r="H50" s="16"/>
      <c r="I50" s="16"/>
      <c r="J50" s="16"/>
      <c r="K50" s="16"/>
      <c r="L50" s="19"/>
      <c r="M50" s="16"/>
      <c r="N50" s="19"/>
      <c r="O50" s="16"/>
      <c r="P50" s="16"/>
      <c r="Q50" s="228"/>
      <c r="R50" s="228"/>
      <c r="S50" s="420"/>
      <c r="T50" s="228"/>
      <c r="U50" s="20"/>
      <c r="V50" s="16"/>
      <c r="W50" s="16"/>
      <c r="X50" s="16"/>
      <c r="Y50" s="16"/>
      <c r="Z50" s="16"/>
      <c r="AA50" s="93" t="s">
        <v>50</v>
      </c>
      <c r="AB50" s="93" t="n">
        <v>10</v>
      </c>
      <c r="AC50" s="98" t="s">
        <v>3525</v>
      </c>
      <c r="AD50" s="228"/>
      <c r="AE50" s="228"/>
      <c r="AF50" s="20"/>
    </row>
    <row r="51" customFormat="false" ht="15.75" hidden="false" customHeight="false" outlineLevel="0" collapsed="false">
      <c r="A51" s="16" t="s">
        <v>42</v>
      </c>
      <c r="B51" s="16" t="s">
        <v>3427</v>
      </c>
      <c r="C51" s="71" t="s">
        <v>3526</v>
      </c>
      <c r="D51" s="72" t="s">
        <v>3527</v>
      </c>
      <c r="E51" s="16" t="s">
        <v>3528</v>
      </c>
      <c r="F51" s="16" t="n">
        <v>948.1</v>
      </c>
      <c r="G51" s="16" t="n">
        <v>243</v>
      </c>
      <c r="H51" s="16" t="n">
        <v>1653</v>
      </c>
      <c r="I51" s="16" t="n">
        <v>886</v>
      </c>
      <c r="J51" s="16" t="n">
        <v>767</v>
      </c>
      <c r="K51" s="16" t="n">
        <v>54</v>
      </c>
      <c r="L51" s="19" t="n">
        <f aca="false">(K51/H51)*100</f>
        <v>3.26678765880218</v>
      </c>
      <c r="M51" s="16" t="n">
        <v>0</v>
      </c>
      <c r="N51" s="19" t="n">
        <f aca="false">(M51/H51)*100</f>
        <v>0</v>
      </c>
      <c r="O51" s="16" t="n">
        <v>0</v>
      </c>
      <c r="P51" s="16" t="n">
        <v>0</v>
      </c>
      <c r="Q51" s="20"/>
      <c r="R51" s="20"/>
      <c r="S51" s="420"/>
      <c r="T51" s="20"/>
      <c r="U51" s="20"/>
      <c r="V51" s="16"/>
      <c r="W51" s="16"/>
      <c r="X51" s="16"/>
      <c r="Y51" s="16"/>
      <c r="Z51" s="16"/>
      <c r="AA51" s="89"/>
      <c r="AB51" s="89"/>
      <c r="AC51" s="36"/>
      <c r="AD51" s="20"/>
      <c r="AE51" s="20"/>
      <c r="AF51" s="20"/>
    </row>
    <row r="52" customFormat="false" ht="15.75" hidden="false" customHeight="false" outlineLevel="0" collapsed="false">
      <c r="A52" s="16" t="s">
        <v>42</v>
      </c>
      <c r="B52" s="16" t="s">
        <v>3427</v>
      </c>
      <c r="C52" s="71" t="s">
        <v>3526</v>
      </c>
      <c r="D52" s="16" t="s">
        <v>474</v>
      </c>
      <c r="E52" s="16" t="s">
        <v>3529</v>
      </c>
      <c r="F52" s="16" t="n">
        <v>776.43</v>
      </c>
      <c r="G52" s="16" t="n">
        <v>155</v>
      </c>
      <c r="H52" s="16" t="n">
        <v>994</v>
      </c>
      <c r="I52" s="16" t="n">
        <v>532</v>
      </c>
      <c r="J52" s="16" t="n">
        <v>462</v>
      </c>
      <c r="K52" s="16" t="n">
        <v>6</v>
      </c>
      <c r="L52" s="19" t="n">
        <f aca="false">(K52/H52)*100</f>
        <v>0.603621730382294</v>
      </c>
      <c r="M52" s="16" t="n">
        <v>0</v>
      </c>
      <c r="N52" s="19" t="n">
        <f aca="false">(M52/H52)*100</f>
        <v>0</v>
      </c>
      <c r="O52" s="16" t="n">
        <v>0</v>
      </c>
      <c r="P52" s="16" t="n">
        <v>0</v>
      </c>
      <c r="Q52" s="20"/>
      <c r="R52" s="20"/>
      <c r="S52" s="420"/>
      <c r="T52" s="20"/>
      <c r="U52" s="20"/>
      <c r="V52" s="16"/>
      <c r="W52" s="16"/>
      <c r="X52" s="16"/>
      <c r="Y52" s="16"/>
      <c r="Z52" s="16"/>
      <c r="AA52" s="89"/>
      <c r="AB52" s="89"/>
      <c r="AC52" s="36"/>
      <c r="AD52" s="20"/>
      <c r="AE52" s="20"/>
      <c r="AF52" s="20"/>
    </row>
    <row r="53" customFormat="false" ht="15.75" hidden="false" customHeight="false" outlineLevel="0" collapsed="false">
      <c r="A53" s="16" t="s">
        <v>42</v>
      </c>
      <c r="B53" s="16" t="s">
        <v>3427</v>
      </c>
      <c r="C53" s="71" t="s">
        <v>3526</v>
      </c>
      <c r="D53" s="16" t="s">
        <v>2916</v>
      </c>
      <c r="E53" s="16" t="s">
        <v>3530</v>
      </c>
      <c r="F53" s="16" t="n">
        <v>136.22</v>
      </c>
      <c r="G53" s="16" t="n">
        <v>96</v>
      </c>
      <c r="H53" s="16" t="n">
        <v>608</v>
      </c>
      <c r="I53" s="16" t="n">
        <v>309</v>
      </c>
      <c r="J53" s="16" t="n">
        <v>299</v>
      </c>
      <c r="K53" s="16" t="n">
        <v>0</v>
      </c>
      <c r="L53" s="19" t="n">
        <f aca="false">(K53/H53)*100</f>
        <v>0</v>
      </c>
      <c r="M53" s="16" t="n">
        <v>0</v>
      </c>
      <c r="N53" s="19" t="n">
        <f aca="false">(M53/H53)*100</f>
        <v>0</v>
      </c>
      <c r="O53" s="16" t="n">
        <v>0</v>
      </c>
      <c r="P53" s="16" t="n">
        <v>0</v>
      </c>
      <c r="Q53" s="20"/>
      <c r="R53" s="20"/>
      <c r="S53" s="420"/>
      <c r="T53" s="20"/>
      <c r="U53" s="20"/>
      <c r="V53" s="16"/>
      <c r="W53" s="16"/>
      <c r="X53" s="16"/>
      <c r="Y53" s="16"/>
      <c r="Z53" s="16"/>
      <c r="AA53" s="89"/>
      <c r="AB53" s="89"/>
      <c r="AC53" s="36"/>
      <c r="AD53" s="20"/>
      <c r="AE53" s="20"/>
      <c r="AF53" s="20"/>
    </row>
    <row r="54" customFormat="false" ht="15.75" hidden="false" customHeight="false" outlineLevel="0" collapsed="false">
      <c r="A54" s="16" t="s">
        <v>42</v>
      </c>
      <c r="B54" s="16" t="s">
        <v>3427</v>
      </c>
      <c r="C54" s="71" t="s">
        <v>3531</v>
      </c>
      <c r="D54" s="72" t="s">
        <v>3532</v>
      </c>
      <c r="E54" s="16" t="s">
        <v>3533</v>
      </c>
      <c r="F54" s="16" t="n">
        <v>2129.12</v>
      </c>
      <c r="G54" s="16" t="n">
        <v>403</v>
      </c>
      <c r="H54" s="16" t="n">
        <v>2196</v>
      </c>
      <c r="I54" s="16" t="n">
        <v>1108</v>
      </c>
      <c r="J54" s="16" t="n">
        <v>1088</v>
      </c>
      <c r="K54" s="16" t="n">
        <v>217</v>
      </c>
      <c r="L54" s="19" t="n">
        <f aca="false">(K54/H54)*100</f>
        <v>9.8816029143898</v>
      </c>
      <c r="M54" s="16" t="n">
        <v>364</v>
      </c>
      <c r="N54" s="19" t="n">
        <f aca="false">(M54/H54)*100</f>
        <v>16.5755919854281</v>
      </c>
      <c r="O54" s="16" t="n">
        <v>33</v>
      </c>
      <c r="P54" s="16" t="n">
        <v>0</v>
      </c>
      <c r="Q54" s="45" t="s">
        <v>49</v>
      </c>
      <c r="R54" s="53" t="n">
        <v>45737</v>
      </c>
      <c r="S54" s="420"/>
      <c r="T54" s="45" t="n">
        <v>32.47</v>
      </c>
      <c r="U54" s="20"/>
      <c r="V54" s="16"/>
      <c r="W54" s="16"/>
      <c r="X54" s="16"/>
      <c r="Y54" s="16"/>
      <c r="Z54" s="16"/>
      <c r="AA54" s="119" t="s">
        <v>50</v>
      </c>
      <c r="AB54" s="119" t="n">
        <v>12</v>
      </c>
      <c r="AC54" s="287" t="s">
        <v>2931</v>
      </c>
      <c r="AD54" s="45"/>
      <c r="AE54" s="45"/>
      <c r="AF54" s="20" t="s">
        <v>52</v>
      </c>
    </row>
    <row r="55" customFormat="false" ht="31.5" hidden="false" customHeight="false" outlineLevel="0" collapsed="false">
      <c r="A55" s="16" t="s">
        <v>42</v>
      </c>
      <c r="B55" s="16" t="s">
        <v>3427</v>
      </c>
      <c r="C55" s="71" t="s">
        <v>3531</v>
      </c>
      <c r="D55" s="16" t="s">
        <v>3534</v>
      </c>
      <c r="E55" s="16" t="s">
        <v>3535</v>
      </c>
      <c r="F55" s="16" t="n">
        <v>1459.43</v>
      </c>
      <c r="G55" s="16" t="n">
        <v>377</v>
      </c>
      <c r="H55" s="16" t="n">
        <v>2138</v>
      </c>
      <c r="I55" s="16" t="n">
        <v>1078</v>
      </c>
      <c r="J55" s="16" t="n">
        <v>1060</v>
      </c>
      <c r="K55" s="16" t="n">
        <v>210</v>
      </c>
      <c r="L55" s="19" t="n">
        <f aca="false">(K55/H55)*100</f>
        <v>9.822263797942</v>
      </c>
      <c r="M55" s="16" t="n">
        <v>102</v>
      </c>
      <c r="N55" s="19" t="n">
        <f aca="false">(M55/H55)*100</f>
        <v>4.77081384471469</v>
      </c>
      <c r="O55" s="16" t="n">
        <v>123.06</v>
      </c>
      <c r="P55" s="16" t="n">
        <v>0</v>
      </c>
      <c r="Q55" s="45" t="s">
        <v>49</v>
      </c>
      <c r="R55" s="53" t="n">
        <v>45737</v>
      </c>
      <c r="S55" s="420"/>
      <c r="T55" s="45" t="n">
        <v>0</v>
      </c>
      <c r="U55" s="20"/>
      <c r="V55" s="16"/>
      <c r="W55" s="16"/>
      <c r="X55" s="16"/>
      <c r="Y55" s="16"/>
      <c r="Z55" s="16"/>
      <c r="AA55" s="119" t="s">
        <v>50</v>
      </c>
      <c r="AB55" s="119" t="n">
        <v>10</v>
      </c>
      <c r="AC55" s="430" t="s">
        <v>3536</v>
      </c>
      <c r="AD55" s="45"/>
      <c r="AE55" s="45"/>
      <c r="AF55" s="20" t="s">
        <v>52</v>
      </c>
    </row>
    <row r="56" customFormat="false" ht="15.75" hidden="false" customHeight="false" outlineLevel="0" collapsed="false">
      <c r="A56" s="16"/>
      <c r="B56" s="16"/>
      <c r="C56" s="71"/>
      <c r="D56" s="16"/>
      <c r="E56" s="16"/>
      <c r="F56" s="16"/>
      <c r="G56" s="16"/>
      <c r="H56" s="16"/>
      <c r="I56" s="16"/>
      <c r="J56" s="16"/>
      <c r="K56" s="16"/>
      <c r="L56" s="19"/>
      <c r="M56" s="16"/>
      <c r="N56" s="19"/>
      <c r="O56" s="16"/>
      <c r="P56" s="16"/>
      <c r="Q56" s="49" t="s">
        <v>49</v>
      </c>
      <c r="R56" s="341" t="n">
        <v>45737</v>
      </c>
      <c r="S56" s="420"/>
      <c r="T56" s="49"/>
      <c r="U56" s="20"/>
      <c r="V56" s="16"/>
      <c r="W56" s="16"/>
      <c r="X56" s="16"/>
      <c r="Y56" s="16"/>
      <c r="Z56" s="16"/>
      <c r="AA56" s="342" t="s">
        <v>50</v>
      </c>
      <c r="AB56" s="342" t="n">
        <v>12</v>
      </c>
      <c r="AC56" s="343" t="s">
        <v>3537</v>
      </c>
      <c r="AD56" s="49"/>
      <c r="AE56" s="49"/>
      <c r="AF56" s="20" t="s">
        <v>52</v>
      </c>
    </row>
    <row r="57" customFormat="false" ht="31.5" hidden="false" customHeight="false" outlineLevel="0" collapsed="false">
      <c r="A57" s="16" t="s">
        <v>42</v>
      </c>
      <c r="B57" s="16" t="s">
        <v>3427</v>
      </c>
      <c r="C57" s="71" t="s">
        <v>535</v>
      </c>
      <c r="D57" s="72" t="s">
        <v>3538</v>
      </c>
      <c r="E57" s="16" t="s">
        <v>3539</v>
      </c>
      <c r="F57" s="16" t="n">
        <v>1763.4</v>
      </c>
      <c r="G57" s="16" t="n">
        <v>295</v>
      </c>
      <c r="H57" s="16" t="n">
        <v>1741</v>
      </c>
      <c r="I57" s="16" t="n">
        <v>917</v>
      </c>
      <c r="J57" s="16" t="n">
        <v>824</v>
      </c>
      <c r="K57" s="16" t="n">
        <v>0</v>
      </c>
      <c r="L57" s="19" t="n">
        <f aca="false">(K57/H57)*100</f>
        <v>0</v>
      </c>
      <c r="M57" s="16" t="n">
        <v>0</v>
      </c>
      <c r="N57" s="19" t="n">
        <f aca="false">(M57/H57)*100</f>
        <v>0</v>
      </c>
      <c r="O57" s="16" t="n">
        <v>74</v>
      </c>
      <c r="P57" s="16" t="n">
        <v>0</v>
      </c>
      <c r="Q57" s="20" t="s">
        <v>49</v>
      </c>
      <c r="R57" s="153" t="n">
        <v>45201</v>
      </c>
      <c r="S57" s="420"/>
      <c r="T57" s="20" t="n">
        <v>50.3347</v>
      </c>
      <c r="U57" s="20"/>
      <c r="V57" s="16"/>
      <c r="W57" s="16"/>
      <c r="X57" s="16"/>
      <c r="Y57" s="16"/>
      <c r="Z57" s="16"/>
      <c r="AA57" s="89" t="s">
        <v>50</v>
      </c>
      <c r="AB57" s="89" t="n">
        <v>5</v>
      </c>
      <c r="AC57" s="90" t="s">
        <v>3540</v>
      </c>
      <c r="AD57" s="20"/>
      <c r="AE57" s="20"/>
      <c r="AF57" s="20"/>
    </row>
    <row r="58" customFormat="false" ht="15.75" hidden="false" customHeight="false" outlineLevel="0" collapsed="false">
      <c r="A58" s="16" t="s">
        <v>42</v>
      </c>
      <c r="B58" s="16" t="s">
        <v>3427</v>
      </c>
      <c r="C58" s="71" t="s">
        <v>535</v>
      </c>
      <c r="D58" s="16" t="s">
        <v>146</v>
      </c>
      <c r="E58" s="16" t="s">
        <v>3541</v>
      </c>
      <c r="F58" s="16" t="n">
        <v>294.2</v>
      </c>
      <c r="G58" s="16" t="n">
        <v>27</v>
      </c>
      <c r="H58" s="16" t="n">
        <v>160</v>
      </c>
      <c r="I58" s="16" t="n">
        <v>86</v>
      </c>
      <c r="J58" s="16" t="n">
        <v>74</v>
      </c>
      <c r="K58" s="16" t="n">
        <v>0</v>
      </c>
      <c r="L58" s="19" t="n">
        <f aca="false">(K58/H58)*100</f>
        <v>0</v>
      </c>
      <c r="M58" s="16" t="n">
        <v>0</v>
      </c>
      <c r="N58" s="19" t="n">
        <f aca="false">(M58/H58)*100</f>
        <v>0</v>
      </c>
      <c r="O58" s="16" t="n">
        <v>0</v>
      </c>
      <c r="P58" s="16" t="n">
        <v>0</v>
      </c>
      <c r="Q58" s="20" t="s">
        <v>49</v>
      </c>
      <c r="R58" s="153" t="n">
        <v>45201</v>
      </c>
      <c r="S58" s="420"/>
      <c r="T58" s="105" t="n">
        <v>0</v>
      </c>
      <c r="U58" s="20"/>
      <c r="V58" s="16"/>
      <c r="W58" s="16"/>
      <c r="X58" s="16"/>
      <c r="Y58" s="16"/>
      <c r="Z58" s="16"/>
      <c r="AA58" s="89" t="s">
        <v>50</v>
      </c>
      <c r="AB58" s="105" t="n">
        <v>0</v>
      </c>
      <c r="AC58" s="36"/>
      <c r="AD58" s="105" t="n">
        <v>0</v>
      </c>
      <c r="AE58" s="105" t="n">
        <v>0</v>
      </c>
      <c r="AF58" s="20"/>
    </row>
    <row r="59" customFormat="false" ht="15.75" hidden="false" customHeight="false" outlineLevel="0" collapsed="false">
      <c r="A59" s="16" t="s">
        <v>42</v>
      </c>
      <c r="B59" s="16" t="s">
        <v>3427</v>
      </c>
      <c r="C59" s="71" t="s">
        <v>535</v>
      </c>
      <c r="D59" s="16" t="s">
        <v>3542</v>
      </c>
      <c r="E59" s="16" t="s">
        <v>3543</v>
      </c>
      <c r="F59" s="16" t="n">
        <v>705.36</v>
      </c>
      <c r="G59" s="16" t="n">
        <v>85</v>
      </c>
      <c r="H59" s="16" t="n">
        <v>520</v>
      </c>
      <c r="I59" s="16" t="n">
        <v>265</v>
      </c>
      <c r="J59" s="16" t="n">
        <v>255</v>
      </c>
      <c r="K59" s="16" t="n">
        <v>94</v>
      </c>
      <c r="L59" s="19" t="n">
        <f aca="false">(K59/H59)*100</f>
        <v>18.0769230769231</v>
      </c>
      <c r="M59" s="16" t="n">
        <v>0</v>
      </c>
      <c r="N59" s="19" t="n">
        <f aca="false">(M59/H59)*100</f>
        <v>0</v>
      </c>
      <c r="O59" s="16" t="n">
        <v>0</v>
      </c>
      <c r="P59" s="16" t="n">
        <v>0</v>
      </c>
      <c r="Q59" s="20" t="s">
        <v>49</v>
      </c>
      <c r="R59" s="153" t="n">
        <v>45201</v>
      </c>
      <c r="S59" s="420"/>
      <c r="T59" s="105" t="n">
        <v>0</v>
      </c>
      <c r="U59" s="20"/>
      <c r="V59" s="16"/>
      <c r="W59" s="16"/>
      <c r="X59" s="16"/>
      <c r="Y59" s="16"/>
      <c r="Z59" s="16"/>
      <c r="AA59" s="89" t="s">
        <v>50</v>
      </c>
      <c r="AB59" s="105" t="n">
        <v>0</v>
      </c>
      <c r="AC59" s="36"/>
      <c r="AD59" s="105" t="n">
        <v>0</v>
      </c>
      <c r="AE59" s="105" t="n">
        <v>0</v>
      </c>
      <c r="AF59" s="20"/>
    </row>
    <row r="60" customFormat="false" ht="31.5" hidden="false" customHeight="false" outlineLevel="0" collapsed="false">
      <c r="A60" s="16" t="s">
        <v>42</v>
      </c>
      <c r="B60" s="16" t="s">
        <v>3427</v>
      </c>
      <c r="C60" s="71" t="s">
        <v>3544</v>
      </c>
      <c r="D60" s="72" t="s">
        <v>3545</v>
      </c>
      <c r="E60" s="16" t="s">
        <v>3546</v>
      </c>
      <c r="F60" s="16" t="n">
        <v>1672.27</v>
      </c>
      <c r="G60" s="16" t="n">
        <v>354</v>
      </c>
      <c r="H60" s="16" t="n">
        <v>1998</v>
      </c>
      <c r="I60" s="16" t="n">
        <v>1057</v>
      </c>
      <c r="J60" s="16" t="n">
        <v>941</v>
      </c>
      <c r="K60" s="16" t="n">
        <v>667</v>
      </c>
      <c r="L60" s="19" t="n">
        <f aca="false">(K60/H60)*100</f>
        <v>33.3833833833834</v>
      </c>
      <c r="M60" s="16" t="n">
        <v>0</v>
      </c>
      <c r="N60" s="19" t="n">
        <f aca="false">(M60/H60)*100</f>
        <v>0</v>
      </c>
      <c r="O60" s="16" t="n">
        <v>29.56</v>
      </c>
      <c r="P60" s="16" t="n">
        <v>0</v>
      </c>
      <c r="Q60" s="20" t="s">
        <v>49</v>
      </c>
      <c r="R60" s="153" t="n">
        <v>44836</v>
      </c>
      <c r="S60" s="420"/>
      <c r="T60" s="20" t="n">
        <v>49.5335</v>
      </c>
      <c r="U60" s="20"/>
      <c r="V60" s="16"/>
      <c r="W60" s="16"/>
      <c r="X60" s="16"/>
      <c r="Y60" s="16"/>
      <c r="Z60" s="16"/>
      <c r="AA60" s="89" t="s">
        <v>50</v>
      </c>
      <c r="AB60" s="89" t="n">
        <v>12</v>
      </c>
      <c r="AC60" s="90" t="s">
        <v>3547</v>
      </c>
      <c r="AD60" s="20"/>
      <c r="AE60" s="20"/>
      <c r="AF60" s="20"/>
    </row>
    <row r="61" customFormat="false" ht="15.75" hidden="false" customHeight="false" outlineLevel="0" collapsed="false">
      <c r="A61" s="16" t="s">
        <v>42</v>
      </c>
      <c r="B61" s="16" t="s">
        <v>3427</v>
      </c>
      <c r="C61" s="71" t="s">
        <v>3544</v>
      </c>
      <c r="D61" s="16" t="s">
        <v>3548</v>
      </c>
      <c r="E61" s="16" t="s">
        <v>3549</v>
      </c>
      <c r="F61" s="16" t="n">
        <v>523.93</v>
      </c>
      <c r="G61" s="16" t="n">
        <v>60</v>
      </c>
      <c r="H61" s="16" t="n">
        <v>294</v>
      </c>
      <c r="I61" s="16" t="n">
        <v>157</v>
      </c>
      <c r="J61" s="16" t="n">
        <v>137</v>
      </c>
      <c r="K61" s="16" t="n">
        <v>109</v>
      </c>
      <c r="L61" s="19" t="n">
        <f aca="false">(K61/H61)*100</f>
        <v>37.0748299319728</v>
      </c>
      <c r="M61" s="16" t="n">
        <v>0</v>
      </c>
      <c r="N61" s="19" t="n">
        <f aca="false">(M61/H61)*100</f>
        <v>0</v>
      </c>
      <c r="O61" s="16" t="n">
        <v>10.1</v>
      </c>
      <c r="P61" s="16" t="n">
        <v>0</v>
      </c>
      <c r="Q61" s="20" t="s">
        <v>49</v>
      </c>
      <c r="R61" s="153" t="n">
        <v>44836</v>
      </c>
      <c r="S61" s="420"/>
      <c r="T61" s="20"/>
      <c r="U61" s="20"/>
      <c r="V61" s="16"/>
      <c r="W61" s="16"/>
      <c r="X61" s="16"/>
      <c r="Y61" s="16"/>
      <c r="Z61" s="16"/>
      <c r="AA61" s="89" t="s">
        <v>50</v>
      </c>
      <c r="AB61" s="89" t="n">
        <v>0</v>
      </c>
      <c r="AC61" s="36"/>
      <c r="AD61" s="20"/>
      <c r="AE61" s="20"/>
      <c r="AF61" s="20"/>
    </row>
    <row r="62" customFormat="false" ht="31.5" hidden="false" customHeight="false" outlineLevel="0" collapsed="false">
      <c r="A62" s="16" t="s">
        <v>42</v>
      </c>
      <c r="B62" s="16" t="s">
        <v>3427</v>
      </c>
      <c r="C62" s="71" t="s">
        <v>3544</v>
      </c>
      <c r="D62" s="16" t="s">
        <v>3550</v>
      </c>
      <c r="E62" s="16" t="s">
        <v>3551</v>
      </c>
      <c r="F62" s="16" t="n">
        <v>676.86</v>
      </c>
      <c r="G62" s="16" t="n">
        <v>120</v>
      </c>
      <c r="H62" s="16" t="n">
        <v>825</v>
      </c>
      <c r="I62" s="16" t="n">
        <v>428</v>
      </c>
      <c r="J62" s="16" t="n">
        <v>397</v>
      </c>
      <c r="K62" s="16" t="n">
        <v>623</v>
      </c>
      <c r="L62" s="19" t="n">
        <f aca="false">(K62/H62)*100</f>
        <v>75.5151515151515</v>
      </c>
      <c r="M62" s="16" t="n">
        <v>0</v>
      </c>
      <c r="N62" s="19" t="n">
        <f aca="false">(M62/H62)*100</f>
        <v>0</v>
      </c>
      <c r="O62" s="16" t="n">
        <v>37.25</v>
      </c>
      <c r="P62" s="16" t="n">
        <v>0</v>
      </c>
      <c r="Q62" s="24" t="s">
        <v>49</v>
      </c>
      <c r="R62" s="421" t="n">
        <v>44836</v>
      </c>
      <c r="S62" s="420"/>
      <c r="T62" s="24" t="n">
        <v>37.1627</v>
      </c>
      <c r="U62" s="20"/>
      <c r="V62" s="16"/>
      <c r="W62" s="16"/>
      <c r="X62" s="16"/>
      <c r="Y62" s="16"/>
      <c r="Z62" s="16"/>
      <c r="AA62" s="89" t="s">
        <v>50</v>
      </c>
      <c r="AB62" s="92" t="n">
        <v>15</v>
      </c>
      <c r="AC62" s="96" t="s">
        <v>3552</v>
      </c>
      <c r="AD62" s="24"/>
      <c r="AE62" s="24"/>
      <c r="AF62" s="20"/>
    </row>
    <row r="63" customFormat="false" ht="15.75" hidden="false" customHeight="false" outlineLevel="0" collapsed="false">
      <c r="A63" s="16" t="s">
        <v>42</v>
      </c>
      <c r="B63" s="16" t="s">
        <v>3427</v>
      </c>
      <c r="C63" s="71" t="s">
        <v>3544</v>
      </c>
      <c r="D63" s="16" t="s">
        <v>109</v>
      </c>
      <c r="E63" s="16" t="s">
        <v>3553</v>
      </c>
      <c r="F63" s="16" t="n">
        <v>522.8</v>
      </c>
      <c r="G63" s="16" t="n">
        <v>139</v>
      </c>
      <c r="H63" s="16" t="n">
        <v>735</v>
      </c>
      <c r="I63" s="16" t="n">
        <v>377</v>
      </c>
      <c r="J63" s="16" t="n">
        <v>358</v>
      </c>
      <c r="K63" s="16" t="n">
        <v>165</v>
      </c>
      <c r="L63" s="19" t="n">
        <f aca="false">(K63/H63)*100</f>
        <v>22.4489795918367</v>
      </c>
      <c r="M63" s="16" t="n">
        <v>0</v>
      </c>
      <c r="N63" s="19" t="n">
        <f aca="false">(M63/H63)*100</f>
        <v>0</v>
      </c>
      <c r="O63" s="16" t="n">
        <v>10.34</v>
      </c>
      <c r="P63" s="16" t="n">
        <v>0</v>
      </c>
      <c r="Q63" s="20" t="s">
        <v>49</v>
      </c>
      <c r="R63" s="153" t="n">
        <v>44836</v>
      </c>
      <c r="S63" s="420"/>
      <c r="T63" s="20"/>
      <c r="U63" s="20"/>
      <c r="V63" s="16"/>
      <c r="W63" s="16"/>
      <c r="X63" s="16"/>
      <c r="Y63" s="16"/>
      <c r="Z63" s="16"/>
      <c r="AA63" s="89" t="s">
        <v>50</v>
      </c>
      <c r="AB63" s="89" t="n">
        <v>0</v>
      </c>
      <c r="AC63" s="36"/>
      <c r="AD63" s="20"/>
      <c r="AE63" s="20"/>
      <c r="AF63" s="20"/>
    </row>
    <row r="64" customFormat="false" ht="15.75" hidden="false" customHeight="false" outlineLevel="0" collapsed="false">
      <c r="A64" s="16" t="s">
        <v>42</v>
      </c>
      <c r="B64" s="16" t="s">
        <v>3427</v>
      </c>
      <c r="C64" s="71" t="s">
        <v>3554</v>
      </c>
      <c r="D64" s="72" t="s">
        <v>3555</v>
      </c>
      <c r="E64" s="16" t="s">
        <v>3556</v>
      </c>
      <c r="F64" s="16" t="n">
        <v>1123.87</v>
      </c>
      <c r="G64" s="16" t="n">
        <v>144</v>
      </c>
      <c r="H64" s="16" t="n">
        <v>963</v>
      </c>
      <c r="I64" s="16" t="n">
        <v>513</v>
      </c>
      <c r="J64" s="16" t="n">
        <v>450</v>
      </c>
      <c r="K64" s="16" t="n">
        <v>155</v>
      </c>
      <c r="L64" s="19" t="n">
        <f aca="false">(K64/H64)*100</f>
        <v>16.0955347871236</v>
      </c>
      <c r="M64" s="16" t="n">
        <v>0</v>
      </c>
      <c r="N64" s="19" t="n">
        <f aca="false">(M64/H64)*100</f>
        <v>0</v>
      </c>
      <c r="O64" s="16" t="n">
        <v>57.48</v>
      </c>
      <c r="P64" s="16" t="n">
        <v>0</v>
      </c>
      <c r="Q64" s="20"/>
      <c r="R64" s="20"/>
      <c r="S64" s="420"/>
      <c r="T64" s="20"/>
      <c r="U64" s="20"/>
      <c r="V64" s="16"/>
      <c r="W64" s="16"/>
      <c r="X64" s="16"/>
      <c r="Y64" s="16"/>
      <c r="Z64" s="16"/>
      <c r="AA64" s="89"/>
      <c r="AB64" s="89"/>
      <c r="AC64" s="36"/>
      <c r="AD64" s="20"/>
      <c r="AE64" s="20"/>
      <c r="AF64" s="20"/>
    </row>
    <row r="65" customFormat="false" ht="15.75" hidden="false" customHeight="false" outlineLevel="0" collapsed="false">
      <c r="A65" s="16" t="s">
        <v>42</v>
      </c>
      <c r="B65" s="16" t="s">
        <v>3427</v>
      </c>
      <c r="C65" s="71" t="s">
        <v>3554</v>
      </c>
      <c r="D65" s="16" t="s">
        <v>3550</v>
      </c>
      <c r="E65" s="16" t="s">
        <v>3557</v>
      </c>
      <c r="F65" s="16" t="n">
        <v>537.47</v>
      </c>
      <c r="G65" s="16" t="n">
        <v>63</v>
      </c>
      <c r="H65" s="16" t="n">
        <v>383</v>
      </c>
      <c r="I65" s="16" t="n">
        <v>208</v>
      </c>
      <c r="J65" s="16" t="n">
        <v>175</v>
      </c>
      <c r="K65" s="16" t="n">
        <v>0</v>
      </c>
      <c r="L65" s="19" t="n">
        <f aca="false">(K65/H65)*100</f>
        <v>0</v>
      </c>
      <c r="M65" s="16" t="n">
        <v>0</v>
      </c>
      <c r="N65" s="19" t="n">
        <f aca="false">(M65/H65)*100</f>
        <v>0</v>
      </c>
      <c r="O65" s="16" t="n">
        <v>0</v>
      </c>
      <c r="P65" s="16" t="n">
        <v>0</v>
      </c>
      <c r="Q65" s="20"/>
      <c r="R65" s="20"/>
      <c r="S65" s="420"/>
      <c r="T65" s="20"/>
      <c r="U65" s="20"/>
      <c r="V65" s="16"/>
      <c r="W65" s="16"/>
      <c r="X65" s="16"/>
      <c r="Y65" s="16"/>
      <c r="Z65" s="16"/>
      <c r="AA65" s="89"/>
      <c r="AB65" s="89"/>
      <c r="AC65" s="36"/>
      <c r="AD65" s="20"/>
      <c r="AE65" s="20"/>
      <c r="AF65" s="20"/>
    </row>
    <row r="66" customFormat="false" ht="15.75" hidden="false" customHeight="false" outlineLevel="0" collapsed="false">
      <c r="A66" s="16" t="s">
        <v>42</v>
      </c>
      <c r="B66" s="16" t="s">
        <v>3427</v>
      </c>
      <c r="C66" s="71" t="s">
        <v>3554</v>
      </c>
      <c r="D66" s="16" t="s">
        <v>3558</v>
      </c>
      <c r="E66" s="16" t="s">
        <v>3559</v>
      </c>
      <c r="F66" s="16" t="n">
        <v>620.82</v>
      </c>
      <c r="G66" s="16" t="n">
        <v>124</v>
      </c>
      <c r="H66" s="16" t="n">
        <v>635</v>
      </c>
      <c r="I66" s="16" t="n">
        <v>328</v>
      </c>
      <c r="J66" s="16" t="n">
        <v>307</v>
      </c>
      <c r="K66" s="16" t="n">
        <v>15</v>
      </c>
      <c r="L66" s="19" t="n">
        <f aca="false">(K66/H66)*100</f>
        <v>2.36220472440945</v>
      </c>
      <c r="M66" s="16" t="n">
        <v>3</v>
      </c>
      <c r="N66" s="19" t="n">
        <f aca="false">(M66/H66)*100</f>
        <v>0.47244094488189</v>
      </c>
      <c r="O66" s="16" t="n">
        <v>11.24</v>
      </c>
      <c r="P66" s="16" t="n">
        <v>0</v>
      </c>
      <c r="Q66" s="20"/>
      <c r="R66" s="20"/>
      <c r="S66" s="420"/>
      <c r="T66" s="20"/>
      <c r="U66" s="20"/>
      <c r="V66" s="16"/>
      <c r="W66" s="16"/>
      <c r="X66" s="16"/>
      <c r="Y66" s="16"/>
      <c r="Z66" s="16"/>
      <c r="AA66" s="89"/>
      <c r="AB66" s="89"/>
      <c r="AC66" s="36"/>
      <c r="AD66" s="20"/>
      <c r="AE66" s="20"/>
      <c r="AF66" s="20"/>
    </row>
    <row r="67" customFormat="false" ht="15.75" hidden="false" customHeight="false" outlineLevel="0" collapsed="false">
      <c r="A67" s="16" t="s">
        <v>42</v>
      </c>
      <c r="B67" s="16" t="s">
        <v>3427</v>
      </c>
      <c r="C67" s="71" t="s">
        <v>3554</v>
      </c>
      <c r="D67" s="16" t="s">
        <v>3560</v>
      </c>
      <c r="E67" s="16" t="s">
        <v>3561</v>
      </c>
      <c r="F67" s="16" t="n">
        <v>1142.57</v>
      </c>
      <c r="G67" s="16" t="n">
        <v>228</v>
      </c>
      <c r="H67" s="16" t="n">
        <v>1391</v>
      </c>
      <c r="I67" s="16" t="n">
        <v>713</v>
      </c>
      <c r="J67" s="16" t="n">
        <v>678</v>
      </c>
      <c r="K67" s="16" t="n">
        <v>62</v>
      </c>
      <c r="L67" s="19" t="n">
        <f aca="false">(K67/H67)*100</f>
        <v>4.45722501797268</v>
      </c>
      <c r="M67" s="16" t="n">
        <v>0</v>
      </c>
      <c r="N67" s="19" t="n">
        <f aca="false">(M67/H67)*100</f>
        <v>0</v>
      </c>
      <c r="O67" s="16" t="n">
        <v>0</v>
      </c>
      <c r="P67" s="16" t="n">
        <v>0</v>
      </c>
      <c r="Q67" s="20"/>
      <c r="R67" s="20"/>
      <c r="S67" s="420"/>
      <c r="T67" s="20"/>
      <c r="U67" s="20"/>
      <c r="V67" s="16"/>
      <c r="W67" s="16"/>
      <c r="X67" s="16"/>
      <c r="Y67" s="16"/>
      <c r="Z67" s="16"/>
      <c r="AA67" s="89"/>
      <c r="AB67" s="89"/>
      <c r="AC67" s="36"/>
      <c r="AD67" s="20"/>
      <c r="AE67" s="20"/>
      <c r="AF67" s="20"/>
    </row>
    <row r="68" customFormat="false" ht="15.75" hidden="false" customHeight="false" outlineLevel="0" collapsed="false">
      <c r="A68" s="16" t="s">
        <v>42</v>
      </c>
      <c r="B68" s="16" t="s">
        <v>3427</v>
      </c>
      <c r="C68" s="71" t="s">
        <v>3562</v>
      </c>
      <c r="D68" s="72" t="s">
        <v>3562</v>
      </c>
      <c r="E68" s="16" t="s">
        <v>3563</v>
      </c>
      <c r="F68" s="16" t="n">
        <v>1638.36</v>
      </c>
      <c r="G68" s="16" t="n">
        <v>349</v>
      </c>
      <c r="H68" s="16" t="n">
        <v>2065</v>
      </c>
      <c r="I68" s="16" t="n">
        <v>1097</v>
      </c>
      <c r="J68" s="16" t="n">
        <v>968</v>
      </c>
      <c r="K68" s="16" t="n">
        <v>227</v>
      </c>
      <c r="L68" s="19" t="n">
        <f aca="false">(K68/H68)*100</f>
        <v>10.9927360774818</v>
      </c>
      <c r="M68" s="16" t="n">
        <v>19</v>
      </c>
      <c r="N68" s="19" t="n">
        <f aca="false">(M68/H68)*100</f>
        <v>0.920096852300242</v>
      </c>
      <c r="O68" s="16" t="n">
        <v>34</v>
      </c>
      <c r="P68" s="16" t="n">
        <v>0</v>
      </c>
      <c r="Q68" s="20"/>
      <c r="R68" s="20"/>
      <c r="S68" s="420"/>
      <c r="T68" s="20"/>
      <c r="U68" s="20"/>
      <c r="V68" s="16"/>
      <c r="W68" s="16"/>
      <c r="X68" s="16"/>
      <c r="Y68" s="16"/>
      <c r="Z68" s="16"/>
      <c r="AA68" s="89"/>
      <c r="AB68" s="89"/>
      <c r="AC68" s="36"/>
      <c r="AD68" s="20"/>
      <c r="AE68" s="20"/>
      <c r="AF68" s="20"/>
    </row>
    <row r="69" customFormat="false" ht="15.75" hidden="false" customHeight="false" outlineLevel="0" collapsed="false">
      <c r="A69" s="16" t="s">
        <v>42</v>
      </c>
      <c r="B69" s="16" t="s">
        <v>3427</v>
      </c>
      <c r="C69" s="71" t="s">
        <v>3562</v>
      </c>
      <c r="D69" s="16" t="s">
        <v>3564</v>
      </c>
      <c r="E69" s="16" t="s">
        <v>3565</v>
      </c>
      <c r="F69" s="16" t="n">
        <v>502.06</v>
      </c>
      <c r="G69" s="16" t="n">
        <v>90</v>
      </c>
      <c r="H69" s="16" t="n">
        <v>580</v>
      </c>
      <c r="I69" s="16" t="n">
        <v>316</v>
      </c>
      <c r="J69" s="16" t="n">
        <v>264</v>
      </c>
      <c r="K69" s="16" t="n">
        <v>168</v>
      </c>
      <c r="L69" s="19" t="n">
        <f aca="false">(K69/H69)*100</f>
        <v>28.9655172413793</v>
      </c>
      <c r="M69" s="16" t="n">
        <v>0</v>
      </c>
      <c r="N69" s="19" t="n">
        <f aca="false">(M69/H69)*100</f>
        <v>0</v>
      </c>
      <c r="O69" s="16" t="n">
        <v>26.64</v>
      </c>
      <c r="P69" s="16" t="n">
        <v>0</v>
      </c>
      <c r="Q69" s="20"/>
      <c r="R69" s="20"/>
      <c r="S69" s="420"/>
      <c r="T69" s="20"/>
      <c r="U69" s="20"/>
      <c r="V69" s="16"/>
      <c r="W69" s="16"/>
      <c r="X69" s="16"/>
      <c r="Y69" s="16"/>
      <c r="Z69" s="16"/>
      <c r="AA69" s="89"/>
      <c r="AB69" s="89"/>
      <c r="AC69" s="36"/>
      <c r="AD69" s="20"/>
      <c r="AE69" s="20"/>
      <c r="AF69" s="20"/>
    </row>
    <row r="70" customFormat="false" ht="15.75" hidden="false" customHeight="false" outlineLevel="0" collapsed="false">
      <c r="A70" s="16" t="s">
        <v>42</v>
      </c>
      <c r="B70" s="16" t="s">
        <v>3427</v>
      </c>
      <c r="C70" s="71" t="s">
        <v>3562</v>
      </c>
      <c r="D70" s="16" t="s">
        <v>109</v>
      </c>
      <c r="E70" s="16" t="s">
        <v>3566</v>
      </c>
      <c r="F70" s="16" t="n">
        <v>450</v>
      </c>
      <c r="G70" s="16" t="n">
        <v>83</v>
      </c>
      <c r="H70" s="16" t="n">
        <v>514</v>
      </c>
      <c r="I70" s="16" t="n">
        <v>262</v>
      </c>
      <c r="J70" s="16" t="n">
        <v>252</v>
      </c>
      <c r="K70" s="16" t="n">
        <v>241</v>
      </c>
      <c r="L70" s="19" t="n">
        <f aca="false">(K70/H70)*100</f>
        <v>46.8871595330739</v>
      </c>
      <c r="M70" s="16" t="n">
        <v>0</v>
      </c>
      <c r="N70" s="19" t="n">
        <f aca="false">(M70/H70)*100</f>
        <v>0</v>
      </c>
      <c r="O70" s="16" t="n">
        <v>0</v>
      </c>
      <c r="P70" s="16" t="n">
        <v>0</v>
      </c>
      <c r="Q70" s="20"/>
      <c r="R70" s="20"/>
      <c r="S70" s="420"/>
      <c r="T70" s="20"/>
      <c r="U70" s="20"/>
      <c r="V70" s="16"/>
      <c r="W70" s="16"/>
      <c r="X70" s="16"/>
      <c r="Y70" s="16"/>
      <c r="Z70" s="16"/>
      <c r="AA70" s="89"/>
      <c r="AB70" s="89"/>
      <c r="AC70" s="36"/>
      <c r="AD70" s="20"/>
      <c r="AE70" s="20"/>
      <c r="AF70" s="20"/>
    </row>
    <row r="71" customFormat="false" ht="15.75" hidden="false" customHeight="false" outlineLevel="0" collapsed="false">
      <c r="A71" s="16" t="s">
        <v>42</v>
      </c>
      <c r="B71" s="16" t="s">
        <v>3427</v>
      </c>
      <c r="C71" s="71" t="s">
        <v>3567</v>
      </c>
      <c r="D71" s="72" t="s">
        <v>3568</v>
      </c>
      <c r="E71" s="16" t="s">
        <v>3569</v>
      </c>
      <c r="F71" s="16" t="n">
        <v>1499.12</v>
      </c>
      <c r="G71" s="16" t="n">
        <v>351</v>
      </c>
      <c r="H71" s="16" t="n">
        <v>2280</v>
      </c>
      <c r="I71" s="16" t="n">
        <v>1205</v>
      </c>
      <c r="J71" s="16" t="n">
        <v>1075</v>
      </c>
      <c r="K71" s="16" t="n">
        <v>660</v>
      </c>
      <c r="L71" s="19" t="n">
        <f aca="false">(K71/H71)*100</f>
        <v>28.9473684210526</v>
      </c>
      <c r="M71" s="16" t="n">
        <v>99</v>
      </c>
      <c r="N71" s="19" t="n">
        <f aca="false">(M71/H71)*100</f>
        <v>4.3421052631579</v>
      </c>
      <c r="O71" s="16" t="n">
        <v>32.02</v>
      </c>
      <c r="P71" s="16" t="n">
        <v>0</v>
      </c>
      <c r="Q71" s="20"/>
      <c r="R71" s="20"/>
      <c r="S71" s="420"/>
      <c r="T71" s="20"/>
      <c r="U71" s="20"/>
      <c r="V71" s="16"/>
      <c r="W71" s="16"/>
      <c r="X71" s="16"/>
      <c r="Y71" s="16"/>
      <c r="Z71" s="16"/>
      <c r="AA71" s="89"/>
      <c r="AB71" s="89"/>
      <c r="AC71" s="36"/>
      <c r="AD71" s="20"/>
      <c r="AE71" s="20"/>
      <c r="AF71" s="20"/>
    </row>
    <row r="72" customFormat="false" ht="15.75" hidden="false" customHeight="false" outlineLevel="0" collapsed="false">
      <c r="A72" s="16" t="s">
        <v>42</v>
      </c>
      <c r="B72" s="16" t="s">
        <v>3427</v>
      </c>
      <c r="C72" s="71" t="s">
        <v>3567</v>
      </c>
      <c r="D72" s="16" t="s">
        <v>3570</v>
      </c>
      <c r="E72" s="16" t="s">
        <v>3571</v>
      </c>
      <c r="F72" s="16" t="n">
        <v>590.85</v>
      </c>
      <c r="G72" s="16" t="n">
        <v>104</v>
      </c>
      <c r="H72" s="16" t="n">
        <v>593</v>
      </c>
      <c r="I72" s="16" t="n">
        <v>294</v>
      </c>
      <c r="J72" s="16" t="n">
        <v>299</v>
      </c>
      <c r="K72" s="16" t="n">
        <v>6</v>
      </c>
      <c r="L72" s="19" t="n">
        <f aca="false">(K72/H72)*100</f>
        <v>1.01180438448567</v>
      </c>
      <c r="M72" s="16" t="n">
        <v>0</v>
      </c>
      <c r="N72" s="19" t="n">
        <f aca="false">(M72/H72)*100</f>
        <v>0</v>
      </c>
      <c r="O72" s="16" t="n">
        <v>20.02</v>
      </c>
      <c r="P72" s="16" t="n">
        <v>0</v>
      </c>
      <c r="Q72" s="20"/>
      <c r="R72" s="20"/>
      <c r="S72" s="420"/>
      <c r="T72" s="20"/>
      <c r="U72" s="20"/>
      <c r="V72" s="16"/>
      <c r="W72" s="16"/>
      <c r="X72" s="16"/>
      <c r="Y72" s="16"/>
      <c r="Z72" s="16"/>
      <c r="AA72" s="89"/>
      <c r="AB72" s="89"/>
      <c r="AC72" s="36"/>
      <c r="AD72" s="20"/>
      <c r="AE72" s="20"/>
      <c r="AF72" s="20"/>
    </row>
    <row r="73" customFormat="false" ht="15.75" hidden="false" customHeight="false" outlineLevel="0" collapsed="false">
      <c r="A73" s="16" t="s">
        <v>42</v>
      </c>
      <c r="B73" s="16" t="s">
        <v>3427</v>
      </c>
      <c r="C73" s="71" t="s">
        <v>3567</v>
      </c>
      <c r="D73" s="16" t="s">
        <v>2229</v>
      </c>
      <c r="E73" s="16" t="s">
        <v>3572</v>
      </c>
      <c r="F73" s="16" t="n">
        <v>620.52</v>
      </c>
      <c r="G73" s="16" t="n">
        <v>153</v>
      </c>
      <c r="H73" s="16" t="n">
        <v>915</v>
      </c>
      <c r="I73" s="16" t="n">
        <v>473</v>
      </c>
      <c r="J73" s="16" t="n">
        <v>442</v>
      </c>
      <c r="K73" s="16" t="n">
        <v>0</v>
      </c>
      <c r="L73" s="19" t="n">
        <f aca="false">(K73/H73)*100</f>
        <v>0</v>
      </c>
      <c r="M73" s="16" t="n">
        <v>0</v>
      </c>
      <c r="N73" s="19" t="n">
        <f aca="false">(M73/H73)*100</f>
        <v>0</v>
      </c>
      <c r="O73" s="16" t="n">
        <v>17.05</v>
      </c>
      <c r="P73" s="16" t="n">
        <v>0</v>
      </c>
      <c r="Q73" s="20"/>
      <c r="R73" s="20"/>
      <c r="S73" s="420"/>
      <c r="T73" s="20"/>
      <c r="U73" s="20"/>
      <c r="V73" s="16"/>
      <c r="W73" s="16"/>
      <c r="X73" s="16"/>
      <c r="Y73" s="16"/>
      <c r="Z73" s="16"/>
      <c r="AA73" s="89"/>
      <c r="AB73" s="89"/>
      <c r="AC73" s="36"/>
      <c r="AD73" s="20"/>
      <c r="AE73" s="20"/>
      <c r="AF73" s="20"/>
    </row>
    <row r="74" customFormat="false" ht="15.75" hidden="false" customHeight="false" outlineLevel="0" collapsed="false">
      <c r="A74" s="16" t="s">
        <v>42</v>
      </c>
      <c r="B74" s="16" t="s">
        <v>3427</v>
      </c>
      <c r="C74" s="71" t="s">
        <v>3573</v>
      </c>
      <c r="D74" s="72" t="s">
        <v>3574</v>
      </c>
      <c r="E74" s="16" t="s">
        <v>3575</v>
      </c>
      <c r="F74" s="16" t="n">
        <v>2131.05</v>
      </c>
      <c r="G74" s="16" t="n">
        <v>447</v>
      </c>
      <c r="H74" s="16" t="n">
        <v>3023</v>
      </c>
      <c r="I74" s="16" t="n">
        <v>1581</v>
      </c>
      <c r="J74" s="16" t="n">
        <v>1442</v>
      </c>
      <c r="K74" s="16" t="n">
        <v>333</v>
      </c>
      <c r="L74" s="19" t="n">
        <f aca="false">(K74/H74)*100</f>
        <v>11.0155474694013</v>
      </c>
      <c r="M74" s="16" t="n">
        <v>191</v>
      </c>
      <c r="N74" s="19" t="n">
        <f aca="false">(M74/H74)*100</f>
        <v>6.31822692689381</v>
      </c>
      <c r="O74" s="16" t="n">
        <v>88.68</v>
      </c>
      <c r="P74" s="16" t="n">
        <v>0</v>
      </c>
      <c r="Q74" s="20"/>
      <c r="R74" s="20"/>
      <c r="S74" s="420"/>
      <c r="T74" s="20"/>
      <c r="U74" s="20"/>
      <c r="V74" s="16"/>
      <c r="W74" s="16"/>
      <c r="X74" s="16"/>
      <c r="Y74" s="16"/>
      <c r="Z74" s="16"/>
      <c r="AA74" s="89"/>
      <c r="AB74" s="89"/>
      <c r="AC74" s="36"/>
      <c r="AD74" s="20"/>
      <c r="AE74" s="20"/>
      <c r="AF74" s="20"/>
    </row>
    <row r="75" customFormat="false" ht="15.75" hidden="false" customHeight="false" outlineLevel="0" collapsed="false">
      <c r="A75" s="16" t="s">
        <v>42</v>
      </c>
      <c r="B75" s="16" t="s">
        <v>3427</v>
      </c>
      <c r="C75" s="71" t="s">
        <v>3573</v>
      </c>
      <c r="D75" s="16" t="s">
        <v>3576</v>
      </c>
      <c r="E75" s="16" t="s">
        <v>3577</v>
      </c>
      <c r="F75" s="16" t="n">
        <v>1537.8</v>
      </c>
      <c r="G75" s="16" t="n">
        <v>178</v>
      </c>
      <c r="H75" s="16" t="n">
        <v>1146</v>
      </c>
      <c r="I75" s="16" t="n">
        <v>617</v>
      </c>
      <c r="J75" s="16" t="n">
        <v>529</v>
      </c>
      <c r="K75" s="16" t="n">
        <v>14</v>
      </c>
      <c r="L75" s="19" t="n">
        <f aca="false">(K75/H75)*100</f>
        <v>1.2216404886562</v>
      </c>
      <c r="M75" s="16" t="n">
        <v>76</v>
      </c>
      <c r="N75" s="19" t="n">
        <f aca="false">(M75/H75)*100</f>
        <v>6.63176265270506</v>
      </c>
      <c r="O75" s="16" t="n">
        <v>32.46</v>
      </c>
      <c r="P75" s="16" t="n">
        <v>0</v>
      </c>
      <c r="Q75" s="20"/>
      <c r="R75" s="20"/>
      <c r="S75" s="420"/>
      <c r="T75" s="20"/>
      <c r="U75" s="20"/>
      <c r="V75" s="16"/>
      <c r="W75" s="16"/>
      <c r="X75" s="16"/>
      <c r="Y75" s="16"/>
      <c r="Z75" s="16"/>
      <c r="AA75" s="89"/>
      <c r="AB75" s="89"/>
      <c r="AC75" s="36"/>
      <c r="AD75" s="20"/>
      <c r="AE75" s="20"/>
      <c r="AF75" s="20"/>
    </row>
    <row r="76" customFormat="false" ht="13.5" hidden="false" customHeight="true" outlineLevel="0" collapsed="false">
      <c r="A76" s="16" t="s">
        <v>42</v>
      </c>
      <c r="B76" s="16" t="s">
        <v>3427</v>
      </c>
      <c r="C76" s="71" t="s">
        <v>3578</v>
      </c>
      <c r="D76" s="72" t="s">
        <v>378</v>
      </c>
      <c r="E76" s="16" t="s">
        <v>3579</v>
      </c>
      <c r="F76" s="16" t="n">
        <v>1767.38</v>
      </c>
      <c r="G76" s="16" t="n">
        <v>487</v>
      </c>
      <c r="H76" s="16" t="n">
        <v>2787</v>
      </c>
      <c r="I76" s="16" t="n">
        <v>1446</v>
      </c>
      <c r="J76" s="16" t="n">
        <v>1341</v>
      </c>
      <c r="K76" s="16" t="n">
        <v>776</v>
      </c>
      <c r="L76" s="19" t="n">
        <f aca="false">(K76/H76)*100</f>
        <v>27.8435593828489</v>
      </c>
      <c r="M76" s="16" t="n">
        <v>27</v>
      </c>
      <c r="N76" s="19" t="n">
        <f aca="false">(M76/H76)*100</f>
        <v>0.968783638320775</v>
      </c>
      <c r="O76" s="16" t="n">
        <v>155.44</v>
      </c>
      <c r="P76" s="16" t="n">
        <v>0</v>
      </c>
      <c r="Q76" s="24" t="s">
        <v>49</v>
      </c>
      <c r="R76" s="421" t="n">
        <v>45055</v>
      </c>
      <c r="S76" s="420"/>
      <c r="T76" s="24" t="n">
        <v>3.9659</v>
      </c>
      <c r="U76" s="20"/>
      <c r="V76" s="16"/>
      <c r="W76" s="16"/>
      <c r="X76" s="16"/>
      <c r="Y76" s="16"/>
      <c r="Z76" s="16"/>
      <c r="AA76" s="92" t="s">
        <v>50</v>
      </c>
      <c r="AB76" s="92" t="n">
        <v>8</v>
      </c>
      <c r="AC76" s="96" t="s">
        <v>3580</v>
      </c>
      <c r="AD76" s="24"/>
      <c r="AE76" s="24"/>
      <c r="AF76" s="20"/>
    </row>
    <row r="77" customFormat="false" ht="15.75" hidden="false" customHeight="false" outlineLevel="0" collapsed="false">
      <c r="A77" s="16" t="s">
        <v>42</v>
      </c>
      <c r="B77" s="16" t="s">
        <v>3427</v>
      </c>
      <c r="C77" s="71" t="s">
        <v>3578</v>
      </c>
      <c r="D77" s="16" t="s">
        <v>3581</v>
      </c>
      <c r="E77" s="16" t="s">
        <v>3582</v>
      </c>
      <c r="F77" s="16" t="n">
        <v>938.85</v>
      </c>
      <c r="G77" s="16" t="n">
        <v>184</v>
      </c>
      <c r="H77" s="16" t="n">
        <v>1007</v>
      </c>
      <c r="I77" s="16" t="n">
        <v>517</v>
      </c>
      <c r="J77" s="16" t="n">
        <v>490</v>
      </c>
      <c r="K77" s="16" t="n">
        <v>0</v>
      </c>
      <c r="L77" s="19" t="n">
        <f aca="false">(K77/H77)*100</f>
        <v>0</v>
      </c>
      <c r="M77" s="16" t="n">
        <v>0</v>
      </c>
      <c r="N77" s="19" t="n">
        <f aca="false">(M77/H77)*100</f>
        <v>0</v>
      </c>
      <c r="O77" s="16" t="n">
        <v>0</v>
      </c>
      <c r="P77" s="16" t="n">
        <v>0</v>
      </c>
      <c r="Q77" s="20" t="s">
        <v>49</v>
      </c>
      <c r="R77" s="153" t="n">
        <v>45056</v>
      </c>
      <c r="S77" s="420"/>
      <c r="T77" s="20" t="n">
        <v>70.488</v>
      </c>
      <c r="U77" s="20"/>
      <c r="V77" s="16"/>
      <c r="W77" s="16"/>
      <c r="X77" s="16"/>
      <c r="Y77" s="16"/>
      <c r="Z77" s="16"/>
      <c r="AA77" s="89" t="s">
        <v>50</v>
      </c>
      <c r="AB77" s="89" t="n">
        <v>0</v>
      </c>
      <c r="AC77" s="36"/>
      <c r="AD77" s="20" t="n">
        <v>0</v>
      </c>
      <c r="AE77" s="20" t="n">
        <v>0</v>
      </c>
      <c r="AF77" s="20"/>
    </row>
    <row r="78" customFormat="false" ht="15.75" hidden="false" customHeight="false" outlineLevel="0" collapsed="false">
      <c r="A78" s="16" t="s">
        <v>42</v>
      </c>
      <c r="B78" s="16" t="s">
        <v>3427</v>
      </c>
      <c r="C78" s="71" t="s">
        <v>3578</v>
      </c>
      <c r="D78" s="16" t="s">
        <v>3583</v>
      </c>
      <c r="E78" s="16" t="s">
        <v>3584</v>
      </c>
      <c r="F78" s="16" t="n">
        <v>888.5</v>
      </c>
      <c r="G78" s="16" t="n">
        <v>185</v>
      </c>
      <c r="H78" s="16" t="n">
        <v>1151</v>
      </c>
      <c r="I78" s="16" t="n">
        <v>615</v>
      </c>
      <c r="J78" s="16" t="n">
        <v>536</v>
      </c>
      <c r="K78" s="16" t="n">
        <v>122</v>
      </c>
      <c r="L78" s="19" t="n">
        <f aca="false">(K78/H78)*100</f>
        <v>10.5994787141616</v>
      </c>
      <c r="M78" s="16" t="n">
        <v>0</v>
      </c>
      <c r="N78" s="19" t="n">
        <f aca="false">(M78/H78)*100</f>
        <v>0</v>
      </c>
      <c r="O78" s="16" t="n">
        <v>0</v>
      </c>
      <c r="P78" s="16" t="n">
        <v>0</v>
      </c>
      <c r="Q78" s="20" t="s">
        <v>49</v>
      </c>
      <c r="R78" s="153" t="n">
        <v>45056</v>
      </c>
      <c r="S78" s="420"/>
      <c r="T78" s="20"/>
      <c r="U78" s="20"/>
      <c r="V78" s="16"/>
      <c r="W78" s="16"/>
      <c r="X78" s="16"/>
      <c r="Y78" s="16"/>
      <c r="Z78" s="16"/>
      <c r="AA78" s="89" t="s">
        <v>50</v>
      </c>
      <c r="AB78" s="89" t="n">
        <v>0</v>
      </c>
      <c r="AC78" s="36"/>
      <c r="AD78" s="20" t="n">
        <v>0</v>
      </c>
      <c r="AE78" s="20" t="n">
        <v>0</v>
      </c>
      <c r="AF78" s="20"/>
    </row>
    <row r="79" customFormat="false" ht="15.75" hidden="false" customHeight="false" outlineLevel="0" collapsed="false">
      <c r="A79" s="16" t="s">
        <v>42</v>
      </c>
      <c r="B79" s="16" t="s">
        <v>3427</v>
      </c>
      <c r="C79" s="71" t="s">
        <v>3585</v>
      </c>
      <c r="D79" s="72" t="s">
        <v>3586</v>
      </c>
      <c r="E79" s="16" t="s">
        <v>3587</v>
      </c>
      <c r="F79" s="16" t="n">
        <v>864.11</v>
      </c>
      <c r="G79" s="16" t="n">
        <v>234</v>
      </c>
      <c r="H79" s="16" t="n">
        <v>1211</v>
      </c>
      <c r="I79" s="16" t="n">
        <v>637</v>
      </c>
      <c r="J79" s="16" t="n">
        <v>574</v>
      </c>
      <c r="K79" s="16" t="n">
        <v>444</v>
      </c>
      <c r="L79" s="19" t="n">
        <f aca="false">(K79/H79)*100</f>
        <v>36.6639141205615</v>
      </c>
      <c r="M79" s="16" t="n">
        <v>0</v>
      </c>
      <c r="N79" s="19" t="n">
        <f aca="false">(M79/H79)*100</f>
        <v>0</v>
      </c>
      <c r="O79" s="16" t="n">
        <v>2.49</v>
      </c>
      <c r="P79" s="16" t="n">
        <v>0</v>
      </c>
      <c r="Q79" s="53" t="s">
        <v>49</v>
      </c>
      <c r="R79" s="53" t="n">
        <v>45771</v>
      </c>
      <c r="S79" s="420"/>
      <c r="T79" s="45" t="n">
        <v>0</v>
      </c>
      <c r="U79" s="20" t="s">
        <v>50</v>
      </c>
      <c r="V79" s="16"/>
      <c r="W79" s="16"/>
      <c r="X79" s="16"/>
      <c r="Y79" s="16"/>
      <c r="Z79" s="16"/>
      <c r="AA79" s="119" t="s">
        <v>50</v>
      </c>
      <c r="AB79" s="119" t="n">
        <v>0</v>
      </c>
      <c r="AC79" s="340"/>
      <c r="AD79" s="45"/>
      <c r="AE79" s="45"/>
      <c r="AF79" s="20" t="s">
        <v>52</v>
      </c>
    </row>
    <row r="80" customFormat="false" ht="34.5" hidden="false" customHeight="false" outlineLevel="0" collapsed="false">
      <c r="A80" s="16" t="s">
        <v>42</v>
      </c>
      <c r="B80" s="16" t="s">
        <v>3427</v>
      </c>
      <c r="C80" s="71" t="s">
        <v>3585</v>
      </c>
      <c r="D80" s="16" t="s">
        <v>3588</v>
      </c>
      <c r="E80" s="16" t="s">
        <v>3589</v>
      </c>
      <c r="F80" s="16" t="n">
        <v>716.67</v>
      </c>
      <c r="G80" s="16" t="n">
        <v>183</v>
      </c>
      <c r="H80" s="16" t="n">
        <v>969</v>
      </c>
      <c r="I80" s="16" t="n">
        <v>505</v>
      </c>
      <c r="J80" s="16" t="n">
        <v>464</v>
      </c>
      <c r="K80" s="16" t="n">
        <v>0</v>
      </c>
      <c r="L80" s="19" t="n">
        <f aca="false">(K80/H80)*100</f>
        <v>0</v>
      </c>
      <c r="M80" s="16" t="n">
        <v>3</v>
      </c>
      <c r="N80" s="19" t="n">
        <f aca="false">(M80/H80)*100</f>
        <v>0.309597523219814</v>
      </c>
      <c r="O80" s="16" t="n">
        <v>134.1</v>
      </c>
      <c r="P80" s="16" t="n">
        <v>0</v>
      </c>
      <c r="Q80" s="53" t="s">
        <v>49</v>
      </c>
      <c r="R80" s="53" t="n">
        <v>45771</v>
      </c>
      <c r="S80" s="420"/>
      <c r="T80" s="45" t="n">
        <v>75.88</v>
      </c>
      <c r="U80" s="20" t="s">
        <v>50</v>
      </c>
      <c r="V80" s="16"/>
      <c r="W80" s="16"/>
      <c r="X80" s="16"/>
      <c r="Y80" s="16"/>
      <c r="Z80" s="16"/>
      <c r="AA80" s="119" t="s">
        <v>50</v>
      </c>
      <c r="AB80" s="119" t="n">
        <v>10</v>
      </c>
      <c r="AC80" s="120" t="s">
        <v>3590</v>
      </c>
      <c r="AD80" s="45"/>
      <c r="AE80" s="45"/>
      <c r="AF80" s="20" t="s">
        <v>52</v>
      </c>
    </row>
    <row r="81" customFormat="false" ht="34.5" hidden="false" customHeight="false" outlineLevel="0" collapsed="false">
      <c r="A81" s="16" t="s">
        <v>42</v>
      </c>
      <c r="B81" s="16" t="s">
        <v>3427</v>
      </c>
      <c r="C81" s="71" t="s">
        <v>3585</v>
      </c>
      <c r="D81" s="16" t="s">
        <v>3591</v>
      </c>
      <c r="E81" s="16" t="s">
        <v>3592</v>
      </c>
      <c r="F81" s="16" t="n">
        <v>790.78</v>
      </c>
      <c r="G81" s="16" t="n">
        <v>357</v>
      </c>
      <c r="H81" s="16" t="n">
        <v>1877</v>
      </c>
      <c r="I81" s="16" t="n">
        <v>964</v>
      </c>
      <c r="J81" s="16" t="n">
        <v>913</v>
      </c>
      <c r="K81" s="16" t="n">
        <v>263</v>
      </c>
      <c r="L81" s="19" t="n">
        <f aca="false">(K81/H81)*100</f>
        <v>14.0117208311135</v>
      </c>
      <c r="M81" s="16" t="n">
        <v>0</v>
      </c>
      <c r="N81" s="19" t="n">
        <f aca="false">(M81/H81)*100</f>
        <v>0</v>
      </c>
      <c r="O81" s="16" t="n">
        <v>102.15</v>
      </c>
      <c r="P81" s="16" t="n">
        <v>0</v>
      </c>
      <c r="Q81" s="53" t="s">
        <v>49</v>
      </c>
      <c r="R81" s="53" t="n">
        <v>45771</v>
      </c>
      <c r="S81" s="420"/>
      <c r="T81" s="45" t="n">
        <v>58.61</v>
      </c>
      <c r="U81" s="20" t="s">
        <v>50</v>
      </c>
      <c r="V81" s="16"/>
      <c r="W81" s="16"/>
      <c r="X81" s="16"/>
      <c r="Y81" s="16"/>
      <c r="Z81" s="16"/>
      <c r="AA81" s="119" t="s">
        <v>50</v>
      </c>
      <c r="AB81" s="119" t="n">
        <v>5</v>
      </c>
      <c r="AC81" s="120" t="s">
        <v>3593</v>
      </c>
      <c r="AD81" s="45"/>
      <c r="AE81" s="45"/>
      <c r="AF81" s="20" t="s">
        <v>52</v>
      </c>
    </row>
    <row r="82" customFormat="false" ht="16.5" hidden="false" customHeight="true" outlineLevel="0" collapsed="false">
      <c r="A82" s="16"/>
      <c r="B82" s="16"/>
      <c r="C82" s="71"/>
      <c r="D82" s="16"/>
      <c r="E82" s="16"/>
      <c r="F82" s="16"/>
      <c r="G82" s="16"/>
      <c r="H82" s="16"/>
      <c r="I82" s="16"/>
      <c r="J82" s="16"/>
      <c r="K82" s="16"/>
      <c r="L82" s="19"/>
      <c r="M82" s="16"/>
      <c r="N82" s="19"/>
      <c r="O82" s="16"/>
      <c r="P82" s="16"/>
      <c r="Q82" s="121" t="s">
        <v>49</v>
      </c>
      <c r="R82" s="121"/>
      <c r="S82" s="420"/>
      <c r="T82" s="123"/>
      <c r="U82" s="20"/>
      <c r="V82" s="16"/>
      <c r="W82" s="16"/>
      <c r="X82" s="16"/>
      <c r="Y82" s="16"/>
      <c r="Z82" s="16"/>
      <c r="AA82" s="125" t="s">
        <v>50</v>
      </c>
      <c r="AB82" s="125" t="n">
        <v>5</v>
      </c>
      <c r="AC82" s="126" t="s">
        <v>3594</v>
      </c>
      <c r="AD82" s="123"/>
      <c r="AE82" s="123"/>
      <c r="AF82" s="20" t="s">
        <v>52</v>
      </c>
    </row>
    <row r="83" customFormat="false" ht="17.25" hidden="false" customHeight="false" outlineLevel="0" collapsed="false">
      <c r="A83" s="16" t="s">
        <v>42</v>
      </c>
      <c r="B83" s="16" t="s">
        <v>3427</v>
      </c>
      <c r="C83" s="71" t="s">
        <v>3585</v>
      </c>
      <c r="D83" s="16" t="s">
        <v>3595</v>
      </c>
      <c r="E83" s="16" t="s">
        <v>3596</v>
      </c>
      <c r="F83" s="16" t="n">
        <v>559.74</v>
      </c>
      <c r="G83" s="16" t="n">
        <v>99</v>
      </c>
      <c r="H83" s="16" t="n">
        <v>552</v>
      </c>
      <c r="I83" s="16" t="n">
        <v>299</v>
      </c>
      <c r="J83" s="16" t="n">
        <v>253</v>
      </c>
      <c r="K83" s="16" t="n">
        <v>68</v>
      </c>
      <c r="L83" s="19" t="n">
        <f aca="false">(K83/H83)*100</f>
        <v>12.3188405797101</v>
      </c>
      <c r="M83" s="16" t="n">
        <v>0</v>
      </c>
      <c r="N83" s="19" t="n">
        <f aca="false">(M83/H83)*100</f>
        <v>0</v>
      </c>
      <c r="O83" s="16" t="n">
        <v>5.46</v>
      </c>
      <c r="P83" s="16" t="n">
        <v>0</v>
      </c>
      <c r="Q83" s="53" t="s">
        <v>49</v>
      </c>
      <c r="R83" s="53" t="n">
        <v>45771</v>
      </c>
      <c r="S83" s="420"/>
      <c r="T83" s="45" t="n">
        <v>1.77</v>
      </c>
      <c r="U83" s="20" t="s">
        <v>50</v>
      </c>
      <c r="V83" s="16"/>
      <c r="W83" s="16"/>
      <c r="X83" s="16"/>
      <c r="Y83" s="16"/>
      <c r="Z83" s="16"/>
      <c r="AA83" s="119" t="s">
        <v>50</v>
      </c>
      <c r="AB83" s="119" t="n">
        <v>6</v>
      </c>
      <c r="AC83" s="120" t="s">
        <v>3597</v>
      </c>
      <c r="AD83" s="45"/>
      <c r="AE83" s="45"/>
      <c r="AF83" s="20"/>
    </row>
    <row r="84" customFormat="false" ht="15.75" hidden="false" customHeight="false" outlineLevel="0" collapsed="false">
      <c r="A84" s="16" t="s">
        <v>42</v>
      </c>
      <c r="B84" s="16" t="s">
        <v>3427</v>
      </c>
      <c r="C84" s="71" t="s">
        <v>3598</v>
      </c>
      <c r="D84" s="72" t="s">
        <v>3599</v>
      </c>
      <c r="E84" s="16" t="s">
        <v>3600</v>
      </c>
      <c r="F84" s="16" t="n">
        <v>1522.7</v>
      </c>
      <c r="G84" s="16" t="n">
        <v>309</v>
      </c>
      <c r="H84" s="16" t="n">
        <v>2039</v>
      </c>
      <c r="I84" s="16" t="n">
        <v>1064</v>
      </c>
      <c r="J84" s="16" t="n">
        <v>975</v>
      </c>
      <c r="K84" s="16" t="n">
        <v>448</v>
      </c>
      <c r="L84" s="19" t="n">
        <f aca="false">(K84/H84)*100</f>
        <v>21.9715546836685</v>
      </c>
      <c r="M84" s="16" t="n">
        <v>63</v>
      </c>
      <c r="N84" s="19" t="n">
        <f aca="false">(M84/H84)*100</f>
        <v>3.08974987739088</v>
      </c>
      <c r="O84" s="16" t="n">
        <v>164</v>
      </c>
      <c r="P84" s="16" t="n">
        <v>0</v>
      </c>
      <c r="Q84" s="94" t="s">
        <v>50</v>
      </c>
      <c r="R84" s="109" t="n">
        <v>44196</v>
      </c>
      <c r="S84" s="420"/>
      <c r="T84" s="94" t="n">
        <v>51.5811</v>
      </c>
      <c r="U84" s="20"/>
      <c r="V84" s="16"/>
      <c r="W84" s="16"/>
      <c r="X84" s="16"/>
      <c r="Y84" s="16"/>
      <c r="Z84" s="16"/>
      <c r="AA84" s="92" t="s">
        <v>50</v>
      </c>
      <c r="AB84" s="76" t="n">
        <v>0</v>
      </c>
      <c r="AC84" s="107" t="s">
        <v>2931</v>
      </c>
      <c r="AD84" s="94" t="n">
        <v>26.898668</v>
      </c>
      <c r="AE84" s="94" t="n">
        <v>73.123632</v>
      </c>
      <c r="AF84" s="20"/>
    </row>
    <row r="85" customFormat="false" ht="15.75" hidden="false" customHeight="false" outlineLevel="0" collapsed="false">
      <c r="A85" s="16"/>
      <c r="B85" s="16"/>
      <c r="C85" s="71"/>
      <c r="D85" s="72"/>
      <c r="E85" s="16"/>
      <c r="F85" s="16"/>
      <c r="G85" s="16"/>
      <c r="H85" s="16"/>
      <c r="I85" s="16"/>
      <c r="J85" s="16"/>
      <c r="K85" s="16"/>
      <c r="L85" s="19"/>
      <c r="M85" s="16"/>
      <c r="N85" s="19"/>
      <c r="O85" s="16"/>
      <c r="P85" s="16"/>
      <c r="Q85" s="228"/>
      <c r="R85" s="228"/>
      <c r="S85" s="420"/>
      <c r="T85" s="228"/>
      <c r="U85" s="20"/>
      <c r="V85" s="16"/>
      <c r="W85" s="16"/>
      <c r="X85" s="16"/>
      <c r="Y85" s="16"/>
      <c r="Z85" s="16"/>
      <c r="AA85" s="93" t="s">
        <v>50</v>
      </c>
      <c r="AB85" s="93" t="n">
        <v>10</v>
      </c>
      <c r="AC85" s="98" t="s">
        <v>3601</v>
      </c>
      <c r="AD85" s="228"/>
      <c r="AE85" s="228"/>
      <c r="AF85" s="20"/>
    </row>
    <row r="86" customFormat="false" ht="31.5" hidden="false" customHeight="false" outlineLevel="0" collapsed="false">
      <c r="A86" s="16"/>
      <c r="B86" s="16"/>
      <c r="C86" s="71"/>
      <c r="D86" s="72"/>
      <c r="E86" s="16"/>
      <c r="F86" s="16"/>
      <c r="G86" s="16"/>
      <c r="H86" s="16"/>
      <c r="I86" s="16"/>
      <c r="J86" s="16"/>
      <c r="K86" s="16"/>
      <c r="L86" s="19"/>
      <c r="M86" s="16"/>
      <c r="N86" s="19"/>
      <c r="O86" s="16"/>
      <c r="P86" s="16"/>
      <c r="Q86" s="228"/>
      <c r="R86" s="228"/>
      <c r="S86" s="420"/>
      <c r="T86" s="228"/>
      <c r="U86" s="20"/>
      <c r="V86" s="16"/>
      <c r="W86" s="16"/>
      <c r="X86" s="16"/>
      <c r="Y86" s="16"/>
      <c r="Z86" s="16"/>
      <c r="AA86" s="93" t="s">
        <v>50</v>
      </c>
      <c r="AB86" s="93" t="n">
        <v>10</v>
      </c>
      <c r="AC86" s="98" t="s">
        <v>3602</v>
      </c>
      <c r="AD86" s="228"/>
      <c r="AE86" s="228"/>
      <c r="AF86" s="20"/>
    </row>
    <row r="87" customFormat="false" ht="15.75" hidden="false" customHeight="false" outlineLevel="0" collapsed="false">
      <c r="A87" s="16" t="s">
        <v>42</v>
      </c>
      <c r="B87" s="16" t="s">
        <v>3427</v>
      </c>
      <c r="C87" s="71" t="s">
        <v>3598</v>
      </c>
      <c r="D87" s="16" t="s">
        <v>3603</v>
      </c>
      <c r="E87" s="16" t="s">
        <v>3604</v>
      </c>
      <c r="F87" s="16" t="n">
        <v>1100</v>
      </c>
      <c r="G87" s="16" t="n">
        <v>280</v>
      </c>
      <c r="H87" s="16" t="n">
        <v>1668</v>
      </c>
      <c r="I87" s="16" t="n">
        <v>859</v>
      </c>
      <c r="J87" s="16" t="n">
        <v>809</v>
      </c>
      <c r="K87" s="16" t="n">
        <v>235</v>
      </c>
      <c r="L87" s="19" t="n">
        <f aca="false">(K87/H87)*100</f>
        <v>14.0887290167866</v>
      </c>
      <c r="M87" s="16" t="n">
        <v>171</v>
      </c>
      <c r="N87" s="19" t="n">
        <f aca="false">(M87/H87)*100</f>
        <v>10.2517985611511</v>
      </c>
      <c r="O87" s="16" t="n">
        <v>60</v>
      </c>
      <c r="P87" s="16" t="n">
        <v>0</v>
      </c>
      <c r="Q87" s="20" t="s">
        <v>49</v>
      </c>
      <c r="R87" s="153" t="n">
        <v>45201</v>
      </c>
      <c r="S87" s="420"/>
      <c r="T87" s="20" t="n">
        <v>58.7118</v>
      </c>
      <c r="U87" s="20"/>
      <c r="V87" s="16"/>
      <c r="W87" s="16"/>
      <c r="X87" s="16"/>
      <c r="Y87" s="16"/>
      <c r="Z87" s="16"/>
      <c r="AA87" s="89" t="s">
        <v>50</v>
      </c>
      <c r="AB87" s="89" t="n">
        <v>8</v>
      </c>
      <c r="AC87" s="90" t="s">
        <v>3605</v>
      </c>
      <c r="AD87" s="20"/>
      <c r="AE87" s="20"/>
      <c r="AF87" s="20"/>
    </row>
    <row r="88" customFormat="false" ht="15.75" hidden="false" customHeight="false" outlineLevel="0" collapsed="false">
      <c r="A88" s="16" t="s">
        <v>42</v>
      </c>
      <c r="B88" s="16" t="s">
        <v>3427</v>
      </c>
      <c r="C88" s="71" t="s">
        <v>3598</v>
      </c>
      <c r="D88" s="16" t="s">
        <v>3606</v>
      </c>
      <c r="E88" s="16" t="s">
        <v>3607</v>
      </c>
      <c r="F88" s="16" t="n">
        <v>578.13</v>
      </c>
      <c r="G88" s="16" t="n">
        <v>153</v>
      </c>
      <c r="H88" s="16" t="n">
        <v>958</v>
      </c>
      <c r="I88" s="16" t="n">
        <v>487</v>
      </c>
      <c r="J88" s="16" t="n">
        <v>471</v>
      </c>
      <c r="K88" s="16" t="n">
        <v>181</v>
      </c>
      <c r="L88" s="19" t="n">
        <f aca="false">(K88/H88)*100</f>
        <v>18.8935281837161</v>
      </c>
      <c r="M88" s="16" t="n">
        <v>0</v>
      </c>
      <c r="N88" s="19" t="n">
        <f aca="false">(M88/H88)*100</f>
        <v>0</v>
      </c>
      <c r="O88" s="16" t="n">
        <v>42</v>
      </c>
      <c r="P88" s="16" t="n">
        <v>0</v>
      </c>
      <c r="Q88" s="20" t="s">
        <v>49</v>
      </c>
      <c r="R88" s="153" t="n">
        <v>45201</v>
      </c>
      <c r="S88" s="420"/>
      <c r="T88" s="20" t="n">
        <v>19.6271</v>
      </c>
      <c r="U88" s="20"/>
      <c r="V88" s="16"/>
      <c r="W88" s="16"/>
      <c r="X88" s="16"/>
      <c r="Y88" s="16"/>
      <c r="Z88" s="16"/>
      <c r="AA88" s="89" t="s">
        <v>50</v>
      </c>
      <c r="AB88" s="89" t="n">
        <v>8</v>
      </c>
      <c r="AC88" s="90" t="s">
        <v>3608</v>
      </c>
      <c r="AD88" s="20"/>
      <c r="AE88" s="20"/>
      <c r="AF88" s="20"/>
    </row>
    <row r="89" customFormat="false" ht="15.75" hidden="false" customHeight="false" outlineLevel="0" collapsed="false">
      <c r="A89" s="16" t="s">
        <v>42</v>
      </c>
      <c r="B89" s="16" t="s">
        <v>3427</v>
      </c>
      <c r="C89" s="71" t="s">
        <v>3609</v>
      </c>
      <c r="D89" s="72" t="s">
        <v>3610</v>
      </c>
      <c r="E89" s="16" t="s">
        <v>3611</v>
      </c>
      <c r="F89" s="16" t="n">
        <v>2562.87</v>
      </c>
      <c r="G89" s="16" t="n">
        <v>725</v>
      </c>
      <c r="H89" s="16" t="n">
        <v>4434</v>
      </c>
      <c r="I89" s="16" t="n">
        <v>2262</v>
      </c>
      <c r="J89" s="16" t="n">
        <v>2172</v>
      </c>
      <c r="K89" s="16" t="n">
        <v>873</v>
      </c>
      <c r="L89" s="19" t="n">
        <f aca="false">(K89/H89)*100</f>
        <v>19.6887686062246</v>
      </c>
      <c r="M89" s="16" t="n">
        <v>333</v>
      </c>
      <c r="N89" s="19" t="n">
        <f aca="false">(M89/H89)*100</f>
        <v>7.51014884979702</v>
      </c>
      <c r="O89" s="16" t="n">
        <v>0</v>
      </c>
      <c r="P89" s="16" t="n">
        <v>0</v>
      </c>
      <c r="Q89" s="20" t="s">
        <v>49</v>
      </c>
      <c r="R89" s="153" t="n">
        <v>45150</v>
      </c>
      <c r="S89" s="420"/>
      <c r="T89" s="20" t="n">
        <v>0</v>
      </c>
      <c r="U89" s="20"/>
      <c r="V89" s="16"/>
      <c r="W89" s="16"/>
      <c r="X89" s="16"/>
      <c r="Y89" s="16"/>
      <c r="Z89" s="16"/>
      <c r="AA89" s="89" t="s">
        <v>50</v>
      </c>
      <c r="AB89" s="89" t="n">
        <v>0</v>
      </c>
      <c r="AC89" s="36"/>
      <c r="AD89" s="20" t="n">
        <v>0</v>
      </c>
      <c r="AE89" s="20" t="n">
        <v>0</v>
      </c>
      <c r="AF89" s="20"/>
    </row>
    <row r="90" customFormat="false" ht="31.5" hidden="false" customHeight="false" outlineLevel="0" collapsed="false">
      <c r="A90" s="16" t="s">
        <v>42</v>
      </c>
      <c r="B90" s="16" t="s">
        <v>3427</v>
      </c>
      <c r="C90" s="71" t="s">
        <v>3609</v>
      </c>
      <c r="D90" s="16" t="s">
        <v>351</v>
      </c>
      <c r="E90" s="16" t="s">
        <v>3612</v>
      </c>
      <c r="F90" s="16" t="n">
        <v>913.45</v>
      </c>
      <c r="G90" s="16" t="n">
        <v>136</v>
      </c>
      <c r="H90" s="16" t="n">
        <v>855</v>
      </c>
      <c r="I90" s="16" t="n">
        <v>448</v>
      </c>
      <c r="J90" s="16" t="n">
        <v>407</v>
      </c>
      <c r="K90" s="16" t="n">
        <v>427</v>
      </c>
      <c r="L90" s="19" t="n">
        <f aca="false">(K90/H90)*100</f>
        <v>49.9415204678363</v>
      </c>
      <c r="M90" s="16" t="n">
        <v>0</v>
      </c>
      <c r="N90" s="19" t="n">
        <f aca="false">(M90/H90)*100</f>
        <v>0</v>
      </c>
      <c r="O90" s="16" t="n">
        <v>24.9</v>
      </c>
      <c r="P90" s="16" t="n">
        <v>0</v>
      </c>
      <c r="Q90" s="20" t="s">
        <v>49</v>
      </c>
      <c r="R90" s="153" t="n">
        <v>45150</v>
      </c>
      <c r="S90" s="420"/>
      <c r="T90" s="20" t="n">
        <v>25.4385</v>
      </c>
      <c r="U90" s="20"/>
      <c r="V90" s="16"/>
      <c r="W90" s="16"/>
      <c r="X90" s="16"/>
      <c r="Y90" s="16"/>
      <c r="Z90" s="16"/>
      <c r="AA90" s="89" t="s">
        <v>50</v>
      </c>
      <c r="AB90" s="89" t="n">
        <v>10</v>
      </c>
      <c r="AC90" s="90" t="s">
        <v>3613</v>
      </c>
      <c r="AD90" s="20"/>
      <c r="AE90" s="20"/>
      <c r="AF90" s="20"/>
    </row>
    <row r="91" customFormat="false" ht="15.75" hidden="false" customHeight="false" outlineLevel="0" collapsed="false">
      <c r="A91" s="16" t="s">
        <v>42</v>
      </c>
      <c r="B91" s="16" t="s">
        <v>3427</v>
      </c>
      <c r="C91" s="71" t="s">
        <v>3609</v>
      </c>
      <c r="D91" s="16" t="s">
        <v>3614</v>
      </c>
      <c r="E91" s="16" t="s">
        <v>3615</v>
      </c>
      <c r="F91" s="16" t="n">
        <v>716.68</v>
      </c>
      <c r="G91" s="16" t="n">
        <v>152</v>
      </c>
      <c r="H91" s="16" t="n">
        <v>983</v>
      </c>
      <c r="I91" s="16" t="n">
        <v>512</v>
      </c>
      <c r="J91" s="16" t="n">
        <v>471</v>
      </c>
      <c r="K91" s="16" t="n">
        <v>218</v>
      </c>
      <c r="L91" s="19" t="n">
        <f aca="false">(K91/H91)*100</f>
        <v>22.177009155646</v>
      </c>
      <c r="M91" s="16" t="n">
        <v>0</v>
      </c>
      <c r="N91" s="19" t="n">
        <f aca="false">(M91/H91)*100</f>
        <v>0</v>
      </c>
      <c r="O91" s="16" t="n">
        <v>0</v>
      </c>
      <c r="P91" s="16" t="n">
        <v>0</v>
      </c>
      <c r="Q91" s="20"/>
      <c r="R91" s="20"/>
      <c r="S91" s="420"/>
      <c r="T91" s="20"/>
      <c r="U91" s="20"/>
      <c r="V91" s="16"/>
      <c r="W91" s="16"/>
      <c r="X91" s="16"/>
      <c r="Y91" s="16"/>
      <c r="Z91" s="16"/>
      <c r="AA91" s="89"/>
      <c r="AB91" s="89"/>
      <c r="AC91" s="36"/>
      <c r="AD91" s="20"/>
      <c r="AE91" s="20"/>
      <c r="AF91" s="20"/>
    </row>
    <row r="92" customFormat="false" ht="31.5" hidden="false" customHeight="false" outlineLevel="0" collapsed="false">
      <c r="A92" s="16" t="s">
        <v>42</v>
      </c>
      <c r="B92" s="16" t="s">
        <v>3427</v>
      </c>
      <c r="C92" s="71" t="s">
        <v>3616</v>
      </c>
      <c r="D92" s="72" t="s">
        <v>3617</v>
      </c>
      <c r="E92" s="16" t="s">
        <v>3618</v>
      </c>
      <c r="F92" s="16" t="n">
        <v>4519.91</v>
      </c>
      <c r="G92" s="16" t="n">
        <v>1056</v>
      </c>
      <c r="H92" s="16" t="n">
        <v>6625</v>
      </c>
      <c r="I92" s="16" t="n">
        <v>3503</v>
      </c>
      <c r="J92" s="16" t="n">
        <v>3122</v>
      </c>
      <c r="K92" s="16" t="n">
        <v>282</v>
      </c>
      <c r="L92" s="19" t="n">
        <f aca="false">(K92/H92)*100</f>
        <v>4.25660377358491</v>
      </c>
      <c r="M92" s="16" t="n">
        <v>4</v>
      </c>
      <c r="N92" s="19" t="n">
        <f aca="false">(M92/H92)*100</f>
        <v>0.060377358490566</v>
      </c>
      <c r="O92" s="16" t="n">
        <v>268.81</v>
      </c>
      <c r="P92" s="16" t="n">
        <v>0</v>
      </c>
      <c r="Q92" s="20" t="s">
        <v>49</v>
      </c>
      <c r="R92" s="153" t="n">
        <v>44836</v>
      </c>
      <c r="S92" s="420"/>
      <c r="T92" s="20" t="n">
        <v>266.6353</v>
      </c>
      <c r="U92" s="20"/>
      <c r="V92" s="16"/>
      <c r="W92" s="16"/>
      <c r="X92" s="16"/>
      <c r="Y92" s="16"/>
      <c r="Z92" s="16"/>
      <c r="AA92" s="89" t="s">
        <v>50</v>
      </c>
      <c r="AB92" s="89" t="n">
        <v>12</v>
      </c>
      <c r="AC92" s="90" t="s">
        <v>3619</v>
      </c>
      <c r="AD92" s="20"/>
      <c r="AE92" s="20"/>
      <c r="AF92" s="20"/>
    </row>
    <row r="93" customFormat="false" ht="31.5" hidden="false" customHeight="false" outlineLevel="0" collapsed="false">
      <c r="A93" s="16"/>
      <c r="B93" s="16"/>
      <c r="C93" s="71"/>
      <c r="D93" s="72"/>
      <c r="E93" s="16"/>
      <c r="F93" s="16"/>
      <c r="G93" s="16"/>
      <c r="H93" s="16"/>
      <c r="I93" s="16"/>
      <c r="J93" s="16"/>
      <c r="K93" s="16"/>
      <c r="L93" s="19"/>
      <c r="M93" s="16"/>
      <c r="N93" s="19"/>
      <c r="O93" s="16"/>
      <c r="P93" s="16"/>
      <c r="Q93" s="228"/>
      <c r="R93" s="228"/>
      <c r="S93" s="420"/>
      <c r="T93" s="228"/>
      <c r="U93" s="20"/>
      <c r="V93" s="16"/>
      <c r="W93" s="16"/>
      <c r="X93" s="16"/>
      <c r="Y93" s="16"/>
      <c r="Z93" s="16"/>
      <c r="AA93" s="93" t="s">
        <v>50</v>
      </c>
      <c r="AB93" s="93" t="n">
        <v>12</v>
      </c>
      <c r="AC93" s="98" t="s">
        <v>3620</v>
      </c>
      <c r="AD93" s="228"/>
      <c r="AE93" s="228"/>
      <c r="AF93" s="20"/>
    </row>
    <row r="94" customFormat="false" ht="15.75" hidden="false" customHeight="false" outlineLevel="0" collapsed="false">
      <c r="A94" s="16"/>
      <c r="B94" s="16"/>
      <c r="C94" s="71"/>
      <c r="D94" s="72"/>
      <c r="E94" s="16"/>
      <c r="F94" s="16"/>
      <c r="G94" s="16"/>
      <c r="H94" s="16"/>
      <c r="I94" s="16"/>
      <c r="J94" s="16"/>
      <c r="K94" s="16"/>
      <c r="L94" s="19"/>
      <c r="M94" s="16"/>
      <c r="N94" s="19"/>
      <c r="O94" s="16"/>
      <c r="P94" s="16"/>
      <c r="Q94" s="228"/>
      <c r="R94" s="228"/>
      <c r="S94" s="420"/>
      <c r="T94" s="228"/>
      <c r="U94" s="20"/>
      <c r="V94" s="16"/>
      <c r="W94" s="16"/>
      <c r="X94" s="16"/>
      <c r="Y94" s="16"/>
      <c r="Z94" s="16"/>
      <c r="AA94" s="93" t="s">
        <v>50</v>
      </c>
      <c r="AB94" s="93" t="n">
        <v>10</v>
      </c>
      <c r="AC94" s="98" t="s">
        <v>3621</v>
      </c>
      <c r="AD94" s="228"/>
      <c r="AE94" s="228"/>
      <c r="AF94" s="20"/>
    </row>
    <row r="95" customFormat="false" ht="15.75" hidden="false" customHeight="false" outlineLevel="0" collapsed="false">
      <c r="A95" s="16"/>
      <c r="B95" s="16"/>
      <c r="C95" s="71"/>
      <c r="D95" s="72"/>
      <c r="E95" s="16"/>
      <c r="F95" s="16"/>
      <c r="G95" s="16"/>
      <c r="H95" s="16"/>
      <c r="I95" s="16"/>
      <c r="J95" s="16"/>
      <c r="K95" s="16"/>
      <c r="L95" s="19"/>
      <c r="M95" s="16"/>
      <c r="N95" s="19"/>
      <c r="O95" s="16"/>
      <c r="P95" s="16"/>
      <c r="Q95" s="228"/>
      <c r="R95" s="228"/>
      <c r="S95" s="420"/>
      <c r="T95" s="228"/>
      <c r="U95" s="20"/>
      <c r="V95" s="16"/>
      <c r="W95" s="16"/>
      <c r="X95" s="16"/>
      <c r="Y95" s="16"/>
      <c r="Z95" s="16"/>
      <c r="AA95" s="93" t="s">
        <v>50</v>
      </c>
      <c r="AB95" s="93" t="n">
        <v>10</v>
      </c>
      <c r="AC95" s="98" t="s">
        <v>3622</v>
      </c>
      <c r="AD95" s="228"/>
      <c r="AE95" s="228"/>
      <c r="AF95" s="20"/>
    </row>
    <row r="96" customFormat="false" ht="15.75" hidden="false" customHeight="false" outlineLevel="0" collapsed="false">
      <c r="A96" s="16" t="s">
        <v>42</v>
      </c>
      <c r="B96" s="16" t="s">
        <v>3427</v>
      </c>
      <c r="C96" s="71" t="s">
        <v>3427</v>
      </c>
      <c r="D96" s="72" t="s">
        <v>3623</v>
      </c>
      <c r="E96" s="16" t="s">
        <v>3624</v>
      </c>
      <c r="F96" s="16" t="n">
        <v>1043.06</v>
      </c>
      <c r="G96" s="16" t="n">
        <v>2091</v>
      </c>
      <c r="H96" s="16" t="n">
        <v>12548</v>
      </c>
      <c r="I96" s="16" t="n">
        <v>6572</v>
      </c>
      <c r="J96" s="16" t="n">
        <v>5976</v>
      </c>
      <c r="K96" s="16" t="n">
        <v>2388</v>
      </c>
      <c r="L96" s="19" t="n">
        <f aca="false">(K96/H96)*100</f>
        <v>19.0309212623526</v>
      </c>
      <c r="M96" s="16" t="n">
        <v>883</v>
      </c>
      <c r="N96" s="19" t="n">
        <f aca="false">(M96/H96)*100</f>
        <v>7.03697800446286</v>
      </c>
      <c r="O96" s="16" t="n">
        <v>71.46</v>
      </c>
      <c r="P96" s="16" t="n">
        <v>485.29</v>
      </c>
      <c r="Q96" s="20" t="s">
        <v>49</v>
      </c>
      <c r="R96" s="153" t="n">
        <v>45311</v>
      </c>
      <c r="S96" s="420"/>
      <c r="T96" s="20" t="n">
        <v>55.4766</v>
      </c>
      <c r="U96" s="20" t="s">
        <v>50</v>
      </c>
      <c r="V96" s="16"/>
      <c r="W96" s="16"/>
      <c r="X96" s="16"/>
      <c r="Y96" s="16"/>
      <c r="Z96" s="16"/>
      <c r="AA96" s="89" t="s">
        <v>50</v>
      </c>
      <c r="AB96" s="89" t="n">
        <v>5</v>
      </c>
      <c r="AC96" s="90" t="s">
        <v>3625</v>
      </c>
      <c r="AD96" s="20"/>
      <c r="AE96" s="20"/>
      <c r="AF96" s="20"/>
    </row>
    <row r="97" customFormat="false" ht="15.75" hidden="false" customHeight="false" outlineLevel="0" collapsed="false">
      <c r="A97" s="16"/>
      <c r="B97" s="16"/>
      <c r="C97" s="71"/>
      <c r="D97" s="72"/>
      <c r="E97" s="16"/>
      <c r="F97" s="16"/>
      <c r="G97" s="16"/>
      <c r="H97" s="16"/>
      <c r="I97" s="16"/>
      <c r="J97" s="16"/>
      <c r="K97" s="16"/>
      <c r="L97" s="19"/>
      <c r="M97" s="16"/>
      <c r="N97" s="19"/>
      <c r="O97" s="16"/>
      <c r="P97" s="16"/>
      <c r="Q97" s="228"/>
      <c r="R97" s="228"/>
      <c r="S97" s="420"/>
      <c r="T97" s="228"/>
      <c r="U97" s="20"/>
      <c r="V97" s="16"/>
      <c r="W97" s="16"/>
      <c r="X97" s="16"/>
      <c r="Y97" s="16"/>
      <c r="Z97" s="16"/>
      <c r="AA97" s="93" t="s">
        <v>50</v>
      </c>
      <c r="AB97" s="93" t="n">
        <v>10</v>
      </c>
      <c r="AC97" s="98" t="s">
        <v>3626</v>
      </c>
      <c r="AD97" s="228"/>
      <c r="AE97" s="228"/>
      <c r="AF97" s="20"/>
    </row>
    <row r="98" customFormat="false" ht="15.75" hidden="false" customHeight="false" outlineLevel="0" collapsed="false">
      <c r="A98" s="16" t="s">
        <v>42</v>
      </c>
      <c r="B98" s="16" t="s">
        <v>3427</v>
      </c>
      <c r="C98" s="71" t="s">
        <v>3427</v>
      </c>
      <c r="D98" s="16" t="s">
        <v>3627</v>
      </c>
      <c r="E98" s="16" t="s">
        <v>3628</v>
      </c>
      <c r="F98" s="16" t="n">
        <v>1611.75</v>
      </c>
      <c r="G98" s="16" t="n">
        <v>312</v>
      </c>
      <c r="H98" s="16" t="n">
        <v>1894</v>
      </c>
      <c r="I98" s="16" t="n">
        <v>980</v>
      </c>
      <c r="J98" s="16" t="n">
        <v>914</v>
      </c>
      <c r="K98" s="16" t="n">
        <v>85</v>
      </c>
      <c r="L98" s="19" t="n">
        <f aca="false">(K98/H98)*100</f>
        <v>4.48785638859557</v>
      </c>
      <c r="M98" s="16" t="n">
        <v>628</v>
      </c>
      <c r="N98" s="19" t="n">
        <f aca="false">(M98/H98)*100</f>
        <v>33.1573389651531</v>
      </c>
      <c r="O98" s="16" t="n">
        <v>13.92</v>
      </c>
      <c r="P98" s="16" t="n">
        <v>0</v>
      </c>
      <c r="Q98" s="20" t="s">
        <v>49</v>
      </c>
      <c r="R98" s="153" t="n">
        <v>45311</v>
      </c>
      <c r="S98" s="420"/>
      <c r="T98" s="20" t="n">
        <v>19.1579</v>
      </c>
      <c r="U98" s="20" t="s">
        <v>50</v>
      </c>
      <c r="V98" s="16"/>
      <c r="W98" s="16"/>
      <c r="X98" s="16"/>
      <c r="Y98" s="16"/>
      <c r="Z98" s="16"/>
      <c r="AA98" s="89" t="s">
        <v>50</v>
      </c>
      <c r="AB98" s="89" t="n">
        <v>10</v>
      </c>
      <c r="AC98" s="90" t="s">
        <v>3629</v>
      </c>
      <c r="AD98" s="20"/>
      <c r="AE98" s="20"/>
      <c r="AF98" s="20"/>
    </row>
    <row r="99" customFormat="false" ht="15.75" hidden="false" customHeight="false" outlineLevel="0" collapsed="false">
      <c r="A99" s="16" t="s">
        <v>42</v>
      </c>
      <c r="B99" s="16" t="s">
        <v>3427</v>
      </c>
      <c r="C99" s="71" t="s">
        <v>3427</v>
      </c>
      <c r="D99" s="16" t="s">
        <v>3630</v>
      </c>
      <c r="E99" s="16" t="s">
        <v>3631</v>
      </c>
      <c r="F99" s="16" t="n">
        <v>547.76</v>
      </c>
      <c r="G99" s="16" t="n">
        <v>101</v>
      </c>
      <c r="H99" s="16" t="n">
        <v>775</v>
      </c>
      <c r="I99" s="16" t="n">
        <v>409</v>
      </c>
      <c r="J99" s="16" t="n">
        <v>366</v>
      </c>
      <c r="K99" s="16" t="n">
        <v>8</v>
      </c>
      <c r="L99" s="19" t="n">
        <f aca="false">(K99/H99)*100</f>
        <v>1.03225806451613</v>
      </c>
      <c r="M99" s="16" t="n">
        <v>7</v>
      </c>
      <c r="N99" s="19" t="n">
        <f aca="false">(M99/H99)*100</f>
        <v>0.903225806451613</v>
      </c>
      <c r="O99" s="16" t="n">
        <v>0</v>
      </c>
      <c r="P99" s="16" t="n">
        <v>0</v>
      </c>
      <c r="Q99" s="20" t="s">
        <v>49</v>
      </c>
      <c r="R99" s="153" t="n">
        <v>45311</v>
      </c>
      <c r="S99" s="420"/>
      <c r="T99" s="20" t="n">
        <v>0</v>
      </c>
      <c r="U99" s="20" t="s">
        <v>50</v>
      </c>
      <c r="V99" s="16"/>
      <c r="W99" s="16"/>
      <c r="X99" s="16"/>
      <c r="Y99" s="16"/>
      <c r="Z99" s="16"/>
      <c r="AA99" s="89" t="s">
        <v>50</v>
      </c>
      <c r="AB99" s="89" t="n">
        <v>0</v>
      </c>
      <c r="AC99" s="36"/>
      <c r="AD99" s="20" t="n">
        <v>0</v>
      </c>
      <c r="AE99" s="20" t="n">
        <v>0</v>
      </c>
      <c r="AF99" s="20"/>
    </row>
    <row r="100" customFormat="false" ht="31.5" hidden="false" customHeight="false" outlineLevel="0" collapsed="false">
      <c r="A100" s="16" t="s">
        <v>42</v>
      </c>
      <c r="B100" s="16" t="s">
        <v>3427</v>
      </c>
      <c r="C100" s="71" t="s">
        <v>3632</v>
      </c>
      <c r="D100" s="72" t="s">
        <v>3633</v>
      </c>
      <c r="E100" s="16" t="s">
        <v>3634</v>
      </c>
      <c r="F100" s="16" t="n">
        <v>3967.07</v>
      </c>
      <c r="G100" s="16" t="n">
        <v>754</v>
      </c>
      <c r="H100" s="16" t="n">
        <v>4732</v>
      </c>
      <c r="I100" s="16" t="n">
        <v>2463</v>
      </c>
      <c r="J100" s="16" t="n">
        <v>2269</v>
      </c>
      <c r="K100" s="16" t="n">
        <v>814</v>
      </c>
      <c r="L100" s="19" t="n">
        <f aca="false">(K100/H100)*100</f>
        <v>17.2020287404903</v>
      </c>
      <c r="M100" s="16" t="n">
        <v>329</v>
      </c>
      <c r="N100" s="19" t="n">
        <f aca="false">(M100/H100)*100</f>
        <v>6.95266272189349</v>
      </c>
      <c r="O100" s="16" t="n">
        <v>23.9</v>
      </c>
      <c r="P100" s="16" t="n">
        <v>0</v>
      </c>
      <c r="Q100" s="20" t="s">
        <v>49</v>
      </c>
      <c r="R100" s="153" t="n">
        <v>45201</v>
      </c>
      <c r="S100" s="420"/>
      <c r="T100" s="20" t="n">
        <v>23.9164</v>
      </c>
      <c r="U100" s="20"/>
      <c r="V100" s="16"/>
      <c r="W100" s="16"/>
      <c r="X100" s="16"/>
      <c r="Y100" s="16"/>
      <c r="Z100" s="16"/>
      <c r="AA100" s="89" t="s">
        <v>50</v>
      </c>
      <c r="AB100" s="89" t="n">
        <v>12</v>
      </c>
      <c r="AC100" s="90" t="s">
        <v>3635</v>
      </c>
      <c r="AD100" s="20"/>
      <c r="AE100" s="20"/>
      <c r="AF100" s="20"/>
    </row>
    <row r="101" customFormat="false" ht="15.75" hidden="false" customHeight="false" outlineLevel="0" collapsed="false">
      <c r="A101" s="16" t="s">
        <v>42</v>
      </c>
      <c r="B101" s="16" t="s">
        <v>3427</v>
      </c>
      <c r="C101" s="71" t="s">
        <v>537</v>
      </c>
      <c r="D101" s="72" t="s">
        <v>1107</v>
      </c>
      <c r="E101" s="16" t="s">
        <v>3636</v>
      </c>
      <c r="F101" s="16" t="n">
        <v>1420.74</v>
      </c>
      <c r="G101" s="16" t="n">
        <v>281</v>
      </c>
      <c r="H101" s="16" t="n">
        <v>1899</v>
      </c>
      <c r="I101" s="16" t="n">
        <v>997</v>
      </c>
      <c r="J101" s="16" t="n">
        <v>902</v>
      </c>
      <c r="K101" s="16" t="n">
        <v>811</v>
      </c>
      <c r="L101" s="19" t="n">
        <f aca="false">(K101/H101)*100</f>
        <v>42.7066877303844</v>
      </c>
      <c r="M101" s="16" t="n">
        <v>0</v>
      </c>
      <c r="N101" s="19" t="n">
        <f aca="false">(M101/H101)*100</f>
        <v>0</v>
      </c>
      <c r="O101" s="16" t="n">
        <v>22</v>
      </c>
      <c r="P101" s="16" t="n">
        <v>0</v>
      </c>
      <c r="Q101" s="20"/>
      <c r="R101" s="20"/>
      <c r="S101" s="420"/>
      <c r="T101" s="20"/>
      <c r="U101" s="20"/>
      <c r="V101" s="16"/>
      <c r="W101" s="16"/>
      <c r="X101" s="16"/>
      <c r="Y101" s="16"/>
      <c r="Z101" s="16"/>
      <c r="AA101" s="89"/>
      <c r="AB101" s="89"/>
      <c r="AC101" s="36"/>
      <c r="AD101" s="20"/>
      <c r="AE101" s="20"/>
      <c r="AF101" s="20"/>
    </row>
    <row r="102" customFormat="false" ht="15.75" hidden="false" customHeight="false" outlineLevel="0" collapsed="false">
      <c r="A102" s="16" t="s">
        <v>42</v>
      </c>
      <c r="B102" s="16" t="s">
        <v>3427</v>
      </c>
      <c r="C102" s="71" t="s">
        <v>537</v>
      </c>
      <c r="D102" s="16" t="s">
        <v>146</v>
      </c>
      <c r="E102" s="16" t="s">
        <v>3637</v>
      </c>
      <c r="F102" s="16" t="n">
        <v>266.75</v>
      </c>
      <c r="G102" s="16" t="n">
        <v>109</v>
      </c>
      <c r="H102" s="16" t="n">
        <v>666</v>
      </c>
      <c r="I102" s="16" t="n">
        <v>347</v>
      </c>
      <c r="J102" s="16" t="n">
        <v>319</v>
      </c>
      <c r="K102" s="16" t="n">
        <v>0</v>
      </c>
      <c r="L102" s="19" t="n">
        <f aca="false">(K102/H102)*100</f>
        <v>0</v>
      </c>
      <c r="M102" s="16" t="n">
        <v>0</v>
      </c>
      <c r="N102" s="19" t="n">
        <f aca="false">(M102/H102)*100</f>
        <v>0</v>
      </c>
      <c r="O102" s="16" t="n">
        <v>5.02</v>
      </c>
      <c r="P102" s="16" t="n">
        <v>0</v>
      </c>
      <c r="Q102" s="20"/>
      <c r="R102" s="20"/>
      <c r="S102" s="420"/>
      <c r="T102" s="20"/>
      <c r="U102" s="20"/>
      <c r="V102" s="16"/>
      <c r="W102" s="16"/>
      <c r="X102" s="16"/>
      <c r="Y102" s="16"/>
      <c r="Z102" s="16"/>
      <c r="AA102" s="89"/>
      <c r="AB102" s="89"/>
      <c r="AC102" s="36"/>
      <c r="AD102" s="20"/>
      <c r="AE102" s="20"/>
      <c r="AF102" s="20"/>
    </row>
    <row r="103" customFormat="false" ht="15.75" hidden="false" customHeight="false" outlineLevel="0" collapsed="false">
      <c r="A103" s="16" t="s">
        <v>42</v>
      </c>
      <c r="B103" s="16" t="s">
        <v>3427</v>
      </c>
      <c r="C103" s="71" t="s">
        <v>537</v>
      </c>
      <c r="D103" s="16" t="s">
        <v>53</v>
      </c>
      <c r="E103" s="16" t="s">
        <v>3638</v>
      </c>
      <c r="F103" s="16" t="n">
        <v>545.86</v>
      </c>
      <c r="G103" s="16" t="n">
        <v>187</v>
      </c>
      <c r="H103" s="16" t="n">
        <v>1119</v>
      </c>
      <c r="I103" s="16" t="n">
        <v>592</v>
      </c>
      <c r="J103" s="16" t="n">
        <v>527</v>
      </c>
      <c r="K103" s="16" t="n">
        <v>70</v>
      </c>
      <c r="L103" s="19" t="n">
        <f aca="false">(K103/H103)*100</f>
        <v>6.25558534405719</v>
      </c>
      <c r="M103" s="16" t="n">
        <v>802</v>
      </c>
      <c r="N103" s="19" t="n">
        <f aca="false">(M103/H103)*100</f>
        <v>71.6711349419124</v>
      </c>
      <c r="O103" s="16" t="n">
        <v>5.05</v>
      </c>
      <c r="P103" s="16" t="n">
        <v>0</v>
      </c>
      <c r="Q103" s="20"/>
      <c r="R103" s="20"/>
      <c r="S103" s="420"/>
      <c r="T103" s="20"/>
      <c r="U103" s="20"/>
      <c r="V103" s="16"/>
      <c r="W103" s="16"/>
      <c r="X103" s="16"/>
      <c r="Y103" s="16"/>
      <c r="Z103" s="16"/>
      <c r="AA103" s="89"/>
      <c r="AB103" s="89"/>
      <c r="AC103" s="36"/>
      <c r="AD103" s="20"/>
      <c r="AE103" s="20"/>
      <c r="AF103" s="20"/>
    </row>
    <row r="104" customFormat="false" ht="15.75" hidden="false" customHeight="false" outlineLevel="0" collapsed="false">
      <c r="A104" s="16" t="s">
        <v>42</v>
      </c>
      <c r="B104" s="16" t="s">
        <v>3427</v>
      </c>
      <c r="C104" s="71" t="s">
        <v>3639</v>
      </c>
      <c r="D104" s="72" t="s">
        <v>3639</v>
      </c>
      <c r="E104" s="16" t="s">
        <v>3640</v>
      </c>
      <c r="F104" s="16" t="n">
        <v>307.51</v>
      </c>
      <c r="G104" s="16" t="n">
        <v>97</v>
      </c>
      <c r="H104" s="16" t="n">
        <v>603</v>
      </c>
      <c r="I104" s="16" t="n">
        <v>301</v>
      </c>
      <c r="J104" s="16" t="n">
        <v>302</v>
      </c>
      <c r="K104" s="16" t="n">
        <v>0</v>
      </c>
      <c r="L104" s="19" t="n">
        <f aca="false">(K104/H104)*100</f>
        <v>0</v>
      </c>
      <c r="M104" s="16" t="n">
        <v>0</v>
      </c>
      <c r="N104" s="19" t="n">
        <f aca="false">(M104/H104)*100</f>
        <v>0</v>
      </c>
      <c r="O104" s="16" t="n">
        <v>0</v>
      </c>
      <c r="P104" s="16" t="n">
        <v>0</v>
      </c>
      <c r="Q104" s="20" t="s">
        <v>49</v>
      </c>
      <c r="R104" s="153" t="n">
        <v>44879</v>
      </c>
      <c r="S104" s="420"/>
      <c r="T104" s="105" t="n">
        <v>0</v>
      </c>
      <c r="U104" s="20"/>
      <c r="V104" s="16"/>
      <c r="W104" s="16"/>
      <c r="X104" s="16"/>
      <c r="Y104" s="16"/>
      <c r="Z104" s="16"/>
      <c r="AA104" s="89" t="s">
        <v>50</v>
      </c>
      <c r="AB104" s="105" t="n">
        <v>0</v>
      </c>
      <c r="AC104" s="36"/>
      <c r="AD104" s="105" t="n">
        <v>0</v>
      </c>
      <c r="AE104" s="105" t="n">
        <v>0</v>
      </c>
      <c r="AF104" s="20"/>
    </row>
    <row r="105" customFormat="false" ht="31.5" hidden="false" customHeight="false" outlineLevel="0" collapsed="false">
      <c r="A105" s="16" t="s">
        <v>42</v>
      </c>
      <c r="B105" s="16" t="s">
        <v>3427</v>
      </c>
      <c r="C105" s="71" t="s">
        <v>3639</v>
      </c>
      <c r="D105" s="16" t="s">
        <v>3641</v>
      </c>
      <c r="E105" s="16" t="s">
        <v>3642</v>
      </c>
      <c r="F105" s="16" t="n">
        <v>2467.8</v>
      </c>
      <c r="G105" s="16" t="n">
        <v>285</v>
      </c>
      <c r="H105" s="16" t="n">
        <v>1727</v>
      </c>
      <c r="I105" s="16" t="n">
        <v>943</v>
      </c>
      <c r="J105" s="16" t="n">
        <v>784</v>
      </c>
      <c r="K105" s="16" t="n">
        <v>582</v>
      </c>
      <c r="L105" s="19" t="n">
        <f aca="false">(K105/H105)*100</f>
        <v>33.7000579038796</v>
      </c>
      <c r="M105" s="16" t="n">
        <v>0</v>
      </c>
      <c r="N105" s="19" t="n">
        <f aca="false">(M105/H105)*100</f>
        <v>0</v>
      </c>
      <c r="O105" s="16" t="n">
        <v>77.01</v>
      </c>
      <c r="P105" s="16" t="n">
        <v>0</v>
      </c>
      <c r="Q105" s="20" t="s">
        <v>49</v>
      </c>
      <c r="R105" s="153" t="n">
        <v>44879</v>
      </c>
      <c r="S105" s="420"/>
      <c r="T105" s="20"/>
      <c r="U105" s="20"/>
      <c r="V105" s="16"/>
      <c r="W105" s="16"/>
      <c r="X105" s="16"/>
      <c r="Y105" s="16"/>
      <c r="Z105" s="16"/>
      <c r="AA105" s="89" t="s">
        <v>50</v>
      </c>
      <c r="AB105" s="89" t="n">
        <v>5</v>
      </c>
      <c r="AC105" s="90" t="s">
        <v>3643</v>
      </c>
      <c r="AD105" s="20" t="n">
        <v>26.758178</v>
      </c>
      <c r="AE105" s="20" t="n">
        <v>72.615523</v>
      </c>
      <c r="AF105" s="20"/>
    </row>
    <row r="106" customFormat="false" ht="15.75" hidden="false" customHeight="false" outlineLevel="0" collapsed="false">
      <c r="A106" s="16" t="s">
        <v>42</v>
      </c>
      <c r="B106" s="16" t="s">
        <v>3427</v>
      </c>
      <c r="C106" s="71" t="s">
        <v>3639</v>
      </c>
      <c r="D106" s="16" t="s">
        <v>146</v>
      </c>
      <c r="E106" s="16" t="s">
        <v>3644</v>
      </c>
      <c r="F106" s="16" t="n">
        <v>426.39</v>
      </c>
      <c r="G106" s="16" t="n">
        <v>90</v>
      </c>
      <c r="H106" s="16" t="n">
        <v>561</v>
      </c>
      <c r="I106" s="16" t="n">
        <v>287</v>
      </c>
      <c r="J106" s="16" t="n">
        <v>274</v>
      </c>
      <c r="K106" s="16" t="n">
        <v>0</v>
      </c>
      <c r="L106" s="19" t="n">
        <f aca="false">(K106/H106)*100</f>
        <v>0</v>
      </c>
      <c r="M106" s="16" t="n">
        <v>0</v>
      </c>
      <c r="N106" s="19" t="n">
        <f aca="false">(M106/H106)*100</f>
        <v>0</v>
      </c>
      <c r="O106" s="16" t="n">
        <v>0</v>
      </c>
      <c r="P106" s="16" t="n">
        <v>0</v>
      </c>
      <c r="Q106" s="20" t="s">
        <v>49</v>
      </c>
      <c r="R106" s="153" t="n">
        <v>44879</v>
      </c>
      <c r="S106" s="420"/>
      <c r="T106" s="105" t="n">
        <v>0</v>
      </c>
      <c r="U106" s="20"/>
      <c r="V106" s="16"/>
      <c r="W106" s="16"/>
      <c r="X106" s="16"/>
      <c r="Y106" s="16"/>
      <c r="Z106" s="16"/>
      <c r="AA106" s="89" t="s">
        <v>50</v>
      </c>
      <c r="AB106" s="105" t="n">
        <v>0</v>
      </c>
      <c r="AC106" s="36"/>
      <c r="AD106" s="105" t="n">
        <v>0</v>
      </c>
      <c r="AE106" s="105" t="n">
        <v>0</v>
      </c>
      <c r="AF106" s="20"/>
    </row>
    <row r="107" customFormat="false" ht="17.25" hidden="false" customHeight="false" outlineLevel="0" collapsed="false">
      <c r="A107" s="16" t="s">
        <v>42</v>
      </c>
      <c r="B107" s="16" t="s">
        <v>3427</v>
      </c>
      <c r="C107" s="71" t="s">
        <v>3645</v>
      </c>
      <c r="D107" s="72" t="s">
        <v>3646</v>
      </c>
      <c r="E107" s="16" t="s">
        <v>3647</v>
      </c>
      <c r="F107" s="16" t="n">
        <v>612.21</v>
      </c>
      <c r="G107" s="16" t="n">
        <v>244</v>
      </c>
      <c r="H107" s="16" t="n">
        <v>1554</v>
      </c>
      <c r="I107" s="16" t="n">
        <v>822</v>
      </c>
      <c r="J107" s="16" t="n">
        <v>732</v>
      </c>
      <c r="K107" s="16" t="n">
        <v>464</v>
      </c>
      <c r="L107" s="19" t="n">
        <f aca="false">(K107/H107)*100</f>
        <v>29.8584298584299</v>
      </c>
      <c r="M107" s="16" t="n">
        <v>219</v>
      </c>
      <c r="N107" s="19" t="n">
        <f aca="false">(M107/H107)*100</f>
        <v>14.0926640926641</v>
      </c>
      <c r="O107" s="16" t="n">
        <v>12.55</v>
      </c>
      <c r="P107" s="16" t="n">
        <v>0</v>
      </c>
      <c r="Q107" s="24" t="s">
        <v>49</v>
      </c>
      <c r="R107" s="25" t="n">
        <v>45932</v>
      </c>
      <c r="S107" s="420"/>
      <c r="T107" s="26" t="n">
        <v>35.36</v>
      </c>
      <c r="U107" s="20"/>
      <c r="V107" s="16"/>
      <c r="W107" s="16"/>
      <c r="X107" s="16"/>
      <c r="Y107" s="16"/>
      <c r="Z107" s="16"/>
      <c r="AA107" s="92" t="s">
        <v>50</v>
      </c>
      <c r="AB107" s="92" t="n">
        <v>15</v>
      </c>
      <c r="AC107" s="29" t="s">
        <v>3648</v>
      </c>
      <c r="AD107" s="76" t="n">
        <v>26.341346</v>
      </c>
      <c r="AE107" s="76" t="n">
        <v>72.371241</v>
      </c>
      <c r="AF107" s="20" t="s">
        <v>1277</v>
      </c>
    </row>
    <row r="108" customFormat="false" ht="34.5" hidden="false" customHeight="false" outlineLevel="0" collapsed="false">
      <c r="A108" s="16"/>
      <c r="B108" s="16"/>
      <c r="C108" s="71"/>
      <c r="D108" s="72"/>
      <c r="E108" s="16"/>
      <c r="F108" s="16"/>
      <c r="G108" s="16"/>
      <c r="H108" s="16"/>
      <c r="I108" s="16"/>
      <c r="J108" s="16"/>
      <c r="K108" s="16"/>
      <c r="L108" s="19"/>
      <c r="M108" s="16"/>
      <c r="N108" s="19"/>
      <c r="O108" s="16"/>
      <c r="P108" s="16"/>
      <c r="Q108" s="256"/>
      <c r="R108" s="173"/>
      <c r="S108" s="420"/>
      <c r="T108" s="172"/>
      <c r="U108" s="20"/>
      <c r="V108" s="16"/>
      <c r="W108" s="16"/>
      <c r="X108" s="16"/>
      <c r="Y108" s="16"/>
      <c r="Z108" s="16"/>
      <c r="AA108" s="174" t="s">
        <v>50</v>
      </c>
      <c r="AB108" s="174" t="n">
        <v>5</v>
      </c>
      <c r="AC108" s="257" t="s">
        <v>3649</v>
      </c>
      <c r="AD108" s="176" t="n">
        <v>26.391175</v>
      </c>
      <c r="AE108" s="176" t="n">
        <v>72.37701</v>
      </c>
      <c r="AF108" s="20" t="s">
        <v>1277</v>
      </c>
    </row>
    <row r="109" customFormat="false" ht="15.75" hidden="false" customHeight="false" outlineLevel="0" collapsed="false">
      <c r="A109" s="16" t="s">
        <v>42</v>
      </c>
      <c r="B109" s="16" t="s">
        <v>3427</v>
      </c>
      <c r="C109" s="71" t="s">
        <v>3645</v>
      </c>
      <c r="D109" s="16" t="s">
        <v>3650</v>
      </c>
      <c r="E109" s="16" t="s">
        <v>3651</v>
      </c>
      <c r="F109" s="16" t="n">
        <v>438.18</v>
      </c>
      <c r="G109" s="16" t="n">
        <v>132</v>
      </c>
      <c r="H109" s="16" t="n">
        <v>880</v>
      </c>
      <c r="I109" s="16" t="n">
        <v>457</v>
      </c>
      <c r="J109" s="16" t="n">
        <v>423</v>
      </c>
      <c r="K109" s="16" t="n">
        <v>44</v>
      </c>
      <c r="L109" s="19" t="n">
        <f aca="false">(K109/H109)*100</f>
        <v>5</v>
      </c>
      <c r="M109" s="16" t="n">
        <v>0</v>
      </c>
      <c r="N109" s="19" t="n">
        <f aca="false">(M109/H109)*100</f>
        <v>0</v>
      </c>
      <c r="O109" s="16" t="n">
        <v>3.8</v>
      </c>
      <c r="P109" s="16" t="n">
        <v>0</v>
      </c>
      <c r="Q109" s="24" t="s">
        <v>49</v>
      </c>
      <c r="R109" s="25" t="n">
        <v>45932</v>
      </c>
      <c r="S109" s="420"/>
      <c r="T109" s="26" t="n">
        <v>4.85</v>
      </c>
      <c r="U109" s="20"/>
      <c r="V109" s="16"/>
      <c r="W109" s="16"/>
      <c r="X109" s="16"/>
      <c r="Y109" s="16"/>
      <c r="Z109" s="16"/>
      <c r="AA109" s="92" t="s">
        <v>50</v>
      </c>
      <c r="AB109" s="92" t="n">
        <v>0</v>
      </c>
      <c r="AC109" s="96"/>
      <c r="AD109" s="92"/>
      <c r="AE109" s="76"/>
      <c r="AF109" s="20" t="s">
        <v>1277</v>
      </c>
    </row>
    <row r="110" customFormat="false" ht="17.25" hidden="false" customHeight="false" outlineLevel="0" collapsed="false">
      <c r="A110" s="16" t="s">
        <v>42</v>
      </c>
      <c r="B110" s="16" t="s">
        <v>3427</v>
      </c>
      <c r="C110" s="71" t="s">
        <v>3645</v>
      </c>
      <c r="D110" s="16" t="s">
        <v>3652</v>
      </c>
      <c r="E110" s="16" t="s">
        <v>3653</v>
      </c>
      <c r="F110" s="16" t="n">
        <v>593.59</v>
      </c>
      <c r="G110" s="16" t="n">
        <v>74</v>
      </c>
      <c r="H110" s="16" t="n">
        <v>556</v>
      </c>
      <c r="I110" s="16" t="n">
        <v>289</v>
      </c>
      <c r="J110" s="16" t="n">
        <v>267</v>
      </c>
      <c r="K110" s="16" t="n">
        <v>0</v>
      </c>
      <c r="L110" s="19" t="n">
        <f aca="false">(K110/H110)*100</f>
        <v>0</v>
      </c>
      <c r="M110" s="16" t="n">
        <v>0</v>
      </c>
      <c r="N110" s="19" t="n">
        <f aca="false">(M110/H110)*100</f>
        <v>0</v>
      </c>
      <c r="O110" s="16" t="n">
        <v>0</v>
      </c>
      <c r="P110" s="16" t="n">
        <v>0</v>
      </c>
      <c r="Q110" s="24" t="s">
        <v>49</v>
      </c>
      <c r="R110" s="25" t="n">
        <v>45932</v>
      </c>
      <c r="S110" s="420"/>
      <c r="T110" s="26" t="n">
        <v>9.89</v>
      </c>
      <c r="U110" s="20"/>
      <c r="V110" s="16"/>
      <c r="W110" s="16"/>
      <c r="X110" s="16"/>
      <c r="Y110" s="16"/>
      <c r="Z110" s="16"/>
      <c r="AA110" s="92" t="s">
        <v>50</v>
      </c>
      <c r="AB110" s="92" t="n">
        <v>5</v>
      </c>
      <c r="AC110" s="29" t="s">
        <v>3654</v>
      </c>
      <c r="AD110" s="92" t="n">
        <v>26.472392</v>
      </c>
      <c r="AE110" s="92" t="n">
        <v>72.404811</v>
      </c>
      <c r="AF110" s="20" t="s">
        <v>1277</v>
      </c>
    </row>
    <row r="111" customFormat="false" ht="34.5" hidden="false" customHeight="false" outlineLevel="0" collapsed="false">
      <c r="A111" s="16" t="s">
        <v>42</v>
      </c>
      <c r="B111" s="16" t="s">
        <v>3427</v>
      </c>
      <c r="C111" s="71" t="s">
        <v>3645</v>
      </c>
      <c r="D111" s="16" t="s">
        <v>3655</v>
      </c>
      <c r="E111" s="16" t="s">
        <v>3656</v>
      </c>
      <c r="F111" s="16" t="n">
        <v>537.16</v>
      </c>
      <c r="G111" s="16" t="n">
        <v>32</v>
      </c>
      <c r="H111" s="16" t="n">
        <v>208</v>
      </c>
      <c r="I111" s="16" t="n">
        <v>106</v>
      </c>
      <c r="J111" s="16" t="n">
        <v>102</v>
      </c>
      <c r="K111" s="16" t="n">
        <v>0</v>
      </c>
      <c r="L111" s="19" t="n">
        <f aca="false">(K111/H111)*100</f>
        <v>0</v>
      </c>
      <c r="M111" s="16" t="n">
        <v>0</v>
      </c>
      <c r="N111" s="19" t="n">
        <f aca="false">(M111/H111)*100</f>
        <v>0</v>
      </c>
      <c r="O111" s="16" t="n">
        <v>55.27</v>
      </c>
      <c r="P111" s="16" t="n">
        <v>0</v>
      </c>
      <c r="Q111" s="24" t="s">
        <v>49</v>
      </c>
      <c r="R111" s="25" t="n">
        <v>45932</v>
      </c>
      <c r="S111" s="420"/>
      <c r="T111" s="26" t="n">
        <v>54.46</v>
      </c>
      <c r="U111" s="20"/>
      <c r="V111" s="16"/>
      <c r="W111" s="16"/>
      <c r="X111" s="16"/>
      <c r="Y111" s="16"/>
      <c r="Z111" s="16"/>
      <c r="AA111" s="92" t="s">
        <v>50</v>
      </c>
      <c r="AB111" s="431" t="n">
        <v>5</v>
      </c>
      <c r="AC111" s="29" t="s">
        <v>3657</v>
      </c>
      <c r="AD111" s="92" t="n">
        <v>26.505971</v>
      </c>
      <c r="AE111" s="92" t="n">
        <v>72.36363</v>
      </c>
      <c r="AF111" s="20" t="s">
        <v>1277</v>
      </c>
    </row>
    <row r="112" customFormat="false" ht="34.5" hidden="false" customHeight="false" outlineLevel="0" collapsed="false">
      <c r="A112" s="16"/>
      <c r="B112" s="16"/>
      <c r="C112" s="71"/>
      <c r="D112" s="16"/>
      <c r="E112" s="16"/>
      <c r="F112" s="16"/>
      <c r="G112" s="16"/>
      <c r="H112" s="16"/>
      <c r="I112" s="16"/>
      <c r="J112" s="16"/>
      <c r="K112" s="16"/>
      <c r="L112" s="19"/>
      <c r="M112" s="16"/>
      <c r="N112" s="19"/>
      <c r="O112" s="16"/>
      <c r="P112" s="16"/>
      <c r="Q112" s="256"/>
      <c r="R112" s="173"/>
      <c r="S112" s="420"/>
      <c r="T112" s="172"/>
      <c r="U112" s="20"/>
      <c r="V112" s="16"/>
      <c r="W112" s="16"/>
      <c r="X112" s="16"/>
      <c r="Y112" s="16"/>
      <c r="Z112" s="16"/>
      <c r="AA112" s="174" t="s">
        <v>50</v>
      </c>
      <c r="AB112" s="432" t="n">
        <v>15</v>
      </c>
      <c r="AC112" s="257" t="s">
        <v>3658</v>
      </c>
      <c r="AD112" s="174" t="n">
        <v>26.505951</v>
      </c>
      <c r="AE112" s="174" t="n">
        <v>72.36354</v>
      </c>
      <c r="AF112" s="20" t="s">
        <v>1277</v>
      </c>
    </row>
    <row r="113" customFormat="false" ht="15.75" hidden="false" customHeight="false" outlineLevel="0" collapsed="false">
      <c r="A113" s="16" t="s">
        <v>42</v>
      </c>
      <c r="B113" s="16" t="s">
        <v>3427</v>
      </c>
      <c r="C113" s="71" t="s">
        <v>3645</v>
      </c>
      <c r="D113" s="16" t="s">
        <v>3659</v>
      </c>
      <c r="E113" s="16" t="s">
        <v>3660</v>
      </c>
      <c r="F113" s="16" t="n">
        <v>481.12</v>
      </c>
      <c r="G113" s="16" t="n">
        <v>83</v>
      </c>
      <c r="H113" s="16" t="n">
        <v>520</v>
      </c>
      <c r="I113" s="16" t="n">
        <v>269</v>
      </c>
      <c r="J113" s="16" t="n">
        <v>251</v>
      </c>
      <c r="K113" s="16" t="n">
        <v>0</v>
      </c>
      <c r="L113" s="19" t="n">
        <f aca="false">(K113/H113)*100</f>
        <v>0</v>
      </c>
      <c r="M113" s="16" t="n">
        <v>0</v>
      </c>
      <c r="N113" s="19" t="n">
        <f aca="false">(M113/H113)*100</f>
        <v>0</v>
      </c>
      <c r="O113" s="16" t="n">
        <v>10.04</v>
      </c>
      <c r="P113" s="16" t="n">
        <v>0</v>
      </c>
      <c r="Q113" s="20"/>
      <c r="R113" s="20"/>
      <c r="S113" s="420"/>
      <c r="T113" s="20"/>
      <c r="U113" s="20"/>
      <c r="V113" s="16"/>
      <c r="W113" s="16"/>
      <c r="X113" s="16"/>
      <c r="Y113" s="16"/>
      <c r="Z113" s="16"/>
      <c r="AA113" s="89"/>
      <c r="AB113" s="89"/>
      <c r="AC113" s="36"/>
      <c r="AD113" s="20"/>
      <c r="AE113" s="20"/>
      <c r="AF113" s="20" t="s">
        <v>1277</v>
      </c>
    </row>
    <row r="114" customFormat="false" ht="15.75" hidden="false" customHeight="false" outlineLevel="0" collapsed="false">
      <c r="A114" s="16" t="s">
        <v>42</v>
      </c>
      <c r="B114" s="16" t="s">
        <v>3427</v>
      </c>
      <c r="C114" s="71" t="s">
        <v>3645</v>
      </c>
      <c r="D114" s="16" t="s">
        <v>3661</v>
      </c>
      <c r="E114" s="16" t="s">
        <v>3662</v>
      </c>
      <c r="F114" s="16" t="n">
        <v>453.17</v>
      </c>
      <c r="G114" s="16" t="n">
        <v>63</v>
      </c>
      <c r="H114" s="16" t="n">
        <v>391</v>
      </c>
      <c r="I114" s="16" t="n">
        <v>204</v>
      </c>
      <c r="J114" s="16" t="n">
        <v>187</v>
      </c>
      <c r="K114" s="16" t="n">
        <v>44</v>
      </c>
      <c r="L114" s="19" t="n">
        <f aca="false">(K114/H114)*100</f>
        <v>11.2531969309463</v>
      </c>
      <c r="M114" s="16" t="n">
        <v>0</v>
      </c>
      <c r="N114" s="19" t="n">
        <f aca="false">(M114/H114)*100</f>
        <v>0</v>
      </c>
      <c r="O114" s="16" t="n">
        <v>6.15</v>
      </c>
      <c r="P114" s="16" t="n">
        <v>0</v>
      </c>
      <c r="Q114" s="24" t="s">
        <v>49</v>
      </c>
      <c r="R114" s="25" t="n">
        <v>45932</v>
      </c>
      <c r="S114" s="420"/>
      <c r="T114" s="26" t="n">
        <v>0.16</v>
      </c>
      <c r="U114" s="20"/>
      <c r="V114" s="16"/>
      <c r="W114" s="16"/>
      <c r="X114" s="16"/>
      <c r="Y114" s="16"/>
      <c r="Z114" s="16"/>
      <c r="AA114" s="92" t="s">
        <v>50</v>
      </c>
      <c r="AB114" s="92" t="n">
        <v>0</v>
      </c>
      <c r="AC114" s="96"/>
      <c r="AD114" s="92"/>
      <c r="AE114" s="92"/>
      <c r="AF114" s="20" t="s">
        <v>1277</v>
      </c>
    </row>
    <row r="115" customFormat="false" ht="17.25" hidden="false" customHeight="false" outlineLevel="0" collapsed="false">
      <c r="A115" s="16" t="s">
        <v>42</v>
      </c>
      <c r="B115" s="16" t="s">
        <v>3427</v>
      </c>
      <c r="C115" s="71" t="s">
        <v>3645</v>
      </c>
      <c r="D115" s="16" t="s">
        <v>2446</v>
      </c>
      <c r="E115" s="16" t="s">
        <v>3663</v>
      </c>
      <c r="F115" s="16" t="n">
        <v>340.13</v>
      </c>
      <c r="G115" s="16" t="n">
        <v>74</v>
      </c>
      <c r="H115" s="16" t="n">
        <v>430</v>
      </c>
      <c r="I115" s="16" t="n">
        <v>224</v>
      </c>
      <c r="J115" s="16" t="n">
        <v>206</v>
      </c>
      <c r="K115" s="16" t="n">
        <v>180</v>
      </c>
      <c r="L115" s="19" t="n">
        <f aca="false">(K115/H115)*100</f>
        <v>41.8604651162791</v>
      </c>
      <c r="M115" s="16" t="n">
        <v>0</v>
      </c>
      <c r="N115" s="19" t="n">
        <f aca="false">(M115/H115)*100</f>
        <v>0</v>
      </c>
      <c r="O115" s="16" t="n">
        <v>27.95</v>
      </c>
      <c r="P115" s="16" t="n">
        <v>0</v>
      </c>
      <c r="Q115" s="24" t="s">
        <v>49</v>
      </c>
      <c r="R115" s="25" t="n">
        <v>45932</v>
      </c>
      <c r="S115" s="420"/>
      <c r="T115" s="26" t="n">
        <v>17.91</v>
      </c>
      <c r="U115" s="20"/>
      <c r="V115" s="16"/>
      <c r="W115" s="16"/>
      <c r="X115" s="16"/>
      <c r="Y115" s="16"/>
      <c r="Z115" s="16"/>
      <c r="AA115" s="92" t="s">
        <v>50</v>
      </c>
      <c r="AB115" s="92" t="n">
        <v>5</v>
      </c>
      <c r="AC115" s="130" t="s">
        <v>3664</v>
      </c>
      <c r="AD115" s="24" t="n">
        <v>26.491365</v>
      </c>
      <c r="AE115" s="24" t="n">
        <v>72.382078</v>
      </c>
      <c r="AF115" s="20" t="s">
        <v>1277</v>
      </c>
    </row>
    <row r="116" customFormat="false" ht="34.5" hidden="false" customHeight="false" outlineLevel="0" collapsed="false">
      <c r="A116" s="16"/>
      <c r="B116" s="16"/>
      <c r="C116" s="71"/>
      <c r="D116" s="16"/>
      <c r="E116" s="16"/>
      <c r="F116" s="16"/>
      <c r="G116" s="16"/>
      <c r="H116" s="16"/>
      <c r="I116" s="16"/>
      <c r="J116" s="16"/>
      <c r="K116" s="16"/>
      <c r="L116" s="19"/>
      <c r="M116" s="16"/>
      <c r="N116" s="19"/>
      <c r="O116" s="16"/>
      <c r="P116" s="16"/>
      <c r="Q116" s="256"/>
      <c r="R116" s="256"/>
      <c r="S116" s="420"/>
      <c r="T116" s="256"/>
      <c r="U116" s="20"/>
      <c r="V116" s="16"/>
      <c r="W116" s="16"/>
      <c r="X116" s="16"/>
      <c r="Y116" s="16"/>
      <c r="Z116" s="16"/>
      <c r="AA116" s="174" t="s">
        <v>50</v>
      </c>
      <c r="AB116" s="174" t="n">
        <v>5</v>
      </c>
      <c r="AC116" s="257" t="s">
        <v>3657</v>
      </c>
      <c r="AD116" s="256" t="n">
        <v>26.51018</v>
      </c>
      <c r="AE116" s="256" t="n">
        <v>72.363547</v>
      </c>
      <c r="AF116" s="20" t="s">
        <v>1277</v>
      </c>
    </row>
    <row r="117" customFormat="false" ht="17.25" hidden="false" customHeight="false" outlineLevel="0" collapsed="false">
      <c r="A117" s="16" t="s">
        <v>42</v>
      </c>
      <c r="B117" s="16" t="s">
        <v>3427</v>
      </c>
      <c r="C117" s="71" t="s">
        <v>3645</v>
      </c>
      <c r="D117" s="16" t="s">
        <v>385</v>
      </c>
      <c r="E117" s="16" t="s">
        <v>3665</v>
      </c>
      <c r="F117" s="16" t="n">
        <v>625.8</v>
      </c>
      <c r="G117" s="16" t="n">
        <v>113</v>
      </c>
      <c r="H117" s="16" t="n">
        <v>750</v>
      </c>
      <c r="I117" s="16" t="n">
        <v>401</v>
      </c>
      <c r="J117" s="16" t="n">
        <v>349</v>
      </c>
      <c r="K117" s="16" t="n">
        <v>232</v>
      </c>
      <c r="L117" s="19" t="n">
        <f aca="false">(K117/H117)*100</f>
        <v>30.9333333333333</v>
      </c>
      <c r="M117" s="16" t="n">
        <v>51</v>
      </c>
      <c r="N117" s="19" t="n">
        <f aca="false">(M117/H117)*100</f>
        <v>6.8</v>
      </c>
      <c r="O117" s="16" t="n">
        <v>0</v>
      </c>
      <c r="P117" s="16" t="n">
        <v>0</v>
      </c>
      <c r="Q117" s="24" t="s">
        <v>49</v>
      </c>
      <c r="R117" s="25" t="n">
        <v>45932</v>
      </c>
      <c r="S117" s="420"/>
      <c r="T117" s="26" t="n">
        <v>0</v>
      </c>
      <c r="U117" s="20"/>
      <c r="V117" s="16"/>
      <c r="W117" s="16"/>
      <c r="X117" s="16"/>
      <c r="Y117" s="16"/>
      <c r="Z117" s="16"/>
      <c r="AA117" s="92" t="s">
        <v>50</v>
      </c>
      <c r="AB117" s="92" t="n">
        <v>0</v>
      </c>
      <c r="AC117" s="29"/>
      <c r="AD117" s="24"/>
      <c r="AE117" s="24"/>
      <c r="AF117" s="20" t="s">
        <v>1277</v>
      </c>
    </row>
    <row r="118" customFormat="false" ht="51.75" hidden="false" customHeight="false" outlineLevel="0" collapsed="false">
      <c r="A118" s="16" t="s">
        <v>42</v>
      </c>
      <c r="B118" s="16" t="s">
        <v>3427</v>
      </c>
      <c r="C118" s="71" t="s">
        <v>1253</v>
      </c>
      <c r="D118" s="72" t="s">
        <v>1253</v>
      </c>
      <c r="E118" s="16" t="s">
        <v>3666</v>
      </c>
      <c r="F118" s="16" t="n">
        <v>1170.61</v>
      </c>
      <c r="G118" s="16" t="n">
        <v>238</v>
      </c>
      <c r="H118" s="16" t="n">
        <v>1635</v>
      </c>
      <c r="I118" s="16" t="n">
        <v>857</v>
      </c>
      <c r="J118" s="16" t="n">
        <v>778</v>
      </c>
      <c r="K118" s="16" t="n">
        <v>363</v>
      </c>
      <c r="L118" s="19" t="n">
        <f aca="false">(K118/H118)*100</f>
        <v>22.2018348623853</v>
      </c>
      <c r="M118" s="16" t="n">
        <v>0</v>
      </c>
      <c r="N118" s="19" t="n">
        <f aca="false">(M118/H118)*100</f>
        <v>0</v>
      </c>
      <c r="O118" s="16" t="n">
        <v>27.33</v>
      </c>
      <c r="P118" s="16" t="n">
        <v>0</v>
      </c>
      <c r="Q118" s="53" t="s">
        <v>49</v>
      </c>
      <c r="R118" s="53" t="n">
        <v>45317</v>
      </c>
      <c r="S118" s="420"/>
      <c r="T118" s="45" t="n">
        <v>20.74</v>
      </c>
      <c r="U118" s="20"/>
      <c r="V118" s="16"/>
      <c r="W118" s="16"/>
      <c r="X118" s="16"/>
      <c r="Y118" s="16"/>
      <c r="Z118" s="16"/>
      <c r="AA118" s="119" t="s">
        <v>50</v>
      </c>
      <c r="AB118" s="119" t="n">
        <v>7</v>
      </c>
      <c r="AC118" s="127" t="s">
        <v>3667</v>
      </c>
      <c r="AD118" s="45" t="n">
        <v>72.62</v>
      </c>
      <c r="AE118" s="45" t="n">
        <v>26.82</v>
      </c>
      <c r="AF118" s="20"/>
    </row>
    <row r="119" customFormat="false" ht="15.75" hidden="false" customHeight="false" outlineLevel="0" collapsed="false">
      <c r="A119" s="16" t="s">
        <v>42</v>
      </c>
      <c r="B119" s="16" t="s">
        <v>3427</v>
      </c>
      <c r="C119" s="71" t="s">
        <v>1253</v>
      </c>
      <c r="D119" s="16" t="s">
        <v>3668</v>
      </c>
      <c r="E119" s="16" t="s">
        <v>3669</v>
      </c>
      <c r="F119" s="16" t="n">
        <v>1597.42</v>
      </c>
      <c r="G119" s="16" t="n">
        <v>192</v>
      </c>
      <c r="H119" s="16" t="n">
        <v>1190</v>
      </c>
      <c r="I119" s="16" t="n">
        <v>618</v>
      </c>
      <c r="J119" s="16" t="n">
        <v>572</v>
      </c>
      <c r="K119" s="16" t="n">
        <v>197</v>
      </c>
      <c r="L119" s="19" t="n">
        <f aca="false">(K119/H119)*100</f>
        <v>16.5546218487395</v>
      </c>
      <c r="M119" s="16" t="n">
        <v>0</v>
      </c>
      <c r="N119" s="19" t="n">
        <f aca="false">(M119/H119)*100</f>
        <v>0</v>
      </c>
      <c r="O119" s="16" t="n">
        <v>17.91</v>
      </c>
      <c r="P119" s="16" t="n">
        <v>0</v>
      </c>
      <c r="Q119" s="53" t="s">
        <v>49</v>
      </c>
      <c r="R119" s="53" t="n">
        <v>45317</v>
      </c>
      <c r="S119" s="420"/>
      <c r="T119" s="45" t="n">
        <v>2.75</v>
      </c>
      <c r="U119" s="20"/>
      <c r="V119" s="16"/>
      <c r="W119" s="16"/>
      <c r="X119" s="16"/>
      <c r="Y119" s="16"/>
      <c r="Z119" s="16"/>
      <c r="AA119" s="119" t="s">
        <v>50</v>
      </c>
      <c r="AB119" s="119"/>
      <c r="AC119" s="128"/>
      <c r="AD119" s="45"/>
      <c r="AE119" s="45"/>
      <c r="AF119" s="20"/>
    </row>
    <row r="120" customFormat="false" ht="15.75" hidden="false" customHeight="false" outlineLevel="0" collapsed="false">
      <c r="A120" s="16" t="s">
        <v>42</v>
      </c>
      <c r="B120" s="16" t="s">
        <v>3427</v>
      </c>
      <c r="C120" s="71" t="s">
        <v>3670</v>
      </c>
      <c r="D120" s="72" t="s">
        <v>3670</v>
      </c>
      <c r="E120" s="16" t="s">
        <v>3671</v>
      </c>
      <c r="F120" s="16" t="n">
        <v>1718.92</v>
      </c>
      <c r="G120" s="16" t="n">
        <v>296</v>
      </c>
      <c r="H120" s="16" t="n">
        <v>1817</v>
      </c>
      <c r="I120" s="16" t="n">
        <v>936</v>
      </c>
      <c r="J120" s="16" t="n">
        <v>881</v>
      </c>
      <c r="K120" s="16" t="n">
        <v>278</v>
      </c>
      <c r="L120" s="19" t="n">
        <f aca="false">(K120/H120)*100</f>
        <v>15.2999449642267</v>
      </c>
      <c r="M120" s="16" t="n">
        <v>0</v>
      </c>
      <c r="N120" s="19" t="n">
        <f aca="false">(M120/H120)*100</f>
        <v>0</v>
      </c>
      <c r="O120" s="16" t="n">
        <v>52.78</v>
      </c>
      <c r="P120" s="16" t="n">
        <v>0</v>
      </c>
      <c r="Q120" s="20" t="s">
        <v>49</v>
      </c>
      <c r="R120" s="153" t="n">
        <v>44836</v>
      </c>
      <c r="S120" s="420"/>
      <c r="T120" s="20" t="n">
        <v>35.6708</v>
      </c>
      <c r="U120" s="20"/>
      <c r="V120" s="16"/>
      <c r="W120" s="16"/>
      <c r="X120" s="16"/>
      <c r="Y120" s="16"/>
      <c r="Z120" s="16"/>
      <c r="AA120" s="89" t="s">
        <v>50</v>
      </c>
      <c r="AB120" s="89" t="n">
        <v>10</v>
      </c>
      <c r="AC120" s="90" t="s">
        <v>3672</v>
      </c>
      <c r="AD120" s="20"/>
      <c r="AE120" s="20"/>
      <c r="AF120" s="20"/>
    </row>
    <row r="121" customFormat="false" ht="31.5" hidden="false" customHeight="false" outlineLevel="0" collapsed="false">
      <c r="A121" s="16"/>
      <c r="B121" s="16"/>
      <c r="C121" s="71"/>
      <c r="D121" s="72"/>
      <c r="E121" s="16"/>
      <c r="F121" s="16"/>
      <c r="G121" s="16"/>
      <c r="H121" s="16"/>
      <c r="I121" s="16"/>
      <c r="J121" s="16"/>
      <c r="K121" s="16"/>
      <c r="L121" s="19"/>
      <c r="M121" s="16"/>
      <c r="N121" s="19"/>
      <c r="O121" s="16"/>
      <c r="P121" s="16"/>
      <c r="Q121" s="228"/>
      <c r="R121" s="228"/>
      <c r="S121" s="420"/>
      <c r="T121" s="228"/>
      <c r="U121" s="20"/>
      <c r="V121" s="16"/>
      <c r="W121" s="16"/>
      <c r="X121" s="16"/>
      <c r="Y121" s="16"/>
      <c r="Z121" s="16"/>
      <c r="AA121" s="93" t="s">
        <v>50</v>
      </c>
      <c r="AB121" s="93" t="n">
        <v>12</v>
      </c>
      <c r="AC121" s="98" t="s">
        <v>3673</v>
      </c>
      <c r="AD121" s="228"/>
      <c r="AE121" s="228"/>
      <c r="AF121" s="20"/>
    </row>
    <row r="122" customFormat="false" ht="15.75" hidden="false" customHeight="false" outlineLevel="0" collapsed="false">
      <c r="A122" s="16"/>
      <c r="B122" s="16"/>
      <c r="C122" s="71"/>
      <c r="D122" s="72"/>
      <c r="E122" s="16"/>
      <c r="F122" s="16"/>
      <c r="G122" s="16"/>
      <c r="H122" s="16"/>
      <c r="I122" s="16"/>
      <c r="J122" s="16"/>
      <c r="K122" s="16"/>
      <c r="L122" s="19"/>
      <c r="M122" s="16"/>
      <c r="N122" s="19"/>
      <c r="O122" s="16"/>
      <c r="P122" s="16"/>
      <c r="Q122" s="228"/>
      <c r="R122" s="228"/>
      <c r="S122" s="420"/>
      <c r="T122" s="228"/>
      <c r="U122" s="20"/>
      <c r="V122" s="16"/>
      <c r="W122" s="16"/>
      <c r="X122" s="16"/>
      <c r="Y122" s="16"/>
      <c r="Z122" s="16"/>
      <c r="AA122" s="93" t="s">
        <v>50</v>
      </c>
      <c r="AB122" s="93" t="n">
        <v>10</v>
      </c>
      <c r="AC122" s="98" t="s">
        <v>3674</v>
      </c>
      <c r="AD122" s="228"/>
      <c r="AE122" s="228"/>
      <c r="AF122" s="20"/>
    </row>
    <row r="123" customFormat="false" ht="15.75" hidden="false" customHeight="false" outlineLevel="0" collapsed="false">
      <c r="A123" s="16" t="s">
        <v>42</v>
      </c>
      <c r="B123" s="16" t="s">
        <v>3427</v>
      </c>
      <c r="C123" s="71" t="s">
        <v>3670</v>
      </c>
      <c r="D123" s="16" t="s">
        <v>1968</v>
      </c>
      <c r="E123" s="16" t="s">
        <v>3675</v>
      </c>
      <c r="F123" s="16" t="n">
        <v>1012.88</v>
      </c>
      <c r="G123" s="16" t="n">
        <v>247</v>
      </c>
      <c r="H123" s="16" t="n">
        <v>1446</v>
      </c>
      <c r="I123" s="16" t="n">
        <v>740</v>
      </c>
      <c r="J123" s="16" t="n">
        <v>706</v>
      </c>
      <c r="K123" s="16" t="n">
        <v>344</v>
      </c>
      <c r="L123" s="19" t="n">
        <f aca="false">(K123/H123)*100</f>
        <v>23.789764868603</v>
      </c>
      <c r="M123" s="16" t="n">
        <v>0</v>
      </c>
      <c r="N123" s="19" t="n">
        <f aca="false">(M123/H123)*100</f>
        <v>0</v>
      </c>
      <c r="O123" s="16" t="n">
        <v>14.8</v>
      </c>
      <c r="P123" s="16" t="n">
        <v>0</v>
      </c>
      <c r="Q123" s="20" t="s">
        <v>49</v>
      </c>
      <c r="R123" s="153" t="n">
        <v>44836</v>
      </c>
      <c r="S123" s="420"/>
      <c r="T123" s="20" t="n">
        <v>13.3384</v>
      </c>
      <c r="U123" s="20"/>
      <c r="V123" s="16"/>
      <c r="W123" s="16"/>
      <c r="X123" s="16"/>
      <c r="Y123" s="16"/>
      <c r="Z123" s="16"/>
      <c r="AA123" s="89" t="s">
        <v>50</v>
      </c>
      <c r="AB123" s="89" t="n">
        <v>10</v>
      </c>
      <c r="AC123" s="90" t="s">
        <v>3676</v>
      </c>
      <c r="AD123" s="20"/>
      <c r="AE123" s="20"/>
      <c r="AF123" s="20"/>
    </row>
    <row r="124" customFormat="false" ht="15.75" hidden="false" customHeight="false" outlineLevel="0" collapsed="false">
      <c r="A124" s="16" t="s">
        <v>42</v>
      </c>
      <c r="B124" s="16" t="s">
        <v>3427</v>
      </c>
      <c r="C124" s="71" t="s">
        <v>3670</v>
      </c>
      <c r="D124" s="16" t="s">
        <v>3677</v>
      </c>
      <c r="E124" s="16" t="s">
        <v>3678</v>
      </c>
      <c r="F124" s="16" t="n">
        <v>877.92</v>
      </c>
      <c r="G124" s="16" t="n">
        <v>93</v>
      </c>
      <c r="H124" s="16" t="n">
        <v>515</v>
      </c>
      <c r="I124" s="16" t="n">
        <v>267</v>
      </c>
      <c r="J124" s="16" t="n">
        <v>248</v>
      </c>
      <c r="K124" s="16" t="n">
        <v>30</v>
      </c>
      <c r="L124" s="19" t="n">
        <f aca="false">(K124/H124)*100</f>
        <v>5.8252427184466</v>
      </c>
      <c r="M124" s="16" t="n">
        <v>0</v>
      </c>
      <c r="N124" s="19" t="n">
        <f aca="false">(M124/H124)*100</f>
        <v>0</v>
      </c>
      <c r="O124" s="16" t="n">
        <v>4.86</v>
      </c>
      <c r="P124" s="16" t="n">
        <v>0</v>
      </c>
      <c r="Q124" s="20" t="s">
        <v>49</v>
      </c>
      <c r="R124" s="153" t="n">
        <v>44836</v>
      </c>
      <c r="S124" s="420"/>
      <c r="T124" s="297" t="n">
        <v>4.6701</v>
      </c>
      <c r="U124" s="20"/>
      <c r="V124" s="16"/>
      <c r="W124" s="16"/>
      <c r="X124" s="16"/>
      <c r="Y124" s="16"/>
      <c r="Z124" s="16"/>
      <c r="AA124" s="89" t="s">
        <v>50</v>
      </c>
      <c r="AB124" s="89" t="n">
        <v>0</v>
      </c>
      <c r="AC124" s="36"/>
      <c r="AD124" s="20"/>
      <c r="AE124" s="20"/>
      <c r="AF124" s="20"/>
    </row>
    <row r="125" customFormat="false" ht="31.5" hidden="false" customHeight="false" outlineLevel="0" collapsed="false">
      <c r="A125" s="16" t="s">
        <v>42</v>
      </c>
      <c r="B125" s="16" t="s">
        <v>3427</v>
      </c>
      <c r="C125" s="71" t="s">
        <v>3679</v>
      </c>
      <c r="D125" s="72" t="s">
        <v>3680</v>
      </c>
      <c r="E125" s="16" t="s">
        <v>3681</v>
      </c>
      <c r="F125" s="16" t="n">
        <v>3172.48</v>
      </c>
      <c r="G125" s="16" t="n">
        <v>735</v>
      </c>
      <c r="H125" s="16" t="n">
        <v>4128</v>
      </c>
      <c r="I125" s="16" t="n">
        <v>2136</v>
      </c>
      <c r="J125" s="16" t="n">
        <v>1992</v>
      </c>
      <c r="K125" s="16" t="n">
        <v>704</v>
      </c>
      <c r="L125" s="19" t="n">
        <f aca="false">(K125/H125)*100</f>
        <v>17.0542635658915</v>
      </c>
      <c r="M125" s="16" t="n">
        <v>268</v>
      </c>
      <c r="N125" s="19" t="n">
        <f aca="false">(M125/H125)*100</f>
        <v>6.4922480620155</v>
      </c>
      <c r="O125" s="16" t="n">
        <v>528.06</v>
      </c>
      <c r="P125" s="16" t="n">
        <v>0</v>
      </c>
      <c r="Q125" s="24" t="s">
        <v>49</v>
      </c>
      <c r="R125" s="421" t="n">
        <v>44836</v>
      </c>
      <c r="S125" s="420"/>
      <c r="T125" s="24" t="n">
        <v>128.6898</v>
      </c>
      <c r="U125" s="20"/>
      <c r="V125" s="16"/>
      <c r="W125" s="16"/>
      <c r="X125" s="16"/>
      <c r="Y125" s="16"/>
      <c r="Z125" s="16"/>
      <c r="AA125" s="92" t="s">
        <v>50</v>
      </c>
      <c r="AB125" s="92" t="n">
        <v>15</v>
      </c>
      <c r="AC125" s="96" t="s">
        <v>3682</v>
      </c>
      <c r="AD125" s="24"/>
      <c r="AE125" s="24"/>
      <c r="AF125" s="20"/>
    </row>
    <row r="126" customFormat="false" ht="15.75" hidden="false" customHeight="false" outlineLevel="0" collapsed="false">
      <c r="A126" s="16"/>
      <c r="B126" s="16"/>
      <c r="C126" s="71"/>
      <c r="D126" s="72"/>
      <c r="E126" s="16"/>
      <c r="F126" s="16"/>
      <c r="G126" s="16"/>
      <c r="H126" s="16"/>
      <c r="I126" s="16"/>
      <c r="J126" s="16"/>
      <c r="K126" s="16"/>
      <c r="L126" s="19"/>
      <c r="M126" s="16"/>
      <c r="N126" s="19"/>
      <c r="O126" s="16"/>
      <c r="P126" s="16"/>
      <c r="Q126" s="228"/>
      <c r="R126" s="228"/>
      <c r="S126" s="420"/>
      <c r="T126" s="228"/>
      <c r="U126" s="20"/>
      <c r="V126" s="16"/>
      <c r="W126" s="16"/>
      <c r="X126" s="16"/>
      <c r="Y126" s="16"/>
      <c r="Z126" s="16"/>
      <c r="AA126" s="93" t="s">
        <v>50</v>
      </c>
      <c r="AB126" s="93" t="n">
        <v>16</v>
      </c>
      <c r="AC126" s="98" t="s">
        <v>3683</v>
      </c>
      <c r="AD126" s="228"/>
      <c r="AE126" s="228"/>
      <c r="AF126" s="20"/>
    </row>
    <row r="127" customFormat="false" ht="15.75" hidden="false" customHeight="false" outlineLevel="0" collapsed="false">
      <c r="A127" s="16"/>
      <c r="B127" s="16"/>
      <c r="C127" s="71"/>
      <c r="D127" s="72"/>
      <c r="E127" s="16"/>
      <c r="F127" s="16"/>
      <c r="G127" s="16"/>
      <c r="H127" s="16"/>
      <c r="I127" s="16"/>
      <c r="J127" s="16"/>
      <c r="K127" s="16"/>
      <c r="L127" s="19"/>
      <c r="M127" s="16"/>
      <c r="N127" s="19"/>
      <c r="O127" s="16"/>
      <c r="P127" s="16"/>
      <c r="Q127" s="228"/>
      <c r="R127" s="228"/>
      <c r="S127" s="420"/>
      <c r="T127" s="228"/>
      <c r="U127" s="20"/>
      <c r="V127" s="16"/>
      <c r="W127" s="16"/>
      <c r="X127" s="16"/>
      <c r="Y127" s="16"/>
      <c r="Z127" s="16"/>
      <c r="AA127" s="93" t="s">
        <v>50</v>
      </c>
      <c r="AB127" s="93" t="n">
        <v>10</v>
      </c>
      <c r="AC127" s="98" t="s">
        <v>3684</v>
      </c>
      <c r="AD127" s="228"/>
      <c r="AE127" s="228"/>
      <c r="AF127" s="20"/>
    </row>
    <row r="128" customFormat="false" ht="31.5" hidden="false" customHeight="false" outlineLevel="0" collapsed="false">
      <c r="A128" s="16"/>
      <c r="B128" s="16"/>
      <c r="C128" s="71"/>
      <c r="D128" s="72"/>
      <c r="E128" s="16"/>
      <c r="F128" s="16"/>
      <c r="G128" s="16"/>
      <c r="H128" s="16"/>
      <c r="I128" s="16"/>
      <c r="J128" s="16"/>
      <c r="K128" s="16"/>
      <c r="L128" s="19"/>
      <c r="M128" s="16"/>
      <c r="N128" s="19"/>
      <c r="O128" s="16"/>
      <c r="P128" s="16"/>
      <c r="Q128" s="228"/>
      <c r="R128" s="228"/>
      <c r="S128" s="420"/>
      <c r="T128" s="228"/>
      <c r="U128" s="20"/>
      <c r="V128" s="16"/>
      <c r="W128" s="16"/>
      <c r="X128" s="16"/>
      <c r="Y128" s="16"/>
      <c r="Z128" s="16"/>
      <c r="AA128" s="93" t="s">
        <v>50</v>
      </c>
      <c r="AB128" s="93" t="n">
        <v>8</v>
      </c>
      <c r="AC128" s="98" t="s">
        <v>3685</v>
      </c>
      <c r="AD128" s="228"/>
      <c r="AE128" s="228"/>
      <c r="AF128" s="20"/>
    </row>
    <row r="129" customFormat="false" ht="15.75" hidden="false" customHeight="false" outlineLevel="0" collapsed="false">
      <c r="A129" s="16"/>
      <c r="B129" s="16"/>
      <c r="C129" s="71"/>
      <c r="D129" s="72"/>
      <c r="E129" s="16"/>
      <c r="F129" s="16"/>
      <c r="G129" s="16"/>
      <c r="H129" s="16"/>
      <c r="I129" s="16"/>
      <c r="J129" s="16"/>
      <c r="K129" s="16"/>
      <c r="L129" s="19"/>
      <c r="M129" s="16"/>
      <c r="N129" s="19"/>
      <c r="O129" s="16"/>
      <c r="P129" s="16"/>
      <c r="Q129" s="228"/>
      <c r="R129" s="228"/>
      <c r="S129" s="420"/>
      <c r="T129" s="228"/>
      <c r="U129" s="20"/>
      <c r="V129" s="16"/>
      <c r="W129" s="16"/>
      <c r="X129" s="16"/>
      <c r="Y129" s="16"/>
      <c r="Z129" s="16"/>
      <c r="AA129" s="93" t="s">
        <v>50</v>
      </c>
      <c r="AB129" s="93" t="n">
        <v>8</v>
      </c>
      <c r="AC129" s="98" t="s">
        <v>3686</v>
      </c>
      <c r="AD129" s="228"/>
      <c r="AE129" s="228"/>
      <c r="AF129" s="20"/>
    </row>
    <row r="130" customFormat="false" ht="20.25" hidden="false" customHeight="true" outlineLevel="0" collapsed="false">
      <c r="A130" s="99" t="s">
        <v>42</v>
      </c>
      <c r="B130" s="99" t="s">
        <v>3427</v>
      </c>
      <c r="C130" s="100" t="s">
        <v>3687</v>
      </c>
      <c r="D130" s="433" t="s">
        <v>3688</v>
      </c>
      <c r="E130" s="99" t="s">
        <v>3689</v>
      </c>
      <c r="F130" s="99" t="n">
        <v>1932.62</v>
      </c>
      <c r="G130" s="99" t="n">
        <v>440</v>
      </c>
      <c r="H130" s="99" t="n">
        <v>3247</v>
      </c>
      <c r="I130" s="99" t="n">
        <v>1729</v>
      </c>
      <c r="J130" s="99" t="n">
        <v>1518</v>
      </c>
      <c r="K130" s="99" t="n">
        <v>504</v>
      </c>
      <c r="L130" s="434" t="n">
        <f aca="false">(K130/H130)*100</f>
        <v>15.5220203264552</v>
      </c>
      <c r="M130" s="99" t="n">
        <v>1</v>
      </c>
      <c r="N130" s="434" t="n">
        <f aca="false">(M130/H130)*100</f>
        <v>0.0307976593778873</v>
      </c>
      <c r="O130" s="99" t="n">
        <v>149.01</v>
      </c>
      <c r="P130" s="99" t="n">
        <v>0</v>
      </c>
      <c r="Q130" s="435" t="s">
        <v>49</v>
      </c>
      <c r="R130" s="436" t="n">
        <v>45201</v>
      </c>
      <c r="S130" s="420"/>
      <c r="T130" s="435" t="n">
        <v>150.8151</v>
      </c>
      <c r="U130" s="437"/>
      <c r="V130" s="99"/>
      <c r="W130" s="99"/>
      <c r="X130" s="99"/>
      <c r="Y130" s="99"/>
      <c r="Z130" s="99"/>
      <c r="AA130" s="438" t="s">
        <v>50</v>
      </c>
      <c r="AB130" s="92" t="n">
        <v>10</v>
      </c>
      <c r="AC130" s="96" t="s">
        <v>3690</v>
      </c>
      <c r="AD130" s="24"/>
      <c r="AE130" s="24"/>
      <c r="AF130" s="20"/>
    </row>
    <row r="131" customFormat="false" ht="20.25" hidden="false" customHeight="true" outlineLevel="0" collapsed="false">
      <c r="A131" s="16"/>
      <c r="B131" s="16"/>
      <c r="C131" s="71"/>
      <c r="D131" s="72"/>
      <c r="E131" s="16"/>
      <c r="F131" s="16"/>
      <c r="G131" s="16"/>
      <c r="H131" s="16"/>
      <c r="I131" s="16"/>
      <c r="J131" s="16"/>
      <c r="K131" s="16"/>
      <c r="L131" s="19"/>
      <c r="M131" s="16"/>
      <c r="N131" s="19"/>
      <c r="O131" s="16"/>
      <c r="P131" s="16"/>
      <c r="Q131" s="228" t="s">
        <v>49</v>
      </c>
      <c r="R131" s="373"/>
      <c r="S131" s="16"/>
      <c r="T131" s="228"/>
      <c r="U131" s="20"/>
      <c r="V131" s="16"/>
      <c r="W131" s="16"/>
      <c r="X131" s="16"/>
      <c r="Y131" s="16"/>
      <c r="Z131" s="16"/>
      <c r="AA131" s="93" t="s">
        <v>50</v>
      </c>
      <c r="AB131" s="439" t="n">
        <v>10</v>
      </c>
      <c r="AC131" s="98" t="s">
        <v>3691</v>
      </c>
      <c r="AD131" s="228"/>
      <c r="AE131" s="228"/>
      <c r="AF131" s="20"/>
    </row>
    <row r="132" customFormat="false" ht="20.25" hidden="false" customHeight="true" outlineLevel="0" collapsed="false">
      <c r="A132" s="16"/>
      <c r="B132" s="16"/>
      <c r="C132" s="71"/>
      <c r="D132" s="72"/>
      <c r="E132" s="16"/>
      <c r="F132" s="16"/>
      <c r="G132" s="16"/>
      <c r="H132" s="16"/>
      <c r="I132" s="16"/>
      <c r="J132" s="16"/>
      <c r="K132" s="16"/>
      <c r="L132" s="19"/>
      <c r="M132" s="16"/>
      <c r="N132" s="19"/>
      <c r="O132" s="16"/>
      <c r="P132" s="16"/>
      <c r="Q132" s="228" t="s">
        <v>49</v>
      </c>
      <c r="R132" s="373"/>
      <c r="S132" s="16"/>
      <c r="T132" s="228" t="n">
        <v>3.9659</v>
      </c>
      <c r="U132" s="20"/>
      <c r="V132" s="16"/>
      <c r="W132" s="16"/>
      <c r="X132" s="16"/>
      <c r="Y132" s="16"/>
      <c r="Z132" s="16"/>
      <c r="AA132" s="93" t="s">
        <v>50</v>
      </c>
      <c r="AB132" s="439" t="n">
        <v>0</v>
      </c>
      <c r="AC132" s="98" t="s">
        <v>3580</v>
      </c>
      <c r="AD132" s="228"/>
      <c r="AE132" s="228"/>
      <c r="AF132" s="20"/>
    </row>
    <row r="133" customFormat="false" ht="20.25" hidden="false" customHeight="true" outlineLevel="0" collapsed="false">
      <c r="A133" s="16"/>
      <c r="B133" s="16"/>
      <c r="C133" s="71"/>
      <c r="D133" s="72"/>
      <c r="E133" s="16"/>
      <c r="F133" s="16"/>
      <c r="G133" s="16"/>
      <c r="H133" s="16"/>
      <c r="I133" s="16"/>
      <c r="J133" s="16"/>
      <c r="K133" s="16"/>
      <c r="L133" s="19"/>
      <c r="M133" s="16"/>
      <c r="N133" s="19"/>
      <c r="O133" s="16"/>
      <c r="P133" s="16"/>
      <c r="Q133" s="228"/>
      <c r="R133" s="373"/>
      <c r="S133" s="16"/>
      <c r="T133" s="228"/>
      <c r="U133" s="20"/>
      <c r="V133" s="16"/>
      <c r="W133" s="16"/>
      <c r="X133" s="16"/>
      <c r="Y133" s="16"/>
      <c r="Z133" s="16"/>
      <c r="AA133" s="93" t="s">
        <v>50</v>
      </c>
      <c r="AB133" s="439" t="n">
        <v>10</v>
      </c>
      <c r="AC133" s="98" t="s">
        <v>3692</v>
      </c>
      <c r="AD133" s="228"/>
      <c r="AE133" s="228"/>
      <c r="AF133" s="20"/>
    </row>
    <row r="134" customFormat="false" ht="20.25" hidden="false" customHeight="true" outlineLevel="0" collapsed="false">
      <c r="A134" s="16"/>
      <c r="B134" s="16"/>
      <c r="C134" s="71"/>
      <c r="D134" s="72"/>
      <c r="E134" s="16"/>
      <c r="F134" s="16"/>
      <c r="G134" s="16"/>
      <c r="H134" s="16"/>
      <c r="I134" s="16"/>
      <c r="J134" s="16"/>
      <c r="K134" s="16"/>
      <c r="L134" s="19"/>
      <c r="M134" s="16"/>
      <c r="N134" s="19"/>
      <c r="O134" s="16"/>
      <c r="P134" s="16"/>
      <c r="Q134" s="228"/>
      <c r="R134" s="373"/>
      <c r="S134" s="16"/>
      <c r="T134" s="228"/>
      <c r="U134" s="20"/>
      <c r="V134" s="16"/>
      <c r="W134" s="16"/>
      <c r="X134" s="16"/>
      <c r="Y134" s="16"/>
      <c r="Z134" s="16"/>
      <c r="AA134" s="93" t="s">
        <v>50</v>
      </c>
      <c r="AB134" s="439" t="n">
        <v>10</v>
      </c>
      <c r="AC134" s="98" t="s">
        <v>3693</v>
      </c>
      <c r="AD134" s="228"/>
      <c r="AE134" s="228"/>
      <c r="AF134" s="20"/>
    </row>
    <row r="135" customFormat="false" ht="20.25" hidden="false" customHeight="true" outlineLevel="0" collapsed="false">
      <c r="A135" s="16"/>
      <c r="B135" s="16"/>
      <c r="C135" s="71"/>
      <c r="D135" s="72"/>
      <c r="E135" s="16"/>
      <c r="F135" s="16"/>
      <c r="G135" s="16"/>
      <c r="H135" s="16"/>
      <c r="I135" s="16"/>
      <c r="J135" s="16"/>
      <c r="K135" s="16"/>
      <c r="L135" s="19"/>
      <c r="M135" s="16"/>
      <c r="N135" s="19"/>
      <c r="O135" s="16"/>
      <c r="P135" s="16"/>
      <c r="Q135" s="228" t="s">
        <v>49</v>
      </c>
      <c r="R135" s="373"/>
      <c r="S135" s="16"/>
      <c r="T135" s="228" t="n">
        <v>70.488</v>
      </c>
      <c r="U135" s="20"/>
      <c r="V135" s="16"/>
      <c r="W135" s="16"/>
      <c r="X135" s="16"/>
      <c r="Y135" s="16"/>
      <c r="Z135" s="16"/>
      <c r="AA135" s="93" t="s">
        <v>50</v>
      </c>
      <c r="AB135" s="439" t="n">
        <v>10</v>
      </c>
      <c r="AC135" s="98" t="s">
        <v>313</v>
      </c>
      <c r="AD135" s="228" t="n">
        <v>0</v>
      </c>
      <c r="AE135" s="228" t="n">
        <v>0</v>
      </c>
      <c r="AF135" s="20"/>
    </row>
    <row r="136" customFormat="false" ht="15.75" hidden="false" customHeight="false" outlineLevel="0" collapsed="false">
      <c r="A136" s="20"/>
      <c r="B136" s="20"/>
      <c r="C136" s="20"/>
      <c r="D136" s="20"/>
      <c r="E136" s="20"/>
      <c r="F136" s="20" t="n">
        <f aca="false">SUM(F4:F130)</f>
        <v>113203.95</v>
      </c>
      <c r="G136" s="20" t="n">
        <f aca="false">SUM(G4:G130)</f>
        <v>24976</v>
      </c>
      <c r="H136" s="20" t="n">
        <f aca="false">SUM(H4:H130)</f>
        <v>153468</v>
      </c>
      <c r="I136" s="20" t="n">
        <f aca="false">SUM(I4:I130)</f>
        <v>79823</v>
      </c>
      <c r="J136" s="20" t="n">
        <f aca="false">SUM(J4:J130)</f>
        <v>73645</v>
      </c>
      <c r="K136" s="20" t="n">
        <f aca="false">SUM(K4:K130)</f>
        <v>24838</v>
      </c>
      <c r="L136" s="19"/>
      <c r="M136" s="20" t="n">
        <f aca="false">SUM(M4:M130)</f>
        <v>7670</v>
      </c>
      <c r="N136" s="19" t="n">
        <f aca="false">(M136/H136)*100</f>
        <v>4.9977845544348</v>
      </c>
      <c r="O136" s="20" t="n">
        <f aca="false">SUM(O4:O130)</f>
        <v>4525.22</v>
      </c>
      <c r="P136" s="20" t="n">
        <f aca="false">SUM(P4:P130)</f>
        <v>485.29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</sheetData>
  <mergeCells count="3">
    <mergeCell ref="K2:L2"/>
    <mergeCell ref="M2:N2"/>
    <mergeCell ref="AD2:AE2"/>
  </mergeCells>
  <conditionalFormatting sqref="AC44">
    <cfRule type="duplicateValues" priority="2" aboveAverage="0" equalAverage="0" bottom="0" percent="0" rank="0" text="" dxfId="18"/>
  </conditionalFormatting>
  <conditionalFormatting sqref="AC2:AC3">
    <cfRule type="duplicateValues" priority="3" aboveAverage="0" equalAverage="0" bottom="0" percent="0" rank="0" text="" dxfId="19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E1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M3" activePane="bottomRight" state="frozen"/>
      <selection pane="topLeft" activeCell="A1" activeCellId="0" sqref="A1"/>
      <selection pane="topRight" activeCell="M1" activeCellId="0" sqref="M1"/>
      <selection pane="bottomLeft" activeCell="A3" activeCellId="0" sqref="A3"/>
      <selection pane="bottomRight" activeCell="O2" activeCellId="0" sqref="O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.85"/>
    <col collapsed="false" customWidth="true" hidden="false" outlineLevel="0" max="3" min="3" style="0" width="18.28"/>
    <col collapsed="false" customWidth="true" hidden="false" outlineLevel="0" max="4" min="4" style="0" width="16"/>
    <col collapsed="false" customWidth="true" hidden="false" outlineLevel="0" max="14" min="5" style="0" width="9.14"/>
    <col collapsed="false" customWidth="true" hidden="false" outlineLevel="0" max="15" min="15" style="0" width="11.85"/>
    <col collapsed="false" customWidth="true" hidden="false" outlineLevel="0" max="16" min="16" style="0" width="9.14"/>
    <col collapsed="false" customWidth="true" hidden="false" outlineLevel="0" max="17" min="17" style="349" width="13.14"/>
    <col collapsed="false" customWidth="true" hidden="false" outlineLevel="0" max="18" min="18" style="349" width="15.71"/>
    <col collapsed="false" customWidth="true" hidden="false" outlineLevel="0" max="25" min="19" style="349" width="14.71"/>
    <col collapsed="false" customWidth="true" hidden="false" outlineLevel="0" max="28" min="26" style="349" width="9.14"/>
    <col collapsed="false" customWidth="true" hidden="false" outlineLevel="0" max="29" min="29" style="440" width="33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</row>
    <row r="2" s="442" customFormat="true" ht="88.5" hidden="false" customHeight="true" outlineLevel="0" collapsed="false">
      <c r="A2" s="165" t="s">
        <v>4</v>
      </c>
      <c r="B2" s="165" t="s">
        <v>5</v>
      </c>
      <c r="C2" s="165" t="s">
        <v>6</v>
      </c>
      <c r="D2" s="165" t="s">
        <v>7</v>
      </c>
      <c r="E2" s="165" t="s">
        <v>8</v>
      </c>
      <c r="F2" s="165" t="s">
        <v>9</v>
      </c>
      <c r="G2" s="165" t="s">
        <v>10</v>
      </c>
      <c r="H2" s="165" t="s">
        <v>11</v>
      </c>
      <c r="I2" s="165" t="s">
        <v>12</v>
      </c>
      <c r="J2" s="165" t="s">
        <v>13</v>
      </c>
      <c r="K2" s="441" t="s">
        <v>14</v>
      </c>
      <c r="L2" s="441"/>
      <c r="M2" s="441" t="s">
        <v>15</v>
      </c>
      <c r="N2" s="441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</row>
    <row r="3" s="442" customFormat="true" ht="31.5" hidden="false" customHeight="false" outlineLevel="0" collapsed="false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</row>
    <row r="4" customFormat="false" ht="15.75" hidden="false" customHeight="false" outlineLevel="0" collapsed="false">
      <c r="A4" s="77" t="s">
        <v>42</v>
      </c>
      <c r="B4" s="77" t="s">
        <v>3694</v>
      </c>
      <c r="C4" s="113" t="s">
        <v>546</v>
      </c>
      <c r="D4" s="77" t="s">
        <v>194</v>
      </c>
      <c r="E4" s="77" t="s">
        <v>3695</v>
      </c>
      <c r="F4" s="77" t="n">
        <v>155.06</v>
      </c>
      <c r="G4" s="77" t="n">
        <v>80</v>
      </c>
      <c r="H4" s="77" t="n">
        <v>422</v>
      </c>
      <c r="I4" s="77" t="n">
        <v>206</v>
      </c>
      <c r="J4" s="77" t="n">
        <v>216</v>
      </c>
      <c r="K4" s="77" t="n">
        <v>0</v>
      </c>
      <c r="L4" s="19" t="n">
        <f aca="false">(K4/H4)*100</f>
        <v>0</v>
      </c>
      <c r="M4" s="77" t="n">
        <v>0</v>
      </c>
      <c r="N4" s="19" t="n">
        <f aca="false">(M4/H4)*100</f>
        <v>0</v>
      </c>
      <c r="O4" s="77" t="n">
        <v>0</v>
      </c>
      <c r="P4" s="443" t="n">
        <v>0</v>
      </c>
      <c r="S4" s="77"/>
      <c r="V4" s="77"/>
      <c r="W4" s="77"/>
      <c r="X4" s="77"/>
      <c r="Y4" s="77"/>
      <c r="Z4" s="77"/>
      <c r="AA4" s="202"/>
      <c r="AC4" s="444"/>
      <c r="AD4" s="349"/>
      <c r="AE4" s="349"/>
    </row>
    <row r="5" customFormat="false" ht="15.75" hidden="false" customHeight="false" outlineLevel="0" collapsed="false">
      <c r="A5" s="77" t="s">
        <v>42</v>
      </c>
      <c r="B5" s="77" t="s">
        <v>3694</v>
      </c>
      <c r="C5" s="113" t="s">
        <v>3696</v>
      </c>
      <c r="D5" s="171" t="s">
        <v>3440</v>
      </c>
      <c r="E5" s="77" t="s">
        <v>3697</v>
      </c>
      <c r="F5" s="77" t="n">
        <v>1835</v>
      </c>
      <c r="G5" s="77" t="n">
        <v>348</v>
      </c>
      <c r="H5" s="77" t="n">
        <v>1796</v>
      </c>
      <c r="I5" s="77" t="n">
        <v>912</v>
      </c>
      <c r="J5" s="77" t="n">
        <v>884</v>
      </c>
      <c r="K5" s="77" t="n">
        <v>366</v>
      </c>
      <c r="L5" s="19" t="n">
        <f aca="false">(K5/H5)*100</f>
        <v>20.3786191536748</v>
      </c>
      <c r="M5" s="77" t="n">
        <v>75</v>
      </c>
      <c r="N5" s="19" t="n">
        <f aca="false">(M5/H5)*100</f>
        <v>4.17594654788419</v>
      </c>
      <c r="O5" s="77" t="n">
        <v>0</v>
      </c>
      <c r="P5" s="443" t="n">
        <v>0</v>
      </c>
      <c r="S5" s="77"/>
      <c r="V5" s="77"/>
      <c r="W5" s="77"/>
      <c r="X5" s="77"/>
      <c r="Y5" s="77"/>
      <c r="Z5" s="77"/>
      <c r="AA5" s="202"/>
      <c r="AC5" s="444"/>
      <c r="AD5" s="349"/>
      <c r="AE5" s="349"/>
    </row>
    <row r="6" customFormat="false" ht="15.75" hidden="false" customHeight="false" outlineLevel="0" collapsed="false">
      <c r="A6" s="77" t="s">
        <v>42</v>
      </c>
      <c r="B6" s="77" t="s">
        <v>3694</v>
      </c>
      <c r="C6" s="113" t="s">
        <v>3696</v>
      </c>
      <c r="D6" s="77" t="s">
        <v>3436</v>
      </c>
      <c r="E6" s="77" t="s">
        <v>3698</v>
      </c>
      <c r="F6" s="77" t="n">
        <v>418</v>
      </c>
      <c r="G6" s="77" t="n">
        <v>109</v>
      </c>
      <c r="H6" s="77" t="n">
        <v>606</v>
      </c>
      <c r="I6" s="77" t="n">
        <v>325</v>
      </c>
      <c r="J6" s="77" t="n">
        <v>281</v>
      </c>
      <c r="K6" s="77" t="n">
        <v>65</v>
      </c>
      <c r="L6" s="19" t="n">
        <f aca="false">(K6/H6)*100</f>
        <v>10.7260726072607</v>
      </c>
      <c r="M6" s="77" t="n">
        <v>5</v>
      </c>
      <c r="N6" s="19" t="n">
        <f aca="false">(M6/H6)*100</f>
        <v>0.825082508250825</v>
      </c>
      <c r="O6" s="77" t="n">
        <v>0</v>
      </c>
      <c r="P6" s="443" t="n">
        <v>0</v>
      </c>
      <c r="S6" s="77"/>
      <c r="V6" s="77"/>
      <c r="W6" s="77"/>
      <c r="X6" s="77"/>
      <c r="Y6" s="77"/>
      <c r="Z6" s="77"/>
      <c r="AA6" s="202"/>
      <c r="AC6" s="444"/>
      <c r="AD6" s="349"/>
      <c r="AE6" s="349"/>
    </row>
    <row r="7" customFormat="false" ht="15.75" hidden="false" customHeight="false" outlineLevel="0" collapsed="false">
      <c r="A7" s="77" t="s">
        <v>42</v>
      </c>
      <c r="B7" s="77" t="s">
        <v>3694</v>
      </c>
      <c r="C7" s="113" t="s">
        <v>3699</v>
      </c>
      <c r="D7" s="171" t="s">
        <v>3699</v>
      </c>
      <c r="E7" s="77" t="s">
        <v>3700</v>
      </c>
      <c r="F7" s="77" t="n">
        <v>1441</v>
      </c>
      <c r="G7" s="77" t="n">
        <v>441</v>
      </c>
      <c r="H7" s="77" t="n">
        <v>2490</v>
      </c>
      <c r="I7" s="77" t="n">
        <v>1272</v>
      </c>
      <c r="J7" s="77" t="n">
        <v>1218</v>
      </c>
      <c r="K7" s="77" t="n">
        <v>658</v>
      </c>
      <c r="L7" s="19" t="n">
        <f aca="false">(K7/H7)*100</f>
        <v>26.425702811245</v>
      </c>
      <c r="M7" s="77" t="n">
        <v>0</v>
      </c>
      <c r="N7" s="19" t="n">
        <f aca="false">(M7/H7)*100</f>
        <v>0</v>
      </c>
      <c r="O7" s="77" t="n">
        <v>245</v>
      </c>
      <c r="P7" s="443" t="n">
        <v>0</v>
      </c>
      <c r="S7" s="77"/>
      <c r="V7" s="77"/>
      <c r="W7" s="77"/>
      <c r="X7" s="77"/>
      <c r="Y7" s="77"/>
      <c r="Z7" s="77"/>
      <c r="AA7" s="202"/>
      <c r="AC7" s="444"/>
      <c r="AD7" s="349"/>
      <c r="AE7" s="349"/>
    </row>
    <row r="8" customFormat="false" ht="15.75" hidden="false" customHeight="false" outlineLevel="0" collapsed="false">
      <c r="A8" s="77"/>
      <c r="B8" s="77"/>
      <c r="C8" s="113"/>
      <c r="D8" s="171"/>
      <c r="E8" s="77"/>
      <c r="F8" s="77"/>
      <c r="G8" s="77"/>
      <c r="H8" s="77"/>
      <c r="I8" s="77"/>
      <c r="J8" s="77"/>
      <c r="K8" s="77"/>
      <c r="L8" s="19"/>
      <c r="M8" s="77"/>
      <c r="N8" s="19"/>
      <c r="O8" s="77"/>
      <c r="P8" s="443"/>
      <c r="S8" s="77"/>
      <c r="V8" s="77"/>
      <c r="W8" s="77"/>
      <c r="X8" s="77"/>
      <c r="Y8" s="77"/>
      <c r="Z8" s="77"/>
      <c r="AA8" s="202"/>
      <c r="AC8" s="444"/>
      <c r="AD8" s="349"/>
      <c r="AE8" s="349"/>
    </row>
    <row r="9" customFormat="false" ht="15.75" hidden="false" customHeight="false" outlineLevel="0" collapsed="false">
      <c r="A9" s="77" t="s">
        <v>42</v>
      </c>
      <c r="B9" s="77" t="s">
        <v>3694</v>
      </c>
      <c r="C9" s="113" t="s">
        <v>3699</v>
      </c>
      <c r="D9" s="77" t="s">
        <v>3701</v>
      </c>
      <c r="E9" s="77" t="s">
        <v>3702</v>
      </c>
      <c r="F9" s="77" t="n">
        <v>348</v>
      </c>
      <c r="G9" s="77" t="n">
        <v>63</v>
      </c>
      <c r="H9" s="77" t="n">
        <v>283</v>
      </c>
      <c r="I9" s="77" t="n">
        <v>153</v>
      </c>
      <c r="J9" s="77" t="n">
        <v>130</v>
      </c>
      <c r="K9" s="77" t="n">
        <v>0</v>
      </c>
      <c r="L9" s="19" t="n">
        <f aca="false">(K9/H9)*100</f>
        <v>0</v>
      </c>
      <c r="M9" s="77" t="n">
        <v>0</v>
      </c>
      <c r="N9" s="19" t="n">
        <f aca="false">(M9/H9)*100</f>
        <v>0</v>
      </c>
      <c r="O9" s="77" t="n">
        <v>0</v>
      </c>
      <c r="P9" s="443" t="n">
        <v>0</v>
      </c>
      <c r="S9" s="77"/>
      <c r="V9" s="77"/>
      <c r="W9" s="77"/>
      <c r="X9" s="77"/>
      <c r="Y9" s="77"/>
      <c r="Z9" s="77"/>
      <c r="AA9" s="202"/>
      <c r="AC9" s="444"/>
      <c r="AD9" s="349"/>
      <c r="AE9" s="349"/>
    </row>
    <row r="10" customFormat="false" ht="37.5" hidden="false" customHeight="false" outlineLevel="0" collapsed="false">
      <c r="A10" s="77" t="s">
        <v>42</v>
      </c>
      <c r="B10" s="77" t="s">
        <v>3694</v>
      </c>
      <c r="C10" s="113" t="s">
        <v>3703</v>
      </c>
      <c r="D10" s="171" t="s">
        <v>3704</v>
      </c>
      <c r="E10" s="77" t="s">
        <v>3705</v>
      </c>
      <c r="F10" s="77" t="n">
        <v>2062.19</v>
      </c>
      <c r="G10" s="77" t="n">
        <v>478</v>
      </c>
      <c r="H10" s="77" t="n">
        <v>2315</v>
      </c>
      <c r="I10" s="77" t="n">
        <v>1199</v>
      </c>
      <c r="J10" s="77" t="n">
        <v>1116</v>
      </c>
      <c r="K10" s="77" t="n">
        <v>339</v>
      </c>
      <c r="L10" s="19" t="n">
        <f aca="false">(K10/H10)*100</f>
        <v>14.6436285097192</v>
      </c>
      <c r="M10" s="77" t="n">
        <v>69</v>
      </c>
      <c r="N10" s="19" t="n">
        <f aca="false">(M10/H10)*100</f>
        <v>2.98056155507559</v>
      </c>
      <c r="O10" s="77" t="n">
        <v>24.69</v>
      </c>
      <c r="P10" s="443" t="n">
        <v>0</v>
      </c>
      <c r="Q10" s="183" t="s">
        <v>49</v>
      </c>
      <c r="R10" s="405" t="n">
        <v>45519</v>
      </c>
      <c r="S10" s="77"/>
      <c r="T10" s="386" t="n">
        <v>0</v>
      </c>
      <c r="V10" s="77"/>
      <c r="W10" s="77"/>
      <c r="X10" s="77"/>
      <c r="Y10" s="77"/>
      <c r="Z10" s="77"/>
      <c r="AA10" s="180" t="s">
        <v>50</v>
      </c>
      <c r="AB10" s="409" t="n">
        <v>8</v>
      </c>
      <c r="AC10" s="445" t="s">
        <v>3706</v>
      </c>
      <c r="AD10" s="385" t="n">
        <v>26.480042</v>
      </c>
      <c r="AE10" s="385" t="n">
        <v>73.510322</v>
      </c>
    </row>
    <row r="11" customFormat="false" ht="37.5" hidden="false" customHeight="false" outlineLevel="0" collapsed="false">
      <c r="A11" s="77"/>
      <c r="B11" s="77"/>
      <c r="C11" s="113"/>
      <c r="D11" s="171"/>
      <c r="E11" s="77"/>
      <c r="F11" s="77"/>
      <c r="G11" s="77"/>
      <c r="H11" s="77"/>
      <c r="I11" s="77"/>
      <c r="J11" s="77"/>
      <c r="K11" s="77"/>
      <c r="L11" s="19"/>
      <c r="M11" s="77"/>
      <c r="N11" s="19"/>
      <c r="O11" s="77"/>
      <c r="P11" s="443"/>
      <c r="Q11" s="446" t="s">
        <v>49</v>
      </c>
      <c r="R11" s="447"/>
      <c r="S11" s="77"/>
      <c r="T11" s="446"/>
      <c r="V11" s="77"/>
      <c r="W11" s="77"/>
      <c r="X11" s="77"/>
      <c r="Y11" s="77"/>
      <c r="Z11" s="77"/>
      <c r="AA11" s="448" t="s">
        <v>50</v>
      </c>
      <c r="AB11" s="449" t="n">
        <v>8</v>
      </c>
      <c r="AC11" s="450" t="s">
        <v>3707</v>
      </c>
      <c r="AD11" s="448" t="n">
        <v>26.510274</v>
      </c>
      <c r="AE11" s="448" t="n">
        <v>73.709771</v>
      </c>
    </row>
    <row r="12" customFormat="false" ht="15.75" hidden="false" customHeight="false" outlineLevel="0" collapsed="false">
      <c r="A12" s="77" t="s">
        <v>42</v>
      </c>
      <c r="B12" s="77" t="s">
        <v>3694</v>
      </c>
      <c r="C12" s="113" t="s">
        <v>3708</v>
      </c>
      <c r="D12" s="171" t="s">
        <v>3709</v>
      </c>
      <c r="E12" s="77" t="s">
        <v>3710</v>
      </c>
      <c r="F12" s="77" t="n">
        <v>4366</v>
      </c>
      <c r="G12" s="77" t="n">
        <v>2773</v>
      </c>
      <c r="H12" s="77" t="n">
        <v>15480</v>
      </c>
      <c r="I12" s="77" t="n">
        <v>8043</v>
      </c>
      <c r="J12" s="77" t="n">
        <v>7437</v>
      </c>
      <c r="K12" s="77" t="n">
        <v>3178</v>
      </c>
      <c r="L12" s="19" t="n">
        <f aca="false">(K12/H12)*100</f>
        <v>20.5297157622739</v>
      </c>
      <c r="M12" s="77" t="n">
        <v>50</v>
      </c>
      <c r="N12" s="19" t="n">
        <f aca="false">(M12/H12)*100</f>
        <v>0.322997416020672</v>
      </c>
      <c r="O12" s="77" t="n">
        <v>103</v>
      </c>
      <c r="P12" s="443" t="n">
        <v>67</v>
      </c>
      <c r="S12" s="77"/>
      <c r="V12" s="77"/>
      <c r="W12" s="77"/>
      <c r="X12" s="77"/>
      <c r="Y12" s="77"/>
      <c r="Z12" s="77"/>
      <c r="AA12" s="202"/>
      <c r="AC12" s="444"/>
      <c r="AD12" s="349"/>
      <c r="AE12" s="349"/>
    </row>
    <row r="13" customFormat="false" ht="15.75" hidden="false" customHeight="false" outlineLevel="0" collapsed="false">
      <c r="A13" s="77" t="s">
        <v>42</v>
      </c>
      <c r="B13" s="77" t="s">
        <v>3694</v>
      </c>
      <c r="C13" s="113" t="s">
        <v>3708</v>
      </c>
      <c r="D13" s="77" t="s">
        <v>3483</v>
      </c>
      <c r="E13" s="77" t="s">
        <v>3711</v>
      </c>
      <c r="F13" s="77" t="n">
        <v>1369</v>
      </c>
      <c r="G13" s="77" t="n">
        <v>176</v>
      </c>
      <c r="H13" s="77" t="n">
        <v>873</v>
      </c>
      <c r="I13" s="77" t="n">
        <v>416</v>
      </c>
      <c r="J13" s="77" t="n">
        <v>457</v>
      </c>
      <c r="K13" s="77" t="n">
        <v>20</v>
      </c>
      <c r="L13" s="19" t="n">
        <f aca="false">(K13/H13)*100</f>
        <v>2.29095074455899</v>
      </c>
      <c r="M13" s="77" t="n">
        <v>0</v>
      </c>
      <c r="N13" s="19" t="n">
        <f aca="false">(M13/H13)*100</f>
        <v>0</v>
      </c>
      <c r="O13" s="77" t="n">
        <v>35</v>
      </c>
      <c r="P13" s="443" t="n">
        <v>0</v>
      </c>
      <c r="S13" s="77"/>
      <c r="V13" s="77"/>
      <c r="W13" s="77"/>
      <c r="X13" s="77"/>
      <c r="Y13" s="77"/>
      <c r="Z13" s="77"/>
      <c r="AA13" s="202"/>
      <c r="AC13" s="444"/>
      <c r="AD13" s="349"/>
      <c r="AE13" s="349"/>
    </row>
    <row r="14" customFormat="false" ht="15.75" hidden="false" customHeight="false" outlineLevel="0" collapsed="false">
      <c r="A14" s="77" t="s">
        <v>42</v>
      </c>
      <c r="B14" s="77" t="s">
        <v>3694</v>
      </c>
      <c r="C14" s="113" t="s">
        <v>3708</v>
      </c>
      <c r="D14" s="77" t="s">
        <v>1510</v>
      </c>
      <c r="E14" s="77" t="s">
        <v>3712</v>
      </c>
      <c r="F14" s="77" t="n">
        <v>909</v>
      </c>
      <c r="G14" s="77" t="n">
        <v>193</v>
      </c>
      <c r="H14" s="77" t="n">
        <v>857</v>
      </c>
      <c r="I14" s="77" t="n">
        <v>436</v>
      </c>
      <c r="J14" s="77" t="n">
        <v>421</v>
      </c>
      <c r="K14" s="77" t="n">
        <v>211</v>
      </c>
      <c r="L14" s="19" t="n">
        <f aca="false">(K14/H14)*100</f>
        <v>24.6207701283547</v>
      </c>
      <c r="M14" s="77" t="n">
        <v>6</v>
      </c>
      <c r="N14" s="19" t="n">
        <f aca="false">(M14/H14)*100</f>
        <v>0.700116686114352</v>
      </c>
      <c r="O14" s="77" t="n">
        <v>55</v>
      </c>
      <c r="P14" s="443" t="n">
        <v>0</v>
      </c>
      <c r="S14" s="77"/>
      <c r="V14" s="77"/>
      <c r="W14" s="77"/>
      <c r="X14" s="77"/>
      <c r="Y14" s="77"/>
      <c r="Z14" s="77"/>
      <c r="AA14" s="202"/>
      <c r="AC14" s="444"/>
      <c r="AD14" s="349"/>
      <c r="AE14" s="349"/>
    </row>
    <row r="15" customFormat="false" ht="15.75" hidden="false" customHeight="false" outlineLevel="0" collapsed="false">
      <c r="A15" s="77" t="s">
        <v>42</v>
      </c>
      <c r="B15" s="77" t="s">
        <v>3694</v>
      </c>
      <c r="C15" s="113" t="s">
        <v>3713</v>
      </c>
      <c r="D15" s="171" t="s">
        <v>3714</v>
      </c>
      <c r="E15" s="77" t="s">
        <v>3715</v>
      </c>
      <c r="F15" s="77" t="n">
        <v>4036.38</v>
      </c>
      <c r="G15" s="77" t="n">
        <v>714</v>
      </c>
      <c r="H15" s="77" t="n">
        <v>3747</v>
      </c>
      <c r="I15" s="77" t="n">
        <v>1923</v>
      </c>
      <c r="J15" s="77" t="n">
        <v>1824</v>
      </c>
      <c r="K15" s="77" t="n">
        <v>1187</v>
      </c>
      <c r="L15" s="19" t="n">
        <f aca="false">(K15/H15)*100</f>
        <v>31.6786762743528</v>
      </c>
      <c r="M15" s="77" t="n">
        <v>24</v>
      </c>
      <c r="N15" s="19" t="n">
        <f aca="false">(M15/H15)*100</f>
        <v>0.640512409927942</v>
      </c>
      <c r="O15" s="77" t="n">
        <v>119.97</v>
      </c>
      <c r="P15" s="443" t="n">
        <v>0</v>
      </c>
      <c r="Q15" s="145" t="s">
        <v>49</v>
      </c>
      <c r="R15" s="451" t="n">
        <v>44630</v>
      </c>
      <c r="S15" s="77"/>
      <c r="T15" s="145" t="n">
        <v>5.9542</v>
      </c>
      <c r="V15" s="77"/>
      <c r="W15" s="77"/>
      <c r="X15" s="77"/>
      <c r="Y15" s="77"/>
      <c r="Z15" s="77"/>
      <c r="AA15" s="147" t="s">
        <v>266</v>
      </c>
      <c r="AB15" s="147" t="n">
        <v>5</v>
      </c>
      <c r="AC15" s="452" t="s">
        <v>276</v>
      </c>
      <c r="AD15" s="145" t="n">
        <v>26.268862</v>
      </c>
      <c r="AE15" s="145" t="n">
        <v>73.530148</v>
      </c>
    </row>
    <row r="16" customFormat="false" ht="17.25" hidden="false" customHeight="false" outlineLevel="0" collapsed="false">
      <c r="A16" s="77"/>
      <c r="B16" s="77"/>
      <c r="C16" s="113"/>
      <c r="D16" s="171"/>
      <c r="E16" s="77"/>
      <c r="F16" s="77"/>
      <c r="G16" s="77"/>
      <c r="H16" s="77"/>
      <c r="I16" s="77"/>
      <c r="J16" s="77"/>
      <c r="K16" s="77"/>
      <c r="L16" s="19"/>
      <c r="M16" s="77"/>
      <c r="N16" s="19"/>
      <c r="O16" s="77"/>
      <c r="P16" s="443"/>
      <c r="Q16" s="453"/>
      <c r="R16" s="454" t="n">
        <v>44837</v>
      </c>
      <c r="S16" s="77"/>
      <c r="T16" s="453" t="n">
        <v>5.95</v>
      </c>
      <c r="V16" s="77"/>
      <c r="W16" s="77"/>
      <c r="X16" s="77"/>
      <c r="Y16" s="77"/>
      <c r="Z16" s="77"/>
      <c r="AA16" s="174" t="s">
        <v>50</v>
      </c>
      <c r="AB16" s="455" t="n">
        <v>10</v>
      </c>
      <c r="AC16" s="456" t="s">
        <v>3716</v>
      </c>
      <c r="AD16" s="453" t="n">
        <v>26.268862</v>
      </c>
      <c r="AE16" s="453" t="n">
        <v>73.530148</v>
      </c>
    </row>
    <row r="17" customFormat="false" ht="34.5" hidden="false" customHeight="false" outlineLevel="0" collapsed="false">
      <c r="A17" s="77"/>
      <c r="B17" s="77"/>
      <c r="C17" s="113"/>
      <c r="D17" s="171"/>
      <c r="E17" s="77"/>
      <c r="F17" s="77"/>
      <c r="G17" s="77"/>
      <c r="H17" s="77"/>
      <c r="I17" s="77"/>
      <c r="J17" s="77"/>
      <c r="K17" s="77"/>
      <c r="L17" s="19"/>
      <c r="M17" s="77"/>
      <c r="N17" s="19"/>
      <c r="O17" s="77"/>
      <c r="P17" s="443"/>
      <c r="Q17" s="453"/>
      <c r="R17" s="454"/>
      <c r="S17" s="77"/>
      <c r="T17" s="453"/>
      <c r="V17" s="77"/>
      <c r="W17" s="77"/>
      <c r="X17" s="77"/>
      <c r="Y17" s="77"/>
      <c r="Z17" s="77"/>
      <c r="AA17" s="174" t="s">
        <v>50</v>
      </c>
      <c r="AB17" s="455" t="n">
        <v>8</v>
      </c>
      <c r="AC17" s="456" t="s">
        <v>3717</v>
      </c>
      <c r="AD17" s="453" t="n">
        <v>26.268869</v>
      </c>
      <c r="AE17" s="453" t="n">
        <v>73.530143</v>
      </c>
    </row>
    <row r="18" customFormat="false" ht="17.25" hidden="false" customHeight="false" outlineLevel="0" collapsed="false">
      <c r="A18" s="77"/>
      <c r="B18" s="77"/>
      <c r="C18" s="113"/>
      <c r="D18" s="171"/>
      <c r="E18" s="77"/>
      <c r="F18" s="77"/>
      <c r="G18" s="77"/>
      <c r="H18" s="77"/>
      <c r="I18" s="77"/>
      <c r="J18" s="77"/>
      <c r="K18" s="77"/>
      <c r="L18" s="19"/>
      <c r="M18" s="77"/>
      <c r="N18" s="19"/>
      <c r="O18" s="77"/>
      <c r="P18" s="443"/>
      <c r="Q18" s="453"/>
      <c r="R18" s="454"/>
      <c r="S18" s="77"/>
      <c r="T18" s="453"/>
      <c r="V18" s="77"/>
      <c r="W18" s="77"/>
      <c r="X18" s="77"/>
      <c r="Y18" s="77"/>
      <c r="Z18" s="77"/>
      <c r="AA18" s="174" t="s">
        <v>50</v>
      </c>
      <c r="AB18" s="455" t="n">
        <v>5</v>
      </c>
      <c r="AC18" s="456" t="s">
        <v>3718</v>
      </c>
      <c r="AD18" s="453" t="n">
        <v>26.268862</v>
      </c>
      <c r="AE18" s="453" t="n">
        <v>73.530147</v>
      </c>
    </row>
    <row r="19" customFormat="false" ht="17.25" hidden="false" customHeight="false" outlineLevel="0" collapsed="false">
      <c r="A19" s="77"/>
      <c r="B19" s="77"/>
      <c r="C19" s="113"/>
      <c r="D19" s="171"/>
      <c r="E19" s="77"/>
      <c r="F19" s="77"/>
      <c r="G19" s="77"/>
      <c r="H19" s="77"/>
      <c r="I19" s="77"/>
      <c r="J19" s="77"/>
      <c r="K19" s="77"/>
      <c r="L19" s="19"/>
      <c r="M19" s="77"/>
      <c r="N19" s="19"/>
      <c r="O19" s="77"/>
      <c r="P19" s="443"/>
      <c r="Q19" s="453"/>
      <c r="R19" s="454"/>
      <c r="S19" s="77"/>
      <c r="T19" s="453"/>
      <c r="V19" s="77"/>
      <c r="W19" s="77"/>
      <c r="X19" s="77"/>
      <c r="Y19" s="77"/>
      <c r="Z19" s="77"/>
      <c r="AA19" s="174" t="s">
        <v>50</v>
      </c>
      <c r="AB19" s="455" t="n">
        <v>15</v>
      </c>
      <c r="AC19" s="456" t="s">
        <v>3719</v>
      </c>
      <c r="AD19" s="453" t="n">
        <v>26.268768</v>
      </c>
      <c r="AE19" s="453" t="n">
        <v>73.530244</v>
      </c>
    </row>
    <row r="20" customFormat="false" ht="17.25" hidden="false" customHeight="false" outlineLevel="0" collapsed="false">
      <c r="A20" s="77"/>
      <c r="B20" s="77"/>
      <c r="C20" s="113"/>
      <c r="D20" s="171"/>
      <c r="E20" s="77"/>
      <c r="F20" s="77"/>
      <c r="G20" s="77"/>
      <c r="H20" s="77"/>
      <c r="I20" s="77"/>
      <c r="J20" s="77"/>
      <c r="K20" s="77"/>
      <c r="L20" s="19"/>
      <c r="M20" s="77"/>
      <c r="N20" s="19"/>
      <c r="O20" s="77"/>
      <c r="P20" s="443"/>
      <c r="Q20" s="453"/>
      <c r="R20" s="454"/>
      <c r="S20" s="77"/>
      <c r="T20" s="453"/>
      <c r="V20" s="77"/>
      <c r="W20" s="77"/>
      <c r="X20" s="77"/>
      <c r="Y20" s="77"/>
      <c r="Z20" s="77"/>
      <c r="AA20" s="174" t="s">
        <v>50</v>
      </c>
      <c r="AB20" s="455" t="n">
        <v>5</v>
      </c>
      <c r="AC20" s="456" t="s">
        <v>3720</v>
      </c>
      <c r="AD20" s="453" t="n">
        <v>26.268872</v>
      </c>
      <c r="AE20" s="453" t="n">
        <v>73.530248</v>
      </c>
    </row>
    <row r="21" customFormat="false" ht="15.75" hidden="false" customHeight="false" outlineLevel="0" collapsed="false">
      <c r="A21" s="77" t="s">
        <v>42</v>
      </c>
      <c r="B21" s="77" t="s">
        <v>3694</v>
      </c>
      <c r="C21" s="113" t="s">
        <v>3713</v>
      </c>
      <c r="D21" s="77" t="s">
        <v>3721</v>
      </c>
      <c r="E21" s="77" t="s">
        <v>3722</v>
      </c>
      <c r="F21" s="77" t="n">
        <v>591.11</v>
      </c>
      <c r="G21" s="77" t="n">
        <v>136</v>
      </c>
      <c r="H21" s="77" t="n">
        <v>753</v>
      </c>
      <c r="I21" s="77" t="n">
        <v>383</v>
      </c>
      <c r="J21" s="77" t="n">
        <v>370</v>
      </c>
      <c r="K21" s="77" t="n">
        <v>0</v>
      </c>
      <c r="L21" s="19" t="n">
        <f aca="false">(K21/H21)*100</f>
        <v>0</v>
      </c>
      <c r="M21" s="77" t="n">
        <v>0</v>
      </c>
      <c r="N21" s="19" t="n">
        <f aca="false">(M21/H21)*100</f>
        <v>0</v>
      </c>
      <c r="O21" s="77" t="n">
        <v>142.1</v>
      </c>
      <c r="P21" s="443" t="n">
        <v>0</v>
      </c>
      <c r="Q21" s="145" t="s">
        <v>49</v>
      </c>
      <c r="R21" s="451" t="n">
        <v>44630</v>
      </c>
      <c r="S21" s="77"/>
      <c r="T21" s="145" t="n">
        <v>132.0612</v>
      </c>
      <c r="V21" s="77"/>
      <c r="W21" s="77"/>
      <c r="X21" s="77"/>
      <c r="Y21" s="77"/>
      <c r="Z21" s="77"/>
      <c r="AA21" s="147" t="s">
        <v>266</v>
      </c>
      <c r="AB21" s="147" t="n">
        <v>2</v>
      </c>
      <c r="AC21" s="457" t="s">
        <v>310</v>
      </c>
      <c r="AD21" s="145" t="n">
        <v>26.302916</v>
      </c>
      <c r="AE21" s="145" t="n">
        <v>73.491823</v>
      </c>
    </row>
    <row r="22" customFormat="false" ht="15.75" hidden="false" customHeight="false" outlineLevel="0" collapsed="false">
      <c r="A22" s="77" t="s">
        <v>42</v>
      </c>
      <c r="B22" s="77" t="s">
        <v>3694</v>
      </c>
      <c r="C22" s="113" t="s">
        <v>3723</v>
      </c>
      <c r="D22" s="171" t="s">
        <v>3724</v>
      </c>
      <c r="E22" s="77" t="s">
        <v>3725</v>
      </c>
      <c r="F22" s="77" t="n">
        <v>1968</v>
      </c>
      <c r="G22" s="77" t="n">
        <v>451</v>
      </c>
      <c r="H22" s="77" t="n">
        <v>2413</v>
      </c>
      <c r="I22" s="77" t="n">
        <v>1245</v>
      </c>
      <c r="J22" s="77" t="n">
        <v>1168</v>
      </c>
      <c r="K22" s="77" t="n">
        <v>790</v>
      </c>
      <c r="L22" s="19" t="n">
        <f aca="false">(K22/H22)*100</f>
        <v>32.739328636552</v>
      </c>
      <c r="M22" s="77" t="n">
        <v>0</v>
      </c>
      <c r="N22" s="19" t="n">
        <f aca="false">(M22/H22)*100</f>
        <v>0</v>
      </c>
      <c r="O22" s="77" t="n">
        <v>54</v>
      </c>
      <c r="P22" s="443" t="n">
        <v>0</v>
      </c>
      <c r="Q22" s="458" t="s">
        <v>49</v>
      </c>
      <c r="R22" s="350" t="n">
        <v>44793</v>
      </c>
      <c r="S22" s="77"/>
      <c r="T22" s="458" t="n">
        <v>49.8669</v>
      </c>
      <c r="U22" s="349" t="s">
        <v>50</v>
      </c>
      <c r="V22" s="77"/>
      <c r="W22" s="77"/>
      <c r="X22" s="77"/>
      <c r="Y22" s="77"/>
      <c r="Z22" s="77"/>
      <c r="AA22" s="459" t="s">
        <v>50</v>
      </c>
      <c r="AB22" s="202" t="n">
        <v>6.4</v>
      </c>
      <c r="AC22" s="460" t="s">
        <v>317</v>
      </c>
      <c r="AD22" s="458" t="n">
        <v>26.347875</v>
      </c>
      <c r="AE22" s="458" t="n">
        <v>73.448751</v>
      </c>
    </row>
    <row r="23" customFormat="false" ht="18.75" hidden="false" customHeight="false" outlineLevel="0" collapsed="false">
      <c r="A23" s="77" t="s">
        <v>42</v>
      </c>
      <c r="B23" s="77" t="s">
        <v>3694</v>
      </c>
      <c r="C23" s="113" t="s">
        <v>3723</v>
      </c>
      <c r="D23" s="77" t="s">
        <v>3387</v>
      </c>
      <c r="E23" s="77" t="s">
        <v>3726</v>
      </c>
      <c r="F23" s="77" t="n">
        <v>1202</v>
      </c>
      <c r="G23" s="77" t="n">
        <v>335</v>
      </c>
      <c r="H23" s="77" t="n">
        <v>1564</v>
      </c>
      <c r="I23" s="77" t="n">
        <v>800</v>
      </c>
      <c r="J23" s="77" t="n">
        <v>764</v>
      </c>
      <c r="K23" s="77" t="n">
        <v>444</v>
      </c>
      <c r="L23" s="19" t="n">
        <f aca="false">(K23/H23)*100</f>
        <v>28.3887468030691</v>
      </c>
      <c r="M23" s="77" t="n">
        <v>86</v>
      </c>
      <c r="N23" s="19" t="n">
        <f aca="false">(M23/H23)*100</f>
        <v>5.49872122762148</v>
      </c>
      <c r="O23" s="77" t="n">
        <v>20</v>
      </c>
      <c r="P23" s="443" t="n">
        <v>0</v>
      </c>
      <c r="Q23" s="183" t="s">
        <v>49</v>
      </c>
      <c r="R23" s="405" t="n">
        <v>45519</v>
      </c>
      <c r="S23" s="77"/>
      <c r="T23" s="386" t="n">
        <v>12.84</v>
      </c>
      <c r="U23" s="349" t="s">
        <v>50</v>
      </c>
      <c r="V23" s="77"/>
      <c r="W23" s="77"/>
      <c r="X23" s="77"/>
      <c r="Y23" s="77"/>
      <c r="Z23" s="77"/>
      <c r="AA23" s="180" t="s">
        <v>50</v>
      </c>
      <c r="AB23" s="409" t="n">
        <v>11</v>
      </c>
      <c r="AC23" s="445" t="s">
        <v>3727</v>
      </c>
      <c r="AD23" s="385" t="n">
        <v>26.370302</v>
      </c>
      <c r="AE23" s="385" t="n">
        <v>73.480352</v>
      </c>
    </row>
    <row r="24" customFormat="false" ht="18.75" hidden="false" customHeight="false" outlineLevel="0" collapsed="false">
      <c r="A24" s="77" t="s">
        <v>42</v>
      </c>
      <c r="B24" s="77" t="s">
        <v>3694</v>
      </c>
      <c r="C24" s="113" t="s">
        <v>3723</v>
      </c>
      <c r="D24" s="77" t="s">
        <v>3728</v>
      </c>
      <c r="E24" s="77" t="s">
        <v>3729</v>
      </c>
      <c r="F24" s="77" t="n">
        <v>1130</v>
      </c>
      <c r="G24" s="77" t="n">
        <v>395</v>
      </c>
      <c r="H24" s="77" t="n">
        <v>1965</v>
      </c>
      <c r="I24" s="77" t="n">
        <v>1011</v>
      </c>
      <c r="J24" s="77" t="n">
        <v>954</v>
      </c>
      <c r="K24" s="77" t="n">
        <v>380</v>
      </c>
      <c r="L24" s="19" t="n">
        <f aca="false">(K24/H24)*100</f>
        <v>19.3384223918575</v>
      </c>
      <c r="M24" s="77" t="n">
        <v>14</v>
      </c>
      <c r="N24" s="19" t="n">
        <f aca="false">(M24/H24)*100</f>
        <v>0.712468193384224</v>
      </c>
      <c r="O24" s="77" t="n">
        <v>35</v>
      </c>
      <c r="P24" s="443" t="n">
        <v>0</v>
      </c>
      <c r="Q24" s="183" t="s">
        <v>49</v>
      </c>
      <c r="R24" s="405" t="n">
        <v>45519</v>
      </c>
      <c r="S24" s="77"/>
      <c r="T24" s="386" t="n">
        <v>27.37</v>
      </c>
      <c r="U24" s="349" t="s">
        <v>50</v>
      </c>
      <c r="V24" s="77"/>
      <c r="W24" s="77"/>
      <c r="X24" s="77"/>
      <c r="Y24" s="77"/>
      <c r="Z24" s="77"/>
      <c r="AA24" s="180" t="s">
        <v>50</v>
      </c>
      <c r="AB24" s="409" t="n">
        <v>15</v>
      </c>
      <c r="AC24" s="445" t="s">
        <v>3730</v>
      </c>
      <c r="AD24" s="385" t="n">
        <v>26.512806</v>
      </c>
      <c r="AE24" s="385" t="n">
        <v>73.500508</v>
      </c>
    </row>
    <row r="25" customFormat="false" ht="37.5" hidden="false" customHeight="false" outlineLevel="0" collapsed="false">
      <c r="A25" s="77" t="s">
        <v>42</v>
      </c>
      <c r="B25" s="77" t="s">
        <v>3694</v>
      </c>
      <c r="C25" s="113" t="s">
        <v>3731</v>
      </c>
      <c r="D25" s="171" t="s">
        <v>3732</v>
      </c>
      <c r="E25" s="77" t="s">
        <v>3733</v>
      </c>
      <c r="F25" s="77" t="n">
        <v>2097</v>
      </c>
      <c r="G25" s="77" t="n">
        <v>596</v>
      </c>
      <c r="H25" s="77" t="n">
        <v>3383</v>
      </c>
      <c r="I25" s="77" t="n">
        <v>1703</v>
      </c>
      <c r="J25" s="77" t="n">
        <v>1680</v>
      </c>
      <c r="K25" s="77" t="n">
        <v>739</v>
      </c>
      <c r="L25" s="19" t="n">
        <f aca="false">(K25/H25)*100</f>
        <v>21.8445167011528</v>
      </c>
      <c r="M25" s="77" t="n">
        <v>17</v>
      </c>
      <c r="N25" s="19" t="n">
        <f aca="false">(M25/H25)*100</f>
        <v>0.50251256281407</v>
      </c>
      <c r="O25" s="77" t="n">
        <v>76</v>
      </c>
      <c r="P25" s="443" t="n">
        <v>0</v>
      </c>
      <c r="Q25" s="183" t="s">
        <v>49</v>
      </c>
      <c r="R25" s="405" t="n">
        <v>45519</v>
      </c>
      <c r="S25" s="77"/>
      <c r="T25" s="386" t="n">
        <v>18.09</v>
      </c>
      <c r="V25" s="77"/>
      <c r="W25" s="77"/>
      <c r="X25" s="77"/>
      <c r="Y25" s="77"/>
      <c r="Z25" s="77"/>
      <c r="AA25" s="180" t="s">
        <v>50</v>
      </c>
      <c r="AB25" s="409" t="n">
        <v>15</v>
      </c>
      <c r="AC25" s="445" t="s">
        <v>3734</v>
      </c>
      <c r="AD25" s="385" t="n">
        <v>26.499632</v>
      </c>
      <c r="AE25" s="385" t="n">
        <v>73.690863</v>
      </c>
    </row>
    <row r="26" customFormat="false" ht="56.25" hidden="false" customHeight="false" outlineLevel="0" collapsed="false">
      <c r="A26" s="77"/>
      <c r="B26" s="77"/>
      <c r="C26" s="113"/>
      <c r="D26" s="171"/>
      <c r="E26" s="77"/>
      <c r="F26" s="77"/>
      <c r="G26" s="77"/>
      <c r="H26" s="77"/>
      <c r="I26" s="77"/>
      <c r="J26" s="77"/>
      <c r="K26" s="77"/>
      <c r="L26" s="19"/>
      <c r="M26" s="77"/>
      <c r="N26" s="19"/>
      <c r="O26" s="77"/>
      <c r="P26" s="443"/>
      <c r="Q26" s="446" t="s">
        <v>49</v>
      </c>
      <c r="R26" s="447"/>
      <c r="S26" s="77"/>
      <c r="T26" s="446"/>
      <c r="V26" s="77"/>
      <c r="W26" s="77"/>
      <c r="X26" s="77"/>
      <c r="Y26" s="77"/>
      <c r="Z26" s="77"/>
      <c r="AA26" s="448" t="s">
        <v>50</v>
      </c>
      <c r="AB26" s="449" t="n">
        <v>10</v>
      </c>
      <c r="AC26" s="450" t="s">
        <v>3735</v>
      </c>
      <c r="AD26" s="448" t="n">
        <v>26.509615</v>
      </c>
      <c r="AE26" s="448" t="n">
        <v>73.670041</v>
      </c>
    </row>
    <row r="27" customFormat="false" ht="56.25" hidden="false" customHeight="false" outlineLevel="0" collapsed="false">
      <c r="A27" s="77"/>
      <c r="B27" s="77"/>
      <c r="C27" s="113"/>
      <c r="D27" s="171"/>
      <c r="E27" s="77"/>
      <c r="F27" s="77"/>
      <c r="G27" s="77"/>
      <c r="H27" s="77"/>
      <c r="I27" s="77"/>
      <c r="J27" s="77"/>
      <c r="K27" s="77"/>
      <c r="L27" s="19"/>
      <c r="M27" s="77"/>
      <c r="N27" s="19"/>
      <c r="O27" s="77"/>
      <c r="P27" s="443"/>
      <c r="Q27" s="446" t="s">
        <v>49</v>
      </c>
      <c r="R27" s="447"/>
      <c r="S27" s="77"/>
      <c r="T27" s="446"/>
      <c r="V27" s="77"/>
      <c r="W27" s="77"/>
      <c r="X27" s="77"/>
      <c r="Y27" s="77"/>
      <c r="Z27" s="77"/>
      <c r="AA27" s="448" t="s">
        <v>50</v>
      </c>
      <c r="AB27" s="449" t="n">
        <v>10</v>
      </c>
      <c r="AC27" s="450" t="s">
        <v>3736</v>
      </c>
      <c r="AD27" s="448" t="n">
        <v>26.499874</v>
      </c>
      <c r="AE27" s="448" t="n">
        <v>73.660187</v>
      </c>
    </row>
    <row r="28" customFormat="false" ht="56.25" hidden="false" customHeight="false" outlineLevel="0" collapsed="false">
      <c r="A28" s="77"/>
      <c r="B28" s="77"/>
      <c r="C28" s="113"/>
      <c r="D28" s="171"/>
      <c r="E28" s="77"/>
      <c r="F28" s="77"/>
      <c r="G28" s="77"/>
      <c r="H28" s="77"/>
      <c r="I28" s="77"/>
      <c r="J28" s="77"/>
      <c r="K28" s="77"/>
      <c r="L28" s="19"/>
      <c r="M28" s="77"/>
      <c r="N28" s="19"/>
      <c r="O28" s="77"/>
      <c r="P28" s="443"/>
      <c r="Q28" s="446" t="s">
        <v>49</v>
      </c>
      <c r="R28" s="447"/>
      <c r="S28" s="77"/>
      <c r="T28" s="446"/>
      <c r="V28" s="77"/>
      <c r="W28" s="77"/>
      <c r="X28" s="77"/>
      <c r="Y28" s="77"/>
      <c r="Z28" s="77"/>
      <c r="AA28" s="448" t="s">
        <v>50</v>
      </c>
      <c r="AB28" s="449" t="n">
        <v>10</v>
      </c>
      <c r="AC28" s="450" t="s">
        <v>3737</v>
      </c>
      <c r="AD28" s="448" t="n">
        <v>26.509893</v>
      </c>
      <c r="AE28" s="448" t="n">
        <v>73.679782</v>
      </c>
    </row>
    <row r="29" customFormat="false" ht="37.5" hidden="false" customHeight="false" outlineLevel="0" collapsed="false">
      <c r="A29" s="77" t="s">
        <v>42</v>
      </c>
      <c r="B29" s="77" t="s">
        <v>3694</v>
      </c>
      <c r="C29" s="113" t="s">
        <v>3731</v>
      </c>
      <c r="D29" s="77" t="s">
        <v>3738</v>
      </c>
      <c r="E29" s="77" t="s">
        <v>3739</v>
      </c>
      <c r="F29" s="77" t="n">
        <v>637</v>
      </c>
      <c r="G29" s="77" t="n">
        <v>96</v>
      </c>
      <c r="H29" s="77" t="n">
        <v>528</v>
      </c>
      <c r="I29" s="77" t="n">
        <v>276</v>
      </c>
      <c r="J29" s="77" t="n">
        <v>252</v>
      </c>
      <c r="K29" s="77" t="n">
        <v>0</v>
      </c>
      <c r="L29" s="19" t="n">
        <f aca="false">(K29/H29)*100</f>
        <v>0</v>
      </c>
      <c r="M29" s="77" t="n">
        <v>0</v>
      </c>
      <c r="N29" s="19" t="n">
        <f aca="false">(M29/H29)*100</f>
        <v>0</v>
      </c>
      <c r="O29" s="77" t="n">
        <v>79</v>
      </c>
      <c r="P29" s="443" t="n">
        <v>0</v>
      </c>
      <c r="Q29" s="461" t="s">
        <v>49</v>
      </c>
      <c r="R29" s="462" t="n">
        <v>45519</v>
      </c>
      <c r="S29" s="77"/>
      <c r="T29" s="461" t="n">
        <v>32.58</v>
      </c>
      <c r="V29" s="77"/>
      <c r="W29" s="77"/>
      <c r="X29" s="77"/>
      <c r="Y29" s="77"/>
      <c r="Z29" s="77"/>
      <c r="AA29" s="463" t="s">
        <v>50</v>
      </c>
      <c r="AB29" s="464" t="n">
        <v>10</v>
      </c>
      <c r="AC29" s="465" t="s">
        <v>3740</v>
      </c>
      <c r="AD29" s="463" t="n">
        <v>26.530939</v>
      </c>
      <c r="AE29" s="463" t="n">
        <v>73.668521</v>
      </c>
    </row>
    <row r="30" customFormat="false" ht="37.5" hidden="false" customHeight="false" outlineLevel="0" collapsed="false">
      <c r="A30" s="77" t="s">
        <v>42</v>
      </c>
      <c r="B30" s="77" t="s">
        <v>3694</v>
      </c>
      <c r="C30" s="113" t="s">
        <v>3741</v>
      </c>
      <c r="D30" s="171" t="s">
        <v>3742</v>
      </c>
      <c r="E30" s="77" t="s">
        <v>3743</v>
      </c>
      <c r="F30" s="77" t="n">
        <v>2630.88</v>
      </c>
      <c r="G30" s="77" t="n">
        <v>613</v>
      </c>
      <c r="H30" s="77" t="n">
        <v>3238</v>
      </c>
      <c r="I30" s="77" t="n">
        <v>1646</v>
      </c>
      <c r="J30" s="77" t="n">
        <v>1592</v>
      </c>
      <c r="K30" s="77" t="n">
        <v>1159</v>
      </c>
      <c r="L30" s="19" t="n">
        <f aca="false">(K30/H30)*100</f>
        <v>35.7936998147004</v>
      </c>
      <c r="M30" s="77" t="n">
        <v>0</v>
      </c>
      <c r="N30" s="19" t="n">
        <f aca="false">(M30/H30)*100</f>
        <v>0</v>
      </c>
      <c r="O30" s="77" t="n">
        <v>157</v>
      </c>
      <c r="P30" s="443" t="n">
        <v>0</v>
      </c>
      <c r="Q30" s="183" t="s">
        <v>49</v>
      </c>
      <c r="R30" s="405" t="n">
        <v>45519</v>
      </c>
      <c r="S30" s="77"/>
      <c r="T30" s="386" t="n">
        <v>74.8</v>
      </c>
      <c r="V30" s="77"/>
      <c r="W30" s="77"/>
      <c r="X30" s="77"/>
      <c r="Y30" s="77"/>
      <c r="Z30" s="77"/>
      <c r="AA30" s="180" t="s">
        <v>50</v>
      </c>
      <c r="AB30" s="409" t="n">
        <v>15</v>
      </c>
      <c r="AC30" s="445" t="s">
        <v>3744</v>
      </c>
      <c r="AD30" s="385" t="n">
        <v>26.349325</v>
      </c>
      <c r="AE30" s="385" t="n">
        <v>73.611443</v>
      </c>
    </row>
    <row r="31" customFormat="false" ht="56.25" hidden="false" customHeight="false" outlineLevel="0" collapsed="false">
      <c r="A31" s="77"/>
      <c r="B31" s="77"/>
      <c r="C31" s="113"/>
      <c r="D31" s="171"/>
      <c r="E31" s="77"/>
      <c r="F31" s="77"/>
      <c r="G31" s="77"/>
      <c r="H31" s="77"/>
      <c r="I31" s="77"/>
      <c r="J31" s="77"/>
      <c r="K31" s="77"/>
      <c r="L31" s="19"/>
      <c r="M31" s="77"/>
      <c r="N31" s="19"/>
      <c r="O31" s="77"/>
      <c r="P31" s="443"/>
      <c r="Q31" s="446" t="s">
        <v>49</v>
      </c>
      <c r="R31" s="447"/>
      <c r="S31" s="77"/>
      <c r="T31" s="446"/>
      <c r="V31" s="77"/>
      <c r="W31" s="77"/>
      <c r="X31" s="77"/>
      <c r="Y31" s="77"/>
      <c r="Z31" s="77"/>
      <c r="AA31" s="448" t="s">
        <v>50</v>
      </c>
      <c r="AB31" s="449" t="n">
        <v>10</v>
      </c>
      <c r="AC31" s="450" t="s">
        <v>3745</v>
      </c>
      <c r="AD31" s="448" t="n">
        <v>26.36981</v>
      </c>
      <c r="AE31" s="448" t="n">
        <v>73.599441</v>
      </c>
    </row>
    <row r="32" customFormat="false" ht="37.5" hidden="false" customHeight="false" outlineLevel="0" collapsed="false">
      <c r="A32" s="77"/>
      <c r="B32" s="77"/>
      <c r="C32" s="113"/>
      <c r="D32" s="171"/>
      <c r="E32" s="77"/>
      <c r="F32" s="77"/>
      <c r="G32" s="77"/>
      <c r="H32" s="77"/>
      <c r="I32" s="77"/>
      <c r="J32" s="77"/>
      <c r="K32" s="77"/>
      <c r="L32" s="19"/>
      <c r="M32" s="77"/>
      <c r="N32" s="19"/>
      <c r="O32" s="77"/>
      <c r="P32" s="443"/>
      <c r="Q32" s="446" t="s">
        <v>49</v>
      </c>
      <c r="R32" s="447"/>
      <c r="S32" s="77"/>
      <c r="T32" s="446"/>
      <c r="V32" s="77"/>
      <c r="W32" s="77"/>
      <c r="X32" s="77"/>
      <c r="Y32" s="77"/>
      <c r="Z32" s="77"/>
      <c r="AA32" s="448" t="s">
        <v>50</v>
      </c>
      <c r="AB32" s="449" t="n">
        <v>8</v>
      </c>
      <c r="AC32" s="450" t="s">
        <v>3746</v>
      </c>
      <c r="AD32" s="448" t="n">
        <v>26.367678</v>
      </c>
      <c r="AE32" s="448" t="n">
        <v>73.577486</v>
      </c>
    </row>
    <row r="33" customFormat="false" ht="18.75" hidden="false" customHeight="false" outlineLevel="0" collapsed="false">
      <c r="A33" s="77" t="s">
        <v>42</v>
      </c>
      <c r="B33" s="77" t="s">
        <v>3694</v>
      </c>
      <c r="C33" s="113" t="s">
        <v>3741</v>
      </c>
      <c r="D33" s="77" t="s">
        <v>3747</v>
      </c>
      <c r="E33" s="77" t="s">
        <v>3748</v>
      </c>
      <c r="F33" s="77" t="n">
        <v>689.13</v>
      </c>
      <c r="G33" s="77" t="n">
        <v>153</v>
      </c>
      <c r="H33" s="77" t="n">
        <v>830</v>
      </c>
      <c r="I33" s="77" t="n">
        <v>435</v>
      </c>
      <c r="J33" s="77" t="n">
        <v>395</v>
      </c>
      <c r="K33" s="77" t="n">
        <v>3</v>
      </c>
      <c r="L33" s="19" t="n">
        <f aca="false">(K33/H33)*100</f>
        <v>0.36144578313253</v>
      </c>
      <c r="M33" s="77" t="n">
        <v>0</v>
      </c>
      <c r="N33" s="19" t="n">
        <f aca="false">(M33/H33)*100</f>
        <v>0</v>
      </c>
      <c r="O33" s="77" t="n">
        <v>2</v>
      </c>
      <c r="P33" s="443" t="n">
        <v>0</v>
      </c>
      <c r="Q33" s="183" t="s">
        <v>49</v>
      </c>
      <c r="R33" s="405" t="n">
        <v>45519</v>
      </c>
      <c r="S33" s="77"/>
      <c r="T33" s="386" t="n">
        <v>1.94</v>
      </c>
      <c r="V33" s="77"/>
      <c r="W33" s="77"/>
      <c r="X33" s="77"/>
      <c r="Y33" s="77"/>
      <c r="Z33" s="77"/>
      <c r="AA33" s="180" t="s">
        <v>50</v>
      </c>
      <c r="AB33" s="409" t="n">
        <v>0</v>
      </c>
      <c r="AC33" s="445"/>
      <c r="AD33" s="385" t="n">
        <v>0</v>
      </c>
      <c r="AE33" s="385" t="n">
        <v>0</v>
      </c>
    </row>
    <row r="34" customFormat="false" ht="25.5" hidden="false" customHeight="false" outlineLevel="0" collapsed="false">
      <c r="A34" s="77" t="s">
        <v>42</v>
      </c>
      <c r="B34" s="77" t="s">
        <v>3694</v>
      </c>
      <c r="C34" s="113" t="s">
        <v>3749</v>
      </c>
      <c r="D34" s="171" t="s">
        <v>3750</v>
      </c>
      <c r="E34" s="77" t="s">
        <v>3751</v>
      </c>
      <c r="F34" s="77" t="n">
        <v>1408</v>
      </c>
      <c r="G34" s="77" t="n">
        <v>277</v>
      </c>
      <c r="H34" s="77" t="n">
        <v>1539</v>
      </c>
      <c r="I34" s="77" t="n">
        <v>798</v>
      </c>
      <c r="J34" s="77" t="n">
        <v>741</v>
      </c>
      <c r="K34" s="77" t="n">
        <v>415</v>
      </c>
      <c r="L34" s="19" t="n">
        <f aca="false">(K34/H34)*100</f>
        <v>26.9655620532813</v>
      </c>
      <c r="M34" s="77" t="n">
        <v>88</v>
      </c>
      <c r="N34" s="19" t="n">
        <f aca="false">(M34/H34)*100</f>
        <v>5.71799870045484</v>
      </c>
      <c r="O34" s="77" t="n">
        <v>243</v>
      </c>
      <c r="P34" s="443" t="n">
        <v>0</v>
      </c>
      <c r="Q34" s="466" t="s">
        <v>50</v>
      </c>
      <c r="R34" s="467"/>
      <c r="S34" s="77"/>
      <c r="T34" s="467" t="n">
        <v>243</v>
      </c>
      <c r="U34" s="349" t="s">
        <v>50</v>
      </c>
      <c r="V34" s="77"/>
      <c r="W34" s="77"/>
      <c r="X34" s="77"/>
      <c r="Y34" s="77"/>
      <c r="Z34" s="77"/>
      <c r="AA34" s="468" t="s">
        <v>50</v>
      </c>
      <c r="AB34" s="467" t="n">
        <v>7.5</v>
      </c>
      <c r="AC34" s="469" t="s">
        <v>3752</v>
      </c>
      <c r="AD34" s="470" t="n">
        <v>26.311805</v>
      </c>
      <c r="AE34" s="470" t="n">
        <v>73.412783</v>
      </c>
    </row>
    <row r="35" customFormat="false" ht="17.25" hidden="false" customHeight="false" outlineLevel="0" collapsed="false">
      <c r="A35" s="77"/>
      <c r="B35" s="77"/>
      <c r="C35" s="113"/>
      <c r="D35" s="171"/>
      <c r="E35" s="77"/>
      <c r="F35" s="77"/>
      <c r="G35" s="77"/>
      <c r="H35" s="77"/>
      <c r="I35" s="77"/>
      <c r="J35" s="77"/>
      <c r="K35" s="77"/>
      <c r="L35" s="19"/>
      <c r="M35" s="77"/>
      <c r="N35" s="19"/>
      <c r="O35" s="77"/>
      <c r="P35" s="443"/>
      <c r="Q35" s="453"/>
      <c r="R35" s="453"/>
      <c r="S35" s="77"/>
      <c r="T35" s="172" t="n">
        <v>198.4</v>
      </c>
      <c r="V35" s="77"/>
      <c r="W35" s="77"/>
      <c r="X35" s="77"/>
      <c r="Y35" s="77"/>
      <c r="Z35" s="77"/>
      <c r="AA35" s="174" t="s">
        <v>50</v>
      </c>
      <c r="AB35" s="455" t="n">
        <v>15</v>
      </c>
      <c r="AC35" s="456" t="s">
        <v>3753</v>
      </c>
      <c r="AD35" s="453" t="n">
        <v>26.311805</v>
      </c>
      <c r="AE35" s="453" t="n">
        <v>73.412783</v>
      </c>
    </row>
    <row r="36" customFormat="false" ht="17.25" hidden="false" customHeight="false" outlineLevel="0" collapsed="false">
      <c r="A36" s="77"/>
      <c r="B36" s="77"/>
      <c r="C36" s="113"/>
      <c r="D36" s="171"/>
      <c r="E36" s="77"/>
      <c r="F36" s="77"/>
      <c r="G36" s="77"/>
      <c r="H36" s="77"/>
      <c r="I36" s="77"/>
      <c r="J36" s="77"/>
      <c r="K36" s="77"/>
      <c r="L36" s="19"/>
      <c r="M36" s="77"/>
      <c r="N36" s="19"/>
      <c r="O36" s="77"/>
      <c r="P36" s="443"/>
      <c r="Q36" s="453"/>
      <c r="R36" s="453"/>
      <c r="S36" s="77"/>
      <c r="T36" s="172"/>
      <c r="V36" s="77"/>
      <c r="W36" s="77"/>
      <c r="X36" s="77"/>
      <c r="Y36" s="77"/>
      <c r="Z36" s="77"/>
      <c r="AA36" s="174" t="s">
        <v>50</v>
      </c>
      <c r="AB36" s="455" t="n">
        <v>15</v>
      </c>
      <c r="AC36" s="456" t="s">
        <v>3754</v>
      </c>
      <c r="AD36" s="453" t="n">
        <v>26.311807</v>
      </c>
      <c r="AE36" s="453" t="n">
        <v>73.412788</v>
      </c>
    </row>
    <row r="37" customFormat="false" ht="18.75" hidden="false" customHeight="false" outlineLevel="0" collapsed="false">
      <c r="A37" s="77" t="s">
        <v>42</v>
      </c>
      <c r="B37" s="77" t="s">
        <v>3694</v>
      </c>
      <c r="C37" s="113" t="s">
        <v>3749</v>
      </c>
      <c r="D37" s="77" t="s">
        <v>129</v>
      </c>
      <c r="E37" s="77" t="s">
        <v>3755</v>
      </c>
      <c r="F37" s="77" t="n">
        <v>874</v>
      </c>
      <c r="G37" s="77" t="n">
        <v>165</v>
      </c>
      <c r="H37" s="77" t="n">
        <v>789</v>
      </c>
      <c r="I37" s="77" t="n">
        <v>398</v>
      </c>
      <c r="J37" s="77" t="n">
        <v>391</v>
      </c>
      <c r="K37" s="77" t="n">
        <v>4</v>
      </c>
      <c r="L37" s="19" t="n">
        <f aca="false">(K37/H37)*100</f>
        <v>0.506970849176172</v>
      </c>
      <c r="M37" s="77" t="n">
        <v>0</v>
      </c>
      <c r="N37" s="19" t="n">
        <f aca="false">(M37/H37)*100</f>
        <v>0</v>
      </c>
      <c r="O37" s="77" t="n">
        <v>83</v>
      </c>
      <c r="P37" s="443" t="n">
        <v>0</v>
      </c>
      <c r="Q37" s="183" t="s">
        <v>49</v>
      </c>
      <c r="R37" s="179" t="n">
        <v>45524</v>
      </c>
      <c r="S37" s="77"/>
      <c r="T37" s="183" t="n">
        <v>15.1122</v>
      </c>
      <c r="U37" s="349" t="s">
        <v>50</v>
      </c>
      <c r="V37" s="77"/>
      <c r="W37" s="77"/>
      <c r="X37" s="77"/>
      <c r="Y37" s="77"/>
      <c r="Z37" s="77"/>
      <c r="AA37" s="180" t="s">
        <v>50</v>
      </c>
      <c r="AB37" s="181" t="n">
        <v>10</v>
      </c>
      <c r="AC37" s="471" t="s">
        <v>3756</v>
      </c>
      <c r="AD37" s="183" t="n">
        <v>26.308648</v>
      </c>
      <c r="AE37" s="183" t="n">
        <v>73.473203</v>
      </c>
    </row>
    <row r="38" customFormat="false" ht="18.75" hidden="false" customHeight="false" outlineLevel="0" collapsed="false">
      <c r="A38" s="77" t="s">
        <v>42</v>
      </c>
      <c r="B38" s="77" t="s">
        <v>3694</v>
      </c>
      <c r="C38" s="113" t="s">
        <v>3749</v>
      </c>
      <c r="D38" s="77" t="s">
        <v>53</v>
      </c>
      <c r="E38" s="77" t="s">
        <v>3757</v>
      </c>
      <c r="F38" s="77" t="n">
        <v>439</v>
      </c>
      <c r="G38" s="77" t="n">
        <v>58</v>
      </c>
      <c r="H38" s="77" t="n">
        <v>375</v>
      </c>
      <c r="I38" s="77" t="n">
        <v>210</v>
      </c>
      <c r="J38" s="77" t="n">
        <v>165</v>
      </c>
      <c r="K38" s="77" t="n">
        <v>0</v>
      </c>
      <c r="L38" s="19" t="n">
        <f aca="false">(K38/H38)*100</f>
        <v>0</v>
      </c>
      <c r="M38" s="77" t="n">
        <v>0</v>
      </c>
      <c r="N38" s="19" t="n">
        <f aca="false">(M38/H38)*100</f>
        <v>0</v>
      </c>
      <c r="O38" s="77" t="n">
        <v>11</v>
      </c>
      <c r="P38" s="443" t="n">
        <v>0</v>
      </c>
      <c r="Q38" s="183" t="s">
        <v>49</v>
      </c>
      <c r="R38" s="179" t="n">
        <v>45524</v>
      </c>
      <c r="S38" s="77"/>
      <c r="T38" s="183" t="n">
        <v>11.0833</v>
      </c>
      <c r="U38" s="349" t="s">
        <v>50</v>
      </c>
      <c r="V38" s="77"/>
      <c r="W38" s="77"/>
      <c r="X38" s="77"/>
      <c r="Y38" s="77"/>
      <c r="Z38" s="77"/>
      <c r="AA38" s="180" t="s">
        <v>50</v>
      </c>
      <c r="AB38" s="181" t="n">
        <v>8</v>
      </c>
      <c r="AC38" s="471" t="s">
        <v>3758</v>
      </c>
      <c r="AD38" s="183" t="n">
        <v>26.33058</v>
      </c>
      <c r="AE38" s="183" t="n">
        <v>73.43056</v>
      </c>
    </row>
    <row r="39" customFormat="false" ht="15.75" hidden="false" customHeight="false" outlineLevel="0" collapsed="false">
      <c r="A39" s="77" t="s">
        <v>42</v>
      </c>
      <c r="B39" s="77" t="s">
        <v>3694</v>
      </c>
      <c r="C39" s="113" t="s">
        <v>3759</v>
      </c>
      <c r="D39" s="171" t="s">
        <v>3759</v>
      </c>
      <c r="E39" s="77" t="s">
        <v>3760</v>
      </c>
      <c r="F39" s="77" t="n">
        <v>1965.03</v>
      </c>
      <c r="G39" s="77" t="n">
        <v>471</v>
      </c>
      <c r="H39" s="77" t="n">
        <v>2523</v>
      </c>
      <c r="I39" s="77" t="n">
        <v>1320</v>
      </c>
      <c r="J39" s="77" t="n">
        <v>1203</v>
      </c>
      <c r="K39" s="77" t="n">
        <v>666</v>
      </c>
      <c r="L39" s="19" t="n">
        <f aca="false">(K39/H39)*100</f>
        <v>26.397146254459</v>
      </c>
      <c r="M39" s="77" t="n">
        <v>27</v>
      </c>
      <c r="N39" s="19" t="n">
        <f aca="false">(M39/H39)*100</f>
        <v>1.07015457788347</v>
      </c>
      <c r="O39" s="77" t="n">
        <v>31.07</v>
      </c>
      <c r="P39" s="443" t="n">
        <v>0</v>
      </c>
      <c r="S39" s="77"/>
      <c r="V39" s="77"/>
      <c r="W39" s="77"/>
      <c r="X39" s="77"/>
      <c r="Y39" s="77"/>
      <c r="Z39" s="77"/>
      <c r="AA39" s="202"/>
      <c r="AC39" s="444"/>
      <c r="AD39" s="349"/>
      <c r="AE39" s="349"/>
    </row>
    <row r="40" customFormat="false" ht="18.75" hidden="false" customHeight="false" outlineLevel="0" collapsed="false">
      <c r="A40" s="77" t="s">
        <v>42</v>
      </c>
      <c r="B40" s="77" t="s">
        <v>3694</v>
      </c>
      <c r="C40" s="113" t="s">
        <v>3761</v>
      </c>
      <c r="D40" s="171" t="s">
        <v>3761</v>
      </c>
      <c r="E40" s="77" t="s">
        <v>3762</v>
      </c>
      <c r="F40" s="77" t="n">
        <v>471</v>
      </c>
      <c r="G40" s="77" t="n">
        <v>335</v>
      </c>
      <c r="H40" s="77" t="n">
        <v>1714</v>
      </c>
      <c r="I40" s="77" t="n">
        <v>902</v>
      </c>
      <c r="J40" s="77" t="n">
        <v>812</v>
      </c>
      <c r="K40" s="77" t="n">
        <v>332</v>
      </c>
      <c r="L40" s="19" t="n">
        <f aca="false">(K40/H40)*100</f>
        <v>19.3698949824971</v>
      </c>
      <c r="M40" s="77" t="n">
        <v>8</v>
      </c>
      <c r="N40" s="19" t="n">
        <f aca="false">(M40/H40)*100</f>
        <v>0.466744457409568</v>
      </c>
      <c r="O40" s="77" t="n">
        <v>13</v>
      </c>
      <c r="P40" s="443" t="n">
        <v>0</v>
      </c>
      <c r="Q40" s="386" t="s">
        <v>49</v>
      </c>
      <c r="R40" s="405" t="n">
        <v>45519</v>
      </c>
      <c r="S40" s="77"/>
      <c r="T40" s="386" t="n">
        <v>15.58</v>
      </c>
      <c r="V40" s="77"/>
      <c r="W40" s="77"/>
      <c r="X40" s="77"/>
      <c r="Y40" s="77"/>
      <c r="Z40" s="77"/>
      <c r="AA40" s="385" t="s">
        <v>50</v>
      </c>
      <c r="AB40" s="409" t="n">
        <v>9</v>
      </c>
      <c r="AC40" s="472" t="s">
        <v>3763</v>
      </c>
      <c r="AD40" s="385" t="n">
        <v>26.380126</v>
      </c>
      <c r="AE40" s="385" t="n">
        <v>73.519834</v>
      </c>
    </row>
    <row r="41" customFormat="false" ht="30.75" hidden="false" customHeight="false" outlineLevel="0" collapsed="false">
      <c r="A41" s="77"/>
      <c r="B41" s="77"/>
      <c r="C41" s="113"/>
      <c r="D41" s="171"/>
      <c r="E41" s="77"/>
      <c r="F41" s="77"/>
      <c r="G41" s="77"/>
      <c r="H41" s="77"/>
      <c r="I41" s="77"/>
      <c r="J41" s="77"/>
      <c r="K41" s="77"/>
      <c r="L41" s="19"/>
      <c r="M41" s="77"/>
      <c r="N41" s="19"/>
      <c r="O41" s="77"/>
      <c r="P41" s="443"/>
      <c r="Q41" s="446" t="s">
        <v>49</v>
      </c>
      <c r="R41" s="447"/>
      <c r="S41" s="77"/>
      <c r="T41" s="446"/>
      <c r="V41" s="77"/>
      <c r="W41" s="77"/>
      <c r="X41" s="77"/>
      <c r="Y41" s="77"/>
      <c r="Z41" s="77"/>
      <c r="AA41" s="448" t="s">
        <v>50</v>
      </c>
      <c r="AB41" s="449" t="n">
        <v>8</v>
      </c>
      <c r="AC41" s="473" t="s">
        <v>3764</v>
      </c>
      <c r="AD41" s="448" t="n">
        <v>26.389596</v>
      </c>
      <c r="AE41" s="448" t="n">
        <v>73.530311</v>
      </c>
    </row>
    <row r="42" customFormat="false" ht="15.75" hidden="false" customHeight="false" outlineLevel="0" collapsed="false">
      <c r="A42" s="77" t="s">
        <v>42</v>
      </c>
      <c r="B42" s="77" t="s">
        <v>3694</v>
      </c>
      <c r="C42" s="113" t="s">
        <v>3761</v>
      </c>
      <c r="D42" s="77" t="s">
        <v>3765</v>
      </c>
      <c r="E42" s="77" t="s">
        <v>3766</v>
      </c>
      <c r="F42" s="77" t="n">
        <v>518</v>
      </c>
      <c r="G42" s="77" t="n">
        <v>171</v>
      </c>
      <c r="H42" s="77" t="n">
        <v>848</v>
      </c>
      <c r="I42" s="77" t="n">
        <v>424</v>
      </c>
      <c r="J42" s="77" t="n">
        <v>424</v>
      </c>
      <c r="K42" s="77" t="n">
        <v>86</v>
      </c>
      <c r="L42" s="19" t="n">
        <f aca="false">(K42/H42)*100</f>
        <v>10.1415094339623</v>
      </c>
      <c r="M42" s="77" t="n">
        <v>0</v>
      </c>
      <c r="N42" s="19" t="n">
        <f aca="false">(M42/H42)*100</f>
        <v>0</v>
      </c>
      <c r="O42" s="77" t="n">
        <v>27</v>
      </c>
      <c r="P42" s="443" t="n">
        <v>0</v>
      </c>
      <c r="S42" s="77"/>
      <c r="V42" s="77"/>
      <c r="W42" s="77"/>
      <c r="X42" s="77"/>
      <c r="Y42" s="77"/>
      <c r="Z42" s="77"/>
      <c r="AA42" s="202"/>
      <c r="AC42" s="444"/>
      <c r="AD42" s="349"/>
      <c r="AE42" s="349"/>
    </row>
    <row r="43" customFormat="false" ht="18.75" hidden="false" customHeight="false" outlineLevel="0" collapsed="false">
      <c r="A43" s="77" t="s">
        <v>42</v>
      </c>
      <c r="B43" s="77" t="s">
        <v>3694</v>
      </c>
      <c r="C43" s="113" t="s">
        <v>3767</v>
      </c>
      <c r="D43" s="171" t="s">
        <v>3767</v>
      </c>
      <c r="E43" s="77" t="s">
        <v>3768</v>
      </c>
      <c r="F43" s="77" t="n">
        <v>556.65</v>
      </c>
      <c r="G43" s="77" t="n">
        <v>230</v>
      </c>
      <c r="H43" s="77" t="n">
        <v>1249</v>
      </c>
      <c r="I43" s="77" t="n">
        <v>620</v>
      </c>
      <c r="J43" s="77" t="n">
        <v>629</v>
      </c>
      <c r="K43" s="77" t="n">
        <v>73</v>
      </c>
      <c r="L43" s="19" t="n">
        <f aca="false">(K43/H43)*100</f>
        <v>5.84467574059247</v>
      </c>
      <c r="M43" s="77" t="n">
        <v>0</v>
      </c>
      <c r="N43" s="19" t="n">
        <f aca="false">(M43/H43)*100</f>
        <v>0</v>
      </c>
      <c r="O43" s="77" t="n">
        <v>0</v>
      </c>
      <c r="P43" s="443" t="n">
        <v>0</v>
      </c>
      <c r="Q43" s="386" t="s">
        <v>49</v>
      </c>
      <c r="R43" s="405" t="n">
        <v>45304</v>
      </c>
      <c r="S43" s="77"/>
      <c r="T43" s="385"/>
      <c r="V43" s="77"/>
      <c r="W43" s="77"/>
      <c r="X43" s="77"/>
      <c r="Y43" s="77"/>
      <c r="Z43" s="77"/>
      <c r="AA43" s="385" t="s">
        <v>50</v>
      </c>
      <c r="AB43" s="409" t="n">
        <v>17</v>
      </c>
      <c r="AC43" s="474" t="s">
        <v>3769</v>
      </c>
      <c r="AD43" s="385" t="n">
        <v>26.509039</v>
      </c>
      <c r="AE43" s="385" t="n">
        <v>73.528734</v>
      </c>
    </row>
    <row r="44" customFormat="false" ht="18.75" hidden="false" customHeight="false" outlineLevel="0" collapsed="false">
      <c r="A44" s="77" t="s">
        <v>42</v>
      </c>
      <c r="B44" s="77" t="s">
        <v>3694</v>
      </c>
      <c r="C44" s="113" t="s">
        <v>3767</v>
      </c>
      <c r="D44" s="77" t="s">
        <v>3770</v>
      </c>
      <c r="E44" s="77" t="s">
        <v>3771</v>
      </c>
      <c r="F44" s="77" t="n">
        <v>395.81</v>
      </c>
      <c r="G44" s="77" t="n">
        <v>137</v>
      </c>
      <c r="H44" s="77" t="n">
        <v>743</v>
      </c>
      <c r="I44" s="77" t="n">
        <v>383</v>
      </c>
      <c r="J44" s="77" t="n">
        <v>360</v>
      </c>
      <c r="K44" s="77" t="n">
        <v>0</v>
      </c>
      <c r="L44" s="19" t="n">
        <f aca="false">(K44/H44)*100</f>
        <v>0</v>
      </c>
      <c r="M44" s="77" t="n">
        <v>0</v>
      </c>
      <c r="N44" s="19" t="n">
        <f aca="false">(M44/H44)*100</f>
        <v>0</v>
      </c>
      <c r="O44" s="77" t="n">
        <v>0</v>
      </c>
      <c r="P44" s="443" t="n">
        <v>0</v>
      </c>
      <c r="Q44" s="386" t="s">
        <v>49</v>
      </c>
      <c r="R44" s="405" t="n">
        <v>45304</v>
      </c>
      <c r="S44" s="77"/>
      <c r="T44" s="385" t="n">
        <v>0</v>
      </c>
      <c r="V44" s="77"/>
      <c r="W44" s="77"/>
      <c r="X44" s="77"/>
      <c r="Y44" s="77"/>
      <c r="Z44" s="77"/>
      <c r="AA44" s="385" t="s">
        <v>50</v>
      </c>
      <c r="AB44" s="409" t="n">
        <v>0</v>
      </c>
      <c r="AC44" s="475"/>
      <c r="AD44" s="385" t="n">
        <v>0</v>
      </c>
      <c r="AE44" s="385" t="n">
        <v>0</v>
      </c>
    </row>
    <row r="45" customFormat="false" ht="30.75" hidden="false" customHeight="false" outlineLevel="0" collapsed="false">
      <c r="A45" s="77" t="s">
        <v>42</v>
      </c>
      <c r="B45" s="77" t="s">
        <v>3694</v>
      </c>
      <c r="C45" s="113" t="s">
        <v>3767</v>
      </c>
      <c r="D45" s="77" t="s">
        <v>3772</v>
      </c>
      <c r="E45" s="77" t="s">
        <v>3773</v>
      </c>
      <c r="F45" s="77" t="n">
        <v>947</v>
      </c>
      <c r="G45" s="77" t="n">
        <v>186</v>
      </c>
      <c r="H45" s="77" t="n">
        <v>934</v>
      </c>
      <c r="I45" s="77" t="n">
        <v>473</v>
      </c>
      <c r="J45" s="77" t="n">
        <v>461</v>
      </c>
      <c r="K45" s="77" t="n">
        <v>92</v>
      </c>
      <c r="L45" s="19" t="n">
        <f aca="false">(K45/H45)*100</f>
        <v>9.85010706638116</v>
      </c>
      <c r="M45" s="77" t="n">
        <v>0</v>
      </c>
      <c r="N45" s="19" t="n">
        <f aca="false">(M45/H45)*100</f>
        <v>0</v>
      </c>
      <c r="O45" s="77" t="n">
        <v>0</v>
      </c>
      <c r="P45" s="443" t="n">
        <v>0</v>
      </c>
      <c r="Q45" s="386" t="s">
        <v>49</v>
      </c>
      <c r="R45" s="405" t="n">
        <v>45304</v>
      </c>
      <c r="S45" s="77"/>
      <c r="T45" s="385"/>
      <c r="V45" s="77"/>
      <c r="W45" s="77"/>
      <c r="X45" s="77"/>
      <c r="Y45" s="77"/>
      <c r="Z45" s="77"/>
      <c r="AA45" s="385" t="s">
        <v>50</v>
      </c>
      <c r="AB45" s="409" t="n">
        <v>5</v>
      </c>
      <c r="AC45" s="476" t="s">
        <v>3774</v>
      </c>
      <c r="AD45" s="385" t="n">
        <v>26.54212</v>
      </c>
      <c r="AE45" s="385" t="n">
        <v>73.539969</v>
      </c>
    </row>
    <row r="46" customFormat="false" ht="18.75" hidden="false" customHeight="false" outlineLevel="0" collapsed="false">
      <c r="A46" s="77" t="s">
        <v>42</v>
      </c>
      <c r="B46" s="77" t="s">
        <v>3694</v>
      </c>
      <c r="C46" s="113" t="s">
        <v>3767</v>
      </c>
      <c r="D46" s="77" t="s">
        <v>3775</v>
      </c>
      <c r="E46" s="77" t="s">
        <v>3776</v>
      </c>
      <c r="F46" s="77" t="n">
        <v>544</v>
      </c>
      <c r="G46" s="77" t="n">
        <v>95</v>
      </c>
      <c r="H46" s="77" t="n">
        <v>489</v>
      </c>
      <c r="I46" s="77" t="n">
        <v>252</v>
      </c>
      <c r="J46" s="77" t="n">
        <v>237</v>
      </c>
      <c r="K46" s="77" t="n">
        <v>0</v>
      </c>
      <c r="L46" s="19" t="n">
        <f aca="false">(K46/H46)*100</f>
        <v>0</v>
      </c>
      <c r="M46" s="77" t="n">
        <v>0</v>
      </c>
      <c r="N46" s="19" t="n">
        <f aca="false">(M46/H46)*100</f>
        <v>0</v>
      </c>
      <c r="O46" s="77" t="n">
        <v>16</v>
      </c>
      <c r="P46" s="443" t="n">
        <v>0</v>
      </c>
      <c r="Q46" s="386" t="s">
        <v>49</v>
      </c>
      <c r="R46" s="405" t="n">
        <v>45304</v>
      </c>
      <c r="S46" s="77"/>
      <c r="T46" s="385"/>
      <c r="V46" s="77"/>
      <c r="W46" s="77"/>
      <c r="X46" s="77"/>
      <c r="Y46" s="77"/>
      <c r="Z46" s="77"/>
      <c r="AA46" s="385" t="s">
        <v>50</v>
      </c>
      <c r="AB46" s="409" t="n">
        <v>10</v>
      </c>
      <c r="AC46" s="445" t="s">
        <v>3777</v>
      </c>
      <c r="AD46" s="385" t="n">
        <v>26.528972</v>
      </c>
      <c r="AE46" s="385" t="n">
        <v>73.521071</v>
      </c>
    </row>
    <row r="47" customFormat="false" ht="15.75" hidden="false" customHeight="false" outlineLevel="0" collapsed="false">
      <c r="A47" s="77" t="s">
        <v>42</v>
      </c>
      <c r="B47" s="77" t="s">
        <v>3694</v>
      </c>
      <c r="C47" s="113" t="s">
        <v>3778</v>
      </c>
      <c r="D47" s="171" t="s">
        <v>3779</v>
      </c>
      <c r="E47" s="77" t="s">
        <v>3780</v>
      </c>
      <c r="F47" s="77" t="n">
        <v>4893</v>
      </c>
      <c r="G47" s="77" t="n">
        <v>1510</v>
      </c>
      <c r="H47" s="77" t="n">
        <v>7516</v>
      </c>
      <c r="I47" s="77" t="n">
        <v>3883</v>
      </c>
      <c r="J47" s="77" t="n">
        <v>3633</v>
      </c>
      <c r="K47" s="77" t="n">
        <v>1704</v>
      </c>
      <c r="L47" s="19" t="n">
        <f aca="false">(K47/H47)*100</f>
        <v>22.6716338477914</v>
      </c>
      <c r="M47" s="77" t="n">
        <v>2</v>
      </c>
      <c r="N47" s="19" t="n">
        <f aca="false">(M47/H47)*100</f>
        <v>0.0266098988823842</v>
      </c>
      <c r="O47" s="77" t="n">
        <v>147</v>
      </c>
      <c r="P47" s="443" t="n">
        <v>0</v>
      </c>
      <c r="R47" s="349" t="s">
        <v>49</v>
      </c>
      <c r="S47" s="77"/>
      <c r="T47" s="349" t="n">
        <v>143.5408</v>
      </c>
      <c r="V47" s="77"/>
      <c r="W47" s="77"/>
      <c r="X47" s="77"/>
      <c r="Y47" s="77"/>
      <c r="Z47" s="77"/>
      <c r="AA47" s="202"/>
      <c r="AB47" s="349" t="s">
        <v>50</v>
      </c>
      <c r="AC47" s="460" t="s">
        <v>317</v>
      </c>
      <c r="AD47" s="349" t="n">
        <v>26.539822</v>
      </c>
      <c r="AE47" s="349" t="n">
        <v>73.636613</v>
      </c>
    </row>
    <row r="48" customFormat="false" ht="37.5" hidden="false" customHeight="false" outlineLevel="0" collapsed="false">
      <c r="A48" s="77" t="s">
        <v>42</v>
      </c>
      <c r="B48" s="77" t="s">
        <v>3694</v>
      </c>
      <c r="C48" s="113" t="s">
        <v>3781</v>
      </c>
      <c r="D48" s="171" t="s">
        <v>3781</v>
      </c>
      <c r="E48" s="77" t="s">
        <v>3782</v>
      </c>
      <c r="F48" s="77" t="n">
        <v>1017.93</v>
      </c>
      <c r="G48" s="77" t="n">
        <v>414</v>
      </c>
      <c r="H48" s="77" t="n">
        <v>1955</v>
      </c>
      <c r="I48" s="77" t="n">
        <v>1028</v>
      </c>
      <c r="J48" s="77" t="n">
        <v>927</v>
      </c>
      <c r="K48" s="77" t="n">
        <v>323</v>
      </c>
      <c r="L48" s="19" t="n">
        <f aca="false">(K48/H48)*100</f>
        <v>16.5217391304348</v>
      </c>
      <c r="M48" s="77" t="n">
        <v>101</v>
      </c>
      <c r="N48" s="19" t="n">
        <f aca="false">(M48/H48)*100</f>
        <v>5.16624040920716</v>
      </c>
      <c r="O48" s="77" t="n">
        <v>30.99</v>
      </c>
      <c r="P48" s="443" t="n">
        <v>0</v>
      </c>
      <c r="Q48" s="183" t="s">
        <v>49</v>
      </c>
      <c r="R48" s="179" t="n">
        <v>45519</v>
      </c>
      <c r="S48" s="77"/>
      <c r="T48" s="183" t="n">
        <v>22.32</v>
      </c>
      <c r="V48" s="77"/>
      <c r="W48" s="77"/>
      <c r="X48" s="77"/>
      <c r="Y48" s="77"/>
      <c r="Z48" s="77"/>
      <c r="AA48" s="180" t="s">
        <v>3117</v>
      </c>
      <c r="AB48" s="181" t="n">
        <v>8</v>
      </c>
      <c r="AC48" s="471" t="s">
        <v>3783</v>
      </c>
      <c r="AD48" s="183" t="n">
        <v>26.341866</v>
      </c>
      <c r="AE48" s="180" t="n">
        <v>73.650558</v>
      </c>
    </row>
    <row r="49" customFormat="false" ht="37.5" hidden="false" customHeight="false" outlineLevel="0" collapsed="false">
      <c r="A49" s="77"/>
      <c r="B49" s="77"/>
      <c r="C49" s="113"/>
      <c r="D49" s="171"/>
      <c r="E49" s="77"/>
      <c r="F49" s="77"/>
      <c r="G49" s="77"/>
      <c r="H49" s="77"/>
      <c r="I49" s="77"/>
      <c r="J49" s="77"/>
      <c r="K49" s="77"/>
      <c r="L49" s="19"/>
      <c r="M49" s="77"/>
      <c r="N49" s="19"/>
      <c r="O49" s="77"/>
      <c r="P49" s="443"/>
      <c r="Q49" s="410" t="s">
        <v>49</v>
      </c>
      <c r="R49" s="411"/>
      <c r="S49" s="77"/>
      <c r="T49" s="410"/>
      <c r="V49" s="77"/>
      <c r="W49" s="77"/>
      <c r="X49" s="77"/>
      <c r="Y49" s="77"/>
      <c r="Z49" s="77"/>
      <c r="AA49" s="413" t="s">
        <v>3117</v>
      </c>
      <c r="AB49" s="415" t="n">
        <v>10</v>
      </c>
      <c r="AC49" s="477" t="s">
        <v>3784</v>
      </c>
      <c r="AD49" s="410" t="n">
        <v>26.372313</v>
      </c>
      <c r="AE49" s="413" t="n">
        <v>73.636861</v>
      </c>
    </row>
    <row r="50" customFormat="false" ht="56.25" hidden="false" customHeight="false" outlineLevel="0" collapsed="false">
      <c r="A50" s="77"/>
      <c r="B50" s="77"/>
      <c r="C50" s="113"/>
      <c r="D50" s="171"/>
      <c r="E50" s="77"/>
      <c r="F50" s="77"/>
      <c r="G50" s="77"/>
      <c r="H50" s="77"/>
      <c r="I50" s="77"/>
      <c r="J50" s="77"/>
      <c r="K50" s="77"/>
      <c r="L50" s="19"/>
      <c r="M50" s="77"/>
      <c r="N50" s="19"/>
      <c r="O50" s="77"/>
      <c r="P50" s="443"/>
      <c r="Q50" s="410" t="s">
        <v>49</v>
      </c>
      <c r="R50" s="411"/>
      <c r="S50" s="77"/>
      <c r="T50" s="410"/>
      <c r="V50" s="77"/>
      <c r="W50" s="77"/>
      <c r="X50" s="77"/>
      <c r="Y50" s="77"/>
      <c r="Z50" s="77"/>
      <c r="AA50" s="413" t="s">
        <v>3117</v>
      </c>
      <c r="AB50" s="415" t="n">
        <v>5</v>
      </c>
      <c r="AC50" s="477" t="s">
        <v>3785</v>
      </c>
      <c r="AD50" s="410" t="n">
        <v>26.343527</v>
      </c>
      <c r="AE50" s="413" t="n">
        <v>73.651744</v>
      </c>
    </row>
    <row r="51" customFormat="false" ht="37.5" hidden="false" customHeight="false" outlineLevel="0" collapsed="false">
      <c r="A51" s="77" t="s">
        <v>42</v>
      </c>
      <c r="B51" s="77" t="s">
        <v>3694</v>
      </c>
      <c r="C51" s="113" t="s">
        <v>3781</v>
      </c>
      <c r="D51" s="77" t="s">
        <v>3786</v>
      </c>
      <c r="E51" s="77" t="s">
        <v>3787</v>
      </c>
      <c r="F51" s="77" t="n">
        <v>686</v>
      </c>
      <c r="G51" s="77" t="n">
        <v>180</v>
      </c>
      <c r="H51" s="77" t="n">
        <v>1007</v>
      </c>
      <c r="I51" s="77" t="n">
        <v>515</v>
      </c>
      <c r="J51" s="77" t="n">
        <v>492</v>
      </c>
      <c r="K51" s="77" t="n">
        <v>305</v>
      </c>
      <c r="L51" s="19" t="n">
        <f aca="false">(K51/H51)*100</f>
        <v>30.2879841112215</v>
      </c>
      <c r="M51" s="77" t="n">
        <v>0</v>
      </c>
      <c r="N51" s="19" t="n">
        <f aca="false">(M51/H51)*100</f>
        <v>0</v>
      </c>
      <c r="O51" s="77" t="n">
        <v>37</v>
      </c>
      <c r="P51" s="443" t="n">
        <v>0</v>
      </c>
      <c r="Q51" s="183" t="s">
        <v>49</v>
      </c>
      <c r="R51" s="179" t="n">
        <v>45519</v>
      </c>
      <c r="S51" s="77"/>
      <c r="T51" s="183" t="n">
        <v>1.52</v>
      </c>
      <c r="V51" s="77"/>
      <c r="W51" s="77"/>
      <c r="X51" s="77"/>
      <c r="Y51" s="77"/>
      <c r="Z51" s="77"/>
      <c r="AA51" s="180" t="s">
        <v>3117</v>
      </c>
      <c r="AB51" s="181" t="n">
        <v>15</v>
      </c>
      <c r="AC51" s="471" t="s">
        <v>3788</v>
      </c>
      <c r="AD51" s="183" t="n">
        <v>26.332656</v>
      </c>
      <c r="AE51" s="180" t="n">
        <v>73.626249</v>
      </c>
    </row>
    <row r="52" customFormat="false" ht="37.5" hidden="false" customHeight="false" outlineLevel="0" collapsed="false">
      <c r="A52" s="77"/>
      <c r="B52" s="77"/>
      <c r="C52" s="113"/>
      <c r="D52" s="77"/>
      <c r="E52" s="77"/>
      <c r="F52" s="77"/>
      <c r="G52" s="77"/>
      <c r="H52" s="77"/>
      <c r="I52" s="77"/>
      <c r="J52" s="77"/>
      <c r="K52" s="77"/>
      <c r="L52" s="19"/>
      <c r="M52" s="77"/>
      <c r="N52" s="19"/>
      <c r="O52" s="77"/>
      <c r="P52" s="443"/>
      <c r="Q52" s="410" t="s">
        <v>49</v>
      </c>
      <c r="R52" s="411"/>
      <c r="S52" s="77"/>
      <c r="T52" s="410"/>
      <c r="V52" s="77"/>
      <c r="W52" s="77"/>
      <c r="X52" s="77"/>
      <c r="Y52" s="77"/>
      <c r="Z52" s="77"/>
      <c r="AA52" s="413" t="s">
        <v>3117</v>
      </c>
      <c r="AB52" s="415" t="n">
        <v>10</v>
      </c>
      <c r="AC52" s="477" t="s">
        <v>3789</v>
      </c>
      <c r="AD52" s="410" t="n">
        <v>26.32994</v>
      </c>
      <c r="AE52" s="413" t="n">
        <v>73.62972</v>
      </c>
    </row>
    <row r="53" customFormat="false" ht="37.5" hidden="false" customHeight="false" outlineLevel="0" collapsed="false">
      <c r="A53" s="77" t="s">
        <v>42</v>
      </c>
      <c r="B53" s="77" t="s">
        <v>3694</v>
      </c>
      <c r="C53" s="113" t="s">
        <v>3781</v>
      </c>
      <c r="D53" s="77" t="s">
        <v>3790</v>
      </c>
      <c r="E53" s="77" t="s">
        <v>3791</v>
      </c>
      <c r="F53" s="77" t="n">
        <v>770.93</v>
      </c>
      <c r="G53" s="77" t="n">
        <v>226</v>
      </c>
      <c r="H53" s="77" t="n">
        <v>986</v>
      </c>
      <c r="I53" s="77" t="n">
        <v>523</v>
      </c>
      <c r="J53" s="77" t="n">
        <v>463</v>
      </c>
      <c r="K53" s="77" t="n">
        <v>236</v>
      </c>
      <c r="L53" s="19" t="n">
        <f aca="false">(K53/H53)*100</f>
        <v>23.9350912778905</v>
      </c>
      <c r="M53" s="77" t="n">
        <v>1</v>
      </c>
      <c r="N53" s="19" t="n">
        <f aca="false">(M53/H53)*100</f>
        <v>0.101419878296146</v>
      </c>
      <c r="O53" s="77" t="n">
        <v>72.99</v>
      </c>
      <c r="P53" s="443" t="n">
        <v>0</v>
      </c>
      <c r="Q53" s="183" t="s">
        <v>49</v>
      </c>
      <c r="R53" s="179" t="n">
        <v>45519</v>
      </c>
      <c r="S53" s="77"/>
      <c r="T53" s="183" t="n">
        <v>71.74</v>
      </c>
      <c r="V53" s="77"/>
      <c r="W53" s="77"/>
      <c r="X53" s="77"/>
      <c r="Y53" s="77"/>
      <c r="Z53" s="77"/>
      <c r="AA53" s="180" t="s">
        <v>3117</v>
      </c>
      <c r="AB53" s="181" t="n">
        <v>12</v>
      </c>
      <c r="AC53" s="471" t="s">
        <v>3792</v>
      </c>
      <c r="AD53" s="183" t="n">
        <v>26.358881</v>
      </c>
      <c r="AE53" s="180" t="n">
        <v>73.640145</v>
      </c>
    </row>
    <row r="54" customFormat="false" ht="37.5" hidden="false" customHeight="false" outlineLevel="0" collapsed="false">
      <c r="A54" s="77" t="s">
        <v>42</v>
      </c>
      <c r="B54" s="77" t="s">
        <v>3694</v>
      </c>
      <c r="C54" s="113" t="s">
        <v>3793</v>
      </c>
      <c r="D54" s="171" t="s">
        <v>3794</v>
      </c>
      <c r="E54" s="77" t="s">
        <v>3795</v>
      </c>
      <c r="F54" s="77" t="n">
        <v>1166</v>
      </c>
      <c r="G54" s="77" t="n">
        <v>922</v>
      </c>
      <c r="H54" s="77" t="n">
        <v>4101</v>
      </c>
      <c r="I54" s="77" t="n">
        <v>2166</v>
      </c>
      <c r="J54" s="77" t="n">
        <v>1935</v>
      </c>
      <c r="K54" s="77" t="n">
        <v>852</v>
      </c>
      <c r="L54" s="19" t="n">
        <f aca="false">(K54/H54)*100</f>
        <v>20.7754206291148</v>
      </c>
      <c r="M54" s="77" t="n">
        <v>235</v>
      </c>
      <c r="N54" s="19" t="n">
        <f aca="false">(M54/H54)*100</f>
        <v>5.73030968056572</v>
      </c>
      <c r="O54" s="77" t="n">
        <v>50</v>
      </c>
      <c r="P54" s="443" t="n">
        <v>0</v>
      </c>
      <c r="Q54" s="183" t="s">
        <v>49</v>
      </c>
      <c r="R54" s="405" t="n">
        <v>45524</v>
      </c>
      <c r="S54" s="77"/>
      <c r="T54" s="386" t="n">
        <v>59.93</v>
      </c>
      <c r="V54" s="77"/>
      <c r="W54" s="77"/>
      <c r="X54" s="77"/>
      <c r="Y54" s="77"/>
      <c r="Z54" s="77"/>
      <c r="AA54" s="180" t="s">
        <v>50</v>
      </c>
      <c r="AB54" s="409" t="n">
        <v>8</v>
      </c>
      <c r="AC54" s="445" t="s">
        <v>3796</v>
      </c>
      <c r="AD54" s="385" t="n">
        <v>26.600953</v>
      </c>
      <c r="AE54" s="385" t="n">
        <v>73.688919</v>
      </c>
    </row>
    <row r="55" customFormat="false" ht="18.75" hidden="false" customHeight="false" outlineLevel="0" collapsed="false">
      <c r="A55" s="77" t="s">
        <v>42</v>
      </c>
      <c r="B55" s="77" t="s">
        <v>3694</v>
      </c>
      <c r="C55" s="113" t="s">
        <v>3793</v>
      </c>
      <c r="D55" s="77" t="s">
        <v>535</v>
      </c>
      <c r="E55" s="77" t="s">
        <v>3797</v>
      </c>
      <c r="F55" s="77" t="n">
        <v>389</v>
      </c>
      <c r="G55" s="77" t="n">
        <v>79</v>
      </c>
      <c r="H55" s="77" t="n">
        <v>320</v>
      </c>
      <c r="I55" s="77" t="n">
        <v>155</v>
      </c>
      <c r="J55" s="77" t="n">
        <v>165</v>
      </c>
      <c r="K55" s="77" t="n">
        <v>28</v>
      </c>
      <c r="L55" s="19" t="n">
        <f aca="false">(K55/H55)*100</f>
        <v>8.75</v>
      </c>
      <c r="M55" s="77" t="n">
        <v>1</v>
      </c>
      <c r="N55" s="19" t="n">
        <f aca="false">(M55/H55)*100</f>
        <v>0.3125</v>
      </c>
      <c r="O55" s="77" t="n">
        <v>10</v>
      </c>
      <c r="P55" s="443" t="n">
        <v>0</v>
      </c>
      <c r="Q55" s="183" t="s">
        <v>49</v>
      </c>
      <c r="R55" s="405" t="n">
        <v>45524</v>
      </c>
      <c r="S55" s="77"/>
      <c r="T55" s="386" t="n">
        <v>0</v>
      </c>
      <c r="V55" s="77"/>
      <c r="W55" s="77"/>
      <c r="X55" s="77"/>
      <c r="Y55" s="77"/>
      <c r="Z55" s="77"/>
      <c r="AA55" s="180" t="s">
        <v>50</v>
      </c>
      <c r="AB55" s="409" t="n">
        <v>0</v>
      </c>
      <c r="AC55" s="478"/>
      <c r="AD55" s="385" t="n">
        <v>0</v>
      </c>
      <c r="AE55" s="385" t="n">
        <v>0</v>
      </c>
    </row>
    <row r="56" customFormat="false" ht="37.5" hidden="false" customHeight="false" outlineLevel="0" collapsed="false">
      <c r="A56" s="77" t="s">
        <v>42</v>
      </c>
      <c r="B56" s="77" t="s">
        <v>3694</v>
      </c>
      <c r="C56" s="113" t="s">
        <v>3793</v>
      </c>
      <c r="D56" s="77" t="s">
        <v>3798</v>
      </c>
      <c r="E56" s="77" t="s">
        <v>3799</v>
      </c>
      <c r="F56" s="77" t="n">
        <v>1870</v>
      </c>
      <c r="G56" s="77" t="n">
        <v>220</v>
      </c>
      <c r="H56" s="77" t="n">
        <v>1298</v>
      </c>
      <c r="I56" s="77" t="n">
        <v>642</v>
      </c>
      <c r="J56" s="77" t="n">
        <v>656</v>
      </c>
      <c r="K56" s="77" t="n">
        <v>381</v>
      </c>
      <c r="L56" s="19" t="n">
        <f aca="false">(K56/H56)*100</f>
        <v>29.3528505392912</v>
      </c>
      <c r="M56" s="77" t="n">
        <v>0</v>
      </c>
      <c r="N56" s="19" t="n">
        <f aca="false">(M56/H56)*100</f>
        <v>0</v>
      </c>
      <c r="O56" s="77" t="n">
        <v>90</v>
      </c>
      <c r="P56" s="443" t="n">
        <v>0</v>
      </c>
      <c r="Q56" s="183" t="s">
        <v>49</v>
      </c>
      <c r="R56" s="405" t="n">
        <v>45524</v>
      </c>
      <c r="S56" s="77"/>
      <c r="T56" s="386" t="n">
        <v>87.72</v>
      </c>
      <c r="V56" s="77"/>
      <c r="W56" s="77"/>
      <c r="X56" s="77"/>
      <c r="Y56" s="77"/>
      <c r="Z56" s="77"/>
      <c r="AA56" s="180" t="s">
        <v>50</v>
      </c>
      <c r="AB56" s="409" t="n">
        <v>9</v>
      </c>
      <c r="AC56" s="445" t="s">
        <v>3800</v>
      </c>
      <c r="AD56" s="385" t="n">
        <v>26.600497</v>
      </c>
      <c r="AE56" s="385" t="n">
        <v>73.620405</v>
      </c>
    </row>
    <row r="57" customFormat="false" ht="37.5" hidden="false" customHeight="false" outlineLevel="0" collapsed="false">
      <c r="A57" s="77"/>
      <c r="B57" s="77"/>
      <c r="C57" s="113"/>
      <c r="D57" s="77"/>
      <c r="E57" s="77"/>
      <c r="F57" s="77"/>
      <c r="G57" s="77"/>
      <c r="H57" s="77"/>
      <c r="I57" s="77"/>
      <c r="J57" s="77"/>
      <c r="K57" s="77"/>
      <c r="L57" s="19"/>
      <c r="M57" s="77"/>
      <c r="N57" s="19"/>
      <c r="O57" s="77"/>
      <c r="P57" s="443"/>
      <c r="Q57" s="446" t="s">
        <v>49</v>
      </c>
      <c r="R57" s="447"/>
      <c r="S57" s="77"/>
      <c r="T57" s="446"/>
      <c r="V57" s="77"/>
      <c r="W57" s="77"/>
      <c r="X57" s="77"/>
      <c r="Y57" s="77"/>
      <c r="Z57" s="77"/>
      <c r="AA57" s="448" t="s">
        <v>50</v>
      </c>
      <c r="AB57" s="449" t="n">
        <v>5</v>
      </c>
      <c r="AC57" s="450" t="s">
        <v>3801</v>
      </c>
      <c r="AD57" s="448" t="n">
        <v>26.599828</v>
      </c>
      <c r="AE57" s="448" t="n">
        <v>73.609834</v>
      </c>
    </row>
    <row r="58" customFormat="false" ht="18.75" hidden="false" customHeight="false" outlineLevel="0" collapsed="false">
      <c r="A58" s="77" t="s">
        <v>42</v>
      </c>
      <c r="B58" s="77" t="s">
        <v>3694</v>
      </c>
      <c r="C58" s="113" t="s">
        <v>3793</v>
      </c>
      <c r="D58" s="77" t="s">
        <v>3802</v>
      </c>
      <c r="E58" s="77" t="s">
        <v>3803</v>
      </c>
      <c r="F58" s="77" t="n">
        <v>485</v>
      </c>
      <c r="G58" s="77" t="n">
        <v>34</v>
      </c>
      <c r="H58" s="77" t="n">
        <v>172</v>
      </c>
      <c r="I58" s="77" t="n">
        <v>99</v>
      </c>
      <c r="J58" s="77" t="n">
        <v>73</v>
      </c>
      <c r="K58" s="77" t="n">
        <v>0</v>
      </c>
      <c r="L58" s="19" t="n">
        <f aca="false">(K58/H58)*100</f>
        <v>0</v>
      </c>
      <c r="M58" s="77" t="n">
        <v>0</v>
      </c>
      <c r="N58" s="19" t="n">
        <f aca="false">(M58/H58)*100</f>
        <v>0</v>
      </c>
      <c r="O58" s="77" t="n">
        <v>8.2</v>
      </c>
      <c r="P58" s="443" t="n">
        <v>0</v>
      </c>
      <c r="Q58" s="183" t="s">
        <v>49</v>
      </c>
      <c r="R58" s="405" t="n">
        <v>45524</v>
      </c>
      <c r="S58" s="77"/>
      <c r="T58" s="386" t="n">
        <v>10.67</v>
      </c>
      <c r="V58" s="77"/>
      <c r="W58" s="77"/>
      <c r="X58" s="77"/>
      <c r="Y58" s="77"/>
      <c r="Z58" s="77"/>
      <c r="AA58" s="180" t="s">
        <v>50</v>
      </c>
      <c r="AB58" s="409" t="n">
        <v>0</v>
      </c>
      <c r="AC58" s="478"/>
      <c r="AD58" s="385" t="n">
        <v>0</v>
      </c>
      <c r="AE58" s="385" t="n">
        <v>0</v>
      </c>
    </row>
    <row r="59" customFormat="false" ht="18.75" hidden="false" customHeight="false" outlineLevel="0" collapsed="false">
      <c r="A59" s="77" t="s">
        <v>42</v>
      </c>
      <c r="B59" s="77" t="s">
        <v>3694</v>
      </c>
      <c r="C59" s="113" t="s">
        <v>3793</v>
      </c>
      <c r="D59" s="77" t="s">
        <v>3804</v>
      </c>
      <c r="E59" s="77" t="s">
        <v>3805</v>
      </c>
      <c r="F59" s="77" t="n">
        <v>1546</v>
      </c>
      <c r="G59" s="77" t="n">
        <v>278</v>
      </c>
      <c r="H59" s="77" t="n">
        <v>1366</v>
      </c>
      <c r="I59" s="77" t="n">
        <v>708</v>
      </c>
      <c r="J59" s="77" t="n">
        <v>658</v>
      </c>
      <c r="K59" s="77" t="n">
        <v>222</v>
      </c>
      <c r="L59" s="19" t="n">
        <f aca="false">(K59/H59)*100</f>
        <v>16.2518301610542</v>
      </c>
      <c r="M59" s="77" t="n">
        <v>0</v>
      </c>
      <c r="N59" s="19" t="n">
        <f aca="false">(M59/H59)*100</f>
        <v>0</v>
      </c>
      <c r="O59" s="77" t="n">
        <v>58.6</v>
      </c>
      <c r="P59" s="443" t="n">
        <v>0</v>
      </c>
      <c r="Q59" s="183" t="s">
        <v>49</v>
      </c>
      <c r="R59" s="405" t="n">
        <v>45524</v>
      </c>
      <c r="S59" s="77"/>
      <c r="T59" s="386" t="n">
        <v>42.69</v>
      </c>
      <c r="V59" s="77"/>
      <c r="W59" s="77"/>
      <c r="X59" s="77"/>
      <c r="Y59" s="77"/>
      <c r="Z59" s="77"/>
      <c r="AA59" s="180" t="s">
        <v>50</v>
      </c>
      <c r="AB59" s="409" t="n">
        <v>8</v>
      </c>
      <c r="AC59" s="471" t="s">
        <v>3806</v>
      </c>
      <c r="AD59" s="385" t="n">
        <v>26.609372</v>
      </c>
      <c r="AE59" s="385" t="n">
        <v>73.660302</v>
      </c>
    </row>
    <row r="60" customFormat="false" ht="15.75" hidden="false" customHeight="false" outlineLevel="0" collapsed="false">
      <c r="A60" s="77" t="s">
        <v>42</v>
      </c>
      <c r="B60" s="77" t="s">
        <v>3694</v>
      </c>
      <c r="C60" s="113" t="s">
        <v>3807</v>
      </c>
      <c r="D60" s="171" t="s">
        <v>3808</v>
      </c>
      <c r="E60" s="77" t="s">
        <v>3809</v>
      </c>
      <c r="F60" s="77" t="n">
        <v>1917.54</v>
      </c>
      <c r="G60" s="77" t="n">
        <v>836</v>
      </c>
      <c r="H60" s="77" t="n">
        <v>4143</v>
      </c>
      <c r="I60" s="77" t="n">
        <v>2136</v>
      </c>
      <c r="J60" s="77" t="n">
        <v>2007</v>
      </c>
      <c r="K60" s="77" t="n">
        <v>1331</v>
      </c>
      <c r="L60" s="19" t="n">
        <f aca="false">(K60/H60)*100</f>
        <v>32.1264783972966</v>
      </c>
      <c r="M60" s="77" t="n">
        <v>0</v>
      </c>
      <c r="N60" s="19" t="n">
        <f aca="false">(M60/H60)*100</f>
        <v>0</v>
      </c>
      <c r="O60" s="77" t="n">
        <v>74</v>
      </c>
      <c r="P60" s="443" t="n">
        <v>0</v>
      </c>
      <c r="S60" s="77"/>
      <c r="V60" s="77"/>
      <c r="W60" s="77"/>
      <c r="X60" s="77"/>
      <c r="Y60" s="77"/>
      <c r="Z60" s="77"/>
      <c r="AA60" s="202"/>
      <c r="AC60" s="444"/>
      <c r="AD60" s="349"/>
      <c r="AE60" s="349"/>
    </row>
    <row r="61" customFormat="false" ht="15.75" hidden="false" customHeight="false" outlineLevel="0" collapsed="false">
      <c r="A61" s="77" t="s">
        <v>42</v>
      </c>
      <c r="B61" s="77" t="s">
        <v>3694</v>
      </c>
      <c r="C61" s="113" t="s">
        <v>3807</v>
      </c>
      <c r="D61" s="77" t="s">
        <v>1510</v>
      </c>
      <c r="E61" s="77" t="s">
        <v>3810</v>
      </c>
      <c r="F61" s="77" t="n">
        <v>286.52</v>
      </c>
      <c r="G61" s="77" t="n">
        <v>104</v>
      </c>
      <c r="H61" s="77" t="n">
        <v>643</v>
      </c>
      <c r="I61" s="77" t="n">
        <v>326</v>
      </c>
      <c r="J61" s="77" t="n">
        <v>317</v>
      </c>
      <c r="K61" s="77" t="n">
        <v>49</v>
      </c>
      <c r="L61" s="19" t="n">
        <f aca="false">(K61/H61)*100</f>
        <v>7.62052877138414</v>
      </c>
      <c r="M61" s="77" t="n">
        <v>0</v>
      </c>
      <c r="N61" s="19" t="n">
        <f aca="false">(M61/H61)*100</f>
        <v>0</v>
      </c>
      <c r="O61" s="77" t="n">
        <v>0</v>
      </c>
      <c r="P61" s="443" t="n">
        <v>0</v>
      </c>
      <c r="S61" s="77"/>
      <c r="V61" s="77"/>
      <c r="W61" s="77"/>
      <c r="X61" s="77"/>
      <c r="Y61" s="77"/>
      <c r="Z61" s="77"/>
      <c r="AA61" s="202"/>
      <c r="AC61" s="444"/>
      <c r="AD61" s="349"/>
      <c r="AE61" s="349"/>
    </row>
    <row r="62" customFormat="false" ht="15.75" hidden="false" customHeight="false" outlineLevel="0" collapsed="false">
      <c r="A62" s="77" t="s">
        <v>42</v>
      </c>
      <c r="B62" s="77" t="s">
        <v>3694</v>
      </c>
      <c r="C62" s="113" t="s">
        <v>3807</v>
      </c>
      <c r="D62" s="77" t="s">
        <v>3811</v>
      </c>
      <c r="E62" s="77" t="s">
        <v>3812</v>
      </c>
      <c r="F62" s="77" t="n">
        <v>1874.43</v>
      </c>
      <c r="G62" s="77" t="n">
        <v>409</v>
      </c>
      <c r="H62" s="77" t="n">
        <v>2231</v>
      </c>
      <c r="I62" s="77" t="n">
        <v>1165</v>
      </c>
      <c r="J62" s="77" t="n">
        <v>1066</v>
      </c>
      <c r="K62" s="77" t="n">
        <v>596</v>
      </c>
      <c r="L62" s="19" t="n">
        <f aca="false">(K62/H62)*100</f>
        <v>26.7144778126401</v>
      </c>
      <c r="M62" s="77" t="n">
        <v>205</v>
      </c>
      <c r="N62" s="19" t="n">
        <f aca="false">(M62/H62)*100</f>
        <v>9.18870461676378</v>
      </c>
      <c r="O62" s="77" t="n">
        <v>70</v>
      </c>
      <c r="P62" s="443" t="n">
        <v>0</v>
      </c>
      <c r="S62" s="77"/>
      <c r="V62" s="77"/>
      <c r="W62" s="77"/>
      <c r="X62" s="77"/>
      <c r="Y62" s="77"/>
      <c r="Z62" s="77"/>
      <c r="AA62" s="202"/>
      <c r="AC62" s="444"/>
      <c r="AD62" s="349"/>
      <c r="AE62" s="349"/>
    </row>
    <row r="63" customFormat="false" ht="15.75" hidden="false" customHeight="false" outlineLevel="0" collapsed="false">
      <c r="A63" s="77" t="s">
        <v>42</v>
      </c>
      <c r="B63" s="77" t="s">
        <v>3694</v>
      </c>
      <c r="C63" s="113" t="s">
        <v>3807</v>
      </c>
      <c r="D63" s="77" t="s">
        <v>3813</v>
      </c>
      <c r="E63" s="77" t="s">
        <v>3814</v>
      </c>
      <c r="F63" s="77" t="n">
        <v>690.99</v>
      </c>
      <c r="G63" s="77" t="n">
        <v>109</v>
      </c>
      <c r="H63" s="77" t="n">
        <v>543</v>
      </c>
      <c r="I63" s="77" t="n">
        <v>295</v>
      </c>
      <c r="J63" s="77" t="n">
        <v>248</v>
      </c>
      <c r="K63" s="77" t="n">
        <v>169</v>
      </c>
      <c r="L63" s="19" t="n">
        <f aca="false">(K63/H63)*100</f>
        <v>31.1233885819521</v>
      </c>
      <c r="M63" s="77" t="n">
        <v>2</v>
      </c>
      <c r="N63" s="19" t="n">
        <f aca="false">(M63/H63)*100</f>
        <v>0.368324125230203</v>
      </c>
      <c r="O63" s="77" t="n">
        <v>7.91</v>
      </c>
      <c r="P63" s="443" t="n">
        <v>0</v>
      </c>
      <c r="S63" s="77"/>
      <c r="V63" s="77"/>
      <c r="W63" s="77"/>
      <c r="X63" s="77"/>
      <c r="Y63" s="77"/>
      <c r="Z63" s="77"/>
      <c r="AA63" s="202"/>
      <c r="AC63" s="444"/>
      <c r="AD63" s="349"/>
      <c r="AE63" s="349"/>
    </row>
    <row r="64" customFormat="false" ht="15.75" hidden="false" customHeight="false" outlineLevel="0" collapsed="false">
      <c r="A64" s="77" t="s">
        <v>42</v>
      </c>
      <c r="B64" s="77" t="s">
        <v>3694</v>
      </c>
      <c r="C64" s="113" t="s">
        <v>3815</v>
      </c>
      <c r="D64" s="171" t="s">
        <v>3816</v>
      </c>
      <c r="E64" s="77" t="s">
        <v>3817</v>
      </c>
      <c r="F64" s="77" t="n">
        <v>2466.87</v>
      </c>
      <c r="G64" s="77" t="n">
        <v>960</v>
      </c>
      <c r="H64" s="77" t="n">
        <v>4996</v>
      </c>
      <c r="I64" s="77" t="n">
        <v>2616</v>
      </c>
      <c r="J64" s="77" t="n">
        <v>2380</v>
      </c>
      <c r="K64" s="77" t="n">
        <v>1676</v>
      </c>
      <c r="L64" s="19" t="n">
        <f aca="false">(K64/H64)*100</f>
        <v>33.546837469976</v>
      </c>
      <c r="M64" s="77" t="n">
        <v>3</v>
      </c>
      <c r="N64" s="19" t="n">
        <f aca="false">(M64/H64)*100</f>
        <v>0.0600480384307446</v>
      </c>
      <c r="O64" s="77" t="n">
        <v>45.92</v>
      </c>
      <c r="P64" s="443" t="n">
        <v>0</v>
      </c>
      <c r="S64" s="77"/>
      <c r="V64" s="77"/>
      <c r="W64" s="77"/>
      <c r="X64" s="77"/>
      <c r="Y64" s="77"/>
      <c r="Z64" s="77"/>
      <c r="AA64" s="202"/>
      <c r="AC64" s="444"/>
      <c r="AD64" s="349"/>
      <c r="AE64" s="349"/>
    </row>
    <row r="65" customFormat="false" ht="15.75" hidden="false" customHeight="false" outlineLevel="0" collapsed="false">
      <c r="A65" s="77" t="s">
        <v>42</v>
      </c>
      <c r="B65" s="77" t="s">
        <v>3694</v>
      </c>
      <c r="C65" s="113" t="s">
        <v>3815</v>
      </c>
      <c r="D65" s="77" t="s">
        <v>3818</v>
      </c>
      <c r="E65" s="77" t="s">
        <v>3819</v>
      </c>
      <c r="F65" s="77" t="n">
        <v>436.76</v>
      </c>
      <c r="G65" s="77" t="n">
        <v>185</v>
      </c>
      <c r="H65" s="77" t="n">
        <v>953</v>
      </c>
      <c r="I65" s="77" t="n">
        <v>485</v>
      </c>
      <c r="J65" s="77" t="n">
        <v>468</v>
      </c>
      <c r="K65" s="77" t="n">
        <v>0</v>
      </c>
      <c r="L65" s="19" t="n">
        <f aca="false">(K65/H65)*100</f>
        <v>0</v>
      </c>
      <c r="M65" s="77" t="n">
        <v>0</v>
      </c>
      <c r="N65" s="19" t="n">
        <f aca="false">(M65/H65)*100</f>
        <v>0</v>
      </c>
      <c r="O65" s="77" t="n">
        <v>18.8</v>
      </c>
      <c r="P65" s="443" t="n">
        <v>0</v>
      </c>
      <c r="S65" s="77"/>
      <c r="V65" s="77"/>
      <c r="W65" s="77"/>
      <c r="X65" s="77"/>
      <c r="Y65" s="77"/>
      <c r="Z65" s="77"/>
      <c r="AA65" s="202"/>
      <c r="AC65" s="444"/>
      <c r="AD65" s="349"/>
      <c r="AE65" s="349"/>
    </row>
    <row r="66" customFormat="false" ht="15.75" hidden="false" customHeight="false" outlineLevel="0" collapsed="false">
      <c r="A66" s="77" t="s">
        <v>42</v>
      </c>
      <c r="B66" s="77" t="s">
        <v>3694</v>
      </c>
      <c r="C66" s="113" t="s">
        <v>3815</v>
      </c>
      <c r="D66" s="77" t="s">
        <v>2011</v>
      </c>
      <c r="E66" s="77" t="s">
        <v>3820</v>
      </c>
      <c r="F66" s="77" t="n">
        <v>428.31</v>
      </c>
      <c r="G66" s="77" t="n">
        <v>61</v>
      </c>
      <c r="H66" s="77" t="n">
        <v>313</v>
      </c>
      <c r="I66" s="77" t="n">
        <v>160</v>
      </c>
      <c r="J66" s="77" t="n">
        <v>153</v>
      </c>
      <c r="K66" s="77" t="n">
        <v>14</v>
      </c>
      <c r="L66" s="19" t="n">
        <f aca="false">(K66/H66)*100</f>
        <v>4.47284345047923</v>
      </c>
      <c r="M66" s="77" t="n">
        <v>0</v>
      </c>
      <c r="N66" s="19" t="n">
        <f aca="false">(M66/H66)*100</f>
        <v>0</v>
      </c>
      <c r="O66" s="77" t="n">
        <v>87.28</v>
      </c>
      <c r="P66" s="443" t="n">
        <v>0</v>
      </c>
      <c r="S66" s="77"/>
      <c r="V66" s="77"/>
      <c r="W66" s="77"/>
      <c r="X66" s="77"/>
      <c r="Y66" s="77"/>
      <c r="Z66" s="77"/>
      <c r="AA66" s="202"/>
      <c r="AC66" s="444"/>
      <c r="AD66" s="349"/>
      <c r="AE66" s="349"/>
    </row>
    <row r="67" customFormat="false" ht="37.5" hidden="false" customHeight="false" outlineLevel="0" collapsed="false">
      <c r="A67" s="77" t="s">
        <v>42</v>
      </c>
      <c r="B67" s="77" t="s">
        <v>3694</v>
      </c>
      <c r="C67" s="113" t="s">
        <v>3821</v>
      </c>
      <c r="D67" s="171" t="s">
        <v>3822</v>
      </c>
      <c r="E67" s="77" t="s">
        <v>3823</v>
      </c>
      <c r="F67" s="77" t="n">
        <v>1702.85</v>
      </c>
      <c r="G67" s="77" t="n">
        <v>465</v>
      </c>
      <c r="H67" s="77" t="n">
        <v>2475</v>
      </c>
      <c r="I67" s="77" t="n">
        <v>1270</v>
      </c>
      <c r="J67" s="77" t="n">
        <v>1205</v>
      </c>
      <c r="K67" s="77" t="n">
        <v>310</v>
      </c>
      <c r="L67" s="19" t="n">
        <f aca="false">(K67/H67)*100</f>
        <v>12.5252525252525</v>
      </c>
      <c r="M67" s="77" t="n">
        <v>37</v>
      </c>
      <c r="N67" s="19" t="n">
        <f aca="false">(M67/H67)*100</f>
        <v>1.4949494949495</v>
      </c>
      <c r="O67" s="77" t="n">
        <v>0</v>
      </c>
      <c r="P67" s="443" t="n">
        <v>0</v>
      </c>
      <c r="Q67" s="183" t="s">
        <v>49</v>
      </c>
      <c r="R67" s="179" t="n">
        <v>44836</v>
      </c>
      <c r="S67" s="77"/>
      <c r="T67" s="183"/>
      <c r="V67" s="77"/>
      <c r="W67" s="77"/>
      <c r="X67" s="77"/>
      <c r="Y67" s="77"/>
      <c r="Z67" s="77"/>
      <c r="AA67" s="180" t="s">
        <v>50</v>
      </c>
      <c r="AB67" s="181" t="n">
        <v>10</v>
      </c>
      <c r="AC67" s="471" t="s">
        <v>3824</v>
      </c>
      <c r="AD67" s="183" t="n">
        <v>26.339902</v>
      </c>
      <c r="AE67" s="183" t="n">
        <v>73.371436</v>
      </c>
    </row>
    <row r="68" customFormat="false" ht="18.75" hidden="false" customHeight="false" outlineLevel="0" collapsed="false">
      <c r="A68" s="77"/>
      <c r="B68" s="77"/>
      <c r="C68" s="113"/>
      <c r="D68" s="171"/>
      <c r="E68" s="77"/>
      <c r="F68" s="77"/>
      <c r="G68" s="77"/>
      <c r="H68" s="77"/>
      <c r="I68" s="77"/>
      <c r="J68" s="77"/>
      <c r="K68" s="77"/>
      <c r="L68" s="19"/>
      <c r="M68" s="77"/>
      <c r="N68" s="19"/>
      <c r="O68" s="77"/>
      <c r="P68" s="443"/>
      <c r="Q68" s="446"/>
      <c r="R68" s="479"/>
      <c r="S68" s="77"/>
      <c r="T68" s="446"/>
      <c r="V68" s="77"/>
      <c r="W68" s="77"/>
      <c r="X68" s="77"/>
      <c r="Y68" s="77"/>
      <c r="Z68" s="77"/>
      <c r="AA68" s="448" t="s">
        <v>50</v>
      </c>
      <c r="AB68" s="449" t="n">
        <v>15</v>
      </c>
      <c r="AC68" s="450" t="s">
        <v>3825</v>
      </c>
      <c r="AD68" s="446" t="n">
        <v>26.328927</v>
      </c>
      <c r="AE68" s="446" t="n">
        <v>73.369419</v>
      </c>
    </row>
    <row r="69" customFormat="false" ht="37.5" hidden="false" customHeight="false" outlineLevel="0" collapsed="false">
      <c r="A69" s="77" t="s">
        <v>42</v>
      </c>
      <c r="B69" s="77" t="s">
        <v>3694</v>
      </c>
      <c r="C69" s="113" t="s">
        <v>3821</v>
      </c>
      <c r="D69" s="77" t="s">
        <v>3363</v>
      </c>
      <c r="E69" s="77" t="s">
        <v>3826</v>
      </c>
      <c r="F69" s="77" t="n">
        <v>980.4</v>
      </c>
      <c r="G69" s="77" t="n">
        <v>251</v>
      </c>
      <c r="H69" s="77" t="n">
        <v>1317</v>
      </c>
      <c r="I69" s="77" t="n">
        <v>697</v>
      </c>
      <c r="J69" s="77" t="n">
        <v>620</v>
      </c>
      <c r="K69" s="77" t="n">
        <v>83</v>
      </c>
      <c r="L69" s="19" t="n">
        <f aca="false">(K69/H69)*100</f>
        <v>6.30220197418375</v>
      </c>
      <c r="M69" s="77" t="n">
        <v>1</v>
      </c>
      <c r="N69" s="19" t="n">
        <f aca="false">(M69/H69)*100</f>
        <v>0.0759301442672741</v>
      </c>
      <c r="O69" s="77" t="n">
        <v>10.1</v>
      </c>
      <c r="P69" s="443" t="n">
        <v>0</v>
      </c>
      <c r="Q69" s="183" t="s">
        <v>49</v>
      </c>
      <c r="R69" s="179" t="n">
        <v>44836</v>
      </c>
      <c r="S69" s="77"/>
      <c r="T69" s="183" t="n">
        <v>8.0335</v>
      </c>
      <c r="V69" s="77"/>
      <c r="W69" s="77"/>
      <c r="X69" s="77"/>
      <c r="Y69" s="77"/>
      <c r="Z69" s="77"/>
      <c r="AA69" s="180" t="s">
        <v>50</v>
      </c>
      <c r="AB69" s="181" t="n">
        <v>12</v>
      </c>
      <c r="AC69" s="471" t="s">
        <v>3827</v>
      </c>
      <c r="AD69" s="183" t="n">
        <v>26.330773</v>
      </c>
      <c r="AE69" s="183" t="n">
        <v>73.357045</v>
      </c>
    </row>
    <row r="70" customFormat="false" ht="37.5" hidden="false" customHeight="false" outlineLevel="0" collapsed="false">
      <c r="A70" s="77" t="s">
        <v>42</v>
      </c>
      <c r="B70" s="77" t="s">
        <v>3694</v>
      </c>
      <c r="C70" s="113" t="s">
        <v>3821</v>
      </c>
      <c r="D70" s="77" t="s">
        <v>3828</v>
      </c>
      <c r="E70" s="77" t="s">
        <v>3829</v>
      </c>
      <c r="F70" s="77" t="n">
        <v>736.39</v>
      </c>
      <c r="G70" s="77" t="n">
        <v>177</v>
      </c>
      <c r="H70" s="77" t="n">
        <v>924</v>
      </c>
      <c r="I70" s="77" t="n">
        <v>487</v>
      </c>
      <c r="J70" s="77" t="n">
        <v>437</v>
      </c>
      <c r="K70" s="77" t="n">
        <v>58</v>
      </c>
      <c r="L70" s="19" t="n">
        <f aca="false">(K70/H70)*100</f>
        <v>6.27705627705628</v>
      </c>
      <c r="M70" s="77" t="n">
        <v>322</v>
      </c>
      <c r="N70" s="19" t="n">
        <f aca="false">(M70/H70)*100</f>
        <v>34.8484848484849</v>
      </c>
      <c r="O70" s="77" t="n">
        <v>0</v>
      </c>
      <c r="P70" s="443" t="n">
        <v>0</v>
      </c>
      <c r="Q70" s="183" t="s">
        <v>49</v>
      </c>
      <c r="R70" s="179" t="n">
        <v>44836</v>
      </c>
      <c r="S70" s="77"/>
      <c r="T70" s="183"/>
      <c r="V70" s="77"/>
      <c r="W70" s="77"/>
      <c r="X70" s="77"/>
      <c r="Y70" s="77"/>
      <c r="Z70" s="77"/>
      <c r="AA70" s="180" t="s">
        <v>50</v>
      </c>
      <c r="AB70" s="181" t="n">
        <v>12</v>
      </c>
      <c r="AC70" s="471" t="s">
        <v>3830</v>
      </c>
      <c r="AD70" s="183" t="n">
        <v>26.367478</v>
      </c>
      <c r="AE70" s="183" t="n">
        <v>73.338258</v>
      </c>
    </row>
    <row r="71" customFormat="false" ht="56.25" hidden="false" customHeight="false" outlineLevel="0" collapsed="false">
      <c r="A71" s="77" t="s">
        <v>42</v>
      </c>
      <c r="B71" s="77" t="s">
        <v>3694</v>
      </c>
      <c r="C71" s="113" t="s">
        <v>3831</v>
      </c>
      <c r="D71" s="171" t="s">
        <v>3832</v>
      </c>
      <c r="E71" s="77" t="s">
        <v>3833</v>
      </c>
      <c r="F71" s="77" t="n">
        <v>1797</v>
      </c>
      <c r="G71" s="77" t="n">
        <v>672</v>
      </c>
      <c r="H71" s="77" t="n">
        <v>3282</v>
      </c>
      <c r="I71" s="77" t="n">
        <v>1692</v>
      </c>
      <c r="J71" s="77" t="n">
        <v>1590</v>
      </c>
      <c r="K71" s="77" t="n">
        <v>1289</v>
      </c>
      <c r="L71" s="19" t="n">
        <f aca="false">(K71/H71)*100</f>
        <v>39.2748324192565</v>
      </c>
      <c r="M71" s="77" t="n">
        <v>4</v>
      </c>
      <c r="N71" s="19" t="n">
        <f aca="false">(M71/H71)*100</f>
        <v>0.12187690432663</v>
      </c>
      <c r="O71" s="77" t="n">
        <v>60</v>
      </c>
      <c r="P71" s="443" t="n">
        <v>0</v>
      </c>
      <c r="Q71" s="183" t="s">
        <v>49</v>
      </c>
      <c r="R71" s="179" t="n">
        <v>45519</v>
      </c>
      <c r="S71" s="77"/>
      <c r="T71" s="183" t="n">
        <v>56.36</v>
      </c>
      <c r="V71" s="77"/>
      <c r="W71" s="77"/>
      <c r="X71" s="77"/>
      <c r="Y71" s="77"/>
      <c r="Z71" s="77"/>
      <c r="AA71" s="180" t="s">
        <v>3117</v>
      </c>
      <c r="AB71" s="181" t="n">
        <v>12</v>
      </c>
      <c r="AC71" s="480" t="s">
        <v>3834</v>
      </c>
      <c r="AD71" s="183" t="n">
        <v>26.421667</v>
      </c>
      <c r="AE71" s="180" t="n">
        <v>73.687737</v>
      </c>
    </row>
    <row r="72" customFormat="false" ht="37.5" hidden="false" customHeight="false" outlineLevel="0" collapsed="false">
      <c r="A72" s="77"/>
      <c r="B72" s="77"/>
      <c r="C72" s="113"/>
      <c r="D72" s="171"/>
      <c r="E72" s="77"/>
      <c r="F72" s="77"/>
      <c r="G72" s="77"/>
      <c r="H72" s="77"/>
      <c r="I72" s="77"/>
      <c r="J72" s="77"/>
      <c r="K72" s="77"/>
      <c r="L72" s="19"/>
      <c r="M72" s="77"/>
      <c r="N72" s="19"/>
      <c r="O72" s="77"/>
      <c r="P72" s="443"/>
      <c r="Q72" s="410" t="s">
        <v>49</v>
      </c>
      <c r="R72" s="411"/>
      <c r="S72" s="77"/>
      <c r="T72" s="410"/>
      <c r="V72" s="77"/>
      <c r="W72" s="77"/>
      <c r="X72" s="77"/>
      <c r="Y72" s="77"/>
      <c r="Z72" s="77"/>
      <c r="AA72" s="413" t="s">
        <v>3117</v>
      </c>
      <c r="AB72" s="415" t="n">
        <v>10</v>
      </c>
      <c r="AC72" s="477" t="s">
        <v>3835</v>
      </c>
      <c r="AD72" s="410" t="n">
        <v>26.39984</v>
      </c>
      <c r="AE72" s="413" t="n">
        <v>73.679418</v>
      </c>
    </row>
    <row r="73" customFormat="false" ht="37.5" hidden="false" customHeight="false" outlineLevel="0" collapsed="false">
      <c r="A73" s="77"/>
      <c r="B73" s="77"/>
      <c r="C73" s="113"/>
      <c r="D73" s="171"/>
      <c r="E73" s="77"/>
      <c r="F73" s="77"/>
      <c r="G73" s="77"/>
      <c r="H73" s="77"/>
      <c r="I73" s="77"/>
      <c r="J73" s="77"/>
      <c r="K73" s="77"/>
      <c r="L73" s="19"/>
      <c r="M73" s="77"/>
      <c r="N73" s="19"/>
      <c r="O73" s="77"/>
      <c r="P73" s="443"/>
      <c r="Q73" s="410" t="s">
        <v>49</v>
      </c>
      <c r="R73" s="411"/>
      <c r="S73" s="77"/>
      <c r="T73" s="410"/>
      <c r="V73" s="77"/>
      <c r="W73" s="77"/>
      <c r="X73" s="77"/>
      <c r="Y73" s="77"/>
      <c r="Z73" s="77"/>
      <c r="AA73" s="413" t="s">
        <v>3117</v>
      </c>
      <c r="AB73" s="415" t="n">
        <v>15</v>
      </c>
      <c r="AC73" s="477" t="s">
        <v>3836</v>
      </c>
      <c r="AD73" s="410" t="n">
        <v>26.399548</v>
      </c>
      <c r="AE73" s="413" t="n">
        <v>73.698886</v>
      </c>
    </row>
    <row r="74" customFormat="false" ht="37.5" hidden="false" customHeight="false" outlineLevel="0" collapsed="false">
      <c r="A74" s="77" t="s">
        <v>42</v>
      </c>
      <c r="B74" s="77" t="s">
        <v>3694</v>
      </c>
      <c r="C74" s="113" t="s">
        <v>3837</v>
      </c>
      <c r="D74" s="171" t="s">
        <v>3838</v>
      </c>
      <c r="E74" s="77" t="s">
        <v>3839</v>
      </c>
      <c r="F74" s="77" t="n">
        <v>1217.47</v>
      </c>
      <c r="G74" s="77" t="n">
        <v>387</v>
      </c>
      <c r="H74" s="77" t="n">
        <v>1912</v>
      </c>
      <c r="I74" s="77" t="n">
        <v>992</v>
      </c>
      <c r="J74" s="77" t="n">
        <v>920</v>
      </c>
      <c r="K74" s="77" t="n">
        <v>314</v>
      </c>
      <c r="L74" s="19" t="n">
        <f aca="false">(K74/H74)*100</f>
        <v>16.4225941422594</v>
      </c>
      <c r="M74" s="77" t="n">
        <v>0</v>
      </c>
      <c r="N74" s="19" t="n">
        <f aca="false">(M74/H74)*100</f>
        <v>0</v>
      </c>
      <c r="O74" s="77" t="n">
        <v>47.6</v>
      </c>
      <c r="P74" s="443" t="n">
        <v>0</v>
      </c>
      <c r="Q74" s="183" t="s">
        <v>49</v>
      </c>
      <c r="R74" s="405" t="n">
        <v>45519</v>
      </c>
      <c r="S74" s="77"/>
      <c r="T74" s="386" t="n">
        <v>0</v>
      </c>
      <c r="V74" s="77"/>
      <c r="W74" s="77"/>
      <c r="X74" s="77"/>
      <c r="Y74" s="77"/>
      <c r="Z74" s="77"/>
      <c r="AA74" s="180" t="s">
        <v>50</v>
      </c>
      <c r="AB74" s="409" t="n">
        <v>10</v>
      </c>
      <c r="AC74" s="445" t="s">
        <v>3840</v>
      </c>
      <c r="AD74" s="385" t="n">
        <v>26.509912</v>
      </c>
      <c r="AE74" s="385" t="n">
        <v>73.479844</v>
      </c>
    </row>
    <row r="75" customFormat="false" ht="18.75" hidden="false" customHeight="false" outlineLevel="0" collapsed="false">
      <c r="A75" s="77"/>
      <c r="B75" s="77"/>
      <c r="C75" s="113"/>
      <c r="D75" s="171"/>
      <c r="E75" s="77"/>
      <c r="F75" s="77"/>
      <c r="G75" s="77"/>
      <c r="H75" s="77"/>
      <c r="I75" s="77"/>
      <c r="J75" s="77"/>
      <c r="K75" s="77"/>
      <c r="L75" s="19"/>
      <c r="M75" s="77"/>
      <c r="N75" s="19"/>
      <c r="O75" s="77"/>
      <c r="P75" s="443"/>
      <c r="Q75" s="446" t="s">
        <v>49</v>
      </c>
      <c r="R75" s="447"/>
      <c r="S75" s="77"/>
      <c r="T75" s="446"/>
      <c r="V75" s="77"/>
      <c r="W75" s="77"/>
      <c r="X75" s="77"/>
      <c r="Y75" s="77"/>
      <c r="Z75" s="77"/>
      <c r="AA75" s="448" t="s">
        <v>50</v>
      </c>
      <c r="AB75" s="449" t="n">
        <v>8</v>
      </c>
      <c r="AC75" s="450" t="s">
        <v>3841</v>
      </c>
      <c r="AD75" s="448" t="n">
        <v>26.500349</v>
      </c>
      <c r="AE75" s="448" t="n">
        <v>73.459896</v>
      </c>
    </row>
    <row r="76" customFormat="false" ht="56.25" hidden="false" customHeight="false" outlineLevel="0" collapsed="false">
      <c r="A76" s="77" t="s">
        <v>42</v>
      </c>
      <c r="B76" s="77" t="s">
        <v>3694</v>
      </c>
      <c r="C76" s="113" t="s">
        <v>3837</v>
      </c>
      <c r="D76" s="77" t="s">
        <v>129</v>
      </c>
      <c r="E76" s="77" t="s">
        <v>3842</v>
      </c>
      <c r="F76" s="77" t="n">
        <v>824.89</v>
      </c>
      <c r="G76" s="77" t="n">
        <v>60</v>
      </c>
      <c r="H76" s="77" t="n">
        <v>320</v>
      </c>
      <c r="I76" s="77" t="n">
        <v>159</v>
      </c>
      <c r="J76" s="77" t="n">
        <v>161</v>
      </c>
      <c r="K76" s="77" t="n">
        <v>0</v>
      </c>
      <c r="L76" s="19" t="n">
        <f aca="false">(K76/H76)*100</f>
        <v>0</v>
      </c>
      <c r="M76" s="77" t="n">
        <v>0</v>
      </c>
      <c r="N76" s="19" t="n">
        <f aca="false">(M76/H76)*100</f>
        <v>0</v>
      </c>
      <c r="O76" s="77" t="n">
        <v>0</v>
      </c>
      <c r="P76" s="443" t="n">
        <v>0</v>
      </c>
      <c r="Q76" s="183" t="s">
        <v>49</v>
      </c>
      <c r="R76" s="405" t="n">
        <v>45519</v>
      </c>
      <c r="S76" s="77"/>
      <c r="T76" s="386" t="n">
        <v>19.32</v>
      </c>
      <c r="V76" s="77"/>
      <c r="W76" s="77"/>
      <c r="X76" s="77"/>
      <c r="Y76" s="77"/>
      <c r="Z76" s="77"/>
      <c r="AA76" s="180" t="s">
        <v>50</v>
      </c>
      <c r="AB76" s="409" t="n">
        <v>15</v>
      </c>
      <c r="AC76" s="445" t="s">
        <v>3843</v>
      </c>
      <c r="AD76" s="385" t="n">
        <v>26.490079</v>
      </c>
      <c r="AE76" s="385" t="n">
        <v>73.451028</v>
      </c>
    </row>
    <row r="77" customFormat="false" ht="37.5" hidden="false" customHeight="false" outlineLevel="0" collapsed="false">
      <c r="A77" s="77" t="s">
        <v>42</v>
      </c>
      <c r="B77" s="77" t="s">
        <v>3694</v>
      </c>
      <c r="C77" s="113" t="s">
        <v>3844</v>
      </c>
      <c r="D77" s="171" t="s">
        <v>3845</v>
      </c>
      <c r="E77" s="77" t="s">
        <v>3846</v>
      </c>
      <c r="F77" s="77" t="n">
        <v>1900</v>
      </c>
      <c r="G77" s="77" t="n">
        <v>424</v>
      </c>
      <c r="H77" s="77" t="n">
        <v>1956</v>
      </c>
      <c r="I77" s="77" t="n">
        <v>1000</v>
      </c>
      <c r="J77" s="77" t="n">
        <v>956</v>
      </c>
      <c r="K77" s="77" t="n">
        <v>483</v>
      </c>
      <c r="L77" s="19" t="n">
        <f aca="false">(K77/H77)*100</f>
        <v>24.6932515337423</v>
      </c>
      <c r="M77" s="77" t="n">
        <v>1</v>
      </c>
      <c r="N77" s="19" t="n">
        <f aca="false">(M77/H77)*100</f>
        <v>0.0511247443762781</v>
      </c>
      <c r="O77" s="77" t="n">
        <v>137</v>
      </c>
      <c r="P77" s="443" t="n">
        <v>0</v>
      </c>
      <c r="Q77" s="183" t="s">
        <v>49</v>
      </c>
      <c r="R77" s="405" t="n">
        <v>45519</v>
      </c>
      <c r="S77" s="77"/>
      <c r="T77" s="386" t="n">
        <v>37.15</v>
      </c>
      <c r="V77" s="77"/>
      <c r="W77" s="77"/>
      <c r="X77" s="77"/>
      <c r="Y77" s="77"/>
      <c r="Z77" s="77"/>
      <c r="AA77" s="180" t="s">
        <v>50</v>
      </c>
      <c r="AB77" s="409" t="n">
        <v>14</v>
      </c>
      <c r="AC77" s="445" t="s">
        <v>3847</v>
      </c>
      <c r="AD77" s="385" t="n">
        <v>26.419754</v>
      </c>
      <c r="AE77" s="385" t="n">
        <v>73.640445</v>
      </c>
    </row>
    <row r="78" customFormat="false" ht="37.5" hidden="false" customHeight="false" outlineLevel="0" collapsed="false">
      <c r="A78" s="77"/>
      <c r="B78" s="77"/>
      <c r="C78" s="113"/>
      <c r="D78" s="171"/>
      <c r="E78" s="77"/>
      <c r="F78" s="77"/>
      <c r="G78" s="77"/>
      <c r="H78" s="77"/>
      <c r="I78" s="77"/>
      <c r="J78" s="77"/>
      <c r="K78" s="77"/>
      <c r="L78" s="19"/>
      <c r="M78" s="77"/>
      <c r="N78" s="19"/>
      <c r="O78" s="77"/>
      <c r="P78" s="443"/>
      <c r="Q78" s="446" t="s">
        <v>49</v>
      </c>
      <c r="R78" s="447"/>
      <c r="S78" s="77"/>
      <c r="T78" s="446"/>
      <c r="V78" s="77"/>
      <c r="W78" s="77"/>
      <c r="X78" s="77"/>
      <c r="Y78" s="77"/>
      <c r="Z78" s="77"/>
      <c r="AA78" s="448" t="s">
        <v>50</v>
      </c>
      <c r="AB78" s="449" t="n">
        <v>10</v>
      </c>
      <c r="AC78" s="450" t="s">
        <v>3848</v>
      </c>
      <c r="AD78" s="448" t="n">
        <v>26.429438</v>
      </c>
      <c r="AE78" s="448" t="n">
        <v>73.639295</v>
      </c>
    </row>
    <row r="79" customFormat="false" ht="37.5" hidden="false" customHeight="false" outlineLevel="0" collapsed="false">
      <c r="A79" s="77" t="s">
        <v>42</v>
      </c>
      <c r="B79" s="77" t="s">
        <v>3694</v>
      </c>
      <c r="C79" s="113" t="s">
        <v>3844</v>
      </c>
      <c r="D79" s="77" t="s">
        <v>1120</v>
      </c>
      <c r="E79" s="77" t="s">
        <v>3849</v>
      </c>
      <c r="F79" s="77" t="n">
        <v>1457</v>
      </c>
      <c r="G79" s="77" t="n">
        <v>311</v>
      </c>
      <c r="H79" s="77" t="n">
        <v>1682</v>
      </c>
      <c r="I79" s="77" t="n">
        <v>875</v>
      </c>
      <c r="J79" s="77" t="n">
        <v>807</v>
      </c>
      <c r="K79" s="77" t="n">
        <v>607</v>
      </c>
      <c r="L79" s="19" t="n">
        <f aca="false">(K79/H79)*100</f>
        <v>36.0879904875149</v>
      </c>
      <c r="M79" s="77" t="n">
        <v>0</v>
      </c>
      <c r="N79" s="19" t="n">
        <f aca="false">(M79/H79)*100</f>
        <v>0</v>
      </c>
      <c r="O79" s="77" t="n">
        <v>183</v>
      </c>
      <c r="P79" s="443" t="n">
        <v>0</v>
      </c>
      <c r="Q79" s="183" t="s">
        <v>49</v>
      </c>
      <c r="R79" s="405" t="n">
        <v>45519</v>
      </c>
      <c r="S79" s="77"/>
      <c r="T79" s="386" t="n">
        <v>135.03</v>
      </c>
      <c r="V79" s="77"/>
      <c r="W79" s="77"/>
      <c r="X79" s="77"/>
      <c r="Y79" s="77"/>
      <c r="Z79" s="77"/>
      <c r="AA79" s="180" t="s">
        <v>50</v>
      </c>
      <c r="AB79" s="409" t="n">
        <v>12</v>
      </c>
      <c r="AC79" s="445" t="s">
        <v>3850</v>
      </c>
      <c r="AD79" s="385" t="n">
        <v>26.459893</v>
      </c>
      <c r="AE79" s="385" t="n">
        <v>73.680083</v>
      </c>
    </row>
    <row r="80" customFormat="false" ht="15.75" hidden="false" customHeight="false" outlineLevel="0" collapsed="false">
      <c r="A80" s="77" t="s">
        <v>42</v>
      </c>
      <c r="B80" s="77" t="s">
        <v>3694</v>
      </c>
      <c r="C80" s="113" t="s">
        <v>3851</v>
      </c>
      <c r="D80" s="171" t="s">
        <v>3852</v>
      </c>
      <c r="E80" s="77" t="s">
        <v>3853</v>
      </c>
      <c r="F80" s="77" t="n">
        <v>1682</v>
      </c>
      <c r="G80" s="77" t="n">
        <v>645</v>
      </c>
      <c r="H80" s="77" t="n">
        <v>3104</v>
      </c>
      <c r="I80" s="77" t="n">
        <v>1591</v>
      </c>
      <c r="J80" s="77" t="n">
        <v>1513</v>
      </c>
      <c r="K80" s="77" t="n">
        <v>625</v>
      </c>
      <c r="L80" s="19" t="n">
        <f aca="false">(K80/H80)*100</f>
        <v>20.1353092783505</v>
      </c>
      <c r="M80" s="77" t="n">
        <v>0</v>
      </c>
      <c r="N80" s="19" t="n">
        <f aca="false">(M80/H80)*100</f>
        <v>0</v>
      </c>
      <c r="O80" s="77" t="n">
        <v>62</v>
      </c>
      <c r="P80" s="443" t="n">
        <v>0</v>
      </c>
      <c r="S80" s="77"/>
      <c r="V80" s="77"/>
      <c r="W80" s="77"/>
      <c r="X80" s="77"/>
      <c r="Y80" s="77"/>
      <c r="Z80" s="77"/>
      <c r="AA80" s="202"/>
      <c r="AC80" s="444"/>
      <c r="AD80" s="349"/>
      <c r="AE80" s="349"/>
    </row>
    <row r="81" customFormat="false" ht="15.75" hidden="false" customHeight="false" outlineLevel="0" collapsed="false">
      <c r="A81" s="77" t="s">
        <v>42</v>
      </c>
      <c r="B81" s="77" t="s">
        <v>3694</v>
      </c>
      <c r="C81" s="113" t="s">
        <v>3851</v>
      </c>
      <c r="D81" s="77" t="s">
        <v>3854</v>
      </c>
      <c r="E81" s="77" t="s">
        <v>3855</v>
      </c>
      <c r="F81" s="77" t="n">
        <v>464</v>
      </c>
      <c r="G81" s="77" t="n">
        <v>198</v>
      </c>
      <c r="H81" s="77" t="n">
        <v>1073</v>
      </c>
      <c r="I81" s="77" t="n">
        <v>530</v>
      </c>
      <c r="J81" s="77" t="n">
        <v>543</v>
      </c>
      <c r="K81" s="77" t="n">
        <v>356</v>
      </c>
      <c r="L81" s="19" t="n">
        <f aca="false">(K81/H81)*100</f>
        <v>33.1780055917987</v>
      </c>
      <c r="M81" s="77" t="n">
        <v>0</v>
      </c>
      <c r="N81" s="19" t="n">
        <f aca="false">(M81/H81)*100</f>
        <v>0</v>
      </c>
      <c r="O81" s="77" t="n">
        <v>12</v>
      </c>
      <c r="P81" s="443" t="n">
        <v>0</v>
      </c>
      <c r="S81" s="77"/>
      <c r="V81" s="77"/>
      <c r="W81" s="77"/>
      <c r="X81" s="77"/>
      <c r="Y81" s="77"/>
      <c r="Z81" s="77"/>
      <c r="AA81" s="202"/>
      <c r="AC81" s="444"/>
      <c r="AD81" s="349"/>
      <c r="AE81" s="349"/>
    </row>
    <row r="82" customFormat="false" ht="15.75" hidden="false" customHeight="false" outlineLevel="0" collapsed="false">
      <c r="A82" s="77" t="s">
        <v>42</v>
      </c>
      <c r="B82" s="77" t="s">
        <v>3694</v>
      </c>
      <c r="C82" s="113" t="s">
        <v>3851</v>
      </c>
      <c r="D82" s="77" t="s">
        <v>3856</v>
      </c>
      <c r="E82" s="77" t="s">
        <v>3857</v>
      </c>
      <c r="F82" s="77" t="n">
        <v>748</v>
      </c>
      <c r="G82" s="77" t="n">
        <v>158</v>
      </c>
      <c r="H82" s="77" t="n">
        <v>759</v>
      </c>
      <c r="I82" s="77" t="n">
        <v>382</v>
      </c>
      <c r="J82" s="77" t="n">
        <v>377</v>
      </c>
      <c r="K82" s="77" t="n">
        <v>83</v>
      </c>
      <c r="L82" s="19" t="n">
        <f aca="false">(K82/H82)*100</f>
        <v>10.935441370224</v>
      </c>
      <c r="M82" s="77" t="n">
        <v>0</v>
      </c>
      <c r="N82" s="19" t="n">
        <f aca="false">(M82/H82)*100</f>
        <v>0</v>
      </c>
      <c r="O82" s="77" t="n">
        <v>42</v>
      </c>
      <c r="P82" s="443" t="n">
        <v>0</v>
      </c>
      <c r="S82" s="77"/>
      <c r="V82" s="77"/>
      <c r="W82" s="77"/>
      <c r="X82" s="77"/>
      <c r="Y82" s="77"/>
      <c r="Z82" s="77"/>
      <c r="AA82" s="202"/>
      <c r="AC82" s="444"/>
      <c r="AD82" s="349"/>
      <c r="AE82" s="349"/>
    </row>
    <row r="83" customFormat="false" ht="15.75" hidden="false" customHeight="false" outlineLevel="0" collapsed="false">
      <c r="A83" s="77" t="s">
        <v>42</v>
      </c>
      <c r="B83" s="77" t="s">
        <v>3694</v>
      </c>
      <c r="C83" s="113" t="s">
        <v>3851</v>
      </c>
      <c r="D83" s="77" t="s">
        <v>3858</v>
      </c>
      <c r="E83" s="77" t="s">
        <v>3859</v>
      </c>
      <c r="F83" s="77" t="n">
        <v>1018</v>
      </c>
      <c r="G83" s="77" t="n">
        <v>228</v>
      </c>
      <c r="H83" s="77" t="n">
        <v>1139</v>
      </c>
      <c r="I83" s="77" t="n">
        <v>593</v>
      </c>
      <c r="J83" s="77" t="n">
        <v>546</v>
      </c>
      <c r="K83" s="77" t="n">
        <v>153</v>
      </c>
      <c r="L83" s="19" t="n">
        <f aca="false">(K83/H83)*100</f>
        <v>13.4328358208955</v>
      </c>
      <c r="M83" s="77" t="n">
        <v>0</v>
      </c>
      <c r="N83" s="19" t="n">
        <f aca="false">(M83/H83)*100</f>
        <v>0</v>
      </c>
      <c r="O83" s="77" t="n">
        <v>40</v>
      </c>
      <c r="P83" s="443" t="n">
        <v>0</v>
      </c>
      <c r="S83" s="77"/>
      <c r="V83" s="77"/>
      <c r="W83" s="77"/>
      <c r="X83" s="77"/>
      <c r="Y83" s="77"/>
      <c r="Z83" s="77"/>
      <c r="AA83" s="202"/>
      <c r="AC83" s="444"/>
      <c r="AD83" s="349"/>
      <c r="AE83" s="349"/>
    </row>
    <row r="84" customFormat="false" ht="15.75" hidden="false" customHeight="false" outlineLevel="0" collapsed="false">
      <c r="A84" s="77" t="s">
        <v>42</v>
      </c>
      <c r="B84" s="77" t="s">
        <v>3694</v>
      </c>
      <c r="C84" s="113" t="s">
        <v>3860</v>
      </c>
      <c r="D84" s="171" t="s">
        <v>3861</v>
      </c>
      <c r="E84" s="77" t="s">
        <v>3862</v>
      </c>
      <c r="F84" s="77" t="n">
        <v>2912</v>
      </c>
      <c r="G84" s="77" t="n">
        <v>451</v>
      </c>
      <c r="H84" s="77" t="n">
        <v>2272</v>
      </c>
      <c r="I84" s="77" t="n">
        <v>1150</v>
      </c>
      <c r="J84" s="77" t="n">
        <v>1122</v>
      </c>
      <c r="K84" s="77" t="n">
        <v>1206</v>
      </c>
      <c r="L84" s="19" t="n">
        <f aca="false">(K84/H84)*100</f>
        <v>53.080985915493</v>
      </c>
      <c r="M84" s="77" t="n">
        <v>1</v>
      </c>
      <c r="N84" s="19" t="n">
        <f aca="false">(M84/H84)*100</f>
        <v>0.0440140845070423</v>
      </c>
      <c r="O84" s="77" t="n">
        <v>121</v>
      </c>
      <c r="P84" s="443" t="n">
        <v>0</v>
      </c>
      <c r="S84" s="77"/>
      <c r="V84" s="77"/>
      <c r="W84" s="77"/>
      <c r="X84" s="77"/>
      <c r="Y84" s="77"/>
      <c r="Z84" s="77"/>
      <c r="AA84" s="202"/>
      <c r="AC84" s="444"/>
      <c r="AD84" s="349"/>
      <c r="AE84" s="349"/>
    </row>
    <row r="85" customFormat="false" ht="15.75" hidden="false" customHeight="false" outlineLevel="0" collapsed="false">
      <c r="A85" s="77" t="s">
        <v>42</v>
      </c>
      <c r="B85" s="77" t="s">
        <v>3694</v>
      </c>
      <c r="C85" s="113" t="s">
        <v>3860</v>
      </c>
      <c r="D85" s="77" t="s">
        <v>3863</v>
      </c>
      <c r="E85" s="77" t="s">
        <v>3864</v>
      </c>
      <c r="F85" s="77" t="n">
        <v>480</v>
      </c>
      <c r="G85" s="77" t="n">
        <v>199</v>
      </c>
      <c r="H85" s="77" t="n">
        <v>1067</v>
      </c>
      <c r="I85" s="77" t="n">
        <v>540</v>
      </c>
      <c r="J85" s="77" t="n">
        <v>527</v>
      </c>
      <c r="K85" s="77" t="n">
        <v>545</v>
      </c>
      <c r="L85" s="19" t="n">
        <f aca="false">(K85/H85)*100</f>
        <v>51.0777881911903</v>
      </c>
      <c r="M85" s="77" t="n">
        <v>0</v>
      </c>
      <c r="N85" s="19" t="n">
        <f aca="false">(M85/H85)*100</f>
        <v>0</v>
      </c>
      <c r="O85" s="77" t="n">
        <v>13</v>
      </c>
      <c r="P85" s="443" t="n">
        <v>0</v>
      </c>
      <c r="S85" s="77"/>
      <c r="V85" s="77"/>
      <c r="W85" s="77"/>
      <c r="X85" s="77"/>
      <c r="Y85" s="77"/>
      <c r="Z85" s="77"/>
      <c r="AA85" s="202"/>
      <c r="AC85" s="444"/>
      <c r="AD85" s="349"/>
      <c r="AE85" s="349"/>
    </row>
    <row r="86" customFormat="false" ht="15.75" hidden="false" customHeight="false" outlineLevel="0" collapsed="false">
      <c r="A86" s="77" t="s">
        <v>42</v>
      </c>
      <c r="B86" s="77" t="s">
        <v>3694</v>
      </c>
      <c r="C86" s="113" t="s">
        <v>3860</v>
      </c>
      <c r="D86" s="77" t="s">
        <v>3865</v>
      </c>
      <c r="E86" s="77" t="s">
        <v>3866</v>
      </c>
      <c r="F86" s="77" t="n">
        <v>363</v>
      </c>
      <c r="G86" s="77" t="n">
        <v>91</v>
      </c>
      <c r="H86" s="77" t="n">
        <v>418</v>
      </c>
      <c r="I86" s="77" t="n">
        <v>202</v>
      </c>
      <c r="J86" s="77" t="n">
        <v>216</v>
      </c>
      <c r="K86" s="77" t="n">
        <v>57</v>
      </c>
      <c r="L86" s="19" t="n">
        <f aca="false">(K86/H86)*100</f>
        <v>13.6363636363636</v>
      </c>
      <c r="M86" s="77" t="n">
        <v>0</v>
      </c>
      <c r="N86" s="19" t="n">
        <f aca="false">(M86/H86)*100</f>
        <v>0</v>
      </c>
      <c r="O86" s="77" t="n">
        <v>0</v>
      </c>
      <c r="P86" s="443" t="n">
        <v>0</v>
      </c>
      <c r="S86" s="77"/>
      <c r="V86" s="77"/>
      <c r="W86" s="77"/>
      <c r="X86" s="77"/>
      <c r="Y86" s="77"/>
      <c r="Z86" s="77"/>
      <c r="AA86" s="202"/>
      <c r="AC86" s="444"/>
      <c r="AD86" s="349"/>
      <c r="AE86" s="349"/>
    </row>
    <row r="87" customFormat="false" ht="56.25" hidden="false" customHeight="false" outlineLevel="0" collapsed="false">
      <c r="A87" s="77" t="s">
        <v>42</v>
      </c>
      <c r="B87" s="77" t="s">
        <v>3694</v>
      </c>
      <c r="C87" s="113" t="s">
        <v>3867</v>
      </c>
      <c r="D87" s="171" t="s">
        <v>3868</v>
      </c>
      <c r="E87" s="77" t="s">
        <v>3869</v>
      </c>
      <c r="F87" s="77" t="n">
        <v>2448</v>
      </c>
      <c r="G87" s="77" t="n">
        <v>821</v>
      </c>
      <c r="H87" s="77" t="n">
        <v>4201</v>
      </c>
      <c r="I87" s="77" t="n">
        <v>2196</v>
      </c>
      <c r="J87" s="77" t="n">
        <v>2005</v>
      </c>
      <c r="K87" s="77" t="n">
        <v>621</v>
      </c>
      <c r="L87" s="19" t="n">
        <f aca="false">(K87/H87)*100</f>
        <v>14.7821947155439</v>
      </c>
      <c r="M87" s="77" t="n">
        <v>8</v>
      </c>
      <c r="N87" s="19" t="n">
        <f aca="false">(M87/H87)*100</f>
        <v>0.190430849797667</v>
      </c>
      <c r="O87" s="77" t="n">
        <v>0</v>
      </c>
      <c r="P87" s="443" t="n">
        <v>0</v>
      </c>
      <c r="Q87" s="183" t="s">
        <v>49</v>
      </c>
      <c r="R87" s="179" t="n">
        <v>45519</v>
      </c>
      <c r="S87" s="77"/>
      <c r="T87" s="183" t="n">
        <v>0</v>
      </c>
      <c r="V87" s="77"/>
      <c r="W87" s="77"/>
      <c r="X87" s="77"/>
      <c r="Y87" s="77"/>
      <c r="Z87" s="77"/>
      <c r="AA87" s="180" t="s">
        <v>3117</v>
      </c>
      <c r="AB87" s="181" t="n">
        <v>10</v>
      </c>
      <c r="AC87" s="471" t="s">
        <v>3870</v>
      </c>
      <c r="AD87" s="183" t="n">
        <v>26.369151</v>
      </c>
      <c r="AE87" s="180" t="n">
        <v>73.39798</v>
      </c>
    </row>
    <row r="88" customFormat="false" ht="37.5" hidden="false" customHeight="false" outlineLevel="0" collapsed="false">
      <c r="A88" s="77"/>
      <c r="B88" s="77"/>
      <c r="C88" s="113"/>
      <c r="D88" s="171"/>
      <c r="E88" s="77"/>
      <c r="F88" s="77"/>
      <c r="G88" s="77"/>
      <c r="H88" s="77"/>
      <c r="I88" s="77"/>
      <c r="J88" s="77"/>
      <c r="K88" s="77"/>
      <c r="L88" s="19"/>
      <c r="M88" s="77"/>
      <c r="N88" s="19"/>
      <c r="O88" s="77"/>
      <c r="P88" s="443"/>
      <c r="Q88" s="410" t="s">
        <v>49</v>
      </c>
      <c r="R88" s="411"/>
      <c r="S88" s="77"/>
      <c r="T88" s="410"/>
      <c r="V88" s="77"/>
      <c r="W88" s="77"/>
      <c r="X88" s="77"/>
      <c r="Y88" s="77"/>
      <c r="Z88" s="77"/>
      <c r="AA88" s="413" t="s">
        <v>3117</v>
      </c>
      <c r="AB88" s="415" t="n">
        <v>15</v>
      </c>
      <c r="AC88" s="477" t="s">
        <v>3871</v>
      </c>
      <c r="AD88" s="410" t="n">
        <v>26.371754</v>
      </c>
      <c r="AE88" s="413" t="n">
        <v>73.40464</v>
      </c>
    </row>
    <row r="89" customFormat="false" ht="37.5" hidden="false" customHeight="false" outlineLevel="0" collapsed="false">
      <c r="A89" s="77"/>
      <c r="B89" s="77"/>
      <c r="C89" s="113"/>
      <c r="D89" s="171"/>
      <c r="E89" s="77"/>
      <c r="F89" s="77"/>
      <c r="G89" s="77"/>
      <c r="H89" s="77"/>
      <c r="I89" s="77"/>
      <c r="J89" s="77"/>
      <c r="K89" s="77"/>
      <c r="L89" s="19"/>
      <c r="M89" s="77"/>
      <c r="N89" s="19"/>
      <c r="O89" s="77"/>
      <c r="P89" s="443"/>
      <c r="Q89" s="410" t="s">
        <v>49</v>
      </c>
      <c r="R89" s="411"/>
      <c r="S89" s="77"/>
      <c r="T89" s="410"/>
      <c r="V89" s="77"/>
      <c r="W89" s="77"/>
      <c r="X89" s="77"/>
      <c r="Y89" s="77"/>
      <c r="Z89" s="77"/>
      <c r="AA89" s="413" t="s">
        <v>3117</v>
      </c>
      <c r="AB89" s="415" t="n">
        <v>5</v>
      </c>
      <c r="AC89" s="477" t="s">
        <v>3872</v>
      </c>
      <c r="AD89" s="410" t="n">
        <v>26.373136</v>
      </c>
      <c r="AE89" s="413" t="n">
        <v>73.391979</v>
      </c>
    </row>
    <row r="90" customFormat="false" ht="37.5" hidden="false" customHeight="false" outlineLevel="0" collapsed="false">
      <c r="A90" s="77" t="s">
        <v>42</v>
      </c>
      <c r="B90" s="77" t="s">
        <v>3694</v>
      </c>
      <c r="C90" s="113" t="s">
        <v>3867</v>
      </c>
      <c r="D90" s="77" t="s">
        <v>3873</v>
      </c>
      <c r="E90" s="77" t="s">
        <v>3874</v>
      </c>
      <c r="F90" s="77" t="n">
        <v>1080</v>
      </c>
      <c r="G90" s="77" t="n">
        <v>186</v>
      </c>
      <c r="H90" s="77" t="n">
        <v>959</v>
      </c>
      <c r="I90" s="77" t="n">
        <v>505</v>
      </c>
      <c r="J90" s="77" t="n">
        <v>454</v>
      </c>
      <c r="K90" s="77" t="n">
        <v>130</v>
      </c>
      <c r="L90" s="19" t="n">
        <f aca="false">(K90/H90)*100</f>
        <v>13.555787278415</v>
      </c>
      <c r="M90" s="77" t="n">
        <v>0</v>
      </c>
      <c r="N90" s="19" t="n">
        <f aca="false">(M90/H90)*100</f>
        <v>0</v>
      </c>
      <c r="O90" s="77" t="n">
        <v>0</v>
      </c>
      <c r="P90" s="443" t="n">
        <v>0</v>
      </c>
      <c r="Q90" s="183" t="s">
        <v>49</v>
      </c>
      <c r="R90" s="179" t="n">
        <v>45519</v>
      </c>
      <c r="S90" s="77"/>
      <c r="T90" s="183" t="n">
        <v>0</v>
      </c>
      <c r="V90" s="77"/>
      <c r="W90" s="77"/>
      <c r="X90" s="77"/>
      <c r="Y90" s="77"/>
      <c r="Z90" s="77"/>
      <c r="AA90" s="180" t="s">
        <v>3117</v>
      </c>
      <c r="AB90" s="181" t="n">
        <v>5</v>
      </c>
      <c r="AC90" s="471" t="s">
        <v>3875</v>
      </c>
      <c r="AD90" s="183" t="n">
        <v>26.398937</v>
      </c>
      <c r="AE90" s="180" t="n">
        <v>73.358818</v>
      </c>
    </row>
    <row r="91" customFormat="false" ht="18.75" hidden="false" customHeight="false" outlineLevel="0" collapsed="false">
      <c r="A91" s="77"/>
      <c r="B91" s="77"/>
      <c r="C91" s="113"/>
      <c r="D91" s="77"/>
      <c r="E91" s="77"/>
      <c r="F91" s="77"/>
      <c r="G91" s="77"/>
      <c r="H91" s="77"/>
      <c r="I91" s="77"/>
      <c r="J91" s="77"/>
      <c r="K91" s="77"/>
      <c r="L91" s="19"/>
      <c r="M91" s="77"/>
      <c r="N91" s="19"/>
      <c r="O91" s="77"/>
      <c r="P91" s="443"/>
      <c r="Q91" s="410" t="s">
        <v>49</v>
      </c>
      <c r="R91" s="411"/>
      <c r="S91" s="77"/>
      <c r="T91" s="410"/>
      <c r="V91" s="77"/>
      <c r="W91" s="77"/>
      <c r="X91" s="77"/>
      <c r="Y91" s="77"/>
      <c r="Z91" s="77"/>
      <c r="AA91" s="413" t="s">
        <v>3117</v>
      </c>
      <c r="AB91" s="415" t="n">
        <v>10</v>
      </c>
      <c r="AC91" s="477" t="s">
        <v>3876</v>
      </c>
      <c r="AD91" s="410" t="n">
        <v>26.364881</v>
      </c>
      <c r="AE91" s="413" t="n">
        <v>73.387876</v>
      </c>
    </row>
    <row r="92" customFormat="false" ht="37.5" hidden="false" customHeight="false" outlineLevel="0" collapsed="false">
      <c r="A92" s="77" t="s">
        <v>42</v>
      </c>
      <c r="B92" s="77" t="s">
        <v>3694</v>
      </c>
      <c r="C92" s="113" t="s">
        <v>3877</v>
      </c>
      <c r="D92" s="171" t="s">
        <v>3878</v>
      </c>
      <c r="E92" s="77" t="s">
        <v>3879</v>
      </c>
      <c r="F92" s="77" t="n">
        <v>4402</v>
      </c>
      <c r="G92" s="77" t="n">
        <v>994</v>
      </c>
      <c r="H92" s="77" t="n">
        <v>5025</v>
      </c>
      <c r="I92" s="77" t="n">
        <v>2556</v>
      </c>
      <c r="J92" s="77" t="n">
        <v>2469</v>
      </c>
      <c r="K92" s="77" t="n">
        <v>807</v>
      </c>
      <c r="L92" s="19" t="n">
        <f aca="false">(K92/H92)*100</f>
        <v>16.0597014925373</v>
      </c>
      <c r="M92" s="77" t="n">
        <v>145</v>
      </c>
      <c r="N92" s="19" t="n">
        <f aca="false">(M92/H92)*100</f>
        <v>2.88557213930348</v>
      </c>
      <c r="O92" s="77" t="n">
        <v>380</v>
      </c>
      <c r="P92" s="443" t="n">
        <v>0</v>
      </c>
      <c r="Q92" s="183" t="s">
        <v>49</v>
      </c>
      <c r="R92" s="179" t="n">
        <v>45519</v>
      </c>
      <c r="S92" s="77"/>
      <c r="T92" s="481" t="n">
        <v>272.82</v>
      </c>
      <c r="V92" s="77"/>
      <c r="W92" s="77"/>
      <c r="X92" s="77"/>
      <c r="Y92" s="77"/>
      <c r="Z92" s="77"/>
      <c r="AA92" s="180" t="s">
        <v>50</v>
      </c>
      <c r="AB92" s="181" t="n">
        <v>12</v>
      </c>
      <c r="AC92" s="471" t="s">
        <v>3880</v>
      </c>
      <c r="AD92" s="180" t="n">
        <v>26.59112</v>
      </c>
      <c r="AE92" s="180" t="n">
        <v>73.570073</v>
      </c>
    </row>
    <row r="93" customFormat="false" ht="37.5" hidden="false" customHeight="false" outlineLevel="0" collapsed="false">
      <c r="A93" s="77"/>
      <c r="B93" s="77"/>
      <c r="C93" s="113"/>
      <c r="D93" s="171"/>
      <c r="E93" s="77"/>
      <c r="F93" s="77"/>
      <c r="G93" s="77"/>
      <c r="H93" s="77"/>
      <c r="I93" s="77"/>
      <c r="J93" s="77"/>
      <c r="K93" s="77"/>
      <c r="L93" s="19"/>
      <c r="M93" s="77"/>
      <c r="N93" s="19"/>
      <c r="O93" s="77"/>
      <c r="P93" s="443"/>
      <c r="Q93" s="446" t="s">
        <v>49</v>
      </c>
      <c r="R93" s="447"/>
      <c r="S93" s="77"/>
      <c r="T93" s="448"/>
      <c r="V93" s="77"/>
      <c r="W93" s="77"/>
      <c r="X93" s="77"/>
      <c r="Y93" s="77"/>
      <c r="Z93" s="77"/>
      <c r="AA93" s="448" t="s">
        <v>50</v>
      </c>
      <c r="AB93" s="449" t="n">
        <v>10</v>
      </c>
      <c r="AC93" s="450" t="s">
        <v>3881</v>
      </c>
      <c r="AD93" s="448" t="n">
        <v>26.550302</v>
      </c>
      <c r="AE93" s="448" t="n">
        <v>73.580135</v>
      </c>
    </row>
    <row r="94" customFormat="false" ht="56.25" hidden="false" customHeight="false" outlineLevel="0" collapsed="false">
      <c r="A94" s="77"/>
      <c r="B94" s="77"/>
      <c r="C94" s="113"/>
      <c r="D94" s="171"/>
      <c r="E94" s="77"/>
      <c r="F94" s="77"/>
      <c r="G94" s="77"/>
      <c r="H94" s="77"/>
      <c r="I94" s="77"/>
      <c r="J94" s="77"/>
      <c r="K94" s="77"/>
      <c r="L94" s="19"/>
      <c r="M94" s="77"/>
      <c r="N94" s="19"/>
      <c r="O94" s="77"/>
      <c r="P94" s="443"/>
      <c r="Q94" s="446" t="s">
        <v>49</v>
      </c>
      <c r="R94" s="447"/>
      <c r="S94" s="77"/>
      <c r="T94" s="448"/>
      <c r="V94" s="77"/>
      <c r="W94" s="77"/>
      <c r="X94" s="77"/>
      <c r="Y94" s="77"/>
      <c r="Z94" s="77"/>
      <c r="AA94" s="448" t="s">
        <v>50</v>
      </c>
      <c r="AB94" s="449" t="n">
        <v>13</v>
      </c>
      <c r="AC94" s="450" t="s">
        <v>3882</v>
      </c>
      <c r="AD94" s="448" t="n">
        <v>26.580274</v>
      </c>
      <c r="AE94" s="448" t="n">
        <v>73.590218</v>
      </c>
    </row>
    <row r="95" customFormat="false" ht="15.75" hidden="false" customHeight="false" outlineLevel="0" collapsed="false">
      <c r="A95" s="77" t="s">
        <v>42</v>
      </c>
      <c r="B95" s="77" t="s">
        <v>3694</v>
      </c>
      <c r="C95" s="113" t="s">
        <v>3883</v>
      </c>
      <c r="D95" s="171" t="s">
        <v>3884</v>
      </c>
      <c r="E95" s="77" t="s">
        <v>3885</v>
      </c>
      <c r="F95" s="77" t="n">
        <v>1790.52</v>
      </c>
      <c r="G95" s="77" t="n">
        <v>436</v>
      </c>
      <c r="H95" s="77" t="n">
        <v>2175</v>
      </c>
      <c r="I95" s="77" t="n">
        <v>1130</v>
      </c>
      <c r="J95" s="77" t="n">
        <v>1045</v>
      </c>
      <c r="K95" s="77" t="n">
        <v>572</v>
      </c>
      <c r="L95" s="19" t="n">
        <f aca="false">(K95/H95)*100</f>
        <v>26.2988505747126</v>
      </c>
      <c r="M95" s="77" t="n">
        <v>0</v>
      </c>
      <c r="N95" s="19" t="n">
        <f aca="false">(M95/H95)*100</f>
        <v>0</v>
      </c>
      <c r="O95" s="77" t="n">
        <v>307.88</v>
      </c>
      <c r="P95" s="443" t="n">
        <v>0</v>
      </c>
      <c r="S95" s="77"/>
      <c r="V95" s="77"/>
      <c r="W95" s="77"/>
      <c r="X95" s="77"/>
      <c r="Y95" s="77"/>
      <c r="Z95" s="77"/>
      <c r="AA95" s="202"/>
      <c r="AC95" s="444"/>
      <c r="AD95" s="349"/>
      <c r="AE95" s="349"/>
    </row>
    <row r="96" customFormat="false" ht="15.75" hidden="false" customHeight="false" outlineLevel="0" collapsed="false">
      <c r="A96" s="77" t="s">
        <v>42</v>
      </c>
      <c r="B96" s="77" t="s">
        <v>3694</v>
      </c>
      <c r="C96" s="113" t="s">
        <v>3883</v>
      </c>
      <c r="D96" s="77" t="s">
        <v>3886</v>
      </c>
      <c r="E96" s="77" t="s">
        <v>3887</v>
      </c>
      <c r="F96" s="77" t="n">
        <v>378.42</v>
      </c>
      <c r="G96" s="77" t="n">
        <v>159</v>
      </c>
      <c r="H96" s="77" t="n">
        <v>777</v>
      </c>
      <c r="I96" s="77" t="n">
        <v>373</v>
      </c>
      <c r="J96" s="77" t="n">
        <v>404</v>
      </c>
      <c r="K96" s="77" t="n">
        <v>6</v>
      </c>
      <c r="L96" s="19" t="n">
        <f aca="false">(K96/H96)*100</f>
        <v>0.772200772200772</v>
      </c>
      <c r="M96" s="77" t="n">
        <v>0</v>
      </c>
      <c r="N96" s="19" t="n">
        <f aca="false">(M96/H96)*100</f>
        <v>0</v>
      </c>
      <c r="O96" s="77" t="n">
        <v>0.11</v>
      </c>
      <c r="P96" s="443" t="n">
        <v>0</v>
      </c>
      <c r="S96" s="77"/>
      <c r="V96" s="77"/>
      <c r="W96" s="77"/>
      <c r="X96" s="77"/>
      <c r="Y96" s="77"/>
      <c r="Z96" s="77"/>
      <c r="AA96" s="202"/>
      <c r="AC96" s="444"/>
      <c r="AD96" s="349"/>
      <c r="AE96" s="349"/>
    </row>
    <row r="97" customFormat="false" ht="37.5" hidden="false" customHeight="false" outlineLevel="0" collapsed="false">
      <c r="A97" s="77" t="s">
        <v>42</v>
      </c>
      <c r="B97" s="77" t="s">
        <v>3694</v>
      </c>
      <c r="C97" s="113" t="s">
        <v>3888</v>
      </c>
      <c r="D97" s="171" t="s">
        <v>3889</v>
      </c>
      <c r="E97" s="77" t="s">
        <v>3890</v>
      </c>
      <c r="F97" s="77" t="n">
        <v>3590</v>
      </c>
      <c r="G97" s="77" t="n">
        <v>1023</v>
      </c>
      <c r="H97" s="77" t="n">
        <v>5302</v>
      </c>
      <c r="I97" s="77" t="n">
        <v>2728</v>
      </c>
      <c r="J97" s="77" t="n">
        <v>2574</v>
      </c>
      <c r="K97" s="77" t="n">
        <v>835</v>
      </c>
      <c r="L97" s="19" t="n">
        <f aca="false">(K97/H97)*100</f>
        <v>15.7487740475292</v>
      </c>
      <c r="M97" s="77" t="n">
        <v>403</v>
      </c>
      <c r="N97" s="19" t="n">
        <f aca="false">(M97/H97)*100</f>
        <v>7.60090531874764</v>
      </c>
      <c r="O97" s="77" t="n">
        <v>166</v>
      </c>
      <c r="P97" s="443" t="n">
        <v>0</v>
      </c>
      <c r="Q97" s="183" t="s">
        <v>49</v>
      </c>
      <c r="R97" s="179" t="n">
        <v>45519</v>
      </c>
      <c r="S97" s="77"/>
      <c r="T97" s="183" t="n">
        <v>124.65</v>
      </c>
      <c r="V97" s="77"/>
      <c r="W97" s="77"/>
      <c r="X97" s="77"/>
      <c r="Y97" s="77"/>
      <c r="Z97" s="77"/>
      <c r="AA97" s="180" t="s">
        <v>3117</v>
      </c>
      <c r="AB97" s="181" t="n">
        <v>10</v>
      </c>
      <c r="AC97" s="471" t="s">
        <v>3891</v>
      </c>
      <c r="AD97" s="183" t="n">
        <v>26.410079</v>
      </c>
      <c r="AE97" s="180" t="n">
        <v>73.450472</v>
      </c>
    </row>
    <row r="98" customFormat="false" ht="18.75" hidden="false" customHeight="false" outlineLevel="0" collapsed="false">
      <c r="A98" s="77"/>
      <c r="B98" s="77"/>
      <c r="C98" s="113"/>
      <c r="D98" s="171"/>
      <c r="E98" s="77"/>
      <c r="F98" s="77"/>
      <c r="G98" s="77"/>
      <c r="H98" s="77"/>
      <c r="I98" s="77"/>
      <c r="J98" s="77"/>
      <c r="K98" s="77"/>
      <c r="L98" s="19"/>
      <c r="M98" s="77"/>
      <c r="N98" s="19"/>
      <c r="O98" s="77"/>
      <c r="P98" s="443"/>
      <c r="Q98" s="410" t="s">
        <v>49</v>
      </c>
      <c r="R98" s="411"/>
      <c r="S98" s="77"/>
      <c r="T98" s="410"/>
      <c r="V98" s="77"/>
      <c r="W98" s="77"/>
      <c r="X98" s="77"/>
      <c r="Y98" s="77"/>
      <c r="Z98" s="77"/>
      <c r="AA98" s="413" t="s">
        <v>3117</v>
      </c>
      <c r="AB98" s="415" t="n">
        <v>10</v>
      </c>
      <c r="AC98" s="477" t="s">
        <v>3892</v>
      </c>
      <c r="AD98" s="410" t="n">
        <v>26.39814</v>
      </c>
      <c r="AE98" s="413" t="n">
        <v>73.45767</v>
      </c>
    </row>
    <row r="99" customFormat="false" ht="15.75" hidden="false" customHeight="false" outlineLevel="0" collapsed="false">
      <c r="A99" s="77" t="s">
        <v>42</v>
      </c>
      <c r="B99" s="77" t="s">
        <v>3694</v>
      </c>
      <c r="C99" s="113" t="s">
        <v>3893</v>
      </c>
      <c r="D99" s="171" t="s">
        <v>3894</v>
      </c>
      <c r="E99" s="77" t="s">
        <v>3895</v>
      </c>
      <c r="F99" s="77" t="n">
        <v>3620.4</v>
      </c>
      <c r="G99" s="77" t="n">
        <v>879</v>
      </c>
      <c r="H99" s="77" t="n">
        <v>4586</v>
      </c>
      <c r="I99" s="77" t="n">
        <v>2347</v>
      </c>
      <c r="J99" s="77" t="n">
        <v>2239</v>
      </c>
      <c r="K99" s="77" t="n">
        <v>1076</v>
      </c>
      <c r="L99" s="19" t="n">
        <f aca="false">(K99/H99)*100</f>
        <v>23.4627126035761</v>
      </c>
      <c r="M99" s="77" t="n">
        <v>56</v>
      </c>
      <c r="N99" s="19" t="n">
        <f aca="false">(M99/H99)*100</f>
        <v>1.22110771914522</v>
      </c>
      <c r="O99" s="77" t="n">
        <v>181.78</v>
      </c>
      <c r="P99" s="443" t="n">
        <v>0</v>
      </c>
      <c r="S99" s="77"/>
      <c r="V99" s="77"/>
      <c r="W99" s="77"/>
      <c r="X99" s="77"/>
      <c r="Y99" s="77"/>
      <c r="Z99" s="77"/>
      <c r="AA99" s="202"/>
      <c r="AC99" s="444"/>
      <c r="AD99" s="349"/>
      <c r="AE99" s="349"/>
    </row>
    <row r="100" customFormat="false" ht="15.75" hidden="false" customHeight="false" outlineLevel="0" collapsed="false">
      <c r="A100" s="77" t="s">
        <v>42</v>
      </c>
      <c r="B100" s="77" t="s">
        <v>3694</v>
      </c>
      <c r="C100" s="113" t="s">
        <v>3893</v>
      </c>
      <c r="D100" s="77" t="s">
        <v>3896</v>
      </c>
      <c r="E100" s="77" t="s">
        <v>3897</v>
      </c>
      <c r="F100" s="77" t="n">
        <v>697.04</v>
      </c>
      <c r="G100" s="77" t="n">
        <v>223</v>
      </c>
      <c r="H100" s="77" t="n">
        <v>1098</v>
      </c>
      <c r="I100" s="77" t="n">
        <v>551</v>
      </c>
      <c r="J100" s="77" t="n">
        <v>547</v>
      </c>
      <c r="K100" s="77" t="n">
        <v>0</v>
      </c>
      <c r="L100" s="19" t="n">
        <f aca="false">(K100/H100)*100</f>
        <v>0</v>
      </c>
      <c r="M100" s="77" t="n">
        <v>0</v>
      </c>
      <c r="N100" s="19" t="n">
        <f aca="false">(M100/H100)*100</f>
        <v>0</v>
      </c>
      <c r="O100" s="77" t="n">
        <v>61.87</v>
      </c>
      <c r="P100" s="443" t="n">
        <v>0</v>
      </c>
      <c r="S100" s="77"/>
      <c r="V100" s="77"/>
      <c r="W100" s="77"/>
      <c r="X100" s="77"/>
      <c r="Y100" s="77"/>
      <c r="Z100" s="77"/>
      <c r="AA100" s="202"/>
      <c r="AC100" s="444"/>
      <c r="AD100" s="349"/>
      <c r="AE100" s="349"/>
    </row>
    <row r="101" customFormat="false" ht="18.75" hidden="false" customHeight="false" outlineLevel="0" collapsed="false">
      <c r="A101" s="77" t="s">
        <v>42</v>
      </c>
      <c r="B101" s="77" t="s">
        <v>3694</v>
      </c>
      <c r="C101" s="113" t="s">
        <v>3898</v>
      </c>
      <c r="D101" s="171" t="s">
        <v>3899</v>
      </c>
      <c r="E101" s="77" t="s">
        <v>3900</v>
      </c>
      <c r="F101" s="77" t="n">
        <v>6780.98</v>
      </c>
      <c r="G101" s="77" t="n">
        <v>1321</v>
      </c>
      <c r="H101" s="77" t="n">
        <v>6924</v>
      </c>
      <c r="I101" s="77" t="n">
        <v>3552</v>
      </c>
      <c r="J101" s="77" t="n">
        <v>3372</v>
      </c>
      <c r="K101" s="77" t="n">
        <v>1181</v>
      </c>
      <c r="L101" s="19" t="n">
        <f aca="false">(K101/H101)*100</f>
        <v>17.0566146735991</v>
      </c>
      <c r="M101" s="77" t="n">
        <v>9</v>
      </c>
      <c r="N101" s="19" t="n">
        <f aca="false">(M101/H101)*100</f>
        <v>0.12998266897747</v>
      </c>
      <c r="O101" s="77" t="n">
        <v>4.79</v>
      </c>
      <c r="P101" s="443" t="n">
        <v>0</v>
      </c>
      <c r="Q101" s="183" t="s">
        <v>49</v>
      </c>
      <c r="R101" s="405" t="n">
        <v>45519</v>
      </c>
      <c r="S101" s="77"/>
      <c r="T101" s="386" t="n">
        <v>0</v>
      </c>
      <c r="V101" s="77"/>
      <c r="W101" s="77"/>
      <c r="X101" s="77"/>
      <c r="Y101" s="77"/>
      <c r="Z101" s="77"/>
      <c r="AA101" s="180" t="s">
        <v>50</v>
      </c>
      <c r="AB101" s="409" t="n">
        <v>15</v>
      </c>
      <c r="AC101" s="445" t="s">
        <v>3901</v>
      </c>
      <c r="AD101" s="385" t="n">
        <v>26.480348</v>
      </c>
      <c r="AE101" s="385" t="n">
        <v>73.519948</v>
      </c>
    </row>
    <row r="102" customFormat="false" ht="37.5" hidden="false" customHeight="false" outlineLevel="0" collapsed="false">
      <c r="A102" s="77"/>
      <c r="B102" s="77"/>
      <c r="C102" s="113"/>
      <c r="D102" s="171"/>
      <c r="E102" s="77"/>
      <c r="F102" s="77"/>
      <c r="G102" s="77"/>
      <c r="H102" s="77"/>
      <c r="I102" s="77"/>
      <c r="J102" s="77"/>
      <c r="K102" s="77"/>
      <c r="L102" s="19"/>
      <c r="M102" s="77"/>
      <c r="N102" s="19"/>
      <c r="O102" s="77"/>
      <c r="P102" s="443"/>
      <c r="Q102" s="446" t="s">
        <v>49</v>
      </c>
      <c r="R102" s="447"/>
      <c r="S102" s="77"/>
      <c r="T102" s="446"/>
      <c r="V102" s="77"/>
      <c r="W102" s="77"/>
      <c r="X102" s="77"/>
      <c r="Y102" s="77"/>
      <c r="Z102" s="77"/>
      <c r="AA102" s="448" t="s">
        <v>50</v>
      </c>
      <c r="AB102" s="449" t="n">
        <v>12</v>
      </c>
      <c r="AC102" s="450" t="s">
        <v>3902</v>
      </c>
      <c r="AD102" s="448" t="n">
        <v>26.440925</v>
      </c>
      <c r="AE102" s="448" t="n">
        <v>73.599201</v>
      </c>
    </row>
    <row r="103" customFormat="false" ht="15.75" hidden="false" customHeight="false" outlineLevel="0" collapsed="false">
      <c r="A103" s="77" t="s">
        <v>42</v>
      </c>
      <c r="B103" s="77" t="s">
        <v>3694</v>
      </c>
      <c r="C103" s="113" t="s">
        <v>3903</v>
      </c>
      <c r="D103" s="171" t="s">
        <v>3903</v>
      </c>
      <c r="E103" s="77" t="s">
        <v>3904</v>
      </c>
      <c r="F103" s="77" t="n">
        <v>977.99</v>
      </c>
      <c r="G103" s="77" t="n">
        <v>573</v>
      </c>
      <c r="H103" s="77" t="n">
        <v>2808</v>
      </c>
      <c r="I103" s="77" t="n">
        <v>1450</v>
      </c>
      <c r="J103" s="77" t="n">
        <v>1358</v>
      </c>
      <c r="K103" s="77" t="n">
        <v>386</v>
      </c>
      <c r="L103" s="19" t="n">
        <f aca="false">(K103/H103)*100</f>
        <v>13.7464387464387</v>
      </c>
      <c r="M103" s="77" t="n">
        <v>0</v>
      </c>
      <c r="N103" s="19" t="n">
        <f aca="false">(M103/H103)*100</f>
        <v>0</v>
      </c>
      <c r="O103" s="77" t="n">
        <v>34.81</v>
      </c>
      <c r="P103" s="443" t="n">
        <v>0</v>
      </c>
      <c r="S103" s="77"/>
      <c r="V103" s="77"/>
      <c r="W103" s="77"/>
      <c r="X103" s="77"/>
      <c r="Y103" s="77"/>
      <c r="Z103" s="77"/>
      <c r="AA103" s="202"/>
      <c r="AC103" s="444"/>
      <c r="AD103" s="349"/>
      <c r="AE103" s="349"/>
    </row>
    <row r="104" customFormat="false" ht="30" hidden="false" customHeight="false" outlineLevel="0" collapsed="false">
      <c r="A104" s="77" t="s">
        <v>42</v>
      </c>
      <c r="B104" s="77" t="s">
        <v>3694</v>
      </c>
      <c r="C104" s="113" t="s">
        <v>3905</v>
      </c>
      <c r="D104" s="171" t="s">
        <v>3906</v>
      </c>
      <c r="E104" s="77" t="s">
        <v>3907</v>
      </c>
      <c r="F104" s="77" t="n">
        <v>2343.64</v>
      </c>
      <c r="G104" s="77" t="n">
        <v>505</v>
      </c>
      <c r="H104" s="77" t="n">
        <v>2403</v>
      </c>
      <c r="I104" s="77" t="n">
        <v>1190</v>
      </c>
      <c r="J104" s="77" t="n">
        <v>1213</v>
      </c>
      <c r="K104" s="77" t="n">
        <v>762</v>
      </c>
      <c r="L104" s="19" t="n">
        <f aca="false">(K104/H104)*100</f>
        <v>31.7103620474407</v>
      </c>
      <c r="M104" s="77" t="n">
        <v>0</v>
      </c>
      <c r="N104" s="19" t="n">
        <f aca="false">(M104/H104)*100</f>
        <v>0</v>
      </c>
      <c r="O104" s="77" t="n">
        <v>3.18</v>
      </c>
      <c r="P104" s="443" t="n">
        <v>0</v>
      </c>
      <c r="Q104" s="349" t="s">
        <v>49</v>
      </c>
      <c r="R104" s="350" t="n">
        <v>44824</v>
      </c>
      <c r="S104" s="77"/>
      <c r="T104" s="349" t="n">
        <v>2.5241</v>
      </c>
      <c r="V104" s="77"/>
      <c r="W104" s="77"/>
      <c r="X104" s="77"/>
      <c r="Y104" s="77"/>
      <c r="Z104" s="77"/>
      <c r="AA104" s="202" t="s">
        <v>50</v>
      </c>
      <c r="AB104" s="202" t="n">
        <v>8</v>
      </c>
      <c r="AC104" s="482" t="s">
        <v>3908</v>
      </c>
      <c r="AD104" s="349" t="n">
        <v>26.317628</v>
      </c>
      <c r="AE104" s="349" t="n">
        <v>73.572385</v>
      </c>
    </row>
    <row r="105" customFormat="false" ht="30" hidden="false" customHeight="false" outlineLevel="0" collapsed="false">
      <c r="A105" s="77" t="s">
        <v>42</v>
      </c>
      <c r="B105" s="77" t="s">
        <v>3694</v>
      </c>
      <c r="C105" s="113" t="s">
        <v>3905</v>
      </c>
      <c r="D105" s="77" t="s">
        <v>3909</v>
      </c>
      <c r="E105" s="77" t="s">
        <v>3910</v>
      </c>
      <c r="F105" s="77" t="n">
        <v>1028.95</v>
      </c>
      <c r="G105" s="77" t="n">
        <v>249</v>
      </c>
      <c r="H105" s="77" t="n">
        <v>1251</v>
      </c>
      <c r="I105" s="77" t="n">
        <v>645</v>
      </c>
      <c r="J105" s="77" t="n">
        <v>606</v>
      </c>
      <c r="K105" s="77" t="n">
        <v>372</v>
      </c>
      <c r="L105" s="19" t="n">
        <f aca="false">(K105/H105)*100</f>
        <v>29.7362110311751</v>
      </c>
      <c r="M105" s="77" t="n">
        <v>8</v>
      </c>
      <c r="N105" s="19" t="n">
        <f aca="false">(M105/H105)*100</f>
        <v>0.639488409272582</v>
      </c>
      <c r="O105" s="77" t="n">
        <v>14.27</v>
      </c>
      <c r="P105" s="443" t="n">
        <v>0</v>
      </c>
      <c r="Q105" s="349" t="s">
        <v>49</v>
      </c>
      <c r="R105" s="350" t="n">
        <v>44824</v>
      </c>
      <c r="S105" s="77"/>
      <c r="T105" s="349" t="n">
        <v>13.6236</v>
      </c>
      <c r="V105" s="77"/>
      <c r="W105" s="77"/>
      <c r="X105" s="77"/>
      <c r="Y105" s="77"/>
      <c r="Z105" s="77"/>
      <c r="AA105" s="202" t="s">
        <v>50</v>
      </c>
      <c r="AB105" s="202" t="n">
        <v>5</v>
      </c>
      <c r="AC105" s="482" t="s">
        <v>3911</v>
      </c>
      <c r="AD105" s="349" t="n">
        <v>26.334304</v>
      </c>
      <c r="AE105" s="349" t="n">
        <v>73.556235</v>
      </c>
    </row>
    <row r="106" customFormat="false" ht="18.75" hidden="false" customHeight="false" outlineLevel="0" collapsed="false">
      <c r="A106" s="77" t="s">
        <v>42</v>
      </c>
      <c r="B106" s="77" t="s">
        <v>3694</v>
      </c>
      <c r="C106" s="113" t="s">
        <v>3912</v>
      </c>
      <c r="D106" s="171" t="s">
        <v>677</v>
      </c>
      <c r="E106" s="77" t="s">
        <v>3913</v>
      </c>
      <c r="F106" s="77" t="n">
        <v>1425.8</v>
      </c>
      <c r="G106" s="77" t="n">
        <v>779</v>
      </c>
      <c r="H106" s="77" t="n">
        <v>4103</v>
      </c>
      <c r="I106" s="77" t="n">
        <v>2101</v>
      </c>
      <c r="J106" s="77" t="n">
        <v>2002</v>
      </c>
      <c r="K106" s="77" t="n">
        <v>502</v>
      </c>
      <c r="L106" s="19" t="n">
        <f aca="false">(K106/H106)*100</f>
        <v>12.2349500365586</v>
      </c>
      <c r="M106" s="77" t="n">
        <v>0</v>
      </c>
      <c r="N106" s="19" t="n">
        <f aca="false">(M106/H106)*100</f>
        <v>0</v>
      </c>
      <c r="O106" s="77" t="n">
        <v>128.82</v>
      </c>
      <c r="P106" s="443" t="n">
        <v>0</v>
      </c>
      <c r="Q106" s="183" t="s">
        <v>49</v>
      </c>
      <c r="R106" s="405" t="n">
        <v>45519</v>
      </c>
      <c r="S106" s="77"/>
      <c r="T106" s="385" t="n">
        <v>128.05</v>
      </c>
      <c r="V106" s="77"/>
      <c r="W106" s="77"/>
      <c r="X106" s="77"/>
      <c r="Y106" s="77"/>
      <c r="Z106" s="77"/>
      <c r="AA106" s="180" t="s">
        <v>50</v>
      </c>
      <c r="AB106" s="409" t="n">
        <v>10</v>
      </c>
      <c r="AC106" s="445" t="s">
        <v>3914</v>
      </c>
      <c r="AD106" s="385" t="n">
        <v>26.410005</v>
      </c>
      <c r="AE106" s="385" t="n">
        <v>73.540538</v>
      </c>
    </row>
    <row r="107" customFormat="false" ht="37.5" hidden="false" customHeight="false" outlineLevel="0" collapsed="false">
      <c r="A107" s="77"/>
      <c r="B107" s="77"/>
      <c r="C107" s="113"/>
      <c r="D107" s="171"/>
      <c r="E107" s="77"/>
      <c r="F107" s="77"/>
      <c r="G107" s="77"/>
      <c r="H107" s="77"/>
      <c r="I107" s="77"/>
      <c r="J107" s="77"/>
      <c r="K107" s="77"/>
      <c r="L107" s="19"/>
      <c r="M107" s="77"/>
      <c r="N107" s="19"/>
      <c r="O107" s="77"/>
      <c r="P107" s="443"/>
      <c r="Q107" s="446" t="s">
        <v>49</v>
      </c>
      <c r="R107" s="479"/>
      <c r="S107" s="77"/>
      <c r="T107" s="448"/>
      <c r="V107" s="77"/>
      <c r="W107" s="77"/>
      <c r="X107" s="77"/>
      <c r="Y107" s="77"/>
      <c r="Z107" s="77"/>
      <c r="AA107" s="448" t="s">
        <v>50</v>
      </c>
      <c r="AB107" s="449" t="n">
        <v>8</v>
      </c>
      <c r="AC107" s="450" t="s">
        <v>3915</v>
      </c>
      <c r="AD107" s="448" t="n">
        <v>26.420109</v>
      </c>
      <c r="AE107" s="448" t="n">
        <v>73.51287</v>
      </c>
    </row>
    <row r="108" customFormat="false" ht="37.5" hidden="false" customHeight="false" outlineLevel="0" collapsed="false">
      <c r="A108" s="77"/>
      <c r="B108" s="77"/>
      <c r="C108" s="113"/>
      <c r="D108" s="171"/>
      <c r="E108" s="77"/>
      <c r="F108" s="77"/>
      <c r="G108" s="77"/>
      <c r="H108" s="77"/>
      <c r="I108" s="77"/>
      <c r="J108" s="77"/>
      <c r="K108" s="77"/>
      <c r="L108" s="19"/>
      <c r="M108" s="77"/>
      <c r="N108" s="19"/>
      <c r="O108" s="77"/>
      <c r="P108" s="443"/>
      <c r="Q108" s="446" t="s">
        <v>49</v>
      </c>
      <c r="R108" s="447"/>
      <c r="S108" s="77"/>
      <c r="T108" s="448"/>
      <c r="V108" s="77"/>
      <c r="W108" s="77"/>
      <c r="X108" s="77"/>
      <c r="Y108" s="77"/>
      <c r="Z108" s="77"/>
      <c r="AA108" s="448" t="s">
        <v>50</v>
      </c>
      <c r="AB108" s="449" t="n">
        <v>12</v>
      </c>
      <c r="AC108" s="450" t="s">
        <v>3916</v>
      </c>
      <c r="AD108" s="448" t="n">
        <v>26.420144</v>
      </c>
      <c r="AE108" s="448" t="n">
        <v>73.519761</v>
      </c>
    </row>
    <row r="109" customFormat="false" ht="37.5" hidden="false" customHeight="false" outlineLevel="0" collapsed="false">
      <c r="A109" s="77"/>
      <c r="B109" s="77"/>
      <c r="C109" s="113"/>
      <c r="D109" s="171"/>
      <c r="E109" s="77"/>
      <c r="F109" s="77"/>
      <c r="G109" s="77"/>
      <c r="H109" s="77"/>
      <c r="I109" s="77"/>
      <c r="J109" s="77"/>
      <c r="K109" s="77"/>
      <c r="L109" s="19"/>
      <c r="M109" s="77"/>
      <c r="N109" s="19"/>
      <c r="O109" s="77"/>
      <c r="P109" s="443"/>
      <c r="Q109" s="446" t="s">
        <v>49</v>
      </c>
      <c r="R109" s="447"/>
      <c r="S109" s="77"/>
      <c r="T109" s="448"/>
      <c r="V109" s="77"/>
      <c r="W109" s="77"/>
      <c r="X109" s="77"/>
      <c r="Y109" s="77"/>
      <c r="Z109" s="77"/>
      <c r="AA109" s="448" t="s">
        <v>50</v>
      </c>
      <c r="AB109" s="449" t="n">
        <v>10</v>
      </c>
      <c r="AC109" s="450" t="s">
        <v>3917</v>
      </c>
      <c r="AD109" s="448" t="n">
        <v>26.430498</v>
      </c>
      <c r="AE109" s="448" t="n">
        <v>73.529543</v>
      </c>
    </row>
    <row r="110" customFormat="false" ht="18.75" hidden="false" customHeight="false" outlineLevel="0" collapsed="false">
      <c r="A110" s="77" t="s">
        <v>42</v>
      </c>
      <c r="B110" s="77" t="s">
        <v>3694</v>
      </c>
      <c r="C110" s="113" t="s">
        <v>3912</v>
      </c>
      <c r="D110" s="77" t="s">
        <v>3918</v>
      </c>
      <c r="E110" s="77" t="s">
        <v>3919</v>
      </c>
      <c r="F110" s="77" t="n">
        <v>482.2</v>
      </c>
      <c r="G110" s="77" t="n">
        <v>188</v>
      </c>
      <c r="H110" s="77" t="n">
        <v>973</v>
      </c>
      <c r="I110" s="77" t="n">
        <v>495</v>
      </c>
      <c r="J110" s="77" t="n">
        <v>478</v>
      </c>
      <c r="K110" s="77" t="n">
        <v>0</v>
      </c>
      <c r="L110" s="19" t="n">
        <f aca="false">(K110/H110)*100</f>
        <v>0</v>
      </c>
      <c r="M110" s="77" t="n">
        <v>0</v>
      </c>
      <c r="N110" s="19" t="n">
        <f aca="false">(M110/H110)*100</f>
        <v>0</v>
      </c>
      <c r="O110" s="77" t="n">
        <v>0</v>
      </c>
      <c r="P110" s="443" t="n">
        <v>0</v>
      </c>
      <c r="Q110" s="183" t="s">
        <v>49</v>
      </c>
      <c r="R110" s="405" t="n">
        <v>45519</v>
      </c>
      <c r="S110" s="77"/>
      <c r="T110" s="385" t="n">
        <v>0</v>
      </c>
      <c r="V110" s="77"/>
      <c r="W110" s="77"/>
      <c r="X110" s="77"/>
      <c r="Y110" s="77"/>
      <c r="Z110" s="77"/>
      <c r="AA110" s="180" t="s">
        <v>50</v>
      </c>
      <c r="AB110" s="409" t="n">
        <v>0</v>
      </c>
      <c r="AC110" s="445"/>
      <c r="AD110" s="385" t="n">
        <v>0</v>
      </c>
      <c r="AE110" s="385" t="n">
        <v>0</v>
      </c>
    </row>
    <row r="111" customFormat="false" ht="15.75" hidden="false" customHeight="false" outlineLevel="0" collapsed="false">
      <c r="A111" s="77" t="s">
        <v>42</v>
      </c>
      <c r="B111" s="77" t="s">
        <v>3694</v>
      </c>
      <c r="C111" s="113" t="s">
        <v>3920</v>
      </c>
      <c r="D111" s="171" t="s">
        <v>3920</v>
      </c>
      <c r="E111" s="77" t="s">
        <v>3921</v>
      </c>
      <c r="F111" s="77" t="n">
        <v>1018</v>
      </c>
      <c r="G111" s="77" t="n">
        <v>515</v>
      </c>
      <c r="H111" s="77" t="n">
        <v>2501</v>
      </c>
      <c r="I111" s="77" t="n">
        <v>1281</v>
      </c>
      <c r="J111" s="77" t="n">
        <v>1220</v>
      </c>
      <c r="K111" s="77" t="n">
        <v>493</v>
      </c>
      <c r="L111" s="19" t="n">
        <f aca="false">(K111/H111)*100</f>
        <v>19.7121151539384</v>
      </c>
      <c r="M111" s="77" t="n">
        <v>7</v>
      </c>
      <c r="N111" s="19" t="n">
        <f aca="false">(M111/H111)*100</f>
        <v>0.279888044782087</v>
      </c>
      <c r="O111" s="77" t="n">
        <v>24</v>
      </c>
      <c r="P111" s="443" t="n">
        <v>0</v>
      </c>
      <c r="S111" s="77"/>
      <c r="V111" s="77"/>
      <c r="W111" s="77"/>
      <c r="X111" s="77"/>
      <c r="Y111" s="77"/>
      <c r="Z111" s="77"/>
      <c r="AA111" s="202"/>
      <c r="AC111" s="444"/>
      <c r="AD111" s="349"/>
      <c r="AE111" s="349"/>
    </row>
    <row r="112" customFormat="false" ht="15.75" hidden="false" customHeight="false" outlineLevel="0" collapsed="false">
      <c r="A112" s="77" t="s">
        <v>42</v>
      </c>
      <c r="B112" s="77" t="s">
        <v>3694</v>
      </c>
      <c r="C112" s="113" t="s">
        <v>3920</v>
      </c>
      <c r="D112" s="77" t="s">
        <v>3922</v>
      </c>
      <c r="E112" s="77" t="s">
        <v>3923</v>
      </c>
      <c r="F112" s="77" t="n">
        <v>1443</v>
      </c>
      <c r="G112" s="77" t="n">
        <v>402</v>
      </c>
      <c r="H112" s="77" t="n">
        <v>2014</v>
      </c>
      <c r="I112" s="77" t="n">
        <v>1049</v>
      </c>
      <c r="J112" s="77" t="n">
        <v>965</v>
      </c>
      <c r="K112" s="77" t="n">
        <v>611</v>
      </c>
      <c r="L112" s="19" t="n">
        <f aca="false">(K112/H112)*100</f>
        <v>30.3376365441907</v>
      </c>
      <c r="M112" s="77" t="n">
        <v>0</v>
      </c>
      <c r="N112" s="19" t="n">
        <f aca="false">(M112/H112)*100</f>
        <v>0</v>
      </c>
      <c r="O112" s="77" t="n">
        <v>64</v>
      </c>
      <c r="P112" s="443" t="n">
        <v>0</v>
      </c>
      <c r="S112" s="77"/>
      <c r="V112" s="77"/>
      <c r="W112" s="77"/>
      <c r="X112" s="77"/>
      <c r="Y112" s="77"/>
      <c r="Z112" s="77"/>
      <c r="AA112" s="202"/>
      <c r="AC112" s="444"/>
      <c r="AD112" s="349"/>
      <c r="AE112" s="349"/>
    </row>
    <row r="113" customFormat="false" ht="37.5" hidden="false" customHeight="false" outlineLevel="0" collapsed="false">
      <c r="A113" s="77" t="s">
        <v>42</v>
      </c>
      <c r="B113" s="77" t="s">
        <v>3694</v>
      </c>
      <c r="C113" s="113" t="s">
        <v>3924</v>
      </c>
      <c r="D113" s="171" t="s">
        <v>3924</v>
      </c>
      <c r="E113" s="77" t="s">
        <v>3925</v>
      </c>
      <c r="F113" s="77" t="n">
        <v>1603</v>
      </c>
      <c r="G113" s="77" t="n">
        <v>308</v>
      </c>
      <c r="H113" s="77" t="n">
        <v>1563</v>
      </c>
      <c r="I113" s="77" t="n">
        <v>810</v>
      </c>
      <c r="J113" s="77" t="n">
        <v>753</v>
      </c>
      <c r="K113" s="77" t="n">
        <v>340</v>
      </c>
      <c r="L113" s="19" t="n">
        <f aca="false">(K113/H113)*100</f>
        <v>21.7530390275112</v>
      </c>
      <c r="M113" s="77" t="n">
        <v>0</v>
      </c>
      <c r="N113" s="19" t="n">
        <f aca="false">(M113/H113)*100</f>
        <v>0</v>
      </c>
      <c r="O113" s="77" t="n">
        <v>145</v>
      </c>
      <c r="P113" s="443" t="n">
        <v>0</v>
      </c>
      <c r="Q113" s="183" t="s">
        <v>49</v>
      </c>
      <c r="R113" s="405" t="n">
        <v>45519</v>
      </c>
      <c r="S113" s="77"/>
      <c r="T113" s="385"/>
      <c r="V113" s="77"/>
      <c r="W113" s="77"/>
      <c r="X113" s="77"/>
      <c r="Y113" s="77"/>
      <c r="Z113" s="77"/>
      <c r="AA113" s="180" t="s">
        <v>50</v>
      </c>
      <c r="AB113" s="409" t="n">
        <v>8</v>
      </c>
      <c r="AC113" s="471" t="s">
        <v>3926</v>
      </c>
      <c r="AD113" s="385" t="n">
        <v>26.410591</v>
      </c>
      <c r="AE113" s="385" t="n">
        <v>73.709886</v>
      </c>
    </row>
    <row r="114" customFormat="false" ht="37.5" hidden="false" customHeight="false" outlineLevel="0" collapsed="false">
      <c r="A114" s="77" t="s">
        <v>42</v>
      </c>
      <c r="B114" s="77" t="s">
        <v>3694</v>
      </c>
      <c r="C114" s="113" t="s">
        <v>3924</v>
      </c>
      <c r="D114" s="77" t="s">
        <v>3927</v>
      </c>
      <c r="E114" s="77" t="s">
        <v>3928</v>
      </c>
      <c r="F114" s="77" t="n">
        <v>1447</v>
      </c>
      <c r="G114" s="77" t="n">
        <v>209</v>
      </c>
      <c r="H114" s="77" t="n">
        <v>997</v>
      </c>
      <c r="I114" s="77" t="n">
        <v>507</v>
      </c>
      <c r="J114" s="77" t="n">
        <v>490</v>
      </c>
      <c r="K114" s="77" t="n">
        <v>94</v>
      </c>
      <c r="L114" s="19" t="n">
        <f aca="false">(K114/H114)*100</f>
        <v>9.42828485456369</v>
      </c>
      <c r="M114" s="77" t="n">
        <v>1</v>
      </c>
      <c r="N114" s="19" t="n">
        <f aca="false">(M114/H114)*100</f>
        <v>0.100300902708124</v>
      </c>
      <c r="O114" s="77" t="n">
        <v>39</v>
      </c>
      <c r="P114" s="443" t="n">
        <v>0</v>
      </c>
      <c r="Q114" s="183" t="s">
        <v>49</v>
      </c>
      <c r="R114" s="405" t="n">
        <v>45519</v>
      </c>
      <c r="S114" s="77"/>
      <c r="T114" s="386" t="n">
        <v>16.14</v>
      </c>
      <c r="V114" s="77"/>
      <c r="W114" s="77"/>
      <c r="X114" s="77"/>
      <c r="Y114" s="77"/>
      <c r="Z114" s="77"/>
      <c r="AA114" s="180" t="s">
        <v>50</v>
      </c>
      <c r="AB114" s="409" t="n">
        <v>10</v>
      </c>
      <c r="AC114" s="445" t="s">
        <v>3929</v>
      </c>
      <c r="AD114" s="385" t="n">
        <v>26.420014</v>
      </c>
      <c r="AE114" s="385" t="n">
        <v>73.729824</v>
      </c>
    </row>
    <row r="115" customFormat="false" ht="31.5" hidden="false" customHeight="false" outlineLevel="0" collapsed="false">
      <c r="A115" s="77" t="s">
        <v>42</v>
      </c>
      <c r="B115" s="77" t="s">
        <v>3694</v>
      </c>
      <c r="C115" s="113" t="s">
        <v>3930</v>
      </c>
      <c r="D115" s="171" t="s">
        <v>3931</v>
      </c>
      <c r="E115" s="77" t="s">
        <v>3932</v>
      </c>
      <c r="F115" s="77" t="n">
        <v>2254</v>
      </c>
      <c r="G115" s="77" t="n">
        <v>745</v>
      </c>
      <c r="H115" s="77" t="n">
        <v>4066</v>
      </c>
      <c r="I115" s="77" t="n">
        <v>2109</v>
      </c>
      <c r="J115" s="77" t="n">
        <v>1957</v>
      </c>
      <c r="K115" s="77" t="n">
        <v>832</v>
      </c>
      <c r="L115" s="19" t="n">
        <f aca="false">(K115/H115)*100</f>
        <v>20.4623708804722</v>
      </c>
      <c r="M115" s="77" t="n">
        <v>41</v>
      </c>
      <c r="N115" s="19" t="n">
        <f aca="false">(M115/H115)*100</f>
        <v>1.00836202656173</v>
      </c>
      <c r="O115" s="77" t="n">
        <v>142</v>
      </c>
      <c r="P115" s="443" t="n">
        <v>0</v>
      </c>
      <c r="Q115" s="145" t="s">
        <v>49</v>
      </c>
      <c r="R115" s="451" t="n">
        <v>44630</v>
      </c>
      <c r="S115" s="77"/>
      <c r="T115" s="145" t="n">
        <v>50.4089</v>
      </c>
      <c r="V115" s="77"/>
      <c r="W115" s="77"/>
      <c r="X115" s="77"/>
      <c r="Y115" s="77"/>
      <c r="Z115" s="77"/>
      <c r="AA115" s="147" t="s">
        <v>266</v>
      </c>
      <c r="AB115" s="147" t="n">
        <v>2</v>
      </c>
      <c r="AC115" s="472" t="s">
        <v>3933</v>
      </c>
      <c r="AD115" s="145" t="n">
        <v>26.285022</v>
      </c>
      <c r="AE115" s="145" t="n">
        <v>73.591877</v>
      </c>
    </row>
    <row r="116" customFormat="false" ht="17.25" hidden="false" customHeight="false" outlineLevel="0" collapsed="false">
      <c r="A116" s="77"/>
      <c r="B116" s="77"/>
      <c r="C116" s="113"/>
      <c r="D116" s="171"/>
      <c r="E116" s="77"/>
      <c r="F116" s="77"/>
      <c r="G116" s="77"/>
      <c r="H116" s="77"/>
      <c r="I116" s="77"/>
      <c r="J116" s="77"/>
      <c r="K116" s="77"/>
      <c r="L116" s="19"/>
      <c r="M116" s="77"/>
      <c r="N116" s="77"/>
      <c r="O116" s="77"/>
      <c r="P116" s="443"/>
      <c r="Q116" s="453"/>
      <c r="R116" s="454" t="n">
        <v>44837</v>
      </c>
      <c r="S116" s="77"/>
      <c r="T116" s="453" t="n">
        <v>50.4</v>
      </c>
      <c r="V116" s="77"/>
      <c r="W116" s="77"/>
      <c r="X116" s="77"/>
      <c r="Y116" s="77"/>
      <c r="Z116" s="77"/>
      <c r="AA116" s="174" t="s">
        <v>50</v>
      </c>
      <c r="AB116" s="455" t="n">
        <v>15</v>
      </c>
      <c r="AC116" s="456" t="s">
        <v>3934</v>
      </c>
      <c r="AD116" s="453" t="n">
        <v>26.285022</v>
      </c>
      <c r="AE116" s="453" t="n">
        <v>73.591877</v>
      </c>
    </row>
    <row r="117" customFormat="false" ht="34.5" hidden="false" customHeight="false" outlineLevel="0" collapsed="false">
      <c r="A117" s="77"/>
      <c r="B117" s="77"/>
      <c r="C117" s="113"/>
      <c r="D117" s="171"/>
      <c r="E117" s="77"/>
      <c r="F117" s="77"/>
      <c r="G117" s="77"/>
      <c r="H117" s="77"/>
      <c r="I117" s="77"/>
      <c r="J117" s="77"/>
      <c r="K117" s="77"/>
      <c r="L117" s="19"/>
      <c r="M117" s="77"/>
      <c r="N117" s="77"/>
      <c r="O117" s="77"/>
      <c r="P117" s="443"/>
      <c r="Q117" s="453"/>
      <c r="R117" s="453"/>
      <c r="S117" s="77"/>
      <c r="T117" s="453"/>
      <c r="V117" s="77"/>
      <c r="W117" s="77"/>
      <c r="X117" s="77"/>
      <c r="Y117" s="77"/>
      <c r="Z117" s="77"/>
      <c r="AA117" s="174" t="s">
        <v>50</v>
      </c>
      <c r="AB117" s="455" t="n">
        <v>12</v>
      </c>
      <c r="AC117" s="456" t="s">
        <v>3935</v>
      </c>
      <c r="AD117" s="453" t="n">
        <v>26.285027</v>
      </c>
      <c r="AE117" s="453" t="n">
        <v>73.591872</v>
      </c>
    </row>
    <row r="118" customFormat="false" ht="15.75" hidden="false" customHeight="false" outlineLevel="0" collapsed="false">
      <c r="A118" s="77" t="s">
        <v>42</v>
      </c>
      <c r="B118" s="77" t="s">
        <v>3694</v>
      </c>
      <c r="C118" s="77"/>
      <c r="D118" s="77" t="s">
        <v>3936</v>
      </c>
      <c r="E118" s="77" t="s">
        <v>3937</v>
      </c>
      <c r="F118" s="77" t="n">
        <v>0</v>
      </c>
      <c r="G118" s="77" t="n">
        <v>0</v>
      </c>
      <c r="H118" s="77" t="n">
        <v>0</v>
      </c>
      <c r="I118" s="77" t="n">
        <v>0</v>
      </c>
      <c r="J118" s="77" t="n">
        <v>0</v>
      </c>
      <c r="K118" s="77" t="n">
        <v>0</v>
      </c>
      <c r="L118" s="19" t="n">
        <v>0</v>
      </c>
      <c r="M118" s="77" t="n">
        <v>0</v>
      </c>
      <c r="N118" s="77" t="n">
        <v>0</v>
      </c>
      <c r="O118" s="77" t="n">
        <v>0</v>
      </c>
      <c r="P118" s="443" t="n">
        <v>0</v>
      </c>
      <c r="S118" s="77"/>
      <c r="V118" s="77"/>
      <c r="W118" s="77"/>
      <c r="X118" s="77"/>
      <c r="Y118" s="77"/>
      <c r="Z118" s="77"/>
      <c r="AA118" s="202"/>
      <c r="AC118" s="444"/>
      <c r="AD118" s="349"/>
      <c r="AE118" s="349"/>
    </row>
    <row r="119" customFormat="false" ht="15" hidden="false" customHeight="false" outlineLevel="0" collapsed="false">
      <c r="F119" s="0" t="n">
        <f aca="false">SUM(F4:F118)</f>
        <v>114022.46</v>
      </c>
      <c r="G119" s="0" t="n">
        <f aca="false">SUM(G4:G118)</f>
        <v>32034</v>
      </c>
      <c r="H119" s="0" t="n">
        <f aca="false">SUM(H4:H118)</f>
        <v>164715</v>
      </c>
      <c r="I119" s="0" t="n">
        <f aca="false">SUM(I4:I118)</f>
        <v>84801</v>
      </c>
      <c r="J119" s="0" t="n">
        <f aca="false">SUM(J4:J118)</f>
        <v>79914</v>
      </c>
      <c r="K119" s="0" t="n">
        <f aca="false">SUM(K4:K118)</f>
        <v>34882</v>
      </c>
      <c r="M119" s="0" t="n">
        <f aca="false">SUM(M4:M118)</f>
        <v>2063</v>
      </c>
      <c r="O119" s="0" t="n">
        <f aca="false">SUM(O4:O118)</f>
        <v>4805.73</v>
      </c>
      <c r="P119" s="0" t="n">
        <f aca="false">SUM(P4:P118)</f>
        <v>67</v>
      </c>
      <c r="Z119" s="483"/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20"/>
  </conditionalFormatting>
  <hyperlinks>
    <hyperlink ref="AC104" r:id="rId1" display="गंवाई तालाब सौन्‍दीकरण व पौधारोपण कार्य सिलारी"/>
    <hyperlink ref="AC105" r:id="rId2" display="रूडाई नाडी में घाट सुरक्षा दिवार और खुदाई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E1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V3" activePane="bottomRight" state="frozen"/>
      <selection pane="topLeft" activeCell="A1" activeCellId="0" sqref="A1"/>
      <selection pane="topRight" activeCell="V1" activeCellId="0" sqref="V1"/>
      <selection pane="bottomLeft" activeCell="A3" activeCellId="0" sqref="A3"/>
      <selection pane="bottomRight" activeCell="T1" activeCellId="0" sqref="T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2.85"/>
    <col collapsed="false" customWidth="true" hidden="false" outlineLevel="0" max="3" min="3" style="0" width="20.85"/>
    <col collapsed="false" customWidth="true" hidden="false" outlineLevel="0" max="4" min="4" style="0" width="21.57"/>
    <col collapsed="false" customWidth="true" hidden="false" outlineLevel="0" max="14" min="5" style="0" width="9.14"/>
    <col collapsed="false" customWidth="true" hidden="false" outlineLevel="0" max="15" min="15" style="0" width="13.28"/>
    <col collapsed="false" customWidth="true" hidden="false" outlineLevel="0" max="16" min="16" style="0" width="11.14"/>
    <col collapsed="false" customWidth="true" hidden="false" outlineLevel="0" max="17" min="17" style="484" width="16.14"/>
    <col collapsed="false" customWidth="true" hidden="false" outlineLevel="0" max="18" min="18" style="0" width="13.71"/>
    <col collapsed="false" customWidth="true" hidden="false" outlineLevel="0" max="19" min="19" style="0" width="15"/>
    <col collapsed="false" customWidth="true" hidden="false" outlineLevel="0" max="20" min="20" style="484" width="15"/>
    <col collapsed="false" customWidth="true" hidden="false" outlineLevel="0" max="28" min="21" style="0" width="15"/>
    <col collapsed="false" customWidth="true" hidden="false" outlineLevel="0" max="29" min="29" style="0" width="28.86"/>
    <col collapsed="false" customWidth="true" hidden="false" outlineLevel="0" max="31" min="31" style="0" width="11.43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" t="s">
        <v>3</v>
      </c>
      <c r="AE1" s="5" t="s">
        <v>3</v>
      </c>
    </row>
    <row r="2" s="442" customFormat="true" ht="110.25" hidden="false" customHeight="true" outlineLevel="0" collapsed="false">
      <c r="A2" s="165" t="s">
        <v>4</v>
      </c>
      <c r="B2" s="165" t="s">
        <v>5</v>
      </c>
      <c r="C2" s="165" t="s">
        <v>6</v>
      </c>
      <c r="D2" s="165" t="s">
        <v>7</v>
      </c>
      <c r="E2" s="165" t="s">
        <v>8</v>
      </c>
      <c r="F2" s="165" t="s">
        <v>9</v>
      </c>
      <c r="G2" s="165" t="s">
        <v>10</v>
      </c>
      <c r="H2" s="165" t="s">
        <v>11</v>
      </c>
      <c r="I2" s="165" t="s">
        <v>12</v>
      </c>
      <c r="J2" s="165" t="s">
        <v>13</v>
      </c>
      <c r="K2" s="441" t="s">
        <v>14</v>
      </c>
      <c r="L2" s="441"/>
      <c r="M2" s="441" t="s">
        <v>15</v>
      </c>
      <c r="N2" s="441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11" t="s">
        <v>31</v>
      </c>
      <c r="AE2" s="11"/>
    </row>
    <row r="3" s="442" customFormat="true" ht="15.75" hidden="false" customHeight="false" outlineLevel="0" collapsed="false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11" t="s">
        <v>40</v>
      </c>
      <c r="AE3" s="11" t="s">
        <v>41</v>
      </c>
    </row>
    <row r="4" customFormat="false" ht="15.75" hidden="false" customHeight="false" outlineLevel="0" collapsed="false">
      <c r="A4" s="77" t="s">
        <v>42</v>
      </c>
      <c r="B4" s="77" t="s">
        <v>3938</v>
      </c>
      <c r="C4" s="113" t="s">
        <v>546</v>
      </c>
      <c r="D4" s="77" t="s">
        <v>3939</v>
      </c>
      <c r="E4" s="77" t="s">
        <v>3940</v>
      </c>
      <c r="F4" s="77" t="n">
        <v>7111</v>
      </c>
      <c r="G4" s="77" t="n">
        <v>598</v>
      </c>
      <c r="H4" s="77" t="n">
        <v>3752</v>
      </c>
      <c r="I4" s="77" t="n">
        <v>1998</v>
      </c>
      <c r="J4" s="77" t="n">
        <v>1754</v>
      </c>
      <c r="K4" s="77" t="n">
        <v>587</v>
      </c>
      <c r="L4" s="19" t="n">
        <f aca="false">(K4/H4)*100</f>
        <v>15.6449893390192</v>
      </c>
      <c r="M4" s="77" t="n">
        <v>407</v>
      </c>
      <c r="N4" s="19" t="n">
        <f aca="false">(M4/H4)*100</f>
        <v>10.8475479744136</v>
      </c>
      <c r="O4" s="77" t="n">
        <v>243</v>
      </c>
      <c r="P4" s="77" t="n">
        <v>390</v>
      </c>
      <c r="Q4" s="202"/>
      <c r="R4" s="349"/>
      <c r="S4" s="77"/>
      <c r="T4" s="202" t="n">
        <v>0</v>
      </c>
      <c r="U4" s="77"/>
      <c r="V4" s="77"/>
      <c r="W4" s="77"/>
      <c r="X4" s="77"/>
      <c r="Y4" s="77"/>
      <c r="Z4" s="77"/>
      <c r="AA4" s="349"/>
      <c r="AB4" s="349"/>
      <c r="AC4" s="349"/>
      <c r="AD4" s="349"/>
      <c r="AE4" s="349"/>
    </row>
    <row r="5" customFormat="false" ht="15.75" hidden="false" customHeight="false" outlineLevel="0" collapsed="false">
      <c r="A5" s="77" t="s">
        <v>42</v>
      </c>
      <c r="B5" s="77" t="s">
        <v>3938</v>
      </c>
      <c r="C5" s="113" t="s">
        <v>3941</v>
      </c>
      <c r="D5" s="171" t="s">
        <v>3942</v>
      </c>
      <c r="E5" s="77" t="s">
        <v>3943</v>
      </c>
      <c r="F5" s="77" t="n">
        <v>1722</v>
      </c>
      <c r="G5" s="77" t="n">
        <v>299</v>
      </c>
      <c r="H5" s="77" t="n">
        <v>1835</v>
      </c>
      <c r="I5" s="77" t="n">
        <v>939</v>
      </c>
      <c r="J5" s="77" t="n">
        <v>896</v>
      </c>
      <c r="K5" s="77" t="n">
        <v>496</v>
      </c>
      <c r="L5" s="19" t="n">
        <f aca="false">(K5/H5)*100</f>
        <v>27.0299727520436</v>
      </c>
      <c r="M5" s="77" t="n">
        <v>50</v>
      </c>
      <c r="N5" s="19" t="n">
        <f aca="false">(M5/H5)*100</f>
        <v>2.72479564032698</v>
      </c>
      <c r="O5" s="77" t="n">
        <v>225</v>
      </c>
      <c r="P5" s="77" t="n">
        <v>0</v>
      </c>
      <c r="Q5" s="202" t="s">
        <v>49</v>
      </c>
      <c r="R5" s="350" t="n">
        <v>44836</v>
      </c>
      <c r="S5" s="77"/>
      <c r="T5" s="202" t="n">
        <v>0</v>
      </c>
      <c r="U5" s="77"/>
      <c r="V5" s="77"/>
      <c r="W5" s="77"/>
      <c r="X5" s="77"/>
      <c r="Y5" s="77"/>
      <c r="Z5" s="77"/>
      <c r="AA5" s="202" t="s">
        <v>50</v>
      </c>
      <c r="AB5" s="202" t="n">
        <v>10</v>
      </c>
      <c r="AC5" s="485" t="s">
        <v>3944</v>
      </c>
      <c r="AD5" s="349"/>
      <c r="AE5" s="349"/>
    </row>
    <row r="6" customFormat="false" ht="15.75" hidden="false" customHeight="false" outlineLevel="0" collapsed="false">
      <c r="A6" s="77"/>
      <c r="B6" s="77"/>
      <c r="C6" s="113"/>
      <c r="D6" s="171"/>
      <c r="E6" s="77"/>
      <c r="F6" s="77"/>
      <c r="G6" s="77"/>
      <c r="H6" s="77"/>
      <c r="I6" s="77"/>
      <c r="J6" s="77"/>
      <c r="K6" s="77"/>
      <c r="L6" s="19"/>
      <c r="M6" s="77"/>
      <c r="N6" s="19"/>
      <c r="O6" s="77"/>
      <c r="P6" s="77"/>
      <c r="Q6" s="486"/>
      <c r="R6" s="487"/>
      <c r="S6" s="77"/>
      <c r="T6" s="202" t="n">
        <v>0</v>
      </c>
      <c r="U6" s="77"/>
      <c r="V6" s="77"/>
      <c r="W6" s="77"/>
      <c r="X6" s="77"/>
      <c r="Y6" s="77"/>
      <c r="Z6" s="77"/>
      <c r="AA6" s="486" t="s">
        <v>50</v>
      </c>
      <c r="AB6" s="486" t="n">
        <v>15</v>
      </c>
      <c r="AC6" s="488" t="s">
        <v>3945</v>
      </c>
      <c r="AD6" s="487"/>
      <c r="AE6" s="487"/>
    </row>
    <row r="7" customFormat="false" ht="15.75" hidden="false" customHeight="false" outlineLevel="0" collapsed="false">
      <c r="A7" s="77" t="s">
        <v>42</v>
      </c>
      <c r="B7" s="77" t="s">
        <v>3938</v>
      </c>
      <c r="C7" s="113" t="s">
        <v>3941</v>
      </c>
      <c r="D7" s="77" t="s">
        <v>3946</v>
      </c>
      <c r="E7" s="77" t="s">
        <v>3947</v>
      </c>
      <c r="F7" s="77" t="n">
        <v>492</v>
      </c>
      <c r="G7" s="77" t="n">
        <v>50</v>
      </c>
      <c r="H7" s="77" t="n">
        <v>277</v>
      </c>
      <c r="I7" s="77" t="n">
        <v>140</v>
      </c>
      <c r="J7" s="77" t="n">
        <v>137</v>
      </c>
      <c r="K7" s="77" t="n">
        <v>17</v>
      </c>
      <c r="L7" s="19" t="n">
        <f aca="false">(K7/H7)*100</f>
        <v>6.13718411552347</v>
      </c>
      <c r="M7" s="77" t="n">
        <v>0</v>
      </c>
      <c r="N7" s="19" t="n">
        <f aca="false">(M7/H7)*100</f>
        <v>0</v>
      </c>
      <c r="O7" s="77" t="n">
        <v>110</v>
      </c>
      <c r="P7" s="77" t="n">
        <v>0</v>
      </c>
      <c r="Q7" s="202" t="s">
        <v>49</v>
      </c>
      <c r="R7" s="350" t="n">
        <v>44836</v>
      </c>
      <c r="S7" s="77"/>
      <c r="T7" s="202" t="n">
        <v>0</v>
      </c>
      <c r="U7" s="77"/>
      <c r="V7" s="77"/>
      <c r="W7" s="77"/>
      <c r="X7" s="77"/>
      <c r="Y7" s="77"/>
      <c r="Z7" s="77"/>
      <c r="AA7" s="202" t="s">
        <v>50</v>
      </c>
      <c r="AB7" s="202" t="n">
        <v>10</v>
      </c>
      <c r="AC7" s="485" t="s">
        <v>3948</v>
      </c>
      <c r="AD7" s="349"/>
      <c r="AE7" s="349"/>
    </row>
    <row r="8" customFormat="false" ht="15.75" hidden="false" customHeight="false" outlineLevel="0" collapsed="false">
      <c r="A8" s="77" t="s">
        <v>42</v>
      </c>
      <c r="B8" s="77" t="s">
        <v>3938</v>
      </c>
      <c r="C8" s="113" t="s">
        <v>3941</v>
      </c>
      <c r="D8" s="77" t="s">
        <v>3949</v>
      </c>
      <c r="E8" s="77" t="s">
        <v>3950</v>
      </c>
      <c r="F8" s="77" t="n">
        <v>573</v>
      </c>
      <c r="G8" s="77" t="n">
        <v>44</v>
      </c>
      <c r="H8" s="77" t="n">
        <v>299</v>
      </c>
      <c r="I8" s="77" t="n">
        <v>159</v>
      </c>
      <c r="J8" s="77" t="n">
        <v>140</v>
      </c>
      <c r="K8" s="77" t="n">
        <v>82</v>
      </c>
      <c r="L8" s="19" t="n">
        <f aca="false">(K8/H8)*100</f>
        <v>27.4247491638796</v>
      </c>
      <c r="M8" s="77" t="n">
        <v>0</v>
      </c>
      <c r="N8" s="19" t="n">
        <f aca="false">(M8/H8)*100</f>
        <v>0</v>
      </c>
      <c r="O8" s="77" t="n">
        <v>42</v>
      </c>
      <c r="P8" s="77" t="n">
        <v>0</v>
      </c>
      <c r="Q8" s="202" t="s">
        <v>49</v>
      </c>
      <c r="R8" s="350" t="n">
        <v>44836</v>
      </c>
      <c r="S8" s="77"/>
      <c r="T8" s="202" t="n">
        <v>0</v>
      </c>
      <c r="U8" s="77"/>
      <c r="V8" s="77"/>
      <c r="W8" s="77"/>
      <c r="X8" s="77"/>
      <c r="Y8" s="77"/>
      <c r="Z8" s="77"/>
      <c r="AA8" s="202" t="s">
        <v>50</v>
      </c>
      <c r="AB8" s="202" t="n">
        <v>0</v>
      </c>
      <c r="AC8" s="489"/>
      <c r="AD8" s="349"/>
      <c r="AE8" s="349"/>
    </row>
    <row r="9" customFormat="false" ht="15.75" hidden="false" customHeight="false" outlineLevel="0" collapsed="false">
      <c r="A9" s="77" t="s">
        <v>42</v>
      </c>
      <c r="B9" s="77" t="s">
        <v>3938</v>
      </c>
      <c r="C9" s="113" t="s">
        <v>3941</v>
      </c>
      <c r="D9" s="77" t="s">
        <v>3951</v>
      </c>
      <c r="E9" s="77" t="s">
        <v>3952</v>
      </c>
      <c r="F9" s="77" t="n">
        <v>901.33</v>
      </c>
      <c r="G9" s="77" t="n">
        <v>84</v>
      </c>
      <c r="H9" s="77" t="n">
        <v>635</v>
      </c>
      <c r="I9" s="77" t="n">
        <v>329</v>
      </c>
      <c r="J9" s="77" t="n">
        <v>306</v>
      </c>
      <c r="K9" s="77" t="n">
        <v>76</v>
      </c>
      <c r="L9" s="19" t="n">
        <f aca="false">(K9/H9)*100</f>
        <v>11.9685039370079</v>
      </c>
      <c r="M9" s="77" t="n">
        <v>44</v>
      </c>
      <c r="N9" s="19" t="n">
        <f aca="false">(M9/H9)*100</f>
        <v>6.92913385826772</v>
      </c>
      <c r="O9" s="77" t="n">
        <v>10.6</v>
      </c>
      <c r="P9" s="77" t="n">
        <v>0</v>
      </c>
      <c r="Q9" s="202" t="s">
        <v>49</v>
      </c>
      <c r="R9" s="350" t="n">
        <v>44836</v>
      </c>
      <c r="S9" s="77"/>
      <c r="T9" s="202" t="n">
        <v>0</v>
      </c>
      <c r="U9" s="77"/>
      <c r="V9" s="77"/>
      <c r="W9" s="77"/>
      <c r="X9" s="77"/>
      <c r="Y9" s="77"/>
      <c r="Z9" s="77"/>
      <c r="AA9" s="202" t="s">
        <v>50</v>
      </c>
      <c r="AB9" s="202" t="n">
        <v>0</v>
      </c>
      <c r="AC9" s="489"/>
      <c r="AD9" s="349"/>
      <c r="AE9" s="349"/>
    </row>
    <row r="10" customFormat="false" ht="15.75" hidden="false" customHeight="false" outlineLevel="0" collapsed="false">
      <c r="A10" s="77" t="s">
        <v>42</v>
      </c>
      <c r="B10" s="77" t="s">
        <v>3938</v>
      </c>
      <c r="C10" s="113" t="s">
        <v>3941</v>
      </c>
      <c r="D10" s="77" t="s">
        <v>3953</v>
      </c>
      <c r="E10" s="77" t="s">
        <v>3954</v>
      </c>
      <c r="F10" s="77" t="n">
        <v>487</v>
      </c>
      <c r="G10" s="77" t="n">
        <v>62</v>
      </c>
      <c r="H10" s="77" t="n">
        <v>345</v>
      </c>
      <c r="I10" s="77" t="n">
        <v>174</v>
      </c>
      <c r="J10" s="77" t="n">
        <v>171</v>
      </c>
      <c r="K10" s="77" t="n">
        <v>0</v>
      </c>
      <c r="L10" s="19" t="n">
        <f aca="false">(K10/H10)*100</f>
        <v>0</v>
      </c>
      <c r="M10" s="77" t="n">
        <v>2</v>
      </c>
      <c r="N10" s="19" t="n">
        <f aca="false">(M10/H10)*100</f>
        <v>0.579710144927536</v>
      </c>
      <c r="O10" s="77" t="n">
        <v>10</v>
      </c>
      <c r="P10" s="77" t="n">
        <v>0</v>
      </c>
      <c r="Q10" s="202" t="s">
        <v>49</v>
      </c>
      <c r="R10" s="350" t="n">
        <v>44836</v>
      </c>
      <c r="S10" s="77"/>
      <c r="T10" s="202" t="n">
        <v>0</v>
      </c>
      <c r="U10" s="77"/>
      <c r="V10" s="77"/>
      <c r="W10" s="77"/>
      <c r="X10" s="77"/>
      <c r="Y10" s="77"/>
      <c r="Z10" s="77"/>
      <c r="AA10" s="202" t="s">
        <v>50</v>
      </c>
      <c r="AB10" s="202" t="n">
        <v>0</v>
      </c>
      <c r="AC10" s="489"/>
      <c r="AD10" s="349"/>
      <c r="AE10" s="349"/>
    </row>
    <row r="11" customFormat="false" ht="15.75" hidden="false" customHeight="false" outlineLevel="0" collapsed="false">
      <c r="A11" s="77" t="s">
        <v>42</v>
      </c>
      <c r="B11" s="77" t="s">
        <v>3938</v>
      </c>
      <c r="C11" s="113" t="s">
        <v>3955</v>
      </c>
      <c r="D11" s="171" t="s">
        <v>3955</v>
      </c>
      <c r="E11" s="77" t="s">
        <v>3956</v>
      </c>
      <c r="F11" s="77" t="n">
        <v>759</v>
      </c>
      <c r="G11" s="77" t="n">
        <v>84</v>
      </c>
      <c r="H11" s="77" t="n">
        <v>606</v>
      </c>
      <c r="I11" s="77" t="n">
        <v>314</v>
      </c>
      <c r="J11" s="77" t="n">
        <v>292</v>
      </c>
      <c r="K11" s="77" t="n">
        <v>58</v>
      </c>
      <c r="L11" s="19" t="n">
        <f aca="false">(K11/H11)*100</f>
        <v>9.57095709570957</v>
      </c>
      <c r="M11" s="77" t="n">
        <v>5</v>
      </c>
      <c r="N11" s="19" t="n">
        <f aca="false">(M11/H11)*100</f>
        <v>0.825082508250825</v>
      </c>
      <c r="O11" s="77" t="n">
        <v>0</v>
      </c>
      <c r="P11" s="77" t="n">
        <v>0</v>
      </c>
      <c r="Q11" s="202"/>
      <c r="R11" s="349"/>
      <c r="S11" s="77"/>
      <c r="T11" s="202" t="n">
        <v>0</v>
      </c>
      <c r="U11" s="77"/>
      <c r="V11" s="77"/>
      <c r="W11" s="77"/>
      <c r="X11" s="77"/>
      <c r="Y11" s="77"/>
      <c r="Z11" s="77"/>
      <c r="AA11" s="349"/>
      <c r="AB11" s="349"/>
      <c r="AC11" s="349"/>
      <c r="AD11" s="349"/>
      <c r="AE11" s="349"/>
    </row>
    <row r="12" customFormat="false" ht="15.75" hidden="false" customHeight="false" outlineLevel="0" collapsed="false">
      <c r="A12" s="77" t="s">
        <v>42</v>
      </c>
      <c r="B12" s="77" t="s">
        <v>3938</v>
      </c>
      <c r="C12" s="113" t="s">
        <v>3955</v>
      </c>
      <c r="D12" s="77" t="s">
        <v>2720</v>
      </c>
      <c r="E12" s="77" t="s">
        <v>3957</v>
      </c>
      <c r="F12" s="77" t="n">
        <v>838</v>
      </c>
      <c r="G12" s="77" t="n">
        <v>60</v>
      </c>
      <c r="H12" s="77" t="n">
        <v>379</v>
      </c>
      <c r="I12" s="77" t="n">
        <v>198</v>
      </c>
      <c r="J12" s="77" t="n">
        <v>181</v>
      </c>
      <c r="K12" s="77" t="n">
        <v>265</v>
      </c>
      <c r="L12" s="19" t="n">
        <f aca="false">(K12/H12)*100</f>
        <v>69.9208443271768</v>
      </c>
      <c r="M12" s="77" t="n">
        <v>0</v>
      </c>
      <c r="N12" s="19" t="n">
        <f aca="false">(M12/H12)*100</f>
        <v>0</v>
      </c>
      <c r="O12" s="77" t="n">
        <v>21</v>
      </c>
      <c r="P12" s="77" t="n">
        <v>0</v>
      </c>
      <c r="Q12" s="202"/>
      <c r="R12" s="349"/>
      <c r="S12" s="77"/>
      <c r="T12" s="202" t="n">
        <v>0</v>
      </c>
      <c r="U12" s="77"/>
      <c r="V12" s="77"/>
      <c r="W12" s="77"/>
      <c r="X12" s="77"/>
      <c r="Y12" s="77"/>
      <c r="Z12" s="77"/>
      <c r="AA12" s="349"/>
      <c r="AB12" s="349"/>
      <c r="AC12" s="349"/>
      <c r="AD12" s="349"/>
      <c r="AE12" s="349"/>
    </row>
    <row r="13" customFormat="false" ht="15.75" hidden="false" customHeight="false" outlineLevel="0" collapsed="false">
      <c r="A13" s="77" t="s">
        <v>42</v>
      </c>
      <c r="B13" s="77" t="s">
        <v>3938</v>
      </c>
      <c r="C13" s="113" t="s">
        <v>3955</v>
      </c>
      <c r="D13" s="77" t="s">
        <v>242</v>
      </c>
      <c r="E13" s="77" t="s">
        <v>3958</v>
      </c>
      <c r="F13" s="77" t="n">
        <v>682</v>
      </c>
      <c r="G13" s="77" t="n">
        <v>51</v>
      </c>
      <c r="H13" s="77" t="n">
        <v>434</v>
      </c>
      <c r="I13" s="77" t="n">
        <v>215</v>
      </c>
      <c r="J13" s="77" t="n">
        <v>219</v>
      </c>
      <c r="K13" s="77" t="n">
        <v>1</v>
      </c>
      <c r="L13" s="19" t="n">
        <f aca="false">(K13/H13)*100</f>
        <v>0.230414746543779</v>
      </c>
      <c r="M13" s="77" t="n">
        <v>97</v>
      </c>
      <c r="N13" s="19" t="n">
        <f aca="false">(M13/H13)*100</f>
        <v>22.3502304147465</v>
      </c>
      <c r="O13" s="77" t="n">
        <v>0</v>
      </c>
      <c r="P13" s="77" t="n">
        <v>0</v>
      </c>
      <c r="Q13" s="202"/>
      <c r="R13" s="349"/>
      <c r="S13" s="77"/>
      <c r="T13" s="202" t="n">
        <v>0</v>
      </c>
      <c r="U13" s="77"/>
      <c r="V13" s="77"/>
      <c r="W13" s="77"/>
      <c r="X13" s="77"/>
      <c r="Y13" s="77"/>
      <c r="Z13" s="77"/>
      <c r="AA13" s="349"/>
      <c r="AB13" s="349"/>
      <c r="AC13" s="349"/>
      <c r="AD13" s="349"/>
      <c r="AE13" s="349"/>
    </row>
    <row r="14" customFormat="false" ht="15.75" hidden="false" customHeight="false" outlineLevel="0" collapsed="false">
      <c r="A14" s="77" t="s">
        <v>42</v>
      </c>
      <c r="B14" s="77" t="s">
        <v>3938</v>
      </c>
      <c r="C14" s="113" t="s">
        <v>3955</v>
      </c>
      <c r="D14" s="77" t="s">
        <v>3959</v>
      </c>
      <c r="E14" s="77" t="s">
        <v>3960</v>
      </c>
      <c r="F14" s="77" t="n">
        <v>692</v>
      </c>
      <c r="G14" s="77" t="n">
        <v>32</v>
      </c>
      <c r="H14" s="77" t="n">
        <v>308</v>
      </c>
      <c r="I14" s="77" t="n">
        <v>184</v>
      </c>
      <c r="J14" s="77" t="n">
        <v>124</v>
      </c>
      <c r="K14" s="77" t="n">
        <v>32</v>
      </c>
      <c r="L14" s="19" t="n">
        <f aca="false">(K14/H14)*100</f>
        <v>10.3896103896104</v>
      </c>
      <c r="M14" s="77" t="n">
        <v>0</v>
      </c>
      <c r="N14" s="19" t="n">
        <f aca="false">(M14/H14)*100</f>
        <v>0</v>
      </c>
      <c r="O14" s="77" t="n">
        <v>0</v>
      </c>
      <c r="P14" s="77" t="n">
        <v>0</v>
      </c>
      <c r="Q14" s="202"/>
      <c r="R14" s="349"/>
      <c r="S14" s="77"/>
      <c r="T14" s="202" t="n">
        <v>0</v>
      </c>
      <c r="U14" s="77"/>
      <c r="V14" s="77"/>
      <c r="W14" s="77"/>
      <c r="X14" s="77"/>
      <c r="Y14" s="77"/>
      <c r="Z14" s="77"/>
      <c r="AA14" s="349"/>
      <c r="AB14" s="349"/>
      <c r="AC14" s="349"/>
      <c r="AD14" s="349"/>
      <c r="AE14" s="349"/>
    </row>
    <row r="15" customFormat="false" ht="15.75" hidden="false" customHeight="false" outlineLevel="0" collapsed="false">
      <c r="A15" s="77" t="s">
        <v>42</v>
      </c>
      <c r="B15" s="77" t="s">
        <v>3938</v>
      </c>
      <c r="C15" s="113" t="s">
        <v>3961</v>
      </c>
      <c r="D15" s="171" t="s">
        <v>3962</v>
      </c>
      <c r="E15" s="77" t="s">
        <v>3963</v>
      </c>
      <c r="F15" s="77" t="n">
        <v>2074</v>
      </c>
      <c r="G15" s="77" t="n">
        <v>441</v>
      </c>
      <c r="H15" s="77" t="n">
        <v>3066</v>
      </c>
      <c r="I15" s="77" t="n">
        <v>1593</v>
      </c>
      <c r="J15" s="77" t="n">
        <v>1473</v>
      </c>
      <c r="K15" s="77" t="n">
        <v>569</v>
      </c>
      <c r="L15" s="19" t="n">
        <f aca="false">(K15/H15)*100</f>
        <v>18.5583822570124</v>
      </c>
      <c r="M15" s="77" t="n">
        <v>43</v>
      </c>
      <c r="N15" s="19" t="n">
        <f aca="false">(M15/H15)*100</f>
        <v>1.40247879973907</v>
      </c>
      <c r="O15" s="77" t="n">
        <v>86</v>
      </c>
      <c r="P15" s="77" t="n">
        <v>0</v>
      </c>
      <c r="Q15" s="202"/>
      <c r="R15" s="349"/>
      <c r="S15" s="77"/>
      <c r="T15" s="202" t="n">
        <v>0</v>
      </c>
      <c r="U15" s="77"/>
      <c r="V15" s="77"/>
      <c r="W15" s="77"/>
      <c r="X15" s="77"/>
      <c r="Y15" s="77"/>
      <c r="Z15" s="77"/>
      <c r="AA15" s="349"/>
      <c r="AB15" s="349"/>
      <c r="AC15" s="349"/>
      <c r="AD15" s="349"/>
      <c r="AE15" s="349"/>
    </row>
    <row r="16" customFormat="false" ht="15.75" hidden="false" customHeight="false" outlineLevel="0" collapsed="false">
      <c r="A16" s="77" t="s">
        <v>42</v>
      </c>
      <c r="B16" s="77" t="s">
        <v>3938</v>
      </c>
      <c r="C16" s="113" t="s">
        <v>925</v>
      </c>
      <c r="D16" s="171" t="s">
        <v>3964</v>
      </c>
      <c r="E16" s="77" t="s">
        <v>3965</v>
      </c>
      <c r="F16" s="77" t="n">
        <v>1560</v>
      </c>
      <c r="G16" s="77" t="n">
        <v>254</v>
      </c>
      <c r="H16" s="77" t="n">
        <v>1579</v>
      </c>
      <c r="I16" s="77" t="n">
        <v>830</v>
      </c>
      <c r="J16" s="77" t="n">
        <v>749</v>
      </c>
      <c r="K16" s="77" t="n">
        <v>205</v>
      </c>
      <c r="L16" s="19" t="n">
        <f aca="false">(K16/H16)*100</f>
        <v>12.982900569981</v>
      </c>
      <c r="M16" s="77" t="n">
        <v>0</v>
      </c>
      <c r="N16" s="19" t="n">
        <f aca="false">(M16/H16)*100</f>
        <v>0</v>
      </c>
      <c r="O16" s="77" t="n">
        <v>15</v>
      </c>
      <c r="P16" s="77" t="n">
        <v>0</v>
      </c>
      <c r="Q16" s="202" t="s">
        <v>49</v>
      </c>
      <c r="R16" s="350" t="n">
        <v>44836</v>
      </c>
      <c r="S16" s="77"/>
      <c r="T16" s="202" t="n">
        <v>3.2374</v>
      </c>
      <c r="U16" s="77"/>
      <c r="V16" s="77"/>
      <c r="W16" s="77"/>
      <c r="X16" s="77"/>
      <c r="Y16" s="77"/>
      <c r="Z16" s="77"/>
      <c r="AA16" s="190" t="s">
        <v>266</v>
      </c>
      <c r="AB16" s="490" t="n">
        <v>11</v>
      </c>
      <c r="AC16" s="491" t="s">
        <v>3966</v>
      </c>
      <c r="AD16" s="202" t="n">
        <v>27.08</v>
      </c>
      <c r="AE16" s="202" t="n">
        <v>72.45</v>
      </c>
    </row>
    <row r="17" customFormat="false" ht="15.75" hidden="false" customHeight="false" outlineLevel="0" collapsed="false">
      <c r="A17" s="77" t="s">
        <v>42</v>
      </c>
      <c r="B17" s="77" t="s">
        <v>3938</v>
      </c>
      <c r="C17" s="113" t="s">
        <v>925</v>
      </c>
      <c r="D17" s="77" t="s">
        <v>3967</v>
      </c>
      <c r="E17" s="77" t="s">
        <v>3968</v>
      </c>
      <c r="F17" s="77" t="n">
        <v>1065</v>
      </c>
      <c r="G17" s="77" t="n">
        <v>97</v>
      </c>
      <c r="H17" s="77" t="n">
        <v>608</v>
      </c>
      <c r="I17" s="77" t="n">
        <v>323</v>
      </c>
      <c r="J17" s="77" t="n">
        <v>285</v>
      </c>
      <c r="K17" s="77" t="n">
        <v>522</v>
      </c>
      <c r="L17" s="19" t="n">
        <f aca="false">(K17/H17)*100</f>
        <v>85.8552631578947</v>
      </c>
      <c r="M17" s="77" t="n">
        <v>4</v>
      </c>
      <c r="N17" s="19" t="n">
        <f aca="false">(M17/H17)*100</f>
        <v>0.657894736842105</v>
      </c>
      <c r="O17" s="77" t="n">
        <v>44</v>
      </c>
      <c r="P17" s="77" t="n">
        <v>0</v>
      </c>
      <c r="Q17" s="202" t="s">
        <v>49</v>
      </c>
      <c r="R17" s="350" t="n">
        <v>44836</v>
      </c>
      <c r="S17" s="77"/>
      <c r="T17" s="202" t="n">
        <v>0</v>
      </c>
      <c r="U17" s="77"/>
      <c r="V17" s="77"/>
      <c r="W17" s="77"/>
      <c r="X17" s="77"/>
      <c r="Y17" s="77"/>
      <c r="Z17" s="77"/>
      <c r="AA17" s="190" t="s">
        <v>266</v>
      </c>
      <c r="AB17" s="490" t="n">
        <v>7</v>
      </c>
      <c r="AC17" s="491" t="s">
        <v>3969</v>
      </c>
      <c r="AD17" s="202" t="n">
        <v>27.12</v>
      </c>
      <c r="AE17" s="202" t="n">
        <v>72.44</v>
      </c>
    </row>
    <row r="18" customFormat="false" ht="15.75" hidden="false" customHeight="false" outlineLevel="0" collapsed="false">
      <c r="A18" s="77" t="s">
        <v>42</v>
      </c>
      <c r="B18" s="77" t="s">
        <v>3938</v>
      </c>
      <c r="C18" s="113" t="s">
        <v>3970</v>
      </c>
      <c r="D18" s="171" t="s">
        <v>3971</v>
      </c>
      <c r="E18" s="77" t="s">
        <v>3972</v>
      </c>
      <c r="F18" s="77" t="n">
        <v>2630</v>
      </c>
      <c r="G18" s="77" t="n">
        <v>439</v>
      </c>
      <c r="H18" s="77" t="n">
        <v>2531</v>
      </c>
      <c r="I18" s="77" t="n">
        <v>1324</v>
      </c>
      <c r="J18" s="77" t="n">
        <v>1207</v>
      </c>
      <c r="K18" s="77" t="n">
        <v>966</v>
      </c>
      <c r="L18" s="19" t="n">
        <f aca="false">(K18/H18)*100</f>
        <v>38.1667325167918</v>
      </c>
      <c r="M18" s="77" t="n">
        <v>92</v>
      </c>
      <c r="N18" s="19" t="n">
        <f aca="false">(M18/H18)*100</f>
        <v>3.63492690636112</v>
      </c>
      <c r="O18" s="77" t="n">
        <v>32</v>
      </c>
      <c r="P18" s="77" t="n">
        <v>0</v>
      </c>
      <c r="Q18" s="202" t="s">
        <v>49</v>
      </c>
      <c r="R18" s="350" t="n">
        <v>44836</v>
      </c>
      <c r="S18" s="77"/>
      <c r="T18" s="202" t="n">
        <v>32.7471</v>
      </c>
      <c r="U18" s="77"/>
      <c r="V18" s="77"/>
      <c r="W18" s="77"/>
      <c r="X18" s="77"/>
      <c r="Y18" s="77"/>
      <c r="Z18" s="77"/>
      <c r="AA18" s="190" t="s">
        <v>266</v>
      </c>
      <c r="AB18" s="490" t="n">
        <v>12</v>
      </c>
      <c r="AC18" s="491" t="s">
        <v>3973</v>
      </c>
      <c r="AD18" s="202" t="n">
        <v>27.07</v>
      </c>
      <c r="AE18" s="202" t="n">
        <v>72.25</v>
      </c>
    </row>
    <row r="19" customFormat="false" ht="15.75" hidden="false" customHeight="false" outlineLevel="0" collapsed="false">
      <c r="A19" s="77" t="s">
        <v>42</v>
      </c>
      <c r="B19" s="77" t="s">
        <v>3938</v>
      </c>
      <c r="C19" s="113" t="s">
        <v>3974</v>
      </c>
      <c r="D19" s="171" t="s">
        <v>3975</v>
      </c>
      <c r="E19" s="77" t="s">
        <v>3976</v>
      </c>
      <c r="F19" s="77" t="n">
        <v>7252</v>
      </c>
      <c r="G19" s="77" t="n">
        <v>602</v>
      </c>
      <c r="H19" s="77" t="n">
        <v>3307</v>
      </c>
      <c r="I19" s="77" t="n">
        <v>1715</v>
      </c>
      <c r="J19" s="77" t="n">
        <v>1592</v>
      </c>
      <c r="K19" s="77" t="n">
        <v>470</v>
      </c>
      <c r="L19" s="19" t="n">
        <f aca="false">(K19/H19)*100</f>
        <v>14.2122769882068</v>
      </c>
      <c r="M19" s="77" t="n">
        <v>7</v>
      </c>
      <c r="N19" s="19" t="n">
        <f aca="false">(M19/H19)*100</f>
        <v>0.211672210462655</v>
      </c>
      <c r="O19" s="77" t="n">
        <v>583</v>
      </c>
      <c r="P19" s="77" t="n">
        <v>0</v>
      </c>
      <c r="Q19" s="202"/>
      <c r="R19" s="349"/>
      <c r="S19" s="77"/>
      <c r="T19" s="202" t="n">
        <v>0</v>
      </c>
      <c r="U19" s="77"/>
      <c r="V19" s="77"/>
      <c r="W19" s="77"/>
      <c r="X19" s="77"/>
      <c r="Y19" s="77"/>
      <c r="Z19" s="77"/>
      <c r="AA19" s="349"/>
      <c r="AB19" s="349"/>
      <c r="AC19" s="349"/>
      <c r="AD19" s="349"/>
      <c r="AE19" s="349"/>
    </row>
    <row r="20" customFormat="false" ht="15.75" hidden="false" customHeight="false" outlineLevel="0" collapsed="false">
      <c r="A20" s="77" t="s">
        <v>42</v>
      </c>
      <c r="B20" s="77" t="s">
        <v>3938</v>
      </c>
      <c r="C20" s="113" t="s">
        <v>3977</v>
      </c>
      <c r="D20" s="171" t="s">
        <v>3978</v>
      </c>
      <c r="E20" s="77" t="s">
        <v>3979</v>
      </c>
      <c r="F20" s="77" t="n">
        <v>6968</v>
      </c>
      <c r="G20" s="77" t="n">
        <v>607</v>
      </c>
      <c r="H20" s="77" t="n">
        <v>3744</v>
      </c>
      <c r="I20" s="77" t="n">
        <v>1958</v>
      </c>
      <c r="J20" s="77" t="n">
        <v>1786</v>
      </c>
      <c r="K20" s="77" t="n">
        <v>458</v>
      </c>
      <c r="L20" s="19" t="n">
        <f aca="false">(K20/H20)*100</f>
        <v>12.232905982906</v>
      </c>
      <c r="M20" s="77" t="n">
        <v>541</v>
      </c>
      <c r="N20" s="19" t="n">
        <f aca="false">(M20/H20)*100</f>
        <v>14.4497863247863</v>
      </c>
      <c r="O20" s="77" t="n">
        <v>2144</v>
      </c>
      <c r="P20" s="77" t="n">
        <v>0</v>
      </c>
      <c r="Q20" s="202"/>
      <c r="R20" s="349"/>
      <c r="S20" s="77"/>
      <c r="T20" s="202" t="n">
        <v>0</v>
      </c>
      <c r="U20" s="77"/>
      <c r="V20" s="77"/>
      <c r="W20" s="77"/>
      <c r="X20" s="77"/>
      <c r="Y20" s="77"/>
      <c r="Z20" s="77"/>
      <c r="AA20" s="349"/>
      <c r="AB20" s="349"/>
      <c r="AC20" s="349"/>
      <c r="AD20" s="349"/>
      <c r="AE20" s="349"/>
    </row>
    <row r="21" customFormat="false" ht="18.75" hidden="false" customHeight="false" outlineLevel="0" collapsed="false">
      <c r="A21" s="77" t="s">
        <v>42</v>
      </c>
      <c r="B21" s="77" t="s">
        <v>3938</v>
      </c>
      <c r="C21" s="113" t="s">
        <v>3980</v>
      </c>
      <c r="D21" s="171" t="s">
        <v>3980</v>
      </c>
      <c r="E21" s="77" t="s">
        <v>3981</v>
      </c>
      <c r="F21" s="77" t="n">
        <v>1686.09</v>
      </c>
      <c r="G21" s="77" t="n">
        <v>371</v>
      </c>
      <c r="H21" s="77" t="n">
        <v>1790</v>
      </c>
      <c r="I21" s="77" t="n">
        <v>893</v>
      </c>
      <c r="J21" s="77" t="n">
        <v>897</v>
      </c>
      <c r="K21" s="77" t="n">
        <v>0</v>
      </c>
      <c r="L21" s="19" t="n">
        <f aca="false">(K21/H21)*100</f>
        <v>0</v>
      </c>
      <c r="M21" s="77" t="n">
        <v>13</v>
      </c>
      <c r="N21" s="19" t="n">
        <f aca="false">(M21/H21)*100</f>
        <v>0.726256983240223</v>
      </c>
      <c r="O21" s="77" t="n">
        <v>0</v>
      </c>
      <c r="P21" s="77" t="n">
        <v>0</v>
      </c>
      <c r="Q21" s="463" t="s">
        <v>49</v>
      </c>
      <c r="R21" s="462" t="n">
        <v>45201</v>
      </c>
      <c r="S21" s="77"/>
      <c r="T21" s="463" t="n">
        <v>0</v>
      </c>
      <c r="U21" s="77"/>
      <c r="V21" s="77"/>
      <c r="W21" s="77"/>
      <c r="X21" s="77"/>
      <c r="Y21" s="77"/>
      <c r="Z21" s="77"/>
      <c r="AA21" s="463" t="s">
        <v>266</v>
      </c>
      <c r="AB21" s="464" t="n">
        <v>0</v>
      </c>
      <c r="AC21" s="492"/>
      <c r="AD21" s="464" t="n">
        <v>0</v>
      </c>
      <c r="AE21" s="464" t="n">
        <v>0</v>
      </c>
    </row>
    <row r="22" customFormat="false" ht="18.75" hidden="false" customHeight="false" outlineLevel="0" collapsed="false">
      <c r="A22" s="77" t="s">
        <v>42</v>
      </c>
      <c r="B22" s="77" t="s">
        <v>3938</v>
      </c>
      <c r="C22" s="113" t="s">
        <v>3980</v>
      </c>
      <c r="D22" s="77" t="s">
        <v>3982</v>
      </c>
      <c r="E22" s="77" t="s">
        <v>3983</v>
      </c>
      <c r="F22" s="77" t="n">
        <v>2592.26</v>
      </c>
      <c r="G22" s="77" t="n">
        <v>177</v>
      </c>
      <c r="H22" s="77" t="n">
        <v>1086</v>
      </c>
      <c r="I22" s="77" t="n">
        <v>579</v>
      </c>
      <c r="J22" s="77" t="n">
        <v>507</v>
      </c>
      <c r="K22" s="77" t="n">
        <v>20</v>
      </c>
      <c r="L22" s="19" t="n">
        <f aca="false">(K22/H22)*100</f>
        <v>1.84162062615101</v>
      </c>
      <c r="M22" s="77" t="n">
        <v>0</v>
      </c>
      <c r="N22" s="19" t="n">
        <f aca="false">(M22/H22)*100</f>
        <v>0</v>
      </c>
      <c r="O22" s="77" t="n">
        <v>3.6</v>
      </c>
      <c r="P22" s="77" t="n">
        <v>0</v>
      </c>
      <c r="Q22" s="180" t="s">
        <v>49</v>
      </c>
      <c r="R22" s="179" t="n">
        <v>45201</v>
      </c>
      <c r="S22" s="77"/>
      <c r="T22" s="180" t="n">
        <v>0</v>
      </c>
      <c r="U22" s="77"/>
      <c r="V22" s="77"/>
      <c r="W22" s="77"/>
      <c r="X22" s="77"/>
      <c r="Y22" s="77"/>
      <c r="Z22" s="77"/>
      <c r="AA22" s="180" t="s">
        <v>266</v>
      </c>
      <c r="AB22" s="181" t="n">
        <v>2</v>
      </c>
      <c r="AC22" s="384" t="s">
        <v>3984</v>
      </c>
      <c r="AD22" s="181" t="n">
        <v>27.030711</v>
      </c>
      <c r="AE22" s="181" t="n">
        <v>72.19096</v>
      </c>
    </row>
    <row r="23" customFormat="false" ht="18.75" hidden="false" customHeight="false" outlineLevel="0" collapsed="false">
      <c r="A23" s="77" t="s">
        <v>42</v>
      </c>
      <c r="B23" s="77" t="s">
        <v>3938</v>
      </c>
      <c r="C23" s="113" t="s">
        <v>3980</v>
      </c>
      <c r="D23" s="77" t="s">
        <v>3985</v>
      </c>
      <c r="E23" s="77" t="s">
        <v>3986</v>
      </c>
      <c r="F23" s="77" t="n">
        <v>844</v>
      </c>
      <c r="G23" s="77" t="n">
        <v>32</v>
      </c>
      <c r="H23" s="77" t="n">
        <v>151</v>
      </c>
      <c r="I23" s="77" t="n">
        <v>79</v>
      </c>
      <c r="J23" s="77" t="n">
        <v>72</v>
      </c>
      <c r="K23" s="77" t="n">
        <v>0</v>
      </c>
      <c r="L23" s="19" t="n">
        <f aca="false">(K23/H23)*100</f>
        <v>0</v>
      </c>
      <c r="M23" s="77" t="n">
        <v>0</v>
      </c>
      <c r="N23" s="19" t="n">
        <f aca="false">(M23/H23)*100</f>
        <v>0</v>
      </c>
      <c r="O23" s="77" t="n">
        <v>1</v>
      </c>
      <c r="P23" s="77" t="n">
        <v>0</v>
      </c>
      <c r="Q23" s="180" t="s">
        <v>49</v>
      </c>
      <c r="R23" s="179" t="n">
        <v>45201</v>
      </c>
      <c r="S23" s="77"/>
      <c r="T23" s="180" t="n">
        <v>1.295</v>
      </c>
      <c r="U23" s="77"/>
      <c r="V23" s="77"/>
      <c r="W23" s="77"/>
      <c r="X23" s="77"/>
      <c r="Y23" s="77"/>
      <c r="Z23" s="77"/>
      <c r="AA23" s="180" t="s">
        <v>266</v>
      </c>
      <c r="AB23" s="181" t="n">
        <v>0</v>
      </c>
      <c r="AC23" s="382"/>
      <c r="AD23" s="180" t="n">
        <v>0</v>
      </c>
      <c r="AE23" s="181" t="n">
        <v>0</v>
      </c>
    </row>
    <row r="24" customFormat="false" ht="15.75" hidden="false" customHeight="false" outlineLevel="0" collapsed="false">
      <c r="A24" s="77" t="s">
        <v>42</v>
      </c>
      <c r="B24" s="77" t="s">
        <v>3938</v>
      </c>
      <c r="C24" s="113" t="s">
        <v>3987</v>
      </c>
      <c r="D24" s="171" t="s">
        <v>3988</v>
      </c>
      <c r="E24" s="77" t="s">
        <v>3989</v>
      </c>
      <c r="F24" s="77" t="n">
        <v>2898.96</v>
      </c>
      <c r="G24" s="77" t="n">
        <v>287</v>
      </c>
      <c r="H24" s="77" t="n">
        <v>1990</v>
      </c>
      <c r="I24" s="77" t="n">
        <v>1024</v>
      </c>
      <c r="J24" s="77" t="n">
        <v>966</v>
      </c>
      <c r="K24" s="77" t="n">
        <v>573</v>
      </c>
      <c r="L24" s="19" t="n">
        <f aca="false">(K24/H24)*100</f>
        <v>28.7939698492462</v>
      </c>
      <c r="M24" s="77" t="n">
        <v>56</v>
      </c>
      <c r="N24" s="19" t="n">
        <f aca="false">(M24/H24)*100</f>
        <v>2.81407035175879</v>
      </c>
      <c r="O24" s="77" t="n">
        <v>34.71</v>
      </c>
      <c r="P24" s="77" t="n">
        <v>0</v>
      </c>
      <c r="Q24" s="202" t="s">
        <v>49</v>
      </c>
      <c r="R24" s="350" t="n">
        <v>44836</v>
      </c>
      <c r="S24" s="77"/>
      <c r="T24" s="202" t="n">
        <v>0</v>
      </c>
      <c r="U24" s="77"/>
      <c r="V24" s="77"/>
      <c r="W24" s="77"/>
      <c r="X24" s="77"/>
      <c r="Y24" s="77"/>
      <c r="Z24" s="77"/>
      <c r="AA24" s="190" t="s">
        <v>266</v>
      </c>
      <c r="AB24" s="490" t="n">
        <v>10</v>
      </c>
      <c r="AC24" s="491" t="s">
        <v>3990</v>
      </c>
      <c r="AD24" s="202" t="n">
        <v>26.92</v>
      </c>
      <c r="AE24" s="202" t="n">
        <v>72.1</v>
      </c>
    </row>
    <row r="25" customFormat="false" ht="15.75" hidden="false" customHeight="false" outlineLevel="0" collapsed="false">
      <c r="A25" s="77" t="s">
        <v>42</v>
      </c>
      <c r="B25" s="77" t="s">
        <v>3938</v>
      </c>
      <c r="C25" s="113" t="s">
        <v>3987</v>
      </c>
      <c r="D25" s="77" t="s">
        <v>3991</v>
      </c>
      <c r="E25" s="77" t="s">
        <v>3992</v>
      </c>
      <c r="F25" s="77" t="n">
        <v>774.68</v>
      </c>
      <c r="G25" s="77" t="n">
        <v>109</v>
      </c>
      <c r="H25" s="77" t="n">
        <v>685</v>
      </c>
      <c r="I25" s="77" t="n">
        <v>347</v>
      </c>
      <c r="J25" s="77" t="n">
        <v>338</v>
      </c>
      <c r="K25" s="77" t="n">
        <v>0</v>
      </c>
      <c r="L25" s="19" t="n">
        <f aca="false">(K25/H25)*100</f>
        <v>0</v>
      </c>
      <c r="M25" s="77" t="n">
        <v>0</v>
      </c>
      <c r="N25" s="19" t="n">
        <f aca="false">(M25/H25)*100</f>
        <v>0</v>
      </c>
      <c r="O25" s="77" t="n">
        <v>8.4</v>
      </c>
      <c r="P25" s="77" t="n">
        <v>0</v>
      </c>
      <c r="Q25" s="202" t="s">
        <v>49</v>
      </c>
      <c r="R25" s="350" t="n">
        <v>44836</v>
      </c>
      <c r="S25" s="77"/>
      <c r="T25" s="202" t="n">
        <v>0</v>
      </c>
      <c r="U25" s="77"/>
      <c r="V25" s="77"/>
      <c r="W25" s="77"/>
      <c r="X25" s="77"/>
      <c r="Y25" s="77"/>
      <c r="Z25" s="77"/>
      <c r="AA25" s="190" t="s">
        <v>266</v>
      </c>
      <c r="AB25" s="493" t="n">
        <v>0</v>
      </c>
      <c r="AC25" s="489" t="n">
        <v>0</v>
      </c>
      <c r="AD25" s="494" t="n">
        <v>0</v>
      </c>
      <c r="AE25" s="494" t="n">
        <v>0</v>
      </c>
    </row>
    <row r="26" customFormat="false" ht="15.75" hidden="false" customHeight="false" outlineLevel="0" collapsed="false">
      <c r="A26" s="77" t="s">
        <v>42</v>
      </c>
      <c r="B26" s="77" t="s">
        <v>3938</v>
      </c>
      <c r="C26" s="113" t="s">
        <v>3987</v>
      </c>
      <c r="D26" s="77" t="s">
        <v>3993</v>
      </c>
      <c r="E26" s="77" t="s">
        <v>3994</v>
      </c>
      <c r="F26" s="77" t="n">
        <v>1642.46</v>
      </c>
      <c r="G26" s="77" t="n">
        <v>148</v>
      </c>
      <c r="H26" s="77" t="n">
        <v>991</v>
      </c>
      <c r="I26" s="77" t="n">
        <v>517</v>
      </c>
      <c r="J26" s="77" t="n">
        <v>474</v>
      </c>
      <c r="K26" s="77" t="n">
        <v>574</v>
      </c>
      <c r="L26" s="19" t="n">
        <f aca="false">(K26/H26)*100</f>
        <v>57.9212916246216</v>
      </c>
      <c r="M26" s="77" t="n">
        <v>0</v>
      </c>
      <c r="N26" s="19" t="n">
        <f aca="false">(M26/H26)*100</f>
        <v>0</v>
      </c>
      <c r="O26" s="77" t="n">
        <v>31.71</v>
      </c>
      <c r="P26" s="77" t="n">
        <v>0</v>
      </c>
      <c r="Q26" s="202" t="s">
        <v>49</v>
      </c>
      <c r="R26" s="350" t="n">
        <v>44836</v>
      </c>
      <c r="S26" s="77"/>
      <c r="T26" s="202" t="n">
        <v>56.9311</v>
      </c>
      <c r="U26" s="77"/>
      <c r="V26" s="77"/>
      <c r="W26" s="77"/>
      <c r="X26" s="77"/>
      <c r="Y26" s="77"/>
      <c r="Z26" s="77"/>
      <c r="AA26" s="190" t="s">
        <v>266</v>
      </c>
      <c r="AB26" s="490" t="n">
        <v>12</v>
      </c>
      <c r="AC26" s="491" t="s">
        <v>3995</v>
      </c>
      <c r="AD26" s="202" t="n">
        <v>26.9</v>
      </c>
      <c r="AE26" s="202" t="n">
        <v>72.13</v>
      </c>
    </row>
    <row r="27" customFormat="false" ht="15.75" hidden="false" customHeight="false" outlineLevel="0" collapsed="false">
      <c r="A27" s="77" t="s">
        <v>42</v>
      </c>
      <c r="B27" s="77" t="s">
        <v>3938</v>
      </c>
      <c r="C27" s="113" t="s">
        <v>3987</v>
      </c>
      <c r="D27" s="77" t="s">
        <v>3996</v>
      </c>
      <c r="E27" s="77" t="s">
        <v>3997</v>
      </c>
      <c r="F27" s="77" t="n">
        <v>453.52</v>
      </c>
      <c r="G27" s="77" t="n">
        <v>68</v>
      </c>
      <c r="H27" s="77" t="n">
        <v>386</v>
      </c>
      <c r="I27" s="77" t="n">
        <v>205</v>
      </c>
      <c r="J27" s="77" t="n">
        <v>181</v>
      </c>
      <c r="K27" s="77" t="n">
        <v>0</v>
      </c>
      <c r="L27" s="19" t="n">
        <f aca="false">(K27/H27)*100</f>
        <v>0</v>
      </c>
      <c r="M27" s="77" t="n">
        <v>0</v>
      </c>
      <c r="N27" s="19" t="n">
        <f aca="false">(M27/H27)*100</f>
        <v>0</v>
      </c>
      <c r="O27" s="77" t="n">
        <v>5.43</v>
      </c>
      <c r="P27" s="77" t="n">
        <v>0</v>
      </c>
      <c r="Q27" s="202" t="s">
        <v>49</v>
      </c>
      <c r="R27" s="350" t="n">
        <v>44836</v>
      </c>
      <c r="S27" s="77"/>
      <c r="T27" s="202" t="n">
        <v>0</v>
      </c>
      <c r="U27" s="77"/>
      <c r="V27" s="77"/>
      <c r="W27" s="77"/>
      <c r="X27" s="77"/>
      <c r="Y27" s="77"/>
      <c r="Z27" s="77"/>
      <c r="AA27" s="190" t="s">
        <v>266</v>
      </c>
      <c r="AB27" s="493" t="n">
        <v>0</v>
      </c>
      <c r="AC27" s="489" t="n">
        <v>0</v>
      </c>
      <c r="AD27" s="494" t="n">
        <v>0</v>
      </c>
      <c r="AE27" s="494" t="n">
        <v>0</v>
      </c>
    </row>
    <row r="28" customFormat="false" ht="15.75" hidden="false" customHeight="false" outlineLevel="0" collapsed="false">
      <c r="A28" s="77" t="s">
        <v>42</v>
      </c>
      <c r="B28" s="77" t="s">
        <v>3938</v>
      </c>
      <c r="C28" s="113" t="s">
        <v>3987</v>
      </c>
      <c r="D28" s="77" t="s">
        <v>3998</v>
      </c>
      <c r="E28" s="77" t="s">
        <v>3999</v>
      </c>
      <c r="F28" s="77" t="n">
        <v>582.71</v>
      </c>
      <c r="G28" s="77" t="n">
        <v>41</v>
      </c>
      <c r="H28" s="77" t="n">
        <v>204</v>
      </c>
      <c r="I28" s="77" t="n">
        <v>111</v>
      </c>
      <c r="J28" s="77" t="n">
        <v>93</v>
      </c>
      <c r="K28" s="77" t="n">
        <v>0</v>
      </c>
      <c r="L28" s="19" t="n">
        <f aca="false">(K28/H28)*100</f>
        <v>0</v>
      </c>
      <c r="M28" s="77" t="n">
        <v>0</v>
      </c>
      <c r="N28" s="19" t="n">
        <f aca="false">(M28/H28)*100</f>
        <v>0</v>
      </c>
      <c r="O28" s="77" t="n">
        <v>5.96</v>
      </c>
      <c r="P28" s="77" t="n">
        <v>0</v>
      </c>
      <c r="Q28" s="202" t="s">
        <v>49</v>
      </c>
      <c r="R28" s="350" t="n">
        <v>44836</v>
      </c>
      <c r="S28" s="77"/>
      <c r="T28" s="494" t="n">
        <v>0</v>
      </c>
      <c r="U28" s="77"/>
      <c r="V28" s="77"/>
      <c r="W28" s="77"/>
      <c r="X28" s="77"/>
      <c r="Y28" s="77"/>
      <c r="Z28" s="77"/>
      <c r="AA28" s="190" t="s">
        <v>266</v>
      </c>
      <c r="AB28" s="493" t="n">
        <v>0</v>
      </c>
      <c r="AC28" s="489" t="n">
        <v>0</v>
      </c>
      <c r="AD28" s="494" t="n">
        <v>0</v>
      </c>
      <c r="AE28" s="494" t="n">
        <v>0</v>
      </c>
    </row>
    <row r="29" customFormat="false" ht="15.75" hidden="false" customHeight="false" outlineLevel="0" collapsed="false">
      <c r="A29" s="77" t="s">
        <v>42</v>
      </c>
      <c r="B29" s="77" t="s">
        <v>3938</v>
      </c>
      <c r="C29" s="113" t="s">
        <v>4000</v>
      </c>
      <c r="D29" s="171" t="s">
        <v>4000</v>
      </c>
      <c r="E29" s="77" t="s">
        <v>4001</v>
      </c>
      <c r="F29" s="77" t="n">
        <v>928</v>
      </c>
      <c r="G29" s="77" t="n">
        <v>280</v>
      </c>
      <c r="H29" s="77" t="n">
        <v>1527</v>
      </c>
      <c r="I29" s="77" t="n">
        <v>837</v>
      </c>
      <c r="J29" s="77" t="n">
        <v>690</v>
      </c>
      <c r="K29" s="77" t="n">
        <v>606</v>
      </c>
      <c r="L29" s="19" t="n">
        <f aca="false">(K29/H29)*100</f>
        <v>39.6856581532416</v>
      </c>
      <c r="M29" s="77" t="n">
        <v>0</v>
      </c>
      <c r="N29" s="19" t="n">
        <f aca="false">(M29/H29)*100</f>
        <v>0</v>
      </c>
      <c r="O29" s="77" t="n">
        <v>2</v>
      </c>
      <c r="P29" s="77" t="n">
        <v>0</v>
      </c>
      <c r="Q29" s="147" t="s">
        <v>49</v>
      </c>
      <c r="R29" s="451" t="n">
        <v>45201</v>
      </c>
      <c r="S29" s="77"/>
      <c r="T29" s="147" t="n">
        <v>4.5891</v>
      </c>
      <c r="U29" s="77"/>
      <c r="V29" s="77"/>
      <c r="W29" s="77"/>
      <c r="X29" s="77"/>
      <c r="Y29" s="77"/>
      <c r="Z29" s="77"/>
      <c r="AA29" s="190" t="s">
        <v>266</v>
      </c>
      <c r="AB29" s="495" t="n">
        <v>4</v>
      </c>
      <c r="AC29" s="496" t="s">
        <v>4002</v>
      </c>
      <c r="AD29" s="147" t="n">
        <v>27.09</v>
      </c>
      <c r="AE29" s="147" t="n">
        <v>72.34</v>
      </c>
    </row>
    <row r="30" customFormat="false" ht="15.75" hidden="false" customHeight="false" outlineLevel="0" collapsed="false">
      <c r="A30" s="77" t="s">
        <v>42</v>
      </c>
      <c r="B30" s="77" t="s">
        <v>3938</v>
      </c>
      <c r="C30" s="113" t="s">
        <v>4000</v>
      </c>
      <c r="D30" s="77" t="s">
        <v>2000</v>
      </c>
      <c r="E30" s="77" t="s">
        <v>4003</v>
      </c>
      <c r="F30" s="77" t="n">
        <v>1436</v>
      </c>
      <c r="G30" s="77" t="n">
        <v>106</v>
      </c>
      <c r="H30" s="77" t="n">
        <v>623</v>
      </c>
      <c r="I30" s="77" t="n">
        <v>333</v>
      </c>
      <c r="J30" s="77" t="n">
        <v>290</v>
      </c>
      <c r="K30" s="77" t="n">
        <v>391</v>
      </c>
      <c r="L30" s="19" t="n">
        <f aca="false">(K30/H30)*100</f>
        <v>62.760834670947</v>
      </c>
      <c r="M30" s="77" t="n">
        <v>0</v>
      </c>
      <c r="N30" s="19" t="n">
        <f aca="false">(M30/H30)*100</f>
        <v>0</v>
      </c>
      <c r="O30" s="77" t="n">
        <v>0</v>
      </c>
      <c r="P30" s="77" t="n">
        <v>0</v>
      </c>
      <c r="Q30" s="147" t="s">
        <v>49</v>
      </c>
      <c r="R30" s="451" t="n">
        <v>44836</v>
      </c>
      <c r="S30" s="77"/>
      <c r="T30" s="147" t="n">
        <v>0</v>
      </c>
      <c r="U30" s="77"/>
      <c r="V30" s="77"/>
      <c r="W30" s="77"/>
      <c r="X30" s="77"/>
      <c r="Y30" s="77"/>
      <c r="Z30" s="77"/>
      <c r="AA30" s="190" t="s">
        <v>266</v>
      </c>
      <c r="AB30" s="495" t="n">
        <v>0</v>
      </c>
      <c r="AC30" s="148" t="n">
        <v>0</v>
      </c>
      <c r="AD30" s="147" t="n">
        <v>0</v>
      </c>
      <c r="AE30" s="147" t="n">
        <v>0</v>
      </c>
    </row>
    <row r="31" customFormat="false" ht="15.75" hidden="false" customHeight="false" outlineLevel="0" collapsed="false">
      <c r="A31" s="77" t="s">
        <v>42</v>
      </c>
      <c r="B31" s="77" t="s">
        <v>3938</v>
      </c>
      <c r="C31" s="113" t="s">
        <v>4004</v>
      </c>
      <c r="D31" s="171" t="s">
        <v>4005</v>
      </c>
      <c r="E31" s="77" t="s">
        <v>4006</v>
      </c>
      <c r="F31" s="77" t="n">
        <v>3416</v>
      </c>
      <c r="G31" s="77" t="n">
        <v>529</v>
      </c>
      <c r="H31" s="77" t="n">
        <v>3503</v>
      </c>
      <c r="I31" s="77" t="n">
        <v>1888</v>
      </c>
      <c r="J31" s="77" t="n">
        <v>1615</v>
      </c>
      <c r="K31" s="77" t="n">
        <v>757</v>
      </c>
      <c r="L31" s="19" t="n">
        <f aca="false">(K31/H31)*100</f>
        <v>21.6100485298316</v>
      </c>
      <c r="M31" s="77" t="n">
        <v>7</v>
      </c>
      <c r="N31" s="19" t="n">
        <f aca="false">(M31/H31)*100</f>
        <v>0.199828718241507</v>
      </c>
      <c r="O31" s="77" t="n">
        <v>50</v>
      </c>
      <c r="P31" s="77" t="n">
        <v>0</v>
      </c>
      <c r="Q31" s="202" t="s">
        <v>49</v>
      </c>
      <c r="R31" s="350" t="n">
        <v>44836</v>
      </c>
      <c r="S31" s="77"/>
      <c r="T31" s="202" t="n">
        <v>45.956</v>
      </c>
      <c r="U31" s="77"/>
      <c r="V31" s="77"/>
      <c r="W31" s="77"/>
      <c r="X31" s="77"/>
      <c r="Y31" s="77"/>
      <c r="Z31" s="77"/>
      <c r="AA31" s="190" t="s">
        <v>266</v>
      </c>
      <c r="AB31" s="490" t="n">
        <v>19</v>
      </c>
      <c r="AC31" s="485" t="s">
        <v>4007</v>
      </c>
      <c r="AD31" s="202" t="n">
        <v>27.05</v>
      </c>
      <c r="AE31" s="202" t="n">
        <v>72.27</v>
      </c>
    </row>
    <row r="32" customFormat="false" ht="15.75" hidden="false" customHeight="false" outlineLevel="0" collapsed="false">
      <c r="A32" s="77" t="s">
        <v>42</v>
      </c>
      <c r="B32" s="77" t="s">
        <v>3938</v>
      </c>
      <c r="C32" s="113" t="s">
        <v>4008</v>
      </c>
      <c r="D32" s="171" t="s">
        <v>4009</v>
      </c>
      <c r="E32" s="77" t="s">
        <v>4010</v>
      </c>
      <c r="F32" s="77" t="n">
        <v>1705</v>
      </c>
      <c r="G32" s="77" t="n">
        <v>159</v>
      </c>
      <c r="H32" s="77" t="n">
        <v>991</v>
      </c>
      <c r="I32" s="77" t="n">
        <v>504</v>
      </c>
      <c r="J32" s="77" t="n">
        <v>487</v>
      </c>
      <c r="K32" s="77" t="n">
        <v>66</v>
      </c>
      <c r="L32" s="19" t="n">
        <f aca="false">(K32/H32)*100</f>
        <v>6.65993945509586</v>
      </c>
      <c r="M32" s="77" t="n">
        <v>20</v>
      </c>
      <c r="N32" s="19" t="n">
        <f aca="false">(M32/H32)*100</f>
        <v>2.01816347124117</v>
      </c>
      <c r="O32" s="77" t="n">
        <v>87</v>
      </c>
      <c r="P32" s="77" t="n">
        <v>0</v>
      </c>
      <c r="Q32" s="202"/>
      <c r="R32" s="349"/>
      <c r="S32" s="77"/>
      <c r="T32" s="202" t="n">
        <v>0</v>
      </c>
      <c r="U32" s="77"/>
      <c r="V32" s="77"/>
      <c r="W32" s="77"/>
      <c r="X32" s="77"/>
      <c r="Y32" s="77"/>
      <c r="Z32" s="77"/>
      <c r="AA32" s="349"/>
      <c r="AB32" s="349"/>
      <c r="AC32" s="349"/>
      <c r="AD32" s="349"/>
      <c r="AE32" s="349"/>
    </row>
    <row r="33" customFormat="false" ht="15.75" hidden="false" customHeight="false" outlineLevel="0" collapsed="false">
      <c r="A33" s="77" t="s">
        <v>42</v>
      </c>
      <c r="B33" s="77" t="s">
        <v>3938</v>
      </c>
      <c r="C33" s="113" t="s">
        <v>4008</v>
      </c>
      <c r="D33" s="77" t="s">
        <v>4011</v>
      </c>
      <c r="E33" s="77" t="s">
        <v>4012</v>
      </c>
      <c r="F33" s="77" t="n">
        <v>1217</v>
      </c>
      <c r="G33" s="77" t="n">
        <v>97</v>
      </c>
      <c r="H33" s="77" t="n">
        <v>720</v>
      </c>
      <c r="I33" s="77" t="n">
        <v>368</v>
      </c>
      <c r="J33" s="77" t="n">
        <v>352</v>
      </c>
      <c r="K33" s="77" t="n">
        <v>230</v>
      </c>
      <c r="L33" s="19" t="n">
        <f aca="false">(K33/H33)*100</f>
        <v>31.9444444444444</v>
      </c>
      <c r="M33" s="77" t="n">
        <v>0</v>
      </c>
      <c r="N33" s="19" t="n">
        <f aca="false">(M33/H33)*100</f>
        <v>0</v>
      </c>
      <c r="O33" s="77" t="n">
        <v>74</v>
      </c>
      <c r="P33" s="77" t="n">
        <v>0</v>
      </c>
      <c r="Q33" s="202"/>
      <c r="R33" s="349"/>
      <c r="S33" s="77"/>
      <c r="T33" s="202" t="n">
        <v>0</v>
      </c>
      <c r="U33" s="77"/>
      <c r="V33" s="77"/>
      <c r="W33" s="77"/>
      <c r="X33" s="77"/>
      <c r="Y33" s="77"/>
      <c r="Z33" s="77"/>
      <c r="AA33" s="349"/>
      <c r="AB33" s="349"/>
      <c r="AC33" s="349"/>
      <c r="AD33" s="349"/>
      <c r="AE33" s="349"/>
    </row>
    <row r="34" customFormat="false" ht="15.75" hidden="false" customHeight="false" outlineLevel="0" collapsed="false">
      <c r="A34" s="77" t="s">
        <v>42</v>
      </c>
      <c r="B34" s="77" t="s">
        <v>3938</v>
      </c>
      <c r="C34" s="113" t="s">
        <v>4008</v>
      </c>
      <c r="D34" s="77" t="s">
        <v>4013</v>
      </c>
      <c r="E34" s="77" t="s">
        <v>4014</v>
      </c>
      <c r="F34" s="77" t="n">
        <v>731</v>
      </c>
      <c r="G34" s="77" t="n">
        <v>62</v>
      </c>
      <c r="H34" s="77" t="n">
        <v>369</v>
      </c>
      <c r="I34" s="77" t="n">
        <v>184</v>
      </c>
      <c r="J34" s="77" t="n">
        <v>185</v>
      </c>
      <c r="K34" s="77" t="n">
        <v>42</v>
      </c>
      <c r="L34" s="19" t="n">
        <f aca="false">(K34/H34)*100</f>
        <v>11.3821138211382</v>
      </c>
      <c r="M34" s="77" t="n">
        <v>0</v>
      </c>
      <c r="N34" s="19" t="n">
        <f aca="false">(M34/H34)*100</f>
        <v>0</v>
      </c>
      <c r="O34" s="77" t="n">
        <v>201</v>
      </c>
      <c r="P34" s="77" t="n">
        <v>0</v>
      </c>
      <c r="Q34" s="202"/>
      <c r="R34" s="349"/>
      <c r="S34" s="77"/>
      <c r="T34" s="202" t="n">
        <v>0</v>
      </c>
      <c r="U34" s="77"/>
      <c r="V34" s="77"/>
      <c r="W34" s="77"/>
      <c r="X34" s="77"/>
      <c r="Y34" s="77"/>
      <c r="Z34" s="77"/>
      <c r="AA34" s="349"/>
      <c r="AB34" s="349"/>
      <c r="AC34" s="349"/>
      <c r="AD34" s="349"/>
      <c r="AE34" s="349"/>
    </row>
    <row r="35" customFormat="false" ht="15.75" hidden="false" customHeight="false" outlineLevel="0" collapsed="false">
      <c r="A35" s="77" t="s">
        <v>42</v>
      </c>
      <c r="B35" s="77" t="s">
        <v>3938</v>
      </c>
      <c r="C35" s="113" t="s">
        <v>4015</v>
      </c>
      <c r="D35" s="171" t="s">
        <v>4015</v>
      </c>
      <c r="E35" s="77" t="s">
        <v>4016</v>
      </c>
      <c r="F35" s="77" t="n">
        <v>1294</v>
      </c>
      <c r="G35" s="77" t="n">
        <v>117</v>
      </c>
      <c r="H35" s="77" t="n">
        <v>568</v>
      </c>
      <c r="I35" s="77" t="n">
        <v>287</v>
      </c>
      <c r="J35" s="77" t="n">
        <v>281</v>
      </c>
      <c r="K35" s="77" t="n">
        <v>71</v>
      </c>
      <c r="L35" s="19" t="n">
        <f aca="false">(K35/H35)*100</f>
        <v>12.5</v>
      </c>
      <c r="M35" s="77" t="n">
        <v>0</v>
      </c>
      <c r="N35" s="19" t="n">
        <f aca="false">(M35/H35)*100</f>
        <v>0</v>
      </c>
      <c r="O35" s="77" t="n">
        <v>0</v>
      </c>
      <c r="P35" s="77" t="n">
        <v>0</v>
      </c>
      <c r="Q35" s="202"/>
      <c r="R35" s="349"/>
      <c r="S35" s="77"/>
      <c r="T35" s="202" t="n">
        <v>0</v>
      </c>
      <c r="U35" s="77"/>
      <c r="V35" s="77"/>
      <c r="W35" s="77"/>
      <c r="X35" s="77"/>
      <c r="Y35" s="77"/>
      <c r="Z35" s="77"/>
      <c r="AA35" s="349"/>
      <c r="AB35" s="349"/>
      <c r="AC35" s="349"/>
      <c r="AD35" s="349"/>
      <c r="AE35" s="349"/>
    </row>
    <row r="36" customFormat="false" ht="15.75" hidden="false" customHeight="false" outlineLevel="0" collapsed="false">
      <c r="A36" s="77" t="s">
        <v>42</v>
      </c>
      <c r="B36" s="77" t="s">
        <v>3938</v>
      </c>
      <c r="C36" s="113" t="s">
        <v>4015</v>
      </c>
      <c r="D36" s="77" t="s">
        <v>4017</v>
      </c>
      <c r="E36" s="77" t="s">
        <v>4018</v>
      </c>
      <c r="F36" s="77" t="n">
        <v>1054.17</v>
      </c>
      <c r="G36" s="77" t="n">
        <v>34</v>
      </c>
      <c r="H36" s="77" t="n">
        <v>191</v>
      </c>
      <c r="I36" s="77" t="n">
        <v>107</v>
      </c>
      <c r="J36" s="77" t="n">
        <v>84</v>
      </c>
      <c r="K36" s="77" t="n">
        <v>25</v>
      </c>
      <c r="L36" s="19" t="n">
        <f aca="false">(K36/H36)*100</f>
        <v>13.0890052356021</v>
      </c>
      <c r="M36" s="77" t="n">
        <v>0</v>
      </c>
      <c r="N36" s="19" t="n">
        <f aca="false">(M36/H36)*100</f>
        <v>0</v>
      </c>
      <c r="O36" s="77" t="n">
        <v>0</v>
      </c>
      <c r="P36" s="77" t="n">
        <v>0</v>
      </c>
      <c r="Q36" s="202"/>
      <c r="R36" s="349"/>
      <c r="S36" s="77"/>
      <c r="T36" s="202" t="n">
        <v>0</v>
      </c>
      <c r="U36" s="77"/>
      <c r="V36" s="77"/>
      <c r="W36" s="77"/>
      <c r="X36" s="77"/>
      <c r="Y36" s="77"/>
      <c r="Z36" s="77"/>
      <c r="AA36" s="349"/>
      <c r="AB36" s="349"/>
      <c r="AC36" s="349"/>
      <c r="AD36" s="349"/>
      <c r="AE36" s="349"/>
    </row>
    <row r="37" customFormat="false" ht="15.75" hidden="false" customHeight="false" outlineLevel="0" collapsed="false">
      <c r="A37" s="77" t="s">
        <v>42</v>
      </c>
      <c r="B37" s="77" t="s">
        <v>3938</v>
      </c>
      <c r="C37" s="113" t="s">
        <v>4015</v>
      </c>
      <c r="D37" s="77" t="s">
        <v>3469</v>
      </c>
      <c r="E37" s="77" t="s">
        <v>4019</v>
      </c>
      <c r="F37" s="77" t="n">
        <v>675</v>
      </c>
      <c r="G37" s="77" t="n">
        <v>99</v>
      </c>
      <c r="H37" s="77" t="n">
        <v>545</v>
      </c>
      <c r="I37" s="77" t="n">
        <v>286</v>
      </c>
      <c r="J37" s="77" t="n">
        <v>259</v>
      </c>
      <c r="K37" s="77" t="n">
        <v>19</v>
      </c>
      <c r="L37" s="19" t="n">
        <f aca="false">(K37/H37)*100</f>
        <v>3.48623853211009</v>
      </c>
      <c r="M37" s="77" t="n">
        <v>0</v>
      </c>
      <c r="N37" s="19" t="n">
        <f aca="false">(M37/H37)*100</f>
        <v>0</v>
      </c>
      <c r="O37" s="77" t="n">
        <v>0</v>
      </c>
      <c r="P37" s="77" t="n">
        <v>0</v>
      </c>
      <c r="Q37" s="202"/>
      <c r="R37" s="349"/>
      <c r="S37" s="77"/>
      <c r="T37" s="202" t="n">
        <v>0</v>
      </c>
      <c r="U37" s="77"/>
      <c r="V37" s="77"/>
      <c r="W37" s="77"/>
      <c r="X37" s="77"/>
      <c r="Y37" s="77"/>
      <c r="Z37" s="77"/>
      <c r="AA37" s="349"/>
      <c r="AB37" s="349"/>
      <c r="AC37" s="349"/>
      <c r="AD37" s="349"/>
      <c r="AE37" s="349"/>
    </row>
    <row r="38" customFormat="false" ht="15.75" hidden="false" customHeight="false" outlineLevel="0" collapsed="false">
      <c r="A38" s="77" t="s">
        <v>42</v>
      </c>
      <c r="B38" s="77" t="s">
        <v>3938</v>
      </c>
      <c r="C38" s="113" t="s">
        <v>4015</v>
      </c>
      <c r="D38" s="77" t="s">
        <v>4020</v>
      </c>
      <c r="E38" s="77" t="s">
        <v>4021</v>
      </c>
      <c r="F38" s="77" t="n">
        <v>378.88</v>
      </c>
      <c r="G38" s="77" t="n">
        <v>32</v>
      </c>
      <c r="H38" s="77" t="n">
        <v>223</v>
      </c>
      <c r="I38" s="77" t="n">
        <v>130</v>
      </c>
      <c r="J38" s="77" t="n">
        <v>93</v>
      </c>
      <c r="K38" s="77" t="n">
        <v>22</v>
      </c>
      <c r="L38" s="19" t="n">
        <f aca="false">(K38/H38)*100</f>
        <v>9.86547085201794</v>
      </c>
      <c r="M38" s="77" t="n">
        <v>0</v>
      </c>
      <c r="N38" s="19" t="n">
        <f aca="false">(M38/H38)*100</f>
        <v>0</v>
      </c>
      <c r="O38" s="77" t="n">
        <v>0</v>
      </c>
      <c r="P38" s="77" t="n">
        <v>0</v>
      </c>
      <c r="Q38" s="202"/>
      <c r="R38" s="349"/>
      <c r="S38" s="77"/>
      <c r="T38" s="202" t="n">
        <v>0</v>
      </c>
      <c r="U38" s="77"/>
      <c r="V38" s="77"/>
      <c r="W38" s="77"/>
      <c r="X38" s="77"/>
      <c r="Y38" s="77"/>
      <c r="Z38" s="77"/>
      <c r="AA38" s="349"/>
      <c r="AB38" s="349"/>
      <c r="AC38" s="349"/>
      <c r="AD38" s="349"/>
      <c r="AE38" s="349"/>
    </row>
    <row r="39" customFormat="false" ht="15.75" hidden="false" customHeight="false" outlineLevel="0" collapsed="false">
      <c r="A39" s="77" t="s">
        <v>42</v>
      </c>
      <c r="B39" s="77" t="s">
        <v>3938</v>
      </c>
      <c r="C39" s="113" t="s">
        <v>4015</v>
      </c>
      <c r="D39" s="77" t="s">
        <v>4022</v>
      </c>
      <c r="E39" s="77" t="s">
        <v>4023</v>
      </c>
      <c r="F39" s="77" t="n">
        <v>638.17</v>
      </c>
      <c r="G39" s="77" t="n">
        <v>80</v>
      </c>
      <c r="H39" s="77" t="n">
        <v>498</v>
      </c>
      <c r="I39" s="77" t="n">
        <v>258</v>
      </c>
      <c r="J39" s="77" t="n">
        <v>240</v>
      </c>
      <c r="K39" s="77" t="n">
        <v>0</v>
      </c>
      <c r="L39" s="19" t="n">
        <f aca="false">(K39/H39)*100</f>
        <v>0</v>
      </c>
      <c r="M39" s="77" t="n">
        <v>0</v>
      </c>
      <c r="N39" s="19" t="n">
        <f aca="false">(M39/H39)*100</f>
        <v>0</v>
      </c>
      <c r="O39" s="77" t="n">
        <v>0</v>
      </c>
      <c r="P39" s="77" t="n">
        <v>0</v>
      </c>
      <c r="Q39" s="202"/>
      <c r="R39" s="349"/>
      <c r="S39" s="77"/>
      <c r="T39" s="202" t="n">
        <v>0</v>
      </c>
      <c r="U39" s="77"/>
      <c r="V39" s="77"/>
      <c r="W39" s="77"/>
      <c r="X39" s="77"/>
      <c r="Y39" s="77"/>
      <c r="Z39" s="77"/>
      <c r="AA39" s="349"/>
      <c r="AB39" s="349"/>
      <c r="AC39" s="349"/>
      <c r="AD39" s="349"/>
      <c r="AE39" s="349"/>
    </row>
    <row r="40" customFormat="false" ht="15.75" hidden="false" customHeight="false" outlineLevel="0" collapsed="false">
      <c r="A40" s="77" t="s">
        <v>42</v>
      </c>
      <c r="B40" s="77" t="s">
        <v>3938</v>
      </c>
      <c r="C40" s="113" t="s">
        <v>4015</v>
      </c>
      <c r="D40" s="77" t="s">
        <v>4024</v>
      </c>
      <c r="E40" s="77" t="s">
        <v>4025</v>
      </c>
      <c r="F40" s="77" t="n">
        <v>780.33</v>
      </c>
      <c r="G40" s="77" t="n">
        <v>84</v>
      </c>
      <c r="H40" s="77" t="n">
        <v>452</v>
      </c>
      <c r="I40" s="77" t="n">
        <v>229</v>
      </c>
      <c r="J40" s="77" t="n">
        <v>223</v>
      </c>
      <c r="K40" s="77" t="n">
        <v>0</v>
      </c>
      <c r="L40" s="19" t="n">
        <f aca="false">(K40/H40)*100</f>
        <v>0</v>
      </c>
      <c r="M40" s="77" t="n">
        <v>28</v>
      </c>
      <c r="N40" s="19" t="n">
        <f aca="false">(M40/H40)*100</f>
        <v>6.19469026548673</v>
      </c>
      <c r="O40" s="77" t="n">
        <v>5.24</v>
      </c>
      <c r="P40" s="77" t="n">
        <v>0</v>
      </c>
      <c r="Q40" s="202"/>
      <c r="R40" s="349"/>
      <c r="S40" s="77"/>
      <c r="T40" s="202" t="n">
        <v>0</v>
      </c>
      <c r="U40" s="77"/>
      <c r="V40" s="77"/>
      <c r="W40" s="77"/>
      <c r="X40" s="77"/>
      <c r="Y40" s="77"/>
      <c r="Z40" s="77"/>
      <c r="AA40" s="349"/>
      <c r="AB40" s="349"/>
      <c r="AC40" s="349"/>
      <c r="AD40" s="349"/>
      <c r="AE40" s="349"/>
    </row>
    <row r="41" customFormat="false" ht="15.75" hidden="false" customHeight="false" outlineLevel="0" collapsed="false">
      <c r="A41" s="77" t="s">
        <v>42</v>
      </c>
      <c r="B41" s="77" t="s">
        <v>3938</v>
      </c>
      <c r="C41" s="113" t="s">
        <v>4026</v>
      </c>
      <c r="D41" s="171" t="s">
        <v>4026</v>
      </c>
      <c r="E41" s="77" t="s">
        <v>4027</v>
      </c>
      <c r="F41" s="77" t="n">
        <v>998</v>
      </c>
      <c r="G41" s="77" t="n">
        <v>273</v>
      </c>
      <c r="H41" s="77" t="n">
        <v>1842</v>
      </c>
      <c r="I41" s="77" t="n">
        <v>956</v>
      </c>
      <c r="J41" s="77" t="n">
        <v>886</v>
      </c>
      <c r="K41" s="77" t="n">
        <v>26</v>
      </c>
      <c r="L41" s="19" t="n">
        <f aca="false">(K41/H41)*100</f>
        <v>1.41150922909881</v>
      </c>
      <c r="M41" s="77" t="n">
        <v>0</v>
      </c>
      <c r="N41" s="19" t="n">
        <f aca="false">(M41/H41)*100</f>
        <v>0</v>
      </c>
      <c r="O41" s="77" t="n">
        <v>108</v>
      </c>
      <c r="P41" s="77" t="n">
        <v>0</v>
      </c>
      <c r="Q41" s="202" t="s">
        <v>49</v>
      </c>
      <c r="R41" s="350" t="n">
        <v>44836</v>
      </c>
      <c r="S41" s="77"/>
      <c r="T41" s="202" t="n">
        <v>103.0328</v>
      </c>
      <c r="U41" s="77"/>
      <c r="V41" s="77"/>
      <c r="W41" s="77"/>
      <c r="X41" s="77"/>
      <c r="Y41" s="77"/>
      <c r="Z41" s="77"/>
      <c r="AA41" s="190" t="s">
        <v>266</v>
      </c>
      <c r="AB41" s="490" t="n">
        <v>20</v>
      </c>
      <c r="AC41" s="485" t="s">
        <v>4028</v>
      </c>
      <c r="AD41" s="202" t="n">
        <v>27.07</v>
      </c>
      <c r="AE41" s="202" t="n">
        <v>72.41</v>
      </c>
    </row>
    <row r="42" customFormat="false" ht="15.75" hidden="false" customHeight="false" outlineLevel="0" collapsed="false">
      <c r="A42" s="77" t="s">
        <v>42</v>
      </c>
      <c r="B42" s="77" t="s">
        <v>3938</v>
      </c>
      <c r="C42" s="113" t="s">
        <v>4029</v>
      </c>
      <c r="D42" s="171" t="s">
        <v>4030</v>
      </c>
      <c r="E42" s="77" t="s">
        <v>4031</v>
      </c>
      <c r="F42" s="77" t="n">
        <v>1097</v>
      </c>
      <c r="G42" s="77" t="n">
        <v>328</v>
      </c>
      <c r="H42" s="77" t="n">
        <v>1987</v>
      </c>
      <c r="I42" s="77" t="n">
        <v>1044</v>
      </c>
      <c r="J42" s="77" t="n">
        <v>943</v>
      </c>
      <c r="K42" s="77" t="n">
        <v>218</v>
      </c>
      <c r="L42" s="19" t="n">
        <f aca="false">(K42/H42)*100</f>
        <v>10.971313537997</v>
      </c>
      <c r="M42" s="77" t="n">
        <v>0</v>
      </c>
      <c r="N42" s="19" t="n">
        <f aca="false">(M42/H42)*100</f>
        <v>0</v>
      </c>
      <c r="O42" s="77" t="n">
        <v>16</v>
      </c>
      <c r="P42" s="77" t="n">
        <v>0</v>
      </c>
      <c r="Q42" s="202"/>
      <c r="R42" s="349"/>
      <c r="S42" s="77"/>
      <c r="T42" s="202" t="n">
        <v>0</v>
      </c>
      <c r="U42" s="77"/>
      <c r="V42" s="77"/>
      <c r="W42" s="77"/>
      <c r="X42" s="77"/>
      <c r="Y42" s="77"/>
      <c r="Z42" s="77"/>
      <c r="AA42" s="349"/>
      <c r="AB42" s="349"/>
      <c r="AC42" s="349"/>
      <c r="AD42" s="349"/>
      <c r="AE42" s="349"/>
    </row>
    <row r="43" customFormat="false" ht="15.75" hidden="false" customHeight="false" outlineLevel="0" collapsed="false">
      <c r="A43" s="77" t="s">
        <v>42</v>
      </c>
      <c r="B43" s="77" t="s">
        <v>3938</v>
      </c>
      <c r="C43" s="113" t="s">
        <v>4032</v>
      </c>
      <c r="D43" s="171" t="s">
        <v>4033</v>
      </c>
      <c r="E43" s="77" t="s">
        <v>4034</v>
      </c>
      <c r="F43" s="77" t="n">
        <v>3672</v>
      </c>
      <c r="G43" s="77" t="n">
        <v>423</v>
      </c>
      <c r="H43" s="77" t="n">
        <v>2164</v>
      </c>
      <c r="I43" s="77" t="n">
        <v>1095</v>
      </c>
      <c r="J43" s="77" t="n">
        <v>1069</v>
      </c>
      <c r="K43" s="77" t="n">
        <v>395</v>
      </c>
      <c r="L43" s="19" t="n">
        <f aca="false">(K43/H43)*100</f>
        <v>18.2532347504621</v>
      </c>
      <c r="M43" s="77" t="n">
        <v>0</v>
      </c>
      <c r="N43" s="19" t="n">
        <f aca="false">(M43/H43)*100</f>
        <v>0</v>
      </c>
      <c r="O43" s="77" t="n">
        <v>555</v>
      </c>
      <c r="P43" s="77" t="n">
        <v>0</v>
      </c>
      <c r="Q43" s="147" t="s">
        <v>49</v>
      </c>
      <c r="R43" s="451" t="n">
        <v>44836</v>
      </c>
      <c r="S43" s="77"/>
      <c r="T43" s="147" t="n">
        <v>317.2002</v>
      </c>
      <c r="U43" s="77"/>
      <c r="V43" s="77"/>
      <c r="W43" s="77"/>
      <c r="X43" s="77"/>
      <c r="Y43" s="77"/>
      <c r="Z43" s="77"/>
      <c r="AA43" s="190" t="s">
        <v>266</v>
      </c>
      <c r="AB43" s="495" t="n">
        <v>25</v>
      </c>
      <c r="AC43" s="497" t="s">
        <v>1637</v>
      </c>
      <c r="AD43" s="147" t="n">
        <v>27.01</v>
      </c>
      <c r="AE43" s="147" t="n">
        <v>72.15</v>
      </c>
    </row>
    <row r="44" customFormat="false" ht="15.75" hidden="false" customHeight="false" outlineLevel="0" collapsed="false">
      <c r="A44" s="77"/>
      <c r="B44" s="77"/>
      <c r="C44" s="113"/>
      <c r="D44" s="171"/>
      <c r="E44" s="77"/>
      <c r="F44" s="77"/>
      <c r="G44" s="77"/>
      <c r="H44" s="77"/>
      <c r="I44" s="77"/>
      <c r="J44" s="77"/>
      <c r="K44" s="77"/>
      <c r="L44" s="19"/>
      <c r="M44" s="77"/>
      <c r="N44" s="19"/>
      <c r="O44" s="77"/>
      <c r="P44" s="77"/>
      <c r="Q44" s="486"/>
      <c r="R44" s="487"/>
      <c r="S44" s="77"/>
      <c r="T44" s="486" t="n">
        <v>0</v>
      </c>
      <c r="U44" s="77"/>
      <c r="V44" s="77"/>
      <c r="W44" s="77"/>
      <c r="X44" s="77"/>
      <c r="Y44" s="77"/>
      <c r="Z44" s="77"/>
      <c r="AA44" s="498" t="s">
        <v>266</v>
      </c>
      <c r="AB44" s="499" t="n">
        <v>22</v>
      </c>
      <c r="AC44" s="500" t="s">
        <v>4035</v>
      </c>
      <c r="AD44" s="486" t="n">
        <v>27.03</v>
      </c>
      <c r="AE44" s="486" t="n">
        <v>72.12</v>
      </c>
    </row>
    <row r="45" customFormat="false" ht="15.75" hidden="false" customHeight="false" outlineLevel="0" collapsed="false">
      <c r="A45" s="77"/>
      <c r="B45" s="77"/>
      <c r="C45" s="113"/>
      <c r="D45" s="171"/>
      <c r="E45" s="77"/>
      <c r="F45" s="77"/>
      <c r="G45" s="77"/>
      <c r="H45" s="77"/>
      <c r="I45" s="77"/>
      <c r="J45" s="77"/>
      <c r="K45" s="77"/>
      <c r="L45" s="19"/>
      <c r="M45" s="77"/>
      <c r="N45" s="19"/>
      <c r="O45" s="77"/>
      <c r="P45" s="77"/>
      <c r="Q45" s="486"/>
      <c r="R45" s="487"/>
      <c r="S45" s="77"/>
      <c r="T45" s="486" t="n">
        <v>0</v>
      </c>
      <c r="U45" s="77"/>
      <c r="V45" s="77"/>
      <c r="W45" s="77"/>
      <c r="X45" s="77"/>
      <c r="Y45" s="77"/>
      <c r="Z45" s="77"/>
      <c r="AA45" s="498" t="s">
        <v>266</v>
      </c>
      <c r="AB45" s="499" t="n">
        <v>20</v>
      </c>
      <c r="AC45" s="255" t="s">
        <v>4036</v>
      </c>
      <c r="AD45" s="486" t="n">
        <v>27.03</v>
      </c>
      <c r="AE45" s="486" t="n">
        <v>72.12</v>
      </c>
    </row>
    <row r="46" customFormat="false" ht="15.75" hidden="false" customHeight="false" outlineLevel="0" collapsed="false">
      <c r="A46" s="77" t="s">
        <v>42</v>
      </c>
      <c r="B46" s="77" t="s">
        <v>3938</v>
      </c>
      <c r="C46" s="113" t="s">
        <v>4032</v>
      </c>
      <c r="D46" s="171" t="s">
        <v>835</v>
      </c>
      <c r="E46" s="77" t="s">
        <v>4037</v>
      </c>
      <c r="F46" s="77" t="n">
        <v>3012</v>
      </c>
      <c r="G46" s="77" t="n">
        <v>130</v>
      </c>
      <c r="H46" s="77" t="n">
        <v>608</v>
      </c>
      <c r="I46" s="77" t="n">
        <v>303</v>
      </c>
      <c r="J46" s="77" t="n">
        <v>305</v>
      </c>
      <c r="K46" s="77" t="n">
        <v>180</v>
      </c>
      <c r="L46" s="19" t="n">
        <f aca="false">(K46/H46)*100</f>
        <v>29.6052631578947</v>
      </c>
      <c r="M46" s="77" t="n">
        <v>0</v>
      </c>
      <c r="N46" s="19" t="n">
        <f aca="false">(M46/H46)*100</f>
        <v>0</v>
      </c>
      <c r="O46" s="77" t="n">
        <v>217.22</v>
      </c>
      <c r="P46" s="77" t="n">
        <v>0</v>
      </c>
      <c r="Q46" s="147" t="s">
        <v>49</v>
      </c>
      <c r="R46" s="451" t="n">
        <v>44836</v>
      </c>
      <c r="S46" s="77"/>
      <c r="T46" s="147" t="n">
        <v>128.9974</v>
      </c>
      <c r="U46" s="77"/>
      <c r="V46" s="77"/>
      <c r="W46" s="77"/>
      <c r="X46" s="77"/>
      <c r="Y46" s="77"/>
      <c r="Z46" s="77"/>
      <c r="AA46" s="190" t="s">
        <v>266</v>
      </c>
      <c r="AB46" s="495" t="n">
        <v>24</v>
      </c>
      <c r="AC46" s="284" t="s">
        <v>4038</v>
      </c>
      <c r="AD46" s="147" t="n">
        <v>27.1</v>
      </c>
      <c r="AE46" s="147" t="n">
        <v>72.08</v>
      </c>
    </row>
    <row r="47" customFormat="false" ht="15.75" hidden="false" customHeight="false" outlineLevel="0" collapsed="false">
      <c r="A47" s="77"/>
      <c r="B47" s="77"/>
      <c r="C47" s="113"/>
      <c r="D47" s="171"/>
      <c r="E47" s="77"/>
      <c r="F47" s="77"/>
      <c r="G47" s="77"/>
      <c r="H47" s="77"/>
      <c r="I47" s="77"/>
      <c r="J47" s="77"/>
      <c r="K47" s="77"/>
      <c r="L47" s="19"/>
      <c r="M47" s="77"/>
      <c r="N47" s="19"/>
      <c r="O47" s="77"/>
      <c r="P47" s="77"/>
      <c r="Q47" s="486"/>
      <c r="R47" s="487"/>
      <c r="S47" s="77"/>
      <c r="T47" s="486" t="n">
        <v>0</v>
      </c>
      <c r="U47" s="77"/>
      <c r="V47" s="77"/>
      <c r="W47" s="77"/>
      <c r="X47" s="77"/>
      <c r="Y47" s="77"/>
      <c r="Z47" s="77"/>
      <c r="AA47" s="498" t="s">
        <v>266</v>
      </c>
      <c r="AB47" s="499" t="n">
        <v>18</v>
      </c>
      <c r="AC47" s="255" t="s">
        <v>4039</v>
      </c>
      <c r="AD47" s="486" t="n">
        <v>27.1</v>
      </c>
      <c r="AE47" s="486" t="n">
        <v>72.08</v>
      </c>
    </row>
    <row r="48" customFormat="false" ht="15.75" hidden="false" customHeight="false" outlineLevel="0" collapsed="false">
      <c r="A48" s="77"/>
      <c r="B48" s="77"/>
      <c r="C48" s="113"/>
      <c r="D48" s="171"/>
      <c r="E48" s="77"/>
      <c r="F48" s="77"/>
      <c r="G48" s="77"/>
      <c r="H48" s="77"/>
      <c r="I48" s="77"/>
      <c r="J48" s="77"/>
      <c r="K48" s="77"/>
      <c r="L48" s="19"/>
      <c r="M48" s="77"/>
      <c r="N48" s="19"/>
      <c r="O48" s="77"/>
      <c r="P48" s="77"/>
      <c r="Q48" s="486"/>
      <c r="R48" s="487"/>
      <c r="S48" s="77"/>
      <c r="T48" s="486" t="n">
        <v>0</v>
      </c>
      <c r="U48" s="77"/>
      <c r="V48" s="77"/>
      <c r="W48" s="77"/>
      <c r="X48" s="77"/>
      <c r="Y48" s="77"/>
      <c r="Z48" s="77"/>
      <c r="AA48" s="498" t="s">
        <v>266</v>
      </c>
      <c r="AB48" s="499" t="n">
        <v>21</v>
      </c>
      <c r="AC48" s="255" t="s">
        <v>4040</v>
      </c>
      <c r="AD48" s="486" t="n">
        <v>27.09</v>
      </c>
      <c r="AE48" s="486" t="n">
        <v>72.05</v>
      </c>
    </row>
    <row r="49" customFormat="false" ht="15.75" hidden="false" customHeight="false" outlineLevel="0" collapsed="false">
      <c r="A49" s="77" t="s">
        <v>42</v>
      </c>
      <c r="B49" s="77" t="s">
        <v>3938</v>
      </c>
      <c r="C49" s="113" t="s">
        <v>4032</v>
      </c>
      <c r="D49" s="77" t="s">
        <v>2011</v>
      </c>
      <c r="E49" s="77" t="s">
        <v>4041</v>
      </c>
      <c r="F49" s="77" t="n">
        <v>2760.05</v>
      </c>
      <c r="G49" s="77" t="n">
        <v>134</v>
      </c>
      <c r="H49" s="77" t="n">
        <v>650</v>
      </c>
      <c r="I49" s="77" t="n">
        <v>334</v>
      </c>
      <c r="J49" s="77" t="n">
        <v>316</v>
      </c>
      <c r="K49" s="77" t="n">
        <v>0</v>
      </c>
      <c r="L49" s="19" t="n">
        <f aca="false">(K49/H49)*100</f>
        <v>0</v>
      </c>
      <c r="M49" s="77" t="n">
        <v>0</v>
      </c>
      <c r="N49" s="19" t="n">
        <f aca="false">(M49/H49)*100</f>
        <v>0</v>
      </c>
      <c r="O49" s="77" t="n">
        <v>0</v>
      </c>
      <c r="P49" s="77" t="n">
        <v>5.78</v>
      </c>
      <c r="Q49" s="147" t="s">
        <v>49</v>
      </c>
      <c r="R49" s="451" t="n">
        <v>44836</v>
      </c>
      <c r="S49" s="77"/>
      <c r="T49" s="147" t="n">
        <v>0</v>
      </c>
      <c r="U49" s="77"/>
      <c r="V49" s="77"/>
      <c r="W49" s="77"/>
      <c r="X49" s="77"/>
      <c r="Y49" s="77"/>
      <c r="Z49" s="77"/>
      <c r="AA49" s="190" t="s">
        <v>266</v>
      </c>
      <c r="AB49" s="495" t="n">
        <v>0</v>
      </c>
      <c r="AC49" s="148" t="n">
        <v>0</v>
      </c>
      <c r="AD49" s="147" t="n">
        <v>0</v>
      </c>
      <c r="AE49" s="147" t="n">
        <v>0</v>
      </c>
    </row>
    <row r="50" customFormat="false" ht="15.75" hidden="false" customHeight="false" outlineLevel="0" collapsed="false">
      <c r="A50" s="77" t="s">
        <v>42</v>
      </c>
      <c r="B50" s="77" t="s">
        <v>3938</v>
      </c>
      <c r="C50" s="113" t="s">
        <v>4032</v>
      </c>
      <c r="D50" s="77" t="s">
        <v>4042</v>
      </c>
      <c r="E50" s="77" t="s">
        <v>4043</v>
      </c>
      <c r="F50" s="77" t="n">
        <v>1997.97</v>
      </c>
      <c r="G50" s="77" t="n">
        <v>107</v>
      </c>
      <c r="H50" s="77" t="n">
        <v>546</v>
      </c>
      <c r="I50" s="77" t="n">
        <v>298</v>
      </c>
      <c r="J50" s="77" t="n">
        <v>248</v>
      </c>
      <c r="K50" s="77" t="n">
        <v>1</v>
      </c>
      <c r="L50" s="19" t="n">
        <f aca="false">(K50/H50)*100</f>
        <v>0.183150183150183</v>
      </c>
      <c r="M50" s="77" t="n">
        <v>0</v>
      </c>
      <c r="N50" s="19" t="n">
        <f aca="false">(M50/H50)*100</f>
        <v>0</v>
      </c>
      <c r="O50" s="77" t="n">
        <v>0</v>
      </c>
      <c r="P50" s="77" t="n">
        <v>0</v>
      </c>
      <c r="Q50" s="147" t="s">
        <v>49</v>
      </c>
      <c r="R50" s="451" t="n">
        <v>44836</v>
      </c>
      <c r="S50" s="77"/>
      <c r="T50" s="147" t="n">
        <v>0</v>
      </c>
      <c r="U50" s="77"/>
      <c r="V50" s="77"/>
      <c r="W50" s="77"/>
      <c r="X50" s="77"/>
      <c r="Y50" s="77"/>
      <c r="Z50" s="77"/>
      <c r="AA50" s="190" t="s">
        <v>266</v>
      </c>
      <c r="AB50" s="495" t="n">
        <v>0</v>
      </c>
      <c r="AC50" s="148" t="n">
        <v>0</v>
      </c>
      <c r="AD50" s="147" t="n">
        <v>0</v>
      </c>
      <c r="AE50" s="147" t="n">
        <v>0</v>
      </c>
    </row>
    <row r="51" customFormat="false" ht="15.75" hidden="false" customHeight="false" outlineLevel="0" collapsed="false">
      <c r="A51" s="77" t="s">
        <v>42</v>
      </c>
      <c r="B51" s="77" t="s">
        <v>3938</v>
      </c>
      <c r="C51" s="113" t="s">
        <v>4044</v>
      </c>
      <c r="D51" s="171" t="s">
        <v>4045</v>
      </c>
      <c r="E51" s="77" t="s">
        <v>4046</v>
      </c>
      <c r="F51" s="77" t="n">
        <v>4447</v>
      </c>
      <c r="G51" s="77" t="n">
        <v>1190</v>
      </c>
      <c r="H51" s="77" t="n">
        <v>7025</v>
      </c>
      <c r="I51" s="77" t="n">
        <v>3729</v>
      </c>
      <c r="J51" s="77" t="n">
        <v>3296</v>
      </c>
      <c r="K51" s="77" t="n">
        <v>2588</v>
      </c>
      <c r="L51" s="19" t="n">
        <f aca="false">(K51/H51)*100</f>
        <v>36.8398576512455</v>
      </c>
      <c r="M51" s="77" t="n">
        <v>163</v>
      </c>
      <c r="N51" s="19" t="n">
        <f aca="false">(M51/H51)*100</f>
        <v>2.3202846975089</v>
      </c>
      <c r="O51" s="77" t="n">
        <v>105</v>
      </c>
      <c r="P51" s="77" t="n">
        <v>40</v>
      </c>
      <c r="Q51" s="202" t="s">
        <v>49</v>
      </c>
      <c r="R51" s="350" t="n">
        <v>44836</v>
      </c>
      <c r="S51" s="77"/>
      <c r="T51" s="202" t="n">
        <v>97.9823</v>
      </c>
      <c r="U51" s="77"/>
      <c r="V51" s="77"/>
      <c r="W51" s="77"/>
      <c r="X51" s="77"/>
      <c r="Y51" s="77"/>
      <c r="Z51" s="77"/>
      <c r="AA51" s="190" t="s">
        <v>266</v>
      </c>
      <c r="AB51" s="490" t="n">
        <v>16</v>
      </c>
      <c r="AC51" s="501" t="s">
        <v>4047</v>
      </c>
      <c r="AD51" s="202" t="n">
        <v>27.15</v>
      </c>
      <c r="AE51" s="202" t="n">
        <v>72.45</v>
      </c>
    </row>
    <row r="52" customFormat="false" ht="15.75" hidden="false" customHeight="false" outlineLevel="0" collapsed="false">
      <c r="A52" s="77"/>
      <c r="B52" s="77"/>
      <c r="C52" s="113"/>
      <c r="D52" s="171"/>
      <c r="E52" s="77"/>
      <c r="F52" s="77"/>
      <c r="G52" s="77"/>
      <c r="H52" s="77"/>
      <c r="I52" s="77"/>
      <c r="J52" s="77"/>
      <c r="K52" s="77"/>
      <c r="L52" s="19"/>
      <c r="M52" s="77"/>
      <c r="N52" s="19"/>
      <c r="O52" s="77"/>
      <c r="P52" s="77"/>
      <c r="Q52" s="486"/>
      <c r="R52" s="487"/>
      <c r="S52" s="77"/>
      <c r="T52" s="486"/>
      <c r="U52" s="77"/>
      <c r="V52" s="77"/>
      <c r="W52" s="77"/>
      <c r="X52" s="77"/>
      <c r="Y52" s="77"/>
      <c r="Z52" s="77"/>
      <c r="AA52" s="498" t="s">
        <v>266</v>
      </c>
      <c r="AB52" s="499" t="n">
        <v>7</v>
      </c>
      <c r="AC52" s="488" t="s">
        <v>4048</v>
      </c>
      <c r="AD52" s="486" t="n">
        <v>27.14</v>
      </c>
      <c r="AE52" s="486" t="n">
        <v>72.45</v>
      </c>
    </row>
    <row r="53" customFormat="false" ht="15.75" hidden="false" customHeight="false" outlineLevel="0" collapsed="false">
      <c r="A53" s="77" t="s">
        <v>42</v>
      </c>
      <c r="B53" s="77" t="s">
        <v>3938</v>
      </c>
      <c r="C53" s="113" t="s">
        <v>4049</v>
      </c>
      <c r="D53" s="171" t="s">
        <v>4049</v>
      </c>
      <c r="E53" s="77" t="s">
        <v>4050</v>
      </c>
      <c r="F53" s="77" t="n">
        <v>3003.25</v>
      </c>
      <c r="G53" s="77" t="n">
        <v>363</v>
      </c>
      <c r="H53" s="77" t="n">
        <v>2327</v>
      </c>
      <c r="I53" s="77" t="n">
        <v>1328</v>
      </c>
      <c r="J53" s="77" t="n">
        <v>999</v>
      </c>
      <c r="K53" s="77" t="n">
        <v>713</v>
      </c>
      <c r="L53" s="19" t="n">
        <f aca="false">(K53/H53)*100</f>
        <v>30.6403094112591</v>
      </c>
      <c r="M53" s="77" t="n">
        <v>216</v>
      </c>
      <c r="N53" s="19" t="n">
        <f aca="false">(M53/H53)*100</f>
        <v>9.28233777395789</v>
      </c>
      <c r="O53" s="77" t="n">
        <v>101</v>
      </c>
      <c r="P53" s="77" t="n">
        <v>0</v>
      </c>
      <c r="Q53" s="202" t="s">
        <v>49</v>
      </c>
      <c r="R53" s="350" t="n">
        <v>44836</v>
      </c>
      <c r="S53" s="77"/>
      <c r="T53" s="202" t="n">
        <v>100.4994</v>
      </c>
      <c r="U53" s="77"/>
      <c r="V53" s="77"/>
      <c r="W53" s="77"/>
      <c r="X53" s="77"/>
      <c r="Y53" s="77"/>
      <c r="Z53" s="77"/>
      <c r="AA53" s="190" t="s">
        <v>266</v>
      </c>
      <c r="AB53" s="490" t="n">
        <v>7</v>
      </c>
      <c r="AC53" s="501" t="s">
        <v>4051</v>
      </c>
      <c r="AD53" s="202" t="n">
        <v>27.13</v>
      </c>
      <c r="AE53" s="202" t="n">
        <v>72.26</v>
      </c>
    </row>
    <row r="54" customFormat="false" ht="15.75" hidden="false" customHeight="false" outlineLevel="0" collapsed="false">
      <c r="A54" s="77" t="s">
        <v>42</v>
      </c>
      <c r="B54" s="77" t="s">
        <v>3938</v>
      </c>
      <c r="C54" s="113" t="s">
        <v>4049</v>
      </c>
      <c r="D54" s="77" t="s">
        <v>4052</v>
      </c>
      <c r="E54" s="77" t="s">
        <v>4053</v>
      </c>
      <c r="F54" s="77" t="n">
        <v>918</v>
      </c>
      <c r="G54" s="77" t="n">
        <v>159</v>
      </c>
      <c r="H54" s="77" t="n">
        <v>1007</v>
      </c>
      <c r="I54" s="77" t="n">
        <v>541</v>
      </c>
      <c r="J54" s="77" t="n">
        <v>466</v>
      </c>
      <c r="K54" s="77" t="n">
        <v>381</v>
      </c>
      <c r="L54" s="19" t="n">
        <f aca="false">(K54/H54)*100</f>
        <v>37.8351539225422</v>
      </c>
      <c r="M54" s="77" t="n">
        <v>0</v>
      </c>
      <c r="N54" s="19" t="n">
        <f aca="false">(M54/H54)*100</f>
        <v>0</v>
      </c>
      <c r="O54" s="77" t="n">
        <v>42</v>
      </c>
      <c r="P54" s="77" t="n">
        <v>0</v>
      </c>
      <c r="Q54" s="202"/>
      <c r="R54" s="349"/>
      <c r="S54" s="77"/>
      <c r="T54" s="202" t="n">
        <v>0</v>
      </c>
      <c r="U54" s="77"/>
      <c r="V54" s="77"/>
      <c r="W54" s="77"/>
      <c r="X54" s="77"/>
      <c r="Y54" s="77"/>
      <c r="Z54" s="77"/>
      <c r="AA54" s="349"/>
      <c r="AB54" s="349"/>
      <c r="AC54" s="349"/>
      <c r="AD54" s="349"/>
      <c r="AE54" s="349"/>
    </row>
    <row r="55" customFormat="false" ht="15.75" hidden="false" customHeight="false" outlineLevel="0" collapsed="false">
      <c r="A55" s="77" t="s">
        <v>42</v>
      </c>
      <c r="B55" s="77" t="s">
        <v>3938</v>
      </c>
      <c r="C55" s="113" t="s">
        <v>4049</v>
      </c>
      <c r="D55" s="77" t="s">
        <v>4054</v>
      </c>
      <c r="E55" s="77" t="s">
        <v>4055</v>
      </c>
      <c r="F55" s="77" t="n">
        <v>246</v>
      </c>
      <c r="G55" s="77" t="n">
        <v>18</v>
      </c>
      <c r="H55" s="77" t="n">
        <v>102</v>
      </c>
      <c r="I55" s="77" t="n">
        <v>62</v>
      </c>
      <c r="J55" s="77" t="n">
        <v>40</v>
      </c>
      <c r="K55" s="77" t="n">
        <v>54</v>
      </c>
      <c r="L55" s="19" t="n">
        <f aca="false">(K55/H55)*100</f>
        <v>52.9411764705882</v>
      </c>
      <c r="M55" s="77" t="n">
        <v>0</v>
      </c>
      <c r="N55" s="19" t="n">
        <f aca="false">(M55/H55)*100</f>
        <v>0</v>
      </c>
      <c r="O55" s="77" t="n">
        <v>13</v>
      </c>
      <c r="P55" s="77" t="n">
        <v>0</v>
      </c>
      <c r="Q55" s="202"/>
      <c r="R55" s="349"/>
      <c r="S55" s="77"/>
      <c r="T55" s="202" t="n">
        <v>0</v>
      </c>
      <c r="U55" s="77"/>
      <c r="V55" s="77"/>
      <c r="W55" s="77"/>
      <c r="X55" s="77"/>
      <c r="Y55" s="77"/>
      <c r="Z55" s="77"/>
      <c r="AA55" s="349"/>
      <c r="AB55" s="349"/>
      <c r="AC55" s="349"/>
      <c r="AD55" s="349"/>
      <c r="AE55" s="349"/>
    </row>
    <row r="56" customFormat="false" ht="15.75" hidden="false" customHeight="false" outlineLevel="0" collapsed="false">
      <c r="A56" s="77" t="s">
        <v>42</v>
      </c>
      <c r="B56" s="77" t="s">
        <v>3938</v>
      </c>
      <c r="C56" s="113" t="s">
        <v>4056</v>
      </c>
      <c r="D56" s="171" t="s">
        <v>4057</v>
      </c>
      <c r="E56" s="77" t="s">
        <v>4058</v>
      </c>
      <c r="F56" s="77" t="n">
        <v>1292.58</v>
      </c>
      <c r="G56" s="77" t="n">
        <v>467</v>
      </c>
      <c r="H56" s="77" t="n">
        <v>2702</v>
      </c>
      <c r="I56" s="77" t="n">
        <v>1448</v>
      </c>
      <c r="J56" s="77" t="n">
        <v>1254</v>
      </c>
      <c r="K56" s="77" t="n">
        <v>165</v>
      </c>
      <c r="L56" s="19" t="n">
        <f aca="false">(K56/H56)*100</f>
        <v>6.10658771280533</v>
      </c>
      <c r="M56" s="77" t="n">
        <v>26</v>
      </c>
      <c r="N56" s="19" t="n">
        <f aca="false">(M56/H56)*100</f>
        <v>0.962250185048113</v>
      </c>
      <c r="O56" s="77" t="n">
        <v>178</v>
      </c>
      <c r="P56" s="77" t="n">
        <v>0</v>
      </c>
      <c r="Q56" s="202"/>
      <c r="R56" s="349"/>
      <c r="S56" s="77"/>
      <c r="T56" s="202" t="n">
        <v>0</v>
      </c>
      <c r="U56" s="77"/>
      <c r="V56" s="77"/>
      <c r="W56" s="77"/>
      <c r="X56" s="77"/>
      <c r="Y56" s="77"/>
      <c r="Z56" s="77"/>
      <c r="AA56" s="349"/>
      <c r="AB56" s="349"/>
      <c r="AC56" s="349"/>
      <c r="AD56" s="349"/>
      <c r="AE56" s="349"/>
    </row>
    <row r="57" customFormat="false" ht="15.75" hidden="false" customHeight="false" outlineLevel="0" collapsed="false">
      <c r="A57" s="77" t="s">
        <v>42</v>
      </c>
      <c r="B57" s="77" t="s">
        <v>3938</v>
      </c>
      <c r="C57" s="113" t="s">
        <v>4056</v>
      </c>
      <c r="D57" s="77" t="s">
        <v>4059</v>
      </c>
      <c r="E57" s="77" t="s">
        <v>4060</v>
      </c>
      <c r="F57" s="77" t="n">
        <v>1094</v>
      </c>
      <c r="G57" s="77" t="n">
        <v>40</v>
      </c>
      <c r="H57" s="77" t="n">
        <v>252</v>
      </c>
      <c r="I57" s="77" t="n">
        <v>135</v>
      </c>
      <c r="J57" s="77" t="n">
        <v>117</v>
      </c>
      <c r="K57" s="77" t="n">
        <v>0</v>
      </c>
      <c r="L57" s="19" t="n">
        <f aca="false">(K57/H57)*100</f>
        <v>0</v>
      </c>
      <c r="M57" s="77" t="n">
        <v>0</v>
      </c>
      <c r="N57" s="19" t="n">
        <f aca="false">(M57/H57)*100</f>
        <v>0</v>
      </c>
      <c r="O57" s="77" t="n">
        <v>0</v>
      </c>
      <c r="P57" s="77" t="n">
        <v>0</v>
      </c>
      <c r="Q57" s="202"/>
      <c r="R57" s="349"/>
      <c r="S57" s="77"/>
      <c r="T57" s="202" t="n">
        <v>0</v>
      </c>
      <c r="U57" s="77"/>
      <c r="V57" s="77"/>
      <c r="W57" s="77"/>
      <c r="X57" s="77"/>
      <c r="Y57" s="77"/>
      <c r="Z57" s="77"/>
      <c r="AA57" s="349"/>
      <c r="AB57" s="349"/>
      <c r="AC57" s="349"/>
      <c r="AD57" s="349"/>
      <c r="AE57" s="349"/>
    </row>
    <row r="58" customFormat="false" ht="15.75" hidden="false" customHeight="false" outlineLevel="0" collapsed="false">
      <c r="A58" s="77" t="s">
        <v>42</v>
      </c>
      <c r="B58" s="77" t="s">
        <v>3938</v>
      </c>
      <c r="C58" s="113" t="s">
        <v>4056</v>
      </c>
      <c r="D58" s="77" t="s">
        <v>4061</v>
      </c>
      <c r="E58" s="77" t="s">
        <v>4062</v>
      </c>
      <c r="F58" s="77" t="n">
        <v>634.42</v>
      </c>
      <c r="G58" s="77" t="n">
        <v>66</v>
      </c>
      <c r="H58" s="77" t="n">
        <v>377</v>
      </c>
      <c r="I58" s="77" t="n">
        <v>207</v>
      </c>
      <c r="J58" s="77" t="n">
        <v>170</v>
      </c>
      <c r="K58" s="77" t="n">
        <v>76</v>
      </c>
      <c r="L58" s="19" t="n">
        <f aca="false">(K58/H58)*100</f>
        <v>20.159151193634</v>
      </c>
      <c r="M58" s="77" t="n">
        <v>0</v>
      </c>
      <c r="N58" s="19" t="n">
        <f aca="false">(M58/H58)*100</f>
        <v>0</v>
      </c>
      <c r="O58" s="77" t="n">
        <v>0</v>
      </c>
      <c r="P58" s="77" t="n">
        <v>0</v>
      </c>
      <c r="Q58" s="202"/>
      <c r="R58" s="349"/>
      <c r="S58" s="77"/>
      <c r="T58" s="202" t="n">
        <v>0</v>
      </c>
      <c r="U58" s="77"/>
      <c r="V58" s="77"/>
      <c r="W58" s="77"/>
      <c r="X58" s="77"/>
      <c r="Y58" s="77"/>
      <c r="Z58" s="77"/>
      <c r="AA58" s="349"/>
      <c r="AB58" s="349"/>
      <c r="AC58" s="349"/>
      <c r="AD58" s="349"/>
      <c r="AE58" s="349"/>
    </row>
    <row r="59" customFormat="false" ht="15.75" hidden="false" customHeight="false" outlineLevel="0" collapsed="false">
      <c r="A59" s="77" t="s">
        <v>42</v>
      </c>
      <c r="B59" s="77" t="s">
        <v>3938</v>
      </c>
      <c r="C59" s="113" t="s">
        <v>4056</v>
      </c>
      <c r="D59" s="77" t="s">
        <v>4063</v>
      </c>
      <c r="E59" s="77" t="s">
        <v>4064</v>
      </c>
      <c r="F59" s="77" t="n">
        <v>637</v>
      </c>
      <c r="G59" s="77" t="n">
        <v>52</v>
      </c>
      <c r="H59" s="77" t="n">
        <v>314</v>
      </c>
      <c r="I59" s="77" t="n">
        <v>156</v>
      </c>
      <c r="J59" s="77" t="n">
        <v>158</v>
      </c>
      <c r="K59" s="77" t="n">
        <v>114</v>
      </c>
      <c r="L59" s="19" t="n">
        <f aca="false">(K59/H59)*100</f>
        <v>36.3057324840764</v>
      </c>
      <c r="M59" s="77" t="n">
        <v>0</v>
      </c>
      <c r="N59" s="19" t="n">
        <f aca="false">(M59/H59)*100</f>
        <v>0</v>
      </c>
      <c r="O59" s="77" t="n">
        <v>12</v>
      </c>
      <c r="P59" s="77" t="n">
        <v>0</v>
      </c>
      <c r="Q59" s="202"/>
      <c r="R59" s="349"/>
      <c r="S59" s="77"/>
      <c r="T59" s="202" t="n">
        <v>0</v>
      </c>
      <c r="U59" s="77"/>
      <c r="V59" s="77"/>
      <c r="W59" s="77"/>
      <c r="X59" s="77"/>
      <c r="Y59" s="77"/>
      <c r="Z59" s="77"/>
      <c r="AA59" s="349"/>
      <c r="AB59" s="349"/>
      <c r="AC59" s="349"/>
      <c r="AD59" s="349"/>
      <c r="AE59" s="349"/>
    </row>
    <row r="60" customFormat="false" ht="15.75" hidden="false" customHeight="false" outlineLevel="0" collapsed="false">
      <c r="A60" s="77" t="s">
        <v>42</v>
      </c>
      <c r="B60" s="77" t="s">
        <v>3938</v>
      </c>
      <c r="C60" s="113" t="s">
        <v>3837</v>
      </c>
      <c r="D60" s="171" t="s">
        <v>3838</v>
      </c>
      <c r="E60" s="77" t="s">
        <v>4065</v>
      </c>
      <c r="F60" s="77" t="n">
        <v>1953</v>
      </c>
      <c r="G60" s="77" t="n">
        <v>90</v>
      </c>
      <c r="H60" s="77" t="n">
        <v>590</v>
      </c>
      <c r="I60" s="77" t="n">
        <v>299</v>
      </c>
      <c r="J60" s="77" t="n">
        <v>291</v>
      </c>
      <c r="K60" s="77" t="n">
        <v>66</v>
      </c>
      <c r="L60" s="19" t="n">
        <f aca="false">(K60/H60)*100</f>
        <v>11.1864406779661</v>
      </c>
      <c r="M60" s="77" t="n">
        <v>141</v>
      </c>
      <c r="N60" s="19" t="n">
        <f aca="false">(M60/H60)*100</f>
        <v>23.8983050847458</v>
      </c>
      <c r="O60" s="77" t="n">
        <v>320</v>
      </c>
      <c r="P60" s="77" t="n">
        <v>0</v>
      </c>
      <c r="Q60" s="202" t="s">
        <v>49</v>
      </c>
      <c r="R60" s="350" t="n">
        <v>44836</v>
      </c>
      <c r="S60" s="77"/>
      <c r="T60" s="202" t="n">
        <v>261.796</v>
      </c>
      <c r="U60" s="77"/>
      <c r="V60" s="77"/>
      <c r="W60" s="77"/>
      <c r="X60" s="77"/>
      <c r="Y60" s="77"/>
      <c r="Z60" s="77"/>
      <c r="AA60" s="190" t="s">
        <v>266</v>
      </c>
      <c r="AB60" s="490" t="n">
        <v>7</v>
      </c>
      <c r="AC60" s="491" t="s">
        <v>4066</v>
      </c>
      <c r="AD60" s="202" t="n">
        <v>27.24</v>
      </c>
      <c r="AE60" s="202" t="n">
        <v>72.38</v>
      </c>
    </row>
    <row r="61" customFormat="false" ht="15.75" hidden="false" customHeight="false" outlineLevel="0" collapsed="false">
      <c r="A61" s="77"/>
      <c r="B61" s="77"/>
      <c r="C61" s="113"/>
      <c r="D61" s="171"/>
      <c r="E61" s="77"/>
      <c r="F61" s="77"/>
      <c r="G61" s="77"/>
      <c r="H61" s="77"/>
      <c r="I61" s="77"/>
      <c r="J61" s="77"/>
      <c r="K61" s="77"/>
      <c r="L61" s="19"/>
      <c r="M61" s="77"/>
      <c r="N61" s="19"/>
      <c r="O61" s="77"/>
      <c r="P61" s="77"/>
      <c r="Q61" s="486"/>
      <c r="R61" s="487"/>
      <c r="S61" s="77"/>
      <c r="T61" s="486" t="n">
        <v>0</v>
      </c>
      <c r="U61" s="77"/>
      <c r="V61" s="77"/>
      <c r="W61" s="77"/>
      <c r="X61" s="77"/>
      <c r="Y61" s="77"/>
      <c r="Z61" s="77"/>
      <c r="AA61" s="498" t="s">
        <v>266</v>
      </c>
      <c r="AB61" s="499" t="n">
        <v>11</v>
      </c>
      <c r="AC61" s="255" t="s">
        <v>4067</v>
      </c>
      <c r="AD61" s="486" t="n">
        <v>27.2</v>
      </c>
      <c r="AE61" s="486" t="n">
        <v>72.38</v>
      </c>
    </row>
    <row r="62" customFormat="false" ht="15.75" hidden="false" customHeight="false" outlineLevel="0" collapsed="false">
      <c r="A62" s="77"/>
      <c r="B62" s="77"/>
      <c r="C62" s="113"/>
      <c r="D62" s="171"/>
      <c r="E62" s="77"/>
      <c r="F62" s="77"/>
      <c r="G62" s="77"/>
      <c r="H62" s="77"/>
      <c r="I62" s="77"/>
      <c r="J62" s="77"/>
      <c r="K62" s="77"/>
      <c r="L62" s="19"/>
      <c r="M62" s="77"/>
      <c r="N62" s="19"/>
      <c r="O62" s="77"/>
      <c r="P62" s="77"/>
      <c r="Q62" s="486"/>
      <c r="R62" s="487"/>
      <c r="S62" s="77"/>
      <c r="T62" s="486" t="n">
        <v>0</v>
      </c>
      <c r="U62" s="77"/>
      <c r="V62" s="77"/>
      <c r="W62" s="77"/>
      <c r="X62" s="77"/>
      <c r="Y62" s="77"/>
      <c r="Z62" s="77"/>
      <c r="AA62" s="498" t="s">
        <v>266</v>
      </c>
      <c r="AB62" s="499" t="n">
        <v>19</v>
      </c>
      <c r="AC62" s="488" t="s">
        <v>4068</v>
      </c>
      <c r="AD62" s="486" t="n">
        <v>27.2</v>
      </c>
      <c r="AE62" s="486" t="n">
        <v>72.38</v>
      </c>
    </row>
    <row r="63" customFormat="false" ht="15.75" hidden="false" customHeight="false" outlineLevel="0" collapsed="false">
      <c r="A63" s="77"/>
      <c r="B63" s="77"/>
      <c r="C63" s="113"/>
      <c r="D63" s="171"/>
      <c r="E63" s="77"/>
      <c r="F63" s="77"/>
      <c r="G63" s="77"/>
      <c r="H63" s="77"/>
      <c r="I63" s="77"/>
      <c r="J63" s="77"/>
      <c r="K63" s="77"/>
      <c r="L63" s="19"/>
      <c r="M63" s="77"/>
      <c r="N63" s="19"/>
      <c r="O63" s="77"/>
      <c r="P63" s="77"/>
      <c r="Q63" s="486"/>
      <c r="R63" s="487"/>
      <c r="S63" s="77"/>
      <c r="T63" s="486" t="n">
        <v>0</v>
      </c>
      <c r="U63" s="77"/>
      <c r="V63" s="77"/>
      <c r="W63" s="77"/>
      <c r="X63" s="77"/>
      <c r="Y63" s="77"/>
      <c r="Z63" s="77"/>
      <c r="AA63" s="498" t="s">
        <v>266</v>
      </c>
      <c r="AB63" s="499" t="n">
        <v>27</v>
      </c>
      <c r="AC63" s="502" t="s">
        <v>4069</v>
      </c>
      <c r="AD63" s="486" t="n">
        <v>27.19</v>
      </c>
      <c r="AE63" s="486" t="n">
        <v>72.41</v>
      </c>
    </row>
    <row r="64" customFormat="false" ht="15.75" hidden="false" customHeight="false" outlineLevel="0" collapsed="false">
      <c r="A64" s="77" t="s">
        <v>42</v>
      </c>
      <c r="B64" s="77" t="s">
        <v>3938</v>
      </c>
      <c r="C64" s="113" t="s">
        <v>3837</v>
      </c>
      <c r="D64" s="77" t="s">
        <v>4070</v>
      </c>
      <c r="E64" s="77" t="s">
        <v>4071</v>
      </c>
      <c r="F64" s="77" t="n">
        <v>3780</v>
      </c>
      <c r="G64" s="77" t="n">
        <v>268</v>
      </c>
      <c r="H64" s="77" t="n">
        <v>1630</v>
      </c>
      <c r="I64" s="77" t="n">
        <v>835</v>
      </c>
      <c r="J64" s="77" t="n">
        <v>795</v>
      </c>
      <c r="K64" s="77" t="n">
        <v>429</v>
      </c>
      <c r="L64" s="19" t="n">
        <f aca="false">(K64/H64)*100</f>
        <v>26.319018404908</v>
      </c>
      <c r="M64" s="77" t="n">
        <v>110</v>
      </c>
      <c r="N64" s="19" t="n">
        <f aca="false">(M64/H64)*100</f>
        <v>6.74846625766871</v>
      </c>
      <c r="O64" s="77" t="n">
        <v>76</v>
      </c>
      <c r="P64" s="77" t="n">
        <v>0</v>
      </c>
      <c r="Q64" s="202" t="s">
        <v>49</v>
      </c>
      <c r="R64" s="350" t="n">
        <v>44836</v>
      </c>
      <c r="S64" s="77"/>
      <c r="T64" s="202" t="n">
        <v>110.1148</v>
      </c>
      <c r="U64" s="77"/>
      <c r="V64" s="77"/>
      <c r="W64" s="77"/>
      <c r="X64" s="77"/>
      <c r="Y64" s="77"/>
      <c r="Z64" s="77"/>
      <c r="AA64" s="190" t="s">
        <v>266</v>
      </c>
      <c r="AB64" s="490" t="n">
        <v>16</v>
      </c>
      <c r="AC64" s="501" t="s">
        <v>4072</v>
      </c>
      <c r="AD64" s="202" t="n">
        <v>27.19</v>
      </c>
      <c r="AE64" s="202" t="n">
        <v>72.41</v>
      </c>
    </row>
    <row r="65" customFormat="false" ht="15.75" hidden="false" customHeight="false" outlineLevel="0" collapsed="false">
      <c r="A65" s="77"/>
      <c r="B65" s="77"/>
      <c r="C65" s="113"/>
      <c r="D65" s="77"/>
      <c r="E65" s="77"/>
      <c r="F65" s="77"/>
      <c r="G65" s="77"/>
      <c r="H65" s="77"/>
      <c r="I65" s="77"/>
      <c r="J65" s="77"/>
      <c r="K65" s="77"/>
      <c r="L65" s="19"/>
      <c r="M65" s="77"/>
      <c r="N65" s="19"/>
      <c r="O65" s="77"/>
      <c r="P65" s="77"/>
      <c r="Q65" s="486"/>
      <c r="R65" s="487"/>
      <c r="S65" s="77"/>
      <c r="T65" s="486" t="n">
        <v>0</v>
      </c>
      <c r="U65" s="77"/>
      <c r="V65" s="77"/>
      <c r="W65" s="77"/>
      <c r="X65" s="77"/>
      <c r="Y65" s="77"/>
      <c r="Z65" s="77"/>
      <c r="AA65" s="498" t="s">
        <v>266</v>
      </c>
      <c r="AB65" s="499" t="n">
        <v>28</v>
      </c>
      <c r="AC65" s="488" t="s">
        <v>4073</v>
      </c>
      <c r="AD65" s="486" t="n">
        <v>27.21</v>
      </c>
      <c r="AE65" s="486" t="n">
        <v>72.36</v>
      </c>
    </row>
    <row r="66" customFormat="false" ht="15.75" hidden="false" customHeight="false" outlineLevel="0" collapsed="false">
      <c r="A66" s="77" t="s">
        <v>42</v>
      </c>
      <c r="B66" s="77" t="s">
        <v>3938</v>
      </c>
      <c r="C66" s="113" t="s">
        <v>3837</v>
      </c>
      <c r="D66" s="77" t="s">
        <v>4074</v>
      </c>
      <c r="E66" s="77" t="s">
        <v>4075</v>
      </c>
      <c r="F66" s="77" t="n">
        <v>1252</v>
      </c>
      <c r="G66" s="77" t="n">
        <v>133</v>
      </c>
      <c r="H66" s="77" t="n">
        <v>638</v>
      </c>
      <c r="I66" s="77" t="n">
        <v>321</v>
      </c>
      <c r="J66" s="77" t="n">
        <v>317</v>
      </c>
      <c r="K66" s="77" t="n">
        <v>3</v>
      </c>
      <c r="L66" s="19" t="n">
        <f aca="false">(K66/H66)*100</f>
        <v>0.470219435736677</v>
      </c>
      <c r="M66" s="77" t="n">
        <v>1</v>
      </c>
      <c r="N66" s="19" t="n">
        <f aca="false">(M66/H66)*100</f>
        <v>0.156739811912226</v>
      </c>
      <c r="O66" s="77" t="n">
        <v>0</v>
      </c>
      <c r="P66" s="77" t="n">
        <v>0</v>
      </c>
      <c r="Q66" s="202"/>
      <c r="R66" s="349"/>
      <c r="S66" s="77"/>
      <c r="T66" s="486" t="n">
        <v>0</v>
      </c>
      <c r="U66" s="77"/>
      <c r="V66" s="77"/>
      <c r="W66" s="77"/>
      <c r="X66" s="77"/>
      <c r="Y66" s="77"/>
      <c r="Z66" s="77"/>
      <c r="AA66" s="349"/>
      <c r="AB66" s="349"/>
      <c r="AC66" s="349"/>
      <c r="AD66" s="349"/>
      <c r="AE66" s="349"/>
    </row>
    <row r="67" customFormat="false" ht="15.75" hidden="false" customHeight="false" outlineLevel="0" collapsed="false">
      <c r="A67" s="77" t="s">
        <v>42</v>
      </c>
      <c r="B67" s="77" t="s">
        <v>3938</v>
      </c>
      <c r="C67" s="113" t="s">
        <v>4076</v>
      </c>
      <c r="D67" s="171" t="s">
        <v>4076</v>
      </c>
      <c r="E67" s="77" t="s">
        <v>4077</v>
      </c>
      <c r="F67" s="77" t="n">
        <v>1344</v>
      </c>
      <c r="G67" s="77" t="n">
        <v>186</v>
      </c>
      <c r="H67" s="77" t="n">
        <v>1069</v>
      </c>
      <c r="I67" s="77" t="n">
        <v>562</v>
      </c>
      <c r="J67" s="77" t="n">
        <v>507</v>
      </c>
      <c r="K67" s="77" t="n">
        <v>39</v>
      </c>
      <c r="L67" s="19" t="n">
        <f aca="false">(K67/H67)*100</f>
        <v>3.64826941066417</v>
      </c>
      <c r="M67" s="77" t="n">
        <v>0</v>
      </c>
      <c r="N67" s="19" t="n">
        <f aca="false">(M67/H67)*100</f>
        <v>0</v>
      </c>
      <c r="O67" s="77" t="n">
        <v>0</v>
      </c>
      <c r="P67" s="77" t="n">
        <v>0</v>
      </c>
      <c r="Q67" s="202"/>
      <c r="R67" s="349"/>
      <c r="S67" s="77"/>
      <c r="T67" s="486" t="n">
        <v>0</v>
      </c>
      <c r="U67" s="77"/>
      <c r="V67" s="77"/>
      <c r="W67" s="77"/>
      <c r="X67" s="77"/>
      <c r="Y67" s="77"/>
      <c r="Z67" s="77"/>
      <c r="AA67" s="349"/>
      <c r="AB67" s="349"/>
      <c r="AC67" s="349"/>
      <c r="AD67" s="349"/>
      <c r="AE67" s="349"/>
    </row>
    <row r="68" customFormat="false" ht="15.75" hidden="false" customHeight="false" outlineLevel="0" collapsed="false">
      <c r="A68" s="77" t="s">
        <v>42</v>
      </c>
      <c r="B68" s="77" t="s">
        <v>3938</v>
      </c>
      <c r="C68" s="113" t="s">
        <v>4076</v>
      </c>
      <c r="D68" s="77" t="s">
        <v>4078</v>
      </c>
      <c r="E68" s="77" t="s">
        <v>4079</v>
      </c>
      <c r="F68" s="77" t="n">
        <v>648</v>
      </c>
      <c r="G68" s="77" t="n">
        <v>129</v>
      </c>
      <c r="H68" s="77" t="n">
        <v>718</v>
      </c>
      <c r="I68" s="77" t="n">
        <v>374</v>
      </c>
      <c r="J68" s="77" t="n">
        <v>344</v>
      </c>
      <c r="K68" s="77" t="n">
        <v>0</v>
      </c>
      <c r="L68" s="19" t="n">
        <f aca="false">(K68/H68)*100</f>
        <v>0</v>
      </c>
      <c r="M68" s="77" t="n">
        <v>0</v>
      </c>
      <c r="N68" s="19" t="n">
        <f aca="false">(M68/H68)*100</f>
        <v>0</v>
      </c>
      <c r="O68" s="77" t="n">
        <v>0</v>
      </c>
      <c r="P68" s="77" t="n">
        <v>0</v>
      </c>
      <c r="Q68" s="202"/>
      <c r="R68" s="349"/>
      <c r="S68" s="77"/>
      <c r="T68" s="486" t="n">
        <v>0</v>
      </c>
      <c r="U68" s="77"/>
      <c r="V68" s="77"/>
      <c r="W68" s="77"/>
      <c r="X68" s="77"/>
      <c r="Y68" s="77"/>
      <c r="Z68" s="77"/>
      <c r="AA68" s="349"/>
      <c r="AB68" s="349"/>
      <c r="AC68" s="349"/>
      <c r="AD68" s="349"/>
      <c r="AE68" s="349"/>
    </row>
    <row r="69" customFormat="false" ht="15.75" hidden="false" customHeight="false" outlineLevel="0" collapsed="false">
      <c r="A69" s="77" t="s">
        <v>42</v>
      </c>
      <c r="B69" s="77" t="s">
        <v>3938</v>
      </c>
      <c r="C69" s="113" t="s">
        <v>4076</v>
      </c>
      <c r="D69" s="77" t="s">
        <v>4080</v>
      </c>
      <c r="E69" s="77" t="s">
        <v>4081</v>
      </c>
      <c r="F69" s="77" t="n">
        <v>1329</v>
      </c>
      <c r="G69" s="77" t="n">
        <v>148</v>
      </c>
      <c r="H69" s="77" t="n">
        <v>859</v>
      </c>
      <c r="I69" s="77" t="n">
        <v>455</v>
      </c>
      <c r="J69" s="77" t="n">
        <v>404</v>
      </c>
      <c r="K69" s="77" t="n">
        <v>0</v>
      </c>
      <c r="L69" s="19" t="n">
        <f aca="false">(K69/H69)*100</f>
        <v>0</v>
      </c>
      <c r="M69" s="77" t="n">
        <v>0</v>
      </c>
      <c r="N69" s="19" t="n">
        <f aca="false">(M69/H69)*100</f>
        <v>0</v>
      </c>
      <c r="O69" s="77" t="n">
        <v>768</v>
      </c>
      <c r="P69" s="77" t="n">
        <v>0</v>
      </c>
      <c r="Q69" s="202"/>
      <c r="R69" s="349"/>
      <c r="S69" s="77"/>
      <c r="T69" s="486" t="n">
        <v>0</v>
      </c>
      <c r="U69" s="77"/>
      <c r="V69" s="77"/>
      <c r="W69" s="77"/>
      <c r="X69" s="77"/>
      <c r="Y69" s="77"/>
      <c r="Z69" s="77"/>
      <c r="AA69" s="349"/>
      <c r="AB69" s="349"/>
      <c r="AC69" s="349"/>
      <c r="AD69" s="349"/>
      <c r="AE69" s="349"/>
    </row>
    <row r="70" customFormat="false" ht="15.75" hidden="false" customHeight="false" outlineLevel="0" collapsed="false">
      <c r="A70" s="77" t="s">
        <v>42</v>
      </c>
      <c r="B70" s="77" t="s">
        <v>3938</v>
      </c>
      <c r="C70" s="113" t="s">
        <v>4082</v>
      </c>
      <c r="D70" s="171" t="s">
        <v>4082</v>
      </c>
      <c r="E70" s="77" t="s">
        <v>4083</v>
      </c>
      <c r="F70" s="77" t="n">
        <v>1076</v>
      </c>
      <c r="G70" s="77" t="n">
        <v>276</v>
      </c>
      <c r="H70" s="77" t="n">
        <v>1848</v>
      </c>
      <c r="I70" s="77" t="n">
        <v>980</v>
      </c>
      <c r="J70" s="77" t="n">
        <v>868</v>
      </c>
      <c r="K70" s="77" t="n">
        <v>249</v>
      </c>
      <c r="L70" s="19" t="n">
        <f aca="false">(K70/H70)*100</f>
        <v>13.474025974026</v>
      </c>
      <c r="M70" s="77" t="n">
        <v>0</v>
      </c>
      <c r="N70" s="19" t="n">
        <f aca="false">(M70/H70)*100</f>
        <v>0</v>
      </c>
      <c r="O70" s="77" t="n">
        <v>30</v>
      </c>
      <c r="P70" s="77" t="n">
        <v>0</v>
      </c>
      <c r="Q70" s="202" t="s">
        <v>49</v>
      </c>
      <c r="R70" s="350" t="n">
        <v>44836</v>
      </c>
      <c r="S70" s="77"/>
      <c r="T70" s="202" t="n">
        <v>29.7039</v>
      </c>
      <c r="U70" s="77"/>
      <c r="V70" s="77"/>
      <c r="W70" s="77"/>
      <c r="X70" s="77"/>
      <c r="Y70" s="77"/>
      <c r="Z70" s="77"/>
      <c r="AA70" s="190" t="s">
        <v>266</v>
      </c>
      <c r="AB70" s="490" t="n">
        <v>14</v>
      </c>
      <c r="AC70" s="491" t="s">
        <v>4084</v>
      </c>
      <c r="AD70" s="202" t="n">
        <v>27.16</v>
      </c>
      <c r="AE70" s="202" t="n">
        <v>72.36</v>
      </c>
    </row>
    <row r="71" customFormat="false" ht="15.75" hidden="false" customHeight="false" outlineLevel="0" collapsed="false">
      <c r="A71" s="77" t="s">
        <v>42</v>
      </c>
      <c r="B71" s="77" t="s">
        <v>3938</v>
      </c>
      <c r="C71" s="113" t="s">
        <v>4085</v>
      </c>
      <c r="D71" s="171" t="s">
        <v>4086</v>
      </c>
      <c r="E71" s="77" t="s">
        <v>4087</v>
      </c>
      <c r="F71" s="77" t="n">
        <v>3426</v>
      </c>
      <c r="G71" s="77" t="n">
        <v>544</v>
      </c>
      <c r="H71" s="77" t="n">
        <v>3962</v>
      </c>
      <c r="I71" s="77" t="n">
        <v>2121</v>
      </c>
      <c r="J71" s="77" t="n">
        <v>1841</v>
      </c>
      <c r="K71" s="77" t="n">
        <v>1278</v>
      </c>
      <c r="L71" s="19" t="n">
        <f aca="false">(K71/H71)*100</f>
        <v>32.2564361433619</v>
      </c>
      <c r="M71" s="77" t="n">
        <v>74</v>
      </c>
      <c r="N71" s="19" t="n">
        <f aca="false">(M71/H71)*100</f>
        <v>1.86774356385664</v>
      </c>
      <c r="O71" s="77" t="n">
        <v>57</v>
      </c>
      <c r="P71" s="77" t="n">
        <v>0</v>
      </c>
      <c r="Q71" s="202" t="s">
        <v>49</v>
      </c>
      <c r="R71" s="350" t="n">
        <v>44836</v>
      </c>
      <c r="S71" s="77"/>
      <c r="T71" s="202" t="n">
        <v>54.8187</v>
      </c>
      <c r="U71" s="77"/>
      <c r="V71" s="77"/>
      <c r="W71" s="77"/>
      <c r="X71" s="77"/>
      <c r="Y71" s="77"/>
      <c r="Z71" s="77"/>
      <c r="AA71" s="190" t="s">
        <v>266</v>
      </c>
      <c r="AB71" s="490" t="n">
        <v>22</v>
      </c>
      <c r="AC71" s="254" t="s">
        <v>4088</v>
      </c>
      <c r="AD71" s="202" t="n">
        <v>27.07</v>
      </c>
      <c r="AE71" s="202" t="n">
        <v>72.31</v>
      </c>
    </row>
    <row r="72" customFormat="false" ht="15.75" hidden="false" customHeight="false" outlineLevel="0" collapsed="false">
      <c r="A72" s="77" t="s">
        <v>42</v>
      </c>
      <c r="B72" s="77" t="s">
        <v>3938</v>
      </c>
      <c r="C72" s="113" t="s">
        <v>4085</v>
      </c>
      <c r="D72" s="77" t="s">
        <v>4089</v>
      </c>
      <c r="E72" s="77" t="s">
        <v>4090</v>
      </c>
      <c r="F72" s="77" t="n">
        <v>765</v>
      </c>
      <c r="G72" s="77" t="n">
        <v>89</v>
      </c>
      <c r="H72" s="77" t="n">
        <v>593</v>
      </c>
      <c r="I72" s="77" t="n">
        <v>313</v>
      </c>
      <c r="J72" s="77" t="n">
        <v>280</v>
      </c>
      <c r="K72" s="77" t="n">
        <v>0</v>
      </c>
      <c r="L72" s="19" t="n">
        <f aca="false">(K72/H72)*100</f>
        <v>0</v>
      </c>
      <c r="M72" s="77" t="n">
        <v>0</v>
      </c>
      <c r="N72" s="19" t="n">
        <f aca="false">(M72/H72)*100</f>
        <v>0</v>
      </c>
      <c r="O72" s="77" t="n">
        <v>0</v>
      </c>
      <c r="P72" s="77" t="n">
        <v>0</v>
      </c>
      <c r="Q72" s="202" t="s">
        <v>49</v>
      </c>
      <c r="R72" s="350" t="n">
        <v>44836</v>
      </c>
      <c r="S72" s="77"/>
      <c r="T72" s="503" t="n">
        <v>0</v>
      </c>
      <c r="U72" s="77"/>
      <c r="V72" s="77"/>
      <c r="W72" s="77"/>
      <c r="X72" s="77"/>
      <c r="Y72" s="77"/>
      <c r="Z72" s="77"/>
      <c r="AA72" s="190" t="s">
        <v>266</v>
      </c>
      <c r="AB72" s="504" t="n">
        <v>0</v>
      </c>
      <c r="AC72" s="489" t="n">
        <v>0</v>
      </c>
      <c r="AD72" s="503" t="n">
        <v>0</v>
      </c>
      <c r="AE72" s="503" t="n">
        <v>0</v>
      </c>
    </row>
    <row r="73" customFormat="false" ht="15.75" hidden="false" customHeight="false" outlineLevel="0" collapsed="false">
      <c r="A73" s="77" t="s">
        <v>42</v>
      </c>
      <c r="B73" s="77" t="s">
        <v>3938</v>
      </c>
      <c r="C73" s="113" t="s">
        <v>4085</v>
      </c>
      <c r="D73" s="77" t="s">
        <v>829</v>
      </c>
      <c r="E73" s="77" t="s">
        <v>4091</v>
      </c>
      <c r="F73" s="77" t="n">
        <v>900</v>
      </c>
      <c r="G73" s="77" t="n">
        <v>101</v>
      </c>
      <c r="H73" s="77" t="n">
        <v>531</v>
      </c>
      <c r="I73" s="77" t="n">
        <v>264</v>
      </c>
      <c r="J73" s="77" t="n">
        <v>267</v>
      </c>
      <c r="K73" s="77" t="n">
        <v>114</v>
      </c>
      <c r="L73" s="19" t="n">
        <f aca="false">(K73/H73)*100</f>
        <v>21.4689265536723</v>
      </c>
      <c r="M73" s="77" t="n">
        <v>0</v>
      </c>
      <c r="N73" s="19" t="n">
        <f aca="false">(M73/H73)*100</f>
        <v>0</v>
      </c>
      <c r="O73" s="77" t="n">
        <v>0</v>
      </c>
      <c r="P73" s="77" t="n">
        <v>0</v>
      </c>
      <c r="Q73" s="202" t="s">
        <v>49</v>
      </c>
      <c r="R73" s="350" t="n">
        <v>44836</v>
      </c>
      <c r="S73" s="77"/>
      <c r="T73" s="503" t="n">
        <v>0</v>
      </c>
      <c r="U73" s="77"/>
      <c r="V73" s="77"/>
      <c r="W73" s="77"/>
      <c r="X73" s="77"/>
      <c r="Y73" s="77"/>
      <c r="Z73" s="77"/>
      <c r="AA73" s="190" t="s">
        <v>266</v>
      </c>
      <c r="AB73" s="504" t="n">
        <v>0</v>
      </c>
      <c r="AC73" s="489" t="n">
        <v>0</v>
      </c>
      <c r="AD73" s="503" t="n">
        <v>0</v>
      </c>
      <c r="AE73" s="503" t="n">
        <v>0</v>
      </c>
    </row>
    <row r="74" customFormat="false" ht="15.75" hidden="false" customHeight="false" outlineLevel="0" collapsed="false">
      <c r="A74" s="77" t="s">
        <v>42</v>
      </c>
      <c r="B74" s="77" t="s">
        <v>3938</v>
      </c>
      <c r="C74" s="113" t="s">
        <v>4092</v>
      </c>
      <c r="D74" s="171" t="s">
        <v>4093</v>
      </c>
      <c r="E74" s="77" t="s">
        <v>4094</v>
      </c>
      <c r="F74" s="77" t="n">
        <v>1488.95</v>
      </c>
      <c r="G74" s="77" t="n">
        <v>200</v>
      </c>
      <c r="H74" s="77" t="n">
        <v>1219</v>
      </c>
      <c r="I74" s="77" t="n">
        <v>621</v>
      </c>
      <c r="J74" s="77" t="n">
        <v>598</v>
      </c>
      <c r="K74" s="77" t="n">
        <v>226</v>
      </c>
      <c r="L74" s="19" t="n">
        <f aca="false">(K74/H74)*100</f>
        <v>18.5397867104184</v>
      </c>
      <c r="M74" s="77" t="n">
        <v>77</v>
      </c>
      <c r="N74" s="19" t="n">
        <f aca="false">(M74/H74)*100</f>
        <v>6.31665299425759</v>
      </c>
      <c r="O74" s="77" t="n">
        <v>148</v>
      </c>
      <c r="P74" s="77" t="n">
        <v>0</v>
      </c>
      <c r="Q74" s="202"/>
      <c r="R74" s="349"/>
      <c r="S74" s="77"/>
      <c r="T74" s="503" t="n">
        <v>0</v>
      </c>
      <c r="U74" s="77"/>
      <c r="V74" s="77"/>
      <c r="W74" s="77"/>
      <c r="X74" s="77"/>
      <c r="Y74" s="77"/>
      <c r="Z74" s="77"/>
      <c r="AA74" s="349"/>
      <c r="AB74" s="349"/>
      <c r="AC74" s="349"/>
      <c r="AD74" s="349"/>
      <c r="AE74" s="349"/>
    </row>
    <row r="75" customFormat="false" ht="15.75" hidden="false" customHeight="false" outlineLevel="0" collapsed="false">
      <c r="A75" s="77" t="s">
        <v>42</v>
      </c>
      <c r="B75" s="77" t="s">
        <v>3938</v>
      </c>
      <c r="C75" s="113" t="s">
        <v>4092</v>
      </c>
      <c r="D75" s="77" t="s">
        <v>4095</v>
      </c>
      <c r="E75" s="77" t="s">
        <v>4096</v>
      </c>
      <c r="F75" s="77" t="n">
        <v>994.38</v>
      </c>
      <c r="G75" s="77" t="n">
        <v>79</v>
      </c>
      <c r="H75" s="77" t="n">
        <v>500</v>
      </c>
      <c r="I75" s="77" t="n">
        <v>262</v>
      </c>
      <c r="J75" s="77" t="n">
        <v>238</v>
      </c>
      <c r="K75" s="77" t="n">
        <v>0</v>
      </c>
      <c r="L75" s="19" t="n">
        <f aca="false">(K75/H75)*100</f>
        <v>0</v>
      </c>
      <c r="M75" s="77" t="n">
        <v>1</v>
      </c>
      <c r="N75" s="19" t="n">
        <f aca="false">(M75/H75)*100</f>
        <v>0.2</v>
      </c>
      <c r="O75" s="77" t="n">
        <v>23</v>
      </c>
      <c r="P75" s="77" t="n">
        <v>0</v>
      </c>
      <c r="Q75" s="202"/>
      <c r="R75" s="349"/>
      <c r="S75" s="77"/>
      <c r="T75" s="503" t="n">
        <v>0</v>
      </c>
      <c r="U75" s="77"/>
      <c r="V75" s="77"/>
      <c r="W75" s="77"/>
      <c r="X75" s="77"/>
      <c r="Y75" s="77"/>
      <c r="Z75" s="77"/>
      <c r="AA75" s="349"/>
      <c r="AB75" s="349"/>
      <c r="AC75" s="349"/>
      <c r="AD75" s="349"/>
      <c r="AE75" s="349"/>
    </row>
    <row r="76" customFormat="false" ht="15.75" hidden="false" customHeight="false" outlineLevel="0" collapsed="false">
      <c r="A76" s="77" t="s">
        <v>42</v>
      </c>
      <c r="B76" s="77" t="s">
        <v>3938</v>
      </c>
      <c r="C76" s="113" t="s">
        <v>4092</v>
      </c>
      <c r="D76" s="77" t="s">
        <v>4097</v>
      </c>
      <c r="E76" s="77" t="s">
        <v>4098</v>
      </c>
      <c r="F76" s="77" t="n">
        <v>559.11</v>
      </c>
      <c r="G76" s="77" t="n">
        <v>67</v>
      </c>
      <c r="H76" s="77" t="n">
        <v>479</v>
      </c>
      <c r="I76" s="77" t="n">
        <v>252</v>
      </c>
      <c r="J76" s="77" t="n">
        <v>227</v>
      </c>
      <c r="K76" s="77" t="n">
        <v>23</v>
      </c>
      <c r="L76" s="19" t="n">
        <f aca="false">(K76/H76)*100</f>
        <v>4.80167014613779</v>
      </c>
      <c r="M76" s="77" t="n">
        <v>0</v>
      </c>
      <c r="N76" s="19" t="n">
        <f aca="false">(M76/H76)*100</f>
        <v>0</v>
      </c>
      <c r="O76" s="77" t="n">
        <v>0</v>
      </c>
      <c r="P76" s="77" t="n">
        <v>0</v>
      </c>
      <c r="Q76" s="202"/>
      <c r="R76" s="349"/>
      <c r="S76" s="77"/>
      <c r="T76" s="503" t="n">
        <v>0</v>
      </c>
      <c r="U76" s="77"/>
      <c r="V76" s="77"/>
      <c r="W76" s="77"/>
      <c r="X76" s="77"/>
      <c r="Y76" s="77"/>
      <c r="Z76" s="77"/>
      <c r="AA76" s="349"/>
      <c r="AB76" s="349"/>
      <c r="AC76" s="349"/>
      <c r="AD76" s="349"/>
      <c r="AE76" s="349"/>
    </row>
    <row r="77" customFormat="false" ht="15.75" hidden="false" customHeight="false" outlineLevel="0" collapsed="false">
      <c r="A77" s="77" t="s">
        <v>42</v>
      </c>
      <c r="B77" s="77" t="s">
        <v>3938</v>
      </c>
      <c r="C77" s="113" t="s">
        <v>4092</v>
      </c>
      <c r="D77" s="77" t="s">
        <v>4099</v>
      </c>
      <c r="E77" s="77" t="s">
        <v>4100</v>
      </c>
      <c r="F77" s="77" t="n">
        <v>659.5</v>
      </c>
      <c r="G77" s="77" t="n">
        <v>47</v>
      </c>
      <c r="H77" s="77" t="n">
        <v>345</v>
      </c>
      <c r="I77" s="77" t="n">
        <v>170</v>
      </c>
      <c r="J77" s="77" t="n">
        <v>175</v>
      </c>
      <c r="K77" s="77" t="n">
        <v>49</v>
      </c>
      <c r="L77" s="19" t="n">
        <f aca="false">(K77/H77)*100</f>
        <v>14.2028985507246</v>
      </c>
      <c r="M77" s="77" t="n">
        <v>0</v>
      </c>
      <c r="N77" s="19" t="n">
        <f aca="false">(M77/H77)*100</f>
        <v>0</v>
      </c>
      <c r="O77" s="77" t="n">
        <v>0</v>
      </c>
      <c r="P77" s="77" t="n">
        <v>0</v>
      </c>
      <c r="Q77" s="202"/>
      <c r="R77" s="349"/>
      <c r="S77" s="77"/>
      <c r="T77" s="503" t="n">
        <v>0</v>
      </c>
      <c r="U77" s="77"/>
      <c r="V77" s="77"/>
      <c r="W77" s="77"/>
      <c r="X77" s="77"/>
      <c r="Y77" s="77"/>
      <c r="Z77" s="77"/>
      <c r="AA77" s="349"/>
      <c r="AB77" s="349"/>
      <c r="AC77" s="349"/>
      <c r="AD77" s="349"/>
      <c r="AE77" s="349"/>
    </row>
    <row r="78" customFormat="false" ht="15.75" hidden="false" customHeight="false" outlineLevel="0" collapsed="false">
      <c r="A78" s="77" t="s">
        <v>42</v>
      </c>
      <c r="B78" s="77" t="s">
        <v>3938</v>
      </c>
      <c r="C78" s="113" t="s">
        <v>4092</v>
      </c>
      <c r="D78" s="77" t="s">
        <v>1875</v>
      </c>
      <c r="E78" s="77" t="s">
        <v>4101</v>
      </c>
      <c r="F78" s="77" t="n">
        <v>1599</v>
      </c>
      <c r="G78" s="77" t="n">
        <v>40</v>
      </c>
      <c r="H78" s="77" t="n">
        <v>222</v>
      </c>
      <c r="I78" s="77" t="n">
        <v>112</v>
      </c>
      <c r="J78" s="77" t="n">
        <v>110</v>
      </c>
      <c r="K78" s="77" t="n">
        <v>68</v>
      </c>
      <c r="L78" s="19" t="n">
        <f aca="false">(K78/H78)*100</f>
        <v>30.6306306306306</v>
      </c>
      <c r="M78" s="77" t="n">
        <v>0</v>
      </c>
      <c r="N78" s="19" t="n">
        <f aca="false">(M78/H78)*100</f>
        <v>0</v>
      </c>
      <c r="O78" s="77" t="n">
        <v>8</v>
      </c>
      <c r="P78" s="77" t="n">
        <v>0</v>
      </c>
      <c r="Q78" s="202"/>
      <c r="R78" s="349"/>
      <c r="S78" s="77"/>
      <c r="T78" s="503" t="n">
        <v>0</v>
      </c>
      <c r="U78" s="77"/>
      <c r="V78" s="77"/>
      <c r="W78" s="77"/>
      <c r="X78" s="77"/>
      <c r="Y78" s="77"/>
      <c r="Z78" s="77"/>
      <c r="AA78" s="349"/>
      <c r="AB78" s="349"/>
      <c r="AC78" s="349"/>
      <c r="AD78" s="349"/>
      <c r="AE78" s="349"/>
    </row>
    <row r="79" customFormat="false" ht="15.75" hidden="false" customHeight="false" outlineLevel="0" collapsed="false">
      <c r="A79" s="77" t="s">
        <v>42</v>
      </c>
      <c r="B79" s="77" t="s">
        <v>3938</v>
      </c>
      <c r="C79" s="113" t="s">
        <v>4102</v>
      </c>
      <c r="D79" s="171" t="s">
        <v>4103</v>
      </c>
      <c r="E79" s="77" t="s">
        <v>4104</v>
      </c>
      <c r="F79" s="77" t="n">
        <v>1453.51</v>
      </c>
      <c r="G79" s="77" t="n">
        <v>248</v>
      </c>
      <c r="H79" s="77" t="n">
        <v>1559</v>
      </c>
      <c r="I79" s="77" t="n">
        <v>835</v>
      </c>
      <c r="J79" s="77" t="n">
        <v>724</v>
      </c>
      <c r="K79" s="77" t="n">
        <v>434</v>
      </c>
      <c r="L79" s="19" t="n">
        <f aca="false">(K79/H79)*100</f>
        <v>27.8383579217447</v>
      </c>
      <c r="M79" s="77" t="n">
        <v>1</v>
      </c>
      <c r="N79" s="19" t="n">
        <f aca="false">(M79/H79)*100</f>
        <v>0.064143681847338</v>
      </c>
      <c r="O79" s="77" t="n">
        <v>113.24</v>
      </c>
      <c r="P79" s="77" t="n">
        <v>0</v>
      </c>
      <c r="Q79" s="202" t="s">
        <v>49</v>
      </c>
      <c r="R79" s="350" t="n">
        <v>45121</v>
      </c>
      <c r="S79" s="77"/>
      <c r="T79" s="202" t="n">
        <v>0</v>
      </c>
      <c r="U79" s="77"/>
      <c r="V79" s="77"/>
      <c r="W79" s="77"/>
      <c r="X79" s="77"/>
      <c r="Y79" s="77"/>
      <c r="Z79" s="77"/>
      <c r="AA79" s="190" t="s">
        <v>266</v>
      </c>
      <c r="AB79" s="349" t="n">
        <v>0</v>
      </c>
      <c r="AC79" s="489" t="n">
        <v>0</v>
      </c>
      <c r="AD79" s="202" t="n">
        <v>0</v>
      </c>
      <c r="AE79" s="202" t="n">
        <v>0</v>
      </c>
    </row>
    <row r="80" customFormat="false" ht="15.75" hidden="false" customHeight="false" outlineLevel="0" collapsed="false">
      <c r="A80" s="77" t="s">
        <v>42</v>
      </c>
      <c r="B80" s="77" t="s">
        <v>3938</v>
      </c>
      <c r="C80" s="113" t="s">
        <v>4102</v>
      </c>
      <c r="D80" s="77" t="s">
        <v>4105</v>
      </c>
      <c r="E80" s="77" t="s">
        <v>4106</v>
      </c>
      <c r="F80" s="77" t="n">
        <v>1325</v>
      </c>
      <c r="G80" s="77" t="n">
        <v>121</v>
      </c>
      <c r="H80" s="77" t="n">
        <v>784</v>
      </c>
      <c r="I80" s="77" t="n">
        <v>392</v>
      </c>
      <c r="J80" s="77" t="n">
        <v>392</v>
      </c>
      <c r="K80" s="77" t="n">
        <v>50</v>
      </c>
      <c r="L80" s="19" t="n">
        <f aca="false">(K80/H80)*100</f>
        <v>6.37755102040816</v>
      </c>
      <c r="M80" s="77" t="n">
        <v>0</v>
      </c>
      <c r="N80" s="19" t="n">
        <f aca="false">(M80/H80)*100</f>
        <v>0</v>
      </c>
      <c r="O80" s="77" t="n">
        <v>187</v>
      </c>
      <c r="P80" s="77" t="n">
        <v>0</v>
      </c>
      <c r="Q80" s="147" t="s">
        <v>49</v>
      </c>
      <c r="R80" s="451" t="n">
        <v>45121</v>
      </c>
      <c r="S80" s="77"/>
      <c r="T80" s="147" t="n">
        <v>89.6701</v>
      </c>
      <c r="U80" s="77"/>
      <c r="V80" s="77"/>
      <c r="W80" s="77"/>
      <c r="X80" s="77"/>
      <c r="Y80" s="77"/>
      <c r="Z80" s="77"/>
      <c r="AA80" s="190" t="s">
        <v>266</v>
      </c>
      <c r="AB80" s="145" t="n">
        <v>8</v>
      </c>
      <c r="AC80" s="496" t="s">
        <v>4107</v>
      </c>
      <c r="AD80" s="147" t="n">
        <v>27.19</v>
      </c>
      <c r="AE80" s="147" t="n">
        <v>72.49</v>
      </c>
    </row>
    <row r="81" customFormat="false" ht="15.75" hidden="false" customHeight="false" outlineLevel="0" collapsed="false">
      <c r="A81" s="77"/>
      <c r="B81" s="77"/>
      <c r="C81" s="113"/>
      <c r="D81" s="77"/>
      <c r="E81" s="77"/>
      <c r="F81" s="77"/>
      <c r="G81" s="77"/>
      <c r="H81" s="77"/>
      <c r="I81" s="77"/>
      <c r="J81" s="77"/>
      <c r="K81" s="77"/>
      <c r="L81" s="19"/>
      <c r="M81" s="77"/>
      <c r="N81" s="19"/>
      <c r="O81" s="77"/>
      <c r="P81" s="77"/>
      <c r="Q81" s="486" t="s">
        <v>49</v>
      </c>
      <c r="R81" s="487"/>
      <c r="S81" s="77"/>
      <c r="T81" s="486"/>
      <c r="U81" s="77"/>
      <c r="V81" s="77"/>
      <c r="W81" s="77"/>
      <c r="X81" s="77"/>
      <c r="Y81" s="77"/>
      <c r="Z81" s="77"/>
      <c r="AA81" s="498" t="s">
        <v>266</v>
      </c>
      <c r="AB81" s="487" t="n">
        <v>15</v>
      </c>
      <c r="AC81" s="505" t="s">
        <v>4108</v>
      </c>
      <c r="AD81" s="486" t="n">
        <v>27.19</v>
      </c>
      <c r="AE81" s="486" t="n">
        <v>72.49</v>
      </c>
    </row>
    <row r="82" customFormat="false" ht="15.75" hidden="false" customHeight="false" outlineLevel="0" collapsed="false">
      <c r="A82" s="77" t="s">
        <v>42</v>
      </c>
      <c r="B82" s="77" t="s">
        <v>3938</v>
      </c>
      <c r="C82" s="113" t="s">
        <v>4102</v>
      </c>
      <c r="D82" s="77" t="s">
        <v>4109</v>
      </c>
      <c r="E82" s="77" t="s">
        <v>4110</v>
      </c>
      <c r="F82" s="77" t="n">
        <v>667.48</v>
      </c>
      <c r="G82" s="77" t="n">
        <v>127</v>
      </c>
      <c r="H82" s="77" t="n">
        <v>865</v>
      </c>
      <c r="I82" s="77" t="n">
        <v>442</v>
      </c>
      <c r="J82" s="77" t="n">
        <v>423</v>
      </c>
      <c r="K82" s="77" t="n">
        <v>0</v>
      </c>
      <c r="L82" s="19" t="n">
        <f aca="false">(K82/H82)*100</f>
        <v>0</v>
      </c>
      <c r="M82" s="77" t="n">
        <v>2</v>
      </c>
      <c r="N82" s="19" t="n">
        <f aca="false">(M82/H82)*100</f>
        <v>0.23121387283237</v>
      </c>
      <c r="O82" s="77" t="n">
        <v>0</v>
      </c>
      <c r="P82" s="77" t="n">
        <v>0</v>
      </c>
      <c r="Q82" s="202" t="s">
        <v>49</v>
      </c>
      <c r="R82" s="350" t="n">
        <v>45121</v>
      </c>
      <c r="S82" s="77"/>
      <c r="T82" s="202" t="n">
        <v>0</v>
      </c>
      <c r="U82" s="77"/>
      <c r="V82" s="77"/>
      <c r="W82" s="77"/>
      <c r="X82" s="77"/>
      <c r="Y82" s="77"/>
      <c r="Z82" s="77"/>
      <c r="AA82" s="190" t="s">
        <v>266</v>
      </c>
      <c r="AB82" s="349" t="n">
        <v>0</v>
      </c>
      <c r="AC82" s="489" t="n">
        <v>0</v>
      </c>
      <c r="AD82" s="202" t="n">
        <v>0</v>
      </c>
      <c r="AE82" s="202" t="n">
        <v>0</v>
      </c>
    </row>
    <row r="83" customFormat="false" ht="15.75" hidden="false" customHeight="false" outlineLevel="0" collapsed="false">
      <c r="A83" s="77" t="s">
        <v>42</v>
      </c>
      <c r="B83" s="77" t="s">
        <v>3938</v>
      </c>
      <c r="C83" s="113" t="s">
        <v>4102</v>
      </c>
      <c r="D83" s="77" t="s">
        <v>4111</v>
      </c>
      <c r="E83" s="77" t="s">
        <v>4112</v>
      </c>
      <c r="F83" s="77" t="n">
        <v>953.45</v>
      </c>
      <c r="G83" s="77" t="n">
        <v>105</v>
      </c>
      <c r="H83" s="77" t="n">
        <v>530</v>
      </c>
      <c r="I83" s="77" t="n">
        <v>281</v>
      </c>
      <c r="J83" s="77" t="n">
        <v>249</v>
      </c>
      <c r="K83" s="77" t="n">
        <v>48</v>
      </c>
      <c r="L83" s="19" t="n">
        <f aca="false">(K83/H83)*100</f>
        <v>9.05660377358491</v>
      </c>
      <c r="M83" s="77" t="n">
        <v>1</v>
      </c>
      <c r="N83" s="19" t="n">
        <f aca="false">(M83/H83)*100</f>
        <v>0.188679245283019</v>
      </c>
      <c r="O83" s="77" t="n">
        <v>0</v>
      </c>
      <c r="P83" s="77" t="n">
        <v>0</v>
      </c>
      <c r="Q83" s="202" t="s">
        <v>49</v>
      </c>
      <c r="R83" s="350" t="n">
        <v>45121</v>
      </c>
      <c r="S83" s="77"/>
      <c r="T83" s="202" t="n">
        <v>0</v>
      </c>
      <c r="U83" s="77"/>
      <c r="V83" s="77"/>
      <c r="W83" s="77"/>
      <c r="X83" s="77"/>
      <c r="Y83" s="77"/>
      <c r="Z83" s="77"/>
      <c r="AA83" s="190" t="s">
        <v>266</v>
      </c>
      <c r="AB83" s="349" t="n">
        <v>0</v>
      </c>
      <c r="AC83" s="489" t="n">
        <v>0</v>
      </c>
      <c r="AD83" s="202" t="n">
        <v>0</v>
      </c>
      <c r="AE83" s="202" t="n">
        <v>0</v>
      </c>
    </row>
    <row r="84" customFormat="false" ht="15.75" hidden="false" customHeight="false" outlineLevel="0" collapsed="false">
      <c r="A84" s="77" t="s">
        <v>42</v>
      </c>
      <c r="B84" s="77" t="s">
        <v>3938</v>
      </c>
      <c r="C84" s="113" t="s">
        <v>4113</v>
      </c>
      <c r="D84" s="171" t="s">
        <v>4113</v>
      </c>
      <c r="E84" s="77" t="s">
        <v>4114</v>
      </c>
      <c r="F84" s="77" t="n">
        <v>2794</v>
      </c>
      <c r="G84" s="77" t="n">
        <v>436</v>
      </c>
      <c r="H84" s="77" t="n">
        <v>2438</v>
      </c>
      <c r="I84" s="77" t="n">
        <v>1252</v>
      </c>
      <c r="J84" s="77" t="n">
        <v>1186</v>
      </c>
      <c r="K84" s="77" t="n">
        <v>772</v>
      </c>
      <c r="L84" s="19" t="n">
        <f aca="false">(K84/H84)*100</f>
        <v>31.6652994257588</v>
      </c>
      <c r="M84" s="77" t="n">
        <v>73</v>
      </c>
      <c r="N84" s="19" t="n">
        <f aca="false">(M84/H84)*100</f>
        <v>2.99425758818704</v>
      </c>
      <c r="O84" s="77" t="n">
        <v>0</v>
      </c>
      <c r="P84" s="77" t="n">
        <v>0</v>
      </c>
      <c r="Q84" s="202"/>
      <c r="R84" s="349"/>
      <c r="S84" s="77"/>
      <c r="T84" s="202" t="n">
        <v>0</v>
      </c>
      <c r="U84" s="77"/>
      <c r="V84" s="77"/>
      <c r="W84" s="77"/>
      <c r="X84" s="77"/>
      <c r="Y84" s="77"/>
      <c r="Z84" s="77"/>
      <c r="AA84" s="349"/>
      <c r="AB84" s="349"/>
      <c r="AC84" s="349"/>
      <c r="AD84" s="349"/>
      <c r="AE84" s="349"/>
    </row>
    <row r="85" customFormat="false" ht="15.75" hidden="false" customHeight="false" outlineLevel="0" collapsed="false">
      <c r="A85" s="77" t="s">
        <v>42</v>
      </c>
      <c r="B85" s="77" t="s">
        <v>3938</v>
      </c>
      <c r="C85" s="113" t="s">
        <v>4113</v>
      </c>
      <c r="D85" s="77" t="s">
        <v>4115</v>
      </c>
      <c r="E85" s="77" t="s">
        <v>4116</v>
      </c>
      <c r="F85" s="77" t="n">
        <v>1635</v>
      </c>
      <c r="G85" s="77" t="n">
        <v>200</v>
      </c>
      <c r="H85" s="77" t="n">
        <v>961</v>
      </c>
      <c r="I85" s="77" t="n">
        <v>504</v>
      </c>
      <c r="J85" s="77" t="n">
        <v>457</v>
      </c>
      <c r="K85" s="77" t="n">
        <v>13</v>
      </c>
      <c r="L85" s="19" t="n">
        <f aca="false">(K85/H85)*100</f>
        <v>1.35275754422477</v>
      </c>
      <c r="M85" s="77" t="n">
        <v>0</v>
      </c>
      <c r="N85" s="19" t="n">
        <f aca="false">(M85/H85)*100</f>
        <v>0</v>
      </c>
      <c r="O85" s="77" t="n">
        <v>0</v>
      </c>
      <c r="P85" s="77" t="n">
        <v>0</v>
      </c>
      <c r="Q85" s="202"/>
      <c r="R85" s="349"/>
      <c r="S85" s="77"/>
      <c r="T85" s="202" t="n">
        <v>0</v>
      </c>
      <c r="U85" s="77"/>
      <c r="V85" s="77"/>
      <c r="W85" s="77"/>
      <c r="X85" s="77"/>
      <c r="Y85" s="77"/>
      <c r="Z85" s="77"/>
      <c r="AA85" s="349"/>
      <c r="AB85" s="349"/>
      <c r="AC85" s="349"/>
      <c r="AD85" s="349"/>
      <c r="AE85" s="349"/>
    </row>
    <row r="86" s="60" customFormat="true" ht="15.75" hidden="false" customHeight="false" outlineLevel="0" collapsed="false">
      <c r="A86" s="16" t="s">
        <v>42</v>
      </c>
      <c r="B86" s="16" t="s">
        <v>545</v>
      </c>
      <c r="C86" s="71" t="s">
        <v>4117</v>
      </c>
      <c r="D86" s="72" t="s">
        <v>4118</v>
      </c>
      <c r="E86" s="16" t="s">
        <v>4119</v>
      </c>
      <c r="F86" s="16" t="n">
        <v>3754</v>
      </c>
      <c r="G86" s="16" t="n">
        <v>338</v>
      </c>
      <c r="H86" s="16" t="n">
        <v>2178</v>
      </c>
      <c r="I86" s="16" t="n">
        <v>1086</v>
      </c>
      <c r="J86" s="16" t="n">
        <v>1092</v>
      </c>
      <c r="K86" s="16" t="n">
        <v>402</v>
      </c>
      <c r="L86" s="19" t="n">
        <f aca="false">(K86/H86)*100</f>
        <v>18.4573002754821</v>
      </c>
      <c r="M86" s="16" t="n">
        <v>393</v>
      </c>
      <c r="N86" s="19" t="n">
        <f aca="false">(M86/H86)*100</f>
        <v>18.0440771349862</v>
      </c>
      <c r="O86" s="16" t="n">
        <v>801</v>
      </c>
      <c r="P86" s="16" t="n">
        <v>0</v>
      </c>
      <c r="Q86" s="202" t="s">
        <v>49</v>
      </c>
      <c r="R86" s="350" t="n">
        <v>44836</v>
      </c>
      <c r="S86" s="16"/>
      <c r="T86" s="202" t="n">
        <v>0</v>
      </c>
      <c r="U86" s="16"/>
      <c r="V86" s="16"/>
      <c r="W86" s="16"/>
      <c r="X86" s="16"/>
      <c r="Y86" s="16"/>
      <c r="Z86" s="16"/>
      <c r="AA86" s="190" t="s">
        <v>266</v>
      </c>
      <c r="AB86" s="349" t="n">
        <v>10</v>
      </c>
      <c r="AC86" s="485" t="s">
        <v>4120</v>
      </c>
      <c r="AD86" s="202" t="n">
        <v>27.19</v>
      </c>
      <c r="AE86" s="202" t="n">
        <v>72.05</v>
      </c>
    </row>
    <row r="87" s="60" customFormat="true" ht="15.75" hidden="false" customHeight="false" outlineLevel="0" collapsed="false">
      <c r="A87" s="16"/>
      <c r="B87" s="16"/>
      <c r="C87" s="71"/>
      <c r="D87" s="72"/>
      <c r="E87" s="16"/>
      <c r="F87" s="16"/>
      <c r="G87" s="16"/>
      <c r="H87" s="16"/>
      <c r="I87" s="16"/>
      <c r="J87" s="16"/>
      <c r="K87" s="16"/>
      <c r="L87" s="19"/>
      <c r="M87" s="16"/>
      <c r="N87" s="19"/>
      <c r="O87" s="16"/>
      <c r="P87" s="16"/>
      <c r="Q87" s="486" t="s">
        <v>49</v>
      </c>
      <c r="R87" s="487"/>
      <c r="S87" s="16"/>
      <c r="T87" s="202" t="n">
        <v>0</v>
      </c>
      <c r="U87" s="16"/>
      <c r="V87" s="16"/>
      <c r="W87" s="16"/>
      <c r="X87" s="16"/>
      <c r="Y87" s="16"/>
      <c r="Z87" s="16"/>
      <c r="AA87" s="498" t="s">
        <v>266</v>
      </c>
      <c r="AB87" s="487" t="n">
        <v>22</v>
      </c>
      <c r="AC87" s="502" t="s">
        <v>4121</v>
      </c>
      <c r="AD87" s="486" t="n">
        <v>27.19</v>
      </c>
      <c r="AE87" s="486" t="n">
        <v>72.04</v>
      </c>
    </row>
    <row r="88" s="60" customFormat="true" ht="15.75" hidden="false" customHeight="false" outlineLevel="0" collapsed="false">
      <c r="A88" s="16"/>
      <c r="B88" s="16"/>
      <c r="C88" s="71"/>
      <c r="D88" s="72"/>
      <c r="E88" s="16"/>
      <c r="F88" s="16"/>
      <c r="G88" s="16"/>
      <c r="H88" s="16"/>
      <c r="I88" s="16"/>
      <c r="J88" s="16"/>
      <c r="K88" s="16"/>
      <c r="L88" s="19"/>
      <c r="M88" s="16"/>
      <c r="N88" s="19"/>
      <c r="O88" s="16"/>
      <c r="P88" s="16"/>
      <c r="Q88" s="486" t="s">
        <v>49</v>
      </c>
      <c r="R88" s="487"/>
      <c r="S88" s="16"/>
      <c r="T88" s="486" t="n">
        <v>0</v>
      </c>
      <c r="U88" s="16"/>
      <c r="V88" s="16"/>
      <c r="W88" s="16"/>
      <c r="X88" s="16"/>
      <c r="Y88" s="16"/>
      <c r="Z88" s="16"/>
      <c r="AA88" s="498" t="s">
        <v>266</v>
      </c>
      <c r="AB88" s="487" t="n">
        <v>22</v>
      </c>
      <c r="AC88" s="488" t="s">
        <v>4122</v>
      </c>
      <c r="AD88" s="486" t="n">
        <v>27.2</v>
      </c>
      <c r="AE88" s="486" t="n">
        <v>72.05</v>
      </c>
    </row>
    <row r="89" s="60" customFormat="true" ht="15.75" hidden="false" customHeight="false" outlineLevel="0" collapsed="false">
      <c r="A89" s="16" t="s">
        <v>42</v>
      </c>
      <c r="B89" s="16" t="s">
        <v>545</v>
      </c>
      <c r="C89" s="71" t="s">
        <v>4117</v>
      </c>
      <c r="D89" s="16" t="s">
        <v>4123</v>
      </c>
      <c r="E89" s="16" t="s">
        <v>4124</v>
      </c>
      <c r="F89" s="16" t="n">
        <v>3640</v>
      </c>
      <c r="G89" s="16" t="n">
        <v>48</v>
      </c>
      <c r="H89" s="16" t="n">
        <v>299</v>
      </c>
      <c r="I89" s="16" t="n">
        <v>169</v>
      </c>
      <c r="J89" s="16" t="n">
        <v>130</v>
      </c>
      <c r="K89" s="16" t="n">
        <v>159</v>
      </c>
      <c r="L89" s="19" t="n">
        <f aca="false">(K89/H89)*100</f>
        <v>53.1772575250836</v>
      </c>
      <c r="M89" s="16" t="n">
        <v>11</v>
      </c>
      <c r="N89" s="19" t="n">
        <f aca="false">(M89/H89)*100</f>
        <v>3.67892976588629</v>
      </c>
      <c r="O89" s="16" t="n">
        <v>16</v>
      </c>
      <c r="P89" s="16" t="n">
        <v>0</v>
      </c>
      <c r="Q89" s="202" t="s">
        <v>49</v>
      </c>
      <c r="R89" s="350" t="n">
        <v>44836</v>
      </c>
      <c r="S89" s="16"/>
      <c r="T89" s="202" t="n">
        <v>16.1874</v>
      </c>
      <c r="U89" s="16"/>
      <c r="V89" s="16"/>
      <c r="W89" s="16"/>
      <c r="X89" s="16"/>
      <c r="Y89" s="16"/>
      <c r="Z89" s="16"/>
      <c r="AA89" s="190" t="s">
        <v>266</v>
      </c>
      <c r="AB89" s="349" t="n">
        <v>8</v>
      </c>
      <c r="AC89" s="491" t="s">
        <v>4125</v>
      </c>
      <c r="AD89" s="202" t="n">
        <v>27.17</v>
      </c>
      <c r="AE89" s="202" t="n">
        <v>72</v>
      </c>
    </row>
    <row r="90" s="60" customFormat="true" ht="15.75" hidden="false" customHeight="false" outlineLevel="0" collapsed="false">
      <c r="A90" s="16" t="s">
        <v>42</v>
      </c>
      <c r="B90" s="16" t="s">
        <v>545</v>
      </c>
      <c r="C90" s="71" t="s">
        <v>4117</v>
      </c>
      <c r="D90" s="16" t="s">
        <v>4126</v>
      </c>
      <c r="E90" s="16" t="s">
        <v>4127</v>
      </c>
      <c r="F90" s="16" t="n">
        <v>2134</v>
      </c>
      <c r="G90" s="16" t="n">
        <v>141</v>
      </c>
      <c r="H90" s="16" t="n">
        <v>763</v>
      </c>
      <c r="I90" s="16" t="n">
        <v>402</v>
      </c>
      <c r="J90" s="16" t="n">
        <v>361</v>
      </c>
      <c r="K90" s="16" t="n">
        <v>178</v>
      </c>
      <c r="L90" s="19" t="n">
        <f aca="false">(K90/H90)*100</f>
        <v>23.3289646133683</v>
      </c>
      <c r="M90" s="16" t="n">
        <v>21</v>
      </c>
      <c r="N90" s="19" t="n">
        <f aca="false">(M90/H90)*100</f>
        <v>2.75229357798165</v>
      </c>
      <c r="O90" s="16" t="n">
        <v>225</v>
      </c>
      <c r="P90" s="16" t="n">
        <v>0</v>
      </c>
      <c r="Q90" s="88"/>
      <c r="R90" s="87"/>
      <c r="S90" s="16"/>
      <c r="T90" s="202" t="n">
        <v>0</v>
      </c>
      <c r="U90" s="16"/>
      <c r="V90" s="16"/>
      <c r="W90" s="16"/>
      <c r="X90" s="16"/>
      <c r="Y90" s="16"/>
      <c r="Z90" s="16"/>
      <c r="AA90" s="87"/>
      <c r="AB90" s="88"/>
      <c r="AC90" s="16"/>
      <c r="AD90" s="16"/>
      <c r="AE90" s="16"/>
    </row>
    <row r="91" customFormat="false" ht="15.75" hidden="false" customHeight="false" outlineLevel="0" collapsed="false">
      <c r="A91" s="77" t="s">
        <v>42</v>
      </c>
      <c r="B91" s="77" t="s">
        <v>3938</v>
      </c>
      <c r="C91" s="113" t="s">
        <v>4128</v>
      </c>
      <c r="D91" s="171" t="s">
        <v>4129</v>
      </c>
      <c r="E91" s="77" t="s">
        <v>4130</v>
      </c>
      <c r="F91" s="77" t="n">
        <v>4119</v>
      </c>
      <c r="G91" s="77" t="n">
        <v>615</v>
      </c>
      <c r="H91" s="77" t="n">
        <v>3720</v>
      </c>
      <c r="I91" s="77" t="n">
        <v>1969</v>
      </c>
      <c r="J91" s="77" t="n">
        <v>1751</v>
      </c>
      <c r="K91" s="77" t="n">
        <v>1017</v>
      </c>
      <c r="L91" s="19" t="n">
        <f aca="false">(K91/H91)*100</f>
        <v>27.3387096774193</v>
      </c>
      <c r="M91" s="77" t="n">
        <v>529</v>
      </c>
      <c r="N91" s="19" t="n">
        <f aca="false">(M91/H91)*100</f>
        <v>14.2204301075269</v>
      </c>
      <c r="O91" s="77" t="n">
        <v>197</v>
      </c>
      <c r="P91" s="77" t="n">
        <v>0</v>
      </c>
      <c r="Q91" s="202"/>
      <c r="R91" s="349"/>
      <c r="S91" s="77"/>
      <c r="T91" s="202" t="n">
        <v>0</v>
      </c>
      <c r="U91" s="77"/>
      <c r="V91" s="77"/>
      <c r="W91" s="77"/>
      <c r="X91" s="77"/>
      <c r="Y91" s="77"/>
      <c r="Z91" s="77"/>
      <c r="AA91" s="349"/>
      <c r="AB91" s="349"/>
      <c r="AC91" s="349"/>
      <c r="AD91" s="349"/>
      <c r="AE91" s="349"/>
    </row>
    <row r="92" customFormat="false" ht="15.75" hidden="false" customHeight="false" outlineLevel="0" collapsed="false">
      <c r="A92" s="77" t="s">
        <v>42</v>
      </c>
      <c r="B92" s="77" t="s">
        <v>3938</v>
      </c>
      <c r="C92" s="113" t="s">
        <v>4128</v>
      </c>
      <c r="D92" s="77" t="s">
        <v>146</v>
      </c>
      <c r="E92" s="77" t="s">
        <v>4131</v>
      </c>
      <c r="F92" s="77" t="n">
        <v>1516</v>
      </c>
      <c r="G92" s="77" t="n">
        <v>215</v>
      </c>
      <c r="H92" s="77" t="n">
        <v>1201</v>
      </c>
      <c r="I92" s="77" t="n">
        <v>640</v>
      </c>
      <c r="J92" s="77" t="n">
        <v>561</v>
      </c>
      <c r="K92" s="77" t="n">
        <v>352</v>
      </c>
      <c r="L92" s="19" t="n">
        <f aca="false">(K92/H92)*100</f>
        <v>29.3089092422981</v>
      </c>
      <c r="M92" s="77" t="n">
        <v>0</v>
      </c>
      <c r="N92" s="19" t="n">
        <f aca="false">(M92/H92)*100</f>
        <v>0</v>
      </c>
      <c r="O92" s="77" t="n">
        <v>0</v>
      </c>
      <c r="P92" s="77" t="n">
        <v>0</v>
      </c>
      <c r="Q92" s="202"/>
      <c r="R92" s="349"/>
      <c r="S92" s="77"/>
      <c r="T92" s="202" t="n">
        <v>0</v>
      </c>
      <c r="U92" s="77"/>
      <c r="V92" s="77"/>
      <c r="W92" s="77"/>
      <c r="X92" s="77"/>
      <c r="Y92" s="77"/>
      <c r="Z92" s="77"/>
      <c r="AA92" s="349"/>
      <c r="AB92" s="349"/>
      <c r="AC92" s="349"/>
      <c r="AD92" s="349"/>
      <c r="AE92" s="349"/>
    </row>
    <row r="93" customFormat="false" ht="15.75" hidden="false" customHeight="false" outlineLevel="0" collapsed="false">
      <c r="A93" s="77" t="s">
        <v>42</v>
      </c>
      <c r="B93" s="77" t="s">
        <v>3938</v>
      </c>
      <c r="C93" s="113" t="s">
        <v>4132</v>
      </c>
      <c r="D93" s="171" t="s">
        <v>4132</v>
      </c>
      <c r="E93" s="77" t="s">
        <v>4133</v>
      </c>
      <c r="F93" s="77" t="n">
        <v>2316</v>
      </c>
      <c r="G93" s="77" t="n">
        <v>257</v>
      </c>
      <c r="H93" s="77" t="n">
        <v>1481</v>
      </c>
      <c r="I93" s="77" t="n">
        <v>775</v>
      </c>
      <c r="J93" s="77" t="n">
        <v>706</v>
      </c>
      <c r="K93" s="77" t="n">
        <v>361</v>
      </c>
      <c r="L93" s="19" t="n">
        <f aca="false">(K93/H93)*100</f>
        <v>24.3754220121539</v>
      </c>
      <c r="M93" s="77" t="n">
        <v>6</v>
      </c>
      <c r="N93" s="19" t="n">
        <f aca="false">(M93/H93)*100</f>
        <v>0.405131667792032</v>
      </c>
      <c r="O93" s="77" t="n">
        <v>13</v>
      </c>
      <c r="P93" s="77" t="n">
        <v>0</v>
      </c>
      <c r="Q93" s="202" t="s">
        <v>49</v>
      </c>
      <c r="R93" s="350" t="n">
        <v>44836</v>
      </c>
      <c r="S93" s="77"/>
      <c r="T93" s="202" t="n">
        <v>5.0828</v>
      </c>
      <c r="U93" s="77"/>
      <c r="V93" s="77"/>
      <c r="W93" s="77"/>
      <c r="X93" s="77"/>
      <c r="Y93" s="77"/>
      <c r="Z93" s="77"/>
      <c r="AA93" s="190" t="s">
        <v>266</v>
      </c>
      <c r="AB93" s="490" t="n">
        <v>0</v>
      </c>
      <c r="AC93" s="254" t="n">
        <v>0</v>
      </c>
      <c r="AD93" s="202" t="n">
        <v>0</v>
      </c>
      <c r="AE93" s="202" t="n">
        <v>0</v>
      </c>
    </row>
    <row r="94" customFormat="false" ht="15.75" hidden="false" customHeight="false" outlineLevel="0" collapsed="false">
      <c r="A94" s="77" t="s">
        <v>42</v>
      </c>
      <c r="B94" s="77" t="s">
        <v>3938</v>
      </c>
      <c r="C94" s="113" t="s">
        <v>4132</v>
      </c>
      <c r="D94" s="77" t="s">
        <v>4134</v>
      </c>
      <c r="E94" s="77" t="s">
        <v>4135</v>
      </c>
      <c r="F94" s="77" t="n">
        <v>510</v>
      </c>
      <c r="G94" s="77" t="n">
        <v>80</v>
      </c>
      <c r="H94" s="77" t="n">
        <v>470</v>
      </c>
      <c r="I94" s="77" t="n">
        <v>252</v>
      </c>
      <c r="J94" s="77" t="n">
        <v>218</v>
      </c>
      <c r="K94" s="77" t="n">
        <v>114</v>
      </c>
      <c r="L94" s="19" t="n">
        <f aca="false">(K94/H94)*100</f>
        <v>24.2553191489362</v>
      </c>
      <c r="M94" s="77" t="n">
        <v>0</v>
      </c>
      <c r="N94" s="19" t="n">
        <f aca="false">(M94/H94)*100</f>
        <v>0</v>
      </c>
      <c r="O94" s="77" t="n">
        <v>35</v>
      </c>
      <c r="P94" s="77" t="n">
        <v>0</v>
      </c>
      <c r="Q94" s="202" t="s">
        <v>49</v>
      </c>
      <c r="R94" s="350" t="n">
        <v>44836</v>
      </c>
      <c r="S94" s="77"/>
      <c r="T94" s="202" t="n">
        <v>17.6119</v>
      </c>
      <c r="U94" s="77"/>
      <c r="V94" s="77"/>
      <c r="W94" s="77"/>
      <c r="X94" s="77"/>
      <c r="Y94" s="77"/>
      <c r="Z94" s="77"/>
      <c r="AA94" s="190" t="s">
        <v>266</v>
      </c>
      <c r="AB94" s="490" t="n">
        <v>12</v>
      </c>
      <c r="AC94" s="491" t="s">
        <v>4136</v>
      </c>
      <c r="AD94" s="506" t="n">
        <v>27.01</v>
      </c>
      <c r="AE94" s="506" t="n">
        <v>72.22</v>
      </c>
    </row>
    <row r="95" customFormat="false" ht="15.75" hidden="false" customHeight="false" outlineLevel="0" collapsed="false">
      <c r="A95" s="77" t="s">
        <v>42</v>
      </c>
      <c r="B95" s="77" t="s">
        <v>3938</v>
      </c>
      <c r="C95" s="113" t="s">
        <v>4132</v>
      </c>
      <c r="D95" s="77" t="s">
        <v>4137</v>
      </c>
      <c r="E95" s="77" t="s">
        <v>4138</v>
      </c>
      <c r="F95" s="77" t="n">
        <v>469</v>
      </c>
      <c r="G95" s="77" t="n">
        <v>67</v>
      </c>
      <c r="H95" s="77" t="n">
        <v>382</v>
      </c>
      <c r="I95" s="77" t="n">
        <v>195</v>
      </c>
      <c r="J95" s="77" t="n">
        <v>187</v>
      </c>
      <c r="K95" s="77" t="n">
        <v>0</v>
      </c>
      <c r="L95" s="19" t="n">
        <f aca="false">(K95/H95)*100</f>
        <v>0</v>
      </c>
      <c r="M95" s="77" t="n">
        <v>0</v>
      </c>
      <c r="N95" s="19" t="n">
        <f aca="false">(M95/H95)*100</f>
        <v>0</v>
      </c>
      <c r="O95" s="77" t="n">
        <v>2</v>
      </c>
      <c r="P95" s="77" t="n">
        <v>0</v>
      </c>
      <c r="Q95" s="202" t="s">
        <v>49</v>
      </c>
      <c r="R95" s="350" t="n">
        <v>44836</v>
      </c>
      <c r="S95" s="77"/>
      <c r="T95" s="202" t="n">
        <v>0</v>
      </c>
      <c r="U95" s="77"/>
      <c r="V95" s="77"/>
      <c r="W95" s="77"/>
      <c r="X95" s="77"/>
      <c r="Y95" s="77"/>
      <c r="Z95" s="77"/>
      <c r="AA95" s="190" t="s">
        <v>266</v>
      </c>
      <c r="AB95" s="490" t="n">
        <v>1</v>
      </c>
      <c r="AC95" s="491" t="s">
        <v>4139</v>
      </c>
      <c r="AD95" s="202" t="n">
        <v>26.98</v>
      </c>
      <c r="AE95" s="202" t="n">
        <v>72.19</v>
      </c>
    </row>
    <row r="96" customFormat="false" ht="15.75" hidden="false" customHeight="false" outlineLevel="0" collapsed="false">
      <c r="A96" s="77" t="s">
        <v>42</v>
      </c>
      <c r="B96" s="77" t="s">
        <v>3938</v>
      </c>
      <c r="C96" s="113" t="s">
        <v>4140</v>
      </c>
      <c r="D96" s="171" t="s">
        <v>4141</v>
      </c>
      <c r="E96" s="77" t="s">
        <v>4142</v>
      </c>
      <c r="F96" s="77" t="n">
        <v>5948</v>
      </c>
      <c r="G96" s="77" t="n">
        <v>452</v>
      </c>
      <c r="H96" s="77" t="n">
        <v>2452</v>
      </c>
      <c r="I96" s="77" t="n">
        <v>1302</v>
      </c>
      <c r="J96" s="77" t="n">
        <v>1150</v>
      </c>
      <c r="K96" s="77" t="n">
        <v>356</v>
      </c>
      <c r="L96" s="19" t="n">
        <f aca="false">(K96/H96)*100</f>
        <v>14.5187601957586</v>
      </c>
      <c r="M96" s="77" t="n">
        <v>222</v>
      </c>
      <c r="N96" s="19" t="n">
        <f aca="false">(M96/H96)*100</f>
        <v>9.05383360522023</v>
      </c>
      <c r="O96" s="77" t="n">
        <v>313</v>
      </c>
      <c r="P96" s="77" t="n">
        <v>0</v>
      </c>
      <c r="Q96" s="202" t="s">
        <v>49</v>
      </c>
      <c r="R96" s="350" t="n">
        <v>45201</v>
      </c>
      <c r="S96" s="77"/>
      <c r="T96" s="202" t="n">
        <v>257.9058</v>
      </c>
      <c r="U96" s="77"/>
      <c r="V96" s="77"/>
      <c r="W96" s="77"/>
      <c r="X96" s="77"/>
      <c r="Y96" s="77"/>
      <c r="Z96" s="77"/>
      <c r="AA96" s="190" t="s">
        <v>266</v>
      </c>
      <c r="AB96" s="349" t="n">
        <v>10</v>
      </c>
      <c r="AC96" s="501" t="s">
        <v>4143</v>
      </c>
      <c r="AD96" s="202" t="n">
        <v>26.96</v>
      </c>
      <c r="AE96" s="202" t="n">
        <v>72.09</v>
      </c>
    </row>
    <row r="97" customFormat="false" ht="15.75" hidden="false" customHeight="false" outlineLevel="0" collapsed="false">
      <c r="A97" s="77"/>
      <c r="B97" s="77"/>
      <c r="C97" s="113"/>
      <c r="D97" s="171"/>
      <c r="E97" s="77"/>
      <c r="F97" s="77"/>
      <c r="G97" s="77"/>
      <c r="H97" s="77"/>
      <c r="I97" s="77"/>
      <c r="J97" s="77"/>
      <c r="K97" s="77"/>
      <c r="L97" s="19"/>
      <c r="M97" s="77"/>
      <c r="N97" s="19"/>
      <c r="O97" s="77"/>
      <c r="P97" s="77"/>
      <c r="Q97" s="486" t="s">
        <v>49</v>
      </c>
      <c r="R97" s="487"/>
      <c r="S97" s="77"/>
      <c r="T97" s="202" t="n">
        <v>0</v>
      </c>
      <c r="U97" s="77"/>
      <c r="V97" s="77"/>
      <c r="W97" s="77"/>
      <c r="X97" s="77"/>
      <c r="Y97" s="77"/>
      <c r="Z97" s="77"/>
      <c r="AA97" s="498" t="s">
        <v>266</v>
      </c>
      <c r="AB97" s="487" t="n">
        <v>18</v>
      </c>
      <c r="AC97" s="488" t="s">
        <v>4144</v>
      </c>
      <c r="AD97" s="486" t="n">
        <v>26.98</v>
      </c>
      <c r="AE97" s="486" t="n">
        <v>72.07</v>
      </c>
    </row>
    <row r="98" customFormat="false" ht="15.75" hidden="false" customHeight="false" outlineLevel="0" collapsed="false">
      <c r="A98" s="77"/>
      <c r="B98" s="77"/>
      <c r="C98" s="113"/>
      <c r="D98" s="171"/>
      <c r="E98" s="77"/>
      <c r="F98" s="77"/>
      <c r="G98" s="77"/>
      <c r="H98" s="77"/>
      <c r="I98" s="77"/>
      <c r="J98" s="77"/>
      <c r="K98" s="77"/>
      <c r="L98" s="19"/>
      <c r="M98" s="77"/>
      <c r="N98" s="19"/>
      <c r="O98" s="77"/>
      <c r="P98" s="77"/>
      <c r="Q98" s="486" t="s">
        <v>49</v>
      </c>
      <c r="R98" s="487"/>
      <c r="S98" s="77"/>
      <c r="T98" s="202" t="n">
        <v>0</v>
      </c>
      <c r="U98" s="77"/>
      <c r="V98" s="77"/>
      <c r="W98" s="77"/>
      <c r="X98" s="77"/>
      <c r="Y98" s="77"/>
      <c r="Z98" s="77"/>
      <c r="AA98" s="498" t="s">
        <v>266</v>
      </c>
      <c r="AB98" s="487" t="n">
        <v>26</v>
      </c>
      <c r="AC98" s="502" t="s">
        <v>4145</v>
      </c>
      <c r="AD98" s="486" t="n">
        <v>26.95</v>
      </c>
      <c r="AE98" s="486" t="n">
        <v>72.08</v>
      </c>
    </row>
    <row r="99" customFormat="false" ht="15.75" hidden="false" customHeight="false" outlineLevel="0" collapsed="false">
      <c r="A99" s="77" t="s">
        <v>42</v>
      </c>
      <c r="B99" s="77" t="s">
        <v>3938</v>
      </c>
      <c r="C99" s="113" t="s">
        <v>4140</v>
      </c>
      <c r="D99" s="77" t="s">
        <v>4146</v>
      </c>
      <c r="E99" s="77" t="s">
        <v>4147</v>
      </c>
      <c r="F99" s="77" t="n">
        <v>1102</v>
      </c>
      <c r="G99" s="77" t="n">
        <v>99</v>
      </c>
      <c r="H99" s="77" t="n">
        <v>728</v>
      </c>
      <c r="I99" s="77" t="n">
        <v>385</v>
      </c>
      <c r="J99" s="77" t="n">
        <v>343</v>
      </c>
      <c r="K99" s="77" t="n">
        <v>178</v>
      </c>
      <c r="L99" s="19" t="n">
        <f aca="false">(K99/H99)*100</f>
        <v>24.4505494505494</v>
      </c>
      <c r="M99" s="77" t="n">
        <v>176</v>
      </c>
      <c r="N99" s="19" t="n">
        <f aca="false">(M99/H99)*100</f>
        <v>24.1758241758242</v>
      </c>
      <c r="O99" s="77" t="n">
        <v>9</v>
      </c>
      <c r="P99" s="77" t="n">
        <v>0</v>
      </c>
      <c r="Q99" s="202" t="s">
        <v>49</v>
      </c>
      <c r="R99" s="350" t="n">
        <v>45201</v>
      </c>
      <c r="S99" s="77"/>
      <c r="T99" s="202" t="n">
        <v>0</v>
      </c>
      <c r="U99" s="77"/>
      <c r="V99" s="77"/>
      <c r="W99" s="77"/>
      <c r="X99" s="77"/>
      <c r="Y99" s="77"/>
      <c r="Z99" s="77"/>
      <c r="AA99" s="190" t="s">
        <v>266</v>
      </c>
      <c r="AB99" s="349" t="n">
        <v>0</v>
      </c>
      <c r="AC99" s="489" t="n">
        <v>0</v>
      </c>
      <c r="AD99" s="202" t="n">
        <v>0</v>
      </c>
      <c r="AE99" s="202" t="n">
        <v>0</v>
      </c>
    </row>
    <row r="100" customFormat="false" ht="15.75" hidden="false" customHeight="false" outlineLevel="0" collapsed="false">
      <c r="A100" s="77" t="s">
        <v>42</v>
      </c>
      <c r="B100" s="77" t="s">
        <v>3938</v>
      </c>
      <c r="C100" s="113" t="s">
        <v>4140</v>
      </c>
      <c r="D100" s="77" t="s">
        <v>457</v>
      </c>
      <c r="E100" s="77" t="s">
        <v>4148</v>
      </c>
      <c r="F100" s="77" t="n">
        <v>2503.69</v>
      </c>
      <c r="G100" s="77" t="n">
        <v>174</v>
      </c>
      <c r="H100" s="77" t="n">
        <v>759</v>
      </c>
      <c r="I100" s="77" t="n">
        <v>403</v>
      </c>
      <c r="J100" s="77" t="n">
        <v>356</v>
      </c>
      <c r="K100" s="77" t="n">
        <v>132</v>
      </c>
      <c r="L100" s="19" t="n">
        <f aca="false">(K100/H100)*100</f>
        <v>17.3913043478261</v>
      </c>
      <c r="M100" s="77" t="n">
        <v>13</v>
      </c>
      <c r="N100" s="19" t="n">
        <f aca="false">(M100/H100)*100</f>
        <v>1.71277997364954</v>
      </c>
      <c r="O100" s="77" t="n">
        <v>0</v>
      </c>
      <c r="P100" s="77" t="n">
        <v>0</v>
      </c>
      <c r="Q100" s="202" t="s">
        <v>49</v>
      </c>
      <c r="R100" s="350" t="n">
        <v>45201</v>
      </c>
      <c r="S100" s="77"/>
      <c r="T100" s="202" t="n">
        <v>0</v>
      </c>
      <c r="U100" s="77"/>
      <c r="V100" s="77"/>
      <c r="W100" s="77"/>
      <c r="X100" s="77"/>
      <c r="Y100" s="77"/>
      <c r="Z100" s="77"/>
      <c r="AA100" s="190" t="s">
        <v>266</v>
      </c>
      <c r="AB100" s="349" t="n">
        <v>0</v>
      </c>
      <c r="AC100" s="489" t="n">
        <v>0</v>
      </c>
      <c r="AD100" s="202" t="n">
        <v>0</v>
      </c>
      <c r="AE100" s="202" t="n">
        <v>0</v>
      </c>
    </row>
    <row r="101" customFormat="false" ht="15.75" hidden="false" customHeight="false" outlineLevel="0" collapsed="false">
      <c r="A101" s="77" t="s">
        <v>42</v>
      </c>
      <c r="B101" s="77" t="s">
        <v>3938</v>
      </c>
      <c r="C101" s="113" t="s">
        <v>4149</v>
      </c>
      <c r="D101" s="171" t="s">
        <v>491</v>
      </c>
      <c r="E101" s="77" t="s">
        <v>4150</v>
      </c>
      <c r="F101" s="77" t="n">
        <v>1474.33</v>
      </c>
      <c r="G101" s="77" t="n">
        <v>123</v>
      </c>
      <c r="H101" s="77" t="n">
        <v>824</v>
      </c>
      <c r="I101" s="77" t="n">
        <v>436</v>
      </c>
      <c r="J101" s="77" t="n">
        <v>388</v>
      </c>
      <c r="K101" s="77" t="n">
        <v>398</v>
      </c>
      <c r="L101" s="19" t="n">
        <f aca="false">(K101/H101)*100</f>
        <v>48.3009708737864</v>
      </c>
      <c r="M101" s="77" t="n">
        <v>0</v>
      </c>
      <c r="N101" s="19" t="n">
        <f aca="false">(M101/H101)*100</f>
        <v>0</v>
      </c>
      <c r="O101" s="77" t="n">
        <v>0</v>
      </c>
      <c r="P101" s="77" t="n">
        <v>0</v>
      </c>
      <c r="Q101" s="202" t="s">
        <v>49</v>
      </c>
      <c r="R101" s="350" t="n">
        <v>44836</v>
      </c>
      <c r="S101" s="77"/>
      <c r="T101" s="202" t="n">
        <v>0</v>
      </c>
      <c r="U101" s="77"/>
      <c r="V101" s="77"/>
      <c r="W101" s="77"/>
      <c r="X101" s="77"/>
      <c r="Y101" s="77"/>
      <c r="Z101" s="77"/>
      <c r="AA101" s="190" t="s">
        <v>266</v>
      </c>
      <c r="AB101" s="349" t="n">
        <v>0</v>
      </c>
      <c r="AC101" s="489" t="n">
        <v>0</v>
      </c>
      <c r="AD101" s="202" t="n">
        <v>0</v>
      </c>
      <c r="AE101" s="202" t="n">
        <v>0</v>
      </c>
    </row>
    <row r="102" customFormat="false" ht="15.75" hidden="false" customHeight="false" outlineLevel="0" collapsed="false">
      <c r="A102" s="77" t="s">
        <v>42</v>
      </c>
      <c r="B102" s="77" t="s">
        <v>3938</v>
      </c>
      <c r="C102" s="113" t="s">
        <v>4149</v>
      </c>
      <c r="D102" s="77" t="s">
        <v>4151</v>
      </c>
      <c r="E102" s="77" t="s">
        <v>4152</v>
      </c>
      <c r="F102" s="77" t="n">
        <v>1004.19</v>
      </c>
      <c r="G102" s="77" t="n">
        <v>104</v>
      </c>
      <c r="H102" s="77" t="n">
        <v>621</v>
      </c>
      <c r="I102" s="77" t="n">
        <v>342</v>
      </c>
      <c r="J102" s="77" t="n">
        <v>279</v>
      </c>
      <c r="K102" s="77" t="n">
        <v>53</v>
      </c>
      <c r="L102" s="19" t="n">
        <f aca="false">(K102/H102)*100</f>
        <v>8.53462157809984</v>
      </c>
      <c r="M102" s="77" t="n">
        <v>0</v>
      </c>
      <c r="N102" s="19" t="n">
        <f aca="false">(M102/H102)*100</f>
        <v>0</v>
      </c>
      <c r="O102" s="77" t="n">
        <v>58.1</v>
      </c>
      <c r="P102" s="77" t="n">
        <v>0</v>
      </c>
      <c r="Q102" s="202" t="s">
        <v>49</v>
      </c>
      <c r="R102" s="350" t="n">
        <v>45201</v>
      </c>
      <c r="S102" s="77"/>
      <c r="T102" s="202" t="n">
        <v>0</v>
      </c>
      <c r="U102" s="77"/>
      <c r="V102" s="77"/>
      <c r="W102" s="77"/>
      <c r="X102" s="77"/>
      <c r="Y102" s="77"/>
      <c r="Z102" s="77"/>
      <c r="AA102" s="190" t="s">
        <v>266</v>
      </c>
      <c r="AB102" s="349" t="n">
        <v>0</v>
      </c>
      <c r="AC102" s="489" t="n">
        <v>0</v>
      </c>
      <c r="AD102" s="202" t="n">
        <v>0</v>
      </c>
      <c r="AE102" s="202" t="n">
        <v>0</v>
      </c>
    </row>
    <row r="103" customFormat="false" ht="15.75" hidden="false" customHeight="false" outlineLevel="0" collapsed="false">
      <c r="A103" s="77" t="s">
        <v>42</v>
      </c>
      <c r="B103" s="77" t="s">
        <v>3938</v>
      </c>
      <c r="C103" s="113" t="s">
        <v>4149</v>
      </c>
      <c r="D103" s="77" t="s">
        <v>4153</v>
      </c>
      <c r="E103" s="77" t="s">
        <v>4154</v>
      </c>
      <c r="F103" s="77" t="n">
        <v>1170.46</v>
      </c>
      <c r="G103" s="77" t="n">
        <v>154</v>
      </c>
      <c r="H103" s="77" t="n">
        <v>1084</v>
      </c>
      <c r="I103" s="77" t="n">
        <v>566</v>
      </c>
      <c r="J103" s="77" t="n">
        <v>518</v>
      </c>
      <c r="K103" s="77" t="n">
        <v>244</v>
      </c>
      <c r="L103" s="19" t="n">
        <f aca="false">(K103/H103)*100</f>
        <v>22.5092250922509</v>
      </c>
      <c r="M103" s="77" t="n">
        <v>7</v>
      </c>
      <c r="N103" s="19" t="n">
        <f aca="false">(M103/H103)*100</f>
        <v>0.645756457564576</v>
      </c>
      <c r="O103" s="77" t="n">
        <v>0</v>
      </c>
      <c r="P103" s="77" t="n">
        <v>0</v>
      </c>
      <c r="Q103" s="202" t="s">
        <v>49</v>
      </c>
      <c r="R103" s="350" t="n">
        <v>45201</v>
      </c>
      <c r="S103" s="77"/>
      <c r="T103" s="202" t="n">
        <v>0</v>
      </c>
      <c r="U103" s="77"/>
      <c r="V103" s="77"/>
      <c r="W103" s="77"/>
      <c r="X103" s="77"/>
      <c r="Y103" s="77"/>
      <c r="Z103" s="77"/>
      <c r="AA103" s="190" t="s">
        <v>266</v>
      </c>
      <c r="AB103" s="349" t="n">
        <v>0</v>
      </c>
      <c r="AC103" s="489" t="n">
        <v>0</v>
      </c>
      <c r="AD103" s="202" t="n">
        <v>0</v>
      </c>
      <c r="AE103" s="202" t="n">
        <v>0</v>
      </c>
    </row>
    <row r="104" customFormat="false" ht="15.75" hidden="false" customHeight="false" outlineLevel="0" collapsed="false">
      <c r="A104" s="77" t="s">
        <v>42</v>
      </c>
      <c r="B104" s="77" t="s">
        <v>3938</v>
      </c>
      <c r="C104" s="113" t="s">
        <v>4149</v>
      </c>
      <c r="D104" s="77" t="s">
        <v>4155</v>
      </c>
      <c r="E104" s="77" t="s">
        <v>4156</v>
      </c>
      <c r="F104" s="77" t="n">
        <v>694.2</v>
      </c>
      <c r="G104" s="77" t="n">
        <v>47</v>
      </c>
      <c r="H104" s="77" t="n">
        <v>303</v>
      </c>
      <c r="I104" s="77" t="n">
        <v>158</v>
      </c>
      <c r="J104" s="77" t="n">
        <v>145</v>
      </c>
      <c r="K104" s="77" t="n">
        <v>73</v>
      </c>
      <c r="L104" s="19" t="n">
        <f aca="false">(K104/H104)*100</f>
        <v>24.0924092409241</v>
      </c>
      <c r="M104" s="77" t="n">
        <v>0</v>
      </c>
      <c r="N104" s="19" t="n">
        <f aca="false">(M104/H104)*100</f>
        <v>0</v>
      </c>
      <c r="O104" s="77" t="n">
        <v>17.9</v>
      </c>
      <c r="P104" s="77" t="n">
        <v>0</v>
      </c>
      <c r="Q104" s="202" t="s">
        <v>49</v>
      </c>
      <c r="R104" s="350" t="n">
        <v>45201</v>
      </c>
      <c r="S104" s="77"/>
      <c r="T104" s="202" t="n">
        <v>0</v>
      </c>
      <c r="U104" s="77"/>
      <c r="V104" s="77"/>
      <c r="W104" s="77"/>
      <c r="X104" s="77"/>
      <c r="Y104" s="77"/>
      <c r="Z104" s="77"/>
      <c r="AA104" s="190" t="s">
        <v>266</v>
      </c>
      <c r="AB104" s="349" t="n">
        <v>0</v>
      </c>
      <c r="AC104" s="489" t="n">
        <v>0</v>
      </c>
      <c r="AD104" s="202"/>
      <c r="AE104" s="349"/>
    </row>
    <row r="105" customFormat="false" ht="15.75" hidden="false" customHeight="false" outlineLevel="0" collapsed="false">
      <c r="A105" s="77" t="s">
        <v>42</v>
      </c>
      <c r="B105" s="77" t="s">
        <v>3938</v>
      </c>
      <c r="C105" s="113" t="s">
        <v>4149</v>
      </c>
      <c r="D105" s="77" t="s">
        <v>4157</v>
      </c>
      <c r="E105" s="77" t="s">
        <v>4158</v>
      </c>
      <c r="F105" s="77" t="n">
        <v>1079</v>
      </c>
      <c r="G105" s="77" t="n">
        <v>210</v>
      </c>
      <c r="H105" s="77" t="n">
        <v>1435</v>
      </c>
      <c r="I105" s="77" t="n">
        <v>756</v>
      </c>
      <c r="J105" s="77" t="n">
        <v>679</v>
      </c>
      <c r="K105" s="77" t="n">
        <v>137</v>
      </c>
      <c r="L105" s="19" t="n">
        <f aca="false">(K105/H105)*100</f>
        <v>9.54703832752613</v>
      </c>
      <c r="M105" s="77" t="n">
        <v>0</v>
      </c>
      <c r="N105" s="19" t="n">
        <f aca="false">(M105/H105)*100</f>
        <v>0</v>
      </c>
      <c r="O105" s="77" t="n">
        <v>32.76</v>
      </c>
      <c r="P105" s="77" t="n">
        <v>0</v>
      </c>
      <c r="Q105" s="202" t="s">
        <v>49</v>
      </c>
      <c r="R105" s="507" t="n">
        <v>45201</v>
      </c>
      <c r="S105" s="77"/>
      <c r="T105" s="202" t="n">
        <v>0</v>
      </c>
      <c r="U105" s="77"/>
      <c r="V105" s="77"/>
      <c r="W105" s="77"/>
      <c r="X105" s="77"/>
      <c r="Y105" s="77"/>
      <c r="Z105" s="77"/>
      <c r="AA105" s="190" t="s">
        <v>266</v>
      </c>
      <c r="AB105" s="349" t="n">
        <v>0</v>
      </c>
      <c r="AC105" s="489" t="n">
        <v>0</v>
      </c>
      <c r="AD105" s="202" t="n">
        <v>0</v>
      </c>
      <c r="AE105" s="202" t="n">
        <v>0</v>
      </c>
    </row>
    <row r="106" customFormat="false" ht="15" hidden="false" customHeight="false" outlineLevel="0" collapsed="false">
      <c r="A106" s="77" t="s">
        <v>42</v>
      </c>
      <c r="B106" s="77" t="s">
        <v>3938</v>
      </c>
      <c r="C106" s="77"/>
      <c r="D106" s="77" t="s">
        <v>4159</v>
      </c>
      <c r="E106" s="77" t="s">
        <v>4160</v>
      </c>
      <c r="F106" s="77" t="n">
        <v>0</v>
      </c>
      <c r="G106" s="77" t="n">
        <v>0</v>
      </c>
      <c r="H106" s="77" t="n">
        <v>0</v>
      </c>
      <c r="I106" s="77" t="n">
        <v>0</v>
      </c>
      <c r="J106" s="77" t="n">
        <v>0</v>
      </c>
      <c r="K106" s="77" t="n">
        <v>0</v>
      </c>
      <c r="L106" s="77" t="n">
        <v>0</v>
      </c>
      <c r="M106" s="77" t="n">
        <v>0</v>
      </c>
      <c r="N106" s="77" t="n">
        <v>0</v>
      </c>
      <c r="O106" s="77" t="n">
        <v>0</v>
      </c>
      <c r="P106" s="77" t="n">
        <v>0</v>
      </c>
      <c r="Q106" s="202"/>
      <c r="R106" s="349"/>
      <c r="S106" s="77"/>
      <c r="T106" s="202" t="n">
        <v>0</v>
      </c>
      <c r="U106" s="77"/>
      <c r="V106" s="77"/>
      <c r="W106" s="77"/>
      <c r="X106" s="77"/>
      <c r="Y106" s="77"/>
      <c r="Z106" s="77"/>
      <c r="AA106" s="349"/>
      <c r="AB106" s="349"/>
      <c r="AC106" s="349"/>
      <c r="AD106" s="349"/>
      <c r="AE106" s="349"/>
    </row>
    <row r="107" customFormat="false" ht="15" hidden="false" customHeight="false" outlineLevel="0" collapsed="false">
      <c r="F107" s="0" t="n">
        <f aca="false">SUM(F4:F106)</f>
        <v>151380.08</v>
      </c>
      <c r="G107" s="0" t="n">
        <f aca="false">SUM(G4:G106)</f>
        <v>17224</v>
      </c>
      <c r="H107" s="0" t="n">
        <f aca="false">SUM(H4:H106)</f>
        <v>104141</v>
      </c>
      <c r="I107" s="0" t="n">
        <f aca="false">SUM(I4:I106)</f>
        <v>54678</v>
      </c>
      <c r="J107" s="0" t="n">
        <f aca="false">SUM(J4:J106)</f>
        <v>49463</v>
      </c>
      <c r="K107" s="0" t="n">
        <f aca="false">SUM(K4:K106)</f>
        <v>21126</v>
      </c>
      <c r="M107" s="0" t="n">
        <f aca="false">SUM(M4:M106)</f>
        <v>3680</v>
      </c>
      <c r="O107" s="0" t="n">
        <f aca="false">SUM(O4:O106)</f>
        <v>8872.87</v>
      </c>
      <c r="P107" s="0" t="n">
        <f aca="false">SUM(P4:P106)</f>
        <v>435.78</v>
      </c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21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E9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4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P11" activeCellId="0" sqref="P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11.43"/>
    <col collapsed="false" customWidth="true" hidden="false" outlineLevel="0" max="3" min="3" style="0" width="14.28"/>
    <col collapsed="false" customWidth="true" hidden="false" outlineLevel="0" max="4" min="4" style="0" width="17"/>
    <col collapsed="false" customWidth="true" hidden="false" outlineLevel="0" max="5" min="5" style="0" width="20.71"/>
    <col collapsed="false" customWidth="true" hidden="false" outlineLevel="0" max="6" min="6" style="0" width="14.85"/>
    <col collapsed="false" customWidth="true" hidden="false" outlineLevel="0" max="7" min="7" style="0" width="12.43"/>
    <col collapsed="false" customWidth="true" hidden="false" outlineLevel="0" max="8" min="8" style="0" width="13.85"/>
    <col collapsed="false" customWidth="true" hidden="false" outlineLevel="0" max="10" min="9" style="0" width="9.85"/>
    <col collapsed="false" customWidth="true" hidden="false" outlineLevel="0" max="11" min="11" style="0" width="8.43"/>
    <col collapsed="false" customWidth="true" hidden="false" outlineLevel="0" max="12" min="12" style="0" width="8.71"/>
    <col collapsed="false" customWidth="true" hidden="false" outlineLevel="0" max="13" min="13" style="0" width="9.85"/>
    <col collapsed="false" customWidth="true" hidden="false" outlineLevel="0" max="14" min="14" style="0" width="11.28"/>
    <col collapsed="false" customWidth="true" hidden="false" outlineLevel="0" max="15" min="15" style="0" width="13"/>
    <col collapsed="false" customWidth="true" hidden="false" outlineLevel="0" max="16" min="16" style="0" width="11.14"/>
    <col collapsed="false" customWidth="true" hidden="false" outlineLevel="0" max="17" min="17" style="484" width="13"/>
    <col collapsed="false" customWidth="true" hidden="false" outlineLevel="0" max="18" min="18" style="0" width="16.28"/>
    <col collapsed="false" customWidth="true" hidden="false" outlineLevel="0" max="28" min="19" style="0" width="13.71"/>
    <col collapsed="false" customWidth="true" hidden="false" outlineLevel="0" max="29" min="29" style="440" width="31.57"/>
    <col collapsed="false" customWidth="true" hidden="false" outlineLevel="0" max="31" min="30" style="0" width="12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08" t="s">
        <v>3</v>
      </c>
      <c r="AE1" s="508" t="s">
        <v>3</v>
      </c>
    </row>
    <row r="2" s="13" customFormat="true" ht="126" hidden="false" customHeight="true" outlineLevel="0" collapsed="fals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509" t="s">
        <v>31</v>
      </c>
      <c r="AE2" s="509"/>
    </row>
    <row r="3" s="13" customFormat="true" ht="65.2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509" t="s">
        <v>40</v>
      </c>
      <c r="AE3" s="509" t="s">
        <v>41</v>
      </c>
    </row>
    <row r="4" customFormat="false" ht="15.75" hidden="false" customHeight="false" outlineLevel="0" collapsed="false">
      <c r="A4" s="16" t="s">
        <v>42</v>
      </c>
      <c r="B4" s="16" t="s">
        <v>4161</v>
      </c>
      <c r="C4" s="71" t="s">
        <v>968</v>
      </c>
      <c r="D4" s="16" t="s">
        <v>4162</v>
      </c>
      <c r="E4" s="16" t="s">
        <v>4163</v>
      </c>
      <c r="F4" s="16" t="n">
        <v>400</v>
      </c>
      <c r="G4" s="16" t="n">
        <v>44</v>
      </c>
      <c r="H4" s="16" t="n">
        <v>208</v>
      </c>
      <c r="I4" s="16" t="n">
        <v>104</v>
      </c>
      <c r="J4" s="16" t="n">
        <v>104</v>
      </c>
      <c r="K4" s="16" t="n">
        <v>19</v>
      </c>
      <c r="L4" s="19" t="n">
        <f aca="false">(K4/H4)*100</f>
        <v>9.13461538461538</v>
      </c>
      <c r="M4" s="16" t="n">
        <v>0</v>
      </c>
      <c r="N4" s="19" t="n">
        <f aca="false">(M4/H4)*100</f>
        <v>0</v>
      </c>
      <c r="O4" s="16" t="n">
        <v>11</v>
      </c>
      <c r="P4" s="16" t="n">
        <v>0</v>
      </c>
      <c r="Q4" s="89"/>
      <c r="R4" s="20"/>
      <c r="S4" s="16"/>
      <c r="T4" s="20" t="n">
        <v>0</v>
      </c>
      <c r="U4" s="16"/>
      <c r="V4" s="16"/>
      <c r="W4" s="16"/>
      <c r="X4" s="16"/>
      <c r="Y4" s="16"/>
      <c r="Z4" s="16"/>
      <c r="AA4" s="89"/>
      <c r="AB4" s="89"/>
      <c r="AC4" s="36"/>
      <c r="AD4" s="20"/>
      <c r="AE4" s="20"/>
    </row>
    <row r="5" customFormat="false" ht="15.75" hidden="false" customHeight="false" outlineLevel="0" collapsed="false">
      <c r="A5" s="16" t="s">
        <v>42</v>
      </c>
      <c r="B5" s="16" t="s">
        <v>4161</v>
      </c>
      <c r="C5" s="71" t="s">
        <v>546</v>
      </c>
      <c r="D5" s="16" t="s">
        <v>4164</v>
      </c>
      <c r="E5" s="16" t="s">
        <v>4165</v>
      </c>
      <c r="F5" s="16" t="n">
        <v>712</v>
      </c>
      <c r="G5" s="16" t="n">
        <v>122</v>
      </c>
      <c r="H5" s="16" t="n">
        <v>711</v>
      </c>
      <c r="I5" s="16" t="n">
        <v>369</v>
      </c>
      <c r="J5" s="16" t="n">
        <v>342</v>
      </c>
      <c r="K5" s="16" t="n">
        <v>293</v>
      </c>
      <c r="L5" s="19" t="n">
        <f aca="false">(K5/H5)*100</f>
        <v>41.2095639943741</v>
      </c>
      <c r="M5" s="16" t="n">
        <v>123</v>
      </c>
      <c r="N5" s="19" t="n">
        <f aca="false">(M5/H5)*100</f>
        <v>17.2995780590717</v>
      </c>
      <c r="O5" s="16" t="n">
        <v>95</v>
      </c>
      <c r="P5" s="16" t="n">
        <v>0</v>
      </c>
      <c r="Q5" s="89"/>
      <c r="R5" s="20"/>
      <c r="S5" s="16"/>
      <c r="T5" s="20" t="n">
        <v>0</v>
      </c>
      <c r="U5" s="16"/>
      <c r="V5" s="16"/>
      <c r="W5" s="16"/>
      <c r="X5" s="16"/>
      <c r="Y5" s="16"/>
      <c r="Z5" s="16"/>
      <c r="AA5" s="89"/>
      <c r="AB5" s="89"/>
      <c r="AC5" s="36"/>
      <c r="AD5" s="20"/>
      <c r="AE5" s="20"/>
    </row>
    <row r="6" customFormat="false" ht="31.5" hidden="false" customHeight="false" outlineLevel="0" collapsed="false">
      <c r="A6" s="16" t="s">
        <v>42</v>
      </c>
      <c r="B6" s="16" t="s">
        <v>4161</v>
      </c>
      <c r="C6" s="71" t="s">
        <v>4166</v>
      </c>
      <c r="D6" s="72" t="s">
        <v>4166</v>
      </c>
      <c r="E6" s="16" t="s">
        <v>4167</v>
      </c>
      <c r="F6" s="16" t="n">
        <v>2312</v>
      </c>
      <c r="G6" s="16" t="n">
        <v>260</v>
      </c>
      <c r="H6" s="16" t="n">
        <v>1691</v>
      </c>
      <c r="I6" s="16" t="n">
        <v>903</v>
      </c>
      <c r="J6" s="16" t="n">
        <v>788</v>
      </c>
      <c r="K6" s="16" t="n">
        <v>578</v>
      </c>
      <c r="L6" s="19" t="n">
        <f aca="false">(K6/H6)*100</f>
        <v>34.1809580130101</v>
      </c>
      <c r="M6" s="16" t="n">
        <v>17</v>
      </c>
      <c r="N6" s="19" t="n">
        <f aca="false">(M6/H6)*100</f>
        <v>1.0053222945003</v>
      </c>
      <c r="O6" s="16" t="n">
        <v>74</v>
      </c>
      <c r="P6" s="16" t="n">
        <v>0</v>
      </c>
      <c r="Q6" s="89" t="s">
        <v>49</v>
      </c>
      <c r="R6" s="153" t="n">
        <v>44879</v>
      </c>
      <c r="S6" s="16"/>
      <c r="T6" s="20" t="n">
        <v>0</v>
      </c>
      <c r="U6" s="16"/>
      <c r="V6" s="16"/>
      <c r="W6" s="16"/>
      <c r="X6" s="16"/>
      <c r="Y6" s="16"/>
      <c r="Z6" s="16"/>
      <c r="AA6" s="89" t="s">
        <v>266</v>
      </c>
      <c r="AB6" s="89" t="n">
        <v>4</v>
      </c>
      <c r="AC6" s="90" t="s">
        <v>4168</v>
      </c>
      <c r="AD6" s="267" t="n">
        <v>26.53</v>
      </c>
      <c r="AE6" s="20" t="n">
        <v>72.37</v>
      </c>
    </row>
    <row r="7" customFormat="false" ht="31.5" hidden="false" customHeight="false" outlineLevel="0" collapsed="false">
      <c r="A7" s="16" t="s">
        <v>42</v>
      </c>
      <c r="B7" s="16" t="s">
        <v>4161</v>
      </c>
      <c r="C7" s="71" t="s">
        <v>4166</v>
      </c>
      <c r="D7" s="16" t="s">
        <v>4169</v>
      </c>
      <c r="E7" s="16" t="s">
        <v>4170</v>
      </c>
      <c r="F7" s="16" t="n">
        <v>781</v>
      </c>
      <c r="G7" s="16" t="n">
        <v>131</v>
      </c>
      <c r="H7" s="16" t="n">
        <v>725</v>
      </c>
      <c r="I7" s="16" t="n">
        <v>378</v>
      </c>
      <c r="J7" s="16" t="n">
        <v>347</v>
      </c>
      <c r="K7" s="16" t="n">
        <v>178</v>
      </c>
      <c r="L7" s="19" t="n">
        <f aca="false">(K7/H7)*100</f>
        <v>24.551724137931</v>
      </c>
      <c r="M7" s="16" t="n">
        <v>94</v>
      </c>
      <c r="N7" s="19" t="n">
        <f aca="false">(M7/H7)*100</f>
        <v>12.9655172413793</v>
      </c>
      <c r="O7" s="16" t="n">
        <v>42</v>
      </c>
      <c r="P7" s="16" t="n">
        <v>0</v>
      </c>
      <c r="Q7" s="92" t="s">
        <v>49</v>
      </c>
      <c r="R7" s="421" t="n">
        <v>44879</v>
      </c>
      <c r="S7" s="16"/>
      <c r="T7" s="20" t="n">
        <v>0</v>
      </c>
      <c r="U7" s="16"/>
      <c r="V7" s="16"/>
      <c r="W7" s="16"/>
      <c r="X7" s="16"/>
      <c r="Y7" s="16"/>
      <c r="Z7" s="16"/>
      <c r="AA7" s="119" t="s">
        <v>266</v>
      </c>
      <c r="AB7" s="119" t="n">
        <v>15</v>
      </c>
      <c r="AC7" s="96" t="s">
        <v>4171</v>
      </c>
      <c r="AD7" s="510" t="n">
        <v>26.51</v>
      </c>
      <c r="AE7" s="24" t="n">
        <v>72.39</v>
      </c>
    </row>
    <row r="8" customFormat="false" ht="47.25" hidden="false" customHeight="false" outlineLevel="0" collapsed="false">
      <c r="A8" s="16"/>
      <c r="B8" s="16"/>
      <c r="C8" s="71"/>
      <c r="D8" s="16"/>
      <c r="E8" s="16"/>
      <c r="F8" s="16"/>
      <c r="G8" s="16"/>
      <c r="H8" s="16"/>
      <c r="I8" s="16"/>
      <c r="J8" s="16"/>
      <c r="K8" s="16"/>
      <c r="L8" s="19"/>
      <c r="M8" s="16"/>
      <c r="N8" s="19"/>
      <c r="O8" s="16"/>
      <c r="P8" s="71"/>
      <c r="Q8" s="169"/>
      <c r="R8" s="297"/>
      <c r="S8" s="71"/>
      <c r="T8" s="20"/>
      <c r="U8" s="16"/>
      <c r="V8" s="16"/>
      <c r="W8" s="16"/>
      <c r="X8" s="16"/>
      <c r="Y8" s="16"/>
      <c r="Z8" s="16"/>
      <c r="AA8" s="232" t="s">
        <v>266</v>
      </c>
      <c r="AB8" s="232" t="n">
        <v>2</v>
      </c>
      <c r="AC8" s="98" t="s">
        <v>4172</v>
      </c>
      <c r="AD8" s="511" t="n">
        <v>26.52</v>
      </c>
      <c r="AE8" s="228" t="n">
        <v>72.39</v>
      </c>
    </row>
    <row r="9" customFormat="false" ht="15.75" hidden="false" customHeight="false" outlineLevel="0" collapsed="false">
      <c r="A9" s="16" t="s">
        <v>42</v>
      </c>
      <c r="B9" s="16" t="s">
        <v>4161</v>
      </c>
      <c r="C9" s="71" t="s">
        <v>4166</v>
      </c>
      <c r="D9" s="16" t="s">
        <v>4173</v>
      </c>
      <c r="E9" s="16" t="s">
        <v>4174</v>
      </c>
      <c r="F9" s="16" t="n">
        <v>144</v>
      </c>
      <c r="G9" s="16" t="n">
        <v>49</v>
      </c>
      <c r="H9" s="16" t="n">
        <v>267</v>
      </c>
      <c r="I9" s="16" t="n">
        <v>148</v>
      </c>
      <c r="J9" s="16" t="n">
        <v>119</v>
      </c>
      <c r="K9" s="16" t="n">
        <v>0</v>
      </c>
      <c r="L9" s="19" t="n">
        <f aca="false">(K9/H9)*100</f>
        <v>0</v>
      </c>
      <c r="M9" s="16" t="n">
        <v>0</v>
      </c>
      <c r="N9" s="19" t="n">
        <f aca="false">(M9/H9)*100</f>
        <v>0</v>
      </c>
      <c r="O9" s="16" t="n">
        <v>0</v>
      </c>
      <c r="P9" s="16" t="n">
        <v>0</v>
      </c>
      <c r="Q9" s="92" t="s">
        <v>49</v>
      </c>
      <c r="R9" s="421" t="n">
        <v>44879</v>
      </c>
      <c r="S9" s="16"/>
      <c r="T9" s="24" t="n">
        <v>0</v>
      </c>
      <c r="U9" s="16"/>
      <c r="V9" s="16"/>
      <c r="W9" s="16"/>
      <c r="X9" s="16"/>
      <c r="Y9" s="16"/>
      <c r="Z9" s="16"/>
      <c r="AA9" s="119" t="n">
        <v>0</v>
      </c>
      <c r="AB9" s="119" t="n">
        <v>0</v>
      </c>
      <c r="AC9" s="96" t="n">
        <v>0</v>
      </c>
      <c r="AD9" s="510" t="n">
        <v>0</v>
      </c>
      <c r="AE9" s="24" t="n">
        <v>0</v>
      </c>
    </row>
    <row r="10" customFormat="false" ht="15.75" hidden="false" customHeight="false" outlineLevel="0" collapsed="false">
      <c r="A10" s="16" t="s">
        <v>42</v>
      </c>
      <c r="B10" s="16" t="s">
        <v>4161</v>
      </c>
      <c r="C10" s="71" t="s">
        <v>4166</v>
      </c>
      <c r="D10" s="16" t="s">
        <v>4175</v>
      </c>
      <c r="E10" s="16" t="s">
        <v>4176</v>
      </c>
      <c r="F10" s="16" t="n">
        <v>208</v>
      </c>
      <c r="G10" s="16" t="n">
        <v>84</v>
      </c>
      <c r="H10" s="16" t="n">
        <v>445</v>
      </c>
      <c r="I10" s="16" t="n">
        <v>249</v>
      </c>
      <c r="J10" s="16" t="n">
        <v>196</v>
      </c>
      <c r="K10" s="16" t="n">
        <v>0</v>
      </c>
      <c r="L10" s="19" t="n">
        <f aca="false">(K10/H10)*100</f>
        <v>0</v>
      </c>
      <c r="M10" s="16" t="n">
        <v>0</v>
      </c>
      <c r="N10" s="19" t="n">
        <f aca="false">(M10/H10)*100</f>
        <v>0</v>
      </c>
      <c r="O10" s="16" t="n">
        <v>0</v>
      </c>
      <c r="P10" s="16" t="n">
        <v>0</v>
      </c>
      <c r="Q10" s="92" t="s">
        <v>49</v>
      </c>
      <c r="R10" s="421" t="n">
        <v>44879</v>
      </c>
      <c r="S10" s="16"/>
      <c r="T10" s="24" t="n">
        <v>0</v>
      </c>
      <c r="U10" s="16"/>
      <c r="V10" s="16"/>
      <c r="W10" s="16"/>
      <c r="X10" s="16"/>
      <c r="Y10" s="16"/>
      <c r="Z10" s="16"/>
      <c r="AA10" s="119" t="n">
        <v>0</v>
      </c>
      <c r="AB10" s="119" t="n">
        <v>0</v>
      </c>
      <c r="AC10" s="96" t="n">
        <v>0</v>
      </c>
      <c r="AD10" s="510" t="n">
        <v>0</v>
      </c>
      <c r="AE10" s="24" t="n">
        <v>0</v>
      </c>
    </row>
    <row r="11" customFormat="false" ht="31.5" hidden="false" customHeight="false" outlineLevel="0" collapsed="false">
      <c r="A11" s="16" t="s">
        <v>42</v>
      </c>
      <c r="B11" s="16" t="s">
        <v>4161</v>
      </c>
      <c r="C11" s="71" t="s">
        <v>4166</v>
      </c>
      <c r="D11" s="16" t="s">
        <v>4177</v>
      </c>
      <c r="E11" s="16" t="s">
        <v>4178</v>
      </c>
      <c r="F11" s="16" t="n">
        <v>1139</v>
      </c>
      <c r="G11" s="16" t="n">
        <v>252</v>
      </c>
      <c r="H11" s="16" t="n">
        <v>1365</v>
      </c>
      <c r="I11" s="16" t="n">
        <v>730</v>
      </c>
      <c r="J11" s="16" t="n">
        <v>635</v>
      </c>
      <c r="K11" s="16" t="n">
        <v>8</v>
      </c>
      <c r="L11" s="19" t="n">
        <f aca="false">(K11/H11)*100</f>
        <v>0.586080586080586</v>
      </c>
      <c r="M11" s="16" t="n">
        <v>371</v>
      </c>
      <c r="N11" s="19" t="n">
        <f aca="false">(M11/H11)*100</f>
        <v>27.1794871794872</v>
      </c>
      <c r="O11" s="16" t="n">
        <v>352</v>
      </c>
      <c r="P11" s="16" t="n">
        <v>0</v>
      </c>
      <c r="Q11" s="92" t="s">
        <v>49</v>
      </c>
      <c r="R11" s="421" t="n">
        <v>44879</v>
      </c>
      <c r="S11" s="16"/>
      <c r="T11" s="24" t="n">
        <v>0</v>
      </c>
      <c r="U11" s="16"/>
      <c r="V11" s="16"/>
      <c r="W11" s="16"/>
      <c r="X11" s="16"/>
      <c r="Y11" s="16"/>
      <c r="Z11" s="16"/>
      <c r="AA11" s="119" t="s">
        <v>266</v>
      </c>
      <c r="AB11" s="119" t="n">
        <v>2</v>
      </c>
      <c r="AC11" s="96" t="s">
        <v>4179</v>
      </c>
      <c r="AD11" s="510" t="n">
        <v>26.55</v>
      </c>
      <c r="AE11" s="24" t="n">
        <v>72.36</v>
      </c>
    </row>
    <row r="12" s="60" customFormat="true" ht="31.5" hidden="false" customHeight="false" outlineLevel="0" collapsed="false">
      <c r="A12" s="16" t="s">
        <v>42</v>
      </c>
      <c r="B12" s="16" t="s">
        <v>4161</v>
      </c>
      <c r="C12" s="71" t="s">
        <v>4180</v>
      </c>
      <c r="D12" s="72" t="s">
        <v>4181</v>
      </c>
      <c r="E12" s="16" t="s">
        <v>4182</v>
      </c>
      <c r="F12" s="16" t="n">
        <v>338</v>
      </c>
      <c r="G12" s="16" t="n">
        <v>85</v>
      </c>
      <c r="H12" s="16" t="n">
        <v>518</v>
      </c>
      <c r="I12" s="16" t="n">
        <v>257</v>
      </c>
      <c r="J12" s="16" t="n">
        <v>261</v>
      </c>
      <c r="K12" s="16" t="n">
        <v>164</v>
      </c>
      <c r="L12" s="19" t="n">
        <f aca="false">(K12/H12)*100</f>
        <v>31.6602316602317</v>
      </c>
      <c r="M12" s="16" t="n">
        <v>72</v>
      </c>
      <c r="N12" s="19" t="n">
        <f aca="false">(M12/H12)*100</f>
        <v>13.8996138996139</v>
      </c>
      <c r="O12" s="16" t="n">
        <v>10</v>
      </c>
      <c r="P12" s="16" t="n">
        <v>0</v>
      </c>
      <c r="Q12" s="92" t="s">
        <v>49</v>
      </c>
      <c r="R12" s="421" t="n">
        <v>44879</v>
      </c>
      <c r="S12" s="16"/>
      <c r="T12" s="24" t="n">
        <v>0</v>
      </c>
      <c r="U12" s="16"/>
      <c r="V12" s="16"/>
      <c r="W12" s="16"/>
      <c r="X12" s="16"/>
      <c r="Y12" s="16"/>
      <c r="Z12" s="16"/>
      <c r="AA12" s="92" t="s">
        <v>266</v>
      </c>
      <c r="AB12" s="92" t="n">
        <v>10</v>
      </c>
      <c r="AC12" s="96" t="s">
        <v>4183</v>
      </c>
      <c r="AD12" s="510" t="n">
        <v>26.61</v>
      </c>
      <c r="AE12" s="24" t="n">
        <v>72.48</v>
      </c>
    </row>
    <row r="13" s="60" customFormat="true" ht="31.5" hidden="false" customHeight="false" outlineLevel="0" collapsed="false">
      <c r="A13" s="16" t="s">
        <v>42</v>
      </c>
      <c r="B13" s="16" t="s">
        <v>4161</v>
      </c>
      <c r="C13" s="71" t="s">
        <v>4180</v>
      </c>
      <c r="D13" s="16" t="s">
        <v>4184</v>
      </c>
      <c r="E13" s="16" t="s">
        <v>4185</v>
      </c>
      <c r="F13" s="16" t="n">
        <v>345</v>
      </c>
      <c r="G13" s="16" t="n">
        <v>33</v>
      </c>
      <c r="H13" s="16" t="n">
        <v>220</v>
      </c>
      <c r="I13" s="16" t="n">
        <v>113</v>
      </c>
      <c r="J13" s="16" t="n">
        <v>107</v>
      </c>
      <c r="K13" s="16" t="n">
        <v>0</v>
      </c>
      <c r="L13" s="19" t="n">
        <f aca="false">(K13/H13)*100</f>
        <v>0</v>
      </c>
      <c r="M13" s="16" t="n">
        <v>0</v>
      </c>
      <c r="N13" s="19" t="n">
        <f aca="false">(M13/H13)*100</f>
        <v>0</v>
      </c>
      <c r="O13" s="16" t="n">
        <v>0</v>
      </c>
      <c r="P13" s="16" t="n">
        <v>0</v>
      </c>
      <c r="Q13" s="92" t="s">
        <v>49</v>
      </c>
      <c r="R13" s="421" t="n">
        <v>44879</v>
      </c>
      <c r="S13" s="16"/>
      <c r="T13" s="24" t="n">
        <v>0</v>
      </c>
      <c r="U13" s="16"/>
      <c r="V13" s="16"/>
      <c r="W13" s="16"/>
      <c r="X13" s="16"/>
      <c r="Y13" s="16"/>
      <c r="Z13" s="16"/>
      <c r="AA13" s="119" t="s">
        <v>266</v>
      </c>
      <c r="AB13" s="119" t="n">
        <v>5</v>
      </c>
      <c r="AC13" s="96" t="s">
        <v>4186</v>
      </c>
      <c r="AD13" s="510" t="n">
        <v>26.61</v>
      </c>
      <c r="AE13" s="24" t="n">
        <v>72.48</v>
      </c>
    </row>
    <row r="14" s="60" customFormat="true" ht="31.5" hidden="false" customHeight="false" outlineLevel="0" collapsed="false">
      <c r="A14" s="16" t="s">
        <v>42</v>
      </c>
      <c r="B14" s="16" t="s">
        <v>4161</v>
      </c>
      <c r="C14" s="71" t="s">
        <v>4180</v>
      </c>
      <c r="D14" s="16" t="s">
        <v>4187</v>
      </c>
      <c r="E14" s="16" t="s">
        <v>4188</v>
      </c>
      <c r="F14" s="16" t="n">
        <v>698</v>
      </c>
      <c r="G14" s="16" t="n">
        <v>31</v>
      </c>
      <c r="H14" s="16" t="n">
        <v>143</v>
      </c>
      <c r="I14" s="16" t="n">
        <v>79</v>
      </c>
      <c r="J14" s="16" t="n">
        <v>64</v>
      </c>
      <c r="K14" s="16" t="n">
        <v>0</v>
      </c>
      <c r="L14" s="19" t="n">
        <f aca="false">(K14/H14)*100</f>
        <v>0</v>
      </c>
      <c r="M14" s="16" t="n">
        <v>0</v>
      </c>
      <c r="N14" s="19" t="n">
        <f aca="false">(M14/H14)*100</f>
        <v>0</v>
      </c>
      <c r="O14" s="16" t="n">
        <v>0</v>
      </c>
      <c r="P14" s="16" t="n">
        <v>0</v>
      </c>
      <c r="Q14" s="92" t="s">
        <v>49</v>
      </c>
      <c r="R14" s="421" t="n">
        <v>44879</v>
      </c>
      <c r="S14" s="16"/>
      <c r="T14" s="24" t="n">
        <v>0</v>
      </c>
      <c r="U14" s="16"/>
      <c r="V14" s="16"/>
      <c r="W14" s="16"/>
      <c r="X14" s="16"/>
      <c r="Y14" s="16"/>
      <c r="Z14" s="16"/>
      <c r="AA14" s="119" t="s">
        <v>266</v>
      </c>
      <c r="AB14" s="119" t="n">
        <v>10</v>
      </c>
      <c r="AC14" s="96" t="s">
        <v>4189</v>
      </c>
      <c r="AD14" s="510" t="n">
        <v>26.62</v>
      </c>
      <c r="AE14" s="24" t="n">
        <v>72.48</v>
      </c>
    </row>
    <row r="15" s="60" customFormat="true" ht="31.5" hidden="false" customHeight="false" outlineLevel="0" collapsed="false">
      <c r="A15" s="16" t="s">
        <v>42</v>
      </c>
      <c r="B15" s="16" t="s">
        <v>4161</v>
      </c>
      <c r="C15" s="71" t="s">
        <v>4180</v>
      </c>
      <c r="D15" s="16" t="s">
        <v>4190</v>
      </c>
      <c r="E15" s="16" t="s">
        <v>4191</v>
      </c>
      <c r="F15" s="16" t="n">
        <v>225</v>
      </c>
      <c r="G15" s="16" t="n">
        <v>114</v>
      </c>
      <c r="H15" s="16" t="n">
        <v>651</v>
      </c>
      <c r="I15" s="16" t="n">
        <v>350</v>
      </c>
      <c r="J15" s="16" t="n">
        <v>301</v>
      </c>
      <c r="K15" s="16" t="n">
        <v>303</v>
      </c>
      <c r="L15" s="19" t="n">
        <f aca="false">(K15/H15)*100</f>
        <v>46.5437788018433</v>
      </c>
      <c r="M15" s="16" t="n">
        <v>0</v>
      </c>
      <c r="N15" s="19" t="n">
        <f aca="false">(M15/H15)*100</f>
        <v>0</v>
      </c>
      <c r="O15" s="16" t="n">
        <v>0</v>
      </c>
      <c r="P15" s="16" t="n">
        <v>0</v>
      </c>
      <c r="Q15" s="92" t="s">
        <v>49</v>
      </c>
      <c r="R15" s="421" t="n">
        <v>44879</v>
      </c>
      <c r="S15" s="16"/>
      <c r="T15" s="24" t="n">
        <v>0</v>
      </c>
      <c r="U15" s="16"/>
      <c r="V15" s="16"/>
      <c r="W15" s="16"/>
      <c r="X15" s="16"/>
      <c r="Y15" s="16"/>
      <c r="Z15" s="16"/>
      <c r="AA15" s="119" t="s">
        <v>266</v>
      </c>
      <c r="AB15" s="119" t="n">
        <v>10</v>
      </c>
      <c r="AC15" s="96" t="s">
        <v>4192</v>
      </c>
      <c r="AD15" s="510" t="n">
        <v>26.63</v>
      </c>
      <c r="AE15" s="24" t="n">
        <v>72.52</v>
      </c>
    </row>
    <row r="16" s="60" customFormat="true" ht="15.75" hidden="false" customHeight="false" outlineLevel="0" collapsed="false">
      <c r="A16" s="16" t="s">
        <v>42</v>
      </c>
      <c r="B16" s="16" t="s">
        <v>4161</v>
      </c>
      <c r="C16" s="71" t="s">
        <v>4180</v>
      </c>
      <c r="D16" s="16" t="s">
        <v>4193</v>
      </c>
      <c r="E16" s="16" t="s">
        <v>4194</v>
      </c>
      <c r="F16" s="16" t="n">
        <v>294</v>
      </c>
      <c r="G16" s="16" t="n">
        <v>92</v>
      </c>
      <c r="H16" s="16" t="n">
        <v>502</v>
      </c>
      <c r="I16" s="16" t="n">
        <v>259</v>
      </c>
      <c r="J16" s="16" t="n">
        <v>243</v>
      </c>
      <c r="K16" s="16" t="n">
        <v>459</v>
      </c>
      <c r="L16" s="19" t="n">
        <f aca="false">(K16/H16)*100</f>
        <v>91.4342629482072</v>
      </c>
      <c r="M16" s="16" t="n">
        <v>0</v>
      </c>
      <c r="N16" s="19" t="n">
        <f aca="false">(M16/H16)*100</f>
        <v>0</v>
      </c>
      <c r="O16" s="16" t="n">
        <v>6</v>
      </c>
      <c r="P16" s="16" t="n">
        <v>0</v>
      </c>
      <c r="Q16" s="92" t="s">
        <v>49</v>
      </c>
      <c r="R16" s="421" t="n">
        <v>44879</v>
      </c>
      <c r="S16" s="16"/>
      <c r="T16" s="24" t="n">
        <v>0</v>
      </c>
      <c r="U16" s="16"/>
      <c r="V16" s="16"/>
      <c r="W16" s="16"/>
      <c r="X16" s="16"/>
      <c r="Y16" s="16"/>
      <c r="Z16" s="16"/>
      <c r="AA16" s="119" t="n">
        <v>0</v>
      </c>
      <c r="AB16" s="119" t="n">
        <v>0</v>
      </c>
      <c r="AC16" s="96" t="n">
        <v>0</v>
      </c>
      <c r="AD16" s="510" t="n">
        <v>0</v>
      </c>
      <c r="AE16" s="24" t="n">
        <v>0</v>
      </c>
    </row>
    <row r="17" s="60" customFormat="true" ht="15.75" hidden="false" customHeight="false" outlineLevel="0" collapsed="false">
      <c r="A17" s="16" t="s">
        <v>42</v>
      </c>
      <c r="B17" s="16" t="s">
        <v>4161</v>
      </c>
      <c r="C17" s="71" t="s">
        <v>4180</v>
      </c>
      <c r="D17" s="16" t="s">
        <v>4195</v>
      </c>
      <c r="E17" s="16" t="s">
        <v>4196</v>
      </c>
      <c r="F17" s="16" t="n">
        <v>401.33</v>
      </c>
      <c r="G17" s="16" t="n">
        <v>103</v>
      </c>
      <c r="H17" s="16" t="n">
        <v>611</v>
      </c>
      <c r="I17" s="16" t="n">
        <v>310</v>
      </c>
      <c r="J17" s="16" t="n">
        <v>301</v>
      </c>
      <c r="K17" s="16" t="n">
        <v>0</v>
      </c>
      <c r="L17" s="19" t="n">
        <f aca="false">(K17/H17)*100</f>
        <v>0</v>
      </c>
      <c r="M17" s="16" t="n">
        <v>76</v>
      </c>
      <c r="N17" s="19" t="n">
        <f aca="false">(M17/H17)*100</f>
        <v>12.4386252045827</v>
      </c>
      <c r="O17" s="16" t="n">
        <v>11.48</v>
      </c>
      <c r="P17" s="16" t="n">
        <v>0</v>
      </c>
      <c r="Q17" s="92" t="s">
        <v>49</v>
      </c>
      <c r="R17" s="421" t="n">
        <v>44879</v>
      </c>
      <c r="S17" s="16"/>
      <c r="T17" s="24" t="n">
        <v>40.0962</v>
      </c>
      <c r="U17" s="16"/>
      <c r="V17" s="16"/>
      <c r="W17" s="16"/>
      <c r="X17" s="16"/>
      <c r="Y17" s="16"/>
      <c r="Z17" s="16"/>
      <c r="AA17" s="119" t="n">
        <v>0</v>
      </c>
      <c r="AB17" s="119"/>
      <c r="AC17" s="96" t="n">
        <v>0</v>
      </c>
      <c r="AD17" s="510" t="n">
        <v>0</v>
      </c>
      <c r="AE17" s="24" t="n">
        <v>0</v>
      </c>
    </row>
    <row r="18" customFormat="false" ht="31.5" hidden="false" customHeight="false" outlineLevel="0" collapsed="false">
      <c r="A18" s="16" t="s">
        <v>42</v>
      </c>
      <c r="B18" s="16" t="s">
        <v>4161</v>
      </c>
      <c r="C18" s="71" t="s">
        <v>4197</v>
      </c>
      <c r="D18" s="72" t="s">
        <v>4198</v>
      </c>
      <c r="E18" s="16" t="s">
        <v>4199</v>
      </c>
      <c r="F18" s="16" t="n">
        <v>905</v>
      </c>
      <c r="G18" s="16" t="n">
        <v>145</v>
      </c>
      <c r="H18" s="16" t="n">
        <v>789</v>
      </c>
      <c r="I18" s="16" t="n">
        <v>417</v>
      </c>
      <c r="J18" s="16" t="n">
        <v>372</v>
      </c>
      <c r="K18" s="16" t="n">
        <v>148</v>
      </c>
      <c r="L18" s="19" t="n">
        <f aca="false">(K18/H18)*100</f>
        <v>18.7579214195184</v>
      </c>
      <c r="M18" s="16" t="n">
        <v>0</v>
      </c>
      <c r="N18" s="19" t="n">
        <f aca="false">(M18/H18)*100</f>
        <v>0</v>
      </c>
      <c r="O18" s="16" t="n">
        <v>0</v>
      </c>
      <c r="P18" s="16" t="n">
        <v>0</v>
      </c>
      <c r="Q18" s="89" t="s">
        <v>49</v>
      </c>
      <c r="R18" s="153" t="n">
        <v>44879</v>
      </c>
      <c r="S18" s="16"/>
      <c r="T18" s="20" t="n">
        <v>0.0809</v>
      </c>
      <c r="U18" s="16"/>
      <c r="V18" s="16"/>
      <c r="W18" s="16"/>
      <c r="X18" s="16"/>
      <c r="Y18" s="16"/>
      <c r="Z18" s="16"/>
      <c r="AA18" s="89" t="s">
        <v>266</v>
      </c>
      <c r="AB18" s="89" t="n">
        <v>10</v>
      </c>
      <c r="AC18" s="90" t="s">
        <v>4200</v>
      </c>
      <c r="AD18" s="512" t="n">
        <v>26.56</v>
      </c>
      <c r="AE18" s="20" t="n">
        <v>72.5</v>
      </c>
    </row>
    <row r="19" customFormat="false" ht="15.75" hidden="false" customHeight="false" outlineLevel="0" collapsed="false">
      <c r="A19" s="16" t="s">
        <v>42</v>
      </c>
      <c r="B19" s="16" t="s">
        <v>4161</v>
      </c>
      <c r="C19" s="71" t="s">
        <v>4197</v>
      </c>
      <c r="D19" s="16" t="s">
        <v>4201</v>
      </c>
      <c r="E19" s="16" t="s">
        <v>4202</v>
      </c>
      <c r="F19" s="16" t="n">
        <v>450</v>
      </c>
      <c r="G19" s="16" t="n">
        <v>87</v>
      </c>
      <c r="H19" s="16" t="n">
        <v>532</v>
      </c>
      <c r="I19" s="16" t="n">
        <v>274</v>
      </c>
      <c r="J19" s="16" t="n">
        <v>258</v>
      </c>
      <c r="K19" s="16" t="n">
        <v>84</v>
      </c>
      <c r="L19" s="19" t="n">
        <f aca="false">(K19/H19)*100</f>
        <v>15.7894736842105</v>
      </c>
      <c r="M19" s="16" t="n">
        <v>57</v>
      </c>
      <c r="N19" s="19" t="n">
        <f aca="false">(M19/H19)*100</f>
        <v>10.7142857142857</v>
      </c>
      <c r="O19" s="16" t="n">
        <v>0</v>
      </c>
      <c r="P19" s="16" t="n">
        <v>0</v>
      </c>
      <c r="Q19" s="89"/>
      <c r="R19" s="20"/>
      <c r="S19" s="16"/>
      <c r="T19" s="20" t="n">
        <v>0</v>
      </c>
      <c r="U19" s="16"/>
      <c r="V19" s="16"/>
      <c r="W19" s="16"/>
      <c r="X19" s="16"/>
      <c r="Y19" s="16"/>
      <c r="Z19" s="16"/>
      <c r="AA19" s="89"/>
      <c r="AB19" s="89"/>
      <c r="AC19" s="36"/>
      <c r="AD19" s="20"/>
      <c r="AE19" s="20"/>
    </row>
    <row r="20" customFormat="false" ht="15.75" hidden="false" customHeight="false" outlineLevel="0" collapsed="false">
      <c r="A20" s="16" t="s">
        <v>42</v>
      </c>
      <c r="B20" s="16" t="s">
        <v>4161</v>
      </c>
      <c r="C20" s="71" t="s">
        <v>4197</v>
      </c>
      <c r="D20" s="16" t="s">
        <v>4203</v>
      </c>
      <c r="E20" s="16" t="s">
        <v>4204</v>
      </c>
      <c r="F20" s="16" t="n">
        <v>396</v>
      </c>
      <c r="G20" s="16" t="n">
        <v>121</v>
      </c>
      <c r="H20" s="16" t="n">
        <v>711</v>
      </c>
      <c r="I20" s="16" t="n">
        <v>392</v>
      </c>
      <c r="J20" s="16" t="n">
        <v>319</v>
      </c>
      <c r="K20" s="16" t="n">
        <v>0</v>
      </c>
      <c r="L20" s="19" t="n">
        <f aca="false">(K20/H20)*100</f>
        <v>0</v>
      </c>
      <c r="M20" s="16" t="n">
        <v>0</v>
      </c>
      <c r="N20" s="19" t="n">
        <f aca="false">(M20/H20)*100</f>
        <v>0</v>
      </c>
      <c r="O20" s="16" t="n">
        <v>0</v>
      </c>
      <c r="P20" s="16" t="n">
        <v>0</v>
      </c>
      <c r="Q20" s="89"/>
      <c r="R20" s="20"/>
      <c r="S20" s="16"/>
      <c r="T20" s="20" t="n">
        <v>0</v>
      </c>
      <c r="U20" s="16"/>
      <c r="V20" s="16"/>
      <c r="W20" s="16"/>
      <c r="X20" s="16"/>
      <c r="Y20" s="16"/>
      <c r="Z20" s="16"/>
      <c r="AA20" s="89"/>
      <c r="AB20" s="89"/>
      <c r="AC20" s="36"/>
      <c r="AD20" s="20"/>
      <c r="AE20" s="20"/>
    </row>
    <row r="21" customFormat="false" ht="15.75" hidden="false" customHeight="false" outlineLevel="0" collapsed="false">
      <c r="A21" s="16" t="s">
        <v>42</v>
      </c>
      <c r="B21" s="16" t="s">
        <v>4161</v>
      </c>
      <c r="C21" s="71" t="s">
        <v>4197</v>
      </c>
      <c r="D21" s="16" t="s">
        <v>4205</v>
      </c>
      <c r="E21" s="16" t="s">
        <v>4206</v>
      </c>
      <c r="F21" s="16" t="n">
        <v>496</v>
      </c>
      <c r="G21" s="16" t="n">
        <v>86</v>
      </c>
      <c r="H21" s="16" t="n">
        <v>570</v>
      </c>
      <c r="I21" s="16" t="n">
        <v>280</v>
      </c>
      <c r="J21" s="16" t="n">
        <v>290</v>
      </c>
      <c r="K21" s="16" t="n">
        <v>386</v>
      </c>
      <c r="L21" s="19" t="n">
        <f aca="false">(K21/H21)*100</f>
        <v>67.719298245614</v>
      </c>
      <c r="M21" s="16" t="n">
        <v>0</v>
      </c>
      <c r="N21" s="19" t="n">
        <f aca="false">(M21/H21)*100</f>
        <v>0</v>
      </c>
      <c r="O21" s="16" t="n">
        <v>0</v>
      </c>
      <c r="P21" s="16" t="n">
        <v>0</v>
      </c>
      <c r="Q21" s="89"/>
      <c r="R21" s="20"/>
      <c r="S21" s="16"/>
      <c r="T21" s="20" t="n">
        <v>0</v>
      </c>
      <c r="U21" s="16"/>
      <c r="V21" s="16"/>
      <c r="W21" s="16"/>
      <c r="X21" s="16"/>
      <c r="Y21" s="16"/>
      <c r="Z21" s="16"/>
      <c r="AA21" s="89"/>
      <c r="AB21" s="89"/>
      <c r="AC21" s="36"/>
      <c r="AD21" s="20"/>
      <c r="AE21" s="20"/>
    </row>
    <row r="22" customFormat="false" ht="15.75" hidden="false" customHeight="false" outlineLevel="0" collapsed="false">
      <c r="A22" s="16" t="s">
        <v>42</v>
      </c>
      <c r="B22" s="16" t="s">
        <v>4161</v>
      </c>
      <c r="C22" s="71" t="s">
        <v>4207</v>
      </c>
      <c r="D22" s="72" t="s">
        <v>4208</v>
      </c>
      <c r="E22" s="16" t="s">
        <v>4209</v>
      </c>
      <c r="F22" s="16" t="n">
        <v>315</v>
      </c>
      <c r="G22" s="16" t="n">
        <v>119</v>
      </c>
      <c r="H22" s="16" t="n">
        <v>614</v>
      </c>
      <c r="I22" s="16" t="n">
        <v>344</v>
      </c>
      <c r="J22" s="16" t="n">
        <v>270</v>
      </c>
      <c r="K22" s="16" t="n">
        <v>134</v>
      </c>
      <c r="L22" s="19" t="n">
        <f aca="false">(K22/H22)*100</f>
        <v>21.8241042345277</v>
      </c>
      <c r="M22" s="16" t="n">
        <v>0</v>
      </c>
      <c r="N22" s="19" t="n">
        <f aca="false">(M22/H22)*100</f>
        <v>0</v>
      </c>
      <c r="O22" s="16" t="n">
        <v>0</v>
      </c>
      <c r="P22" s="16" t="n">
        <v>0</v>
      </c>
      <c r="Q22" s="92" t="s">
        <v>49</v>
      </c>
      <c r="R22" s="421" t="n">
        <v>44837</v>
      </c>
      <c r="S22" s="16"/>
      <c r="T22" s="20" t="n">
        <v>0</v>
      </c>
      <c r="U22" s="16"/>
      <c r="V22" s="16"/>
      <c r="W22" s="16"/>
      <c r="X22" s="16"/>
      <c r="Y22" s="16"/>
      <c r="Z22" s="16"/>
      <c r="AA22" s="92" t="n">
        <v>0</v>
      </c>
      <c r="AB22" s="92" t="n">
        <v>0</v>
      </c>
      <c r="AC22" s="96" t="n">
        <v>0</v>
      </c>
      <c r="AD22" s="24" t="n">
        <v>0</v>
      </c>
      <c r="AE22" s="24" t="n">
        <v>0</v>
      </c>
    </row>
    <row r="23" customFormat="false" ht="15.75" hidden="false" customHeight="false" outlineLevel="0" collapsed="false">
      <c r="A23" s="16" t="s">
        <v>42</v>
      </c>
      <c r="B23" s="16" t="s">
        <v>4161</v>
      </c>
      <c r="C23" s="71" t="s">
        <v>4207</v>
      </c>
      <c r="D23" s="16" t="s">
        <v>1653</v>
      </c>
      <c r="E23" s="16" t="s">
        <v>4210</v>
      </c>
      <c r="F23" s="16" t="n">
        <v>238</v>
      </c>
      <c r="G23" s="16" t="n">
        <v>102</v>
      </c>
      <c r="H23" s="16" t="n">
        <v>599</v>
      </c>
      <c r="I23" s="16" t="n">
        <v>330</v>
      </c>
      <c r="J23" s="16" t="n">
        <v>269</v>
      </c>
      <c r="K23" s="16" t="n">
        <v>397</v>
      </c>
      <c r="L23" s="19" t="n">
        <f aca="false">(K23/H23)*100</f>
        <v>66.2771285475793</v>
      </c>
      <c r="M23" s="16" t="n">
        <v>88</v>
      </c>
      <c r="N23" s="19" t="n">
        <f aca="false">(M23/H23)*100</f>
        <v>14.6911519198664</v>
      </c>
      <c r="O23" s="16" t="n">
        <v>0</v>
      </c>
      <c r="P23" s="16" t="n">
        <v>0</v>
      </c>
      <c r="Q23" s="92" t="s">
        <v>49</v>
      </c>
      <c r="R23" s="421" t="n">
        <v>44837</v>
      </c>
      <c r="S23" s="16"/>
      <c r="T23" s="20" t="n">
        <v>0</v>
      </c>
      <c r="U23" s="16"/>
      <c r="V23" s="16"/>
      <c r="W23" s="16"/>
      <c r="X23" s="16"/>
      <c r="Y23" s="16"/>
      <c r="Z23" s="16"/>
      <c r="AA23" s="92" t="s">
        <v>50</v>
      </c>
      <c r="AB23" s="92" t="n">
        <v>5</v>
      </c>
      <c r="AC23" s="57" t="s">
        <v>276</v>
      </c>
      <c r="AD23" s="24"/>
      <c r="AE23" s="24"/>
    </row>
    <row r="24" customFormat="false" ht="15.75" hidden="false" customHeight="false" outlineLevel="0" collapsed="false">
      <c r="A24" s="16" t="s">
        <v>42</v>
      </c>
      <c r="B24" s="16" t="s">
        <v>4161</v>
      </c>
      <c r="C24" s="71" t="s">
        <v>4207</v>
      </c>
      <c r="D24" s="16" t="s">
        <v>4211</v>
      </c>
      <c r="E24" s="16" t="s">
        <v>4212</v>
      </c>
      <c r="F24" s="16" t="n">
        <v>289</v>
      </c>
      <c r="G24" s="16" t="n">
        <v>81</v>
      </c>
      <c r="H24" s="16" t="n">
        <v>475</v>
      </c>
      <c r="I24" s="16" t="n">
        <v>252</v>
      </c>
      <c r="J24" s="16" t="n">
        <v>223</v>
      </c>
      <c r="K24" s="16" t="n">
        <v>305</v>
      </c>
      <c r="L24" s="19" t="n">
        <f aca="false">(K24/H24)*100</f>
        <v>64.2105263157895</v>
      </c>
      <c r="M24" s="16" t="n">
        <v>0</v>
      </c>
      <c r="N24" s="19" t="n">
        <f aca="false">(M24/H24)*100</f>
        <v>0</v>
      </c>
      <c r="O24" s="16" t="n">
        <v>0</v>
      </c>
      <c r="P24" s="16" t="n">
        <v>0</v>
      </c>
      <c r="Q24" s="92" t="s">
        <v>49</v>
      </c>
      <c r="R24" s="421" t="n">
        <v>44837</v>
      </c>
      <c r="S24" s="16"/>
      <c r="T24" s="20" t="n">
        <v>0</v>
      </c>
      <c r="U24" s="16"/>
      <c r="V24" s="16"/>
      <c r="W24" s="16"/>
      <c r="X24" s="16"/>
      <c r="Y24" s="16"/>
      <c r="Z24" s="16"/>
      <c r="AA24" s="92" t="s">
        <v>50</v>
      </c>
      <c r="AB24" s="92" t="n">
        <v>10</v>
      </c>
      <c r="AC24" s="57" t="s">
        <v>276</v>
      </c>
      <c r="AD24" s="24"/>
      <c r="AE24" s="24"/>
    </row>
    <row r="25" customFormat="false" ht="15.75" hidden="false" customHeight="false" outlineLevel="0" collapsed="false">
      <c r="A25" s="16" t="s">
        <v>42</v>
      </c>
      <c r="B25" s="16" t="s">
        <v>4161</v>
      </c>
      <c r="C25" s="71" t="s">
        <v>4207</v>
      </c>
      <c r="D25" s="16" t="s">
        <v>4213</v>
      </c>
      <c r="E25" s="16" t="s">
        <v>4214</v>
      </c>
      <c r="F25" s="16" t="n">
        <v>134</v>
      </c>
      <c r="G25" s="16" t="n">
        <v>56</v>
      </c>
      <c r="H25" s="16" t="n">
        <v>315</v>
      </c>
      <c r="I25" s="16" t="n">
        <v>161</v>
      </c>
      <c r="J25" s="16" t="n">
        <v>154</v>
      </c>
      <c r="K25" s="16" t="n">
        <v>0</v>
      </c>
      <c r="L25" s="19" t="n">
        <f aca="false">(K25/H25)*100</f>
        <v>0</v>
      </c>
      <c r="M25" s="16" t="n">
        <v>0</v>
      </c>
      <c r="N25" s="19" t="n">
        <f aca="false">(M25/H25)*100</f>
        <v>0</v>
      </c>
      <c r="O25" s="16" t="n">
        <v>0</v>
      </c>
      <c r="P25" s="16" t="n">
        <v>0</v>
      </c>
      <c r="Q25" s="92" t="s">
        <v>49</v>
      </c>
      <c r="R25" s="421" t="n">
        <v>44837</v>
      </c>
      <c r="S25" s="16"/>
      <c r="T25" s="24" t="n">
        <v>0</v>
      </c>
      <c r="U25" s="16"/>
      <c r="V25" s="16"/>
      <c r="W25" s="16"/>
      <c r="X25" s="16"/>
      <c r="Y25" s="16"/>
      <c r="Z25" s="16"/>
      <c r="AA25" s="92" t="n">
        <v>0</v>
      </c>
      <c r="AB25" s="92" t="n">
        <v>0</v>
      </c>
      <c r="AC25" s="57" t="n">
        <v>0</v>
      </c>
      <c r="AD25" s="24" t="n">
        <v>0</v>
      </c>
      <c r="AE25" s="24" t="n">
        <v>0</v>
      </c>
    </row>
    <row r="26" customFormat="false" ht="15.75" hidden="false" customHeight="false" outlineLevel="0" collapsed="false">
      <c r="A26" s="16" t="s">
        <v>42</v>
      </c>
      <c r="B26" s="16" t="s">
        <v>4161</v>
      </c>
      <c r="C26" s="71" t="s">
        <v>4207</v>
      </c>
      <c r="D26" s="16" t="s">
        <v>4215</v>
      </c>
      <c r="E26" s="16" t="s">
        <v>4216</v>
      </c>
      <c r="F26" s="16" t="n">
        <v>365</v>
      </c>
      <c r="G26" s="16" t="n">
        <v>120</v>
      </c>
      <c r="H26" s="16" t="n">
        <v>601</v>
      </c>
      <c r="I26" s="16" t="n">
        <v>317</v>
      </c>
      <c r="J26" s="16" t="n">
        <v>284</v>
      </c>
      <c r="K26" s="16" t="n">
        <v>64</v>
      </c>
      <c r="L26" s="19" t="n">
        <f aca="false">(K26/H26)*100</f>
        <v>10.648918469218</v>
      </c>
      <c r="M26" s="16" t="n">
        <v>48</v>
      </c>
      <c r="N26" s="19" t="n">
        <f aca="false">(M26/H26)*100</f>
        <v>7.98668885191348</v>
      </c>
      <c r="O26" s="16" t="n">
        <v>0</v>
      </c>
      <c r="P26" s="16" t="n">
        <v>0</v>
      </c>
      <c r="Q26" s="92" t="s">
        <v>49</v>
      </c>
      <c r="R26" s="421" t="n">
        <v>44837</v>
      </c>
      <c r="S26" s="16"/>
      <c r="T26" s="24" t="n">
        <v>12.9256</v>
      </c>
      <c r="U26" s="16"/>
      <c r="V26" s="16"/>
      <c r="W26" s="16"/>
      <c r="X26" s="16"/>
      <c r="Y26" s="16"/>
      <c r="Z26" s="16"/>
      <c r="AA26" s="92" t="s">
        <v>50</v>
      </c>
      <c r="AB26" s="92" t="n">
        <v>10</v>
      </c>
      <c r="AC26" s="57" t="s">
        <v>276</v>
      </c>
      <c r="AD26" s="24"/>
      <c r="AE26" s="24"/>
    </row>
    <row r="27" customFormat="false" ht="15.75" hidden="false" customHeight="false" outlineLevel="0" collapsed="false">
      <c r="A27" s="16" t="s">
        <v>42</v>
      </c>
      <c r="B27" s="16" t="s">
        <v>4161</v>
      </c>
      <c r="C27" s="71" t="s">
        <v>4217</v>
      </c>
      <c r="D27" s="72" t="s">
        <v>4218</v>
      </c>
      <c r="E27" s="16" t="s">
        <v>4219</v>
      </c>
      <c r="F27" s="16" t="n">
        <v>703</v>
      </c>
      <c r="G27" s="16" t="n">
        <v>107</v>
      </c>
      <c r="H27" s="16" t="n">
        <v>549</v>
      </c>
      <c r="I27" s="16" t="n">
        <v>301</v>
      </c>
      <c r="J27" s="16" t="n">
        <v>248</v>
      </c>
      <c r="K27" s="16" t="n">
        <v>35</v>
      </c>
      <c r="L27" s="19" t="n">
        <f aca="false">(K27/H27)*100</f>
        <v>6.3752276867031</v>
      </c>
      <c r="M27" s="16" t="n">
        <v>0</v>
      </c>
      <c r="N27" s="19" t="n">
        <f aca="false">(M27/H27)*100</f>
        <v>0</v>
      </c>
      <c r="O27" s="16" t="n">
        <v>20</v>
      </c>
      <c r="P27" s="16" t="n">
        <v>0</v>
      </c>
      <c r="Q27" s="89" t="s">
        <v>49</v>
      </c>
      <c r="R27" s="153" t="n">
        <v>44879</v>
      </c>
      <c r="S27" s="16"/>
      <c r="T27" s="20" t="n">
        <v>0</v>
      </c>
      <c r="U27" s="16"/>
      <c r="V27" s="16"/>
      <c r="W27" s="16"/>
      <c r="X27" s="16"/>
      <c r="Y27" s="16"/>
      <c r="Z27" s="16"/>
      <c r="AA27" s="89" t="s">
        <v>266</v>
      </c>
      <c r="AB27" s="89" t="n">
        <v>4</v>
      </c>
      <c r="AC27" s="90" t="s">
        <v>2931</v>
      </c>
      <c r="AD27" s="267" t="n">
        <v>26.66</v>
      </c>
      <c r="AE27" s="20" t="n">
        <v>72.44</v>
      </c>
    </row>
    <row r="28" customFormat="false" ht="15.75" hidden="false" customHeight="false" outlineLevel="0" collapsed="false">
      <c r="A28" s="16" t="s">
        <v>42</v>
      </c>
      <c r="B28" s="16" t="s">
        <v>4161</v>
      </c>
      <c r="C28" s="71" t="s">
        <v>4217</v>
      </c>
      <c r="D28" s="16" t="s">
        <v>4220</v>
      </c>
      <c r="E28" s="16" t="s">
        <v>4221</v>
      </c>
      <c r="F28" s="16" t="n">
        <v>418</v>
      </c>
      <c r="G28" s="16" t="n">
        <v>108</v>
      </c>
      <c r="H28" s="16" t="n">
        <v>485</v>
      </c>
      <c r="I28" s="16" t="n">
        <v>259</v>
      </c>
      <c r="J28" s="16" t="n">
        <v>226</v>
      </c>
      <c r="K28" s="16" t="n">
        <v>236</v>
      </c>
      <c r="L28" s="19" t="n">
        <f aca="false">(K28/H28)*100</f>
        <v>48.659793814433</v>
      </c>
      <c r="M28" s="16" t="n">
        <v>0</v>
      </c>
      <c r="N28" s="19" t="n">
        <f aca="false">(M28/H28)*100</f>
        <v>0</v>
      </c>
      <c r="O28" s="16" t="n">
        <v>5</v>
      </c>
      <c r="P28" s="16" t="n">
        <v>0</v>
      </c>
      <c r="Q28" s="92" t="s">
        <v>49</v>
      </c>
      <c r="R28" s="421" t="n">
        <v>44877</v>
      </c>
      <c r="S28" s="16"/>
      <c r="T28" s="20" t="n">
        <v>0</v>
      </c>
      <c r="U28" s="16"/>
      <c r="V28" s="16"/>
      <c r="W28" s="16"/>
      <c r="X28" s="16"/>
      <c r="Y28" s="16"/>
      <c r="Z28" s="16"/>
      <c r="AA28" s="119" t="n">
        <v>0</v>
      </c>
      <c r="AB28" s="119" t="n">
        <v>0</v>
      </c>
      <c r="AC28" s="57" t="n">
        <v>0</v>
      </c>
      <c r="AD28" s="24"/>
      <c r="AE28" s="24"/>
    </row>
    <row r="29" customFormat="false" ht="15.75" hidden="false" customHeight="false" outlineLevel="0" collapsed="false">
      <c r="A29" s="16" t="s">
        <v>42</v>
      </c>
      <c r="B29" s="16" t="s">
        <v>4161</v>
      </c>
      <c r="C29" s="71" t="s">
        <v>4217</v>
      </c>
      <c r="D29" s="16" t="s">
        <v>4222</v>
      </c>
      <c r="E29" s="16" t="s">
        <v>4223</v>
      </c>
      <c r="F29" s="16" t="n">
        <v>760</v>
      </c>
      <c r="G29" s="16" t="n">
        <v>59</v>
      </c>
      <c r="H29" s="16" t="n">
        <v>296</v>
      </c>
      <c r="I29" s="16" t="n">
        <v>160</v>
      </c>
      <c r="J29" s="16" t="n">
        <v>136</v>
      </c>
      <c r="K29" s="16" t="n">
        <v>1</v>
      </c>
      <c r="L29" s="19" t="n">
        <f aca="false">(K29/H29)*100</f>
        <v>0.337837837837838</v>
      </c>
      <c r="M29" s="16" t="n">
        <v>0</v>
      </c>
      <c r="N29" s="19" t="n">
        <f aca="false">(M29/H29)*100</f>
        <v>0</v>
      </c>
      <c r="O29" s="16" t="n">
        <v>73</v>
      </c>
      <c r="P29" s="16" t="n">
        <v>0</v>
      </c>
      <c r="Q29" s="92" t="s">
        <v>49</v>
      </c>
      <c r="R29" s="421" t="n">
        <v>44877</v>
      </c>
      <c r="S29" s="16"/>
      <c r="T29" s="24" t="n">
        <v>29.9953</v>
      </c>
      <c r="U29" s="16"/>
      <c r="V29" s="16"/>
      <c r="W29" s="16"/>
      <c r="X29" s="16"/>
      <c r="Y29" s="16"/>
      <c r="Z29" s="16"/>
      <c r="AA29" s="119" t="n">
        <v>0</v>
      </c>
      <c r="AB29" s="119" t="n">
        <v>0</v>
      </c>
      <c r="AC29" s="57" t="n">
        <v>0</v>
      </c>
      <c r="AD29" s="24"/>
      <c r="AE29" s="24"/>
    </row>
    <row r="30" customFormat="false" ht="15.75" hidden="false" customHeight="false" outlineLevel="0" collapsed="false">
      <c r="A30" s="16" t="s">
        <v>42</v>
      </c>
      <c r="B30" s="16" t="s">
        <v>4161</v>
      </c>
      <c r="C30" s="71" t="s">
        <v>4217</v>
      </c>
      <c r="D30" s="16" t="s">
        <v>4224</v>
      </c>
      <c r="E30" s="16" t="s">
        <v>4225</v>
      </c>
      <c r="F30" s="16" t="n">
        <v>241</v>
      </c>
      <c r="G30" s="16" t="n">
        <v>59</v>
      </c>
      <c r="H30" s="16" t="n">
        <v>296</v>
      </c>
      <c r="I30" s="16" t="n">
        <v>159</v>
      </c>
      <c r="J30" s="16" t="n">
        <v>137</v>
      </c>
      <c r="K30" s="16" t="n">
        <v>113</v>
      </c>
      <c r="L30" s="19" t="n">
        <f aca="false">(K30/H30)*100</f>
        <v>38.1756756756757</v>
      </c>
      <c r="M30" s="16" t="n">
        <v>0</v>
      </c>
      <c r="N30" s="19" t="n">
        <f aca="false">(M30/H30)*100</f>
        <v>0</v>
      </c>
      <c r="O30" s="16" t="n">
        <v>44</v>
      </c>
      <c r="P30" s="16" t="n">
        <v>0</v>
      </c>
      <c r="Q30" s="92" t="s">
        <v>49</v>
      </c>
      <c r="R30" s="421" t="n">
        <v>44877</v>
      </c>
      <c r="S30" s="16"/>
      <c r="T30" s="24" t="n">
        <v>0</v>
      </c>
      <c r="U30" s="16"/>
      <c r="V30" s="16"/>
      <c r="W30" s="16"/>
      <c r="X30" s="16"/>
      <c r="Y30" s="16"/>
      <c r="Z30" s="16"/>
      <c r="AA30" s="119" t="n">
        <v>0</v>
      </c>
      <c r="AB30" s="119" t="n">
        <v>0</v>
      </c>
      <c r="AC30" s="57" t="n">
        <v>0</v>
      </c>
      <c r="AD30" s="24"/>
      <c r="AE30" s="24"/>
    </row>
    <row r="31" customFormat="false" ht="15.75" hidden="false" customHeight="false" outlineLevel="0" collapsed="false">
      <c r="A31" s="16" t="s">
        <v>42</v>
      </c>
      <c r="B31" s="16" t="s">
        <v>4161</v>
      </c>
      <c r="C31" s="71" t="s">
        <v>4217</v>
      </c>
      <c r="D31" s="16" t="s">
        <v>4226</v>
      </c>
      <c r="E31" s="16" t="s">
        <v>4227</v>
      </c>
      <c r="F31" s="16" t="n">
        <v>163</v>
      </c>
      <c r="G31" s="16" t="n">
        <v>23</v>
      </c>
      <c r="H31" s="16" t="n">
        <v>86</v>
      </c>
      <c r="I31" s="16" t="n">
        <v>45</v>
      </c>
      <c r="J31" s="16" t="n">
        <v>41</v>
      </c>
      <c r="K31" s="16" t="n">
        <v>0</v>
      </c>
      <c r="L31" s="19" t="n">
        <f aca="false">(K31/H31)*100</f>
        <v>0</v>
      </c>
      <c r="M31" s="16" t="n">
        <v>14</v>
      </c>
      <c r="N31" s="19" t="n">
        <f aca="false">(M31/H31)*100</f>
        <v>16.2790697674419</v>
      </c>
      <c r="O31" s="16" t="n">
        <v>0</v>
      </c>
      <c r="P31" s="16" t="n">
        <v>0</v>
      </c>
      <c r="Q31" s="89"/>
      <c r="R31" s="20"/>
      <c r="S31" s="16"/>
      <c r="T31" s="24" t="n">
        <v>0</v>
      </c>
      <c r="U31" s="16"/>
      <c r="V31" s="16"/>
      <c r="W31" s="16"/>
      <c r="X31" s="16"/>
      <c r="Y31" s="16"/>
      <c r="Z31" s="16"/>
      <c r="AA31" s="89"/>
      <c r="AB31" s="89"/>
      <c r="AC31" s="36"/>
      <c r="AD31" s="20"/>
      <c r="AE31" s="20"/>
    </row>
    <row r="32" customFormat="false" ht="15.75" hidden="false" customHeight="false" outlineLevel="0" collapsed="false">
      <c r="A32" s="16" t="s">
        <v>42</v>
      </c>
      <c r="B32" s="16" t="s">
        <v>4161</v>
      </c>
      <c r="C32" s="71" t="s">
        <v>4217</v>
      </c>
      <c r="D32" s="16" t="s">
        <v>4228</v>
      </c>
      <c r="E32" s="16" t="s">
        <v>4229</v>
      </c>
      <c r="F32" s="16" t="n">
        <v>270</v>
      </c>
      <c r="G32" s="16" t="n">
        <v>73</v>
      </c>
      <c r="H32" s="16" t="n">
        <v>327</v>
      </c>
      <c r="I32" s="16" t="n">
        <v>180</v>
      </c>
      <c r="J32" s="16" t="n">
        <v>147</v>
      </c>
      <c r="K32" s="16" t="n">
        <v>54</v>
      </c>
      <c r="L32" s="19" t="n">
        <f aca="false">(K32/H32)*100</f>
        <v>16.5137614678899</v>
      </c>
      <c r="M32" s="16" t="n">
        <v>0</v>
      </c>
      <c r="N32" s="19" t="n">
        <f aca="false">(M32/H32)*100</f>
        <v>0</v>
      </c>
      <c r="O32" s="16" t="n">
        <v>11</v>
      </c>
      <c r="P32" s="16" t="n">
        <v>0</v>
      </c>
      <c r="Q32" s="92" t="s">
        <v>49</v>
      </c>
      <c r="R32" s="421" t="n">
        <v>44877</v>
      </c>
      <c r="S32" s="16"/>
      <c r="T32" s="24" t="n">
        <v>0</v>
      </c>
      <c r="U32" s="16"/>
      <c r="V32" s="16"/>
      <c r="W32" s="16"/>
      <c r="X32" s="16"/>
      <c r="Y32" s="16"/>
      <c r="Z32" s="16"/>
      <c r="AA32" s="119" t="s">
        <v>266</v>
      </c>
      <c r="AB32" s="119" t="n">
        <v>20</v>
      </c>
      <c r="AC32" s="96" t="s">
        <v>4230</v>
      </c>
      <c r="AD32" s="24"/>
      <c r="AE32" s="24"/>
    </row>
    <row r="33" customFormat="false" ht="15.75" hidden="false" customHeight="false" outlineLevel="0" collapsed="false">
      <c r="A33" s="16" t="s">
        <v>42</v>
      </c>
      <c r="B33" s="16" t="s">
        <v>4161</v>
      </c>
      <c r="C33" s="71" t="s">
        <v>4217</v>
      </c>
      <c r="D33" s="16" t="s">
        <v>4231</v>
      </c>
      <c r="E33" s="16" t="s">
        <v>4232</v>
      </c>
      <c r="F33" s="16" t="n">
        <v>265</v>
      </c>
      <c r="G33" s="16" t="n">
        <v>59</v>
      </c>
      <c r="H33" s="16" t="n">
        <v>261</v>
      </c>
      <c r="I33" s="16" t="n">
        <v>136</v>
      </c>
      <c r="J33" s="16" t="n">
        <v>125</v>
      </c>
      <c r="K33" s="16" t="n">
        <v>52</v>
      </c>
      <c r="L33" s="19" t="n">
        <f aca="false">(K33/H33)*100</f>
        <v>19.9233716475096</v>
      </c>
      <c r="M33" s="16" t="n">
        <v>20</v>
      </c>
      <c r="N33" s="19" t="n">
        <f aca="false">(M33/H33)*100</f>
        <v>7.66283524904215</v>
      </c>
      <c r="O33" s="16" t="n">
        <v>10</v>
      </c>
      <c r="P33" s="16" t="n">
        <v>0</v>
      </c>
      <c r="Q33" s="92" t="s">
        <v>49</v>
      </c>
      <c r="R33" s="421" t="n">
        <v>44877</v>
      </c>
      <c r="S33" s="16"/>
      <c r="T33" s="24" t="n">
        <v>0</v>
      </c>
      <c r="U33" s="16"/>
      <c r="V33" s="16"/>
      <c r="W33" s="16"/>
      <c r="X33" s="16"/>
      <c r="Y33" s="16"/>
      <c r="Z33" s="16"/>
      <c r="AA33" s="119" t="n">
        <v>0</v>
      </c>
      <c r="AB33" s="119" t="n">
        <v>0</v>
      </c>
      <c r="AC33" s="57" t="n">
        <v>0</v>
      </c>
      <c r="AD33" s="24"/>
      <c r="AE33" s="24"/>
    </row>
    <row r="34" customFormat="false" ht="15.75" hidden="false" customHeight="false" outlineLevel="0" collapsed="false">
      <c r="A34" s="16" t="s">
        <v>42</v>
      </c>
      <c r="B34" s="16" t="s">
        <v>4161</v>
      </c>
      <c r="C34" s="71" t="s">
        <v>4233</v>
      </c>
      <c r="D34" s="72" t="s">
        <v>4234</v>
      </c>
      <c r="E34" s="16" t="s">
        <v>4235</v>
      </c>
      <c r="F34" s="16" t="n">
        <v>408</v>
      </c>
      <c r="G34" s="16" t="n">
        <v>161</v>
      </c>
      <c r="H34" s="16" t="n">
        <v>979</v>
      </c>
      <c r="I34" s="16" t="n">
        <v>495</v>
      </c>
      <c r="J34" s="16" t="n">
        <v>484</v>
      </c>
      <c r="K34" s="16" t="n">
        <v>144</v>
      </c>
      <c r="L34" s="19" t="n">
        <f aca="false">(K34/H34)*100</f>
        <v>14.708886618999</v>
      </c>
      <c r="M34" s="16" t="n">
        <v>6</v>
      </c>
      <c r="N34" s="19" t="n">
        <f aca="false">(M34/H34)*100</f>
        <v>0.612870275791624</v>
      </c>
      <c r="O34" s="16" t="n">
        <v>117</v>
      </c>
      <c r="P34" s="16" t="n">
        <v>0</v>
      </c>
      <c r="Q34" s="92" t="s">
        <v>49</v>
      </c>
      <c r="R34" s="421" t="n">
        <v>44631</v>
      </c>
      <c r="S34" s="16"/>
      <c r="T34" s="24" t="n">
        <v>12.8</v>
      </c>
      <c r="U34" s="16"/>
      <c r="V34" s="16"/>
      <c r="W34" s="16"/>
      <c r="X34" s="16"/>
      <c r="Y34" s="16"/>
      <c r="Z34" s="16"/>
      <c r="AA34" s="92" t="s">
        <v>266</v>
      </c>
      <c r="AB34" s="92" t="n">
        <v>5</v>
      </c>
      <c r="AC34" s="96" t="s">
        <v>4236</v>
      </c>
      <c r="AD34" s="24" t="n">
        <v>26.560506</v>
      </c>
      <c r="AE34" s="24" t="n">
        <v>72.343729</v>
      </c>
    </row>
    <row r="35" customFormat="false" ht="31.5" hidden="false" customHeight="false" outlineLevel="0" collapsed="false">
      <c r="A35" s="16" t="s">
        <v>42</v>
      </c>
      <c r="B35" s="16" t="s">
        <v>4161</v>
      </c>
      <c r="C35" s="71" t="s">
        <v>4233</v>
      </c>
      <c r="D35" s="16" t="s">
        <v>4237</v>
      </c>
      <c r="E35" s="16" t="s">
        <v>4238</v>
      </c>
      <c r="F35" s="16" t="n">
        <v>394</v>
      </c>
      <c r="G35" s="16" t="n">
        <v>136</v>
      </c>
      <c r="H35" s="16" t="n">
        <v>803</v>
      </c>
      <c r="I35" s="16" t="n">
        <v>414</v>
      </c>
      <c r="J35" s="16" t="n">
        <v>389</v>
      </c>
      <c r="K35" s="16" t="n">
        <v>83</v>
      </c>
      <c r="L35" s="19" t="n">
        <f aca="false">(K35/H35)*100</f>
        <v>10.3362391033624</v>
      </c>
      <c r="M35" s="16" t="n">
        <v>422</v>
      </c>
      <c r="N35" s="19" t="n">
        <f aca="false">(M35/H35)*100</f>
        <v>52.5529265255293</v>
      </c>
      <c r="O35" s="16" t="n">
        <v>14</v>
      </c>
      <c r="P35" s="16" t="n">
        <v>0</v>
      </c>
      <c r="Q35" s="92" t="s">
        <v>49</v>
      </c>
      <c r="R35" s="421" t="n">
        <v>44627</v>
      </c>
      <c r="S35" s="16"/>
      <c r="T35" s="24" t="n">
        <v>12.8</v>
      </c>
      <c r="U35" s="16"/>
      <c r="V35" s="16"/>
      <c r="W35" s="16"/>
      <c r="X35" s="16"/>
      <c r="Y35" s="16"/>
      <c r="Z35" s="16"/>
      <c r="AA35" s="92" t="s">
        <v>266</v>
      </c>
      <c r="AB35" s="92" t="n">
        <v>5</v>
      </c>
      <c r="AC35" s="96" t="s">
        <v>4239</v>
      </c>
      <c r="AD35" s="24" t="n">
        <v>26.56004</v>
      </c>
      <c r="AE35" s="24" t="n">
        <v>72.342666</v>
      </c>
    </row>
    <row r="36" customFormat="false" ht="15.75" hidden="false" customHeight="false" outlineLevel="0" collapsed="false">
      <c r="A36" s="16" t="s">
        <v>42</v>
      </c>
      <c r="B36" s="16" t="s">
        <v>4161</v>
      </c>
      <c r="C36" s="71" t="s">
        <v>4233</v>
      </c>
      <c r="D36" s="16" t="s">
        <v>4240</v>
      </c>
      <c r="E36" s="16" t="s">
        <v>4241</v>
      </c>
      <c r="F36" s="16" t="n">
        <v>469</v>
      </c>
      <c r="G36" s="16" t="n">
        <v>85</v>
      </c>
      <c r="H36" s="16" t="n">
        <v>535</v>
      </c>
      <c r="I36" s="16" t="n">
        <v>289</v>
      </c>
      <c r="J36" s="16" t="n">
        <v>246</v>
      </c>
      <c r="K36" s="16" t="n">
        <v>34</v>
      </c>
      <c r="L36" s="19" t="n">
        <f aca="false">(K36/H36)*100</f>
        <v>6.35514018691589</v>
      </c>
      <c r="M36" s="16" t="n">
        <v>0</v>
      </c>
      <c r="N36" s="19" t="n">
        <f aca="false">(M36/H36)*100</f>
        <v>0</v>
      </c>
      <c r="O36" s="16" t="n">
        <v>18</v>
      </c>
      <c r="P36" s="16" t="n">
        <v>0</v>
      </c>
      <c r="Q36" s="92" t="s">
        <v>49</v>
      </c>
      <c r="R36" s="421" t="n">
        <v>44630</v>
      </c>
      <c r="S36" s="16"/>
      <c r="T36" s="24" t="n">
        <v>22.72</v>
      </c>
      <c r="U36" s="16"/>
      <c r="V36" s="16"/>
      <c r="W36" s="16"/>
      <c r="X36" s="16"/>
      <c r="Y36" s="16"/>
      <c r="Z36" s="16"/>
      <c r="AA36" s="92" t="s">
        <v>266</v>
      </c>
      <c r="AB36" s="92" t="n">
        <v>5</v>
      </c>
      <c r="AC36" s="96" t="s">
        <v>4242</v>
      </c>
      <c r="AD36" s="24" t="n">
        <v>26.577516</v>
      </c>
      <c r="AE36" s="24" t="n">
        <v>72.329118</v>
      </c>
    </row>
    <row r="37" customFormat="false" ht="31.5" hidden="false" customHeight="false" outlineLevel="0" collapsed="false">
      <c r="A37" s="16" t="s">
        <v>42</v>
      </c>
      <c r="B37" s="16" t="s">
        <v>4161</v>
      </c>
      <c r="C37" s="71" t="s">
        <v>4233</v>
      </c>
      <c r="D37" s="16" t="s">
        <v>4243</v>
      </c>
      <c r="E37" s="16" t="s">
        <v>4244</v>
      </c>
      <c r="F37" s="16" t="n">
        <v>282</v>
      </c>
      <c r="G37" s="16" t="n">
        <v>68</v>
      </c>
      <c r="H37" s="16" t="n">
        <v>371</v>
      </c>
      <c r="I37" s="16" t="n">
        <v>180</v>
      </c>
      <c r="J37" s="16" t="n">
        <v>191</v>
      </c>
      <c r="K37" s="16" t="n">
        <v>0</v>
      </c>
      <c r="L37" s="19" t="n">
        <f aca="false">(K37/H37)*100</f>
        <v>0</v>
      </c>
      <c r="M37" s="16" t="n">
        <v>0</v>
      </c>
      <c r="N37" s="19" t="n">
        <f aca="false">(M37/H37)*100</f>
        <v>0</v>
      </c>
      <c r="O37" s="16" t="n">
        <v>47</v>
      </c>
      <c r="P37" s="16" t="n">
        <v>0</v>
      </c>
      <c r="Q37" s="92" t="s">
        <v>49</v>
      </c>
      <c r="R37" s="421" t="n">
        <v>44632</v>
      </c>
      <c r="S37" s="16"/>
      <c r="T37" s="24" t="n">
        <v>39.936</v>
      </c>
      <c r="U37" s="16"/>
      <c r="V37" s="16"/>
      <c r="W37" s="16"/>
      <c r="X37" s="16"/>
      <c r="Y37" s="16"/>
      <c r="Z37" s="16"/>
      <c r="AA37" s="92" t="s">
        <v>266</v>
      </c>
      <c r="AB37" s="92" t="n">
        <v>5</v>
      </c>
      <c r="AC37" s="96" t="s">
        <v>4245</v>
      </c>
      <c r="AD37" s="24" t="n">
        <v>26.577516</v>
      </c>
      <c r="AE37" s="24" t="n">
        <v>72.329118</v>
      </c>
    </row>
    <row r="38" customFormat="false" ht="15.75" hidden="false" customHeight="false" outlineLevel="0" collapsed="false">
      <c r="A38" s="16" t="s">
        <v>42</v>
      </c>
      <c r="B38" s="16" t="s">
        <v>4161</v>
      </c>
      <c r="C38" s="71" t="s">
        <v>4233</v>
      </c>
      <c r="D38" s="16" t="s">
        <v>4246</v>
      </c>
      <c r="E38" s="16" t="s">
        <v>4247</v>
      </c>
      <c r="F38" s="16" t="n">
        <v>359</v>
      </c>
      <c r="G38" s="16" t="n">
        <v>81</v>
      </c>
      <c r="H38" s="16" t="n">
        <v>470</v>
      </c>
      <c r="I38" s="16" t="n">
        <v>260</v>
      </c>
      <c r="J38" s="16" t="n">
        <v>210</v>
      </c>
      <c r="K38" s="16" t="n">
        <v>291</v>
      </c>
      <c r="L38" s="19" t="n">
        <f aca="false">(K38/H38)*100</f>
        <v>61.9148936170213</v>
      </c>
      <c r="M38" s="16" t="n">
        <v>0</v>
      </c>
      <c r="N38" s="19" t="n">
        <f aca="false">(M38/H38)*100</f>
        <v>0</v>
      </c>
      <c r="O38" s="16" t="n">
        <v>0</v>
      </c>
      <c r="P38" s="16" t="n">
        <v>0</v>
      </c>
      <c r="Q38" s="92" t="s">
        <v>49</v>
      </c>
      <c r="R38" s="421" t="n">
        <v>44626</v>
      </c>
      <c r="S38" s="16"/>
      <c r="T38" s="24" t="n">
        <v>5.44</v>
      </c>
      <c r="U38" s="16"/>
      <c r="V38" s="16"/>
      <c r="W38" s="16"/>
      <c r="X38" s="16"/>
      <c r="Y38" s="16"/>
      <c r="Z38" s="16"/>
      <c r="AA38" s="92" t="s">
        <v>266</v>
      </c>
      <c r="AB38" s="92" t="n">
        <v>2</v>
      </c>
      <c r="AC38" s="96" t="s">
        <v>4248</v>
      </c>
      <c r="AD38" s="24" t="n">
        <v>26.578872</v>
      </c>
      <c r="AE38" s="24" t="n">
        <v>72.355099</v>
      </c>
    </row>
    <row r="39" customFormat="false" ht="15.75" hidden="false" customHeight="false" outlineLevel="0" collapsed="false">
      <c r="A39" s="16" t="s">
        <v>42</v>
      </c>
      <c r="B39" s="16" t="s">
        <v>4161</v>
      </c>
      <c r="C39" s="71" t="s">
        <v>4233</v>
      </c>
      <c r="D39" s="16" t="s">
        <v>4249</v>
      </c>
      <c r="E39" s="16" t="s">
        <v>4250</v>
      </c>
      <c r="F39" s="16" t="n">
        <v>709</v>
      </c>
      <c r="G39" s="16" t="n">
        <v>96</v>
      </c>
      <c r="H39" s="16" t="n">
        <v>589</v>
      </c>
      <c r="I39" s="16" t="n">
        <v>318</v>
      </c>
      <c r="J39" s="16" t="n">
        <v>271</v>
      </c>
      <c r="K39" s="16" t="n">
        <v>147</v>
      </c>
      <c r="L39" s="19" t="n">
        <f aca="false">(K39/H39)*100</f>
        <v>24.9575551782682</v>
      </c>
      <c r="M39" s="16" t="n">
        <v>0</v>
      </c>
      <c r="N39" s="19" t="n">
        <f aca="false">(M39/H39)*100</f>
        <v>0</v>
      </c>
      <c r="O39" s="16" t="n">
        <v>11</v>
      </c>
      <c r="P39" s="16" t="n">
        <v>0</v>
      </c>
      <c r="Q39" s="92" t="s">
        <v>49</v>
      </c>
      <c r="R39" s="421" t="n">
        <v>44628</v>
      </c>
      <c r="S39" s="16"/>
      <c r="T39" s="24" t="n">
        <v>6.4</v>
      </c>
      <c r="U39" s="16"/>
      <c r="V39" s="16"/>
      <c r="W39" s="16"/>
      <c r="X39" s="16"/>
      <c r="Y39" s="16"/>
      <c r="Z39" s="16"/>
      <c r="AA39" s="92" t="s">
        <v>266</v>
      </c>
      <c r="AB39" s="92" t="n">
        <v>2</v>
      </c>
      <c r="AC39" s="57" t="s">
        <v>4251</v>
      </c>
      <c r="AD39" s="24" t="n">
        <v>26.596982</v>
      </c>
      <c r="AE39" s="24" t="n">
        <v>72.343187</v>
      </c>
    </row>
    <row r="40" customFormat="false" ht="15.75" hidden="false" customHeight="false" outlineLevel="0" collapsed="false">
      <c r="A40" s="16" t="s">
        <v>42</v>
      </c>
      <c r="B40" s="16" t="s">
        <v>4161</v>
      </c>
      <c r="C40" s="71" t="s">
        <v>4233</v>
      </c>
      <c r="D40" s="16" t="s">
        <v>4252</v>
      </c>
      <c r="E40" s="16" t="s">
        <v>4253</v>
      </c>
      <c r="F40" s="16" t="n">
        <v>490</v>
      </c>
      <c r="G40" s="16" t="n">
        <v>105</v>
      </c>
      <c r="H40" s="16" t="n">
        <v>579</v>
      </c>
      <c r="I40" s="16" t="n">
        <v>296</v>
      </c>
      <c r="J40" s="16" t="n">
        <v>283</v>
      </c>
      <c r="K40" s="16" t="n">
        <v>155</v>
      </c>
      <c r="L40" s="19" t="n">
        <f aca="false">(K40/H40)*100</f>
        <v>26.7702936096718</v>
      </c>
      <c r="M40" s="16" t="n">
        <v>7</v>
      </c>
      <c r="N40" s="19" t="n">
        <f aca="false">(M40/H40)*100</f>
        <v>1.20898100172712</v>
      </c>
      <c r="O40" s="16" t="n">
        <v>52</v>
      </c>
      <c r="P40" s="16" t="n">
        <v>0</v>
      </c>
      <c r="Q40" s="92" t="s">
        <v>70</v>
      </c>
      <c r="R40" s="421" t="n">
        <v>44629</v>
      </c>
      <c r="S40" s="16"/>
      <c r="T40" s="24" t="n">
        <v>5.44</v>
      </c>
      <c r="U40" s="16"/>
      <c r="V40" s="16"/>
      <c r="W40" s="16"/>
      <c r="X40" s="16"/>
      <c r="Y40" s="16"/>
      <c r="Z40" s="16"/>
      <c r="AA40" s="92" t="s">
        <v>266</v>
      </c>
      <c r="AB40" s="92" t="n">
        <v>2</v>
      </c>
      <c r="AC40" s="57" t="s">
        <v>4251</v>
      </c>
      <c r="AD40" s="24" t="n">
        <v>26.600945</v>
      </c>
      <c r="AE40" s="24" t="n">
        <v>72.367731</v>
      </c>
    </row>
    <row r="41" customFormat="false" ht="15.75" hidden="false" customHeight="false" outlineLevel="0" collapsed="false">
      <c r="A41" s="16" t="s">
        <v>42</v>
      </c>
      <c r="B41" s="16" t="s">
        <v>4161</v>
      </c>
      <c r="C41" s="71" t="s">
        <v>4254</v>
      </c>
      <c r="D41" s="72" t="s">
        <v>4255</v>
      </c>
      <c r="E41" s="16" t="s">
        <v>4256</v>
      </c>
      <c r="F41" s="16" t="n">
        <v>1035</v>
      </c>
      <c r="G41" s="16" t="n">
        <v>221</v>
      </c>
      <c r="H41" s="16" t="n">
        <v>1398</v>
      </c>
      <c r="I41" s="16" t="n">
        <v>739</v>
      </c>
      <c r="J41" s="16" t="n">
        <v>659</v>
      </c>
      <c r="K41" s="16" t="n">
        <v>0</v>
      </c>
      <c r="L41" s="19" t="n">
        <f aca="false">(K41/H41)*100</f>
        <v>0</v>
      </c>
      <c r="M41" s="16" t="n">
        <v>0</v>
      </c>
      <c r="N41" s="19" t="n">
        <f aca="false">(M41/H41)*100</f>
        <v>0</v>
      </c>
      <c r="O41" s="16" t="n">
        <v>0</v>
      </c>
      <c r="P41" s="16" t="n">
        <v>0</v>
      </c>
      <c r="Q41" s="92" t="s">
        <v>49</v>
      </c>
      <c r="R41" s="513" t="n">
        <v>44032</v>
      </c>
      <c r="S41" s="16"/>
      <c r="T41" s="24" t="n">
        <v>0</v>
      </c>
      <c r="U41" s="16"/>
      <c r="V41" s="16"/>
      <c r="W41" s="16"/>
      <c r="X41" s="16"/>
      <c r="Y41" s="16"/>
      <c r="Z41" s="16"/>
      <c r="AA41" s="92" t="s">
        <v>50</v>
      </c>
      <c r="AB41" s="92" t="n">
        <v>20</v>
      </c>
      <c r="AC41" s="57" t="s">
        <v>276</v>
      </c>
      <c r="AD41" s="24"/>
      <c r="AE41" s="24"/>
    </row>
    <row r="42" customFormat="false" ht="15.75" hidden="false" customHeight="false" outlineLevel="0" collapsed="false">
      <c r="A42" s="16" t="s">
        <v>42</v>
      </c>
      <c r="B42" s="16" t="s">
        <v>4161</v>
      </c>
      <c r="C42" s="71" t="s">
        <v>4254</v>
      </c>
      <c r="D42" s="16" t="s">
        <v>4257</v>
      </c>
      <c r="E42" s="16" t="s">
        <v>4258</v>
      </c>
      <c r="F42" s="16" t="n">
        <v>589</v>
      </c>
      <c r="G42" s="16" t="n">
        <v>153</v>
      </c>
      <c r="H42" s="16" t="n">
        <v>796</v>
      </c>
      <c r="I42" s="16" t="n">
        <v>424</v>
      </c>
      <c r="J42" s="16" t="n">
        <v>372</v>
      </c>
      <c r="K42" s="16" t="n">
        <v>327</v>
      </c>
      <c r="L42" s="19" t="n">
        <f aca="false">(K42/H42)*100</f>
        <v>41.0804020100503</v>
      </c>
      <c r="M42" s="16" t="n">
        <v>0</v>
      </c>
      <c r="N42" s="19" t="n">
        <f aca="false">(M42/H42)*100</f>
        <v>0</v>
      </c>
      <c r="O42" s="16" t="n">
        <v>0</v>
      </c>
      <c r="P42" s="16" t="n">
        <v>0</v>
      </c>
      <c r="Q42" s="92" t="s">
        <v>49</v>
      </c>
      <c r="R42" s="421" t="n">
        <v>44837</v>
      </c>
      <c r="S42" s="16"/>
      <c r="T42" s="24"/>
      <c r="U42" s="16"/>
      <c r="V42" s="16"/>
      <c r="W42" s="16"/>
      <c r="X42" s="16"/>
      <c r="Y42" s="16"/>
      <c r="Z42" s="16"/>
      <c r="AA42" s="92" t="s">
        <v>50</v>
      </c>
      <c r="AB42" s="92" t="n">
        <v>20</v>
      </c>
      <c r="AC42" s="57" t="s">
        <v>276</v>
      </c>
      <c r="AD42" s="24"/>
      <c r="AE42" s="24"/>
    </row>
    <row r="43" customFormat="false" ht="15.75" hidden="false" customHeight="false" outlineLevel="0" collapsed="false">
      <c r="A43" s="16" t="s">
        <v>42</v>
      </c>
      <c r="B43" s="16" t="s">
        <v>4161</v>
      </c>
      <c r="C43" s="71" t="s">
        <v>4254</v>
      </c>
      <c r="D43" s="16" t="s">
        <v>4259</v>
      </c>
      <c r="E43" s="16" t="s">
        <v>4260</v>
      </c>
      <c r="F43" s="16" t="n">
        <v>775</v>
      </c>
      <c r="G43" s="16" t="n">
        <v>185</v>
      </c>
      <c r="H43" s="16" t="n">
        <v>1112</v>
      </c>
      <c r="I43" s="16" t="n">
        <v>582</v>
      </c>
      <c r="J43" s="16" t="n">
        <v>530</v>
      </c>
      <c r="K43" s="16" t="n">
        <v>0</v>
      </c>
      <c r="L43" s="19" t="n">
        <f aca="false">(K43/H43)*100</f>
        <v>0</v>
      </c>
      <c r="M43" s="16" t="n">
        <v>0</v>
      </c>
      <c r="N43" s="19" t="n">
        <f aca="false">(M43/H43)*100</f>
        <v>0</v>
      </c>
      <c r="O43" s="16" t="n">
        <v>0</v>
      </c>
      <c r="P43" s="16" t="n">
        <v>0</v>
      </c>
      <c r="Q43" s="92" t="s">
        <v>49</v>
      </c>
      <c r="R43" s="421" t="n">
        <v>44837</v>
      </c>
      <c r="S43" s="16"/>
      <c r="T43" s="24"/>
      <c r="U43" s="16"/>
      <c r="V43" s="16"/>
      <c r="W43" s="16"/>
      <c r="X43" s="16"/>
      <c r="Y43" s="16"/>
      <c r="Z43" s="16"/>
      <c r="AA43" s="92" t="s">
        <v>50</v>
      </c>
      <c r="AB43" s="92" t="n">
        <v>20</v>
      </c>
      <c r="AC43" s="57" t="s">
        <v>276</v>
      </c>
      <c r="AD43" s="24"/>
      <c r="AE43" s="24"/>
    </row>
    <row r="44" customFormat="false" ht="15.75" hidden="false" customHeight="false" outlineLevel="0" collapsed="false">
      <c r="A44" s="16" t="s">
        <v>42</v>
      </c>
      <c r="B44" s="16" t="s">
        <v>4261</v>
      </c>
      <c r="C44" s="71" t="s">
        <v>4262</v>
      </c>
      <c r="D44" s="72" t="s">
        <v>4263</v>
      </c>
      <c r="E44" s="16" t="s">
        <v>4264</v>
      </c>
      <c r="F44" s="16" t="n">
        <v>1856</v>
      </c>
      <c r="G44" s="16" t="n">
        <v>622</v>
      </c>
      <c r="H44" s="16" t="n">
        <v>3657</v>
      </c>
      <c r="I44" s="16" t="n">
        <v>1854</v>
      </c>
      <c r="J44" s="16" t="n">
        <v>1803</v>
      </c>
      <c r="K44" s="16" t="n">
        <v>1293</v>
      </c>
      <c r="L44" s="19" t="n">
        <f aca="false">(K44/H44)*100</f>
        <v>35.3568498769483</v>
      </c>
      <c r="M44" s="16" t="n">
        <v>428</v>
      </c>
      <c r="N44" s="19" t="n">
        <f aca="false">(M44/H44)*100</f>
        <v>11.7035821711786</v>
      </c>
      <c r="O44" s="16" t="n">
        <v>74</v>
      </c>
      <c r="P44" s="16" t="n">
        <v>0</v>
      </c>
      <c r="Q44" s="92" t="s">
        <v>49</v>
      </c>
      <c r="R44" s="421" t="n">
        <v>44879</v>
      </c>
      <c r="S44" s="16"/>
      <c r="T44" s="24"/>
      <c r="U44" s="16"/>
      <c r="V44" s="16"/>
      <c r="W44" s="16"/>
      <c r="X44" s="16"/>
      <c r="Y44" s="16"/>
      <c r="Z44" s="16"/>
      <c r="AA44" s="92" t="s">
        <v>266</v>
      </c>
      <c r="AB44" s="92" t="n">
        <v>25</v>
      </c>
      <c r="AC44" s="96" t="s">
        <v>4265</v>
      </c>
      <c r="AD44" s="510" t="n">
        <v>26.47</v>
      </c>
      <c r="AE44" s="24" t="n">
        <v>72.34</v>
      </c>
    </row>
    <row r="45" customFormat="false" ht="15.75" hidden="false" customHeight="false" outlineLevel="0" collapsed="false">
      <c r="A45" s="16" t="s">
        <v>42</v>
      </c>
      <c r="B45" s="16" t="s">
        <v>4261</v>
      </c>
      <c r="C45" s="71" t="s">
        <v>4262</v>
      </c>
      <c r="D45" s="16" t="s">
        <v>4266</v>
      </c>
      <c r="E45" s="16" t="s">
        <v>4267</v>
      </c>
      <c r="F45" s="16" t="n">
        <v>942</v>
      </c>
      <c r="G45" s="16" t="n">
        <v>139</v>
      </c>
      <c r="H45" s="16" t="n">
        <v>939</v>
      </c>
      <c r="I45" s="16" t="n">
        <v>480</v>
      </c>
      <c r="J45" s="16" t="n">
        <v>459</v>
      </c>
      <c r="K45" s="16" t="n">
        <v>240</v>
      </c>
      <c r="L45" s="19" t="n">
        <f aca="false">(K45/H45)*100</f>
        <v>25.5591054313099</v>
      </c>
      <c r="M45" s="16" t="n">
        <v>9</v>
      </c>
      <c r="N45" s="19" t="n">
        <f aca="false">(M45/H45)*100</f>
        <v>0.958466453674121</v>
      </c>
      <c r="O45" s="16" t="n">
        <v>2</v>
      </c>
      <c r="P45" s="16" t="n">
        <v>0</v>
      </c>
      <c r="Q45" s="92" t="s">
        <v>49</v>
      </c>
      <c r="R45" s="421" t="n">
        <v>44879</v>
      </c>
      <c r="S45" s="16"/>
      <c r="T45" s="24"/>
      <c r="U45" s="16"/>
      <c r="V45" s="16"/>
      <c r="W45" s="16"/>
      <c r="X45" s="16"/>
      <c r="Y45" s="16"/>
      <c r="Z45" s="16"/>
      <c r="AA45" s="92" t="n">
        <v>0</v>
      </c>
      <c r="AB45" s="92" t="n">
        <v>0</v>
      </c>
      <c r="AC45" s="57" t="n">
        <v>0</v>
      </c>
      <c r="AD45" s="24" t="n">
        <v>0</v>
      </c>
      <c r="AE45" s="24" t="n">
        <v>0</v>
      </c>
    </row>
    <row r="46" customFormat="false" ht="15.75" hidden="false" customHeight="false" outlineLevel="0" collapsed="false">
      <c r="A46" s="16" t="s">
        <v>42</v>
      </c>
      <c r="B46" s="16" t="s">
        <v>4261</v>
      </c>
      <c r="C46" s="71" t="s">
        <v>4262</v>
      </c>
      <c r="D46" s="16" t="s">
        <v>4268</v>
      </c>
      <c r="E46" s="16" t="s">
        <v>4269</v>
      </c>
      <c r="F46" s="16" t="n">
        <v>560</v>
      </c>
      <c r="G46" s="16" t="n">
        <v>109</v>
      </c>
      <c r="H46" s="16" t="n">
        <v>596</v>
      </c>
      <c r="I46" s="16" t="n">
        <v>301</v>
      </c>
      <c r="J46" s="16" t="n">
        <v>295</v>
      </c>
      <c r="K46" s="16" t="n">
        <v>0</v>
      </c>
      <c r="L46" s="19" t="n">
        <f aca="false">(K46/H46)*100</f>
        <v>0</v>
      </c>
      <c r="M46" s="16" t="n">
        <v>0</v>
      </c>
      <c r="N46" s="19" t="n">
        <f aca="false">(M46/H46)*100</f>
        <v>0</v>
      </c>
      <c r="O46" s="16" t="n">
        <v>0</v>
      </c>
      <c r="P46" s="16" t="n">
        <v>0</v>
      </c>
      <c r="Q46" s="92" t="s">
        <v>49</v>
      </c>
      <c r="R46" s="421" t="n">
        <v>44879</v>
      </c>
      <c r="S46" s="16"/>
      <c r="T46" s="24"/>
      <c r="U46" s="16"/>
      <c r="V46" s="16"/>
      <c r="W46" s="16"/>
      <c r="X46" s="16"/>
      <c r="Y46" s="16"/>
      <c r="Z46" s="16"/>
      <c r="AA46" s="92" t="n">
        <v>0</v>
      </c>
      <c r="AB46" s="92" t="n">
        <v>0</v>
      </c>
      <c r="AC46" s="57" t="n">
        <v>0</v>
      </c>
      <c r="AD46" s="24" t="n">
        <v>0</v>
      </c>
      <c r="AE46" s="24" t="n">
        <v>0</v>
      </c>
    </row>
    <row r="47" s="521" customFormat="true" ht="15.75" hidden="false" customHeight="false" outlineLevel="0" collapsed="false">
      <c r="A47" s="514" t="s">
        <v>42</v>
      </c>
      <c r="B47" s="514" t="s">
        <v>4161</v>
      </c>
      <c r="C47" s="515" t="s">
        <v>4270</v>
      </c>
      <c r="D47" s="516" t="s">
        <v>4270</v>
      </c>
      <c r="E47" s="514" t="s">
        <v>4271</v>
      </c>
      <c r="F47" s="514" t="n">
        <v>1164</v>
      </c>
      <c r="G47" s="514" t="n">
        <v>203</v>
      </c>
      <c r="H47" s="514" t="n">
        <v>1274</v>
      </c>
      <c r="I47" s="514" t="n">
        <v>673</v>
      </c>
      <c r="J47" s="514" t="n">
        <v>601</v>
      </c>
      <c r="K47" s="514" t="n">
        <v>122</v>
      </c>
      <c r="L47" s="19" t="n">
        <f aca="false">(K47/H47)*100</f>
        <v>9.57613814756672</v>
      </c>
      <c r="M47" s="514" t="n">
        <v>148</v>
      </c>
      <c r="N47" s="19" t="n">
        <f aca="false">(M47/H47)*100</f>
        <v>11.6169544740973</v>
      </c>
      <c r="O47" s="514" t="n">
        <v>8</v>
      </c>
      <c r="P47" s="514" t="n">
        <v>0</v>
      </c>
      <c r="Q47" s="92" t="s">
        <v>49</v>
      </c>
      <c r="R47" s="517" t="n">
        <v>44608</v>
      </c>
      <c r="S47" s="514"/>
      <c r="T47" s="518" t="n">
        <v>45.784</v>
      </c>
      <c r="U47" s="514"/>
      <c r="V47" s="514"/>
      <c r="W47" s="514"/>
      <c r="X47" s="514"/>
      <c r="Y47" s="514"/>
      <c r="Z47" s="514"/>
      <c r="AA47" s="519" t="s">
        <v>50</v>
      </c>
      <c r="AB47" s="519" t="n">
        <v>6</v>
      </c>
      <c r="AC47" s="520" t="s">
        <v>4272</v>
      </c>
      <c r="AD47" s="131" t="n">
        <v>26.589527</v>
      </c>
      <c r="AE47" s="131" t="n">
        <v>72.39258</v>
      </c>
    </row>
    <row r="48" customFormat="false" ht="15.75" hidden="false" customHeight="false" outlineLevel="0" collapsed="false">
      <c r="A48" s="16" t="s">
        <v>42</v>
      </c>
      <c r="B48" s="16" t="s">
        <v>4161</v>
      </c>
      <c r="C48" s="71" t="s">
        <v>4270</v>
      </c>
      <c r="D48" s="16" t="s">
        <v>2031</v>
      </c>
      <c r="E48" s="16" t="s">
        <v>4273</v>
      </c>
      <c r="F48" s="16" t="n">
        <v>1586</v>
      </c>
      <c r="G48" s="16" t="n">
        <v>207</v>
      </c>
      <c r="H48" s="16" t="n">
        <v>1176</v>
      </c>
      <c r="I48" s="16" t="n">
        <v>593</v>
      </c>
      <c r="J48" s="16" t="n">
        <v>583</v>
      </c>
      <c r="K48" s="16" t="n">
        <v>0</v>
      </c>
      <c r="L48" s="19" t="n">
        <f aca="false">(K48/H48)*100</f>
        <v>0</v>
      </c>
      <c r="M48" s="16" t="n">
        <v>8</v>
      </c>
      <c r="N48" s="19" t="n">
        <f aca="false">(M48/H48)*100</f>
        <v>0.680272108843537</v>
      </c>
      <c r="O48" s="16" t="n">
        <v>140</v>
      </c>
      <c r="P48" s="16" t="n">
        <v>0</v>
      </c>
      <c r="Q48" s="92" t="s">
        <v>49</v>
      </c>
      <c r="R48" s="153" t="n">
        <v>44606</v>
      </c>
      <c r="S48" s="16"/>
      <c r="T48" s="20" t="n">
        <v>17.28</v>
      </c>
      <c r="U48" s="16"/>
      <c r="V48" s="16"/>
      <c r="W48" s="16"/>
      <c r="X48" s="16"/>
      <c r="Y48" s="16"/>
      <c r="Z48" s="16"/>
      <c r="AA48" s="247" t="s">
        <v>50</v>
      </c>
      <c r="AB48" s="89" t="n">
        <v>4</v>
      </c>
      <c r="AC48" s="36" t="s">
        <v>276</v>
      </c>
      <c r="AD48" s="20" t="n">
        <v>26.59463</v>
      </c>
      <c r="AE48" s="20" t="n">
        <v>72.409975</v>
      </c>
    </row>
    <row r="49" customFormat="false" ht="15.75" hidden="false" customHeight="false" outlineLevel="0" collapsed="false">
      <c r="A49" s="16" t="s">
        <v>42</v>
      </c>
      <c r="B49" s="16" t="s">
        <v>4161</v>
      </c>
      <c r="C49" s="71" t="s">
        <v>4270</v>
      </c>
      <c r="D49" s="16" t="s">
        <v>4274</v>
      </c>
      <c r="E49" s="16" t="s">
        <v>4275</v>
      </c>
      <c r="F49" s="16" t="n">
        <v>1370</v>
      </c>
      <c r="G49" s="16" t="n">
        <v>120</v>
      </c>
      <c r="H49" s="16" t="n">
        <v>611</v>
      </c>
      <c r="I49" s="16" t="n">
        <v>317</v>
      </c>
      <c r="J49" s="16" t="n">
        <v>294</v>
      </c>
      <c r="K49" s="16" t="n">
        <v>80</v>
      </c>
      <c r="L49" s="19" t="n">
        <f aca="false">(K49/H49)*100</f>
        <v>13.0932896890344</v>
      </c>
      <c r="M49" s="16" t="n">
        <v>0</v>
      </c>
      <c r="N49" s="19" t="n">
        <f aca="false">(M49/H49)*100</f>
        <v>0</v>
      </c>
      <c r="O49" s="16" t="n">
        <v>19</v>
      </c>
      <c r="P49" s="16" t="n">
        <v>0</v>
      </c>
      <c r="Q49" s="92" t="s">
        <v>49</v>
      </c>
      <c r="R49" s="153" t="n">
        <v>44607</v>
      </c>
      <c r="S49" s="16"/>
      <c r="T49" s="20" t="n">
        <v>17.6</v>
      </c>
      <c r="U49" s="16"/>
      <c r="V49" s="16"/>
      <c r="W49" s="16"/>
      <c r="X49" s="16"/>
      <c r="Y49" s="16"/>
      <c r="Z49" s="16"/>
      <c r="AA49" s="247" t="s">
        <v>50</v>
      </c>
      <c r="AB49" s="89" t="n">
        <v>3</v>
      </c>
      <c r="AC49" s="36" t="s">
        <v>276</v>
      </c>
      <c r="AD49" s="20" t="n">
        <v>26.581065</v>
      </c>
      <c r="AE49" s="20" t="n">
        <v>72.389516</v>
      </c>
    </row>
    <row r="50" customFormat="false" ht="15.75" hidden="false" customHeight="false" outlineLevel="0" collapsed="false">
      <c r="A50" s="16" t="s">
        <v>42</v>
      </c>
      <c r="B50" s="16" t="s">
        <v>4161</v>
      </c>
      <c r="C50" s="71" t="s">
        <v>4276</v>
      </c>
      <c r="D50" s="72" t="s">
        <v>4276</v>
      </c>
      <c r="E50" s="16" t="s">
        <v>4277</v>
      </c>
      <c r="F50" s="16" t="n">
        <v>1146</v>
      </c>
      <c r="G50" s="16" t="n">
        <v>186</v>
      </c>
      <c r="H50" s="16" t="n">
        <v>1187</v>
      </c>
      <c r="I50" s="16" t="n">
        <v>618</v>
      </c>
      <c r="J50" s="16" t="n">
        <v>569</v>
      </c>
      <c r="K50" s="16" t="n">
        <v>20</v>
      </c>
      <c r="L50" s="19" t="n">
        <f aca="false">(K50/H50)*100</f>
        <v>1.6849199663016</v>
      </c>
      <c r="M50" s="16" t="n">
        <v>86</v>
      </c>
      <c r="N50" s="19" t="n">
        <f aca="false">(M50/H50)*100</f>
        <v>7.24515585509688</v>
      </c>
      <c r="O50" s="16" t="n">
        <v>57</v>
      </c>
      <c r="P50" s="16" t="n">
        <v>0</v>
      </c>
      <c r="Q50" s="92" t="s">
        <v>49</v>
      </c>
      <c r="R50" s="421" t="n">
        <v>44879</v>
      </c>
      <c r="S50" s="16"/>
      <c r="T50" s="24"/>
      <c r="U50" s="16"/>
      <c r="V50" s="16"/>
      <c r="W50" s="16"/>
      <c r="X50" s="16"/>
      <c r="Y50" s="16"/>
      <c r="Z50" s="16"/>
      <c r="AA50" s="119" t="s">
        <v>50</v>
      </c>
      <c r="AB50" s="92" t="n">
        <v>5</v>
      </c>
      <c r="AC50" s="96" t="s">
        <v>4278</v>
      </c>
      <c r="AD50" s="24" t="n">
        <v>26.492338</v>
      </c>
      <c r="AE50" s="24" t="n">
        <v>72.392494</v>
      </c>
    </row>
    <row r="51" customFormat="false" ht="15.75" hidden="false" customHeight="false" outlineLevel="0" collapsed="false">
      <c r="A51" s="16" t="s">
        <v>42</v>
      </c>
      <c r="B51" s="16" t="s">
        <v>4161</v>
      </c>
      <c r="C51" s="71" t="s">
        <v>4276</v>
      </c>
      <c r="D51" s="16" t="s">
        <v>237</v>
      </c>
      <c r="E51" s="16" t="s">
        <v>4279</v>
      </c>
      <c r="F51" s="16" t="n">
        <v>294</v>
      </c>
      <c r="G51" s="16" t="n">
        <v>76</v>
      </c>
      <c r="H51" s="16" t="n">
        <v>484</v>
      </c>
      <c r="I51" s="16" t="n">
        <v>234</v>
      </c>
      <c r="J51" s="16" t="n">
        <v>250</v>
      </c>
      <c r="K51" s="16" t="n">
        <v>73</v>
      </c>
      <c r="L51" s="19" t="n">
        <f aca="false">(K51/H51)*100</f>
        <v>15.0826446280992</v>
      </c>
      <c r="M51" s="16" t="n">
        <v>0</v>
      </c>
      <c r="N51" s="19" t="n">
        <f aca="false">(M51/H51)*100</f>
        <v>0</v>
      </c>
      <c r="O51" s="16" t="n">
        <v>44</v>
      </c>
      <c r="P51" s="16" t="n">
        <v>0</v>
      </c>
      <c r="Q51" s="92" t="s">
        <v>49</v>
      </c>
      <c r="R51" s="421" t="n">
        <v>44879</v>
      </c>
      <c r="S51" s="16"/>
      <c r="T51" s="24"/>
      <c r="U51" s="16"/>
      <c r="V51" s="16"/>
      <c r="W51" s="16"/>
      <c r="X51" s="16"/>
      <c r="Y51" s="16"/>
      <c r="Z51" s="16"/>
      <c r="AA51" s="92" t="s">
        <v>266</v>
      </c>
      <c r="AB51" s="92" t="n">
        <v>15</v>
      </c>
      <c r="AC51" s="522" t="s">
        <v>276</v>
      </c>
      <c r="AD51" s="510" t="n">
        <v>26.51</v>
      </c>
      <c r="AE51" s="24" t="n">
        <v>72.42</v>
      </c>
    </row>
    <row r="52" customFormat="false" ht="15.75" hidden="false" customHeight="false" outlineLevel="0" collapsed="false">
      <c r="A52" s="16" t="s">
        <v>42</v>
      </c>
      <c r="B52" s="16" t="s">
        <v>4161</v>
      </c>
      <c r="C52" s="71" t="s">
        <v>4276</v>
      </c>
      <c r="D52" s="16" t="s">
        <v>2857</v>
      </c>
      <c r="E52" s="16" t="s">
        <v>4280</v>
      </c>
      <c r="F52" s="16" t="n">
        <v>313</v>
      </c>
      <c r="G52" s="16" t="n">
        <v>72</v>
      </c>
      <c r="H52" s="16" t="n">
        <v>474</v>
      </c>
      <c r="I52" s="16" t="n">
        <v>244</v>
      </c>
      <c r="J52" s="16" t="n">
        <v>230</v>
      </c>
      <c r="K52" s="16" t="n">
        <v>8</v>
      </c>
      <c r="L52" s="19" t="n">
        <f aca="false">(K52/H52)*100</f>
        <v>1.68776371308017</v>
      </c>
      <c r="M52" s="16" t="n">
        <v>0</v>
      </c>
      <c r="N52" s="19" t="n">
        <f aca="false">(M52/H52)*100</f>
        <v>0</v>
      </c>
      <c r="O52" s="16" t="n">
        <v>0</v>
      </c>
      <c r="P52" s="16" t="n">
        <v>0</v>
      </c>
      <c r="Q52" s="89"/>
      <c r="R52" s="20"/>
      <c r="S52" s="16"/>
      <c r="T52" s="20"/>
      <c r="U52" s="16"/>
      <c r="V52" s="16"/>
      <c r="W52" s="16"/>
      <c r="X52" s="16"/>
      <c r="Y52" s="16"/>
      <c r="Z52" s="16"/>
      <c r="AA52" s="89"/>
      <c r="AB52" s="89"/>
      <c r="AC52" s="36"/>
      <c r="AD52" s="20"/>
      <c r="AE52" s="20"/>
    </row>
    <row r="53" customFormat="false" ht="31.5" hidden="false" customHeight="false" outlineLevel="0" collapsed="false">
      <c r="A53" s="16" t="s">
        <v>42</v>
      </c>
      <c r="B53" s="16" t="s">
        <v>4161</v>
      </c>
      <c r="C53" s="71" t="s">
        <v>4281</v>
      </c>
      <c r="D53" s="72" t="s">
        <v>4282</v>
      </c>
      <c r="E53" s="16" t="s">
        <v>4283</v>
      </c>
      <c r="F53" s="16" t="n">
        <v>1335</v>
      </c>
      <c r="G53" s="16" t="n">
        <v>405</v>
      </c>
      <c r="H53" s="16" t="n">
        <v>2278</v>
      </c>
      <c r="I53" s="16" t="n">
        <v>1146</v>
      </c>
      <c r="J53" s="16" t="n">
        <v>1132</v>
      </c>
      <c r="K53" s="16" t="n">
        <v>522</v>
      </c>
      <c r="L53" s="19" t="n">
        <f aca="false">(K53/H53)*100</f>
        <v>22.9148375768218</v>
      </c>
      <c r="M53" s="16" t="n">
        <v>73</v>
      </c>
      <c r="N53" s="19" t="n">
        <f aca="false">(M53/H53)*100</f>
        <v>3.20456540825285</v>
      </c>
      <c r="O53" s="16" t="n">
        <v>35</v>
      </c>
      <c r="P53" s="16" t="n">
        <v>0</v>
      </c>
      <c r="Q53" s="247" t="s">
        <v>49</v>
      </c>
      <c r="R53" s="523" t="n">
        <v>44028</v>
      </c>
      <c r="S53" s="16"/>
      <c r="T53" s="84" t="n">
        <v>35</v>
      </c>
      <c r="U53" s="16"/>
      <c r="V53" s="16"/>
      <c r="W53" s="16"/>
      <c r="X53" s="16"/>
      <c r="Y53" s="16"/>
      <c r="Z53" s="16"/>
      <c r="AA53" s="247" t="s">
        <v>50</v>
      </c>
      <c r="AB53" s="84" t="n">
        <v>4.25</v>
      </c>
      <c r="AC53" s="105" t="s">
        <v>4284</v>
      </c>
      <c r="AD53" s="264" t="n">
        <v>26.391656</v>
      </c>
      <c r="AE53" s="264" t="n">
        <v>72.37582</v>
      </c>
    </row>
    <row r="54" customFormat="false" ht="15.75" hidden="false" customHeight="false" outlineLevel="0" collapsed="false">
      <c r="A54" s="16" t="s">
        <v>42</v>
      </c>
      <c r="B54" s="16" t="s">
        <v>4161</v>
      </c>
      <c r="C54" s="71" t="s">
        <v>4281</v>
      </c>
      <c r="D54" s="16" t="s">
        <v>4285</v>
      </c>
      <c r="E54" s="16" t="s">
        <v>4286</v>
      </c>
      <c r="F54" s="16" t="n">
        <v>1082</v>
      </c>
      <c r="G54" s="16" t="n">
        <v>317</v>
      </c>
      <c r="H54" s="16" t="n">
        <v>1786</v>
      </c>
      <c r="I54" s="16" t="n">
        <v>904</v>
      </c>
      <c r="J54" s="16" t="n">
        <v>882</v>
      </c>
      <c r="K54" s="16" t="n">
        <v>568</v>
      </c>
      <c r="L54" s="19" t="n">
        <f aca="false">(K54/H54)*100</f>
        <v>31.8029115341545</v>
      </c>
      <c r="M54" s="16" t="n">
        <v>38</v>
      </c>
      <c r="N54" s="19" t="n">
        <f aca="false">(M54/H54)*100</f>
        <v>2.12765957446808</v>
      </c>
      <c r="O54" s="16" t="n">
        <v>15</v>
      </c>
      <c r="P54" s="16" t="n">
        <v>0</v>
      </c>
      <c r="Q54" s="247" t="s">
        <v>50</v>
      </c>
      <c r="R54" s="524" t="n">
        <v>44032</v>
      </c>
      <c r="S54" s="16"/>
      <c r="T54" s="300" t="n">
        <v>15</v>
      </c>
      <c r="U54" s="16"/>
      <c r="V54" s="16"/>
      <c r="W54" s="16"/>
      <c r="X54" s="16"/>
      <c r="Y54" s="16"/>
      <c r="Z54" s="16"/>
      <c r="AA54" s="247" t="s">
        <v>50</v>
      </c>
      <c r="AB54" s="300"/>
      <c r="AC54" s="300" t="s">
        <v>310</v>
      </c>
      <c r="AD54" s="300" t="n">
        <v>26.427191</v>
      </c>
      <c r="AE54" s="300" t="n">
        <v>72.346966</v>
      </c>
    </row>
    <row r="55" customFormat="false" ht="31.5" hidden="false" customHeight="false" outlineLevel="0" collapsed="false">
      <c r="A55" s="16" t="s">
        <v>42</v>
      </c>
      <c r="B55" s="16" t="s">
        <v>4161</v>
      </c>
      <c r="C55" s="71" t="s">
        <v>4287</v>
      </c>
      <c r="D55" s="72" t="s">
        <v>4288</v>
      </c>
      <c r="E55" s="16" t="s">
        <v>4289</v>
      </c>
      <c r="F55" s="16" t="n">
        <v>1012</v>
      </c>
      <c r="G55" s="16" t="n">
        <v>376</v>
      </c>
      <c r="H55" s="16" t="n">
        <v>2252</v>
      </c>
      <c r="I55" s="16" t="n">
        <v>1203</v>
      </c>
      <c r="J55" s="16" t="n">
        <v>1049</v>
      </c>
      <c r="K55" s="16" t="n">
        <v>501</v>
      </c>
      <c r="L55" s="19" t="n">
        <f aca="false">(K55/H55)*100</f>
        <v>22.246891651865</v>
      </c>
      <c r="M55" s="16" t="n">
        <v>142</v>
      </c>
      <c r="N55" s="19" t="n">
        <f aca="false">(M55/H55)*100</f>
        <v>6.30550621669627</v>
      </c>
      <c r="O55" s="16" t="n">
        <v>35</v>
      </c>
      <c r="P55" s="16" t="n">
        <v>0</v>
      </c>
      <c r="Q55" s="247" t="s">
        <v>50</v>
      </c>
      <c r="R55" s="109" t="n">
        <v>44596</v>
      </c>
      <c r="S55" s="16"/>
      <c r="T55" s="76" t="n">
        <v>22.4</v>
      </c>
      <c r="U55" s="16"/>
      <c r="V55" s="16"/>
      <c r="W55" s="16"/>
      <c r="X55" s="16"/>
      <c r="Y55" s="16"/>
      <c r="Z55" s="16"/>
      <c r="AA55" s="94" t="s">
        <v>50</v>
      </c>
      <c r="AB55" s="76" t="n">
        <v>11</v>
      </c>
      <c r="AC55" s="94" t="s">
        <v>4290</v>
      </c>
      <c r="AD55" s="250" t="n">
        <v>26.425876</v>
      </c>
      <c r="AE55" s="250" t="n">
        <v>72.385651</v>
      </c>
    </row>
    <row r="56" customFormat="false" ht="15.75" hidden="false" customHeight="false" outlineLevel="0" collapsed="false">
      <c r="A56" s="16" t="s">
        <v>42</v>
      </c>
      <c r="B56" s="16" t="s">
        <v>4161</v>
      </c>
      <c r="C56" s="71" t="s">
        <v>4287</v>
      </c>
      <c r="D56" s="16" t="s">
        <v>4291</v>
      </c>
      <c r="E56" s="16" t="s">
        <v>4292</v>
      </c>
      <c r="F56" s="16" t="n">
        <v>267</v>
      </c>
      <c r="G56" s="16" t="n">
        <v>93</v>
      </c>
      <c r="H56" s="16" t="n">
        <v>544</v>
      </c>
      <c r="I56" s="16" t="n">
        <v>286</v>
      </c>
      <c r="J56" s="16" t="n">
        <v>258</v>
      </c>
      <c r="K56" s="16" t="n">
        <v>0</v>
      </c>
      <c r="L56" s="19" t="n">
        <f aca="false">(K56/H56)*100</f>
        <v>0</v>
      </c>
      <c r="M56" s="16" t="n">
        <v>0</v>
      </c>
      <c r="N56" s="19" t="n">
        <f aca="false">(M56/H56)*100</f>
        <v>0</v>
      </c>
      <c r="O56" s="16" t="n">
        <v>3</v>
      </c>
      <c r="P56" s="16" t="n">
        <v>0</v>
      </c>
      <c r="Q56" s="89" t="s">
        <v>4293</v>
      </c>
      <c r="R56" s="20"/>
      <c r="S56" s="16"/>
      <c r="T56" s="20"/>
      <c r="U56" s="16"/>
      <c r="V56" s="16"/>
      <c r="W56" s="16"/>
      <c r="X56" s="16"/>
      <c r="Y56" s="16"/>
      <c r="Z56" s="16"/>
      <c r="AA56" s="89"/>
      <c r="AB56" s="89"/>
      <c r="AC56" s="36"/>
      <c r="AD56" s="20"/>
      <c r="AE56" s="20"/>
    </row>
    <row r="57" customFormat="false" ht="15.75" hidden="false" customHeight="false" outlineLevel="0" collapsed="false">
      <c r="A57" s="16" t="s">
        <v>42</v>
      </c>
      <c r="B57" s="16" t="s">
        <v>4161</v>
      </c>
      <c r="C57" s="71" t="s">
        <v>4287</v>
      </c>
      <c r="D57" s="16" t="s">
        <v>4294</v>
      </c>
      <c r="E57" s="16" t="s">
        <v>4295</v>
      </c>
      <c r="F57" s="16" t="n">
        <v>783</v>
      </c>
      <c r="G57" s="16" t="n">
        <v>126</v>
      </c>
      <c r="H57" s="16" t="n">
        <v>803</v>
      </c>
      <c r="I57" s="16" t="n">
        <v>415</v>
      </c>
      <c r="J57" s="16" t="n">
        <v>388</v>
      </c>
      <c r="K57" s="16" t="n">
        <v>227</v>
      </c>
      <c r="L57" s="19" t="n">
        <f aca="false">(K57/H57)*100</f>
        <v>28.2689912826899</v>
      </c>
      <c r="M57" s="16" t="n">
        <v>166</v>
      </c>
      <c r="N57" s="19" t="n">
        <f aca="false">(M57/H57)*100</f>
        <v>20.6724782067248</v>
      </c>
      <c r="O57" s="16" t="n">
        <v>0</v>
      </c>
      <c r="P57" s="16" t="n">
        <v>0</v>
      </c>
      <c r="Q57" s="89" t="s">
        <v>4293</v>
      </c>
      <c r="R57" s="20"/>
      <c r="S57" s="16"/>
      <c r="T57" s="20"/>
      <c r="U57" s="16"/>
      <c r="V57" s="16"/>
      <c r="W57" s="16"/>
      <c r="X57" s="16"/>
      <c r="Y57" s="16"/>
      <c r="Z57" s="16"/>
      <c r="AA57" s="89"/>
      <c r="AB57" s="89"/>
      <c r="AC57" s="36"/>
      <c r="AD57" s="20"/>
      <c r="AE57" s="20"/>
    </row>
    <row r="58" customFormat="false" ht="15.75" hidden="false" customHeight="false" outlineLevel="0" collapsed="false">
      <c r="A58" s="16" t="s">
        <v>42</v>
      </c>
      <c r="B58" s="16" t="s">
        <v>4161</v>
      </c>
      <c r="C58" s="71" t="s">
        <v>4296</v>
      </c>
      <c r="D58" s="72" t="s">
        <v>4297</v>
      </c>
      <c r="E58" s="16" t="s">
        <v>4298</v>
      </c>
      <c r="F58" s="16" t="n">
        <v>1026</v>
      </c>
      <c r="G58" s="16" t="n">
        <v>501</v>
      </c>
      <c r="H58" s="16" t="n">
        <v>2724</v>
      </c>
      <c r="I58" s="16" t="n">
        <v>1383</v>
      </c>
      <c r="J58" s="16" t="n">
        <v>1341</v>
      </c>
      <c r="K58" s="16" t="n">
        <v>280</v>
      </c>
      <c r="L58" s="19" t="n">
        <f aca="false">(K58/H58)*100</f>
        <v>10.2790014684288</v>
      </c>
      <c r="M58" s="16" t="n">
        <v>8</v>
      </c>
      <c r="N58" s="19" t="n">
        <f aca="false">(M58/H58)*100</f>
        <v>0.293685756240822</v>
      </c>
      <c r="O58" s="16" t="n">
        <v>13</v>
      </c>
      <c r="P58" s="16" t="n">
        <v>0</v>
      </c>
      <c r="Q58" s="247" t="s">
        <v>50</v>
      </c>
      <c r="R58" s="84" t="s">
        <v>4299</v>
      </c>
      <c r="S58" s="16"/>
      <c r="T58" s="525" t="n">
        <v>140</v>
      </c>
      <c r="U58" s="16"/>
      <c r="V58" s="16"/>
      <c r="W58" s="16"/>
      <c r="X58" s="16"/>
      <c r="Y58" s="16"/>
      <c r="Z58" s="16"/>
      <c r="AA58" s="247" t="s">
        <v>50</v>
      </c>
      <c r="AB58" s="84" t="n">
        <v>8</v>
      </c>
      <c r="AC58" s="525" t="s">
        <v>4300</v>
      </c>
      <c r="AD58" s="264" t="n">
        <v>26.417057</v>
      </c>
      <c r="AE58" s="85" t="n">
        <v>72.388401</v>
      </c>
    </row>
    <row r="59" customFormat="false" ht="15.75" hidden="false" customHeight="false" outlineLevel="0" collapsed="false">
      <c r="A59" s="16" t="s">
        <v>42</v>
      </c>
      <c r="B59" s="16" t="s">
        <v>4161</v>
      </c>
      <c r="C59" s="71" t="s">
        <v>4296</v>
      </c>
      <c r="D59" s="16" t="s">
        <v>4301</v>
      </c>
      <c r="E59" s="16" t="s">
        <v>4302</v>
      </c>
      <c r="F59" s="16" t="n">
        <v>230</v>
      </c>
      <c r="G59" s="16" t="n">
        <v>77</v>
      </c>
      <c r="H59" s="16" t="n">
        <v>427</v>
      </c>
      <c r="I59" s="16" t="n">
        <v>234</v>
      </c>
      <c r="J59" s="16" t="n">
        <v>193</v>
      </c>
      <c r="K59" s="16" t="n">
        <v>262</v>
      </c>
      <c r="L59" s="19" t="n">
        <f aca="false">(K59/H59)*100</f>
        <v>61.3583138173302</v>
      </c>
      <c r="M59" s="16" t="n">
        <v>0</v>
      </c>
      <c r="N59" s="19" t="n">
        <f aca="false">(M59/H59)*100</f>
        <v>0</v>
      </c>
      <c r="O59" s="16" t="n">
        <v>45</v>
      </c>
      <c r="P59" s="16" t="n">
        <v>0</v>
      </c>
      <c r="Q59" s="92" t="s">
        <v>49</v>
      </c>
      <c r="R59" s="421" t="n">
        <v>44879</v>
      </c>
      <c r="S59" s="16"/>
      <c r="T59" s="24" t="n">
        <v>37.43333</v>
      </c>
      <c r="U59" s="16"/>
      <c r="V59" s="16"/>
      <c r="W59" s="16"/>
      <c r="X59" s="16"/>
      <c r="Y59" s="16"/>
      <c r="Z59" s="16"/>
      <c r="AA59" s="92" t="s">
        <v>266</v>
      </c>
      <c r="AB59" s="92" t="n">
        <v>10</v>
      </c>
      <c r="AC59" s="57" t="s">
        <v>4303</v>
      </c>
      <c r="AD59" s="510" t="n">
        <v>26.36</v>
      </c>
      <c r="AE59" s="24" t="n">
        <v>72.37</v>
      </c>
    </row>
    <row r="60" customFormat="false" ht="15.75" hidden="false" customHeight="false" outlineLevel="0" collapsed="false">
      <c r="A60" s="16" t="s">
        <v>42</v>
      </c>
      <c r="B60" s="16" t="s">
        <v>4161</v>
      </c>
      <c r="C60" s="71" t="s">
        <v>4304</v>
      </c>
      <c r="D60" s="72" t="s">
        <v>4304</v>
      </c>
      <c r="E60" s="16" t="s">
        <v>4305</v>
      </c>
      <c r="F60" s="16" t="n">
        <v>1223</v>
      </c>
      <c r="G60" s="16" t="n">
        <v>189</v>
      </c>
      <c r="H60" s="16" t="n">
        <v>1054</v>
      </c>
      <c r="I60" s="16" t="n">
        <v>553</v>
      </c>
      <c r="J60" s="16" t="n">
        <v>501</v>
      </c>
      <c r="K60" s="16" t="n">
        <v>224</v>
      </c>
      <c r="L60" s="19" t="n">
        <f aca="false">(K60/H60)*100</f>
        <v>21.2523719165085</v>
      </c>
      <c r="M60" s="16" t="n">
        <v>32</v>
      </c>
      <c r="N60" s="19" t="n">
        <f aca="false">(M60/H60)*100</f>
        <v>3.03605313092979</v>
      </c>
      <c r="O60" s="16" t="n">
        <v>0</v>
      </c>
      <c r="P60" s="16" t="n">
        <v>0</v>
      </c>
      <c r="Q60" s="247" t="s">
        <v>50</v>
      </c>
      <c r="R60" s="153" t="n">
        <v>44597</v>
      </c>
      <c r="S60" s="16"/>
      <c r="T60" s="20" t="n">
        <v>3.84</v>
      </c>
      <c r="U60" s="16"/>
      <c r="V60" s="16"/>
      <c r="W60" s="16"/>
      <c r="X60" s="16"/>
      <c r="Y60" s="16"/>
      <c r="Z60" s="16"/>
      <c r="AA60" s="247" t="s">
        <v>50</v>
      </c>
      <c r="AB60" s="89" t="n">
        <v>1</v>
      </c>
      <c r="AC60" s="36" t="s">
        <v>276</v>
      </c>
      <c r="AD60" s="20" t="n">
        <v>26.429887</v>
      </c>
      <c r="AE60" s="20" t="n">
        <v>72.42555</v>
      </c>
    </row>
    <row r="61" customFormat="false" ht="15.75" hidden="false" customHeight="false" outlineLevel="0" collapsed="false">
      <c r="A61" s="16" t="s">
        <v>42</v>
      </c>
      <c r="B61" s="16" t="s">
        <v>4161</v>
      </c>
      <c r="C61" s="71" t="s">
        <v>4304</v>
      </c>
      <c r="D61" s="16" t="s">
        <v>4306</v>
      </c>
      <c r="E61" s="16" t="s">
        <v>4307</v>
      </c>
      <c r="F61" s="16" t="n">
        <v>1032</v>
      </c>
      <c r="G61" s="16" t="n">
        <v>301</v>
      </c>
      <c r="H61" s="16" t="n">
        <v>1919</v>
      </c>
      <c r="I61" s="16" t="n">
        <v>1004</v>
      </c>
      <c r="J61" s="16" t="n">
        <v>915</v>
      </c>
      <c r="K61" s="16" t="n">
        <v>566</v>
      </c>
      <c r="L61" s="19" t="n">
        <f aca="false">(K61/H61)*100</f>
        <v>29.4945284002084</v>
      </c>
      <c r="M61" s="16" t="n">
        <v>108</v>
      </c>
      <c r="N61" s="19" t="n">
        <f aca="false">(M61/H61)*100</f>
        <v>5.62793121417405</v>
      </c>
      <c r="O61" s="16" t="n">
        <v>19</v>
      </c>
      <c r="P61" s="16" t="n">
        <v>0</v>
      </c>
      <c r="Q61" s="247" t="s">
        <v>50</v>
      </c>
      <c r="R61" s="153" t="n">
        <v>44598</v>
      </c>
      <c r="S61" s="16"/>
      <c r="T61" s="20" t="n">
        <v>4.32</v>
      </c>
      <c r="U61" s="16"/>
      <c r="V61" s="16"/>
      <c r="W61" s="16"/>
      <c r="X61" s="16"/>
      <c r="Y61" s="16"/>
      <c r="Z61" s="16"/>
      <c r="AA61" s="247" t="s">
        <v>50</v>
      </c>
      <c r="AB61" s="89" t="n">
        <v>2</v>
      </c>
      <c r="AC61" s="36" t="s">
        <v>276</v>
      </c>
      <c r="AD61" s="20" t="n">
        <v>26.392005</v>
      </c>
      <c r="AE61" s="20" t="n">
        <v>72.40588</v>
      </c>
    </row>
    <row r="62" customFormat="false" ht="31.5" hidden="false" customHeight="false" outlineLevel="0" collapsed="false">
      <c r="A62" s="16" t="s">
        <v>42</v>
      </c>
      <c r="B62" s="16" t="s">
        <v>4161</v>
      </c>
      <c r="C62" s="71" t="s">
        <v>4308</v>
      </c>
      <c r="D62" s="72" t="s">
        <v>4309</v>
      </c>
      <c r="E62" s="16" t="s">
        <v>4310</v>
      </c>
      <c r="F62" s="16" t="n">
        <v>1934</v>
      </c>
      <c r="G62" s="16" t="n">
        <v>375</v>
      </c>
      <c r="H62" s="16" t="n">
        <v>2434</v>
      </c>
      <c r="I62" s="16" t="n">
        <v>1285</v>
      </c>
      <c r="J62" s="16" t="n">
        <v>1149</v>
      </c>
      <c r="K62" s="16" t="n">
        <v>356</v>
      </c>
      <c r="L62" s="19" t="n">
        <f aca="false">(K62/H62)*100</f>
        <v>14.6261298274445</v>
      </c>
      <c r="M62" s="16" t="n">
        <v>0</v>
      </c>
      <c r="N62" s="19" t="n">
        <f aca="false">(M62/H62)*100</f>
        <v>0</v>
      </c>
      <c r="O62" s="16" t="n">
        <v>0</v>
      </c>
      <c r="P62" s="16" t="n">
        <v>0</v>
      </c>
      <c r="Q62" s="89" t="s">
        <v>49</v>
      </c>
      <c r="R62" s="153" t="n">
        <v>44879</v>
      </c>
      <c r="S62" s="16"/>
      <c r="T62" s="20" t="n">
        <v>3.0513</v>
      </c>
      <c r="U62" s="16"/>
      <c r="V62" s="16"/>
      <c r="W62" s="16"/>
      <c r="X62" s="16"/>
      <c r="Y62" s="16"/>
      <c r="Z62" s="16"/>
      <c r="AA62" s="89" t="s">
        <v>266</v>
      </c>
      <c r="AB62" s="89" t="n">
        <v>2</v>
      </c>
      <c r="AC62" s="90" t="s">
        <v>4311</v>
      </c>
      <c r="AD62" s="267" t="n">
        <v>26.72</v>
      </c>
      <c r="AE62" s="20" t="n">
        <v>72.34</v>
      </c>
    </row>
    <row r="63" customFormat="false" ht="31.5" hidden="false" customHeight="false" outlineLevel="0" collapsed="false">
      <c r="A63" s="16" t="s">
        <v>42</v>
      </c>
      <c r="B63" s="16" t="s">
        <v>4161</v>
      </c>
      <c r="C63" s="71" t="s">
        <v>4308</v>
      </c>
      <c r="D63" s="16" t="s">
        <v>4312</v>
      </c>
      <c r="E63" s="16" t="s">
        <v>4313</v>
      </c>
      <c r="F63" s="16" t="n">
        <v>515</v>
      </c>
      <c r="G63" s="16" t="n">
        <v>49</v>
      </c>
      <c r="H63" s="16" t="n">
        <v>336</v>
      </c>
      <c r="I63" s="16" t="n">
        <v>189</v>
      </c>
      <c r="J63" s="16" t="n">
        <v>147</v>
      </c>
      <c r="K63" s="16" t="n">
        <v>0</v>
      </c>
      <c r="L63" s="19" t="n">
        <f aca="false">(K63/H63)*100</f>
        <v>0</v>
      </c>
      <c r="M63" s="16" t="n">
        <v>0</v>
      </c>
      <c r="N63" s="19" t="n">
        <f aca="false">(M63/H63)*100</f>
        <v>0</v>
      </c>
      <c r="O63" s="16" t="n">
        <v>0</v>
      </c>
      <c r="P63" s="16" t="n">
        <v>0</v>
      </c>
      <c r="Q63" s="92" t="s">
        <v>49</v>
      </c>
      <c r="R63" s="421" t="n">
        <v>44879</v>
      </c>
      <c r="S63" s="16"/>
      <c r="T63" s="24"/>
      <c r="U63" s="16"/>
      <c r="V63" s="16"/>
      <c r="W63" s="16"/>
      <c r="X63" s="16"/>
      <c r="Y63" s="16"/>
      <c r="Z63" s="16"/>
      <c r="AA63" s="119" t="s">
        <v>266</v>
      </c>
      <c r="AB63" s="119" t="n">
        <v>0</v>
      </c>
      <c r="AC63" s="96" t="s">
        <v>4314</v>
      </c>
      <c r="AD63" s="510" t="n">
        <v>26.72</v>
      </c>
      <c r="AE63" s="24" t="n">
        <v>72.37</v>
      </c>
    </row>
    <row r="64" customFormat="false" ht="15.75" hidden="false" customHeight="false" outlineLevel="0" collapsed="false">
      <c r="A64" s="16" t="s">
        <v>42</v>
      </c>
      <c r="B64" s="16" t="s">
        <v>4161</v>
      </c>
      <c r="C64" s="71" t="s">
        <v>4308</v>
      </c>
      <c r="D64" s="16" t="s">
        <v>4315</v>
      </c>
      <c r="E64" s="16" t="s">
        <v>4316</v>
      </c>
      <c r="F64" s="16" t="n">
        <v>234</v>
      </c>
      <c r="G64" s="16" t="n">
        <v>51</v>
      </c>
      <c r="H64" s="16" t="n">
        <v>370</v>
      </c>
      <c r="I64" s="16" t="n">
        <v>191</v>
      </c>
      <c r="J64" s="16" t="n">
        <v>179</v>
      </c>
      <c r="K64" s="16" t="n">
        <v>14</v>
      </c>
      <c r="L64" s="19" t="n">
        <f aca="false">(K64/H64)*100</f>
        <v>3.78378378378378</v>
      </c>
      <c r="M64" s="16" t="n">
        <v>0</v>
      </c>
      <c r="N64" s="19" t="n">
        <f aca="false">(M64/H64)*100</f>
        <v>0</v>
      </c>
      <c r="O64" s="16" t="n">
        <v>0</v>
      </c>
      <c r="P64" s="16" t="n">
        <v>0</v>
      </c>
      <c r="Q64" s="92" t="s">
        <v>49</v>
      </c>
      <c r="R64" s="421" t="n">
        <v>44879</v>
      </c>
      <c r="S64" s="16"/>
      <c r="T64" s="24"/>
      <c r="U64" s="16"/>
      <c r="V64" s="16"/>
      <c r="W64" s="16"/>
      <c r="X64" s="16"/>
      <c r="Y64" s="16"/>
      <c r="Z64" s="16"/>
      <c r="AA64" s="119" t="n">
        <v>0</v>
      </c>
      <c r="AB64" s="119" t="n">
        <v>0</v>
      </c>
      <c r="AC64" s="57" t="n">
        <v>0</v>
      </c>
      <c r="AD64" s="24" t="n">
        <v>0</v>
      </c>
      <c r="AE64" s="24" t="n">
        <v>0</v>
      </c>
    </row>
    <row r="65" customFormat="false" ht="15.75" hidden="false" customHeight="false" outlineLevel="0" collapsed="false">
      <c r="A65" s="16" t="s">
        <v>42</v>
      </c>
      <c r="B65" s="16" t="s">
        <v>4161</v>
      </c>
      <c r="C65" s="71" t="s">
        <v>4308</v>
      </c>
      <c r="D65" s="16" t="s">
        <v>4317</v>
      </c>
      <c r="E65" s="16" t="s">
        <v>4318</v>
      </c>
      <c r="F65" s="16" t="n">
        <v>292</v>
      </c>
      <c r="G65" s="16" t="n">
        <v>49</v>
      </c>
      <c r="H65" s="16" t="n">
        <v>326</v>
      </c>
      <c r="I65" s="16" t="n">
        <v>178</v>
      </c>
      <c r="J65" s="16" t="n">
        <v>148</v>
      </c>
      <c r="K65" s="16" t="n">
        <v>0</v>
      </c>
      <c r="L65" s="19" t="n">
        <f aca="false">(K65/H65)*100</f>
        <v>0</v>
      </c>
      <c r="M65" s="16" t="n">
        <v>0</v>
      </c>
      <c r="N65" s="19" t="n">
        <f aca="false">(M65/H65)*100</f>
        <v>0</v>
      </c>
      <c r="O65" s="16" t="n">
        <v>0</v>
      </c>
      <c r="P65" s="16" t="n">
        <v>0</v>
      </c>
      <c r="Q65" s="92" t="s">
        <v>49</v>
      </c>
      <c r="R65" s="421" t="n">
        <v>44879</v>
      </c>
      <c r="S65" s="16"/>
      <c r="T65" s="24"/>
      <c r="U65" s="16"/>
      <c r="V65" s="16"/>
      <c r="W65" s="16"/>
      <c r="X65" s="16"/>
      <c r="Y65" s="16"/>
      <c r="Z65" s="16"/>
      <c r="AA65" s="119" t="n">
        <v>0</v>
      </c>
      <c r="AB65" s="119" t="n">
        <v>0</v>
      </c>
      <c r="AC65" s="57" t="n">
        <v>0</v>
      </c>
      <c r="AD65" s="24" t="n">
        <v>0</v>
      </c>
      <c r="AE65" s="24" t="n">
        <v>0</v>
      </c>
    </row>
    <row r="66" customFormat="false" ht="15.75" hidden="false" customHeight="false" outlineLevel="0" collapsed="false">
      <c r="A66" s="16" t="s">
        <v>42</v>
      </c>
      <c r="B66" s="16" t="s">
        <v>4161</v>
      </c>
      <c r="C66" s="71" t="s">
        <v>4308</v>
      </c>
      <c r="D66" s="16" t="s">
        <v>4319</v>
      </c>
      <c r="E66" s="16" t="s">
        <v>4320</v>
      </c>
      <c r="F66" s="16" t="n">
        <v>545</v>
      </c>
      <c r="G66" s="16" t="n">
        <v>61</v>
      </c>
      <c r="H66" s="16" t="n">
        <v>336</v>
      </c>
      <c r="I66" s="16" t="n">
        <v>180</v>
      </c>
      <c r="J66" s="16" t="n">
        <v>156</v>
      </c>
      <c r="K66" s="16" t="n">
        <v>0</v>
      </c>
      <c r="L66" s="19" t="n">
        <f aca="false">(K66/H66)*100</f>
        <v>0</v>
      </c>
      <c r="M66" s="16" t="n">
        <v>0</v>
      </c>
      <c r="N66" s="19" t="n">
        <f aca="false">(M66/H66)*100</f>
        <v>0</v>
      </c>
      <c r="O66" s="16" t="n">
        <v>0</v>
      </c>
      <c r="P66" s="16" t="n">
        <v>0</v>
      </c>
      <c r="Q66" s="92" t="s">
        <v>49</v>
      </c>
      <c r="R66" s="421" t="n">
        <v>44879</v>
      </c>
      <c r="S66" s="16"/>
      <c r="T66" s="24"/>
      <c r="U66" s="16"/>
      <c r="V66" s="16"/>
      <c r="W66" s="16"/>
      <c r="X66" s="16"/>
      <c r="Y66" s="16"/>
      <c r="Z66" s="16"/>
      <c r="AA66" s="119" t="n">
        <v>0</v>
      </c>
      <c r="AB66" s="119" t="n">
        <v>0</v>
      </c>
      <c r="AC66" s="96" t="n">
        <v>0</v>
      </c>
      <c r="AD66" s="24" t="n">
        <v>0</v>
      </c>
      <c r="AE66" s="24" t="n">
        <v>0</v>
      </c>
    </row>
    <row r="67" customFormat="false" ht="15.75" hidden="false" customHeight="false" outlineLevel="0" collapsed="false">
      <c r="A67" s="16" t="s">
        <v>42</v>
      </c>
      <c r="B67" s="16" t="s">
        <v>4161</v>
      </c>
      <c r="C67" s="71" t="s">
        <v>4308</v>
      </c>
      <c r="D67" s="16" t="s">
        <v>4321</v>
      </c>
      <c r="E67" s="16" t="s">
        <v>4322</v>
      </c>
      <c r="F67" s="16" t="n">
        <v>310</v>
      </c>
      <c r="G67" s="16" t="n">
        <v>20</v>
      </c>
      <c r="H67" s="16" t="n">
        <v>152</v>
      </c>
      <c r="I67" s="16" t="n">
        <v>72</v>
      </c>
      <c r="J67" s="16" t="n">
        <v>80</v>
      </c>
      <c r="K67" s="16" t="n">
        <v>0</v>
      </c>
      <c r="L67" s="19" t="n">
        <f aca="false">(K67/H67)*100</f>
        <v>0</v>
      </c>
      <c r="M67" s="16" t="n">
        <v>0</v>
      </c>
      <c r="N67" s="19" t="n">
        <f aca="false">(M67/H67)*100</f>
        <v>0</v>
      </c>
      <c r="O67" s="16" t="n">
        <v>0</v>
      </c>
      <c r="P67" s="16" t="n">
        <v>0</v>
      </c>
      <c r="Q67" s="92" t="s">
        <v>49</v>
      </c>
      <c r="R67" s="421" t="n">
        <v>44879</v>
      </c>
      <c r="S67" s="16"/>
      <c r="T67" s="24"/>
      <c r="U67" s="16"/>
      <c r="V67" s="16"/>
      <c r="W67" s="16"/>
      <c r="X67" s="16"/>
      <c r="Y67" s="16"/>
      <c r="Z67" s="16"/>
      <c r="AA67" s="119" t="s">
        <v>266</v>
      </c>
      <c r="AB67" s="119" t="n">
        <v>0</v>
      </c>
      <c r="AC67" s="96" t="s">
        <v>4323</v>
      </c>
      <c r="AD67" s="510" t="n">
        <v>26.71</v>
      </c>
      <c r="AE67" s="24" t="n">
        <v>72.35</v>
      </c>
    </row>
    <row r="68" customFormat="false" ht="15.75" hidden="false" customHeight="false" outlineLevel="0" collapsed="false">
      <c r="A68" s="16" t="s">
        <v>42</v>
      </c>
      <c r="B68" s="16" t="s">
        <v>4161</v>
      </c>
      <c r="C68" s="71" t="s">
        <v>4308</v>
      </c>
      <c r="D68" s="16" t="s">
        <v>4324</v>
      </c>
      <c r="E68" s="16" t="s">
        <v>4325</v>
      </c>
      <c r="F68" s="16" t="n">
        <v>277</v>
      </c>
      <c r="G68" s="16" t="n">
        <v>146</v>
      </c>
      <c r="H68" s="16" t="n">
        <v>848</v>
      </c>
      <c r="I68" s="16" t="n">
        <v>421</v>
      </c>
      <c r="J68" s="16" t="n">
        <v>427</v>
      </c>
      <c r="K68" s="16" t="n">
        <v>51</v>
      </c>
      <c r="L68" s="19" t="n">
        <f aca="false">(K68/H68)*100</f>
        <v>6.01415094339623</v>
      </c>
      <c r="M68" s="16" t="n">
        <v>0</v>
      </c>
      <c r="N68" s="19" t="n">
        <f aca="false">(M68/H68)*100</f>
        <v>0</v>
      </c>
      <c r="O68" s="16" t="n">
        <v>0</v>
      </c>
      <c r="P68" s="16" t="n">
        <v>0</v>
      </c>
      <c r="Q68" s="92" t="s">
        <v>49</v>
      </c>
      <c r="R68" s="421" t="n">
        <v>44879</v>
      </c>
      <c r="S68" s="16"/>
      <c r="T68" s="24"/>
      <c r="U68" s="16"/>
      <c r="V68" s="16"/>
      <c r="W68" s="16"/>
      <c r="X68" s="16"/>
      <c r="Y68" s="16"/>
      <c r="Z68" s="16"/>
      <c r="AA68" s="119" t="n">
        <v>0</v>
      </c>
      <c r="AB68" s="119" t="n">
        <v>0</v>
      </c>
      <c r="AC68" s="57" t="n">
        <v>0</v>
      </c>
      <c r="AD68" s="24" t="n">
        <v>0</v>
      </c>
      <c r="AE68" s="24" t="n">
        <v>0</v>
      </c>
    </row>
    <row r="69" customFormat="false" ht="15.75" hidden="false" customHeight="false" outlineLevel="0" collapsed="false">
      <c r="A69" s="16" t="s">
        <v>42</v>
      </c>
      <c r="B69" s="16" t="s">
        <v>4161</v>
      </c>
      <c r="C69" s="71" t="s">
        <v>4326</v>
      </c>
      <c r="D69" s="72" t="s">
        <v>4327</v>
      </c>
      <c r="E69" s="16" t="s">
        <v>4328</v>
      </c>
      <c r="F69" s="16" t="n">
        <v>732</v>
      </c>
      <c r="G69" s="16" t="n">
        <v>156</v>
      </c>
      <c r="H69" s="16" t="n">
        <v>975</v>
      </c>
      <c r="I69" s="16" t="n">
        <v>512</v>
      </c>
      <c r="J69" s="16" t="n">
        <v>463</v>
      </c>
      <c r="K69" s="16" t="n">
        <v>138</v>
      </c>
      <c r="L69" s="19" t="n">
        <f aca="false">(K69/H69)*100</f>
        <v>14.1538461538462</v>
      </c>
      <c r="M69" s="16" t="n">
        <v>36</v>
      </c>
      <c r="N69" s="19" t="n">
        <f aca="false">(M69/H69)*100</f>
        <v>3.69230769230769</v>
      </c>
      <c r="O69" s="16" t="n">
        <v>65</v>
      </c>
      <c r="P69" s="16" t="n">
        <v>0</v>
      </c>
      <c r="Q69" s="92" t="s">
        <v>49</v>
      </c>
      <c r="R69" s="421" t="n">
        <v>44623</v>
      </c>
      <c r="S69" s="16"/>
      <c r="T69" s="24" t="n">
        <v>55.8912</v>
      </c>
      <c r="U69" s="16"/>
      <c r="V69" s="16"/>
      <c r="W69" s="16"/>
      <c r="X69" s="16"/>
      <c r="Y69" s="16"/>
      <c r="Z69" s="16"/>
      <c r="AA69" s="92" t="s">
        <v>266</v>
      </c>
      <c r="AB69" s="92" t="n">
        <v>10</v>
      </c>
      <c r="AC69" s="96" t="s">
        <v>4036</v>
      </c>
      <c r="AD69" s="24" t="n">
        <v>26.482124</v>
      </c>
      <c r="AE69" s="24" t="n">
        <v>72.467967</v>
      </c>
    </row>
    <row r="70" customFormat="false" ht="15.75" hidden="false" customHeight="false" outlineLevel="0" collapsed="false">
      <c r="A70" s="16" t="s">
        <v>42</v>
      </c>
      <c r="B70" s="16" t="s">
        <v>4161</v>
      </c>
      <c r="C70" s="71" t="s">
        <v>4326</v>
      </c>
      <c r="D70" s="16" t="s">
        <v>4329</v>
      </c>
      <c r="E70" s="16" t="s">
        <v>4330</v>
      </c>
      <c r="F70" s="16" t="n">
        <v>729</v>
      </c>
      <c r="G70" s="16" t="n">
        <v>100</v>
      </c>
      <c r="H70" s="16" t="n">
        <v>615</v>
      </c>
      <c r="I70" s="16" t="n">
        <v>312</v>
      </c>
      <c r="J70" s="16" t="n">
        <v>303</v>
      </c>
      <c r="K70" s="16" t="n">
        <v>246</v>
      </c>
      <c r="L70" s="19" t="n">
        <f aca="false">(K70/H70)*100</f>
        <v>40</v>
      </c>
      <c r="M70" s="16" t="n">
        <v>0</v>
      </c>
      <c r="N70" s="19" t="n">
        <f aca="false">(M70/H70)*100</f>
        <v>0</v>
      </c>
      <c r="O70" s="16" t="n">
        <v>42</v>
      </c>
      <c r="P70" s="16" t="n">
        <v>0</v>
      </c>
      <c r="Q70" s="92" t="s">
        <v>49</v>
      </c>
      <c r="R70" s="421" t="n">
        <v>44624</v>
      </c>
      <c r="S70" s="16"/>
      <c r="T70" s="24" t="n">
        <v>5.0272</v>
      </c>
      <c r="U70" s="16"/>
      <c r="V70" s="16"/>
      <c r="W70" s="16"/>
      <c r="X70" s="16"/>
      <c r="Y70" s="16"/>
      <c r="Z70" s="16"/>
      <c r="AA70" s="92" t="s">
        <v>266</v>
      </c>
      <c r="AB70" s="92" t="n">
        <v>2</v>
      </c>
      <c r="AC70" s="57" t="s">
        <v>276</v>
      </c>
      <c r="AD70" s="24" t="n">
        <v>26.503379</v>
      </c>
      <c r="AE70" s="24" t="n">
        <v>72.46991</v>
      </c>
    </row>
    <row r="71" customFormat="false" ht="15.75" hidden="false" customHeight="false" outlineLevel="0" collapsed="false">
      <c r="A71" s="16" t="s">
        <v>42</v>
      </c>
      <c r="B71" s="16" t="s">
        <v>4161</v>
      </c>
      <c r="C71" s="71" t="s">
        <v>4326</v>
      </c>
      <c r="D71" s="16" t="s">
        <v>2000</v>
      </c>
      <c r="E71" s="16" t="s">
        <v>4331</v>
      </c>
      <c r="F71" s="16" t="n">
        <v>799</v>
      </c>
      <c r="G71" s="16" t="n">
        <v>86</v>
      </c>
      <c r="H71" s="16" t="n">
        <v>618</v>
      </c>
      <c r="I71" s="16" t="n">
        <v>339</v>
      </c>
      <c r="J71" s="16" t="n">
        <v>279</v>
      </c>
      <c r="K71" s="16" t="n">
        <v>355</v>
      </c>
      <c r="L71" s="19" t="n">
        <f aca="false">(K71/H71)*100</f>
        <v>57.4433656957929</v>
      </c>
      <c r="M71" s="16" t="n">
        <v>0</v>
      </c>
      <c r="N71" s="19" t="n">
        <f aca="false">(M71/H71)*100</f>
        <v>0</v>
      </c>
      <c r="O71" s="16" t="n">
        <v>0</v>
      </c>
      <c r="P71" s="16" t="n">
        <v>0</v>
      </c>
      <c r="Q71" s="89" t="s">
        <v>4293</v>
      </c>
      <c r="R71" s="20"/>
      <c r="S71" s="16"/>
      <c r="T71" s="20"/>
      <c r="U71" s="16"/>
      <c r="V71" s="16"/>
      <c r="W71" s="16"/>
      <c r="X71" s="16"/>
      <c r="Y71" s="16"/>
      <c r="Z71" s="16"/>
      <c r="AA71" s="89"/>
      <c r="AB71" s="89"/>
      <c r="AC71" s="36"/>
      <c r="AD71" s="20"/>
      <c r="AE71" s="20"/>
    </row>
    <row r="72" customFormat="false" ht="15.75" hidden="false" customHeight="false" outlineLevel="0" collapsed="false">
      <c r="A72" s="16" t="s">
        <v>42</v>
      </c>
      <c r="B72" s="16" t="s">
        <v>4161</v>
      </c>
      <c r="C72" s="71" t="s">
        <v>4332</v>
      </c>
      <c r="D72" s="72" t="s">
        <v>4333</v>
      </c>
      <c r="E72" s="16" t="s">
        <v>4334</v>
      </c>
      <c r="F72" s="16" t="n">
        <v>1838</v>
      </c>
      <c r="G72" s="16" t="n">
        <v>355</v>
      </c>
      <c r="H72" s="16" t="n">
        <v>2275</v>
      </c>
      <c r="I72" s="16" t="n">
        <v>1164</v>
      </c>
      <c r="J72" s="16" t="n">
        <v>1111</v>
      </c>
      <c r="K72" s="16" t="n">
        <v>763</v>
      </c>
      <c r="L72" s="19" t="n">
        <f aca="false">(K72/H72)*100</f>
        <v>33.5384615384615</v>
      </c>
      <c r="M72" s="16" t="n">
        <v>129</v>
      </c>
      <c r="N72" s="19" t="n">
        <f aca="false">(M72/H72)*100</f>
        <v>5.67032967032967</v>
      </c>
      <c r="O72" s="16" t="n">
        <v>62</v>
      </c>
      <c r="P72" s="16" t="n">
        <v>0</v>
      </c>
      <c r="Q72" s="89" t="s">
        <v>49</v>
      </c>
      <c r="R72" s="20"/>
      <c r="S72" s="16"/>
      <c r="T72" s="20" t="n">
        <v>30.8927</v>
      </c>
      <c r="U72" s="16"/>
      <c r="V72" s="16"/>
      <c r="W72" s="16"/>
      <c r="X72" s="16"/>
      <c r="Y72" s="16"/>
      <c r="Z72" s="16"/>
      <c r="AA72" s="89" t="s">
        <v>50</v>
      </c>
      <c r="AB72" s="89" t="n">
        <v>5</v>
      </c>
      <c r="AC72" s="90" t="s">
        <v>317</v>
      </c>
      <c r="AD72" s="20"/>
      <c r="AE72" s="20"/>
    </row>
    <row r="73" customFormat="false" ht="15.75" hidden="false" customHeight="false" outlineLevel="0" collapsed="false">
      <c r="A73" s="16" t="s">
        <v>42</v>
      </c>
      <c r="B73" s="16" t="s">
        <v>4161</v>
      </c>
      <c r="C73" s="71" t="s">
        <v>4332</v>
      </c>
      <c r="D73" s="16" t="s">
        <v>4335</v>
      </c>
      <c r="E73" s="16" t="s">
        <v>4336</v>
      </c>
      <c r="F73" s="16" t="n">
        <v>341</v>
      </c>
      <c r="G73" s="16" t="n">
        <v>123</v>
      </c>
      <c r="H73" s="16" t="n">
        <v>686</v>
      </c>
      <c r="I73" s="16" t="n">
        <v>361</v>
      </c>
      <c r="J73" s="16" t="n">
        <v>325</v>
      </c>
      <c r="K73" s="16" t="n">
        <v>152</v>
      </c>
      <c r="L73" s="19" t="n">
        <f aca="false">(K73/H73)*100</f>
        <v>22.1574344023324</v>
      </c>
      <c r="M73" s="16" t="n">
        <v>0</v>
      </c>
      <c r="N73" s="19" t="n">
        <f aca="false">(M73/H73)*100</f>
        <v>0</v>
      </c>
      <c r="O73" s="16" t="n">
        <v>6</v>
      </c>
      <c r="P73" s="16" t="n">
        <v>0</v>
      </c>
      <c r="Q73" s="92" t="s">
        <v>49</v>
      </c>
      <c r="R73" s="24"/>
      <c r="S73" s="16"/>
      <c r="T73" s="24" t="n">
        <v>0</v>
      </c>
      <c r="U73" s="16"/>
      <c r="V73" s="16"/>
      <c r="W73" s="16"/>
      <c r="X73" s="16"/>
      <c r="Y73" s="16"/>
      <c r="Z73" s="16"/>
      <c r="AA73" s="92" t="n">
        <v>0</v>
      </c>
      <c r="AB73" s="92" t="n">
        <v>0</v>
      </c>
      <c r="AC73" s="57" t="n">
        <v>0</v>
      </c>
      <c r="AD73" s="24" t="n">
        <v>0</v>
      </c>
      <c r="AE73" s="24" t="n">
        <v>0</v>
      </c>
    </row>
    <row r="74" customFormat="false" ht="15.75" hidden="false" customHeight="false" outlineLevel="0" collapsed="false">
      <c r="A74" s="16" t="s">
        <v>42</v>
      </c>
      <c r="B74" s="16" t="s">
        <v>4161</v>
      </c>
      <c r="C74" s="71" t="s">
        <v>4337</v>
      </c>
      <c r="D74" s="72" t="s">
        <v>4338</v>
      </c>
      <c r="E74" s="16" t="s">
        <v>4339</v>
      </c>
      <c r="F74" s="16" t="n">
        <v>425</v>
      </c>
      <c r="G74" s="16" t="n">
        <v>99</v>
      </c>
      <c r="H74" s="16" t="n">
        <v>638</v>
      </c>
      <c r="I74" s="16" t="n">
        <v>327</v>
      </c>
      <c r="J74" s="16" t="n">
        <v>311</v>
      </c>
      <c r="K74" s="16" t="n">
        <v>168</v>
      </c>
      <c r="L74" s="19" t="n">
        <f aca="false">(K74/H74)*100</f>
        <v>26.3322884012539</v>
      </c>
      <c r="M74" s="16" t="n">
        <v>0</v>
      </c>
      <c r="N74" s="19" t="n">
        <f aca="false">(M74/H74)*100</f>
        <v>0</v>
      </c>
      <c r="O74" s="16" t="n">
        <v>150</v>
      </c>
      <c r="P74" s="16" t="n">
        <v>0</v>
      </c>
      <c r="Q74" s="92" t="s">
        <v>49</v>
      </c>
      <c r="R74" s="421" t="n">
        <v>44868</v>
      </c>
      <c r="S74" s="16"/>
      <c r="T74" s="24"/>
      <c r="U74" s="16"/>
      <c r="V74" s="16"/>
      <c r="W74" s="16"/>
      <c r="X74" s="16"/>
      <c r="Y74" s="16"/>
      <c r="Z74" s="16"/>
      <c r="AA74" s="92" t="s">
        <v>50</v>
      </c>
      <c r="AB74" s="92" t="n">
        <v>20</v>
      </c>
      <c r="AC74" s="57" t="s">
        <v>276</v>
      </c>
      <c r="AD74" s="24"/>
      <c r="AE74" s="24"/>
    </row>
    <row r="75" customFormat="false" ht="15.75" hidden="false" customHeight="false" outlineLevel="0" collapsed="false">
      <c r="A75" s="16" t="s">
        <v>42</v>
      </c>
      <c r="B75" s="16" t="s">
        <v>4161</v>
      </c>
      <c r="C75" s="71" t="s">
        <v>4337</v>
      </c>
      <c r="D75" s="16" t="s">
        <v>4340</v>
      </c>
      <c r="E75" s="16" t="s">
        <v>4341</v>
      </c>
      <c r="F75" s="16" t="n">
        <v>541</v>
      </c>
      <c r="G75" s="16" t="n">
        <v>127</v>
      </c>
      <c r="H75" s="16" t="n">
        <v>730</v>
      </c>
      <c r="I75" s="16" t="n">
        <v>396</v>
      </c>
      <c r="J75" s="16" t="n">
        <v>334</v>
      </c>
      <c r="K75" s="16" t="n">
        <v>90</v>
      </c>
      <c r="L75" s="19" t="n">
        <f aca="false">(K75/H75)*100</f>
        <v>12.3287671232877</v>
      </c>
      <c r="M75" s="16" t="n">
        <v>0</v>
      </c>
      <c r="N75" s="19" t="n">
        <f aca="false">(M75/H75)*100</f>
        <v>0</v>
      </c>
      <c r="O75" s="16" t="n">
        <v>9</v>
      </c>
      <c r="P75" s="16" t="n">
        <v>0</v>
      </c>
      <c r="Q75" s="92" t="s">
        <v>49</v>
      </c>
      <c r="R75" s="421" t="n">
        <v>44868</v>
      </c>
      <c r="S75" s="16"/>
      <c r="T75" s="24"/>
      <c r="U75" s="16"/>
      <c r="V75" s="16"/>
      <c r="W75" s="16"/>
      <c r="X75" s="16"/>
      <c r="Y75" s="16"/>
      <c r="Z75" s="16"/>
      <c r="AA75" s="92" t="s">
        <v>50</v>
      </c>
      <c r="AB75" s="92" t="n">
        <v>10</v>
      </c>
      <c r="AC75" s="57" t="s">
        <v>276</v>
      </c>
      <c r="AD75" s="24"/>
      <c r="AE75" s="24"/>
    </row>
    <row r="76" customFormat="false" ht="15.75" hidden="false" customHeight="false" outlineLevel="0" collapsed="false">
      <c r="A76" s="16" t="s">
        <v>42</v>
      </c>
      <c r="B76" s="16" t="s">
        <v>4161</v>
      </c>
      <c r="C76" s="71" t="s">
        <v>4337</v>
      </c>
      <c r="D76" s="16" t="s">
        <v>4342</v>
      </c>
      <c r="E76" s="16" t="s">
        <v>4343</v>
      </c>
      <c r="F76" s="16" t="n">
        <v>228</v>
      </c>
      <c r="G76" s="16" t="n">
        <v>56</v>
      </c>
      <c r="H76" s="16" t="n">
        <v>375</v>
      </c>
      <c r="I76" s="16" t="n">
        <v>200</v>
      </c>
      <c r="J76" s="16" t="n">
        <v>175</v>
      </c>
      <c r="K76" s="16" t="n">
        <v>175</v>
      </c>
      <c r="L76" s="19" t="n">
        <f aca="false">(K76/H76)*100</f>
        <v>46.6666666666667</v>
      </c>
      <c r="M76" s="16" t="n">
        <v>0</v>
      </c>
      <c r="N76" s="19" t="n">
        <f aca="false">(M76/H76)*100</f>
        <v>0</v>
      </c>
      <c r="O76" s="16" t="n">
        <v>0</v>
      </c>
      <c r="P76" s="16" t="n">
        <v>0</v>
      </c>
      <c r="Q76" s="92" t="s">
        <v>49</v>
      </c>
      <c r="R76" s="421" t="n">
        <v>44868</v>
      </c>
      <c r="S76" s="16"/>
      <c r="T76" s="24"/>
      <c r="U76" s="16"/>
      <c r="V76" s="16"/>
      <c r="W76" s="16"/>
      <c r="X76" s="16"/>
      <c r="Y76" s="16"/>
      <c r="Z76" s="16"/>
      <c r="AA76" s="92" t="s">
        <v>50</v>
      </c>
      <c r="AB76" s="92" t="n">
        <v>10</v>
      </c>
      <c r="AC76" s="57" t="s">
        <v>276</v>
      </c>
      <c r="AD76" s="24"/>
      <c r="AE76" s="24"/>
    </row>
    <row r="77" customFormat="false" ht="15.75" hidden="false" customHeight="false" outlineLevel="0" collapsed="false">
      <c r="A77" s="16" t="s">
        <v>42</v>
      </c>
      <c r="B77" s="16" t="s">
        <v>4161</v>
      </c>
      <c r="C77" s="71" t="s">
        <v>4337</v>
      </c>
      <c r="D77" s="16" t="s">
        <v>3078</v>
      </c>
      <c r="E77" s="16" t="s">
        <v>4344</v>
      </c>
      <c r="F77" s="16" t="n">
        <v>407</v>
      </c>
      <c r="G77" s="16" t="n">
        <v>33</v>
      </c>
      <c r="H77" s="16" t="n">
        <v>279</v>
      </c>
      <c r="I77" s="16" t="n">
        <v>136</v>
      </c>
      <c r="J77" s="16" t="n">
        <v>143</v>
      </c>
      <c r="K77" s="16" t="n">
        <v>0</v>
      </c>
      <c r="L77" s="19" t="n">
        <f aca="false">(K77/H77)*100</f>
        <v>0</v>
      </c>
      <c r="M77" s="16" t="n">
        <v>0</v>
      </c>
      <c r="N77" s="19" t="n">
        <f aca="false">(M77/H77)*100</f>
        <v>0</v>
      </c>
      <c r="O77" s="16" t="n">
        <v>10</v>
      </c>
      <c r="P77" s="16" t="n">
        <v>0</v>
      </c>
      <c r="Q77" s="92" t="s">
        <v>49</v>
      </c>
      <c r="R77" s="421" t="n">
        <v>44868</v>
      </c>
      <c r="S77" s="16"/>
      <c r="T77" s="24"/>
      <c r="U77" s="16"/>
      <c r="V77" s="16"/>
      <c r="W77" s="16"/>
      <c r="X77" s="16"/>
      <c r="Y77" s="16"/>
      <c r="Z77" s="16"/>
      <c r="AA77" s="92" t="n">
        <v>0</v>
      </c>
      <c r="AB77" s="92" t="n">
        <v>0</v>
      </c>
      <c r="AC77" s="57" t="n">
        <v>0</v>
      </c>
      <c r="AD77" s="24"/>
      <c r="AE77" s="24"/>
    </row>
    <row r="78" customFormat="false" ht="15.75" hidden="false" customHeight="false" outlineLevel="0" collapsed="false">
      <c r="A78" s="16" t="s">
        <v>42</v>
      </c>
      <c r="B78" s="16" t="s">
        <v>4161</v>
      </c>
      <c r="C78" s="71" t="s">
        <v>4337</v>
      </c>
      <c r="D78" s="16" t="s">
        <v>1107</v>
      </c>
      <c r="E78" s="16" t="s">
        <v>4345</v>
      </c>
      <c r="F78" s="16" t="n">
        <v>284</v>
      </c>
      <c r="G78" s="16" t="n">
        <v>71</v>
      </c>
      <c r="H78" s="16" t="n">
        <v>482</v>
      </c>
      <c r="I78" s="16" t="n">
        <v>271</v>
      </c>
      <c r="J78" s="16" t="n">
        <v>211</v>
      </c>
      <c r="K78" s="16" t="n">
        <v>353</v>
      </c>
      <c r="L78" s="19" t="n">
        <f aca="false">(K78/H78)*100</f>
        <v>73.2365145228216</v>
      </c>
      <c r="M78" s="16" t="n">
        <v>0</v>
      </c>
      <c r="N78" s="19" t="n">
        <f aca="false">(M78/H78)*100</f>
        <v>0</v>
      </c>
      <c r="O78" s="16" t="n">
        <v>0</v>
      </c>
      <c r="P78" s="16" t="n">
        <v>0</v>
      </c>
      <c r="Q78" s="92" t="s">
        <v>49</v>
      </c>
      <c r="R78" s="421" t="n">
        <v>44868</v>
      </c>
      <c r="S78" s="16"/>
      <c r="T78" s="24"/>
      <c r="U78" s="16"/>
      <c r="V78" s="16"/>
      <c r="W78" s="16"/>
      <c r="X78" s="16"/>
      <c r="Y78" s="16"/>
      <c r="Z78" s="16"/>
      <c r="AA78" s="92" t="n">
        <v>0</v>
      </c>
      <c r="AB78" s="92" t="n">
        <v>0</v>
      </c>
      <c r="AC78" s="57" t="n">
        <v>0</v>
      </c>
      <c r="AD78" s="24"/>
      <c r="AE78" s="24"/>
    </row>
    <row r="79" customFormat="false" ht="15.75" hidden="false" customHeight="false" outlineLevel="0" collapsed="false">
      <c r="A79" s="16" t="s">
        <v>42</v>
      </c>
      <c r="B79" s="16" t="s">
        <v>4161</v>
      </c>
      <c r="C79" s="71" t="s">
        <v>4337</v>
      </c>
      <c r="D79" s="16" t="s">
        <v>4346</v>
      </c>
      <c r="E79" s="16" t="s">
        <v>4347</v>
      </c>
      <c r="F79" s="16" t="n">
        <v>249</v>
      </c>
      <c r="G79" s="16" t="n">
        <v>102</v>
      </c>
      <c r="H79" s="16" t="n">
        <v>667</v>
      </c>
      <c r="I79" s="16" t="n">
        <v>351</v>
      </c>
      <c r="J79" s="16" t="n">
        <v>316</v>
      </c>
      <c r="K79" s="16" t="n">
        <v>330</v>
      </c>
      <c r="L79" s="19" t="n">
        <f aca="false">(K79/H79)*100</f>
        <v>49.4752623688156</v>
      </c>
      <c r="M79" s="16" t="n">
        <v>25</v>
      </c>
      <c r="N79" s="19" t="n">
        <f aca="false">(M79/H79)*100</f>
        <v>3.74812593703148</v>
      </c>
      <c r="O79" s="16" t="n">
        <v>0</v>
      </c>
      <c r="P79" s="16" t="n">
        <v>0</v>
      </c>
      <c r="Q79" s="92" t="s">
        <v>49</v>
      </c>
      <c r="R79" s="421" t="n">
        <v>44868</v>
      </c>
      <c r="S79" s="16"/>
      <c r="T79" s="24"/>
      <c r="U79" s="16"/>
      <c r="V79" s="16"/>
      <c r="W79" s="16"/>
      <c r="X79" s="16"/>
      <c r="Y79" s="16"/>
      <c r="Z79" s="16"/>
      <c r="AA79" s="92" t="s">
        <v>50</v>
      </c>
      <c r="AB79" s="92" t="n">
        <v>4</v>
      </c>
      <c r="AC79" s="57" t="s">
        <v>276</v>
      </c>
      <c r="AD79" s="24"/>
      <c r="AE79" s="24"/>
    </row>
    <row r="80" customFormat="false" ht="15.75" hidden="false" customHeight="false" outlineLevel="0" collapsed="false">
      <c r="A80" s="16" t="s">
        <v>42</v>
      </c>
      <c r="B80" s="16" t="s">
        <v>4161</v>
      </c>
      <c r="C80" s="71" t="s">
        <v>4348</v>
      </c>
      <c r="D80" s="72" t="s">
        <v>4348</v>
      </c>
      <c r="E80" s="16" t="s">
        <v>4349</v>
      </c>
      <c r="F80" s="16" t="n">
        <v>789</v>
      </c>
      <c r="G80" s="16" t="n">
        <v>137</v>
      </c>
      <c r="H80" s="16" t="n">
        <v>876</v>
      </c>
      <c r="I80" s="16" t="n">
        <v>435</v>
      </c>
      <c r="J80" s="16" t="n">
        <v>441</v>
      </c>
      <c r="K80" s="16" t="n">
        <v>431</v>
      </c>
      <c r="L80" s="19" t="n">
        <f aca="false">(K80/H80)*100</f>
        <v>49.2009132420091</v>
      </c>
      <c r="M80" s="16" t="n">
        <v>0</v>
      </c>
      <c r="N80" s="19" t="n">
        <f aca="false">(M80/H80)*100</f>
        <v>0</v>
      </c>
      <c r="O80" s="16" t="n">
        <v>135</v>
      </c>
      <c r="P80" s="16" t="n">
        <v>0</v>
      </c>
      <c r="Q80" s="89" t="s">
        <v>49</v>
      </c>
      <c r="R80" s="153" t="n">
        <v>44879</v>
      </c>
      <c r="S80" s="16"/>
      <c r="T80" s="20" t="n">
        <v>132.7043</v>
      </c>
      <c r="U80" s="16"/>
      <c r="V80" s="16"/>
      <c r="W80" s="16"/>
      <c r="X80" s="16"/>
      <c r="Y80" s="16"/>
      <c r="Z80" s="16"/>
      <c r="AA80" s="89" t="s">
        <v>266</v>
      </c>
      <c r="AB80" s="89" t="n">
        <v>4</v>
      </c>
      <c r="AC80" s="90" t="s">
        <v>2931</v>
      </c>
      <c r="AD80" s="267" t="n">
        <v>26.66</v>
      </c>
      <c r="AE80" s="20" t="n">
        <v>72.38</v>
      </c>
    </row>
    <row r="81" customFormat="false" ht="15.75" hidden="false" customHeight="false" outlineLevel="0" collapsed="false">
      <c r="A81" s="16" t="s">
        <v>42</v>
      </c>
      <c r="B81" s="16" t="s">
        <v>4161</v>
      </c>
      <c r="C81" s="71" t="s">
        <v>4348</v>
      </c>
      <c r="D81" s="16" t="s">
        <v>4350</v>
      </c>
      <c r="E81" s="16" t="s">
        <v>4351</v>
      </c>
      <c r="F81" s="16" t="n">
        <v>832</v>
      </c>
      <c r="G81" s="16" t="n">
        <v>85</v>
      </c>
      <c r="H81" s="16" t="n">
        <v>513</v>
      </c>
      <c r="I81" s="16" t="n">
        <v>276</v>
      </c>
      <c r="J81" s="16" t="n">
        <v>237</v>
      </c>
      <c r="K81" s="16" t="n">
        <v>113</v>
      </c>
      <c r="L81" s="19" t="n">
        <f aca="false">(K81/H81)*100</f>
        <v>22.0272904483431</v>
      </c>
      <c r="M81" s="16" t="n">
        <v>0</v>
      </c>
      <c r="N81" s="19" t="n">
        <f aca="false">(M81/H81)*100</f>
        <v>0</v>
      </c>
      <c r="O81" s="16" t="n">
        <v>1</v>
      </c>
      <c r="P81" s="16" t="n">
        <v>0</v>
      </c>
      <c r="Q81" s="92" t="s">
        <v>49</v>
      </c>
      <c r="R81" s="421" t="n">
        <v>44879</v>
      </c>
      <c r="S81" s="16"/>
      <c r="T81" s="24"/>
      <c r="U81" s="16"/>
      <c r="V81" s="16"/>
      <c r="W81" s="16"/>
      <c r="X81" s="16"/>
      <c r="Y81" s="16"/>
      <c r="Z81" s="16"/>
      <c r="AA81" s="119" t="n">
        <v>0</v>
      </c>
      <c r="AB81" s="119" t="n">
        <v>0</v>
      </c>
      <c r="AC81" s="57" t="n">
        <v>0</v>
      </c>
      <c r="AD81" s="24"/>
      <c r="AE81" s="24"/>
    </row>
    <row r="82" customFormat="false" ht="15.75" hidden="false" customHeight="false" outlineLevel="0" collapsed="false">
      <c r="A82" s="16" t="s">
        <v>42</v>
      </c>
      <c r="B82" s="16" t="s">
        <v>4161</v>
      </c>
      <c r="C82" s="71" t="s">
        <v>4348</v>
      </c>
      <c r="D82" s="16" t="s">
        <v>4352</v>
      </c>
      <c r="E82" s="16" t="s">
        <v>4353</v>
      </c>
      <c r="F82" s="16" t="n">
        <v>313</v>
      </c>
      <c r="G82" s="16" t="n">
        <v>75</v>
      </c>
      <c r="H82" s="16" t="n">
        <v>428</v>
      </c>
      <c r="I82" s="16" t="n">
        <v>219</v>
      </c>
      <c r="J82" s="16" t="n">
        <v>209</v>
      </c>
      <c r="K82" s="16" t="n">
        <v>49</v>
      </c>
      <c r="L82" s="19" t="n">
        <f aca="false">(K82/H82)*100</f>
        <v>11.4485981308411</v>
      </c>
      <c r="M82" s="16" t="n">
        <v>0</v>
      </c>
      <c r="N82" s="19" t="n">
        <f aca="false">(M82/H82)*100</f>
        <v>0</v>
      </c>
      <c r="O82" s="16" t="n">
        <v>85</v>
      </c>
      <c r="P82" s="16" t="n">
        <v>0</v>
      </c>
      <c r="Q82" s="92" t="s">
        <v>49</v>
      </c>
      <c r="R82" s="421" t="n">
        <v>44879</v>
      </c>
      <c r="S82" s="16"/>
      <c r="T82" s="24"/>
      <c r="U82" s="16"/>
      <c r="V82" s="16"/>
      <c r="W82" s="16"/>
      <c r="X82" s="16"/>
      <c r="Y82" s="16"/>
      <c r="Z82" s="16"/>
      <c r="AA82" s="119" t="n">
        <v>0</v>
      </c>
      <c r="AB82" s="119" t="n">
        <v>0</v>
      </c>
      <c r="AC82" s="57" t="n">
        <v>0</v>
      </c>
      <c r="AD82" s="24"/>
      <c r="AE82" s="24"/>
    </row>
    <row r="83" customFormat="false" ht="15.75" hidden="false" customHeight="false" outlineLevel="0" collapsed="false">
      <c r="A83" s="16" t="s">
        <v>42</v>
      </c>
      <c r="B83" s="16" t="s">
        <v>4161</v>
      </c>
      <c r="C83" s="71" t="s">
        <v>4348</v>
      </c>
      <c r="D83" s="16" t="s">
        <v>4354</v>
      </c>
      <c r="E83" s="16" t="s">
        <v>4355</v>
      </c>
      <c r="F83" s="16" t="n">
        <v>358</v>
      </c>
      <c r="G83" s="16" t="n">
        <v>26</v>
      </c>
      <c r="H83" s="16" t="n">
        <v>147</v>
      </c>
      <c r="I83" s="16" t="n">
        <v>83</v>
      </c>
      <c r="J83" s="16" t="n">
        <v>64</v>
      </c>
      <c r="K83" s="16" t="n">
        <v>21</v>
      </c>
      <c r="L83" s="19" t="n">
        <f aca="false">(K83/H83)*100</f>
        <v>14.2857142857143</v>
      </c>
      <c r="M83" s="16" t="n">
        <v>0</v>
      </c>
      <c r="N83" s="19" t="n">
        <f aca="false">(M83/H83)*100</f>
        <v>0</v>
      </c>
      <c r="O83" s="16" t="n">
        <v>0</v>
      </c>
      <c r="P83" s="16" t="n">
        <v>0</v>
      </c>
      <c r="Q83" s="92" t="s">
        <v>49</v>
      </c>
      <c r="R83" s="421" t="n">
        <v>44879</v>
      </c>
      <c r="S83" s="16"/>
      <c r="T83" s="24"/>
      <c r="U83" s="16"/>
      <c r="V83" s="16"/>
      <c r="W83" s="16"/>
      <c r="X83" s="16"/>
      <c r="Y83" s="16"/>
      <c r="Z83" s="16"/>
      <c r="AA83" s="119" t="n">
        <v>0</v>
      </c>
      <c r="AB83" s="119" t="n">
        <v>0</v>
      </c>
      <c r="AC83" s="57" t="n">
        <v>0</v>
      </c>
      <c r="AD83" s="24"/>
      <c r="AE83" s="24"/>
    </row>
    <row r="84" customFormat="false" ht="15.75" hidden="false" customHeight="false" outlineLevel="0" collapsed="false">
      <c r="A84" s="16" t="s">
        <v>42</v>
      </c>
      <c r="B84" s="16" t="s">
        <v>4161</v>
      </c>
      <c r="C84" s="71" t="s">
        <v>4348</v>
      </c>
      <c r="D84" s="16" t="s">
        <v>4356</v>
      </c>
      <c r="E84" s="16" t="s">
        <v>4357</v>
      </c>
      <c r="F84" s="16" t="n">
        <v>217</v>
      </c>
      <c r="G84" s="16" t="n">
        <v>71</v>
      </c>
      <c r="H84" s="16" t="n">
        <v>421</v>
      </c>
      <c r="I84" s="16" t="n">
        <v>211</v>
      </c>
      <c r="J84" s="16" t="n">
        <v>210</v>
      </c>
      <c r="K84" s="16" t="n">
        <v>352</v>
      </c>
      <c r="L84" s="19" t="n">
        <f aca="false">(K84/H84)*100</f>
        <v>83.6104513064133</v>
      </c>
      <c r="M84" s="16" t="n">
        <v>5</v>
      </c>
      <c r="N84" s="19" t="n">
        <f aca="false">(M84/H84)*100</f>
        <v>1.18764845605701</v>
      </c>
      <c r="O84" s="16" t="n">
        <v>11</v>
      </c>
      <c r="P84" s="16" t="n">
        <v>0</v>
      </c>
      <c r="Q84" s="92" t="s">
        <v>49</v>
      </c>
      <c r="R84" s="421" t="n">
        <v>44879</v>
      </c>
      <c r="S84" s="16"/>
      <c r="T84" s="24" t="n">
        <v>11.0317</v>
      </c>
      <c r="U84" s="16"/>
      <c r="V84" s="16"/>
      <c r="W84" s="16"/>
      <c r="X84" s="16"/>
      <c r="Y84" s="16"/>
      <c r="Z84" s="16"/>
      <c r="AA84" s="119" t="n">
        <v>0</v>
      </c>
      <c r="AB84" s="119" t="n">
        <v>0</v>
      </c>
      <c r="AC84" s="57" t="n">
        <v>0</v>
      </c>
      <c r="AD84" s="24"/>
      <c r="AE84" s="24"/>
    </row>
    <row r="85" customFormat="false" ht="15.75" hidden="false" customHeight="false" outlineLevel="0" collapsed="false">
      <c r="A85" s="16" t="s">
        <v>42</v>
      </c>
      <c r="B85" s="16" t="s">
        <v>4161</v>
      </c>
      <c r="C85" s="71" t="s">
        <v>4348</v>
      </c>
      <c r="D85" s="16" t="s">
        <v>4358</v>
      </c>
      <c r="E85" s="16" t="s">
        <v>4359</v>
      </c>
      <c r="F85" s="16" t="n">
        <v>145</v>
      </c>
      <c r="G85" s="16" t="n">
        <v>33</v>
      </c>
      <c r="H85" s="16" t="n">
        <v>176</v>
      </c>
      <c r="I85" s="16" t="n">
        <v>101</v>
      </c>
      <c r="J85" s="16" t="n">
        <v>75</v>
      </c>
      <c r="K85" s="16" t="n">
        <v>86</v>
      </c>
      <c r="L85" s="19" t="n">
        <f aca="false">(K85/H85)*100</f>
        <v>48.8636363636364</v>
      </c>
      <c r="M85" s="16" t="n">
        <v>30</v>
      </c>
      <c r="N85" s="19" t="n">
        <f aca="false">(M85/H85)*100</f>
        <v>17.0454545454545</v>
      </c>
      <c r="O85" s="16" t="n">
        <v>0</v>
      </c>
      <c r="P85" s="16" t="n">
        <v>0</v>
      </c>
      <c r="Q85" s="92" t="s">
        <v>49</v>
      </c>
      <c r="R85" s="421" t="n">
        <v>44879</v>
      </c>
      <c r="S85" s="16"/>
      <c r="T85" s="24"/>
      <c r="U85" s="16"/>
      <c r="V85" s="16"/>
      <c r="W85" s="16"/>
      <c r="X85" s="16"/>
      <c r="Y85" s="16"/>
      <c r="Z85" s="16"/>
      <c r="AA85" s="119" t="n">
        <v>0</v>
      </c>
      <c r="AB85" s="119" t="n">
        <v>0</v>
      </c>
      <c r="AC85" s="57" t="n">
        <v>0</v>
      </c>
      <c r="AD85" s="24"/>
      <c r="AE85" s="24"/>
    </row>
    <row r="86" customFormat="false" ht="15.75" hidden="false" customHeight="false" outlineLevel="0" collapsed="false">
      <c r="A86" s="16" t="s">
        <v>42</v>
      </c>
      <c r="B86" s="16" t="s">
        <v>4161</v>
      </c>
      <c r="C86" s="71" t="s">
        <v>4348</v>
      </c>
      <c r="D86" s="16" t="s">
        <v>4360</v>
      </c>
      <c r="E86" s="16" t="s">
        <v>4361</v>
      </c>
      <c r="F86" s="16" t="n">
        <v>662</v>
      </c>
      <c r="G86" s="16" t="n">
        <v>49</v>
      </c>
      <c r="H86" s="16" t="n">
        <v>322</v>
      </c>
      <c r="I86" s="16" t="n">
        <v>163</v>
      </c>
      <c r="J86" s="16" t="n">
        <v>159</v>
      </c>
      <c r="K86" s="16" t="n">
        <v>15</v>
      </c>
      <c r="L86" s="19" t="n">
        <f aca="false">(K86/H86)*100</f>
        <v>4.6583850931677</v>
      </c>
      <c r="M86" s="16" t="n">
        <v>71</v>
      </c>
      <c r="N86" s="19" t="n">
        <f aca="false">(M86/H86)*100</f>
        <v>22.0496894409938</v>
      </c>
      <c r="O86" s="16" t="n">
        <v>0</v>
      </c>
      <c r="P86" s="16" t="n">
        <v>0</v>
      </c>
      <c r="Q86" s="92" t="s">
        <v>49</v>
      </c>
      <c r="R86" s="421" t="n">
        <v>44879</v>
      </c>
      <c r="S86" s="16"/>
      <c r="T86" s="24"/>
      <c r="U86" s="16"/>
      <c r="V86" s="16"/>
      <c r="W86" s="16"/>
      <c r="X86" s="16"/>
      <c r="Y86" s="16"/>
      <c r="Z86" s="16"/>
      <c r="AA86" s="119" t="n">
        <v>0</v>
      </c>
      <c r="AB86" s="119" t="n">
        <v>0</v>
      </c>
      <c r="AC86" s="90" t="n">
        <v>0</v>
      </c>
      <c r="AD86" s="24"/>
      <c r="AE86" s="24"/>
    </row>
    <row r="87" customFormat="false" ht="31.5" hidden="false" customHeight="false" outlineLevel="0" collapsed="false">
      <c r="A87" s="16" t="s">
        <v>42</v>
      </c>
      <c r="B87" s="16" t="s">
        <v>4161</v>
      </c>
      <c r="C87" s="71" t="s">
        <v>4362</v>
      </c>
      <c r="D87" s="72" t="s">
        <v>4363</v>
      </c>
      <c r="E87" s="16" t="s">
        <v>4364</v>
      </c>
      <c r="F87" s="16" t="n">
        <v>1917</v>
      </c>
      <c r="G87" s="16" t="n">
        <v>483</v>
      </c>
      <c r="H87" s="16" t="n">
        <v>2966</v>
      </c>
      <c r="I87" s="16" t="n">
        <v>1582</v>
      </c>
      <c r="J87" s="16" t="n">
        <v>1384</v>
      </c>
      <c r="K87" s="16" t="n">
        <v>965</v>
      </c>
      <c r="L87" s="19" t="n">
        <f aca="false">(K87/H87)*100</f>
        <v>32.5354012137559</v>
      </c>
      <c r="M87" s="16" t="n">
        <v>193</v>
      </c>
      <c r="N87" s="19" t="n">
        <f aca="false">(M87/H87)*100</f>
        <v>6.50708024275118</v>
      </c>
      <c r="O87" s="16" t="n">
        <v>99</v>
      </c>
      <c r="P87" s="16" t="n">
        <v>0</v>
      </c>
      <c r="Q87" s="92" t="s">
        <v>49</v>
      </c>
      <c r="R87" s="421" t="n">
        <v>44597</v>
      </c>
      <c r="S87" s="16"/>
      <c r="T87" s="24" t="n">
        <v>57.8384</v>
      </c>
      <c r="U87" s="16"/>
      <c r="V87" s="16"/>
      <c r="W87" s="16"/>
      <c r="X87" s="16"/>
      <c r="Y87" s="16"/>
      <c r="Z87" s="16"/>
      <c r="AA87" s="92" t="s">
        <v>1358</v>
      </c>
      <c r="AB87" s="92" t="n">
        <v>8</v>
      </c>
      <c r="AC87" s="90" t="s">
        <v>4365</v>
      </c>
      <c r="AD87" s="24" t="n">
        <v>26.526093</v>
      </c>
      <c r="AE87" s="24" t="n">
        <v>72.396117</v>
      </c>
    </row>
    <row r="88" customFormat="false" ht="15.75" hidden="false" customHeight="false" outlineLevel="0" collapsed="false">
      <c r="A88" s="58"/>
      <c r="B88" s="58"/>
      <c r="C88" s="58"/>
      <c r="D88" s="58"/>
      <c r="E88" s="58"/>
      <c r="F88" s="58" t="n">
        <f aca="false">SUM(F4:F87)</f>
        <v>53049.33</v>
      </c>
      <c r="G88" s="58" t="n">
        <f aca="false">SUM(G4:G87)</f>
        <v>11233</v>
      </c>
      <c r="H88" s="58" t="n">
        <f aca="false">SUM(H4:H87)</f>
        <v>66371</v>
      </c>
      <c r="I88" s="58" t="n">
        <f aca="false">SUM(I4:I87)</f>
        <v>34650</v>
      </c>
      <c r="J88" s="58" t="n">
        <f aca="false">SUM(J4:J87)</f>
        <v>31721</v>
      </c>
      <c r="K88" s="58" t="n">
        <f aca="false">SUM(K4:K87)</f>
        <v>15401</v>
      </c>
      <c r="L88" s="58"/>
      <c r="M88" s="58" t="n">
        <f aca="false">SUM(M4:M87)</f>
        <v>3150</v>
      </c>
      <c r="N88" s="58"/>
      <c r="O88" s="58" t="n">
        <f aca="false">SUM(O4:O87)</f>
        <v>2207.48</v>
      </c>
      <c r="P88" s="58" t="n">
        <f aca="false">SUM(P4:P87)</f>
        <v>0</v>
      </c>
      <c r="Q88" s="112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26"/>
      <c r="AD88" s="1"/>
      <c r="AE88" s="1"/>
    </row>
    <row r="89" customFormat="false" ht="15" hidden="false" customHeight="false" outlineLevel="0" collapsed="false">
      <c r="AC89" s="527"/>
    </row>
    <row r="90" customFormat="false" ht="15" hidden="false" customHeight="false" outlineLevel="0" collapsed="false">
      <c r="AC90" s="527"/>
    </row>
    <row r="91" customFormat="false" ht="15" hidden="false" customHeight="false" outlineLevel="0" collapsed="false">
      <c r="AC91" s="527"/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22"/>
  </conditionalFormatting>
  <hyperlinks>
    <hyperlink ref="AC87" r:id="rId1" display="खसरा संख्या 637 में चारागाह विकास कार्य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A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K57" activePane="bottomRight" state="frozen"/>
      <selection pane="topLeft" activeCell="A1" activeCellId="0" sqref="A1"/>
      <selection pane="topRight" activeCell="K1" activeCellId="0" sqref="K1"/>
      <selection pane="bottomLeft" activeCell="A57" activeCellId="0" sqref="A57"/>
      <selection pane="bottomRight" activeCell="R65" activeCellId="0" sqref="R6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3" min="3" style="0" width="18"/>
    <col collapsed="false" customWidth="true" hidden="false" outlineLevel="0" max="4" min="4" style="0" width="22.71"/>
    <col collapsed="false" customWidth="true" hidden="false" outlineLevel="0" max="5" min="5" style="0" width="18.71"/>
    <col collapsed="false" customWidth="true" hidden="false" outlineLevel="0" max="6" min="6" style="0" width="10.85"/>
    <col collapsed="false" customWidth="true" hidden="false" outlineLevel="0" max="7" min="7" style="0" width="7.85"/>
    <col collapsed="false" customWidth="true" hidden="false" outlineLevel="0" max="8" min="8" style="0" width="8.43"/>
    <col collapsed="false" customWidth="true" hidden="false" outlineLevel="0" max="9" min="9" style="0" width="6.57"/>
    <col collapsed="false" customWidth="true" hidden="false" outlineLevel="0" max="10" min="10" style="0" width="7.85"/>
    <col collapsed="false" customWidth="true" hidden="false" outlineLevel="0" max="14" min="11" style="0" width="8.43"/>
    <col collapsed="false" customWidth="true" hidden="false" outlineLevel="0" max="15" min="15" style="0" width="13.57"/>
    <col collapsed="false" customWidth="true" hidden="false" outlineLevel="0" max="18" min="16" style="0" width="15.28"/>
    <col collapsed="false" customWidth="true" hidden="false" outlineLevel="0" max="28" min="19" style="0" width="18.14"/>
    <col collapsed="false" customWidth="true" hidden="false" outlineLevel="0" max="29" min="29" style="440" width="49"/>
    <col collapsed="false" customWidth="true" hidden="false" outlineLevel="0" max="30" min="30" style="0" width="9.43"/>
    <col collapsed="false" customWidth="true" hidden="false" outlineLevel="0" max="31" min="31" style="0" width="11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08" t="s">
        <v>3</v>
      </c>
      <c r="AE1" s="508" t="s">
        <v>3</v>
      </c>
    </row>
    <row r="2" s="442" customFormat="true" ht="94.5" hidden="false" customHeight="true" outlineLevel="0" collapsed="false">
      <c r="A2" s="165" t="s">
        <v>4</v>
      </c>
      <c r="B2" s="165" t="s">
        <v>5</v>
      </c>
      <c r="C2" s="165" t="s">
        <v>6</v>
      </c>
      <c r="D2" s="165" t="s">
        <v>7</v>
      </c>
      <c r="E2" s="165" t="s">
        <v>8</v>
      </c>
      <c r="F2" s="165" t="s">
        <v>9</v>
      </c>
      <c r="G2" s="165" t="s">
        <v>10</v>
      </c>
      <c r="H2" s="165" t="s">
        <v>11</v>
      </c>
      <c r="I2" s="165" t="s">
        <v>12</v>
      </c>
      <c r="J2" s="165" t="s">
        <v>13</v>
      </c>
      <c r="K2" s="441" t="s">
        <v>14</v>
      </c>
      <c r="L2" s="441"/>
      <c r="M2" s="441" t="s">
        <v>15</v>
      </c>
      <c r="N2" s="441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509" t="s">
        <v>31</v>
      </c>
      <c r="AE2" s="509"/>
    </row>
    <row r="3" s="442" customFormat="true" ht="15.75" hidden="false" customHeight="false" outlineLevel="0" collapsed="false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509" t="s">
        <v>40</v>
      </c>
      <c r="AE3" s="509" t="s">
        <v>41</v>
      </c>
    </row>
    <row r="4" customFormat="false" ht="15.75" hidden="false" customHeight="false" outlineLevel="0" collapsed="false">
      <c r="A4" s="77" t="s">
        <v>42</v>
      </c>
      <c r="B4" s="77" t="s">
        <v>4366</v>
      </c>
      <c r="C4" s="113" t="s">
        <v>4367</v>
      </c>
      <c r="D4" s="171" t="s">
        <v>4368</v>
      </c>
      <c r="E4" s="77" t="s">
        <v>4369</v>
      </c>
      <c r="F4" s="77" t="n">
        <v>2002.15</v>
      </c>
      <c r="G4" s="77" t="n">
        <v>550</v>
      </c>
      <c r="H4" s="77" t="n">
        <v>3051</v>
      </c>
      <c r="I4" s="77" t="n">
        <v>1607</v>
      </c>
      <c r="J4" s="77" t="n">
        <v>1444</v>
      </c>
      <c r="K4" s="77" t="n">
        <v>718</v>
      </c>
      <c r="L4" s="19" t="n">
        <f aca="false">(K4/H4)*100</f>
        <v>23.5332677810554</v>
      </c>
      <c r="M4" s="77" t="n">
        <v>48</v>
      </c>
      <c r="N4" s="19" t="n">
        <f aca="false">(M4/H4)*100</f>
        <v>1.5732546705998</v>
      </c>
      <c r="O4" s="77" t="n">
        <v>24.9</v>
      </c>
      <c r="P4" s="77" t="n">
        <v>0</v>
      </c>
      <c r="Q4" s="349" t="s">
        <v>4293</v>
      </c>
      <c r="R4" s="349"/>
      <c r="S4" s="77"/>
      <c r="T4" s="349"/>
      <c r="U4" s="349"/>
      <c r="V4" s="77"/>
      <c r="W4" s="77"/>
      <c r="X4" s="77"/>
      <c r="Y4" s="77"/>
      <c r="Z4" s="77"/>
      <c r="AA4" s="349"/>
      <c r="AB4" s="202"/>
      <c r="AC4" s="489"/>
      <c r="AD4" s="349"/>
      <c r="AE4" s="349"/>
    </row>
    <row r="5" customFormat="false" ht="15.75" hidden="false" customHeight="false" outlineLevel="0" collapsed="false">
      <c r="A5" s="77" t="s">
        <v>42</v>
      </c>
      <c r="B5" s="77" t="s">
        <v>4366</v>
      </c>
      <c r="C5" s="113" t="s">
        <v>4367</v>
      </c>
      <c r="D5" s="77" t="s">
        <v>4370</v>
      </c>
      <c r="E5" s="77" t="s">
        <v>4371</v>
      </c>
      <c r="F5" s="77" t="n">
        <v>309.35</v>
      </c>
      <c r="G5" s="77" t="n">
        <v>89</v>
      </c>
      <c r="H5" s="77" t="n">
        <v>485</v>
      </c>
      <c r="I5" s="77" t="n">
        <v>252</v>
      </c>
      <c r="J5" s="77" t="n">
        <v>233</v>
      </c>
      <c r="K5" s="77" t="n">
        <v>0</v>
      </c>
      <c r="L5" s="19" t="n">
        <f aca="false">(K5/H5)*100</f>
        <v>0</v>
      </c>
      <c r="M5" s="77" t="n">
        <v>0</v>
      </c>
      <c r="N5" s="19" t="n">
        <f aca="false">(M5/H5)*100</f>
        <v>0</v>
      </c>
      <c r="O5" s="77" t="n">
        <v>25.1</v>
      </c>
      <c r="P5" s="77" t="n">
        <v>0</v>
      </c>
      <c r="Q5" s="349" t="s">
        <v>4293</v>
      </c>
      <c r="R5" s="349"/>
      <c r="S5" s="77"/>
      <c r="T5" s="349"/>
      <c r="U5" s="349"/>
      <c r="V5" s="77"/>
      <c r="W5" s="77"/>
      <c r="X5" s="77"/>
      <c r="Y5" s="77"/>
      <c r="Z5" s="77"/>
      <c r="AA5" s="349"/>
      <c r="AB5" s="202"/>
      <c r="AC5" s="489"/>
      <c r="AD5" s="349"/>
      <c r="AE5" s="349"/>
    </row>
    <row r="6" customFormat="false" ht="15.75" hidden="false" customHeight="false" outlineLevel="0" collapsed="false">
      <c r="A6" s="77" t="s">
        <v>42</v>
      </c>
      <c r="B6" s="77" t="s">
        <v>4366</v>
      </c>
      <c r="C6" s="113" t="s">
        <v>4367</v>
      </c>
      <c r="D6" s="77" t="s">
        <v>4372</v>
      </c>
      <c r="E6" s="77" t="s">
        <v>4373</v>
      </c>
      <c r="F6" s="77" t="n">
        <v>740.5</v>
      </c>
      <c r="G6" s="77" t="n">
        <v>117</v>
      </c>
      <c r="H6" s="77" t="n">
        <v>666</v>
      </c>
      <c r="I6" s="77" t="n">
        <v>355</v>
      </c>
      <c r="J6" s="77" t="n">
        <v>311</v>
      </c>
      <c r="K6" s="77" t="n">
        <v>0</v>
      </c>
      <c r="L6" s="19" t="n">
        <f aca="false">(K6/H6)*100</f>
        <v>0</v>
      </c>
      <c r="M6" s="77" t="n">
        <v>97</v>
      </c>
      <c r="N6" s="19" t="n">
        <f aca="false">(M6/H6)*100</f>
        <v>14.5645645645646</v>
      </c>
      <c r="O6" s="77" t="n">
        <v>39.12</v>
      </c>
      <c r="P6" s="77" t="n">
        <v>0</v>
      </c>
      <c r="Q6" s="349" t="s">
        <v>4293</v>
      </c>
      <c r="R6" s="349"/>
      <c r="S6" s="77"/>
      <c r="T6" s="349"/>
      <c r="U6" s="349"/>
      <c r="V6" s="77"/>
      <c r="W6" s="77"/>
      <c r="X6" s="77"/>
      <c r="Y6" s="77"/>
      <c r="Z6" s="77"/>
      <c r="AA6" s="349"/>
      <c r="AB6" s="202"/>
      <c r="AC6" s="489"/>
      <c r="AD6" s="349"/>
      <c r="AE6" s="349"/>
    </row>
    <row r="7" customFormat="false" ht="15.75" hidden="false" customHeight="false" outlineLevel="0" collapsed="false">
      <c r="A7" s="77" t="s">
        <v>42</v>
      </c>
      <c r="B7" s="77" t="s">
        <v>4366</v>
      </c>
      <c r="C7" s="113" t="s">
        <v>4374</v>
      </c>
      <c r="D7" s="171" t="s">
        <v>4166</v>
      </c>
      <c r="E7" s="77" t="s">
        <v>4375</v>
      </c>
      <c r="F7" s="77" t="n">
        <v>5425</v>
      </c>
      <c r="G7" s="77" t="n">
        <v>1735</v>
      </c>
      <c r="H7" s="77" t="n">
        <v>10697</v>
      </c>
      <c r="I7" s="77" t="n">
        <v>5568</v>
      </c>
      <c r="J7" s="77" t="n">
        <v>5129</v>
      </c>
      <c r="K7" s="77" t="n">
        <v>1616</v>
      </c>
      <c r="L7" s="19" t="n">
        <f aca="false">(K7/H7)*100</f>
        <v>15.107039356829</v>
      </c>
      <c r="M7" s="77" t="n">
        <v>25</v>
      </c>
      <c r="N7" s="19" t="n">
        <f aca="false">(M7/H7)*100</f>
        <v>0.233710386089558</v>
      </c>
      <c r="O7" s="77" t="n">
        <v>198</v>
      </c>
      <c r="P7" s="77" t="n">
        <v>0</v>
      </c>
      <c r="Q7" s="349" t="s">
        <v>4293</v>
      </c>
      <c r="R7" s="349"/>
      <c r="S7" s="77"/>
      <c r="T7" s="349"/>
      <c r="U7" s="349"/>
      <c r="V7" s="77"/>
      <c r="W7" s="77"/>
      <c r="X7" s="77"/>
      <c r="Y7" s="77"/>
      <c r="Z7" s="77"/>
      <c r="AA7" s="349"/>
      <c r="AB7" s="202"/>
      <c r="AC7" s="489"/>
      <c r="AD7" s="349"/>
      <c r="AE7" s="349"/>
      <c r="AH7" s="1"/>
    </row>
    <row r="8" customFormat="false" ht="15.75" hidden="false" customHeight="false" outlineLevel="0" collapsed="false">
      <c r="A8" s="77" t="s">
        <v>42</v>
      </c>
      <c r="B8" s="77" t="s">
        <v>4366</v>
      </c>
      <c r="C8" s="113" t="s">
        <v>4374</v>
      </c>
      <c r="D8" s="77" t="s">
        <v>1139</v>
      </c>
      <c r="E8" s="77" t="s">
        <v>4376</v>
      </c>
      <c r="F8" s="77" t="n">
        <v>660.61</v>
      </c>
      <c r="G8" s="77" t="n">
        <v>168</v>
      </c>
      <c r="H8" s="77" t="n">
        <v>986</v>
      </c>
      <c r="I8" s="77" t="n">
        <v>507</v>
      </c>
      <c r="J8" s="77" t="n">
        <v>479</v>
      </c>
      <c r="K8" s="77" t="n">
        <v>246</v>
      </c>
      <c r="L8" s="19" t="n">
        <f aca="false">(K8/H8)*100</f>
        <v>24.9492900608519</v>
      </c>
      <c r="M8" s="77" t="n">
        <v>4</v>
      </c>
      <c r="N8" s="19" t="n">
        <f aca="false">(M8/H8)*100</f>
        <v>0.405679513184584</v>
      </c>
      <c r="O8" s="77" t="n">
        <v>5.61</v>
      </c>
      <c r="P8" s="77" t="n">
        <v>0</v>
      </c>
      <c r="Q8" s="349" t="s">
        <v>4293</v>
      </c>
      <c r="R8" s="349"/>
      <c r="S8" s="77"/>
      <c r="T8" s="349"/>
      <c r="U8" s="349"/>
      <c r="V8" s="77"/>
      <c r="W8" s="77"/>
      <c r="X8" s="77"/>
      <c r="Y8" s="77"/>
      <c r="Z8" s="77"/>
      <c r="AA8" s="349"/>
      <c r="AB8" s="202"/>
      <c r="AC8" s="489"/>
      <c r="AD8" s="349"/>
      <c r="AE8" s="349"/>
      <c r="AH8" s="1"/>
    </row>
    <row r="9" customFormat="false" ht="18.75" hidden="false" customHeight="false" outlineLevel="0" collapsed="false">
      <c r="A9" s="77" t="s">
        <v>42</v>
      </c>
      <c r="B9" s="77" t="s">
        <v>4366</v>
      </c>
      <c r="C9" s="113" t="s">
        <v>4377</v>
      </c>
      <c r="D9" s="171" t="s">
        <v>4378</v>
      </c>
      <c r="E9" s="77" t="s">
        <v>4379</v>
      </c>
      <c r="F9" s="77" t="n">
        <v>2403.48</v>
      </c>
      <c r="G9" s="77" t="n">
        <v>636</v>
      </c>
      <c r="H9" s="77" t="n">
        <v>3756</v>
      </c>
      <c r="I9" s="77" t="n">
        <v>1918</v>
      </c>
      <c r="J9" s="77" t="n">
        <v>1838</v>
      </c>
      <c r="K9" s="77" t="n">
        <v>815</v>
      </c>
      <c r="L9" s="19" t="n">
        <f aca="false">(K9/H9)*100</f>
        <v>21.6986155484558</v>
      </c>
      <c r="M9" s="77" t="n">
        <v>47</v>
      </c>
      <c r="N9" s="19" t="n">
        <f aca="false">(M9/H9)*100</f>
        <v>1.25133120340788</v>
      </c>
      <c r="O9" s="77" t="n">
        <v>208.02</v>
      </c>
      <c r="P9" s="77" t="n">
        <v>0</v>
      </c>
      <c r="Q9" s="183" t="s">
        <v>49</v>
      </c>
      <c r="R9" s="179" t="n">
        <v>45646</v>
      </c>
      <c r="S9" s="77"/>
      <c r="T9" s="183" t="n">
        <v>52.74</v>
      </c>
      <c r="U9" s="183"/>
      <c r="V9" s="77"/>
      <c r="W9" s="77"/>
      <c r="X9" s="77"/>
      <c r="Y9" s="77"/>
      <c r="Z9" s="77"/>
      <c r="AA9" s="180" t="s">
        <v>50</v>
      </c>
      <c r="AB9" s="181" t="n">
        <v>6</v>
      </c>
      <c r="AC9" s="182" t="s">
        <v>4380</v>
      </c>
      <c r="AD9" s="183"/>
      <c r="AE9" s="183"/>
    </row>
    <row r="10" customFormat="false" ht="37.5" hidden="false" customHeight="false" outlineLevel="0" collapsed="false">
      <c r="A10" s="77"/>
      <c r="B10" s="77"/>
      <c r="C10" s="113"/>
      <c r="D10" s="171"/>
      <c r="E10" s="77"/>
      <c r="F10" s="77"/>
      <c r="G10" s="77"/>
      <c r="H10" s="77"/>
      <c r="I10" s="77"/>
      <c r="J10" s="77"/>
      <c r="K10" s="77"/>
      <c r="L10" s="19"/>
      <c r="M10" s="77"/>
      <c r="N10" s="19"/>
      <c r="O10" s="77"/>
      <c r="P10" s="113"/>
      <c r="Q10" s="528"/>
      <c r="R10" s="529"/>
      <c r="S10" s="113"/>
      <c r="T10" s="528"/>
      <c r="U10" s="528"/>
      <c r="V10" s="77"/>
      <c r="W10" s="77"/>
      <c r="X10" s="77"/>
      <c r="Y10" s="77"/>
      <c r="Z10" s="77"/>
      <c r="AA10" s="185" t="s">
        <v>50</v>
      </c>
      <c r="AB10" s="186" t="n">
        <v>10</v>
      </c>
      <c r="AC10" s="187" t="s">
        <v>4381</v>
      </c>
      <c r="AD10" s="188"/>
      <c r="AE10" s="188"/>
    </row>
    <row r="11" customFormat="false" ht="22.5" hidden="false" customHeight="true" outlineLevel="0" collapsed="false">
      <c r="A11" s="77"/>
      <c r="B11" s="77"/>
      <c r="C11" s="113"/>
      <c r="D11" s="171"/>
      <c r="E11" s="77"/>
      <c r="F11" s="77"/>
      <c r="G11" s="77"/>
      <c r="H11" s="77"/>
      <c r="I11" s="77"/>
      <c r="J11" s="77"/>
      <c r="K11" s="77"/>
      <c r="L11" s="19"/>
      <c r="M11" s="77"/>
      <c r="N11" s="19"/>
      <c r="O11" s="77"/>
      <c r="P11" s="113"/>
      <c r="Q11" s="528"/>
      <c r="R11" s="529"/>
      <c r="S11" s="113"/>
      <c r="T11" s="528"/>
      <c r="U11" s="528"/>
      <c r="V11" s="77"/>
      <c r="W11" s="77"/>
      <c r="X11" s="77"/>
      <c r="Y11" s="77"/>
      <c r="Z11" s="77"/>
      <c r="AA11" s="185" t="s">
        <v>50</v>
      </c>
      <c r="AB11" s="186" t="n">
        <v>11</v>
      </c>
      <c r="AC11" s="187" t="s">
        <v>4382</v>
      </c>
      <c r="AD11" s="188"/>
      <c r="AE11" s="188"/>
    </row>
    <row r="12" customFormat="false" ht="22.5" hidden="false" customHeight="true" outlineLevel="0" collapsed="false">
      <c r="A12" s="77"/>
      <c r="B12" s="77"/>
      <c r="C12" s="113"/>
      <c r="D12" s="171"/>
      <c r="E12" s="77"/>
      <c r="F12" s="77"/>
      <c r="G12" s="77"/>
      <c r="H12" s="77"/>
      <c r="I12" s="77"/>
      <c r="J12" s="77"/>
      <c r="K12" s="77"/>
      <c r="L12" s="19"/>
      <c r="M12" s="77"/>
      <c r="N12" s="19"/>
      <c r="O12" s="77"/>
      <c r="P12" s="113"/>
      <c r="Q12" s="528"/>
      <c r="R12" s="529"/>
      <c r="S12" s="113"/>
      <c r="T12" s="528"/>
      <c r="U12" s="528"/>
      <c r="V12" s="77"/>
      <c r="W12" s="77"/>
      <c r="X12" s="77"/>
      <c r="Y12" s="77"/>
      <c r="Z12" s="77"/>
      <c r="AA12" s="185" t="s">
        <v>50</v>
      </c>
      <c r="AB12" s="186" t="n">
        <v>10</v>
      </c>
      <c r="AC12" s="187" t="s">
        <v>4383</v>
      </c>
      <c r="AD12" s="188"/>
      <c r="AE12" s="188"/>
    </row>
    <row r="13" customFormat="false" ht="37.5" hidden="false" customHeight="false" outlineLevel="0" collapsed="false">
      <c r="A13" s="77"/>
      <c r="B13" s="77"/>
      <c r="C13" s="113"/>
      <c r="D13" s="171"/>
      <c r="E13" s="77"/>
      <c r="F13" s="77"/>
      <c r="G13" s="77"/>
      <c r="H13" s="77"/>
      <c r="I13" s="77"/>
      <c r="J13" s="77"/>
      <c r="K13" s="77"/>
      <c r="L13" s="19"/>
      <c r="M13" s="77"/>
      <c r="N13" s="19"/>
      <c r="O13" s="77"/>
      <c r="P13" s="113"/>
      <c r="Q13" s="528"/>
      <c r="R13" s="529"/>
      <c r="S13" s="113"/>
      <c r="T13" s="528"/>
      <c r="U13" s="528"/>
      <c r="V13" s="77"/>
      <c r="W13" s="77"/>
      <c r="X13" s="77"/>
      <c r="Y13" s="77"/>
      <c r="Z13" s="77"/>
      <c r="AA13" s="185" t="s">
        <v>50</v>
      </c>
      <c r="AB13" s="186" t="n">
        <v>9</v>
      </c>
      <c r="AC13" s="187" t="s">
        <v>4384</v>
      </c>
      <c r="AD13" s="188"/>
      <c r="AE13" s="188"/>
    </row>
    <row r="14" customFormat="false" ht="37.5" hidden="false" customHeight="false" outlineLevel="0" collapsed="false">
      <c r="A14" s="77"/>
      <c r="B14" s="77"/>
      <c r="C14" s="113"/>
      <c r="D14" s="171"/>
      <c r="E14" s="77"/>
      <c r="F14" s="77"/>
      <c r="G14" s="77"/>
      <c r="H14" s="77"/>
      <c r="I14" s="77"/>
      <c r="J14" s="77"/>
      <c r="K14" s="77"/>
      <c r="L14" s="19"/>
      <c r="M14" s="77"/>
      <c r="N14" s="19"/>
      <c r="O14" s="77"/>
      <c r="P14" s="113"/>
      <c r="Q14" s="528"/>
      <c r="R14" s="529"/>
      <c r="S14" s="113"/>
      <c r="T14" s="528"/>
      <c r="U14" s="528"/>
      <c r="V14" s="77"/>
      <c r="W14" s="77"/>
      <c r="X14" s="77"/>
      <c r="Y14" s="77"/>
      <c r="Z14" s="77"/>
      <c r="AA14" s="185" t="s">
        <v>50</v>
      </c>
      <c r="AB14" s="186" t="n">
        <v>10</v>
      </c>
      <c r="AC14" s="187" t="s">
        <v>4385</v>
      </c>
      <c r="AD14" s="188"/>
      <c r="AE14" s="188"/>
    </row>
    <row r="15" customFormat="false" ht="37.5" hidden="false" customHeight="false" outlineLevel="0" collapsed="false">
      <c r="A15" s="77" t="s">
        <v>42</v>
      </c>
      <c r="B15" s="77" t="s">
        <v>4366</v>
      </c>
      <c r="C15" s="113" t="s">
        <v>4377</v>
      </c>
      <c r="D15" s="77" t="s">
        <v>3184</v>
      </c>
      <c r="E15" s="77" t="s">
        <v>4386</v>
      </c>
      <c r="F15" s="77" t="n">
        <v>1192.39</v>
      </c>
      <c r="G15" s="77" t="n">
        <v>307</v>
      </c>
      <c r="H15" s="77" t="n">
        <v>1821</v>
      </c>
      <c r="I15" s="77" t="n">
        <v>928</v>
      </c>
      <c r="J15" s="77" t="n">
        <v>893</v>
      </c>
      <c r="K15" s="77" t="n">
        <v>114</v>
      </c>
      <c r="L15" s="19" t="n">
        <f aca="false">(K15/H15)*100</f>
        <v>6.26029654036244</v>
      </c>
      <c r="M15" s="77" t="n">
        <v>61</v>
      </c>
      <c r="N15" s="19" t="n">
        <f aca="false">(M15/H15)*100</f>
        <v>3.34980779791323</v>
      </c>
      <c r="O15" s="77" t="n">
        <v>167.08</v>
      </c>
      <c r="P15" s="113" t="n">
        <v>19.03</v>
      </c>
      <c r="Q15" s="528" t="s">
        <v>49</v>
      </c>
      <c r="R15" s="529" t="n">
        <v>45646</v>
      </c>
      <c r="S15" s="113"/>
      <c r="T15" s="528" t="n">
        <v>52.29</v>
      </c>
      <c r="U15" s="528"/>
      <c r="V15" s="77"/>
      <c r="W15" s="77"/>
      <c r="X15" s="77"/>
      <c r="Y15" s="77"/>
      <c r="Z15" s="77"/>
      <c r="AA15" s="180" t="s">
        <v>50</v>
      </c>
      <c r="AB15" s="181" t="n">
        <v>11</v>
      </c>
      <c r="AC15" s="182" t="s">
        <v>4387</v>
      </c>
      <c r="AD15" s="183"/>
      <c r="AE15" s="183"/>
    </row>
    <row r="16" customFormat="false" ht="56.25" hidden="false" customHeight="false" outlineLevel="0" collapsed="false">
      <c r="A16" s="77"/>
      <c r="B16" s="77"/>
      <c r="C16" s="113"/>
      <c r="D16" s="77"/>
      <c r="E16" s="77"/>
      <c r="F16" s="77"/>
      <c r="G16" s="77"/>
      <c r="H16" s="77"/>
      <c r="I16" s="77"/>
      <c r="J16" s="77"/>
      <c r="K16" s="77"/>
      <c r="L16" s="19"/>
      <c r="M16" s="77"/>
      <c r="N16" s="19"/>
      <c r="O16" s="77"/>
      <c r="P16" s="113"/>
      <c r="Q16" s="528"/>
      <c r="R16" s="529"/>
      <c r="S16" s="113"/>
      <c r="T16" s="528"/>
      <c r="U16" s="528"/>
      <c r="V16" s="77"/>
      <c r="W16" s="77"/>
      <c r="X16" s="77"/>
      <c r="Y16" s="77"/>
      <c r="Z16" s="77"/>
      <c r="AA16" s="185" t="s">
        <v>50</v>
      </c>
      <c r="AB16" s="186" t="n">
        <v>10</v>
      </c>
      <c r="AC16" s="187" t="s">
        <v>4388</v>
      </c>
      <c r="AD16" s="188"/>
      <c r="AE16" s="188"/>
    </row>
    <row r="17" customFormat="false" ht="37.5" hidden="false" customHeight="false" outlineLevel="0" collapsed="false">
      <c r="A17" s="77"/>
      <c r="B17" s="77"/>
      <c r="C17" s="113"/>
      <c r="D17" s="77"/>
      <c r="E17" s="77"/>
      <c r="F17" s="77"/>
      <c r="G17" s="77"/>
      <c r="H17" s="77"/>
      <c r="I17" s="77"/>
      <c r="J17" s="77"/>
      <c r="K17" s="77"/>
      <c r="L17" s="19"/>
      <c r="M17" s="77"/>
      <c r="N17" s="19"/>
      <c r="O17" s="77"/>
      <c r="P17" s="113"/>
      <c r="Q17" s="528"/>
      <c r="R17" s="529"/>
      <c r="S17" s="113"/>
      <c r="T17" s="528"/>
      <c r="U17" s="528"/>
      <c r="V17" s="77"/>
      <c r="W17" s="77"/>
      <c r="X17" s="77"/>
      <c r="Y17" s="77"/>
      <c r="Z17" s="77"/>
      <c r="AA17" s="185" t="s">
        <v>50</v>
      </c>
      <c r="AB17" s="186" t="n">
        <v>11</v>
      </c>
      <c r="AC17" s="187" t="s">
        <v>4389</v>
      </c>
      <c r="AD17" s="188"/>
      <c r="AE17" s="188"/>
    </row>
    <row r="18" customFormat="false" ht="37.5" hidden="false" customHeight="false" outlineLevel="0" collapsed="false">
      <c r="A18" s="77"/>
      <c r="B18" s="77"/>
      <c r="C18" s="113"/>
      <c r="D18" s="77"/>
      <c r="E18" s="77"/>
      <c r="F18" s="77"/>
      <c r="G18" s="77"/>
      <c r="H18" s="77"/>
      <c r="I18" s="77"/>
      <c r="J18" s="77"/>
      <c r="K18" s="77"/>
      <c r="L18" s="19"/>
      <c r="M18" s="77"/>
      <c r="N18" s="19"/>
      <c r="O18" s="77"/>
      <c r="P18" s="113"/>
      <c r="Q18" s="528"/>
      <c r="R18" s="529"/>
      <c r="S18" s="113"/>
      <c r="T18" s="528"/>
      <c r="U18" s="528"/>
      <c r="V18" s="77"/>
      <c r="W18" s="77"/>
      <c r="X18" s="77"/>
      <c r="Y18" s="77"/>
      <c r="Z18" s="77"/>
      <c r="AA18" s="185" t="s">
        <v>50</v>
      </c>
      <c r="AB18" s="186" t="n">
        <v>9</v>
      </c>
      <c r="AC18" s="187" t="s">
        <v>4390</v>
      </c>
      <c r="AD18" s="188"/>
      <c r="AE18" s="188"/>
    </row>
    <row r="19" customFormat="false" ht="15.75" hidden="false" customHeight="false" outlineLevel="0" collapsed="false">
      <c r="A19" s="77" t="s">
        <v>42</v>
      </c>
      <c r="B19" s="77" t="s">
        <v>4366</v>
      </c>
      <c r="C19" s="113" t="s">
        <v>325</v>
      </c>
      <c r="D19" s="171" t="s">
        <v>326</v>
      </c>
      <c r="E19" s="77" t="s">
        <v>4391</v>
      </c>
      <c r="F19" s="77" t="n">
        <v>5806</v>
      </c>
      <c r="G19" s="77" t="n">
        <v>1234</v>
      </c>
      <c r="H19" s="77" t="n">
        <v>7400</v>
      </c>
      <c r="I19" s="77" t="n">
        <v>3816</v>
      </c>
      <c r="J19" s="77" t="n">
        <v>3584</v>
      </c>
      <c r="K19" s="77" t="n">
        <v>1966</v>
      </c>
      <c r="L19" s="19" t="n">
        <f aca="false">(K19/H19)*100</f>
        <v>26.5675675675676</v>
      </c>
      <c r="M19" s="77" t="n">
        <v>25</v>
      </c>
      <c r="N19" s="19" t="n">
        <f aca="false">(M19/H19)*100</f>
        <v>0.337837837837838</v>
      </c>
      <c r="O19" s="77" t="n">
        <v>401</v>
      </c>
      <c r="P19" s="113" t="n">
        <v>483</v>
      </c>
      <c r="Q19" s="458" t="s">
        <v>4293</v>
      </c>
      <c r="R19" s="458"/>
      <c r="S19" s="113"/>
      <c r="T19" s="458"/>
      <c r="U19" s="458"/>
      <c r="V19" s="77"/>
      <c r="W19" s="77"/>
      <c r="X19" s="77"/>
      <c r="Y19" s="77"/>
      <c r="Z19" s="77"/>
      <c r="AA19" s="349"/>
      <c r="AB19" s="202"/>
      <c r="AC19" s="489"/>
      <c r="AD19" s="349"/>
      <c r="AE19" s="349"/>
    </row>
    <row r="20" customFormat="false" ht="15.75" hidden="false" customHeight="false" outlineLevel="0" collapsed="false">
      <c r="A20" s="77" t="s">
        <v>42</v>
      </c>
      <c r="B20" s="77" t="s">
        <v>4366</v>
      </c>
      <c r="C20" s="113" t="s">
        <v>4392</v>
      </c>
      <c r="D20" s="171" t="s">
        <v>4393</v>
      </c>
      <c r="E20" s="77" t="s">
        <v>4394</v>
      </c>
      <c r="F20" s="77" t="n">
        <v>325</v>
      </c>
      <c r="G20" s="77" t="n">
        <v>162</v>
      </c>
      <c r="H20" s="77" t="n">
        <v>969</v>
      </c>
      <c r="I20" s="77" t="n">
        <v>486</v>
      </c>
      <c r="J20" s="77" t="n">
        <v>483</v>
      </c>
      <c r="K20" s="77" t="n">
        <v>267</v>
      </c>
      <c r="L20" s="19" t="n">
        <f aca="false">(K20/H20)*100</f>
        <v>27.5541795665635</v>
      </c>
      <c r="M20" s="77" t="n">
        <v>0</v>
      </c>
      <c r="N20" s="19" t="n">
        <f aca="false">(M20/H20)*100</f>
        <v>0</v>
      </c>
      <c r="O20" s="77" t="n">
        <v>27</v>
      </c>
      <c r="P20" s="113" t="n">
        <v>0</v>
      </c>
      <c r="Q20" s="458" t="s">
        <v>49</v>
      </c>
      <c r="R20" s="530" t="n">
        <v>44826</v>
      </c>
      <c r="S20" s="113"/>
      <c r="T20" s="458"/>
      <c r="U20" s="458"/>
      <c r="V20" s="77"/>
      <c r="W20" s="77"/>
      <c r="X20" s="77"/>
      <c r="Y20" s="77"/>
      <c r="Z20" s="77"/>
      <c r="AA20" s="202" t="s">
        <v>50</v>
      </c>
      <c r="AB20" s="202" t="n">
        <v>8</v>
      </c>
      <c r="AC20" s="531" t="s">
        <v>4395</v>
      </c>
      <c r="AD20" s="202"/>
      <c r="AE20" s="202"/>
    </row>
    <row r="21" customFormat="false" ht="15.75" hidden="false" customHeight="false" outlineLevel="0" collapsed="false">
      <c r="A21" s="77" t="s">
        <v>42</v>
      </c>
      <c r="B21" s="77" t="s">
        <v>4366</v>
      </c>
      <c r="C21" s="113" t="s">
        <v>4392</v>
      </c>
      <c r="D21" s="77" t="s">
        <v>4396</v>
      </c>
      <c r="E21" s="77" t="s">
        <v>4397</v>
      </c>
      <c r="F21" s="77" t="n">
        <v>936.2</v>
      </c>
      <c r="G21" s="77" t="n">
        <v>264</v>
      </c>
      <c r="H21" s="77" t="n">
        <v>1487</v>
      </c>
      <c r="I21" s="77" t="n">
        <v>731</v>
      </c>
      <c r="J21" s="77" t="n">
        <v>756</v>
      </c>
      <c r="K21" s="77" t="n">
        <v>135</v>
      </c>
      <c r="L21" s="19" t="n">
        <f aca="false">(K21/H21)*100</f>
        <v>9.07868190988568</v>
      </c>
      <c r="M21" s="77" t="n">
        <v>92</v>
      </c>
      <c r="N21" s="19" t="n">
        <f aca="false">(M21/H21)*100</f>
        <v>6.18695359784802</v>
      </c>
      <c r="O21" s="77" t="n">
        <v>54.79</v>
      </c>
      <c r="P21" s="113" t="n">
        <v>0</v>
      </c>
      <c r="Q21" s="458" t="s">
        <v>49</v>
      </c>
      <c r="R21" s="530" t="n">
        <v>44826</v>
      </c>
      <c r="S21" s="113"/>
      <c r="T21" s="458"/>
      <c r="U21" s="458"/>
      <c r="V21" s="77"/>
      <c r="W21" s="77"/>
      <c r="X21" s="77"/>
      <c r="Y21" s="77"/>
      <c r="Z21" s="77"/>
      <c r="AA21" s="202" t="s">
        <v>50</v>
      </c>
      <c r="AB21" s="202" t="n">
        <v>10</v>
      </c>
      <c r="AC21" s="532" t="s">
        <v>4398</v>
      </c>
      <c r="AD21" s="202" t="n">
        <v>26.47</v>
      </c>
      <c r="AE21" s="202" t="n">
        <v>73.25</v>
      </c>
    </row>
    <row r="22" customFormat="false" ht="15.75" hidden="false" customHeight="false" outlineLevel="0" collapsed="false">
      <c r="A22" s="77" t="s">
        <v>42</v>
      </c>
      <c r="B22" s="77" t="s">
        <v>4366</v>
      </c>
      <c r="C22" s="113" t="s">
        <v>4392</v>
      </c>
      <c r="D22" s="77" t="s">
        <v>4399</v>
      </c>
      <c r="E22" s="77" t="s">
        <v>4400</v>
      </c>
      <c r="F22" s="77" t="n">
        <v>514</v>
      </c>
      <c r="G22" s="77" t="n">
        <v>37</v>
      </c>
      <c r="H22" s="77" t="n">
        <v>191</v>
      </c>
      <c r="I22" s="77" t="n">
        <v>96</v>
      </c>
      <c r="J22" s="77" t="n">
        <v>95</v>
      </c>
      <c r="K22" s="77" t="n">
        <v>0</v>
      </c>
      <c r="L22" s="19" t="n">
        <f aca="false">(K22/H22)*100</f>
        <v>0</v>
      </c>
      <c r="M22" s="77" t="n">
        <v>0</v>
      </c>
      <c r="N22" s="19" t="n">
        <f aca="false">(M22/H22)*100</f>
        <v>0</v>
      </c>
      <c r="O22" s="77" t="n">
        <v>55.15</v>
      </c>
      <c r="P22" s="113" t="n">
        <v>0</v>
      </c>
      <c r="Q22" s="458" t="s">
        <v>49</v>
      </c>
      <c r="R22" s="530" t="n">
        <v>44826</v>
      </c>
      <c r="S22" s="113"/>
      <c r="T22" s="458"/>
      <c r="U22" s="458"/>
      <c r="V22" s="77"/>
      <c r="W22" s="77"/>
      <c r="X22" s="77"/>
      <c r="Y22" s="77"/>
      <c r="Z22" s="77"/>
      <c r="AA22" s="202" t="s">
        <v>50</v>
      </c>
      <c r="AB22" s="459" t="n">
        <v>2</v>
      </c>
      <c r="AC22" s="533" t="s">
        <v>4401</v>
      </c>
      <c r="AD22" s="202" t="n">
        <v>26.49</v>
      </c>
      <c r="AE22" s="202" t="n">
        <v>73.27</v>
      </c>
    </row>
    <row r="23" customFormat="false" ht="18.75" hidden="false" customHeight="false" outlineLevel="0" collapsed="false">
      <c r="A23" s="77" t="s">
        <v>42</v>
      </c>
      <c r="B23" s="77" t="s">
        <v>4366</v>
      </c>
      <c r="C23" s="113" t="s">
        <v>4402</v>
      </c>
      <c r="D23" s="171" t="s">
        <v>4403</v>
      </c>
      <c r="E23" s="77" t="s">
        <v>4404</v>
      </c>
      <c r="F23" s="77" t="n">
        <v>2491.83</v>
      </c>
      <c r="G23" s="77" t="n">
        <v>572</v>
      </c>
      <c r="H23" s="77" t="n">
        <v>3692</v>
      </c>
      <c r="I23" s="77" t="n">
        <v>1912</v>
      </c>
      <c r="J23" s="77" t="n">
        <v>1780</v>
      </c>
      <c r="K23" s="77" t="n">
        <v>533</v>
      </c>
      <c r="L23" s="19" t="n">
        <f aca="false">(K23/H23)*100</f>
        <v>14.4366197183099</v>
      </c>
      <c r="M23" s="77" t="n">
        <v>39</v>
      </c>
      <c r="N23" s="19" t="n">
        <f aca="false">(M23/H23)*100</f>
        <v>1.05633802816901</v>
      </c>
      <c r="O23" s="77" t="n">
        <v>81.68</v>
      </c>
      <c r="P23" s="113" t="n">
        <v>135.68</v>
      </c>
      <c r="Q23" s="528" t="s">
        <v>49</v>
      </c>
      <c r="R23" s="529" t="n">
        <v>44824</v>
      </c>
      <c r="S23" s="113"/>
      <c r="T23" s="481" t="n">
        <v>75.4149</v>
      </c>
      <c r="U23" s="528"/>
      <c r="V23" s="77"/>
      <c r="W23" s="77"/>
      <c r="X23" s="77"/>
      <c r="Y23" s="77"/>
      <c r="Z23" s="77"/>
      <c r="AA23" s="180" t="s">
        <v>50</v>
      </c>
      <c r="AB23" s="181" t="n">
        <v>5</v>
      </c>
      <c r="AC23" s="182" t="s">
        <v>4405</v>
      </c>
      <c r="AD23" s="181" t="n">
        <v>26.560172</v>
      </c>
      <c r="AE23" s="181" t="n">
        <v>73.329678</v>
      </c>
    </row>
    <row r="24" customFormat="false" ht="37.5" hidden="false" customHeight="false" outlineLevel="0" collapsed="false">
      <c r="A24" s="77"/>
      <c r="B24" s="77"/>
      <c r="C24" s="113"/>
      <c r="D24" s="171"/>
      <c r="E24" s="77"/>
      <c r="F24" s="77"/>
      <c r="G24" s="77"/>
      <c r="H24" s="77"/>
      <c r="I24" s="77"/>
      <c r="J24" s="77"/>
      <c r="K24" s="77"/>
      <c r="L24" s="19"/>
      <c r="M24" s="77"/>
      <c r="N24" s="19"/>
      <c r="O24" s="77"/>
      <c r="P24" s="113"/>
      <c r="Q24" s="528"/>
      <c r="R24" s="534"/>
      <c r="S24" s="113"/>
      <c r="T24" s="481"/>
      <c r="U24" s="528"/>
      <c r="V24" s="77"/>
      <c r="W24" s="77"/>
      <c r="X24" s="77"/>
      <c r="Y24" s="77"/>
      <c r="Z24" s="77"/>
      <c r="AA24" s="535" t="s">
        <v>266</v>
      </c>
      <c r="AB24" s="536" t="n">
        <v>10</v>
      </c>
      <c r="AC24" s="537" t="s">
        <v>4406</v>
      </c>
      <c r="AD24" s="536" t="n">
        <v>26.521675</v>
      </c>
      <c r="AE24" s="536" t="n">
        <v>73.30157</v>
      </c>
    </row>
    <row r="25" customFormat="false" ht="18.75" hidden="false" customHeight="false" outlineLevel="0" collapsed="false">
      <c r="A25" s="77"/>
      <c r="B25" s="77"/>
      <c r="C25" s="113"/>
      <c r="D25" s="171"/>
      <c r="E25" s="77"/>
      <c r="F25" s="77"/>
      <c r="G25" s="77"/>
      <c r="H25" s="77"/>
      <c r="I25" s="77"/>
      <c r="J25" s="77"/>
      <c r="K25" s="77"/>
      <c r="L25" s="19"/>
      <c r="M25" s="77"/>
      <c r="N25" s="19"/>
      <c r="O25" s="77"/>
      <c r="P25" s="113"/>
      <c r="Q25" s="528"/>
      <c r="R25" s="534"/>
      <c r="S25" s="113"/>
      <c r="T25" s="481"/>
      <c r="U25" s="528"/>
      <c r="V25" s="77"/>
      <c r="W25" s="77"/>
      <c r="X25" s="77"/>
      <c r="Y25" s="77"/>
      <c r="Z25" s="77"/>
      <c r="AA25" s="535" t="s">
        <v>266</v>
      </c>
      <c r="AB25" s="536" t="n">
        <v>10</v>
      </c>
      <c r="AC25" s="537" t="s">
        <v>4407</v>
      </c>
      <c r="AD25" s="536" t="n">
        <v>26.529271</v>
      </c>
      <c r="AE25" s="536" t="n">
        <v>73.31193</v>
      </c>
    </row>
    <row r="26" customFormat="false" ht="23.25" hidden="false" customHeight="false" outlineLevel="0" collapsed="false">
      <c r="A26" s="77" t="s">
        <v>42</v>
      </c>
      <c r="B26" s="77" t="s">
        <v>4366</v>
      </c>
      <c r="C26" s="113" t="s">
        <v>4408</v>
      </c>
      <c r="D26" s="171" t="s">
        <v>4409</v>
      </c>
      <c r="E26" s="77" t="s">
        <v>4410</v>
      </c>
      <c r="F26" s="77" t="n">
        <v>1171.97</v>
      </c>
      <c r="G26" s="77" t="n">
        <v>488</v>
      </c>
      <c r="H26" s="77" t="n">
        <v>2496</v>
      </c>
      <c r="I26" s="77" t="n">
        <v>1282</v>
      </c>
      <c r="J26" s="77" t="n">
        <v>1214</v>
      </c>
      <c r="K26" s="77" t="n">
        <v>690</v>
      </c>
      <c r="L26" s="19" t="n">
        <f aca="false">(K26/H26)*100</f>
        <v>27.6442307692308</v>
      </c>
      <c r="M26" s="77" t="n">
        <v>174</v>
      </c>
      <c r="N26" s="19" t="n">
        <f aca="false">(M26/H26)*100</f>
        <v>6.97115384615385</v>
      </c>
      <c r="O26" s="77" t="n">
        <v>60.97</v>
      </c>
      <c r="P26" s="113" t="n">
        <v>0</v>
      </c>
      <c r="Q26" s="458" t="s">
        <v>49</v>
      </c>
      <c r="R26" s="530" t="n">
        <v>44836</v>
      </c>
      <c r="S26" s="113"/>
      <c r="T26" s="458" t="n">
        <v>46.2827</v>
      </c>
      <c r="U26" s="458"/>
      <c r="V26" s="77"/>
      <c r="W26" s="77"/>
      <c r="X26" s="77"/>
      <c r="Y26" s="77"/>
      <c r="Z26" s="77"/>
      <c r="AA26" s="202" t="s">
        <v>50</v>
      </c>
      <c r="AB26" s="202" t="n">
        <v>12</v>
      </c>
      <c r="AC26" s="533" t="s">
        <v>4411</v>
      </c>
      <c r="AD26" s="349"/>
      <c r="AE26" s="349"/>
    </row>
    <row r="27" customFormat="false" ht="15.75" hidden="false" customHeight="false" outlineLevel="0" collapsed="false">
      <c r="A27" s="77"/>
      <c r="B27" s="77"/>
      <c r="C27" s="113"/>
      <c r="D27" s="171"/>
      <c r="E27" s="77"/>
      <c r="F27" s="77"/>
      <c r="G27" s="77"/>
      <c r="H27" s="77"/>
      <c r="I27" s="77"/>
      <c r="J27" s="77"/>
      <c r="K27" s="77"/>
      <c r="L27" s="19"/>
      <c r="M27" s="77"/>
      <c r="N27" s="19"/>
      <c r="O27" s="77"/>
      <c r="P27" s="113"/>
      <c r="Q27" s="458"/>
      <c r="R27" s="530"/>
      <c r="S27" s="113"/>
      <c r="T27" s="458"/>
      <c r="U27" s="458"/>
      <c r="V27" s="77"/>
      <c r="W27" s="77"/>
      <c r="X27" s="77"/>
      <c r="Y27" s="77"/>
      <c r="Z27" s="77"/>
      <c r="AA27" s="486" t="s">
        <v>50</v>
      </c>
      <c r="AB27" s="486" t="n">
        <v>15</v>
      </c>
      <c r="AC27" s="538" t="s">
        <v>4412</v>
      </c>
      <c r="AD27" s="487"/>
      <c r="AE27" s="487"/>
    </row>
    <row r="28" customFormat="false" ht="15.75" hidden="false" customHeight="false" outlineLevel="0" collapsed="false">
      <c r="A28" s="77" t="s">
        <v>42</v>
      </c>
      <c r="B28" s="77" t="s">
        <v>4366</v>
      </c>
      <c r="C28" s="113" t="s">
        <v>4408</v>
      </c>
      <c r="D28" s="77" t="s">
        <v>4413</v>
      </c>
      <c r="E28" s="77" t="s">
        <v>4414</v>
      </c>
      <c r="F28" s="77" t="n">
        <v>2567</v>
      </c>
      <c r="G28" s="77" t="n">
        <v>476</v>
      </c>
      <c r="H28" s="77" t="n">
        <v>2763</v>
      </c>
      <c r="I28" s="77" t="n">
        <v>1428</v>
      </c>
      <c r="J28" s="77" t="n">
        <v>1335</v>
      </c>
      <c r="K28" s="77" t="n">
        <v>214</v>
      </c>
      <c r="L28" s="19" t="n">
        <f aca="false">(K28/H28)*100</f>
        <v>7.7452044878755</v>
      </c>
      <c r="M28" s="77" t="n">
        <v>268</v>
      </c>
      <c r="N28" s="19" t="n">
        <f aca="false">(M28/H28)*100</f>
        <v>9.69960188201231</v>
      </c>
      <c r="O28" s="77" t="n">
        <v>49</v>
      </c>
      <c r="P28" s="113" t="n">
        <v>0</v>
      </c>
      <c r="Q28" s="458" t="s">
        <v>49</v>
      </c>
      <c r="R28" s="530" t="n">
        <v>44836</v>
      </c>
      <c r="S28" s="113"/>
      <c r="T28" s="458" t="n">
        <v>90.1063</v>
      </c>
      <c r="U28" s="458"/>
      <c r="V28" s="77"/>
      <c r="W28" s="77"/>
      <c r="X28" s="77"/>
      <c r="Y28" s="77"/>
      <c r="Z28" s="77"/>
      <c r="AA28" s="202" t="s">
        <v>50</v>
      </c>
      <c r="AB28" s="202" t="n">
        <v>12</v>
      </c>
      <c r="AC28" s="539" t="s">
        <v>4415</v>
      </c>
      <c r="AD28" s="349"/>
      <c r="AE28" s="349"/>
    </row>
    <row r="29" customFormat="false" ht="37.5" hidden="false" customHeight="false" outlineLevel="0" collapsed="false">
      <c r="A29" s="77" t="s">
        <v>42</v>
      </c>
      <c r="B29" s="77" t="s">
        <v>4366</v>
      </c>
      <c r="C29" s="113" t="s">
        <v>4416</v>
      </c>
      <c r="D29" s="171" t="s">
        <v>4416</v>
      </c>
      <c r="E29" s="77" t="s">
        <v>4417</v>
      </c>
      <c r="F29" s="77" t="n">
        <v>944.31</v>
      </c>
      <c r="G29" s="77" t="n">
        <v>198</v>
      </c>
      <c r="H29" s="77" t="n">
        <v>1071</v>
      </c>
      <c r="I29" s="77" t="n">
        <v>550</v>
      </c>
      <c r="J29" s="77" t="n">
        <v>521</v>
      </c>
      <c r="K29" s="77" t="n">
        <v>243</v>
      </c>
      <c r="L29" s="19" t="n">
        <f aca="false">(K29/H29)*100</f>
        <v>22.6890756302521</v>
      </c>
      <c r="M29" s="77" t="n">
        <v>0</v>
      </c>
      <c r="N29" s="19" t="n">
        <f aca="false">(M29/H29)*100</f>
        <v>0</v>
      </c>
      <c r="O29" s="77" t="n">
        <v>70.96</v>
      </c>
      <c r="P29" s="113" t="n">
        <v>0</v>
      </c>
      <c r="Q29" s="528" t="s">
        <v>49</v>
      </c>
      <c r="R29" s="529" t="n">
        <v>44889</v>
      </c>
      <c r="S29" s="113"/>
      <c r="T29" s="528" t="n">
        <v>5.86</v>
      </c>
      <c r="U29" s="528"/>
      <c r="V29" s="77"/>
      <c r="W29" s="77"/>
      <c r="X29" s="77"/>
      <c r="Y29" s="77"/>
      <c r="Z29" s="77"/>
      <c r="AA29" s="385" t="s">
        <v>50</v>
      </c>
      <c r="AB29" s="409" t="n">
        <v>4</v>
      </c>
      <c r="AC29" s="417" t="s">
        <v>4418</v>
      </c>
      <c r="AD29" s="386"/>
      <c r="AE29" s="386"/>
    </row>
    <row r="30" customFormat="false" ht="37.5" hidden="false" customHeight="false" outlineLevel="0" collapsed="false">
      <c r="A30" s="77"/>
      <c r="B30" s="77"/>
      <c r="C30" s="113"/>
      <c r="D30" s="171"/>
      <c r="E30" s="77"/>
      <c r="F30" s="77"/>
      <c r="G30" s="77"/>
      <c r="H30" s="77"/>
      <c r="I30" s="77"/>
      <c r="J30" s="77"/>
      <c r="K30" s="77"/>
      <c r="L30" s="19"/>
      <c r="M30" s="77"/>
      <c r="N30" s="19"/>
      <c r="O30" s="77"/>
      <c r="P30" s="113"/>
      <c r="Q30" s="528"/>
      <c r="R30" s="529"/>
      <c r="S30" s="113"/>
      <c r="T30" s="528"/>
      <c r="U30" s="528"/>
      <c r="V30" s="77"/>
      <c r="W30" s="77"/>
      <c r="X30" s="77"/>
      <c r="Y30" s="77"/>
      <c r="Z30" s="77"/>
      <c r="AA30" s="185" t="s">
        <v>50</v>
      </c>
      <c r="AB30" s="186" t="n">
        <v>4</v>
      </c>
      <c r="AC30" s="187" t="s">
        <v>4419</v>
      </c>
      <c r="AD30" s="188"/>
      <c r="AE30" s="188"/>
    </row>
    <row r="31" customFormat="false" ht="15.75" hidden="false" customHeight="false" outlineLevel="0" collapsed="false">
      <c r="A31" s="77" t="s">
        <v>42</v>
      </c>
      <c r="B31" s="77" t="s">
        <v>4366</v>
      </c>
      <c r="C31" s="113" t="s">
        <v>4416</v>
      </c>
      <c r="D31" s="77" t="s">
        <v>4420</v>
      </c>
      <c r="E31" s="77" t="s">
        <v>4421</v>
      </c>
      <c r="F31" s="77" t="n">
        <v>1113.39</v>
      </c>
      <c r="G31" s="77" t="n">
        <v>213</v>
      </c>
      <c r="H31" s="77" t="n">
        <v>1231</v>
      </c>
      <c r="I31" s="77" t="n">
        <v>634</v>
      </c>
      <c r="J31" s="77" t="n">
        <v>597</v>
      </c>
      <c r="K31" s="77" t="n">
        <v>307</v>
      </c>
      <c r="L31" s="19" t="n">
        <f aca="false">(K31/H31)*100</f>
        <v>24.9390739236393</v>
      </c>
      <c r="M31" s="77" t="n">
        <v>0</v>
      </c>
      <c r="N31" s="19" t="n">
        <f aca="false">(M31/H31)*100</f>
        <v>0</v>
      </c>
      <c r="O31" s="77" t="n">
        <v>252.03</v>
      </c>
      <c r="P31" s="113" t="n">
        <v>0</v>
      </c>
      <c r="Q31" s="458" t="s">
        <v>4293</v>
      </c>
      <c r="R31" s="458"/>
      <c r="S31" s="113"/>
      <c r="T31" s="458"/>
      <c r="U31" s="458"/>
      <c r="V31" s="77"/>
      <c r="W31" s="77"/>
      <c r="X31" s="77"/>
      <c r="Y31" s="77"/>
      <c r="Z31" s="77"/>
      <c r="AA31" s="349"/>
      <c r="AB31" s="202"/>
      <c r="AC31" s="489"/>
      <c r="AD31" s="349"/>
      <c r="AE31" s="349"/>
    </row>
    <row r="32" customFormat="false" ht="15.75" hidden="false" customHeight="false" outlineLevel="0" collapsed="false">
      <c r="A32" s="77" t="s">
        <v>42</v>
      </c>
      <c r="B32" s="77" t="s">
        <v>4366</v>
      </c>
      <c r="C32" s="113" t="s">
        <v>4416</v>
      </c>
      <c r="D32" s="77" t="s">
        <v>4422</v>
      </c>
      <c r="E32" s="77" t="s">
        <v>4423</v>
      </c>
      <c r="F32" s="77" t="n">
        <v>449.12</v>
      </c>
      <c r="G32" s="77" t="n">
        <v>126</v>
      </c>
      <c r="H32" s="77" t="n">
        <v>872</v>
      </c>
      <c r="I32" s="77" t="n">
        <v>454</v>
      </c>
      <c r="J32" s="77" t="n">
        <v>418</v>
      </c>
      <c r="K32" s="77" t="n">
        <v>70</v>
      </c>
      <c r="L32" s="19" t="n">
        <f aca="false">(K32/H32)*100</f>
        <v>8.02752293577982</v>
      </c>
      <c r="M32" s="77" t="n">
        <v>0</v>
      </c>
      <c r="N32" s="19" t="n">
        <f aca="false">(M32/H32)*100</f>
        <v>0</v>
      </c>
      <c r="O32" s="77" t="n">
        <v>25.06</v>
      </c>
      <c r="P32" s="113" t="n">
        <v>0</v>
      </c>
      <c r="Q32" s="458" t="s">
        <v>4293</v>
      </c>
      <c r="R32" s="458"/>
      <c r="S32" s="113"/>
      <c r="T32" s="458"/>
      <c r="U32" s="458"/>
      <c r="V32" s="77"/>
      <c r="W32" s="77"/>
      <c r="X32" s="77"/>
      <c r="Y32" s="77"/>
      <c r="Z32" s="77"/>
      <c r="AA32" s="349"/>
      <c r="AB32" s="202"/>
      <c r="AC32" s="489"/>
      <c r="AD32" s="349"/>
      <c r="AE32" s="349"/>
    </row>
    <row r="33" customFormat="false" ht="15.75" hidden="false" customHeight="false" outlineLevel="0" collapsed="false">
      <c r="A33" s="77" t="s">
        <v>42</v>
      </c>
      <c r="B33" s="77" t="s">
        <v>4366</v>
      </c>
      <c r="C33" s="113" t="s">
        <v>4416</v>
      </c>
      <c r="D33" s="77" t="s">
        <v>4424</v>
      </c>
      <c r="E33" s="77" t="s">
        <v>4425</v>
      </c>
      <c r="F33" s="77" t="n">
        <v>999.47</v>
      </c>
      <c r="G33" s="77" t="n">
        <v>170</v>
      </c>
      <c r="H33" s="77" t="n">
        <v>1067</v>
      </c>
      <c r="I33" s="77" t="n">
        <v>544</v>
      </c>
      <c r="J33" s="77" t="n">
        <v>523</v>
      </c>
      <c r="K33" s="77" t="n">
        <v>0</v>
      </c>
      <c r="L33" s="19" t="n">
        <f aca="false">(K33/H33)*100</f>
        <v>0</v>
      </c>
      <c r="M33" s="77" t="n">
        <v>0</v>
      </c>
      <c r="N33" s="19" t="n">
        <f aca="false">(M33/H33)*100</f>
        <v>0</v>
      </c>
      <c r="O33" s="77" t="n">
        <v>0</v>
      </c>
      <c r="P33" s="113" t="n">
        <v>0</v>
      </c>
      <c r="Q33" s="458" t="s">
        <v>4293</v>
      </c>
      <c r="R33" s="458"/>
      <c r="S33" s="113"/>
      <c r="T33" s="458"/>
      <c r="U33" s="458"/>
      <c r="V33" s="77"/>
      <c r="W33" s="77"/>
      <c r="X33" s="77"/>
      <c r="Y33" s="77"/>
      <c r="Z33" s="77"/>
      <c r="AA33" s="349"/>
      <c r="AB33" s="202"/>
      <c r="AC33" s="489"/>
      <c r="AD33" s="349"/>
      <c r="AE33" s="349"/>
    </row>
    <row r="34" customFormat="false" ht="15.75" hidden="false" customHeight="false" outlineLevel="0" collapsed="false">
      <c r="A34" s="77" t="s">
        <v>42</v>
      </c>
      <c r="B34" s="77" t="s">
        <v>4366</v>
      </c>
      <c r="C34" s="113" t="s">
        <v>4426</v>
      </c>
      <c r="D34" s="171" t="s">
        <v>4427</v>
      </c>
      <c r="E34" s="77" t="s">
        <v>4428</v>
      </c>
      <c r="F34" s="77" t="n">
        <v>1704.49</v>
      </c>
      <c r="G34" s="77" t="n">
        <v>735</v>
      </c>
      <c r="H34" s="77" t="n">
        <v>4829</v>
      </c>
      <c r="I34" s="77" t="n">
        <v>2518</v>
      </c>
      <c r="J34" s="77" t="n">
        <v>2311</v>
      </c>
      <c r="K34" s="77" t="n">
        <v>1371</v>
      </c>
      <c r="L34" s="19" t="n">
        <f aca="false">(K34/H34)*100</f>
        <v>28.3909712155726</v>
      </c>
      <c r="M34" s="77" t="n">
        <v>260</v>
      </c>
      <c r="N34" s="19" t="n">
        <f aca="false">(M34/H34)*100</f>
        <v>5.38413750258853</v>
      </c>
      <c r="O34" s="77" t="n">
        <v>0</v>
      </c>
      <c r="P34" s="113" t="n">
        <v>0</v>
      </c>
      <c r="Q34" s="458" t="s">
        <v>4293</v>
      </c>
      <c r="R34" s="458"/>
      <c r="S34" s="113"/>
      <c r="T34" s="458"/>
      <c r="U34" s="458"/>
      <c r="V34" s="77"/>
      <c r="W34" s="77"/>
      <c r="X34" s="77"/>
      <c r="Y34" s="77"/>
      <c r="Z34" s="77"/>
      <c r="AA34" s="349"/>
      <c r="AB34" s="202"/>
      <c r="AC34" s="489"/>
      <c r="AD34" s="349"/>
      <c r="AE34" s="349"/>
    </row>
    <row r="35" customFormat="false" ht="18.75" hidden="false" customHeight="false" outlineLevel="0" collapsed="false">
      <c r="A35" s="77" t="s">
        <v>42</v>
      </c>
      <c r="B35" s="77" t="s">
        <v>4366</v>
      </c>
      <c r="C35" s="113" t="s">
        <v>4426</v>
      </c>
      <c r="D35" s="77" t="s">
        <v>4429</v>
      </c>
      <c r="E35" s="77" t="s">
        <v>4430</v>
      </c>
      <c r="F35" s="77" t="n">
        <v>1614.38</v>
      </c>
      <c r="G35" s="77" t="n">
        <v>231</v>
      </c>
      <c r="H35" s="77" t="n">
        <v>1442</v>
      </c>
      <c r="I35" s="77" t="n">
        <v>746</v>
      </c>
      <c r="J35" s="77" t="n">
        <v>696</v>
      </c>
      <c r="K35" s="77" t="n">
        <v>344</v>
      </c>
      <c r="L35" s="19" t="n">
        <f aca="false">(K35/H35)*100</f>
        <v>23.8557558945908</v>
      </c>
      <c r="M35" s="77" t="n">
        <v>40</v>
      </c>
      <c r="N35" s="19" t="n">
        <f aca="false">(M35/H35)*100</f>
        <v>2.77392510402219</v>
      </c>
      <c r="O35" s="77" t="n">
        <v>125.15</v>
      </c>
      <c r="P35" s="113" t="n">
        <v>41.01</v>
      </c>
      <c r="Q35" s="528" t="s">
        <v>49</v>
      </c>
      <c r="R35" s="529" t="n">
        <v>44889</v>
      </c>
      <c r="S35" s="113"/>
      <c r="T35" s="528"/>
      <c r="U35" s="528"/>
      <c r="V35" s="77"/>
      <c r="W35" s="77"/>
      <c r="X35" s="77"/>
      <c r="Y35" s="77"/>
      <c r="Z35" s="77"/>
      <c r="AA35" s="385" t="s">
        <v>50</v>
      </c>
      <c r="AB35" s="409"/>
      <c r="AC35" s="390"/>
      <c r="AD35" s="386"/>
      <c r="AE35" s="386"/>
    </row>
    <row r="36" customFormat="false" ht="15.75" hidden="false" customHeight="false" outlineLevel="0" collapsed="false">
      <c r="A36" s="77" t="s">
        <v>42</v>
      </c>
      <c r="B36" s="77" t="s">
        <v>4366</v>
      </c>
      <c r="C36" s="113" t="s">
        <v>4431</v>
      </c>
      <c r="D36" s="171" t="s">
        <v>4432</v>
      </c>
      <c r="E36" s="77" t="s">
        <v>4433</v>
      </c>
      <c r="F36" s="77" t="n">
        <v>6036.2</v>
      </c>
      <c r="G36" s="77" t="n">
        <v>1065</v>
      </c>
      <c r="H36" s="77" t="n">
        <v>6467</v>
      </c>
      <c r="I36" s="77" t="n">
        <v>3344</v>
      </c>
      <c r="J36" s="77" t="n">
        <v>3123</v>
      </c>
      <c r="K36" s="77" t="n">
        <v>1084</v>
      </c>
      <c r="L36" s="19" t="n">
        <f aca="false">(K36/H36)*100</f>
        <v>16.7620225761559</v>
      </c>
      <c r="M36" s="77" t="n">
        <v>0</v>
      </c>
      <c r="N36" s="19" t="n">
        <f aca="false">(M36/H36)*100</f>
        <v>0</v>
      </c>
      <c r="O36" s="77" t="n">
        <v>419.15</v>
      </c>
      <c r="P36" s="113" t="n">
        <v>0</v>
      </c>
      <c r="Q36" s="458" t="s">
        <v>49</v>
      </c>
      <c r="R36" s="530" t="n">
        <v>45021</v>
      </c>
      <c r="S36" s="113"/>
      <c r="T36" s="458" t="n">
        <v>418.9568</v>
      </c>
      <c r="U36" s="458"/>
      <c r="V36" s="77"/>
      <c r="W36" s="77"/>
      <c r="X36" s="77"/>
      <c r="Y36" s="77"/>
      <c r="Z36" s="77"/>
      <c r="AA36" s="202" t="s">
        <v>50</v>
      </c>
      <c r="AB36" s="202" t="n">
        <v>5</v>
      </c>
      <c r="AC36" s="540" t="s">
        <v>1585</v>
      </c>
      <c r="AD36" s="202"/>
      <c r="AE36" s="202"/>
    </row>
    <row r="37" customFormat="false" ht="15.75" hidden="false" customHeight="false" outlineLevel="0" collapsed="false">
      <c r="A37" s="77"/>
      <c r="B37" s="77"/>
      <c r="C37" s="113"/>
      <c r="D37" s="171"/>
      <c r="E37" s="77"/>
      <c r="F37" s="77"/>
      <c r="G37" s="77"/>
      <c r="H37" s="77"/>
      <c r="I37" s="77"/>
      <c r="J37" s="77"/>
      <c r="K37" s="77"/>
      <c r="L37" s="19"/>
      <c r="M37" s="77"/>
      <c r="N37" s="19"/>
      <c r="O37" s="77"/>
      <c r="P37" s="113"/>
      <c r="Q37" s="458"/>
      <c r="R37" s="458"/>
      <c r="S37" s="113"/>
      <c r="T37" s="458"/>
      <c r="U37" s="458"/>
      <c r="V37" s="77"/>
      <c r="W37" s="77"/>
      <c r="X37" s="77"/>
      <c r="Y37" s="77"/>
      <c r="Z37" s="77"/>
      <c r="AA37" s="486" t="s">
        <v>50</v>
      </c>
      <c r="AB37" s="486" t="n">
        <v>10</v>
      </c>
      <c r="AC37" s="541" t="s">
        <v>4434</v>
      </c>
      <c r="AD37" s="486" t="n">
        <v>26.51</v>
      </c>
      <c r="AE37" s="486" t="n">
        <v>73.21</v>
      </c>
    </row>
    <row r="38" customFormat="false" ht="15.75" hidden="false" customHeight="false" outlineLevel="0" collapsed="false">
      <c r="A38" s="77"/>
      <c r="B38" s="77"/>
      <c r="C38" s="113"/>
      <c r="D38" s="171"/>
      <c r="E38" s="77"/>
      <c r="F38" s="77"/>
      <c r="G38" s="77"/>
      <c r="H38" s="77"/>
      <c r="I38" s="77"/>
      <c r="J38" s="77"/>
      <c r="K38" s="77"/>
      <c r="L38" s="19"/>
      <c r="M38" s="77"/>
      <c r="N38" s="19"/>
      <c r="O38" s="77"/>
      <c r="P38" s="113"/>
      <c r="Q38" s="458"/>
      <c r="R38" s="458"/>
      <c r="S38" s="113"/>
      <c r="T38" s="458"/>
      <c r="U38" s="458"/>
      <c r="V38" s="77"/>
      <c r="W38" s="77"/>
      <c r="X38" s="77"/>
      <c r="Y38" s="77"/>
      <c r="Z38" s="77"/>
      <c r="AA38" s="486" t="s">
        <v>50</v>
      </c>
      <c r="AB38" s="486" t="n">
        <v>10</v>
      </c>
      <c r="AC38" s="541" t="s">
        <v>4435</v>
      </c>
      <c r="AD38" s="486" t="n">
        <v>26.49</v>
      </c>
      <c r="AE38" s="486" t="n">
        <v>73.25</v>
      </c>
    </row>
    <row r="39" customFormat="false" ht="15.75" hidden="false" customHeight="false" outlineLevel="0" collapsed="false">
      <c r="A39" s="77" t="s">
        <v>42</v>
      </c>
      <c r="B39" s="77" t="s">
        <v>4366</v>
      </c>
      <c r="C39" s="113" t="s">
        <v>4431</v>
      </c>
      <c r="D39" s="77" t="s">
        <v>4436</v>
      </c>
      <c r="E39" s="77" t="s">
        <v>4437</v>
      </c>
      <c r="F39" s="77" t="n">
        <v>223.04</v>
      </c>
      <c r="G39" s="77" t="n">
        <v>52</v>
      </c>
      <c r="H39" s="77" t="n">
        <v>373</v>
      </c>
      <c r="I39" s="77" t="n">
        <v>188</v>
      </c>
      <c r="J39" s="77" t="n">
        <v>185</v>
      </c>
      <c r="K39" s="77" t="n">
        <v>0</v>
      </c>
      <c r="L39" s="19" t="n">
        <f aca="false">(K39/H39)*100</f>
        <v>0</v>
      </c>
      <c r="M39" s="77" t="n">
        <v>0</v>
      </c>
      <c r="N39" s="19" t="n">
        <f aca="false">(M39/H39)*100</f>
        <v>0</v>
      </c>
      <c r="O39" s="77" t="n">
        <v>9.12</v>
      </c>
      <c r="P39" s="113" t="n">
        <v>0</v>
      </c>
      <c r="Q39" s="458" t="s">
        <v>49</v>
      </c>
      <c r="R39" s="530" t="n">
        <v>45021</v>
      </c>
      <c r="S39" s="113"/>
      <c r="T39" s="458" t="n">
        <v>9.158</v>
      </c>
      <c r="U39" s="458"/>
      <c r="V39" s="77"/>
      <c r="W39" s="77"/>
      <c r="X39" s="77"/>
      <c r="Y39" s="77"/>
      <c r="Z39" s="77"/>
      <c r="AA39" s="202" t="s">
        <v>50</v>
      </c>
      <c r="AB39" s="202" t="n">
        <v>2</v>
      </c>
      <c r="AC39" s="539" t="s">
        <v>4438</v>
      </c>
      <c r="AD39" s="202" t="n">
        <v>26.48</v>
      </c>
      <c r="AE39" s="202" t="n">
        <v>73.17</v>
      </c>
    </row>
    <row r="40" customFormat="false" ht="15.75" hidden="false" customHeight="false" outlineLevel="0" collapsed="false">
      <c r="A40" s="77" t="s">
        <v>42</v>
      </c>
      <c r="B40" s="77" t="s">
        <v>4366</v>
      </c>
      <c r="C40" s="113" t="s">
        <v>4431</v>
      </c>
      <c r="D40" s="77" t="s">
        <v>2184</v>
      </c>
      <c r="E40" s="77" t="s">
        <v>4439</v>
      </c>
      <c r="F40" s="77" t="n">
        <v>1760.06</v>
      </c>
      <c r="G40" s="77" t="n">
        <v>202</v>
      </c>
      <c r="H40" s="77" t="n">
        <v>1088</v>
      </c>
      <c r="I40" s="77" t="n">
        <v>576</v>
      </c>
      <c r="J40" s="77" t="n">
        <v>512</v>
      </c>
      <c r="K40" s="77" t="n">
        <v>170</v>
      </c>
      <c r="L40" s="19" t="n">
        <f aca="false">(K40/H40)*100</f>
        <v>15.625</v>
      </c>
      <c r="M40" s="77" t="n">
        <v>76</v>
      </c>
      <c r="N40" s="19" t="n">
        <f aca="false">(M40/H40)*100</f>
        <v>6.98529411764706</v>
      </c>
      <c r="O40" s="77" t="n">
        <v>230.55</v>
      </c>
      <c r="P40" s="113" t="n">
        <v>0</v>
      </c>
      <c r="Q40" s="458" t="s">
        <v>49</v>
      </c>
      <c r="R40" s="530" t="n">
        <v>45021</v>
      </c>
      <c r="S40" s="113"/>
      <c r="T40" s="458"/>
      <c r="U40" s="458"/>
      <c r="V40" s="77"/>
      <c r="W40" s="77"/>
      <c r="X40" s="77"/>
      <c r="Y40" s="77"/>
      <c r="Z40" s="77"/>
      <c r="AA40" s="202" t="s">
        <v>50</v>
      </c>
      <c r="AB40" s="202"/>
      <c r="AC40" s="533" t="n">
        <v>0</v>
      </c>
      <c r="AD40" s="202"/>
      <c r="AE40" s="202"/>
    </row>
    <row r="41" customFormat="false" ht="37.5" hidden="false" customHeight="false" outlineLevel="0" collapsed="false">
      <c r="A41" s="77" t="s">
        <v>42</v>
      </c>
      <c r="B41" s="77" t="s">
        <v>4366</v>
      </c>
      <c r="C41" s="113" t="s">
        <v>4440</v>
      </c>
      <c r="D41" s="171" t="s">
        <v>4440</v>
      </c>
      <c r="E41" s="77" t="s">
        <v>4441</v>
      </c>
      <c r="F41" s="77" t="n">
        <v>2187.04</v>
      </c>
      <c r="G41" s="77" t="n">
        <v>374</v>
      </c>
      <c r="H41" s="77" t="n">
        <v>2506</v>
      </c>
      <c r="I41" s="77" t="n">
        <v>1315</v>
      </c>
      <c r="J41" s="77" t="n">
        <v>1191</v>
      </c>
      <c r="K41" s="77" t="n">
        <v>361</v>
      </c>
      <c r="L41" s="19" t="n">
        <f aca="false">(K41/H41)*100</f>
        <v>14.4054269752594</v>
      </c>
      <c r="M41" s="77" t="n">
        <v>67</v>
      </c>
      <c r="N41" s="19" t="n">
        <f aca="false">(M41/H41)*100</f>
        <v>2.67358339984038</v>
      </c>
      <c r="O41" s="77" t="n">
        <v>93.94</v>
      </c>
      <c r="P41" s="113" t="n">
        <v>0</v>
      </c>
      <c r="Q41" s="528" t="s">
        <v>49</v>
      </c>
      <c r="R41" s="529" t="n">
        <v>44889</v>
      </c>
      <c r="S41" s="113"/>
      <c r="T41" s="528" t="n">
        <v>67.0337</v>
      </c>
      <c r="U41" s="528"/>
      <c r="V41" s="77"/>
      <c r="W41" s="77"/>
      <c r="X41" s="77"/>
      <c r="Y41" s="77"/>
      <c r="Z41" s="77"/>
      <c r="AA41" s="385" t="s">
        <v>50</v>
      </c>
      <c r="AB41" s="409" t="n">
        <v>5</v>
      </c>
      <c r="AC41" s="417" t="s">
        <v>4442</v>
      </c>
      <c r="AD41" s="386"/>
      <c r="AE41" s="386"/>
    </row>
    <row r="42" customFormat="false" ht="18.75" hidden="false" customHeight="false" outlineLevel="0" collapsed="false">
      <c r="A42" s="77"/>
      <c r="B42" s="77"/>
      <c r="C42" s="113"/>
      <c r="D42" s="171"/>
      <c r="E42" s="77"/>
      <c r="F42" s="77"/>
      <c r="G42" s="77"/>
      <c r="H42" s="77"/>
      <c r="I42" s="77"/>
      <c r="J42" s="77"/>
      <c r="K42" s="77"/>
      <c r="L42" s="19"/>
      <c r="M42" s="77"/>
      <c r="N42" s="19"/>
      <c r="O42" s="77"/>
      <c r="P42" s="113"/>
      <c r="Q42" s="528"/>
      <c r="R42" s="529"/>
      <c r="S42" s="113"/>
      <c r="T42" s="528"/>
      <c r="U42" s="528"/>
      <c r="V42" s="77"/>
      <c r="W42" s="77"/>
      <c r="X42" s="77"/>
      <c r="Y42" s="77"/>
      <c r="Z42" s="113"/>
      <c r="AA42" s="481" t="s">
        <v>50</v>
      </c>
      <c r="AB42" s="12" t="n">
        <v>8</v>
      </c>
      <c r="AC42" s="542" t="s">
        <v>4443</v>
      </c>
      <c r="AD42" s="528"/>
      <c r="AE42" s="528"/>
    </row>
    <row r="43" customFormat="false" ht="18.75" hidden="false" customHeight="false" outlineLevel="0" collapsed="false">
      <c r="A43" s="77"/>
      <c r="B43" s="77"/>
      <c r="C43" s="113"/>
      <c r="D43" s="171"/>
      <c r="E43" s="77"/>
      <c r="F43" s="77"/>
      <c r="G43" s="77"/>
      <c r="H43" s="77"/>
      <c r="I43" s="77"/>
      <c r="J43" s="77"/>
      <c r="K43" s="77"/>
      <c r="L43" s="19"/>
      <c r="M43" s="77"/>
      <c r="N43" s="19"/>
      <c r="O43" s="77"/>
      <c r="P43" s="113"/>
      <c r="Q43" s="528"/>
      <c r="R43" s="529"/>
      <c r="S43" s="113"/>
      <c r="T43" s="528"/>
      <c r="U43" s="528"/>
      <c r="V43" s="77"/>
      <c r="W43" s="77"/>
      <c r="X43" s="77"/>
      <c r="Y43" s="77"/>
      <c r="Z43" s="113"/>
      <c r="AA43" s="481" t="s">
        <v>50</v>
      </c>
      <c r="AB43" s="12" t="n">
        <v>5</v>
      </c>
      <c r="AC43" s="542" t="s">
        <v>4444</v>
      </c>
      <c r="AD43" s="528"/>
      <c r="AE43" s="528"/>
    </row>
    <row r="44" customFormat="false" ht="18.75" hidden="false" customHeight="false" outlineLevel="0" collapsed="false">
      <c r="A44" s="77"/>
      <c r="B44" s="77"/>
      <c r="C44" s="113"/>
      <c r="D44" s="171"/>
      <c r="E44" s="77"/>
      <c r="F44" s="77"/>
      <c r="G44" s="77"/>
      <c r="H44" s="77"/>
      <c r="I44" s="77"/>
      <c r="J44" s="77"/>
      <c r="K44" s="77"/>
      <c r="L44" s="19"/>
      <c r="M44" s="77"/>
      <c r="N44" s="19"/>
      <c r="O44" s="77"/>
      <c r="P44" s="113"/>
      <c r="Q44" s="528"/>
      <c r="R44" s="529"/>
      <c r="S44" s="113"/>
      <c r="T44" s="528"/>
      <c r="U44" s="528"/>
      <c r="V44" s="77"/>
      <c r="W44" s="77"/>
      <c r="X44" s="77"/>
      <c r="Y44" s="77"/>
      <c r="Z44" s="113"/>
      <c r="AA44" s="481" t="s">
        <v>50</v>
      </c>
      <c r="AB44" s="12" t="n">
        <v>10</v>
      </c>
      <c r="AC44" s="542" t="s">
        <v>4445</v>
      </c>
      <c r="AD44" s="528"/>
      <c r="AE44" s="528"/>
    </row>
    <row r="45" customFormat="false" ht="37.5" hidden="false" customHeight="false" outlineLevel="0" collapsed="false">
      <c r="A45" s="77"/>
      <c r="B45" s="77"/>
      <c r="C45" s="113"/>
      <c r="D45" s="171"/>
      <c r="E45" s="77"/>
      <c r="F45" s="77"/>
      <c r="G45" s="77"/>
      <c r="H45" s="77"/>
      <c r="I45" s="77"/>
      <c r="J45" s="77"/>
      <c r="K45" s="77"/>
      <c r="L45" s="19"/>
      <c r="M45" s="77"/>
      <c r="N45" s="19"/>
      <c r="O45" s="77"/>
      <c r="P45" s="113"/>
      <c r="Q45" s="528"/>
      <c r="R45" s="529"/>
      <c r="S45" s="113"/>
      <c r="T45" s="528"/>
      <c r="U45" s="528"/>
      <c r="V45" s="77"/>
      <c r="W45" s="77"/>
      <c r="X45" s="77"/>
      <c r="Y45" s="77"/>
      <c r="Z45" s="113"/>
      <c r="AA45" s="481" t="s">
        <v>50</v>
      </c>
      <c r="AB45" s="12" t="n">
        <v>5</v>
      </c>
      <c r="AC45" s="542" t="s">
        <v>4446</v>
      </c>
      <c r="AD45" s="528"/>
      <c r="AE45" s="528"/>
    </row>
    <row r="46" customFormat="false" ht="18.75" hidden="false" customHeight="false" outlineLevel="0" collapsed="false">
      <c r="A46" s="77"/>
      <c r="B46" s="77"/>
      <c r="C46" s="113"/>
      <c r="D46" s="171"/>
      <c r="E46" s="77"/>
      <c r="F46" s="77"/>
      <c r="G46" s="77"/>
      <c r="H46" s="77"/>
      <c r="I46" s="77"/>
      <c r="J46" s="77"/>
      <c r="K46" s="77"/>
      <c r="L46" s="19"/>
      <c r="M46" s="77"/>
      <c r="N46" s="19"/>
      <c r="O46" s="77"/>
      <c r="P46" s="113"/>
      <c r="Q46" s="528"/>
      <c r="R46" s="529"/>
      <c r="S46" s="113"/>
      <c r="T46" s="528"/>
      <c r="U46" s="528"/>
      <c r="V46" s="77"/>
      <c r="W46" s="77"/>
      <c r="X46" s="77"/>
      <c r="Y46" s="77"/>
      <c r="Z46" s="113"/>
      <c r="AA46" s="481" t="s">
        <v>50</v>
      </c>
      <c r="AB46" s="12" t="n">
        <v>5</v>
      </c>
      <c r="AC46" s="542" t="s">
        <v>4447</v>
      </c>
      <c r="AD46" s="528"/>
      <c r="AE46" s="528"/>
    </row>
    <row r="47" customFormat="false" ht="15.75" hidden="false" customHeight="false" outlineLevel="0" collapsed="false">
      <c r="A47" s="77" t="s">
        <v>42</v>
      </c>
      <c r="B47" s="77" t="s">
        <v>4366</v>
      </c>
      <c r="C47" s="113" t="s">
        <v>4448</v>
      </c>
      <c r="D47" s="171" t="s">
        <v>4449</v>
      </c>
      <c r="E47" s="77" t="s">
        <v>4450</v>
      </c>
      <c r="F47" s="77" t="n">
        <v>2475.65</v>
      </c>
      <c r="G47" s="77" t="n">
        <v>532</v>
      </c>
      <c r="H47" s="77" t="n">
        <v>3251</v>
      </c>
      <c r="I47" s="77" t="n">
        <v>1720</v>
      </c>
      <c r="J47" s="77" t="n">
        <v>1531</v>
      </c>
      <c r="K47" s="77" t="n">
        <v>646</v>
      </c>
      <c r="L47" s="19"/>
      <c r="M47" s="77"/>
      <c r="N47" s="19"/>
      <c r="O47" s="77"/>
      <c r="P47" s="113" t="n">
        <v>0</v>
      </c>
      <c r="Q47" s="458" t="s">
        <v>4293</v>
      </c>
      <c r="R47" s="458"/>
      <c r="S47" s="113"/>
      <c r="T47" s="458"/>
      <c r="U47" s="458"/>
      <c r="V47" s="77"/>
      <c r="W47" s="77"/>
      <c r="X47" s="77"/>
      <c r="Y47" s="77"/>
      <c r="Z47" s="77"/>
      <c r="AA47" s="349"/>
      <c r="AB47" s="202"/>
      <c r="AC47" s="489"/>
      <c r="AD47" s="349"/>
      <c r="AE47" s="349"/>
    </row>
    <row r="48" customFormat="false" ht="15.75" hidden="false" customHeight="false" outlineLevel="0" collapsed="false">
      <c r="A48" s="77" t="s">
        <v>42</v>
      </c>
      <c r="B48" s="77" t="s">
        <v>4366</v>
      </c>
      <c r="C48" s="113" t="s">
        <v>4448</v>
      </c>
      <c r="D48" s="77" t="s">
        <v>4451</v>
      </c>
      <c r="E48" s="77" t="s">
        <v>4452</v>
      </c>
      <c r="F48" s="77" t="n">
        <v>317.78</v>
      </c>
      <c r="G48" s="77" t="n">
        <v>40</v>
      </c>
      <c r="H48" s="77" t="n">
        <v>268</v>
      </c>
      <c r="I48" s="77" t="n">
        <v>133</v>
      </c>
      <c r="J48" s="77" t="n">
        <v>135</v>
      </c>
      <c r="K48" s="77" t="n">
        <v>45</v>
      </c>
      <c r="L48" s="19" t="n">
        <f aca="false">(K48/H48)*100</f>
        <v>16.7910447761194</v>
      </c>
      <c r="M48" s="77" t="n">
        <v>0</v>
      </c>
      <c r="N48" s="19" t="n">
        <f aca="false">(M48/H48)*100</f>
        <v>0</v>
      </c>
      <c r="O48" s="77" t="n">
        <v>0</v>
      </c>
      <c r="P48" s="113" t="n">
        <v>0</v>
      </c>
      <c r="Q48" s="458" t="s">
        <v>4293</v>
      </c>
      <c r="R48" s="458"/>
      <c r="S48" s="113"/>
      <c r="T48" s="458"/>
      <c r="U48" s="458"/>
      <c r="V48" s="77"/>
      <c r="W48" s="77"/>
      <c r="X48" s="77"/>
      <c r="Y48" s="77"/>
      <c r="Z48" s="77"/>
      <c r="AA48" s="349"/>
      <c r="AB48" s="202"/>
      <c r="AC48" s="489"/>
      <c r="AD48" s="349"/>
      <c r="AE48" s="349"/>
    </row>
    <row r="49" customFormat="false" ht="15.75" hidden="false" customHeight="false" outlineLevel="0" collapsed="false">
      <c r="A49" s="77" t="s">
        <v>42</v>
      </c>
      <c r="B49" s="77" t="s">
        <v>4366</v>
      </c>
      <c r="C49" s="113" t="s">
        <v>4453</v>
      </c>
      <c r="D49" s="171" t="s">
        <v>4453</v>
      </c>
      <c r="E49" s="77" t="s">
        <v>4454</v>
      </c>
      <c r="F49" s="77" t="n">
        <v>1095.09</v>
      </c>
      <c r="G49" s="77" t="n">
        <v>228</v>
      </c>
      <c r="H49" s="77" t="n">
        <v>1346</v>
      </c>
      <c r="I49" s="77" t="n">
        <v>683</v>
      </c>
      <c r="J49" s="77" t="n">
        <v>663</v>
      </c>
      <c r="K49" s="77" t="n">
        <v>411</v>
      </c>
      <c r="L49" s="19" t="n">
        <f aca="false">(K49/H49)*100</f>
        <v>30.5349182763744</v>
      </c>
      <c r="M49" s="77" t="n">
        <v>8</v>
      </c>
      <c r="N49" s="19" t="n">
        <f aca="false">(M49/H49)*100</f>
        <v>0.594353640416048</v>
      </c>
      <c r="O49" s="77" t="n">
        <v>80.04</v>
      </c>
      <c r="P49" s="113" t="n">
        <v>0</v>
      </c>
      <c r="Q49" s="458" t="s">
        <v>4293</v>
      </c>
      <c r="R49" s="458"/>
      <c r="S49" s="113"/>
      <c r="T49" s="458"/>
      <c r="U49" s="458"/>
      <c r="V49" s="77"/>
      <c r="W49" s="77"/>
      <c r="X49" s="77"/>
      <c r="Y49" s="77"/>
      <c r="Z49" s="77"/>
      <c r="AA49" s="349"/>
      <c r="AB49" s="202"/>
      <c r="AC49" s="489"/>
      <c r="AD49" s="349"/>
      <c r="AE49" s="349"/>
    </row>
    <row r="50" customFormat="false" ht="15.75" hidden="false" customHeight="false" outlineLevel="0" collapsed="false">
      <c r="A50" s="77" t="s">
        <v>42</v>
      </c>
      <c r="B50" s="77" t="s">
        <v>4366</v>
      </c>
      <c r="C50" s="113" t="s">
        <v>4453</v>
      </c>
      <c r="D50" s="77" t="s">
        <v>2916</v>
      </c>
      <c r="E50" s="77" t="s">
        <v>4455</v>
      </c>
      <c r="F50" s="77" t="n">
        <v>332.91</v>
      </c>
      <c r="G50" s="77" t="n">
        <v>109</v>
      </c>
      <c r="H50" s="77" t="n">
        <v>683</v>
      </c>
      <c r="I50" s="77" t="n">
        <v>369</v>
      </c>
      <c r="J50" s="77" t="n">
        <v>314</v>
      </c>
      <c r="K50" s="77" t="n">
        <v>22</v>
      </c>
      <c r="L50" s="19" t="n">
        <f aca="false">(K50/H50)*100</f>
        <v>3.22108345534407</v>
      </c>
      <c r="M50" s="77" t="n">
        <v>0</v>
      </c>
      <c r="N50" s="19" t="n">
        <f aca="false">(M50/H50)*100</f>
        <v>0</v>
      </c>
      <c r="O50" s="77" t="n">
        <v>0</v>
      </c>
      <c r="P50" s="113" t="n">
        <v>0</v>
      </c>
      <c r="Q50" s="458" t="s">
        <v>4293</v>
      </c>
      <c r="R50" s="458"/>
      <c r="S50" s="113"/>
      <c r="T50" s="458"/>
      <c r="U50" s="458"/>
      <c r="V50" s="77"/>
      <c r="W50" s="77"/>
      <c r="X50" s="77"/>
      <c r="Y50" s="77"/>
      <c r="Z50" s="77"/>
      <c r="AA50" s="349"/>
      <c r="AB50" s="202"/>
      <c r="AC50" s="489"/>
      <c r="AD50" s="349"/>
      <c r="AE50" s="349"/>
    </row>
    <row r="51" customFormat="false" ht="15.75" hidden="false" customHeight="false" outlineLevel="0" collapsed="false">
      <c r="A51" s="77" t="s">
        <v>42</v>
      </c>
      <c r="B51" s="77" t="s">
        <v>4366</v>
      </c>
      <c r="C51" s="113" t="s">
        <v>4453</v>
      </c>
      <c r="D51" s="77" t="s">
        <v>4356</v>
      </c>
      <c r="E51" s="77" t="s">
        <v>4456</v>
      </c>
      <c r="F51" s="77" t="n">
        <v>1096.56</v>
      </c>
      <c r="G51" s="77" t="n">
        <v>117</v>
      </c>
      <c r="H51" s="77" t="n">
        <v>827</v>
      </c>
      <c r="I51" s="77" t="n">
        <v>441</v>
      </c>
      <c r="J51" s="77" t="n">
        <v>386</v>
      </c>
      <c r="K51" s="77" t="n">
        <v>319</v>
      </c>
      <c r="L51" s="19" t="n">
        <f aca="false">(K51/H51)*100</f>
        <v>38.5731559854897</v>
      </c>
      <c r="M51" s="77" t="n">
        <v>36</v>
      </c>
      <c r="N51" s="19" t="n">
        <f aca="false">(M51/H51)*100</f>
        <v>4.35308343409915</v>
      </c>
      <c r="O51" s="77" t="n">
        <v>8.09</v>
      </c>
      <c r="P51" s="113" t="n">
        <v>0</v>
      </c>
      <c r="Q51" s="458" t="s">
        <v>4293</v>
      </c>
      <c r="R51" s="458"/>
      <c r="S51" s="113"/>
      <c r="T51" s="458"/>
      <c r="U51" s="458"/>
      <c r="V51" s="77"/>
      <c r="W51" s="77"/>
      <c r="X51" s="77"/>
      <c r="Y51" s="77"/>
      <c r="Z51" s="77"/>
      <c r="AA51" s="349"/>
      <c r="AB51" s="202"/>
      <c r="AC51" s="489"/>
      <c r="AD51" s="349"/>
      <c r="AE51" s="349"/>
    </row>
    <row r="52" customFormat="false" ht="18.75" hidden="false" customHeight="false" outlineLevel="0" collapsed="false">
      <c r="A52" s="77" t="s">
        <v>42</v>
      </c>
      <c r="B52" s="77" t="s">
        <v>4366</v>
      </c>
      <c r="C52" s="113" t="s">
        <v>4457</v>
      </c>
      <c r="D52" s="171" t="s">
        <v>4458</v>
      </c>
      <c r="E52" s="77" t="s">
        <v>4459</v>
      </c>
      <c r="F52" s="77" t="n">
        <v>1265</v>
      </c>
      <c r="G52" s="77" t="n">
        <v>207</v>
      </c>
      <c r="H52" s="77" t="n">
        <v>1152</v>
      </c>
      <c r="I52" s="77" t="n">
        <v>593</v>
      </c>
      <c r="J52" s="77" t="n">
        <v>559</v>
      </c>
      <c r="K52" s="77" t="n">
        <v>452</v>
      </c>
      <c r="L52" s="19" t="n">
        <f aca="false">(K52/H52)*100</f>
        <v>39.2361111111111</v>
      </c>
      <c r="M52" s="77" t="n">
        <v>0</v>
      </c>
      <c r="N52" s="19" t="n">
        <f aca="false">(M52/H52)*100</f>
        <v>0</v>
      </c>
      <c r="O52" s="77" t="n">
        <v>37</v>
      </c>
      <c r="P52" s="113" t="n">
        <v>0</v>
      </c>
      <c r="Q52" s="528" t="s">
        <v>49</v>
      </c>
      <c r="R52" s="529" t="n">
        <v>45646</v>
      </c>
      <c r="S52" s="113"/>
      <c r="T52" s="528" t="n">
        <v>1.61</v>
      </c>
      <c r="U52" s="528"/>
      <c r="V52" s="77"/>
      <c r="W52" s="77"/>
      <c r="X52" s="77"/>
      <c r="Y52" s="77"/>
      <c r="Z52" s="77"/>
      <c r="AA52" s="180" t="s">
        <v>4460</v>
      </c>
      <c r="AB52" s="181" t="n">
        <v>0</v>
      </c>
      <c r="AC52" s="382"/>
      <c r="AD52" s="183"/>
      <c r="AE52" s="183"/>
    </row>
    <row r="53" customFormat="false" ht="18.75" hidden="false" customHeight="false" outlineLevel="0" collapsed="false">
      <c r="A53" s="77" t="s">
        <v>42</v>
      </c>
      <c r="B53" s="77" t="s">
        <v>4366</v>
      </c>
      <c r="C53" s="113" t="s">
        <v>4457</v>
      </c>
      <c r="D53" s="77" t="s">
        <v>4461</v>
      </c>
      <c r="E53" s="77" t="s">
        <v>4462</v>
      </c>
      <c r="F53" s="77" t="n">
        <v>525</v>
      </c>
      <c r="G53" s="77" t="n">
        <v>105</v>
      </c>
      <c r="H53" s="77" t="n">
        <v>604</v>
      </c>
      <c r="I53" s="77" t="n">
        <v>312</v>
      </c>
      <c r="J53" s="77" t="n">
        <v>292</v>
      </c>
      <c r="K53" s="77" t="n">
        <v>30</v>
      </c>
      <c r="L53" s="19" t="n">
        <f aca="false">(K53/H53)*100</f>
        <v>4.96688741721854</v>
      </c>
      <c r="M53" s="77" t="n">
        <v>51</v>
      </c>
      <c r="N53" s="19" t="n">
        <f aca="false">(M53/H53)*100</f>
        <v>8.44370860927152</v>
      </c>
      <c r="O53" s="77" t="n">
        <v>20</v>
      </c>
      <c r="P53" s="113" t="n">
        <v>0</v>
      </c>
      <c r="Q53" s="528" t="s">
        <v>49</v>
      </c>
      <c r="R53" s="529" t="n">
        <v>45646</v>
      </c>
      <c r="S53" s="113"/>
      <c r="T53" s="528" t="n">
        <v>22.24</v>
      </c>
      <c r="U53" s="528"/>
      <c r="V53" s="77"/>
      <c r="W53" s="77"/>
      <c r="X53" s="77"/>
      <c r="Y53" s="77"/>
      <c r="Z53" s="77"/>
      <c r="AA53" s="180" t="s">
        <v>4460</v>
      </c>
      <c r="AB53" s="181" t="n">
        <v>0</v>
      </c>
      <c r="AC53" s="382"/>
      <c r="AD53" s="183"/>
      <c r="AE53" s="183"/>
    </row>
    <row r="54" customFormat="false" ht="18.75" hidden="false" customHeight="false" outlineLevel="0" collapsed="false">
      <c r="A54" s="77" t="s">
        <v>42</v>
      </c>
      <c r="B54" s="77" t="s">
        <v>4366</v>
      </c>
      <c r="C54" s="113" t="s">
        <v>4457</v>
      </c>
      <c r="D54" s="77" t="s">
        <v>4463</v>
      </c>
      <c r="E54" s="77" t="s">
        <v>4464</v>
      </c>
      <c r="F54" s="77" t="n">
        <v>519</v>
      </c>
      <c r="G54" s="77" t="n">
        <v>157</v>
      </c>
      <c r="H54" s="77" t="n">
        <v>955</v>
      </c>
      <c r="I54" s="77" t="n">
        <v>481</v>
      </c>
      <c r="J54" s="77" t="n">
        <v>474</v>
      </c>
      <c r="K54" s="77" t="n">
        <v>191</v>
      </c>
      <c r="L54" s="19" t="n">
        <f aca="false">(K54/H54)*100</f>
        <v>20</v>
      </c>
      <c r="M54" s="77" t="n">
        <v>0</v>
      </c>
      <c r="N54" s="19" t="n">
        <f aca="false">(M54/H54)*100</f>
        <v>0</v>
      </c>
      <c r="O54" s="77" t="n">
        <v>0</v>
      </c>
      <c r="P54" s="113" t="n">
        <v>0</v>
      </c>
      <c r="Q54" s="528" t="s">
        <v>49</v>
      </c>
      <c r="R54" s="529" t="n">
        <v>45646</v>
      </c>
      <c r="S54" s="113"/>
      <c r="T54" s="528" t="n">
        <v>32.3</v>
      </c>
      <c r="U54" s="528"/>
      <c r="V54" s="77"/>
      <c r="W54" s="77"/>
      <c r="X54" s="77"/>
      <c r="Y54" s="77"/>
      <c r="Z54" s="77"/>
      <c r="AA54" s="180" t="s">
        <v>4460</v>
      </c>
      <c r="AB54" s="181" t="n">
        <v>0</v>
      </c>
      <c r="AC54" s="382"/>
      <c r="AD54" s="183"/>
      <c r="AE54" s="183"/>
    </row>
    <row r="55" customFormat="false" ht="18.75" hidden="false" customHeight="false" outlineLevel="0" collapsed="false">
      <c r="A55" s="77" t="s">
        <v>42</v>
      </c>
      <c r="B55" s="77" t="s">
        <v>4366</v>
      </c>
      <c r="C55" s="113" t="s">
        <v>4457</v>
      </c>
      <c r="D55" s="77" t="s">
        <v>4465</v>
      </c>
      <c r="E55" s="77" t="s">
        <v>4466</v>
      </c>
      <c r="F55" s="77" t="n">
        <v>602</v>
      </c>
      <c r="G55" s="77" t="n">
        <v>136</v>
      </c>
      <c r="H55" s="77" t="n">
        <v>783</v>
      </c>
      <c r="I55" s="77" t="n">
        <v>388</v>
      </c>
      <c r="J55" s="77" t="n">
        <v>395</v>
      </c>
      <c r="K55" s="77" t="n">
        <v>77</v>
      </c>
      <c r="L55" s="19" t="n">
        <f aca="false">(K55/H55)*100</f>
        <v>9.83397190293742</v>
      </c>
      <c r="M55" s="77" t="n">
        <v>0</v>
      </c>
      <c r="N55" s="19" t="n">
        <f aca="false">(M55/H55)*100</f>
        <v>0</v>
      </c>
      <c r="O55" s="77" t="n">
        <v>29</v>
      </c>
      <c r="P55" s="113" t="n">
        <v>0</v>
      </c>
      <c r="Q55" s="528" t="s">
        <v>49</v>
      </c>
      <c r="R55" s="529" t="n">
        <v>45646</v>
      </c>
      <c r="S55" s="113"/>
      <c r="T55" s="528" t="n">
        <v>0</v>
      </c>
      <c r="U55" s="528"/>
      <c r="V55" s="77"/>
      <c r="W55" s="77"/>
      <c r="X55" s="77"/>
      <c r="Y55" s="77"/>
      <c r="Z55" s="77"/>
      <c r="AA55" s="180" t="s">
        <v>4460</v>
      </c>
      <c r="AB55" s="181" t="n">
        <v>0</v>
      </c>
      <c r="AC55" s="382"/>
      <c r="AD55" s="183"/>
      <c r="AE55" s="183"/>
    </row>
    <row r="56" customFormat="false" ht="18.75" hidden="false" customHeight="false" outlineLevel="0" collapsed="false">
      <c r="A56" s="77" t="s">
        <v>42</v>
      </c>
      <c r="B56" s="77" t="s">
        <v>4366</v>
      </c>
      <c r="C56" s="113" t="s">
        <v>4457</v>
      </c>
      <c r="D56" s="77" t="s">
        <v>4467</v>
      </c>
      <c r="E56" s="77" t="s">
        <v>4468</v>
      </c>
      <c r="F56" s="77" t="n">
        <v>205</v>
      </c>
      <c r="G56" s="77" t="n">
        <v>15</v>
      </c>
      <c r="H56" s="77" t="n">
        <v>91</v>
      </c>
      <c r="I56" s="77" t="n">
        <v>46</v>
      </c>
      <c r="J56" s="77" t="n">
        <v>45</v>
      </c>
      <c r="K56" s="77" t="n">
        <v>31</v>
      </c>
      <c r="L56" s="19" t="n">
        <f aca="false">(K56/H56)*100</f>
        <v>34.0659340659341</v>
      </c>
      <c r="M56" s="77" t="n">
        <v>0</v>
      </c>
      <c r="N56" s="19" t="n">
        <f aca="false">(M56/H56)*100</f>
        <v>0</v>
      </c>
      <c r="O56" s="77" t="n">
        <v>10</v>
      </c>
      <c r="P56" s="113" t="n">
        <v>0</v>
      </c>
      <c r="Q56" s="528" t="s">
        <v>49</v>
      </c>
      <c r="R56" s="529" t="n">
        <v>45646</v>
      </c>
      <c r="S56" s="113"/>
      <c r="T56" s="528" t="n">
        <v>9.98</v>
      </c>
      <c r="U56" s="528"/>
      <c r="V56" s="77"/>
      <c r="W56" s="77"/>
      <c r="X56" s="77"/>
      <c r="Y56" s="77"/>
      <c r="Z56" s="77"/>
      <c r="AA56" s="180" t="s">
        <v>4460</v>
      </c>
      <c r="AB56" s="181" t="n">
        <v>0</v>
      </c>
      <c r="AC56" s="382"/>
      <c r="AD56" s="183"/>
      <c r="AE56" s="183"/>
    </row>
    <row r="57" customFormat="false" ht="15.75" hidden="false" customHeight="false" outlineLevel="0" collapsed="false">
      <c r="A57" s="77" t="s">
        <v>42</v>
      </c>
      <c r="B57" s="77" t="s">
        <v>4366</v>
      </c>
      <c r="C57" s="113" t="s">
        <v>4469</v>
      </c>
      <c r="D57" s="171" t="s">
        <v>4470</v>
      </c>
      <c r="E57" s="77" t="s">
        <v>4471</v>
      </c>
      <c r="F57" s="77" t="n">
        <v>2814</v>
      </c>
      <c r="G57" s="77" t="n">
        <v>694</v>
      </c>
      <c r="H57" s="77" t="n">
        <v>4313</v>
      </c>
      <c r="I57" s="77" t="n">
        <v>2282</v>
      </c>
      <c r="J57" s="77" t="n">
        <v>2031</v>
      </c>
      <c r="K57" s="77" t="n">
        <v>631</v>
      </c>
      <c r="L57" s="19" t="n">
        <f aca="false">(K57/H57)*100</f>
        <v>14.6301878043125</v>
      </c>
      <c r="M57" s="77" t="n">
        <v>210</v>
      </c>
      <c r="N57" s="19" t="n">
        <f aca="false">(M57/H57)*100</f>
        <v>4.86900069557153</v>
      </c>
      <c r="O57" s="77" t="n">
        <v>101</v>
      </c>
      <c r="P57" s="113" t="n">
        <v>0</v>
      </c>
      <c r="Q57" s="458" t="s">
        <v>4293</v>
      </c>
      <c r="R57" s="458"/>
      <c r="S57" s="113"/>
      <c r="T57" s="458"/>
      <c r="U57" s="458"/>
      <c r="V57" s="77"/>
      <c r="W57" s="77"/>
      <c r="X57" s="77"/>
      <c r="Y57" s="77"/>
      <c r="Z57" s="77"/>
      <c r="AA57" s="349"/>
      <c r="AB57" s="202"/>
      <c r="AC57" s="489"/>
      <c r="AD57" s="349"/>
      <c r="AE57" s="349"/>
    </row>
    <row r="58" customFormat="false" ht="15.75" hidden="false" customHeight="false" outlineLevel="0" collapsed="false">
      <c r="A58" s="77" t="s">
        <v>42</v>
      </c>
      <c r="B58" s="77" t="s">
        <v>4366</v>
      </c>
      <c r="C58" s="113" t="s">
        <v>4469</v>
      </c>
      <c r="D58" s="77" t="s">
        <v>3180</v>
      </c>
      <c r="E58" s="77" t="s">
        <v>4472</v>
      </c>
      <c r="F58" s="77" t="n">
        <v>141</v>
      </c>
      <c r="G58" s="77" t="n">
        <v>12</v>
      </c>
      <c r="H58" s="77" t="n">
        <v>62</v>
      </c>
      <c r="I58" s="77" t="n">
        <v>34</v>
      </c>
      <c r="J58" s="77" t="n">
        <v>28</v>
      </c>
      <c r="K58" s="77" t="n">
        <v>0</v>
      </c>
      <c r="L58" s="19" t="n">
        <f aca="false">(K58/H58)*100</f>
        <v>0</v>
      </c>
      <c r="M58" s="77" t="n">
        <v>0</v>
      </c>
      <c r="N58" s="19" t="n">
        <f aca="false">(M58/H58)*100</f>
        <v>0</v>
      </c>
      <c r="O58" s="77" t="n">
        <v>0</v>
      </c>
      <c r="P58" s="113" t="n">
        <v>0</v>
      </c>
      <c r="Q58" s="458" t="s">
        <v>4293</v>
      </c>
      <c r="R58" s="458"/>
      <c r="S58" s="113"/>
      <c r="T58" s="458"/>
      <c r="U58" s="458"/>
      <c r="V58" s="77"/>
      <c r="W58" s="77"/>
      <c r="X58" s="77"/>
      <c r="Y58" s="77"/>
      <c r="Z58" s="77"/>
      <c r="AA58" s="349"/>
      <c r="AB58" s="202"/>
      <c r="AC58" s="489"/>
      <c r="AD58" s="349"/>
      <c r="AE58" s="349"/>
    </row>
    <row r="59" customFormat="false" ht="15.75" hidden="false" customHeight="false" outlineLevel="0" collapsed="false">
      <c r="A59" s="77" t="s">
        <v>42</v>
      </c>
      <c r="B59" s="77" t="s">
        <v>4366</v>
      </c>
      <c r="C59" s="113" t="s">
        <v>4473</v>
      </c>
      <c r="D59" s="171" t="s">
        <v>4474</v>
      </c>
      <c r="E59" s="77" t="s">
        <v>4475</v>
      </c>
      <c r="F59" s="77" t="n">
        <v>2214.4</v>
      </c>
      <c r="G59" s="77" t="n">
        <v>404</v>
      </c>
      <c r="H59" s="77" t="n">
        <v>2287</v>
      </c>
      <c r="I59" s="77" t="n">
        <v>1149</v>
      </c>
      <c r="J59" s="77" t="n">
        <v>1138</v>
      </c>
      <c r="K59" s="77" t="n">
        <v>875</v>
      </c>
      <c r="L59" s="19" t="n">
        <f aca="false">(K59/H59)*100</f>
        <v>38.2597289024923</v>
      </c>
      <c r="M59" s="77" t="n">
        <v>0</v>
      </c>
      <c r="N59" s="19" t="n">
        <f aca="false">(M59/H59)*100</f>
        <v>0</v>
      </c>
      <c r="O59" s="77" t="n">
        <v>21</v>
      </c>
      <c r="P59" s="113" t="n">
        <v>232.05</v>
      </c>
      <c r="Q59" s="458" t="s">
        <v>4293</v>
      </c>
      <c r="R59" s="458"/>
      <c r="S59" s="113"/>
      <c r="T59" s="458"/>
      <c r="U59" s="458"/>
      <c r="V59" s="77"/>
      <c r="W59" s="77"/>
      <c r="X59" s="77"/>
      <c r="Y59" s="77"/>
      <c r="Z59" s="77"/>
      <c r="AA59" s="349"/>
      <c r="AB59" s="202"/>
      <c r="AC59" s="489"/>
      <c r="AD59" s="349"/>
      <c r="AE59" s="349"/>
    </row>
    <row r="60" customFormat="false" ht="15.75" hidden="false" customHeight="false" outlineLevel="0" collapsed="false">
      <c r="A60" s="77" t="s">
        <v>42</v>
      </c>
      <c r="B60" s="77" t="s">
        <v>4366</v>
      </c>
      <c r="C60" s="113" t="s">
        <v>4473</v>
      </c>
      <c r="D60" s="77" t="s">
        <v>4476</v>
      </c>
      <c r="E60" s="77" t="s">
        <v>4477</v>
      </c>
      <c r="F60" s="77" t="n">
        <v>2062</v>
      </c>
      <c r="G60" s="77" t="n">
        <v>434</v>
      </c>
      <c r="H60" s="77" t="n">
        <v>2516</v>
      </c>
      <c r="I60" s="77" t="n">
        <v>1288</v>
      </c>
      <c r="J60" s="77" t="n">
        <v>1228</v>
      </c>
      <c r="K60" s="77" t="n">
        <v>1438</v>
      </c>
      <c r="L60" s="19" t="n">
        <f aca="false">(K60/H60)*100</f>
        <v>57.154213036566</v>
      </c>
      <c r="M60" s="77" t="n">
        <v>8</v>
      </c>
      <c r="N60" s="19" t="n">
        <f aca="false">(M60/H60)*100</f>
        <v>0.317965023847377</v>
      </c>
      <c r="O60" s="77" t="n">
        <v>374.1</v>
      </c>
      <c r="P60" s="113" t="n">
        <v>0</v>
      </c>
      <c r="Q60" s="458" t="s">
        <v>4293</v>
      </c>
      <c r="R60" s="458"/>
      <c r="S60" s="113"/>
      <c r="T60" s="458"/>
      <c r="U60" s="458"/>
      <c r="V60" s="77"/>
      <c r="W60" s="77"/>
      <c r="X60" s="77"/>
      <c r="Y60" s="77"/>
      <c r="Z60" s="77"/>
      <c r="AA60" s="349"/>
      <c r="AB60" s="202"/>
      <c r="AC60" s="489"/>
      <c r="AD60" s="349"/>
      <c r="AE60" s="349"/>
    </row>
    <row r="61" customFormat="false" ht="15.75" hidden="false" customHeight="false" outlineLevel="0" collapsed="false">
      <c r="A61" s="77" t="s">
        <v>42</v>
      </c>
      <c r="B61" s="77" t="s">
        <v>4366</v>
      </c>
      <c r="C61" s="113" t="s">
        <v>4478</v>
      </c>
      <c r="D61" s="171" t="s">
        <v>4479</v>
      </c>
      <c r="E61" s="77" t="s">
        <v>4480</v>
      </c>
      <c r="F61" s="77" t="n">
        <v>3128.47</v>
      </c>
      <c r="G61" s="77" t="n">
        <v>455</v>
      </c>
      <c r="H61" s="77" t="n">
        <v>2723</v>
      </c>
      <c r="I61" s="77" t="n">
        <v>1405</v>
      </c>
      <c r="J61" s="77" t="n">
        <v>1318</v>
      </c>
      <c r="K61" s="77" t="n">
        <v>353</v>
      </c>
      <c r="L61" s="19" t="n">
        <f aca="false">(K61/H61)*100</f>
        <v>12.9636430407639</v>
      </c>
      <c r="M61" s="77" t="n">
        <v>22</v>
      </c>
      <c r="N61" s="19" t="n">
        <f aca="false">(M61/H61)*100</f>
        <v>0.807932427469703</v>
      </c>
      <c r="O61" s="77" t="n">
        <v>292.93</v>
      </c>
      <c r="P61" s="113" t="n">
        <v>0</v>
      </c>
      <c r="Q61" s="458" t="s">
        <v>49</v>
      </c>
      <c r="R61" s="530" t="n">
        <v>45358</v>
      </c>
      <c r="S61" s="113"/>
      <c r="T61" s="458" t="n">
        <v>292.7933</v>
      </c>
      <c r="U61" s="458"/>
      <c r="V61" s="77"/>
      <c r="W61" s="77"/>
      <c r="X61" s="77"/>
      <c r="Y61" s="77"/>
      <c r="Z61" s="77"/>
      <c r="AA61" s="202" t="s">
        <v>50</v>
      </c>
      <c r="AB61" s="202" t="n">
        <v>5</v>
      </c>
      <c r="AC61" s="539" t="s">
        <v>4481</v>
      </c>
      <c r="AD61" s="349"/>
      <c r="AE61" s="349"/>
    </row>
    <row r="62" customFormat="false" ht="15.75" hidden="false" customHeight="false" outlineLevel="0" collapsed="false">
      <c r="A62" s="77"/>
      <c r="B62" s="77"/>
      <c r="C62" s="113"/>
      <c r="D62" s="171"/>
      <c r="E62" s="77"/>
      <c r="F62" s="77"/>
      <c r="G62" s="77"/>
      <c r="H62" s="77"/>
      <c r="I62" s="77"/>
      <c r="J62" s="77"/>
      <c r="K62" s="77"/>
      <c r="L62" s="19"/>
      <c r="M62" s="77"/>
      <c r="N62" s="19"/>
      <c r="O62" s="77"/>
      <c r="P62" s="113"/>
      <c r="Q62" s="458"/>
      <c r="R62" s="458"/>
      <c r="S62" s="113"/>
      <c r="T62" s="458"/>
      <c r="U62" s="458"/>
      <c r="V62" s="77"/>
      <c r="W62" s="77"/>
      <c r="X62" s="77"/>
      <c r="Y62" s="77"/>
      <c r="Z62" s="77"/>
      <c r="AA62" s="486" t="s">
        <v>50</v>
      </c>
      <c r="AB62" s="486" t="n">
        <v>12</v>
      </c>
      <c r="AC62" s="541" t="s">
        <v>4482</v>
      </c>
      <c r="AD62" s="487"/>
      <c r="AE62" s="487"/>
    </row>
    <row r="63" customFormat="false" ht="15.75" hidden="false" customHeight="false" outlineLevel="0" collapsed="false">
      <c r="A63" s="77"/>
      <c r="B63" s="77"/>
      <c r="C63" s="113"/>
      <c r="D63" s="171"/>
      <c r="E63" s="77"/>
      <c r="F63" s="77"/>
      <c r="G63" s="77"/>
      <c r="H63" s="77"/>
      <c r="I63" s="77"/>
      <c r="J63" s="77"/>
      <c r="K63" s="77"/>
      <c r="L63" s="19"/>
      <c r="M63" s="77"/>
      <c r="N63" s="19"/>
      <c r="O63" s="77"/>
      <c r="P63" s="113"/>
      <c r="Q63" s="458"/>
      <c r="R63" s="458"/>
      <c r="S63" s="113"/>
      <c r="T63" s="458"/>
      <c r="U63" s="458"/>
      <c r="V63" s="77"/>
      <c r="W63" s="77"/>
      <c r="X63" s="77"/>
      <c r="Y63" s="77"/>
      <c r="Z63" s="77"/>
      <c r="AA63" s="486" t="s">
        <v>50</v>
      </c>
      <c r="AB63" s="486" t="n">
        <v>10</v>
      </c>
      <c r="AC63" s="541" t="s">
        <v>4483</v>
      </c>
      <c r="AD63" s="487"/>
      <c r="AE63" s="487"/>
    </row>
    <row r="64" customFormat="false" ht="15.75" hidden="false" customHeight="false" outlineLevel="0" collapsed="false">
      <c r="A64" s="77"/>
      <c r="B64" s="77"/>
      <c r="C64" s="113"/>
      <c r="D64" s="171"/>
      <c r="E64" s="77"/>
      <c r="F64" s="77"/>
      <c r="G64" s="77"/>
      <c r="H64" s="77"/>
      <c r="I64" s="77"/>
      <c r="J64" s="77"/>
      <c r="K64" s="77"/>
      <c r="L64" s="19"/>
      <c r="M64" s="77"/>
      <c r="N64" s="19"/>
      <c r="O64" s="77"/>
      <c r="P64" s="113"/>
      <c r="Q64" s="458"/>
      <c r="R64" s="458"/>
      <c r="S64" s="113"/>
      <c r="T64" s="458"/>
      <c r="U64" s="458"/>
      <c r="V64" s="77"/>
      <c r="W64" s="77"/>
      <c r="X64" s="77"/>
      <c r="Y64" s="77"/>
      <c r="Z64" s="77"/>
      <c r="AA64" s="486" t="s">
        <v>50</v>
      </c>
      <c r="AB64" s="486" t="n">
        <v>12</v>
      </c>
      <c r="AC64" s="541" t="s">
        <v>4484</v>
      </c>
      <c r="AD64" s="487"/>
      <c r="AE64" s="487"/>
    </row>
    <row r="65" customFormat="false" ht="23.25" hidden="false" customHeight="false" outlineLevel="0" collapsed="false">
      <c r="A65" s="77"/>
      <c r="B65" s="77"/>
      <c r="C65" s="113"/>
      <c r="D65" s="171"/>
      <c r="E65" s="77"/>
      <c r="F65" s="77"/>
      <c r="G65" s="77"/>
      <c r="H65" s="77"/>
      <c r="I65" s="77"/>
      <c r="J65" s="77"/>
      <c r="K65" s="77"/>
      <c r="L65" s="19"/>
      <c r="M65" s="77"/>
      <c r="N65" s="19"/>
      <c r="O65" s="77"/>
      <c r="P65" s="77"/>
      <c r="Q65" s="458"/>
      <c r="R65" s="458"/>
      <c r="S65" s="113"/>
      <c r="T65" s="458"/>
      <c r="U65" s="458"/>
      <c r="V65" s="77"/>
      <c r="W65" s="77"/>
      <c r="X65" s="77"/>
      <c r="Y65" s="77"/>
      <c r="Z65" s="77"/>
      <c r="AA65" s="486" t="s">
        <v>50</v>
      </c>
      <c r="AB65" s="486" t="n">
        <v>12</v>
      </c>
      <c r="AC65" s="538" t="s">
        <v>4485</v>
      </c>
      <c r="AD65" s="487"/>
      <c r="AE65" s="487"/>
    </row>
    <row r="66" customFormat="false" ht="15.75" hidden="false" customHeight="false" outlineLevel="0" collapsed="false">
      <c r="A66" s="77" t="s">
        <v>42</v>
      </c>
      <c r="B66" s="77" t="s">
        <v>4366</v>
      </c>
      <c r="C66" s="113" t="s">
        <v>4486</v>
      </c>
      <c r="D66" s="171" t="s">
        <v>4487</v>
      </c>
      <c r="E66" s="77" t="s">
        <v>4488</v>
      </c>
      <c r="F66" s="77" t="n">
        <v>1398.46</v>
      </c>
      <c r="G66" s="77" t="n">
        <v>441</v>
      </c>
      <c r="H66" s="77" t="n">
        <v>2632</v>
      </c>
      <c r="I66" s="77" t="n">
        <v>1399</v>
      </c>
      <c r="J66" s="77" t="n">
        <v>1233</v>
      </c>
      <c r="K66" s="77" t="n">
        <v>377</v>
      </c>
      <c r="L66" s="19" t="n">
        <f aca="false">(K66/H66)*100</f>
        <v>14.3237082066869</v>
      </c>
      <c r="M66" s="77" t="n">
        <v>410</v>
      </c>
      <c r="N66" s="19" t="n">
        <f aca="false">(M66/H66)*100</f>
        <v>15.5775075987842</v>
      </c>
      <c r="O66" s="77" t="n">
        <v>131.12</v>
      </c>
      <c r="P66" s="77" t="n">
        <v>0</v>
      </c>
      <c r="Q66" s="349" t="s">
        <v>4293</v>
      </c>
      <c r="R66" s="349"/>
      <c r="S66" s="77"/>
      <c r="T66" s="349"/>
      <c r="U66" s="349"/>
      <c r="V66" s="77"/>
      <c r="W66" s="77"/>
      <c r="X66" s="77"/>
      <c r="Y66" s="77"/>
      <c r="Z66" s="77"/>
      <c r="AA66" s="349"/>
      <c r="AB66" s="202"/>
      <c r="AC66" s="489"/>
      <c r="AD66" s="349"/>
      <c r="AE66" s="349"/>
    </row>
    <row r="67" customFormat="false" ht="15.75" hidden="false" customHeight="false" outlineLevel="0" collapsed="false">
      <c r="A67" s="77" t="s">
        <v>42</v>
      </c>
      <c r="B67" s="77" t="s">
        <v>4366</v>
      </c>
      <c r="C67" s="113" t="s">
        <v>4486</v>
      </c>
      <c r="D67" s="77" t="s">
        <v>4489</v>
      </c>
      <c r="E67" s="77" t="s">
        <v>4490</v>
      </c>
      <c r="F67" s="77" t="n">
        <v>1181.52</v>
      </c>
      <c r="G67" s="77" t="n">
        <v>98</v>
      </c>
      <c r="H67" s="77" t="n">
        <v>615</v>
      </c>
      <c r="I67" s="77" t="n">
        <v>318</v>
      </c>
      <c r="J67" s="77" t="n">
        <v>297</v>
      </c>
      <c r="K67" s="77" t="n">
        <v>132</v>
      </c>
      <c r="L67" s="19" t="n">
        <f aca="false">(K67/H67)*100</f>
        <v>21.4634146341463</v>
      </c>
      <c r="M67" s="77" t="n">
        <v>89</v>
      </c>
      <c r="N67" s="19" t="n">
        <f aca="false">(M67/H67)*100</f>
        <v>14.4715447154472</v>
      </c>
      <c r="O67" s="77" t="n">
        <v>58.15</v>
      </c>
      <c r="P67" s="77" t="n">
        <v>0</v>
      </c>
      <c r="Q67" s="349" t="s">
        <v>4293</v>
      </c>
      <c r="R67" s="349"/>
      <c r="S67" s="77"/>
      <c r="T67" s="349"/>
      <c r="U67" s="349"/>
      <c r="V67" s="77"/>
      <c r="W67" s="77"/>
      <c r="X67" s="77"/>
      <c r="Y67" s="77"/>
      <c r="Z67" s="77"/>
      <c r="AA67" s="349"/>
      <c r="AB67" s="202"/>
      <c r="AC67" s="489"/>
      <c r="AD67" s="349"/>
      <c r="AE67" s="349"/>
    </row>
    <row r="68" customFormat="false" ht="15.75" hidden="false" customHeight="false" outlineLevel="0" collapsed="false">
      <c r="A68" s="77" t="s">
        <v>42</v>
      </c>
      <c r="B68" s="77" t="s">
        <v>4366</v>
      </c>
      <c r="C68" s="113" t="s">
        <v>4486</v>
      </c>
      <c r="D68" s="77" t="s">
        <v>4491</v>
      </c>
      <c r="E68" s="77" t="s">
        <v>4492</v>
      </c>
      <c r="F68" s="77" t="n">
        <v>1268.96</v>
      </c>
      <c r="G68" s="77" t="n">
        <v>100</v>
      </c>
      <c r="H68" s="77" t="n">
        <v>643</v>
      </c>
      <c r="I68" s="77" t="n">
        <v>340</v>
      </c>
      <c r="J68" s="77" t="n">
        <v>303</v>
      </c>
      <c r="K68" s="77" t="n">
        <v>0</v>
      </c>
      <c r="L68" s="19" t="n">
        <f aca="false">(K68/H68)*100</f>
        <v>0</v>
      </c>
      <c r="M68" s="77" t="n">
        <v>13</v>
      </c>
      <c r="N68" s="19" t="n">
        <f aca="false">(M68/H68)*100</f>
        <v>2.02177293934681</v>
      </c>
      <c r="O68" s="77" t="n">
        <v>78.47</v>
      </c>
      <c r="P68" s="77" t="n">
        <v>0</v>
      </c>
      <c r="Q68" s="349" t="s">
        <v>4293</v>
      </c>
      <c r="R68" s="349"/>
      <c r="S68" s="77"/>
      <c r="T68" s="349"/>
      <c r="U68" s="349"/>
      <c r="V68" s="77"/>
      <c r="W68" s="77"/>
      <c r="X68" s="77"/>
      <c r="Y68" s="77"/>
      <c r="Z68" s="77"/>
      <c r="AA68" s="349"/>
      <c r="AB68" s="202"/>
      <c r="AC68" s="489"/>
      <c r="AD68" s="349"/>
      <c r="AE68" s="349"/>
    </row>
    <row r="69" customFormat="false" ht="15.75" hidden="false" customHeight="false" outlineLevel="0" collapsed="false">
      <c r="A69" s="77" t="s">
        <v>42</v>
      </c>
      <c r="B69" s="77" t="s">
        <v>4366</v>
      </c>
      <c r="C69" s="113" t="s">
        <v>4486</v>
      </c>
      <c r="D69" s="77" t="s">
        <v>4493</v>
      </c>
      <c r="E69" s="77" t="s">
        <v>4494</v>
      </c>
      <c r="F69" s="77" t="n">
        <v>1597.28</v>
      </c>
      <c r="G69" s="77" t="n">
        <v>330</v>
      </c>
      <c r="H69" s="77" t="n">
        <v>1903</v>
      </c>
      <c r="I69" s="77" t="n">
        <v>983</v>
      </c>
      <c r="J69" s="77" t="n">
        <v>920</v>
      </c>
      <c r="K69" s="77" t="n">
        <v>591</v>
      </c>
      <c r="L69" s="19" t="n">
        <f aca="false">(K69/H69)*100</f>
        <v>31.0562270099842</v>
      </c>
      <c r="M69" s="77" t="n">
        <v>91</v>
      </c>
      <c r="N69" s="19" t="n">
        <f aca="false">(M69/H69)*100</f>
        <v>4.78192327903311</v>
      </c>
      <c r="O69" s="77" t="n">
        <v>89.27</v>
      </c>
      <c r="P69" s="77" t="n">
        <v>0</v>
      </c>
      <c r="Q69" s="349" t="s">
        <v>4293</v>
      </c>
      <c r="R69" s="349"/>
      <c r="S69" s="77"/>
      <c r="T69" s="349"/>
      <c r="U69" s="349"/>
      <c r="V69" s="77"/>
      <c r="W69" s="77"/>
      <c r="X69" s="77"/>
      <c r="Y69" s="77"/>
      <c r="Z69" s="77"/>
      <c r="AA69" s="349"/>
      <c r="AB69" s="202"/>
      <c r="AC69" s="489"/>
      <c r="AD69" s="349"/>
      <c r="AE69" s="349"/>
    </row>
    <row r="70" customFormat="false" ht="56.25" hidden="false" customHeight="false" outlineLevel="0" collapsed="false">
      <c r="A70" s="77" t="s">
        <v>42</v>
      </c>
      <c r="B70" s="77" t="s">
        <v>4366</v>
      </c>
      <c r="C70" s="113" t="s">
        <v>4495</v>
      </c>
      <c r="D70" s="171" t="s">
        <v>4496</v>
      </c>
      <c r="E70" s="77" t="s">
        <v>4497</v>
      </c>
      <c r="F70" s="77" t="n">
        <v>1617.3</v>
      </c>
      <c r="G70" s="77" t="n">
        <v>583</v>
      </c>
      <c r="H70" s="77" t="n">
        <v>3439</v>
      </c>
      <c r="I70" s="77" t="n">
        <v>1785</v>
      </c>
      <c r="J70" s="77" t="n">
        <v>1654</v>
      </c>
      <c r="K70" s="77" t="n">
        <v>1419</v>
      </c>
      <c r="L70" s="19" t="n">
        <f aca="false">(K70/H70)*100</f>
        <v>41.2619947659203</v>
      </c>
      <c r="M70" s="77" t="n">
        <v>6</v>
      </c>
      <c r="N70" s="19" t="n">
        <f aca="false">(M70/H70)*100</f>
        <v>0.174469322477464</v>
      </c>
      <c r="O70" s="77" t="n">
        <v>127</v>
      </c>
      <c r="P70" s="77" t="n">
        <v>0</v>
      </c>
      <c r="Q70" s="386" t="s">
        <v>49</v>
      </c>
      <c r="R70" s="405" t="n">
        <v>44836</v>
      </c>
      <c r="S70" s="77"/>
      <c r="T70" s="386" t="n">
        <v>124.77</v>
      </c>
      <c r="U70" s="386"/>
      <c r="V70" s="77"/>
      <c r="W70" s="77"/>
      <c r="X70" s="77"/>
      <c r="Y70" s="77"/>
      <c r="Z70" s="77"/>
      <c r="AA70" s="385" t="s">
        <v>50</v>
      </c>
      <c r="AB70" s="409" t="n">
        <v>15</v>
      </c>
      <c r="AC70" s="417" t="s">
        <v>4498</v>
      </c>
      <c r="AD70" s="386"/>
      <c r="AE70" s="386"/>
    </row>
    <row r="71" customFormat="false" ht="18.75" hidden="false" customHeight="false" outlineLevel="0" collapsed="false">
      <c r="A71" s="77"/>
      <c r="B71" s="77"/>
      <c r="C71" s="113"/>
      <c r="D71" s="171"/>
      <c r="E71" s="77"/>
      <c r="F71" s="77"/>
      <c r="G71" s="77"/>
      <c r="H71" s="77"/>
      <c r="I71" s="77"/>
      <c r="J71" s="77"/>
      <c r="K71" s="77"/>
      <c r="L71" s="19"/>
      <c r="M71" s="77"/>
      <c r="N71" s="19"/>
      <c r="O71" s="77"/>
      <c r="P71" s="113"/>
      <c r="Q71" s="528"/>
      <c r="R71" s="529"/>
      <c r="S71" s="113"/>
      <c r="T71" s="528"/>
      <c r="U71" s="528"/>
      <c r="V71" s="113"/>
      <c r="W71" s="77"/>
      <c r="X71" s="77"/>
      <c r="Y71" s="77"/>
      <c r="Z71" s="77"/>
      <c r="AA71" s="185" t="s">
        <v>50</v>
      </c>
      <c r="AB71" s="186" t="n">
        <v>15</v>
      </c>
      <c r="AC71" s="187" t="s">
        <v>4499</v>
      </c>
      <c r="AD71" s="188"/>
      <c r="AE71" s="188"/>
    </row>
    <row r="72" customFormat="false" ht="18.75" hidden="false" customHeight="false" outlineLevel="0" collapsed="false">
      <c r="A72" s="77"/>
      <c r="B72" s="77"/>
      <c r="C72" s="113"/>
      <c r="D72" s="171"/>
      <c r="E72" s="77"/>
      <c r="F72" s="77"/>
      <c r="G72" s="77"/>
      <c r="H72" s="77"/>
      <c r="I72" s="77"/>
      <c r="J72" s="77"/>
      <c r="K72" s="77"/>
      <c r="L72" s="19"/>
      <c r="M72" s="77"/>
      <c r="N72" s="19"/>
      <c r="O72" s="77"/>
      <c r="P72" s="113"/>
      <c r="Q72" s="528"/>
      <c r="R72" s="529"/>
      <c r="S72" s="113"/>
      <c r="T72" s="528"/>
      <c r="U72" s="528"/>
      <c r="V72" s="113"/>
      <c r="W72" s="77"/>
      <c r="X72" s="77"/>
      <c r="Y72" s="77"/>
      <c r="Z72" s="77"/>
      <c r="AA72" s="185" t="s">
        <v>50</v>
      </c>
      <c r="AB72" s="186" t="n">
        <v>10</v>
      </c>
      <c r="AC72" s="187" t="s">
        <v>4500</v>
      </c>
      <c r="AD72" s="188"/>
      <c r="AE72" s="188"/>
    </row>
    <row r="73" customFormat="false" ht="15.75" hidden="false" customHeight="false" outlineLevel="0" collapsed="false">
      <c r="A73" s="77" t="s">
        <v>42</v>
      </c>
      <c r="B73" s="77" t="s">
        <v>4366</v>
      </c>
      <c r="C73" s="113" t="s">
        <v>4501</v>
      </c>
      <c r="D73" s="171" t="s">
        <v>4502</v>
      </c>
      <c r="E73" s="77" t="s">
        <v>4503</v>
      </c>
      <c r="F73" s="77" t="n">
        <v>3760.05</v>
      </c>
      <c r="G73" s="77" t="n">
        <v>810</v>
      </c>
      <c r="H73" s="77" t="n">
        <v>4863</v>
      </c>
      <c r="I73" s="77" t="n">
        <v>2510</v>
      </c>
      <c r="J73" s="77" t="n">
        <v>2353</v>
      </c>
      <c r="K73" s="77" t="n">
        <v>1810</v>
      </c>
      <c r="L73" s="19" t="n">
        <f aca="false">(K73/H73)*100</f>
        <v>37.2198231544314</v>
      </c>
      <c r="M73" s="77" t="n">
        <v>31</v>
      </c>
      <c r="N73" s="19" t="n">
        <f aca="false">(M73/H73)*100</f>
        <v>0.637466584412914</v>
      </c>
      <c r="O73" s="77" t="n">
        <v>120</v>
      </c>
      <c r="P73" s="77" t="n">
        <v>0</v>
      </c>
      <c r="Q73" s="349" t="s">
        <v>4293</v>
      </c>
      <c r="R73" s="349"/>
      <c r="S73" s="77"/>
      <c r="T73" s="349"/>
      <c r="U73" s="349"/>
      <c r="V73" s="77"/>
      <c r="W73" s="77"/>
      <c r="X73" s="77"/>
      <c r="Y73" s="77"/>
      <c r="Z73" s="77"/>
      <c r="AA73" s="349"/>
      <c r="AB73" s="202"/>
      <c r="AC73" s="489"/>
      <c r="AD73" s="349"/>
      <c r="AE73" s="349"/>
    </row>
    <row r="74" customFormat="false" ht="15.75" hidden="false" customHeight="false" outlineLevel="0" collapsed="false">
      <c r="A74" s="77" t="s">
        <v>42</v>
      </c>
      <c r="B74" s="77" t="s">
        <v>4366</v>
      </c>
      <c r="C74" s="113" t="s">
        <v>4501</v>
      </c>
      <c r="D74" s="77" t="s">
        <v>474</v>
      </c>
      <c r="E74" s="77" t="n">
        <v>811300569084730</v>
      </c>
      <c r="F74" s="77" t="n">
        <v>825.07</v>
      </c>
      <c r="G74" s="77" t="n">
        <v>112</v>
      </c>
      <c r="H74" s="77" t="n">
        <v>650</v>
      </c>
      <c r="I74" s="77" t="n">
        <v>335</v>
      </c>
      <c r="J74" s="77" t="n">
        <v>315</v>
      </c>
      <c r="K74" s="77" t="n">
        <v>272</v>
      </c>
      <c r="L74" s="19" t="n">
        <f aca="false">(K74/H74)*100</f>
        <v>41.8461538461539</v>
      </c>
      <c r="M74" s="77" t="n">
        <v>0</v>
      </c>
      <c r="N74" s="19" t="n">
        <f aca="false">(M74/H74)*100</f>
        <v>0</v>
      </c>
      <c r="O74" s="77" t="n">
        <v>10</v>
      </c>
      <c r="P74" s="77" t="n">
        <v>0</v>
      </c>
      <c r="Q74" s="349" t="s">
        <v>4293</v>
      </c>
      <c r="R74" s="349"/>
      <c r="S74" s="77"/>
      <c r="T74" s="349"/>
      <c r="U74" s="349"/>
      <c r="V74" s="77"/>
      <c r="W74" s="77"/>
      <c r="X74" s="77"/>
      <c r="Y74" s="77"/>
      <c r="Z74" s="77"/>
      <c r="AA74" s="349"/>
      <c r="AB74" s="202"/>
      <c r="AC74" s="489"/>
      <c r="AD74" s="349"/>
      <c r="AE74" s="349"/>
    </row>
    <row r="75" customFormat="false" ht="15.75" hidden="false" customHeight="false" outlineLevel="0" collapsed="false">
      <c r="A75" s="77" t="s">
        <v>42</v>
      </c>
      <c r="B75" s="77" t="s">
        <v>4366</v>
      </c>
      <c r="C75" s="113" t="s">
        <v>4501</v>
      </c>
      <c r="D75" s="77" t="s">
        <v>4504</v>
      </c>
      <c r="E75" s="77" t="s">
        <v>4505</v>
      </c>
      <c r="F75" s="77" t="n">
        <v>1798.95</v>
      </c>
      <c r="G75" s="77" t="n">
        <v>120</v>
      </c>
      <c r="H75" s="77" t="n">
        <v>753</v>
      </c>
      <c r="I75" s="77" t="n">
        <v>399</v>
      </c>
      <c r="J75" s="77" t="n">
        <v>354</v>
      </c>
      <c r="K75" s="77" t="n">
        <v>216</v>
      </c>
      <c r="L75" s="19" t="n">
        <f aca="false">(K75/H75)*100</f>
        <v>28.6852589641434</v>
      </c>
      <c r="M75" s="77" t="n">
        <v>0</v>
      </c>
      <c r="N75" s="19" t="n">
        <f aca="false">(M75/H75)*100</f>
        <v>0</v>
      </c>
      <c r="O75" s="77" t="n">
        <v>8.05</v>
      </c>
      <c r="P75" s="77" t="n">
        <v>0</v>
      </c>
      <c r="Q75" s="349" t="s">
        <v>4293</v>
      </c>
      <c r="R75" s="349"/>
      <c r="S75" s="77"/>
      <c r="T75" s="349"/>
      <c r="U75" s="349"/>
      <c r="V75" s="77"/>
      <c r="W75" s="77"/>
      <c r="X75" s="77"/>
      <c r="Y75" s="77"/>
      <c r="Z75" s="77"/>
      <c r="AA75" s="349"/>
      <c r="AB75" s="202"/>
      <c r="AC75" s="489"/>
      <c r="AD75" s="349"/>
      <c r="AE75" s="349"/>
    </row>
    <row r="76" customFormat="false" ht="15.75" hidden="false" customHeight="false" outlineLevel="0" collapsed="false">
      <c r="A76" s="77" t="s">
        <v>42</v>
      </c>
      <c r="B76" s="77" t="s">
        <v>4366</v>
      </c>
      <c r="C76" s="113" t="s">
        <v>4501</v>
      </c>
      <c r="D76" s="77" t="s">
        <v>4506</v>
      </c>
      <c r="E76" s="77" t="s">
        <v>4507</v>
      </c>
      <c r="F76" s="77" t="n">
        <v>1386.93</v>
      </c>
      <c r="G76" s="77" t="n">
        <v>209</v>
      </c>
      <c r="H76" s="77" t="n">
        <v>1261</v>
      </c>
      <c r="I76" s="77" t="n">
        <v>659</v>
      </c>
      <c r="J76" s="77" t="n">
        <v>602</v>
      </c>
      <c r="K76" s="77" t="n">
        <v>353</v>
      </c>
      <c r="L76" s="19" t="n">
        <f aca="false">(K76/H76)*100</f>
        <v>27.9936558287074</v>
      </c>
      <c r="M76" s="77" t="n">
        <v>0</v>
      </c>
      <c r="N76" s="19" t="n">
        <f aca="false">(M76/H76)*100</f>
        <v>0</v>
      </c>
      <c r="O76" s="77" t="n">
        <v>14</v>
      </c>
      <c r="P76" s="77" t="n">
        <v>0</v>
      </c>
      <c r="Q76" s="349" t="s">
        <v>4293</v>
      </c>
      <c r="R76" s="349"/>
      <c r="S76" s="77"/>
      <c r="T76" s="349"/>
      <c r="U76" s="349"/>
      <c r="V76" s="77"/>
      <c r="W76" s="77"/>
      <c r="X76" s="77"/>
      <c r="Y76" s="77"/>
      <c r="Z76" s="77"/>
      <c r="AA76" s="349"/>
      <c r="AB76" s="202"/>
      <c r="AC76" s="489"/>
      <c r="AD76" s="349"/>
      <c r="AE76" s="349"/>
    </row>
    <row r="77" customFormat="false" ht="15.75" hidden="false" customHeight="false" outlineLevel="0" collapsed="false">
      <c r="A77" s="77" t="s">
        <v>42</v>
      </c>
      <c r="B77" s="77" t="s">
        <v>4366</v>
      </c>
      <c r="C77" s="113" t="s">
        <v>4508</v>
      </c>
      <c r="D77" s="171" t="s">
        <v>4509</v>
      </c>
      <c r="E77" s="77" t="s">
        <v>4510</v>
      </c>
      <c r="F77" s="77" t="n">
        <v>1671</v>
      </c>
      <c r="G77" s="77" t="n">
        <v>376</v>
      </c>
      <c r="H77" s="77" t="n">
        <v>2264</v>
      </c>
      <c r="I77" s="77" t="n">
        <v>1192</v>
      </c>
      <c r="J77" s="77" t="n">
        <v>1072</v>
      </c>
      <c r="K77" s="77" t="n">
        <v>342</v>
      </c>
      <c r="L77" s="19" t="n">
        <f aca="false">(K77/H77)*100</f>
        <v>15.1060070671378</v>
      </c>
      <c r="M77" s="77" t="n">
        <v>0</v>
      </c>
      <c r="N77" s="19" t="n">
        <f aca="false">(M77/H77)*100</f>
        <v>0</v>
      </c>
      <c r="O77" s="77" t="n">
        <v>49</v>
      </c>
      <c r="P77" s="77" t="n">
        <v>0</v>
      </c>
      <c r="Q77" s="349" t="s">
        <v>4293</v>
      </c>
      <c r="R77" s="349"/>
      <c r="S77" s="77"/>
      <c r="T77" s="349"/>
      <c r="U77" s="349"/>
      <c r="V77" s="77"/>
      <c r="W77" s="77"/>
      <c r="X77" s="77"/>
      <c r="Y77" s="77"/>
      <c r="Z77" s="77"/>
      <c r="AA77" s="349"/>
      <c r="AB77" s="202"/>
      <c r="AC77" s="489"/>
      <c r="AD77" s="349"/>
      <c r="AE77" s="349"/>
    </row>
    <row r="78" customFormat="false" ht="15.75" hidden="false" customHeight="false" outlineLevel="0" collapsed="false">
      <c r="A78" s="77" t="s">
        <v>42</v>
      </c>
      <c r="B78" s="77" t="s">
        <v>4366</v>
      </c>
      <c r="C78" s="113" t="s">
        <v>4508</v>
      </c>
      <c r="D78" s="77" t="s">
        <v>4511</v>
      </c>
      <c r="E78" s="77" t="s">
        <v>4512</v>
      </c>
      <c r="F78" s="77" t="n">
        <v>502.3</v>
      </c>
      <c r="G78" s="77" t="n">
        <v>164</v>
      </c>
      <c r="H78" s="77" t="n">
        <v>974</v>
      </c>
      <c r="I78" s="77" t="n">
        <v>490</v>
      </c>
      <c r="J78" s="77" t="n">
        <v>484</v>
      </c>
      <c r="K78" s="77" t="n">
        <v>228</v>
      </c>
      <c r="L78" s="19" t="n">
        <f aca="false">(K78/H78)*100</f>
        <v>23.4086242299795</v>
      </c>
      <c r="M78" s="77" t="n">
        <v>0</v>
      </c>
      <c r="N78" s="19" t="n">
        <f aca="false">(M78/H78)*100</f>
        <v>0</v>
      </c>
      <c r="O78" s="77" t="n">
        <v>15</v>
      </c>
      <c r="P78" s="77" t="n">
        <v>0</v>
      </c>
      <c r="Q78" s="349" t="s">
        <v>4293</v>
      </c>
      <c r="R78" s="349"/>
      <c r="S78" s="77"/>
      <c r="T78" s="349"/>
      <c r="U78" s="349"/>
      <c r="V78" s="77"/>
      <c r="W78" s="77"/>
      <c r="X78" s="77"/>
      <c r="Y78" s="77"/>
      <c r="Z78" s="77"/>
      <c r="AA78" s="349"/>
      <c r="AB78" s="202"/>
      <c r="AC78" s="489"/>
      <c r="AD78" s="349"/>
      <c r="AE78" s="349"/>
    </row>
    <row r="79" customFormat="false" ht="15.75" hidden="false" customHeight="false" outlineLevel="0" collapsed="false">
      <c r="A79" s="77" t="s">
        <v>42</v>
      </c>
      <c r="B79" s="77" t="s">
        <v>4366</v>
      </c>
      <c r="C79" s="113" t="s">
        <v>4508</v>
      </c>
      <c r="D79" s="77" t="s">
        <v>4513</v>
      </c>
      <c r="E79" s="77" t="s">
        <v>4514</v>
      </c>
      <c r="F79" s="77" t="n">
        <v>171.4</v>
      </c>
      <c r="G79" s="77" t="n">
        <v>80</v>
      </c>
      <c r="H79" s="77" t="n">
        <v>591</v>
      </c>
      <c r="I79" s="77" t="n">
        <v>294</v>
      </c>
      <c r="J79" s="77" t="n">
        <v>297</v>
      </c>
      <c r="K79" s="77" t="n">
        <v>0</v>
      </c>
      <c r="L79" s="19" t="n">
        <f aca="false">(K79/H79)*100</f>
        <v>0</v>
      </c>
      <c r="M79" s="77" t="n">
        <v>0</v>
      </c>
      <c r="N79" s="19" t="n">
        <f aca="false">(M79/H79)*100</f>
        <v>0</v>
      </c>
      <c r="O79" s="77" t="n">
        <v>17</v>
      </c>
      <c r="P79" s="77" t="n">
        <v>0</v>
      </c>
      <c r="Q79" s="349" t="s">
        <v>4293</v>
      </c>
      <c r="R79" s="349"/>
      <c r="S79" s="77"/>
      <c r="T79" s="349"/>
      <c r="U79" s="349"/>
      <c r="V79" s="77"/>
      <c r="W79" s="77"/>
      <c r="X79" s="77"/>
      <c r="Y79" s="77"/>
      <c r="Z79" s="77"/>
      <c r="AA79" s="349"/>
      <c r="AB79" s="202"/>
      <c r="AC79" s="489"/>
      <c r="AD79" s="349"/>
      <c r="AE79" s="349"/>
    </row>
    <row r="80" customFormat="false" ht="15.75" hidden="false" customHeight="false" outlineLevel="0" collapsed="false">
      <c r="A80" s="77" t="s">
        <v>42</v>
      </c>
      <c r="B80" s="77" t="s">
        <v>4366</v>
      </c>
      <c r="C80" s="113" t="s">
        <v>4515</v>
      </c>
      <c r="D80" s="171" t="s">
        <v>4515</v>
      </c>
      <c r="E80" s="77" t="s">
        <v>4516</v>
      </c>
      <c r="F80" s="77" t="n">
        <v>2477</v>
      </c>
      <c r="G80" s="77" t="n">
        <v>619</v>
      </c>
      <c r="H80" s="77" t="n">
        <v>3404</v>
      </c>
      <c r="I80" s="77" t="n">
        <v>1775</v>
      </c>
      <c r="J80" s="77" t="n">
        <v>1629</v>
      </c>
      <c r="K80" s="77" t="n">
        <v>674</v>
      </c>
      <c r="L80" s="19" t="n">
        <f aca="false">(K80/H80)*100</f>
        <v>19.8002350176263</v>
      </c>
      <c r="M80" s="77" t="n">
        <v>12</v>
      </c>
      <c r="N80" s="19" t="n">
        <f aca="false">(M80/H80)*100</f>
        <v>0.352526439482961</v>
      </c>
      <c r="O80" s="77" t="n">
        <v>95.2</v>
      </c>
      <c r="P80" s="77" t="n">
        <v>0</v>
      </c>
      <c r="Q80" s="349" t="s">
        <v>49</v>
      </c>
      <c r="R80" s="350" t="n">
        <v>45317</v>
      </c>
      <c r="S80" s="77"/>
      <c r="T80" s="349" t="n">
        <v>107.0146</v>
      </c>
      <c r="U80" s="349"/>
      <c r="V80" s="77"/>
      <c r="W80" s="77"/>
      <c r="X80" s="77"/>
      <c r="Y80" s="77"/>
      <c r="Z80" s="77"/>
      <c r="AA80" s="202" t="s">
        <v>50</v>
      </c>
      <c r="AB80" s="202" t="n">
        <v>12</v>
      </c>
      <c r="AC80" s="543" t="s">
        <v>4517</v>
      </c>
      <c r="AD80" s="349"/>
      <c r="AE80" s="349"/>
    </row>
    <row r="81" customFormat="false" ht="15.75" hidden="false" customHeight="false" outlineLevel="0" collapsed="false">
      <c r="A81" s="77"/>
      <c r="B81" s="77"/>
      <c r="C81" s="113"/>
      <c r="D81" s="171"/>
      <c r="E81" s="77"/>
      <c r="F81" s="77"/>
      <c r="G81" s="77"/>
      <c r="H81" s="77"/>
      <c r="I81" s="77"/>
      <c r="J81" s="77"/>
      <c r="K81" s="77"/>
      <c r="L81" s="19"/>
      <c r="M81" s="77"/>
      <c r="N81" s="19"/>
      <c r="O81" s="77"/>
      <c r="P81" s="77"/>
      <c r="Q81" s="487"/>
      <c r="R81" s="487"/>
      <c r="S81" s="77"/>
      <c r="T81" s="487"/>
      <c r="U81" s="487"/>
      <c r="V81" s="77"/>
      <c r="W81" s="77"/>
      <c r="X81" s="77"/>
      <c r="Y81" s="77"/>
      <c r="Z81" s="77"/>
      <c r="AA81" s="486" t="s">
        <v>50</v>
      </c>
      <c r="AB81" s="486" t="n">
        <v>15</v>
      </c>
      <c r="AC81" s="541" t="s">
        <v>4518</v>
      </c>
      <c r="AD81" s="487"/>
      <c r="AE81" s="487"/>
    </row>
    <row r="82" customFormat="false" ht="15.75" hidden="false" customHeight="false" outlineLevel="0" collapsed="false">
      <c r="A82" s="77"/>
      <c r="B82" s="77"/>
      <c r="C82" s="113"/>
      <c r="D82" s="171"/>
      <c r="E82" s="77"/>
      <c r="F82" s="77"/>
      <c r="G82" s="77"/>
      <c r="H82" s="77"/>
      <c r="I82" s="77"/>
      <c r="J82" s="77"/>
      <c r="K82" s="77"/>
      <c r="L82" s="19"/>
      <c r="M82" s="77"/>
      <c r="N82" s="19"/>
      <c r="O82" s="77"/>
      <c r="P82" s="77"/>
      <c r="Q82" s="487"/>
      <c r="R82" s="487"/>
      <c r="S82" s="77"/>
      <c r="T82" s="487"/>
      <c r="U82" s="487"/>
      <c r="V82" s="77"/>
      <c r="W82" s="77"/>
      <c r="X82" s="77"/>
      <c r="Y82" s="77"/>
      <c r="Z82" s="77"/>
      <c r="AA82" s="486" t="s">
        <v>50</v>
      </c>
      <c r="AB82" s="486" t="n">
        <v>15</v>
      </c>
      <c r="AC82" s="541" t="s">
        <v>4519</v>
      </c>
      <c r="AD82" s="487"/>
      <c r="AE82" s="487"/>
    </row>
    <row r="83" customFormat="false" ht="15.75" hidden="false" customHeight="false" outlineLevel="0" collapsed="false">
      <c r="A83" s="77" t="s">
        <v>42</v>
      </c>
      <c r="B83" s="77" t="s">
        <v>4366</v>
      </c>
      <c r="C83" s="113" t="s">
        <v>4515</v>
      </c>
      <c r="D83" s="77" t="s">
        <v>3534</v>
      </c>
      <c r="E83" s="77" t="s">
        <v>4520</v>
      </c>
      <c r="F83" s="77" t="n">
        <v>594</v>
      </c>
      <c r="G83" s="77" t="n">
        <v>91</v>
      </c>
      <c r="H83" s="77" t="n">
        <v>520</v>
      </c>
      <c r="I83" s="77" t="n">
        <v>266</v>
      </c>
      <c r="J83" s="77" t="n">
        <v>254</v>
      </c>
      <c r="K83" s="77" t="n">
        <v>0</v>
      </c>
      <c r="L83" s="19" t="n">
        <f aca="false">(K83/H83)*100</f>
        <v>0</v>
      </c>
      <c r="M83" s="77" t="n">
        <v>0</v>
      </c>
      <c r="N83" s="19" t="n">
        <f aca="false">(M83/H83)*100</f>
        <v>0</v>
      </c>
      <c r="O83" s="77" t="n">
        <v>23.8</v>
      </c>
      <c r="P83" s="77" t="n">
        <v>0</v>
      </c>
      <c r="Q83" s="349" t="s">
        <v>49</v>
      </c>
      <c r="R83" s="350" t="n">
        <v>45317</v>
      </c>
      <c r="S83" s="77"/>
      <c r="T83" s="349" t="n">
        <v>9.5462</v>
      </c>
      <c r="U83" s="349"/>
      <c r="V83" s="77"/>
      <c r="W83" s="77"/>
      <c r="X83" s="77"/>
      <c r="Y83" s="77"/>
      <c r="Z83" s="77"/>
      <c r="AA83" s="202" t="s">
        <v>50</v>
      </c>
      <c r="AB83" s="202" t="n">
        <v>5</v>
      </c>
      <c r="AC83" s="543" t="s">
        <v>4521</v>
      </c>
      <c r="AD83" s="349"/>
      <c r="AE83" s="349"/>
    </row>
    <row r="84" customFormat="false" ht="15.75" hidden="false" customHeight="false" outlineLevel="0" collapsed="false">
      <c r="A84" s="77" t="s">
        <v>42</v>
      </c>
      <c r="B84" s="77" t="s">
        <v>4366</v>
      </c>
      <c r="C84" s="113" t="s">
        <v>4522</v>
      </c>
      <c r="D84" s="171" t="s">
        <v>4522</v>
      </c>
      <c r="E84" s="77" t="s">
        <v>4523</v>
      </c>
      <c r="F84" s="77" t="n">
        <v>2443.07</v>
      </c>
      <c r="G84" s="77" t="n">
        <v>566</v>
      </c>
      <c r="H84" s="77" t="n">
        <v>2942</v>
      </c>
      <c r="I84" s="77" t="n">
        <v>1561</v>
      </c>
      <c r="J84" s="77" t="n">
        <v>1381</v>
      </c>
      <c r="K84" s="77" t="n">
        <v>107</v>
      </c>
      <c r="L84" s="19" t="n">
        <f aca="false">(K84/H84)*100</f>
        <v>3.63698164513936</v>
      </c>
      <c r="M84" s="77" t="n">
        <v>0</v>
      </c>
      <c r="N84" s="19" t="n">
        <f aca="false">(M84/H84)*100</f>
        <v>0</v>
      </c>
      <c r="O84" s="77" t="n">
        <v>38.01</v>
      </c>
      <c r="P84" s="77" t="n">
        <v>0</v>
      </c>
      <c r="Q84" s="349" t="s">
        <v>4293</v>
      </c>
      <c r="R84" s="349"/>
      <c r="S84" s="77"/>
      <c r="T84" s="349"/>
      <c r="U84" s="349"/>
      <c r="V84" s="77"/>
      <c r="W84" s="77"/>
      <c r="X84" s="77"/>
      <c r="Y84" s="77"/>
      <c r="Z84" s="77"/>
      <c r="AA84" s="349"/>
      <c r="AB84" s="202"/>
      <c r="AC84" s="489"/>
      <c r="AD84" s="349"/>
      <c r="AE84" s="349"/>
    </row>
    <row r="85" customFormat="false" ht="15.75" hidden="false" customHeight="false" outlineLevel="0" collapsed="false">
      <c r="A85" s="77" t="s">
        <v>42</v>
      </c>
      <c r="B85" s="77" t="s">
        <v>4366</v>
      </c>
      <c r="C85" s="113" t="s">
        <v>4522</v>
      </c>
      <c r="D85" s="77" t="s">
        <v>1139</v>
      </c>
      <c r="E85" s="77" t="s">
        <v>4524</v>
      </c>
      <c r="F85" s="77" t="n">
        <v>1384.04</v>
      </c>
      <c r="G85" s="77" t="n">
        <v>216</v>
      </c>
      <c r="H85" s="77" t="n">
        <v>1096</v>
      </c>
      <c r="I85" s="77" t="n">
        <v>585</v>
      </c>
      <c r="J85" s="77" t="n">
        <v>511</v>
      </c>
      <c r="K85" s="77" t="n">
        <v>19</v>
      </c>
      <c r="L85" s="19" t="n">
        <f aca="false">(K85/H85)*100</f>
        <v>1.73357664233577</v>
      </c>
      <c r="M85" s="77" t="n">
        <v>34</v>
      </c>
      <c r="N85" s="19" t="n">
        <f aca="false">(M85/H85)*100</f>
        <v>3.1021897810219</v>
      </c>
      <c r="O85" s="77" t="n">
        <v>49.98</v>
      </c>
      <c r="P85" s="77" t="n">
        <v>0</v>
      </c>
      <c r="Q85" s="349" t="s">
        <v>4293</v>
      </c>
      <c r="R85" s="349"/>
      <c r="S85" s="77"/>
      <c r="T85" s="349"/>
      <c r="U85" s="349"/>
      <c r="V85" s="77"/>
      <c r="W85" s="77"/>
      <c r="X85" s="77"/>
      <c r="Y85" s="77"/>
      <c r="Z85" s="77"/>
      <c r="AA85" s="349"/>
      <c r="AB85" s="202"/>
      <c r="AC85" s="489"/>
      <c r="AD85" s="349"/>
      <c r="AE85" s="349"/>
    </row>
    <row r="86" customFormat="false" ht="15.75" hidden="false" customHeight="false" outlineLevel="0" collapsed="false">
      <c r="A86" s="77" t="s">
        <v>42</v>
      </c>
      <c r="B86" s="77" t="s">
        <v>4366</v>
      </c>
      <c r="C86" s="113" t="s">
        <v>4525</v>
      </c>
      <c r="D86" s="171" t="s">
        <v>4525</v>
      </c>
      <c r="E86" s="77" t="s">
        <v>4526</v>
      </c>
      <c r="F86" s="77" t="n">
        <v>1643.46</v>
      </c>
      <c r="G86" s="77" t="n">
        <v>352</v>
      </c>
      <c r="H86" s="77" t="n">
        <v>2227</v>
      </c>
      <c r="I86" s="77" t="n">
        <v>1176</v>
      </c>
      <c r="J86" s="77" t="n">
        <v>1051</v>
      </c>
      <c r="K86" s="77" t="n">
        <v>270</v>
      </c>
      <c r="L86" s="19" t="n">
        <f aca="false">(K86/H86)*100</f>
        <v>12.1239335428828</v>
      </c>
      <c r="M86" s="77" t="n">
        <v>160</v>
      </c>
      <c r="N86" s="19" t="n">
        <f aca="false">(M86/H86)*100</f>
        <v>7.18455321059722</v>
      </c>
      <c r="O86" s="77" t="n">
        <v>40.02</v>
      </c>
      <c r="P86" s="77" t="n">
        <v>250.07</v>
      </c>
      <c r="Q86" s="349" t="s">
        <v>49</v>
      </c>
      <c r="R86" s="350" t="n">
        <v>44824</v>
      </c>
      <c r="S86" s="77"/>
      <c r="T86" s="349" t="n">
        <v>38.3466</v>
      </c>
      <c r="U86" s="349"/>
      <c r="V86" s="77"/>
      <c r="W86" s="77"/>
      <c r="X86" s="77"/>
      <c r="Y86" s="77"/>
      <c r="Z86" s="77"/>
      <c r="AA86" s="202" t="s">
        <v>50</v>
      </c>
      <c r="AB86" s="202" t="n">
        <v>12</v>
      </c>
      <c r="AC86" s="90" t="s">
        <v>4527</v>
      </c>
      <c r="AD86" s="349"/>
      <c r="AE86" s="349"/>
    </row>
    <row r="87" customFormat="false" ht="15.75" hidden="false" customHeight="false" outlineLevel="0" collapsed="false">
      <c r="A87" s="77"/>
      <c r="B87" s="77"/>
      <c r="C87" s="113"/>
      <c r="D87" s="171"/>
      <c r="E87" s="77"/>
      <c r="F87" s="77"/>
      <c r="G87" s="77"/>
      <c r="H87" s="77"/>
      <c r="I87" s="77"/>
      <c r="J87" s="77"/>
      <c r="K87" s="77"/>
      <c r="L87" s="19"/>
      <c r="M87" s="77"/>
      <c r="N87" s="19"/>
      <c r="O87" s="77"/>
      <c r="P87" s="77"/>
      <c r="Q87" s="487"/>
      <c r="R87" s="487"/>
      <c r="S87" s="77"/>
      <c r="T87" s="487"/>
      <c r="U87" s="487"/>
      <c r="V87" s="77"/>
      <c r="W87" s="77"/>
      <c r="X87" s="77"/>
      <c r="Y87" s="77"/>
      <c r="Z87" s="77"/>
      <c r="AA87" s="486" t="s">
        <v>50</v>
      </c>
      <c r="AB87" s="486" t="n">
        <v>12</v>
      </c>
      <c r="AC87" s="541" t="s">
        <v>4528</v>
      </c>
      <c r="AD87" s="487"/>
      <c r="AE87" s="487"/>
    </row>
    <row r="88" customFormat="false" ht="18.75" hidden="false" customHeight="false" outlineLevel="0" collapsed="false">
      <c r="A88" s="77" t="s">
        <v>42</v>
      </c>
      <c r="B88" s="77" t="s">
        <v>4366</v>
      </c>
      <c r="C88" s="113" t="s">
        <v>4529</v>
      </c>
      <c r="D88" s="171" t="s">
        <v>4530</v>
      </c>
      <c r="E88" s="77" t="s">
        <v>4531</v>
      </c>
      <c r="F88" s="77" t="n">
        <v>2993.44</v>
      </c>
      <c r="G88" s="77" t="n">
        <v>486</v>
      </c>
      <c r="H88" s="77" t="n">
        <v>2888</v>
      </c>
      <c r="I88" s="77" t="n">
        <v>1507</v>
      </c>
      <c r="J88" s="77" t="n">
        <v>1381</v>
      </c>
      <c r="K88" s="77" t="n">
        <v>648</v>
      </c>
      <c r="L88" s="19" t="n">
        <f aca="false">(K88/H88)*100</f>
        <v>22.4376731301939</v>
      </c>
      <c r="M88" s="77" t="n">
        <v>65</v>
      </c>
      <c r="N88" s="19" t="n">
        <f aca="false">(M88/H88)*100</f>
        <v>2.25069252077562</v>
      </c>
      <c r="O88" s="77" t="n">
        <v>187.91</v>
      </c>
      <c r="P88" s="77" t="n">
        <v>0</v>
      </c>
      <c r="Q88" s="386" t="s">
        <v>49</v>
      </c>
      <c r="R88" s="405" t="n">
        <v>44889</v>
      </c>
      <c r="S88" s="77"/>
      <c r="T88" s="386" t="n">
        <v>78.22</v>
      </c>
      <c r="U88" s="386"/>
      <c r="V88" s="77"/>
      <c r="W88" s="77"/>
      <c r="X88" s="77"/>
      <c r="Y88" s="77"/>
      <c r="Z88" s="77"/>
      <c r="AA88" s="385" t="s">
        <v>50</v>
      </c>
      <c r="AB88" s="409" t="n">
        <v>12</v>
      </c>
      <c r="AC88" s="417" t="s">
        <v>4532</v>
      </c>
      <c r="AD88" s="386"/>
      <c r="AE88" s="386"/>
    </row>
    <row r="89" customFormat="false" ht="18.75" hidden="false" customHeight="false" outlineLevel="0" collapsed="false">
      <c r="A89" s="77"/>
      <c r="B89" s="77"/>
      <c r="C89" s="113"/>
      <c r="D89" s="171"/>
      <c r="E89" s="77"/>
      <c r="F89" s="77"/>
      <c r="G89" s="77"/>
      <c r="H89" s="77"/>
      <c r="I89" s="77"/>
      <c r="J89" s="77"/>
      <c r="K89" s="77"/>
      <c r="L89" s="19"/>
      <c r="M89" s="77"/>
      <c r="N89" s="19"/>
      <c r="O89" s="77"/>
      <c r="P89" s="77"/>
      <c r="Q89" s="528"/>
      <c r="R89" s="529"/>
      <c r="S89" s="113"/>
      <c r="T89" s="528"/>
      <c r="U89" s="528"/>
      <c r="V89" s="77"/>
      <c r="W89" s="77"/>
      <c r="X89" s="77"/>
      <c r="Y89" s="77"/>
      <c r="Z89" s="77"/>
      <c r="AA89" s="185" t="s">
        <v>50</v>
      </c>
      <c r="AB89" s="186" t="n">
        <v>15</v>
      </c>
      <c r="AC89" s="187" t="s">
        <v>4533</v>
      </c>
      <c r="AD89" s="188"/>
      <c r="AE89" s="188"/>
    </row>
    <row r="90" customFormat="false" ht="18.75" hidden="false" customHeight="false" outlineLevel="0" collapsed="false">
      <c r="A90" s="77"/>
      <c r="B90" s="77"/>
      <c r="C90" s="113"/>
      <c r="D90" s="171"/>
      <c r="E90" s="77"/>
      <c r="F90" s="77"/>
      <c r="G90" s="77"/>
      <c r="H90" s="77"/>
      <c r="I90" s="77"/>
      <c r="J90" s="77"/>
      <c r="K90" s="77"/>
      <c r="L90" s="19"/>
      <c r="M90" s="77"/>
      <c r="N90" s="19"/>
      <c r="O90" s="77"/>
      <c r="P90" s="77"/>
      <c r="Q90" s="528"/>
      <c r="R90" s="529"/>
      <c r="S90" s="113"/>
      <c r="T90" s="528"/>
      <c r="U90" s="528"/>
      <c r="V90" s="77"/>
      <c r="W90" s="77"/>
      <c r="X90" s="77"/>
      <c r="Y90" s="77"/>
      <c r="Z90" s="77"/>
      <c r="AA90" s="185" t="s">
        <v>50</v>
      </c>
      <c r="AB90" s="186" t="n">
        <v>10</v>
      </c>
      <c r="AC90" s="187" t="s">
        <v>4534</v>
      </c>
      <c r="AD90" s="188"/>
      <c r="AE90" s="188"/>
    </row>
    <row r="91" customFormat="false" ht="18.75" hidden="false" customHeight="false" outlineLevel="0" collapsed="false">
      <c r="A91" s="77"/>
      <c r="B91" s="77"/>
      <c r="C91" s="113"/>
      <c r="D91" s="171"/>
      <c r="E91" s="77"/>
      <c r="F91" s="77"/>
      <c r="G91" s="77"/>
      <c r="H91" s="77"/>
      <c r="I91" s="77"/>
      <c r="J91" s="77"/>
      <c r="K91" s="77"/>
      <c r="L91" s="19"/>
      <c r="M91" s="77"/>
      <c r="N91" s="19"/>
      <c r="O91" s="77"/>
      <c r="P91" s="77"/>
      <c r="Q91" s="528"/>
      <c r="R91" s="529"/>
      <c r="S91" s="113"/>
      <c r="T91" s="528"/>
      <c r="U91" s="528"/>
      <c r="V91" s="77"/>
      <c r="W91" s="77"/>
      <c r="X91" s="77"/>
      <c r="Y91" s="77"/>
      <c r="Z91" s="77"/>
      <c r="AA91" s="185" t="s">
        <v>50</v>
      </c>
      <c r="AB91" s="186" t="n">
        <v>10</v>
      </c>
      <c r="AC91" s="187" t="s">
        <v>4535</v>
      </c>
      <c r="AD91" s="188"/>
      <c r="AE91" s="188"/>
    </row>
    <row r="92" customFormat="false" ht="18.75" hidden="false" customHeight="false" outlineLevel="0" collapsed="false">
      <c r="A92" s="77"/>
      <c r="B92" s="77"/>
      <c r="C92" s="113"/>
      <c r="D92" s="171"/>
      <c r="E92" s="77"/>
      <c r="F92" s="77"/>
      <c r="G92" s="77"/>
      <c r="H92" s="77"/>
      <c r="I92" s="77"/>
      <c r="J92" s="77"/>
      <c r="K92" s="77"/>
      <c r="L92" s="19"/>
      <c r="M92" s="77"/>
      <c r="N92" s="19"/>
      <c r="O92" s="77"/>
      <c r="P92" s="77"/>
      <c r="Q92" s="528"/>
      <c r="R92" s="529"/>
      <c r="S92" s="113"/>
      <c r="T92" s="528"/>
      <c r="U92" s="528"/>
      <c r="V92" s="77"/>
      <c r="W92" s="77"/>
      <c r="X92" s="77"/>
      <c r="Y92" s="77"/>
      <c r="Z92" s="77"/>
      <c r="AA92" s="185" t="s">
        <v>50</v>
      </c>
      <c r="AB92" s="186" t="n">
        <v>5</v>
      </c>
      <c r="AC92" s="187" t="s">
        <v>4536</v>
      </c>
      <c r="AD92" s="188"/>
      <c r="AE92" s="188"/>
    </row>
    <row r="93" customFormat="false" ht="37.5" hidden="false" customHeight="false" outlineLevel="0" collapsed="false">
      <c r="A93" s="77"/>
      <c r="B93" s="77"/>
      <c r="C93" s="113"/>
      <c r="D93" s="171"/>
      <c r="E93" s="77"/>
      <c r="F93" s="77"/>
      <c r="G93" s="77"/>
      <c r="H93" s="77"/>
      <c r="I93" s="77"/>
      <c r="J93" s="77"/>
      <c r="K93" s="77"/>
      <c r="L93" s="19"/>
      <c r="M93" s="77"/>
      <c r="N93" s="19"/>
      <c r="O93" s="77"/>
      <c r="P93" s="77"/>
      <c r="Q93" s="528"/>
      <c r="R93" s="529"/>
      <c r="S93" s="113"/>
      <c r="T93" s="528"/>
      <c r="U93" s="528"/>
      <c r="V93" s="77"/>
      <c r="W93" s="77"/>
      <c r="X93" s="77"/>
      <c r="Y93" s="77"/>
      <c r="Z93" s="77"/>
      <c r="AA93" s="185" t="s">
        <v>50</v>
      </c>
      <c r="AB93" s="186" t="n">
        <v>5</v>
      </c>
      <c r="AC93" s="187" t="s">
        <v>4537</v>
      </c>
      <c r="AD93" s="188"/>
      <c r="AE93" s="188"/>
    </row>
    <row r="94" customFormat="false" ht="15.75" hidden="false" customHeight="false" outlineLevel="0" collapsed="false">
      <c r="A94" s="77" t="s">
        <v>42</v>
      </c>
      <c r="B94" s="77" t="s">
        <v>4366</v>
      </c>
      <c r="C94" s="113" t="s">
        <v>4538</v>
      </c>
      <c r="D94" s="171" t="s">
        <v>4539</v>
      </c>
      <c r="E94" s="77" t="s">
        <v>4540</v>
      </c>
      <c r="F94" s="77" t="n">
        <v>2523.01</v>
      </c>
      <c r="G94" s="77" t="n">
        <v>442</v>
      </c>
      <c r="H94" s="77" t="n">
        <v>3050</v>
      </c>
      <c r="I94" s="77" t="n">
        <v>1566</v>
      </c>
      <c r="J94" s="77" t="n">
        <v>1484</v>
      </c>
      <c r="K94" s="77" t="n">
        <v>602</v>
      </c>
      <c r="L94" s="19" t="n">
        <f aca="false">(K94/H94)*100</f>
        <v>19.7377049180328</v>
      </c>
      <c r="M94" s="77" t="n">
        <v>22</v>
      </c>
      <c r="N94" s="19" t="n">
        <f aca="false">(M94/H94)*100</f>
        <v>0.721311475409836</v>
      </c>
      <c r="O94" s="77" t="n">
        <v>163.15</v>
      </c>
      <c r="P94" s="77" t="n">
        <v>0</v>
      </c>
      <c r="Q94" s="349" t="s">
        <v>4293</v>
      </c>
      <c r="R94" s="349"/>
      <c r="S94" s="77"/>
      <c r="T94" s="349"/>
      <c r="U94" s="349"/>
      <c r="V94" s="77"/>
      <c r="W94" s="77"/>
      <c r="X94" s="77"/>
      <c r="Y94" s="77"/>
      <c r="Z94" s="77"/>
      <c r="AA94" s="349"/>
      <c r="AB94" s="202"/>
      <c r="AC94" s="489"/>
      <c r="AD94" s="349"/>
      <c r="AE94" s="349"/>
    </row>
    <row r="95" customFormat="false" ht="15.75" hidden="false" customHeight="false" outlineLevel="0" collapsed="false">
      <c r="A95" s="77" t="s">
        <v>42</v>
      </c>
      <c r="B95" s="77" t="s">
        <v>4366</v>
      </c>
      <c r="C95" s="113" t="s">
        <v>4538</v>
      </c>
      <c r="D95" s="77" t="s">
        <v>4541</v>
      </c>
      <c r="E95" s="77" t="s">
        <v>4542</v>
      </c>
      <c r="F95" s="77" t="n">
        <v>1409.65</v>
      </c>
      <c r="G95" s="77" t="n">
        <v>233</v>
      </c>
      <c r="H95" s="77" t="n">
        <v>1392</v>
      </c>
      <c r="I95" s="77" t="n">
        <v>712</v>
      </c>
      <c r="J95" s="77" t="n">
        <v>680</v>
      </c>
      <c r="K95" s="77" t="n">
        <v>44</v>
      </c>
      <c r="L95" s="19" t="n">
        <f aca="false">(K95/H95)*100</f>
        <v>3.16091954022989</v>
      </c>
      <c r="M95" s="77" t="n">
        <v>0</v>
      </c>
      <c r="N95" s="19" t="n">
        <f aca="false">(M95/H95)*100</f>
        <v>0</v>
      </c>
      <c r="O95" s="77" t="n">
        <v>93.75</v>
      </c>
      <c r="P95" s="77" t="n">
        <v>0</v>
      </c>
      <c r="Q95" s="349" t="s">
        <v>4293</v>
      </c>
      <c r="R95" s="349"/>
      <c r="S95" s="77"/>
      <c r="T95" s="349"/>
      <c r="U95" s="349"/>
      <c r="V95" s="77"/>
      <c r="W95" s="77"/>
      <c r="X95" s="77"/>
      <c r="Y95" s="77"/>
      <c r="Z95" s="77"/>
      <c r="AA95" s="349"/>
      <c r="AB95" s="202"/>
      <c r="AC95" s="489"/>
      <c r="AD95" s="349"/>
      <c r="AE95" s="349"/>
    </row>
    <row r="96" customFormat="false" ht="37.5" hidden="false" customHeight="false" outlineLevel="0" collapsed="false">
      <c r="A96" s="77" t="s">
        <v>42</v>
      </c>
      <c r="B96" s="77" t="s">
        <v>4366</v>
      </c>
      <c r="C96" s="113" t="s">
        <v>4543</v>
      </c>
      <c r="D96" s="171" t="s">
        <v>4544</v>
      </c>
      <c r="E96" s="77" t="s">
        <v>4545</v>
      </c>
      <c r="F96" s="77" t="n">
        <v>4959.93</v>
      </c>
      <c r="G96" s="77" t="n">
        <v>641</v>
      </c>
      <c r="H96" s="77" t="n">
        <v>3787</v>
      </c>
      <c r="I96" s="77" t="n">
        <v>1924</v>
      </c>
      <c r="J96" s="77" t="n">
        <v>1863</v>
      </c>
      <c r="K96" s="77" t="n">
        <v>695</v>
      </c>
      <c r="L96" s="19" t="n">
        <f aca="false">(K96/H96)*100</f>
        <v>18.3522577237919</v>
      </c>
      <c r="M96" s="77" t="n">
        <v>134</v>
      </c>
      <c r="N96" s="19" t="n">
        <f aca="false">(M96/H96)*100</f>
        <v>3.53842091365197</v>
      </c>
      <c r="O96" s="77" t="n">
        <v>189.02</v>
      </c>
      <c r="P96" s="77" t="n">
        <v>0</v>
      </c>
      <c r="Q96" s="183" t="s">
        <v>49</v>
      </c>
      <c r="R96" s="179" t="n">
        <v>45646</v>
      </c>
      <c r="S96" s="77"/>
      <c r="T96" s="183" t="n">
        <v>0</v>
      </c>
      <c r="U96" s="183"/>
      <c r="V96" s="77"/>
      <c r="W96" s="77"/>
      <c r="X96" s="77"/>
      <c r="Y96" s="77"/>
      <c r="Z96" s="77"/>
      <c r="AA96" s="180" t="s">
        <v>50</v>
      </c>
      <c r="AB96" s="181" t="n">
        <v>5</v>
      </c>
      <c r="AC96" s="182" t="s">
        <v>4546</v>
      </c>
      <c r="AD96" s="183" t="n">
        <v>26.53</v>
      </c>
      <c r="AE96" s="183" t="n">
        <v>73.17</v>
      </c>
    </row>
    <row r="97" customFormat="false" ht="37.5" hidden="false" customHeight="false" outlineLevel="0" collapsed="false">
      <c r="A97" s="77"/>
      <c r="B97" s="77"/>
      <c r="C97" s="113"/>
      <c r="D97" s="171"/>
      <c r="E97" s="77"/>
      <c r="F97" s="77"/>
      <c r="G97" s="77"/>
      <c r="H97" s="77"/>
      <c r="I97" s="77"/>
      <c r="J97" s="77"/>
      <c r="K97" s="77"/>
      <c r="L97" s="19"/>
      <c r="M97" s="77"/>
      <c r="N97" s="19"/>
      <c r="O97" s="77"/>
      <c r="P97" s="77"/>
      <c r="Q97" s="528"/>
      <c r="R97" s="529"/>
      <c r="S97" s="113"/>
      <c r="T97" s="528"/>
      <c r="U97" s="528"/>
      <c r="V97" s="77"/>
      <c r="W97" s="77"/>
      <c r="X97" s="77"/>
      <c r="Y97" s="77"/>
      <c r="Z97" s="77"/>
      <c r="AA97" s="185" t="s">
        <v>50</v>
      </c>
      <c r="AB97" s="186" t="n">
        <v>6</v>
      </c>
      <c r="AC97" s="187" t="s">
        <v>4547</v>
      </c>
      <c r="AD97" s="188"/>
      <c r="AE97" s="188"/>
    </row>
    <row r="98" customFormat="false" ht="18.75" hidden="false" customHeight="false" outlineLevel="0" collapsed="false">
      <c r="A98" s="77"/>
      <c r="B98" s="77"/>
      <c r="C98" s="113"/>
      <c r="D98" s="171"/>
      <c r="E98" s="77"/>
      <c r="F98" s="77"/>
      <c r="G98" s="77"/>
      <c r="H98" s="77"/>
      <c r="I98" s="77"/>
      <c r="J98" s="77"/>
      <c r="K98" s="77"/>
      <c r="L98" s="19"/>
      <c r="M98" s="77"/>
      <c r="N98" s="19"/>
      <c r="O98" s="77"/>
      <c r="P98" s="77"/>
      <c r="Q98" s="528"/>
      <c r="R98" s="529"/>
      <c r="S98" s="113"/>
      <c r="T98" s="528"/>
      <c r="U98" s="528"/>
      <c r="V98" s="77"/>
      <c r="W98" s="77"/>
      <c r="X98" s="77"/>
      <c r="Y98" s="77"/>
      <c r="Z98" s="77"/>
      <c r="AA98" s="185" t="s">
        <v>50</v>
      </c>
      <c r="AB98" s="186" t="n">
        <v>10</v>
      </c>
      <c r="AC98" s="187" t="s">
        <v>4548</v>
      </c>
      <c r="AD98" s="188"/>
      <c r="AE98" s="188"/>
    </row>
    <row r="99" customFormat="false" ht="18.75" hidden="false" customHeight="false" outlineLevel="0" collapsed="false">
      <c r="A99" s="77"/>
      <c r="B99" s="77"/>
      <c r="C99" s="113"/>
      <c r="D99" s="171"/>
      <c r="E99" s="77"/>
      <c r="F99" s="77"/>
      <c r="G99" s="77"/>
      <c r="H99" s="77"/>
      <c r="I99" s="77"/>
      <c r="J99" s="77"/>
      <c r="K99" s="77"/>
      <c r="L99" s="19"/>
      <c r="M99" s="77"/>
      <c r="N99" s="19"/>
      <c r="O99" s="77"/>
      <c r="P99" s="77"/>
      <c r="Q99" s="528"/>
      <c r="R99" s="529"/>
      <c r="S99" s="113"/>
      <c r="T99" s="528"/>
      <c r="U99" s="528"/>
      <c r="V99" s="77"/>
      <c r="W99" s="77"/>
      <c r="X99" s="77"/>
      <c r="Y99" s="77"/>
      <c r="Z99" s="77"/>
      <c r="AA99" s="185" t="s">
        <v>50</v>
      </c>
      <c r="AB99" s="186" t="n">
        <v>9</v>
      </c>
      <c r="AC99" s="187" t="s">
        <v>4549</v>
      </c>
      <c r="AD99" s="188"/>
      <c r="AE99" s="188"/>
    </row>
    <row r="100" customFormat="false" ht="18.75" hidden="false" customHeight="false" outlineLevel="0" collapsed="false">
      <c r="A100" s="77" t="s">
        <v>42</v>
      </c>
      <c r="B100" s="77" t="s">
        <v>4366</v>
      </c>
      <c r="C100" s="113" t="s">
        <v>4543</v>
      </c>
      <c r="D100" s="77" t="s">
        <v>4550</v>
      </c>
      <c r="E100" s="77" t="s">
        <v>4551</v>
      </c>
      <c r="F100" s="77" t="n">
        <v>1283.07</v>
      </c>
      <c r="G100" s="77" t="n">
        <v>85</v>
      </c>
      <c r="H100" s="77" t="n">
        <v>500</v>
      </c>
      <c r="I100" s="77" t="n">
        <v>258</v>
      </c>
      <c r="J100" s="77" t="n">
        <v>242</v>
      </c>
      <c r="K100" s="77" t="n">
        <v>5</v>
      </c>
      <c r="L100" s="19" t="n">
        <f aca="false">(K100/H100)*100</f>
        <v>1</v>
      </c>
      <c r="M100" s="77" t="n">
        <v>0</v>
      </c>
      <c r="N100" s="19" t="n">
        <f aca="false">(M100/H100)*100</f>
        <v>0</v>
      </c>
      <c r="O100" s="77" t="n">
        <v>0</v>
      </c>
      <c r="P100" s="77" t="n">
        <v>0</v>
      </c>
      <c r="Q100" s="183" t="s">
        <v>49</v>
      </c>
      <c r="R100" s="179" t="n">
        <v>45646</v>
      </c>
      <c r="S100" s="77"/>
      <c r="T100" s="183" t="n">
        <v>0</v>
      </c>
      <c r="U100" s="183"/>
      <c r="V100" s="77"/>
      <c r="W100" s="77"/>
      <c r="X100" s="77"/>
      <c r="Y100" s="77"/>
      <c r="Z100" s="77"/>
      <c r="AA100" s="180" t="s">
        <v>4460</v>
      </c>
      <c r="AB100" s="181" t="n">
        <v>0</v>
      </c>
      <c r="AC100" s="382"/>
      <c r="AD100" s="183"/>
      <c r="AE100" s="183"/>
    </row>
    <row r="101" customFormat="false" ht="37.5" hidden="false" customHeight="false" outlineLevel="0" collapsed="false">
      <c r="A101" s="77" t="s">
        <v>42</v>
      </c>
      <c r="B101" s="77" t="s">
        <v>4366</v>
      </c>
      <c r="C101" s="113" t="s">
        <v>4552</v>
      </c>
      <c r="D101" s="171" t="s">
        <v>4552</v>
      </c>
      <c r="E101" s="77" t="s">
        <v>4553</v>
      </c>
      <c r="F101" s="77" t="n">
        <v>864.23</v>
      </c>
      <c r="G101" s="77" t="n">
        <v>223</v>
      </c>
      <c r="H101" s="77" t="n">
        <v>1166</v>
      </c>
      <c r="I101" s="77" t="n">
        <v>591</v>
      </c>
      <c r="J101" s="77" t="n">
        <v>575</v>
      </c>
      <c r="K101" s="77" t="n">
        <v>79</v>
      </c>
      <c r="L101" s="19" t="n">
        <f aca="false">(K101/H101)*100</f>
        <v>6.77530017152659</v>
      </c>
      <c r="M101" s="77" t="n">
        <v>0</v>
      </c>
      <c r="N101" s="19" t="n">
        <f aca="false">(M101/H101)*100</f>
        <v>0</v>
      </c>
      <c r="O101" s="77" t="n">
        <v>66.23</v>
      </c>
      <c r="P101" s="77" t="n">
        <v>0</v>
      </c>
      <c r="Q101" s="386" t="s">
        <v>49</v>
      </c>
      <c r="R101" s="405" t="n">
        <v>44836</v>
      </c>
      <c r="S101" s="77"/>
      <c r="T101" s="386" t="n">
        <v>65.66</v>
      </c>
      <c r="U101" s="386"/>
      <c r="V101" s="77"/>
      <c r="W101" s="77"/>
      <c r="X101" s="77"/>
      <c r="Y101" s="77"/>
      <c r="Z101" s="77"/>
      <c r="AA101" s="385" t="s">
        <v>50</v>
      </c>
      <c r="AB101" s="409" t="n">
        <v>10</v>
      </c>
      <c r="AC101" s="417" t="s">
        <v>4554</v>
      </c>
      <c r="AD101" s="386"/>
      <c r="AE101" s="386"/>
    </row>
    <row r="102" customFormat="false" ht="18.75" hidden="false" customHeight="false" outlineLevel="0" collapsed="false">
      <c r="A102" s="77"/>
      <c r="B102" s="77"/>
      <c r="C102" s="113"/>
      <c r="D102" s="171"/>
      <c r="E102" s="77"/>
      <c r="F102" s="77"/>
      <c r="G102" s="77"/>
      <c r="H102" s="77"/>
      <c r="I102" s="77"/>
      <c r="J102" s="77"/>
      <c r="K102" s="77"/>
      <c r="L102" s="19"/>
      <c r="M102" s="77"/>
      <c r="N102" s="19"/>
      <c r="O102" s="77"/>
      <c r="P102" s="77"/>
      <c r="Q102" s="528"/>
      <c r="R102" s="529"/>
      <c r="S102" s="113"/>
      <c r="T102" s="528"/>
      <c r="U102" s="528"/>
      <c r="V102" s="77"/>
      <c r="W102" s="77"/>
      <c r="X102" s="77"/>
      <c r="Y102" s="77"/>
      <c r="Z102" s="77"/>
      <c r="AA102" s="185" t="s">
        <v>50</v>
      </c>
      <c r="AB102" s="186" t="n">
        <v>8</v>
      </c>
      <c r="AC102" s="187" t="s">
        <v>4555</v>
      </c>
      <c r="AD102" s="188"/>
      <c r="AE102" s="188"/>
    </row>
    <row r="103" customFormat="false" ht="18.75" hidden="false" customHeight="false" outlineLevel="0" collapsed="false">
      <c r="A103" s="77"/>
      <c r="B103" s="77"/>
      <c r="C103" s="113"/>
      <c r="D103" s="171"/>
      <c r="E103" s="77"/>
      <c r="F103" s="77"/>
      <c r="G103" s="77"/>
      <c r="H103" s="77"/>
      <c r="I103" s="77"/>
      <c r="J103" s="77"/>
      <c r="K103" s="77"/>
      <c r="L103" s="19"/>
      <c r="M103" s="77"/>
      <c r="N103" s="19"/>
      <c r="O103" s="77"/>
      <c r="P103" s="77"/>
      <c r="Q103" s="528"/>
      <c r="R103" s="529"/>
      <c r="S103" s="113"/>
      <c r="T103" s="528"/>
      <c r="U103" s="528"/>
      <c r="V103" s="77"/>
      <c r="W103" s="77"/>
      <c r="X103" s="77"/>
      <c r="Y103" s="77"/>
      <c r="Z103" s="77"/>
      <c r="AA103" s="185" t="s">
        <v>50</v>
      </c>
      <c r="AB103" s="186" t="n">
        <v>5</v>
      </c>
      <c r="AC103" s="187" t="s">
        <v>4556</v>
      </c>
      <c r="AD103" s="188"/>
      <c r="AE103" s="188"/>
    </row>
    <row r="104" customFormat="false" ht="37.5" hidden="false" customHeight="false" outlineLevel="0" collapsed="false">
      <c r="A104" s="77" t="s">
        <v>42</v>
      </c>
      <c r="B104" s="77" t="s">
        <v>4366</v>
      </c>
      <c r="C104" s="113" t="s">
        <v>4552</v>
      </c>
      <c r="D104" s="77" t="s">
        <v>4557</v>
      </c>
      <c r="E104" s="77" t="s">
        <v>4558</v>
      </c>
      <c r="F104" s="77" t="n">
        <v>1037</v>
      </c>
      <c r="G104" s="77" t="n">
        <v>210</v>
      </c>
      <c r="H104" s="77" t="n">
        <v>1169</v>
      </c>
      <c r="I104" s="77" t="n">
        <v>607</v>
      </c>
      <c r="J104" s="77" t="n">
        <v>562</v>
      </c>
      <c r="K104" s="77" t="n">
        <v>28</v>
      </c>
      <c r="L104" s="19" t="n">
        <f aca="false">(K104/H104)*100</f>
        <v>2.39520958083832</v>
      </c>
      <c r="M104" s="77" t="n">
        <v>0</v>
      </c>
      <c r="N104" s="19" t="n">
        <f aca="false">(M104/H104)*100</f>
        <v>0</v>
      </c>
      <c r="O104" s="77" t="n">
        <v>154</v>
      </c>
      <c r="P104" s="77" t="n">
        <v>0</v>
      </c>
      <c r="Q104" s="528" t="s">
        <v>49</v>
      </c>
      <c r="R104" s="529" t="n">
        <v>44836</v>
      </c>
      <c r="S104" s="113"/>
      <c r="T104" s="528" t="n">
        <v>151.87</v>
      </c>
      <c r="U104" s="528"/>
      <c r="V104" s="77"/>
      <c r="W104" s="77"/>
      <c r="X104" s="77"/>
      <c r="Y104" s="77"/>
      <c r="Z104" s="77"/>
      <c r="AA104" s="385" t="s">
        <v>50</v>
      </c>
      <c r="AB104" s="409" t="n">
        <v>15</v>
      </c>
      <c r="AC104" s="417" t="s">
        <v>4559</v>
      </c>
      <c r="AD104" s="386"/>
      <c r="AE104" s="386"/>
    </row>
    <row r="105" customFormat="false" ht="37.5" hidden="false" customHeight="false" outlineLevel="0" collapsed="false">
      <c r="A105" s="77"/>
      <c r="B105" s="77"/>
      <c r="C105" s="113"/>
      <c r="D105" s="77"/>
      <c r="E105" s="77"/>
      <c r="F105" s="77"/>
      <c r="G105" s="77"/>
      <c r="H105" s="77"/>
      <c r="I105" s="77"/>
      <c r="J105" s="77"/>
      <c r="K105" s="77"/>
      <c r="L105" s="19"/>
      <c r="M105" s="77"/>
      <c r="N105" s="19"/>
      <c r="O105" s="77"/>
      <c r="P105" s="77"/>
      <c r="Q105" s="528"/>
      <c r="R105" s="529"/>
      <c r="S105" s="113"/>
      <c r="T105" s="528"/>
      <c r="U105" s="528"/>
      <c r="V105" s="77"/>
      <c r="W105" s="77"/>
      <c r="X105" s="77"/>
      <c r="Y105" s="77"/>
      <c r="Z105" s="77"/>
      <c r="AA105" s="185" t="s">
        <v>50</v>
      </c>
      <c r="AB105" s="186" t="n">
        <v>12</v>
      </c>
      <c r="AC105" s="187" t="s">
        <v>4560</v>
      </c>
      <c r="AD105" s="544"/>
      <c r="AE105" s="188"/>
    </row>
    <row r="106" customFormat="false" ht="18.75" hidden="false" customHeight="false" outlineLevel="0" collapsed="false">
      <c r="A106" s="77"/>
      <c r="B106" s="77"/>
      <c r="C106" s="113"/>
      <c r="D106" s="77"/>
      <c r="E106" s="77"/>
      <c r="F106" s="77"/>
      <c r="G106" s="77"/>
      <c r="H106" s="77"/>
      <c r="I106" s="77"/>
      <c r="J106" s="77"/>
      <c r="K106" s="77"/>
      <c r="L106" s="19"/>
      <c r="M106" s="77"/>
      <c r="N106" s="19"/>
      <c r="O106" s="77"/>
      <c r="P106" s="77"/>
      <c r="Q106" s="528"/>
      <c r="R106" s="529"/>
      <c r="S106" s="113"/>
      <c r="T106" s="528"/>
      <c r="U106" s="528"/>
      <c r="V106" s="77"/>
      <c r="W106" s="77"/>
      <c r="X106" s="77"/>
      <c r="Y106" s="77"/>
      <c r="Z106" s="77"/>
      <c r="AA106" s="185" t="s">
        <v>50</v>
      </c>
      <c r="AB106" s="186" t="n">
        <v>12</v>
      </c>
      <c r="AC106" s="187" t="s">
        <v>4561</v>
      </c>
      <c r="AD106" s="544"/>
      <c r="AE106" s="188"/>
    </row>
    <row r="107" customFormat="false" ht="15.75" hidden="false" customHeight="false" outlineLevel="0" collapsed="false">
      <c r="A107" s="77" t="s">
        <v>42</v>
      </c>
      <c r="B107" s="77" t="s">
        <v>4366</v>
      </c>
      <c r="C107" s="113" t="s">
        <v>4562</v>
      </c>
      <c r="D107" s="171" t="s">
        <v>4562</v>
      </c>
      <c r="E107" s="77" t="s">
        <v>4563</v>
      </c>
      <c r="F107" s="77" t="n">
        <v>1462.76</v>
      </c>
      <c r="G107" s="77" t="n">
        <v>430</v>
      </c>
      <c r="H107" s="77" t="n">
        <v>2493</v>
      </c>
      <c r="I107" s="77" t="n">
        <v>1304</v>
      </c>
      <c r="J107" s="77" t="n">
        <v>1189</v>
      </c>
      <c r="K107" s="77" t="n">
        <v>579</v>
      </c>
      <c r="L107" s="19" t="n">
        <f aca="false">(K107/H107)*100</f>
        <v>23.2250300842359</v>
      </c>
      <c r="M107" s="77" t="n">
        <v>30</v>
      </c>
      <c r="N107" s="19" t="n">
        <f aca="false">(M107/H107)*100</f>
        <v>1.20336943441637</v>
      </c>
      <c r="O107" s="77" t="n">
        <v>40.25</v>
      </c>
      <c r="P107" s="77" t="n">
        <v>0</v>
      </c>
      <c r="Q107" s="349" t="s">
        <v>4293</v>
      </c>
      <c r="R107" s="349"/>
      <c r="S107" s="77"/>
      <c r="T107" s="349"/>
      <c r="U107" s="349"/>
      <c r="V107" s="77"/>
      <c r="W107" s="77"/>
      <c r="X107" s="77"/>
      <c r="Y107" s="77"/>
      <c r="Z107" s="77"/>
      <c r="AA107" s="349"/>
      <c r="AB107" s="202"/>
      <c r="AC107" s="489"/>
      <c r="AD107" s="349"/>
      <c r="AE107" s="349"/>
    </row>
    <row r="108" customFormat="false" ht="15.75" hidden="false" customHeight="false" outlineLevel="0" collapsed="false">
      <c r="A108" s="77" t="s">
        <v>42</v>
      </c>
      <c r="B108" s="77" t="s">
        <v>4366</v>
      </c>
      <c r="C108" s="113" t="s">
        <v>4562</v>
      </c>
      <c r="D108" s="77" t="s">
        <v>4564</v>
      </c>
      <c r="E108" s="77" t="s">
        <v>4565</v>
      </c>
      <c r="F108" s="77" t="n">
        <v>728.84</v>
      </c>
      <c r="G108" s="77" t="n">
        <v>118</v>
      </c>
      <c r="H108" s="77" t="n">
        <v>788</v>
      </c>
      <c r="I108" s="77" t="n">
        <v>402</v>
      </c>
      <c r="J108" s="77" t="n">
        <v>386</v>
      </c>
      <c r="K108" s="77" t="n">
        <v>87</v>
      </c>
      <c r="L108" s="19" t="n">
        <f aca="false">(K108/H108)*100</f>
        <v>11.0406091370558</v>
      </c>
      <c r="M108" s="77" t="n">
        <v>0</v>
      </c>
      <c r="N108" s="19" t="n">
        <f aca="false">(M108/H108)*100</f>
        <v>0</v>
      </c>
      <c r="O108" s="77" t="n">
        <v>36.09</v>
      </c>
      <c r="P108" s="77" t="n">
        <v>42.14</v>
      </c>
      <c r="Q108" s="349" t="s">
        <v>4293</v>
      </c>
      <c r="R108" s="349"/>
      <c r="S108" s="77"/>
      <c r="T108" s="349"/>
      <c r="U108" s="349"/>
      <c r="V108" s="77"/>
      <c r="W108" s="77"/>
      <c r="X108" s="77"/>
      <c r="Y108" s="77"/>
      <c r="Z108" s="77"/>
      <c r="AA108" s="349"/>
      <c r="AB108" s="202"/>
      <c r="AC108" s="489"/>
      <c r="AD108" s="349"/>
      <c r="AE108" s="349"/>
    </row>
    <row r="109" customFormat="false" ht="15.75" hidden="false" customHeight="false" outlineLevel="0" collapsed="false">
      <c r="A109" s="77" t="s">
        <v>42</v>
      </c>
      <c r="B109" s="77" t="s">
        <v>4366</v>
      </c>
      <c r="C109" s="113" t="s">
        <v>4566</v>
      </c>
      <c r="D109" s="171" t="s">
        <v>4566</v>
      </c>
      <c r="E109" s="77" t="s">
        <v>4567</v>
      </c>
      <c r="F109" s="77" t="n">
        <v>710</v>
      </c>
      <c r="G109" s="77" t="n">
        <v>264</v>
      </c>
      <c r="H109" s="77" t="n">
        <v>1443</v>
      </c>
      <c r="I109" s="77" t="n">
        <v>737</v>
      </c>
      <c r="J109" s="77" t="n">
        <v>706</v>
      </c>
      <c r="K109" s="77" t="n">
        <v>413</v>
      </c>
      <c r="L109" s="19" t="n">
        <f aca="false">(K109/H109)*100</f>
        <v>28.6209286209286</v>
      </c>
      <c r="M109" s="77" t="n">
        <v>23</v>
      </c>
      <c r="N109" s="19" t="n">
        <f aca="false">(M109/H109)*100</f>
        <v>1.59390159390159</v>
      </c>
      <c r="O109" s="77" t="n">
        <v>67</v>
      </c>
      <c r="P109" s="77" t="n">
        <v>0</v>
      </c>
      <c r="Q109" s="349" t="s">
        <v>4293</v>
      </c>
      <c r="R109" s="349"/>
      <c r="S109" s="77"/>
      <c r="T109" s="349"/>
      <c r="U109" s="349"/>
      <c r="V109" s="77"/>
      <c r="W109" s="77"/>
      <c r="X109" s="77"/>
      <c r="Y109" s="77"/>
      <c r="Z109" s="77"/>
      <c r="AA109" s="349"/>
      <c r="AB109" s="202"/>
      <c r="AC109" s="489"/>
      <c r="AD109" s="349"/>
      <c r="AE109" s="349"/>
    </row>
    <row r="110" customFormat="false" ht="15.75" hidden="false" customHeight="false" outlineLevel="0" collapsed="false">
      <c r="A110" s="77" t="s">
        <v>42</v>
      </c>
      <c r="B110" s="77" t="s">
        <v>4366</v>
      </c>
      <c r="C110" s="113" t="s">
        <v>4566</v>
      </c>
      <c r="D110" s="77" t="s">
        <v>4568</v>
      </c>
      <c r="E110" s="77" t="s">
        <v>4569</v>
      </c>
      <c r="F110" s="77" t="n">
        <v>563</v>
      </c>
      <c r="G110" s="77" t="n">
        <v>22</v>
      </c>
      <c r="H110" s="77" t="n">
        <v>116</v>
      </c>
      <c r="I110" s="77" t="n">
        <v>59</v>
      </c>
      <c r="J110" s="77" t="n">
        <v>57</v>
      </c>
      <c r="K110" s="77" t="n">
        <v>0</v>
      </c>
      <c r="L110" s="19" t="n">
        <f aca="false">(K110/H110)*100</f>
        <v>0</v>
      </c>
      <c r="M110" s="77" t="n">
        <v>0</v>
      </c>
      <c r="N110" s="19" t="n">
        <f aca="false">(M110/H110)*100</f>
        <v>0</v>
      </c>
      <c r="O110" s="77" t="n">
        <v>6</v>
      </c>
      <c r="P110" s="77" t="n">
        <v>0</v>
      </c>
      <c r="Q110" s="349" t="s">
        <v>4293</v>
      </c>
      <c r="R110" s="349"/>
      <c r="S110" s="77"/>
      <c r="T110" s="349"/>
      <c r="U110" s="349"/>
      <c r="V110" s="77"/>
      <c r="W110" s="77"/>
      <c r="X110" s="77"/>
      <c r="Y110" s="77"/>
      <c r="Z110" s="77"/>
      <c r="AA110" s="349"/>
      <c r="AB110" s="202"/>
      <c r="AC110" s="489"/>
      <c r="AD110" s="349"/>
      <c r="AE110" s="349"/>
    </row>
    <row r="111" customFormat="false" ht="15.75" hidden="false" customHeight="false" outlineLevel="0" collapsed="false">
      <c r="A111" s="77" t="s">
        <v>42</v>
      </c>
      <c r="B111" s="77" t="s">
        <v>4366</v>
      </c>
      <c r="C111" s="113" t="s">
        <v>4566</v>
      </c>
      <c r="D111" s="77" t="s">
        <v>4570</v>
      </c>
      <c r="E111" s="77" t="s">
        <v>4571</v>
      </c>
      <c r="F111" s="77" t="n">
        <v>200</v>
      </c>
      <c r="G111" s="77" t="n">
        <v>38</v>
      </c>
      <c r="H111" s="77" t="n">
        <v>197</v>
      </c>
      <c r="I111" s="77" t="n">
        <v>99</v>
      </c>
      <c r="J111" s="77" t="n">
        <v>98</v>
      </c>
      <c r="K111" s="77" t="n">
        <v>25</v>
      </c>
      <c r="L111" s="19" t="n">
        <f aca="false">(K111/H111)*100</f>
        <v>12.6903553299492</v>
      </c>
      <c r="M111" s="77" t="n">
        <v>0</v>
      </c>
      <c r="N111" s="19" t="n">
        <f aca="false">(M111/H111)*100</f>
        <v>0</v>
      </c>
      <c r="O111" s="77" t="n">
        <v>19</v>
      </c>
      <c r="P111" s="77" t="n">
        <v>0</v>
      </c>
      <c r="Q111" s="349" t="s">
        <v>4293</v>
      </c>
      <c r="R111" s="349"/>
      <c r="S111" s="77"/>
      <c r="T111" s="349"/>
      <c r="U111" s="349"/>
      <c r="V111" s="77"/>
      <c r="W111" s="77"/>
      <c r="X111" s="77"/>
      <c r="Y111" s="77"/>
      <c r="Z111" s="77"/>
      <c r="AA111" s="349"/>
      <c r="AB111" s="202"/>
      <c r="AC111" s="489"/>
      <c r="AD111" s="349"/>
      <c r="AE111" s="349"/>
    </row>
    <row r="112" customFormat="false" ht="15.75" hidden="false" customHeight="false" outlineLevel="0" collapsed="false">
      <c r="A112" s="77" t="s">
        <v>42</v>
      </c>
      <c r="B112" s="77" t="s">
        <v>4366</v>
      </c>
      <c r="C112" s="113" t="s">
        <v>4566</v>
      </c>
      <c r="D112" s="77" t="s">
        <v>4572</v>
      </c>
      <c r="E112" s="77" t="s">
        <v>4573</v>
      </c>
      <c r="F112" s="77" t="n">
        <v>293.32</v>
      </c>
      <c r="G112" s="77" t="n">
        <v>40</v>
      </c>
      <c r="H112" s="77" t="n">
        <v>217</v>
      </c>
      <c r="I112" s="77" t="n">
        <v>119</v>
      </c>
      <c r="J112" s="77" t="n">
        <v>98</v>
      </c>
      <c r="K112" s="77" t="n">
        <v>0</v>
      </c>
      <c r="L112" s="19" t="n">
        <f aca="false">(K112/H112)*100</f>
        <v>0</v>
      </c>
      <c r="M112" s="77" t="n">
        <v>41</v>
      </c>
      <c r="N112" s="19" t="n">
        <f aca="false">(M112/H112)*100</f>
        <v>18.8940092165899</v>
      </c>
      <c r="O112" s="77" t="n">
        <v>7.16</v>
      </c>
      <c r="P112" s="77" t="n">
        <v>0</v>
      </c>
      <c r="Q112" s="349" t="s">
        <v>4293</v>
      </c>
      <c r="R112" s="349"/>
      <c r="S112" s="77"/>
      <c r="T112" s="349"/>
      <c r="U112" s="349"/>
      <c r="V112" s="77"/>
      <c r="W112" s="77"/>
      <c r="X112" s="77"/>
      <c r="Y112" s="77"/>
      <c r="Z112" s="77"/>
      <c r="AA112" s="349"/>
      <c r="AB112" s="202"/>
      <c r="AC112" s="489"/>
      <c r="AD112" s="349"/>
      <c r="AE112" s="349"/>
    </row>
    <row r="113" customFormat="false" ht="15.75" hidden="false" customHeight="false" outlineLevel="0" collapsed="false">
      <c r="A113" s="77" t="s">
        <v>42</v>
      </c>
      <c r="B113" s="77" t="s">
        <v>4366</v>
      </c>
      <c r="C113" s="113" t="s">
        <v>4566</v>
      </c>
      <c r="D113" s="77" t="s">
        <v>4574</v>
      </c>
      <c r="E113" s="77" t="s">
        <v>4575</v>
      </c>
      <c r="F113" s="77" t="n">
        <v>523.31</v>
      </c>
      <c r="G113" s="77" t="n">
        <v>125</v>
      </c>
      <c r="H113" s="77" t="n">
        <v>637</v>
      </c>
      <c r="I113" s="77" t="n">
        <v>337</v>
      </c>
      <c r="J113" s="77" t="n">
        <v>300</v>
      </c>
      <c r="K113" s="77" t="n">
        <v>230</v>
      </c>
      <c r="L113" s="19" t="n">
        <f aca="false">(K113/H113)*100</f>
        <v>36.1067503924647</v>
      </c>
      <c r="M113" s="77" t="n">
        <v>19</v>
      </c>
      <c r="N113" s="19" t="n">
        <f aca="false">(M113/H113)*100</f>
        <v>2.98273155416013</v>
      </c>
      <c r="O113" s="77" t="n">
        <v>72.07</v>
      </c>
      <c r="P113" s="77" t="n">
        <v>0</v>
      </c>
      <c r="Q113" s="349" t="s">
        <v>4293</v>
      </c>
      <c r="R113" s="349"/>
      <c r="S113" s="77"/>
      <c r="T113" s="349"/>
      <c r="U113" s="349"/>
      <c r="V113" s="77"/>
      <c r="W113" s="77"/>
      <c r="X113" s="77"/>
      <c r="Y113" s="77"/>
      <c r="Z113" s="77"/>
      <c r="AA113" s="349"/>
      <c r="AB113" s="202"/>
      <c r="AC113" s="489"/>
      <c r="AD113" s="349"/>
      <c r="AE113" s="349"/>
    </row>
    <row r="114" customFormat="false" ht="37.5" hidden="false" customHeight="false" outlineLevel="0" collapsed="false">
      <c r="A114" s="77" t="s">
        <v>42</v>
      </c>
      <c r="B114" s="77" t="s">
        <v>4366</v>
      </c>
      <c r="C114" s="113" t="s">
        <v>4576</v>
      </c>
      <c r="D114" s="171" t="s">
        <v>4577</v>
      </c>
      <c r="E114" s="77" t="s">
        <v>4578</v>
      </c>
      <c r="F114" s="77" t="n">
        <v>2490.45</v>
      </c>
      <c r="G114" s="77" t="n">
        <v>873</v>
      </c>
      <c r="H114" s="77" t="n">
        <v>5365</v>
      </c>
      <c r="I114" s="77" t="n">
        <v>2802</v>
      </c>
      <c r="J114" s="77" t="n">
        <v>2563</v>
      </c>
      <c r="K114" s="77" t="n">
        <v>1915</v>
      </c>
      <c r="L114" s="19" t="n">
        <f aca="false">(K114/H114)*100</f>
        <v>35.6943150046598</v>
      </c>
      <c r="M114" s="77" t="n">
        <v>15</v>
      </c>
      <c r="N114" s="19" t="n">
        <f aca="false">(M114/H114)*100</f>
        <v>0.279589934762349</v>
      </c>
      <c r="O114" s="77" t="n">
        <v>29.02</v>
      </c>
      <c r="P114" s="77" t="n">
        <v>0</v>
      </c>
      <c r="Q114" s="386" t="s">
        <v>49</v>
      </c>
      <c r="R114" s="405" t="n">
        <v>44889</v>
      </c>
      <c r="S114" s="77"/>
      <c r="T114" s="386" t="n">
        <v>28.86</v>
      </c>
      <c r="U114" s="386"/>
      <c r="V114" s="77"/>
      <c r="W114" s="77"/>
      <c r="X114" s="77"/>
      <c r="Y114" s="77"/>
      <c r="Z114" s="77"/>
      <c r="AA114" s="385" t="s">
        <v>50</v>
      </c>
      <c r="AB114" s="409" t="n">
        <v>5</v>
      </c>
      <c r="AC114" s="417" t="s">
        <v>4579</v>
      </c>
      <c r="AD114" s="386"/>
      <c r="AE114" s="386"/>
    </row>
    <row r="115" customFormat="false" ht="37.5" hidden="false" customHeight="false" outlineLevel="0" collapsed="false">
      <c r="A115" s="77"/>
      <c r="B115" s="77"/>
      <c r="C115" s="113"/>
      <c r="D115" s="171"/>
      <c r="E115" s="77"/>
      <c r="F115" s="77"/>
      <c r="G115" s="77"/>
      <c r="H115" s="77"/>
      <c r="I115" s="77"/>
      <c r="J115" s="77"/>
      <c r="K115" s="77"/>
      <c r="L115" s="19"/>
      <c r="M115" s="77"/>
      <c r="N115" s="19"/>
      <c r="O115" s="77"/>
      <c r="P115" s="77"/>
      <c r="Q115" s="528"/>
      <c r="R115" s="529"/>
      <c r="S115" s="113"/>
      <c r="T115" s="528"/>
      <c r="U115" s="528"/>
      <c r="V115" s="77"/>
      <c r="W115" s="77"/>
      <c r="X115" s="77"/>
      <c r="Y115" s="77"/>
      <c r="Z115" s="77"/>
      <c r="AA115" s="185" t="s">
        <v>50</v>
      </c>
      <c r="AB115" s="186" t="n">
        <v>5</v>
      </c>
      <c r="AC115" s="187" t="s">
        <v>4580</v>
      </c>
      <c r="AD115" s="188"/>
      <c r="AE115" s="188"/>
    </row>
    <row r="116" customFormat="false" ht="37.5" hidden="false" customHeight="false" outlineLevel="0" collapsed="false">
      <c r="A116" s="77"/>
      <c r="B116" s="77"/>
      <c r="C116" s="113"/>
      <c r="D116" s="171"/>
      <c r="E116" s="77"/>
      <c r="F116" s="77"/>
      <c r="G116" s="77"/>
      <c r="H116" s="77"/>
      <c r="I116" s="77"/>
      <c r="J116" s="77"/>
      <c r="K116" s="77"/>
      <c r="L116" s="19"/>
      <c r="M116" s="77"/>
      <c r="N116" s="19"/>
      <c r="O116" s="77"/>
      <c r="P116" s="77"/>
      <c r="Q116" s="528"/>
      <c r="R116" s="529"/>
      <c r="S116" s="113"/>
      <c r="T116" s="528"/>
      <c r="U116" s="528"/>
      <c r="V116" s="77"/>
      <c r="W116" s="77"/>
      <c r="X116" s="77"/>
      <c r="Y116" s="77"/>
      <c r="Z116" s="77"/>
      <c r="AA116" s="185" t="s">
        <v>50</v>
      </c>
      <c r="AB116" s="186" t="n">
        <v>5</v>
      </c>
      <c r="AC116" s="187" t="s">
        <v>4581</v>
      </c>
      <c r="AD116" s="188"/>
      <c r="AE116" s="188"/>
    </row>
    <row r="117" customFormat="false" ht="37.5" hidden="false" customHeight="false" outlineLevel="0" collapsed="false">
      <c r="A117" s="77"/>
      <c r="B117" s="77"/>
      <c r="C117" s="113"/>
      <c r="D117" s="171"/>
      <c r="E117" s="77"/>
      <c r="F117" s="77"/>
      <c r="G117" s="77"/>
      <c r="H117" s="77"/>
      <c r="I117" s="77"/>
      <c r="J117" s="77"/>
      <c r="K117" s="77"/>
      <c r="L117" s="19"/>
      <c r="M117" s="77"/>
      <c r="N117" s="19"/>
      <c r="O117" s="77"/>
      <c r="P117" s="77"/>
      <c r="Q117" s="528"/>
      <c r="R117" s="529"/>
      <c r="S117" s="113"/>
      <c r="T117" s="528"/>
      <c r="U117" s="528"/>
      <c r="V117" s="77"/>
      <c r="W117" s="77"/>
      <c r="X117" s="77"/>
      <c r="Y117" s="77"/>
      <c r="Z117" s="77"/>
      <c r="AA117" s="185" t="s">
        <v>50</v>
      </c>
      <c r="AB117" s="186" t="n">
        <v>8</v>
      </c>
      <c r="AC117" s="187" t="s">
        <v>4582</v>
      </c>
      <c r="AD117" s="188"/>
      <c r="AE117" s="188"/>
    </row>
    <row r="118" customFormat="false" ht="37.5" hidden="false" customHeight="false" outlineLevel="0" collapsed="false">
      <c r="A118" s="77"/>
      <c r="B118" s="77"/>
      <c r="C118" s="113"/>
      <c r="D118" s="171"/>
      <c r="E118" s="77"/>
      <c r="F118" s="77"/>
      <c r="G118" s="77"/>
      <c r="H118" s="77"/>
      <c r="I118" s="77"/>
      <c r="J118" s="77"/>
      <c r="K118" s="77"/>
      <c r="L118" s="19"/>
      <c r="M118" s="77"/>
      <c r="N118" s="19"/>
      <c r="O118" s="77"/>
      <c r="P118" s="77"/>
      <c r="Q118" s="528"/>
      <c r="R118" s="529"/>
      <c r="S118" s="113"/>
      <c r="T118" s="528"/>
      <c r="U118" s="528"/>
      <c r="V118" s="77"/>
      <c r="W118" s="77"/>
      <c r="X118" s="77"/>
      <c r="Y118" s="77"/>
      <c r="Z118" s="77"/>
      <c r="AA118" s="185" t="s">
        <v>50</v>
      </c>
      <c r="AB118" s="186" t="n">
        <v>10</v>
      </c>
      <c r="AC118" s="187" t="s">
        <v>4583</v>
      </c>
      <c r="AD118" s="188"/>
      <c r="AE118" s="188"/>
    </row>
    <row r="119" customFormat="false" ht="15.75" hidden="false" customHeight="false" outlineLevel="0" collapsed="false">
      <c r="A119" s="77" t="s">
        <v>42</v>
      </c>
      <c r="B119" s="77" t="s">
        <v>4366</v>
      </c>
      <c r="C119" s="113" t="s">
        <v>4584</v>
      </c>
      <c r="D119" s="171" t="s">
        <v>4584</v>
      </c>
      <c r="E119" s="77" t="s">
        <v>4585</v>
      </c>
      <c r="F119" s="77" t="n">
        <v>1141.56</v>
      </c>
      <c r="G119" s="77" t="n">
        <v>217</v>
      </c>
      <c r="H119" s="77" t="n">
        <v>1265</v>
      </c>
      <c r="I119" s="77" t="n">
        <v>678</v>
      </c>
      <c r="J119" s="77" t="n">
        <v>587</v>
      </c>
      <c r="K119" s="77" t="n">
        <v>179</v>
      </c>
      <c r="L119" s="19" t="n">
        <f aca="false">(K119/H119)*100</f>
        <v>14.1501976284585</v>
      </c>
      <c r="M119" s="77" t="n">
        <v>205</v>
      </c>
      <c r="N119" s="19" t="n">
        <f aca="false">(M119/H119)*100</f>
        <v>16.2055335968379</v>
      </c>
      <c r="O119" s="77" t="n">
        <v>53.14</v>
      </c>
      <c r="P119" s="77" t="n">
        <v>0</v>
      </c>
      <c r="Q119" s="458" t="s">
        <v>49</v>
      </c>
      <c r="R119" s="530" t="n">
        <v>44824</v>
      </c>
      <c r="S119" s="113"/>
      <c r="T119" s="458"/>
      <c r="U119" s="458"/>
      <c r="V119" s="77"/>
      <c r="W119" s="77"/>
      <c r="X119" s="77"/>
      <c r="Y119" s="77"/>
      <c r="Z119" s="77"/>
      <c r="AA119" s="202" t="s">
        <v>50</v>
      </c>
      <c r="AB119" s="202" t="n">
        <v>8</v>
      </c>
      <c r="AC119" s="531" t="s">
        <v>4586</v>
      </c>
      <c r="AD119" s="202" t="n">
        <v>26.81</v>
      </c>
      <c r="AE119" s="202" t="n">
        <v>73.17</v>
      </c>
    </row>
    <row r="120" customFormat="false" ht="15.75" hidden="false" customHeight="false" outlineLevel="0" collapsed="false">
      <c r="A120" s="77" t="s">
        <v>42</v>
      </c>
      <c r="B120" s="77" t="s">
        <v>4366</v>
      </c>
      <c r="C120" s="113" t="s">
        <v>4584</v>
      </c>
      <c r="D120" s="77" t="s">
        <v>4587</v>
      </c>
      <c r="E120" s="77" t="s">
        <v>4588</v>
      </c>
      <c r="F120" s="77" t="n">
        <v>997.57</v>
      </c>
      <c r="G120" s="77" t="n">
        <v>205</v>
      </c>
      <c r="H120" s="77" t="n">
        <v>1160</v>
      </c>
      <c r="I120" s="77" t="n">
        <v>606</v>
      </c>
      <c r="J120" s="77" t="n">
        <v>554</v>
      </c>
      <c r="K120" s="77" t="n">
        <v>163</v>
      </c>
      <c r="L120" s="19" t="n">
        <f aca="false">(K120/H120)*100</f>
        <v>14.051724137931</v>
      </c>
      <c r="M120" s="77" t="n">
        <v>27</v>
      </c>
      <c r="N120" s="19" t="n">
        <f aca="false">(M120/H120)*100</f>
        <v>2.32758620689655</v>
      </c>
      <c r="O120" s="77" t="n">
        <v>23.09</v>
      </c>
      <c r="P120" s="77" t="n">
        <v>0</v>
      </c>
      <c r="Q120" s="349" t="s">
        <v>49</v>
      </c>
      <c r="R120" s="350" t="n">
        <v>44824</v>
      </c>
      <c r="S120" s="77"/>
      <c r="T120" s="349"/>
      <c r="U120" s="349"/>
      <c r="V120" s="77"/>
      <c r="W120" s="77"/>
      <c r="X120" s="77"/>
      <c r="Y120" s="77"/>
      <c r="Z120" s="77"/>
      <c r="AA120" s="202" t="s">
        <v>50</v>
      </c>
      <c r="AB120" s="202" t="n">
        <v>8</v>
      </c>
      <c r="AC120" s="532" t="s">
        <v>4589</v>
      </c>
      <c r="AD120" s="202" t="n">
        <v>26.76</v>
      </c>
      <c r="AE120" s="202" t="n">
        <v>73.13</v>
      </c>
    </row>
    <row r="121" customFormat="false" ht="15.75" hidden="false" customHeight="false" outlineLevel="0" collapsed="false">
      <c r="A121" s="77" t="s">
        <v>42</v>
      </c>
      <c r="B121" s="77" t="s">
        <v>4366</v>
      </c>
      <c r="C121" s="113" t="s">
        <v>4590</v>
      </c>
      <c r="D121" s="171" t="s">
        <v>4591</v>
      </c>
      <c r="E121" s="77" t="s">
        <v>4592</v>
      </c>
      <c r="F121" s="77" t="n">
        <v>2010.59</v>
      </c>
      <c r="G121" s="77" t="n">
        <v>489</v>
      </c>
      <c r="H121" s="77" t="n">
        <v>3093</v>
      </c>
      <c r="I121" s="77" t="n">
        <v>1574</v>
      </c>
      <c r="J121" s="77" t="n">
        <v>1519</v>
      </c>
      <c r="K121" s="77" t="n">
        <v>387</v>
      </c>
      <c r="L121" s="19" t="n">
        <f aca="false">(K121/H121)*100</f>
        <v>12.5121241513094</v>
      </c>
      <c r="M121" s="77" t="n">
        <v>112</v>
      </c>
      <c r="N121" s="19" t="n">
        <f aca="false">(M121/H121)*100</f>
        <v>3.62107985774329</v>
      </c>
      <c r="O121" s="77" t="n">
        <v>4.7</v>
      </c>
      <c r="P121" s="77" t="n">
        <v>0</v>
      </c>
      <c r="Q121" s="349" t="s">
        <v>4293</v>
      </c>
      <c r="R121" s="349"/>
      <c r="S121" s="77"/>
      <c r="T121" s="349"/>
      <c r="U121" s="349"/>
      <c r="V121" s="77"/>
      <c r="W121" s="77"/>
      <c r="X121" s="77"/>
      <c r="Y121" s="77"/>
      <c r="Z121" s="77"/>
      <c r="AA121" s="349"/>
      <c r="AB121" s="202"/>
      <c r="AC121" s="489"/>
      <c r="AD121" s="349"/>
      <c r="AE121" s="349"/>
    </row>
    <row r="122" customFormat="false" ht="15.75" hidden="false" customHeight="false" outlineLevel="0" collapsed="false">
      <c r="A122" s="77" t="s">
        <v>42</v>
      </c>
      <c r="B122" s="77" t="s">
        <v>4366</v>
      </c>
      <c r="C122" s="113" t="s">
        <v>4590</v>
      </c>
      <c r="D122" s="77" t="s">
        <v>4593</v>
      </c>
      <c r="E122" s="77" t="s">
        <v>4594</v>
      </c>
      <c r="F122" s="77" t="n">
        <v>1541.41</v>
      </c>
      <c r="G122" s="77" t="n">
        <v>200</v>
      </c>
      <c r="H122" s="77" t="n">
        <v>1217</v>
      </c>
      <c r="I122" s="77" t="n">
        <v>631</v>
      </c>
      <c r="J122" s="77" t="n">
        <v>586</v>
      </c>
      <c r="K122" s="77" t="n">
        <v>230</v>
      </c>
      <c r="L122" s="19" t="n">
        <f aca="false">(K122/H122)*100</f>
        <v>18.898931799507</v>
      </c>
      <c r="M122" s="77" t="n">
        <v>51</v>
      </c>
      <c r="N122" s="19" t="n">
        <f aca="false">(M122/H122)*100</f>
        <v>4.19063270336894</v>
      </c>
      <c r="O122" s="77" t="n">
        <v>71.3</v>
      </c>
      <c r="P122" s="77" t="n">
        <v>0</v>
      </c>
      <c r="Q122" s="349" t="s">
        <v>4293</v>
      </c>
      <c r="R122" s="349"/>
      <c r="S122" s="77"/>
      <c r="T122" s="349"/>
      <c r="U122" s="349"/>
      <c r="V122" s="77"/>
      <c r="W122" s="77"/>
      <c r="X122" s="77"/>
      <c r="Y122" s="77"/>
      <c r="Z122" s="77"/>
      <c r="AA122" s="349"/>
      <c r="AB122" s="202"/>
      <c r="AC122" s="489"/>
      <c r="AD122" s="349"/>
      <c r="AE122" s="349"/>
    </row>
    <row r="123" customFormat="false" ht="18.75" hidden="false" customHeight="false" outlineLevel="0" collapsed="false">
      <c r="A123" s="77" t="s">
        <v>42</v>
      </c>
      <c r="B123" s="77" t="s">
        <v>4366</v>
      </c>
      <c r="C123" s="113" t="s">
        <v>4595</v>
      </c>
      <c r="D123" s="171" t="s">
        <v>4596</v>
      </c>
      <c r="E123" s="77" t="s">
        <v>4597</v>
      </c>
      <c r="F123" s="77" t="n">
        <v>2310.46</v>
      </c>
      <c r="G123" s="77" t="n">
        <v>385</v>
      </c>
      <c r="H123" s="77" t="n">
        <v>2058</v>
      </c>
      <c r="I123" s="77" t="n">
        <v>1059</v>
      </c>
      <c r="J123" s="77" t="n">
        <v>999</v>
      </c>
      <c r="K123" s="77" t="n">
        <v>13</v>
      </c>
      <c r="L123" s="19" t="n">
        <f aca="false">(K123/H123)*100</f>
        <v>0.631681243926142</v>
      </c>
      <c r="M123" s="77" t="n">
        <v>0</v>
      </c>
      <c r="N123" s="19" t="n">
        <f aca="false">(M123/H123)*100</f>
        <v>0</v>
      </c>
      <c r="O123" s="77" t="n">
        <v>197.06</v>
      </c>
      <c r="P123" s="77" t="n">
        <v>210.08</v>
      </c>
      <c r="Q123" s="386" t="s">
        <v>49</v>
      </c>
      <c r="R123" s="405" t="n">
        <v>44887</v>
      </c>
      <c r="S123" s="77"/>
      <c r="T123" s="386" t="n">
        <v>138.41</v>
      </c>
      <c r="U123" s="386" t="s">
        <v>50</v>
      </c>
      <c r="V123" s="77"/>
      <c r="W123" s="77"/>
      <c r="X123" s="77"/>
      <c r="Y123" s="77"/>
      <c r="Z123" s="77"/>
      <c r="AA123" s="385" t="s">
        <v>50</v>
      </c>
      <c r="AB123" s="409" t="n">
        <v>15</v>
      </c>
      <c r="AC123" s="417" t="s">
        <v>4598</v>
      </c>
      <c r="AD123" s="386"/>
      <c r="AE123" s="386"/>
    </row>
    <row r="124" customFormat="false" ht="37.5" hidden="false" customHeight="false" outlineLevel="0" collapsed="false">
      <c r="A124" s="77"/>
      <c r="B124" s="77"/>
      <c r="C124" s="113"/>
      <c r="D124" s="171"/>
      <c r="E124" s="77"/>
      <c r="F124" s="77"/>
      <c r="G124" s="77"/>
      <c r="H124" s="77"/>
      <c r="I124" s="77"/>
      <c r="J124" s="77"/>
      <c r="K124" s="77"/>
      <c r="L124" s="19"/>
      <c r="M124" s="77"/>
      <c r="N124" s="19"/>
      <c r="O124" s="77"/>
      <c r="P124" s="77"/>
      <c r="Q124" s="528"/>
      <c r="R124" s="529"/>
      <c r="S124" s="113"/>
      <c r="T124" s="528"/>
      <c r="U124" s="528"/>
      <c r="V124" s="77"/>
      <c r="W124" s="77"/>
      <c r="X124" s="77"/>
      <c r="Y124" s="77"/>
      <c r="Z124" s="77"/>
      <c r="AA124" s="185" t="s">
        <v>50</v>
      </c>
      <c r="AB124" s="186" t="n">
        <v>15</v>
      </c>
      <c r="AC124" s="187" t="s">
        <v>4599</v>
      </c>
      <c r="AD124" s="188"/>
      <c r="AE124" s="188"/>
    </row>
    <row r="125" customFormat="false" ht="37.5" hidden="false" customHeight="false" outlineLevel="0" collapsed="false">
      <c r="A125" s="77"/>
      <c r="B125" s="77"/>
      <c r="C125" s="113"/>
      <c r="D125" s="171"/>
      <c r="E125" s="77"/>
      <c r="F125" s="77"/>
      <c r="G125" s="77"/>
      <c r="H125" s="77"/>
      <c r="I125" s="77"/>
      <c r="J125" s="77"/>
      <c r="K125" s="77"/>
      <c r="L125" s="19"/>
      <c r="M125" s="77"/>
      <c r="N125" s="19"/>
      <c r="O125" s="77"/>
      <c r="P125" s="77"/>
      <c r="Q125" s="528"/>
      <c r="R125" s="529"/>
      <c r="S125" s="113"/>
      <c r="T125" s="528"/>
      <c r="U125" s="528"/>
      <c r="V125" s="77"/>
      <c r="W125" s="77"/>
      <c r="X125" s="77"/>
      <c r="Y125" s="77"/>
      <c r="Z125" s="77"/>
      <c r="AA125" s="185" t="s">
        <v>50</v>
      </c>
      <c r="AB125" s="186" t="n">
        <v>15</v>
      </c>
      <c r="AC125" s="187" t="s">
        <v>4600</v>
      </c>
      <c r="AD125" s="188"/>
      <c r="AE125" s="188"/>
    </row>
    <row r="126" customFormat="false" ht="18.75" hidden="false" customHeight="false" outlineLevel="0" collapsed="false">
      <c r="A126" s="77"/>
      <c r="B126" s="77"/>
      <c r="C126" s="113"/>
      <c r="D126" s="171"/>
      <c r="E126" s="77"/>
      <c r="F126" s="77"/>
      <c r="G126" s="77"/>
      <c r="H126" s="77"/>
      <c r="I126" s="77"/>
      <c r="J126" s="77"/>
      <c r="K126" s="77"/>
      <c r="L126" s="19"/>
      <c r="M126" s="77"/>
      <c r="N126" s="19"/>
      <c r="O126" s="77"/>
      <c r="P126" s="77"/>
      <c r="Q126" s="528"/>
      <c r="R126" s="529"/>
      <c r="S126" s="113"/>
      <c r="T126" s="528"/>
      <c r="U126" s="528"/>
      <c r="V126" s="77"/>
      <c r="W126" s="77"/>
      <c r="X126" s="77"/>
      <c r="Y126" s="77"/>
      <c r="Z126" s="77"/>
      <c r="AA126" s="185" t="s">
        <v>50</v>
      </c>
      <c r="AB126" s="186" t="n">
        <v>12</v>
      </c>
      <c r="AC126" s="187" t="s">
        <v>4601</v>
      </c>
      <c r="AD126" s="188"/>
      <c r="AE126" s="188"/>
    </row>
    <row r="127" customFormat="false" ht="37.5" hidden="false" customHeight="false" outlineLevel="0" collapsed="false">
      <c r="A127" s="77"/>
      <c r="B127" s="77"/>
      <c r="C127" s="113"/>
      <c r="D127" s="171"/>
      <c r="E127" s="77"/>
      <c r="F127" s="77"/>
      <c r="G127" s="77"/>
      <c r="H127" s="77"/>
      <c r="I127" s="77"/>
      <c r="J127" s="77"/>
      <c r="K127" s="77"/>
      <c r="L127" s="19"/>
      <c r="M127" s="77"/>
      <c r="N127" s="19"/>
      <c r="O127" s="77"/>
      <c r="P127" s="77"/>
      <c r="Q127" s="528"/>
      <c r="R127" s="529"/>
      <c r="S127" s="113"/>
      <c r="T127" s="528"/>
      <c r="U127" s="528"/>
      <c r="V127" s="77"/>
      <c r="W127" s="77"/>
      <c r="X127" s="77"/>
      <c r="Y127" s="77"/>
      <c r="Z127" s="77"/>
      <c r="AA127" s="185" t="s">
        <v>50</v>
      </c>
      <c r="AB127" s="186" t="n">
        <v>15</v>
      </c>
      <c r="AC127" s="187" t="s">
        <v>4602</v>
      </c>
      <c r="AD127" s="188"/>
      <c r="AE127" s="188"/>
    </row>
    <row r="128" customFormat="false" ht="56.25" hidden="false" customHeight="false" outlineLevel="0" collapsed="false">
      <c r="A128" s="77"/>
      <c r="B128" s="77"/>
      <c r="C128" s="113"/>
      <c r="D128" s="171"/>
      <c r="E128" s="77"/>
      <c r="F128" s="77"/>
      <c r="G128" s="77"/>
      <c r="H128" s="77"/>
      <c r="I128" s="77"/>
      <c r="J128" s="77"/>
      <c r="K128" s="77"/>
      <c r="L128" s="19"/>
      <c r="M128" s="77"/>
      <c r="N128" s="19"/>
      <c r="O128" s="77"/>
      <c r="P128" s="77"/>
      <c r="Q128" s="528"/>
      <c r="R128" s="529"/>
      <c r="S128" s="113"/>
      <c r="T128" s="528"/>
      <c r="U128" s="528"/>
      <c r="V128" s="77"/>
      <c r="W128" s="77"/>
      <c r="X128" s="77"/>
      <c r="Y128" s="77"/>
      <c r="Z128" s="77"/>
      <c r="AA128" s="185" t="s">
        <v>50</v>
      </c>
      <c r="AB128" s="186" t="n">
        <v>10</v>
      </c>
      <c r="AC128" s="187" t="s">
        <v>4603</v>
      </c>
      <c r="AD128" s="188"/>
      <c r="AE128" s="188"/>
    </row>
    <row r="129" customFormat="false" ht="37.5" hidden="false" customHeight="false" outlineLevel="0" collapsed="false">
      <c r="A129" s="77"/>
      <c r="B129" s="77"/>
      <c r="C129" s="113"/>
      <c r="D129" s="171"/>
      <c r="E129" s="77"/>
      <c r="F129" s="77"/>
      <c r="G129" s="77"/>
      <c r="H129" s="77"/>
      <c r="I129" s="77"/>
      <c r="J129" s="77"/>
      <c r="K129" s="77"/>
      <c r="L129" s="19"/>
      <c r="M129" s="77"/>
      <c r="N129" s="19"/>
      <c r="O129" s="77"/>
      <c r="P129" s="77"/>
      <c r="Q129" s="528"/>
      <c r="R129" s="529"/>
      <c r="S129" s="113"/>
      <c r="T129" s="528"/>
      <c r="U129" s="528"/>
      <c r="V129" s="77"/>
      <c r="W129" s="77"/>
      <c r="X129" s="77"/>
      <c r="Y129" s="77"/>
      <c r="Z129" s="77"/>
      <c r="AA129" s="185" t="s">
        <v>50</v>
      </c>
      <c r="AB129" s="186" t="n">
        <v>10</v>
      </c>
      <c r="AC129" s="187" t="s">
        <v>4604</v>
      </c>
      <c r="AD129" s="188"/>
      <c r="AE129" s="188"/>
    </row>
    <row r="130" customFormat="false" ht="18.75" hidden="false" customHeight="false" outlineLevel="0" collapsed="false">
      <c r="A130" s="77"/>
      <c r="B130" s="77"/>
      <c r="C130" s="113"/>
      <c r="D130" s="171"/>
      <c r="E130" s="77"/>
      <c r="F130" s="77"/>
      <c r="G130" s="77"/>
      <c r="H130" s="77"/>
      <c r="I130" s="77"/>
      <c r="J130" s="77"/>
      <c r="K130" s="77"/>
      <c r="L130" s="19"/>
      <c r="M130" s="77"/>
      <c r="N130" s="19"/>
      <c r="O130" s="77"/>
      <c r="P130" s="77"/>
      <c r="Q130" s="528"/>
      <c r="R130" s="529"/>
      <c r="S130" s="113"/>
      <c r="T130" s="528"/>
      <c r="U130" s="528"/>
      <c r="V130" s="77"/>
      <c r="W130" s="77"/>
      <c r="X130" s="77"/>
      <c r="Y130" s="77"/>
      <c r="Z130" s="77"/>
      <c r="AA130" s="185" t="s">
        <v>50</v>
      </c>
      <c r="AB130" s="186" t="n">
        <v>5</v>
      </c>
      <c r="AC130" s="187" t="s">
        <v>4605</v>
      </c>
      <c r="AD130" s="188"/>
      <c r="AE130" s="188"/>
    </row>
    <row r="131" customFormat="false" ht="37.5" hidden="false" customHeight="false" outlineLevel="0" collapsed="false">
      <c r="A131" s="77"/>
      <c r="B131" s="77"/>
      <c r="C131" s="113"/>
      <c r="D131" s="171"/>
      <c r="E131" s="77"/>
      <c r="F131" s="77"/>
      <c r="G131" s="77"/>
      <c r="H131" s="77"/>
      <c r="I131" s="77"/>
      <c r="J131" s="77"/>
      <c r="K131" s="77"/>
      <c r="L131" s="19"/>
      <c r="M131" s="77"/>
      <c r="N131" s="19"/>
      <c r="O131" s="77"/>
      <c r="P131" s="77"/>
      <c r="Q131" s="528"/>
      <c r="R131" s="529"/>
      <c r="S131" s="113"/>
      <c r="T131" s="528"/>
      <c r="U131" s="528"/>
      <c r="V131" s="77"/>
      <c r="W131" s="77"/>
      <c r="X131" s="77"/>
      <c r="Y131" s="77"/>
      <c r="Z131" s="77"/>
      <c r="AA131" s="185" t="s">
        <v>50</v>
      </c>
      <c r="AB131" s="186" t="n">
        <v>10</v>
      </c>
      <c r="AC131" s="187" t="s">
        <v>4606</v>
      </c>
      <c r="AD131" s="188"/>
      <c r="AE131" s="188"/>
    </row>
    <row r="132" customFormat="false" ht="56.25" hidden="false" customHeight="false" outlineLevel="0" collapsed="false">
      <c r="A132" s="77" t="s">
        <v>42</v>
      </c>
      <c r="B132" s="77" t="s">
        <v>4366</v>
      </c>
      <c r="C132" s="113" t="s">
        <v>4595</v>
      </c>
      <c r="D132" s="77" t="s">
        <v>4607</v>
      </c>
      <c r="E132" s="77" t="s">
        <v>4608</v>
      </c>
      <c r="F132" s="77" t="n">
        <v>1316.43</v>
      </c>
      <c r="G132" s="77" t="n">
        <v>418</v>
      </c>
      <c r="H132" s="77" t="n">
        <v>1802</v>
      </c>
      <c r="I132" s="77" t="n">
        <v>919</v>
      </c>
      <c r="J132" s="77" t="n">
        <v>883</v>
      </c>
      <c r="K132" s="77" t="n">
        <v>406</v>
      </c>
      <c r="L132" s="19" t="n">
        <f aca="false">(K132/H132)*100</f>
        <v>22.5305216426193</v>
      </c>
      <c r="M132" s="77" t="n">
        <v>446</v>
      </c>
      <c r="N132" s="19" t="n">
        <f aca="false">(M132/H132)*100</f>
        <v>24.7502774694784</v>
      </c>
      <c r="O132" s="77" t="n">
        <v>25.05</v>
      </c>
      <c r="P132" s="77" t="n">
        <v>403.08</v>
      </c>
      <c r="Q132" s="528" t="s">
        <v>49</v>
      </c>
      <c r="R132" s="529" t="n">
        <v>44887</v>
      </c>
      <c r="S132" s="113"/>
      <c r="T132" s="528" t="n">
        <v>24.75</v>
      </c>
      <c r="U132" s="528" t="s">
        <v>50</v>
      </c>
      <c r="V132" s="77"/>
      <c r="W132" s="77"/>
      <c r="X132" s="77"/>
      <c r="Y132" s="77"/>
      <c r="Z132" s="77"/>
      <c r="AA132" s="385" t="s">
        <v>50</v>
      </c>
      <c r="AB132" s="409" t="n">
        <v>5</v>
      </c>
      <c r="AC132" s="417" t="s">
        <v>4609</v>
      </c>
      <c r="AD132" s="386"/>
      <c r="AE132" s="386"/>
    </row>
    <row r="133" customFormat="false" ht="18.75" hidden="false" customHeight="false" outlineLevel="0" collapsed="false">
      <c r="A133" s="545"/>
      <c r="B133" s="545"/>
      <c r="C133" s="546"/>
      <c r="D133" s="545"/>
      <c r="E133" s="545"/>
      <c r="F133" s="545"/>
      <c r="G133" s="545"/>
      <c r="H133" s="545"/>
      <c r="I133" s="545"/>
      <c r="J133" s="545"/>
      <c r="K133" s="545"/>
      <c r="L133" s="545"/>
      <c r="M133" s="545"/>
      <c r="N133" s="545"/>
      <c r="O133" s="545"/>
      <c r="P133" s="545"/>
      <c r="Q133" s="528"/>
      <c r="R133" s="529"/>
      <c r="S133" s="546"/>
      <c r="T133" s="528"/>
      <c r="U133" s="528"/>
      <c r="V133" s="545"/>
      <c r="W133" s="545"/>
      <c r="X133" s="545"/>
      <c r="Y133" s="545"/>
      <c r="Z133" s="545"/>
      <c r="AA133" s="185" t="s">
        <v>50</v>
      </c>
      <c r="AB133" s="186" t="n">
        <v>5</v>
      </c>
      <c r="AC133" s="187" t="s">
        <v>4610</v>
      </c>
      <c r="AD133" s="188"/>
      <c r="AE133" s="188"/>
    </row>
    <row r="134" customFormat="false" ht="15" hidden="false" customHeight="false" outlineLevel="0" collapsed="false">
      <c r="A134" s="60"/>
      <c r="B134" s="60"/>
      <c r="C134" s="60"/>
      <c r="D134" s="60"/>
      <c r="E134" s="60"/>
      <c r="F134" s="60" t="n">
        <f aca="false">SUM(F4:F132)</f>
        <v>119451.66</v>
      </c>
      <c r="G134" s="60" t="n">
        <f aca="false">SUM(G4:G132)</f>
        <v>25257</v>
      </c>
      <c r="H134" s="60" t="n">
        <f aca="false">SUM(H4:H132)</f>
        <v>149847</v>
      </c>
      <c r="I134" s="60" t="n">
        <f aca="false">SUM(I4:I132)</f>
        <v>77637</v>
      </c>
      <c r="J134" s="60" t="n">
        <f aca="false">SUM(J4:J132)</f>
        <v>72210</v>
      </c>
      <c r="K134" s="60" t="n">
        <f aca="false">SUM(K4:K132)</f>
        <v>30323</v>
      </c>
      <c r="L134" s="60"/>
      <c r="M134" s="60" t="n">
        <f aca="false">SUM(M4:M132)</f>
        <v>3694</v>
      </c>
      <c r="N134" s="60"/>
      <c r="O134" s="60" t="n">
        <f aca="false">SUM(O4:O132)</f>
        <v>6065.6</v>
      </c>
      <c r="P134" s="60"/>
      <c r="Q134" s="61"/>
      <c r="R134" s="61"/>
      <c r="S134" s="61"/>
      <c r="T134" s="61"/>
      <c r="U134" s="61"/>
      <c r="V134" s="60"/>
      <c r="W134" s="60"/>
      <c r="X134" s="60"/>
      <c r="Y134" s="60"/>
      <c r="Z134" s="60"/>
      <c r="AA134" s="60"/>
      <c r="AB134" s="60"/>
    </row>
  </sheetData>
  <autoFilter ref="A2:AH134"/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23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AF9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4" ySplit="2" topLeftCell="E37" activePane="bottomRight" state="frozen"/>
      <selection pane="topLeft" activeCell="A1" activeCellId="0" sqref="A1"/>
      <selection pane="topRight" activeCell="E1" activeCellId="0" sqref="E1"/>
      <selection pane="bottomLeft" activeCell="A37" activeCellId="0" sqref="A37"/>
      <selection pane="bottomRight" activeCell="A2" activeCellId="0" sqref="A2"/>
    </sheetView>
  </sheetViews>
  <sheetFormatPr defaultColWidth="9.14453125" defaultRowHeight="18.75" zeroHeight="false" outlineLevelRow="0" outlineLevelCol="0"/>
  <cols>
    <col collapsed="false" customWidth="true" hidden="false" outlineLevel="0" max="1" min="1" style="211" width="12"/>
    <col collapsed="false" customWidth="true" hidden="false" outlineLevel="0" max="2" min="2" style="211" width="23.28"/>
    <col collapsed="false" customWidth="true" hidden="false" outlineLevel="0" max="3" min="3" style="211" width="28.42"/>
    <col collapsed="false" customWidth="true" hidden="false" outlineLevel="0" max="4" min="4" style="547" width="29"/>
    <col collapsed="false" customWidth="true" hidden="false" outlineLevel="0" max="5" min="5" style="211" width="24.57"/>
    <col collapsed="false" customWidth="true" hidden="false" outlineLevel="0" max="6" min="6" style="211" width="12.85"/>
    <col collapsed="false" customWidth="true" hidden="false" outlineLevel="0" max="7" min="7" style="211" width="12.43"/>
    <col collapsed="false" customWidth="true" hidden="false" outlineLevel="0" max="8" min="8" style="211" width="11.71"/>
    <col collapsed="false" customWidth="true" hidden="false" outlineLevel="0" max="9" min="9" style="211" width="11.14"/>
    <col collapsed="false" customWidth="true" hidden="false" outlineLevel="0" max="10" min="10" style="211" width="8.57"/>
    <col collapsed="false" customWidth="true" hidden="false" outlineLevel="0" max="11" min="11" style="211" width="11.71"/>
    <col collapsed="false" customWidth="true" hidden="false" outlineLevel="0" max="12" min="12" style="211" width="10.14"/>
    <col collapsed="false" customWidth="true" hidden="false" outlineLevel="0" max="14" min="13" style="211" width="11.71"/>
    <col collapsed="false" customWidth="true" hidden="false" outlineLevel="0" max="15" min="15" style="211" width="14.85"/>
    <col collapsed="false" customWidth="true" hidden="false" outlineLevel="0" max="16" min="16" style="211" width="12.85"/>
    <col collapsed="false" customWidth="true" hidden="false" outlineLevel="0" max="17" min="17" style="211" width="16.57"/>
    <col collapsed="false" customWidth="true" hidden="false" outlineLevel="0" max="18" min="18" style="211" width="15.14"/>
    <col collapsed="false" customWidth="true" hidden="false" outlineLevel="0" max="19" min="19" style="211" width="19.43"/>
    <col collapsed="false" customWidth="true" hidden="false" outlineLevel="0" max="20" min="20" style="211" width="20.14"/>
    <col collapsed="false" customWidth="true" hidden="false" outlineLevel="0" max="28" min="21" style="211" width="15.85"/>
    <col collapsed="false" customWidth="true" hidden="false" outlineLevel="0" max="29" min="29" style="547" width="35.43"/>
    <col collapsed="false" customWidth="true" hidden="false" outlineLevel="0" max="30" min="30" style="211" width="9.28"/>
    <col collapsed="false" customWidth="true" hidden="false" outlineLevel="0" max="31" min="31" style="211" width="11"/>
    <col collapsed="false" customWidth="true" hidden="false" outlineLevel="0" max="32" min="32" style="211" width="13.28"/>
    <col collapsed="false" customWidth="false" hidden="false" outlineLevel="0" max="1024" min="33" style="211" width="9.14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08" t="s">
        <v>3</v>
      </c>
      <c r="AE1" s="508" t="s">
        <v>3</v>
      </c>
    </row>
    <row r="2" s="13" customFormat="true" ht="92.25" hidden="false" customHeight="true" outlineLevel="0" collapsed="false">
      <c r="A2" s="6" t="e">
        <f aca="false">SUM(#REF!)</f>
        <v>#REF!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7"/>
      <c r="M2" s="7" t="s">
        <v>15</v>
      </c>
      <c r="N2" s="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509" t="s">
        <v>31</v>
      </c>
      <c r="AE2" s="509"/>
      <c r="AF2" s="297" t="s">
        <v>1258</v>
      </c>
    </row>
    <row r="3" s="13" customFormat="true" ht="41.2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509" t="s">
        <v>40</v>
      </c>
      <c r="AE3" s="509" t="s">
        <v>41</v>
      </c>
      <c r="AF3" s="297"/>
    </row>
    <row r="4" customFormat="false" ht="18.75" hidden="false" customHeight="false" outlineLevel="0" collapsed="false">
      <c r="A4" s="379" t="s">
        <v>42</v>
      </c>
      <c r="B4" s="379" t="s">
        <v>4611</v>
      </c>
      <c r="C4" s="378" t="s">
        <v>4612</v>
      </c>
      <c r="D4" s="548" t="s">
        <v>4613</v>
      </c>
      <c r="E4" s="379" t="s">
        <v>4614</v>
      </c>
      <c r="F4" s="379" t="n">
        <v>2514.57</v>
      </c>
      <c r="G4" s="379" t="n">
        <v>290</v>
      </c>
      <c r="H4" s="379" t="n">
        <v>1816</v>
      </c>
      <c r="I4" s="379" t="n">
        <v>929</v>
      </c>
      <c r="J4" s="379" t="n">
        <v>887</v>
      </c>
      <c r="K4" s="379" t="n">
        <v>409</v>
      </c>
      <c r="L4" s="19" t="n">
        <f aca="false">(K4/H4)*100</f>
        <v>22.5220264317181</v>
      </c>
      <c r="M4" s="379" t="n">
        <v>240</v>
      </c>
      <c r="N4" s="19" t="n">
        <f aca="false">(M4/H4)*100</f>
        <v>13.215859030837</v>
      </c>
      <c r="O4" s="379" t="n">
        <v>535.41</v>
      </c>
      <c r="P4" s="379" t="n">
        <v>0</v>
      </c>
      <c r="Q4" s="183" t="s">
        <v>49</v>
      </c>
      <c r="R4" s="179" t="n">
        <v>45519</v>
      </c>
      <c r="S4" s="379"/>
      <c r="T4" s="183" t="n">
        <v>78.9459</v>
      </c>
      <c r="U4" s="379"/>
      <c r="V4" s="379"/>
      <c r="W4" s="379"/>
      <c r="X4" s="379"/>
      <c r="Y4" s="379"/>
      <c r="Z4" s="379"/>
      <c r="AA4" s="180" t="s">
        <v>50</v>
      </c>
      <c r="AB4" s="181" t="n">
        <v>0</v>
      </c>
      <c r="AC4" s="382"/>
      <c r="AD4" s="183"/>
      <c r="AE4" s="183"/>
      <c r="AF4" s="183"/>
    </row>
    <row r="5" customFormat="false" ht="18.75" hidden="false" customHeight="false" outlineLevel="0" collapsed="false">
      <c r="A5" s="379" t="s">
        <v>42</v>
      </c>
      <c r="B5" s="379" t="s">
        <v>4611</v>
      </c>
      <c r="C5" s="378" t="s">
        <v>4612</v>
      </c>
      <c r="D5" s="549" t="s">
        <v>4615</v>
      </c>
      <c r="E5" s="379" t="s">
        <v>4616</v>
      </c>
      <c r="F5" s="379" t="n">
        <v>1515.23</v>
      </c>
      <c r="G5" s="379" t="n">
        <v>43</v>
      </c>
      <c r="H5" s="379" t="n">
        <v>257</v>
      </c>
      <c r="I5" s="379" t="n">
        <v>137</v>
      </c>
      <c r="J5" s="379" t="n">
        <v>120</v>
      </c>
      <c r="K5" s="379" t="n">
        <v>87</v>
      </c>
      <c r="L5" s="19" t="n">
        <f aca="false">(K5/H5)*100</f>
        <v>33.852140077821</v>
      </c>
      <c r="M5" s="379" t="n">
        <v>6</v>
      </c>
      <c r="N5" s="19" t="n">
        <f aca="false">(M5/H5)*100</f>
        <v>2.33463035019455</v>
      </c>
      <c r="O5" s="379" t="n">
        <v>0</v>
      </c>
      <c r="P5" s="379" t="n">
        <v>0</v>
      </c>
      <c r="Q5" s="183" t="s">
        <v>49</v>
      </c>
      <c r="R5" s="179" t="n">
        <v>45519</v>
      </c>
      <c r="S5" s="379"/>
      <c r="T5" s="183"/>
      <c r="U5" s="379"/>
      <c r="V5" s="379"/>
      <c r="W5" s="379"/>
      <c r="X5" s="379"/>
      <c r="Y5" s="379"/>
      <c r="Z5" s="379"/>
      <c r="AA5" s="180" t="s">
        <v>50</v>
      </c>
      <c r="AB5" s="181" t="n">
        <v>0</v>
      </c>
      <c r="AC5" s="382"/>
      <c r="AD5" s="183"/>
      <c r="AE5" s="183"/>
      <c r="AF5" s="183"/>
    </row>
    <row r="6" customFormat="false" ht="37.5" hidden="false" customHeight="false" outlineLevel="0" collapsed="false">
      <c r="A6" s="379" t="s">
        <v>42</v>
      </c>
      <c r="B6" s="379" t="s">
        <v>4611</v>
      </c>
      <c r="C6" s="378" t="s">
        <v>4612</v>
      </c>
      <c r="D6" s="549" t="s">
        <v>4617</v>
      </c>
      <c r="E6" s="379" t="s">
        <v>4618</v>
      </c>
      <c r="F6" s="379" t="n">
        <v>1059.11</v>
      </c>
      <c r="G6" s="379" t="n">
        <v>181</v>
      </c>
      <c r="H6" s="379" t="n">
        <v>1311</v>
      </c>
      <c r="I6" s="379" t="n">
        <v>673</v>
      </c>
      <c r="J6" s="379" t="n">
        <v>638</v>
      </c>
      <c r="K6" s="379" t="n">
        <v>284</v>
      </c>
      <c r="L6" s="19" t="n">
        <f aca="false">(K6/H6)*100</f>
        <v>21.6628527841342</v>
      </c>
      <c r="M6" s="379" t="n">
        <v>119</v>
      </c>
      <c r="N6" s="19" t="n">
        <f aca="false">(M6/H6)*100</f>
        <v>9.07704042715484</v>
      </c>
      <c r="O6" s="379" t="n">
        <v>28.23</v>
      </c>
      <c r="P6" s="379" t="n">
        <v>0</v>
      </c>
      <c r="Q6" s="183" t="s">
        <v>49</v>
      </c>
      <c r="R6" s="179" t="n">
        <v>45519</v>
      </c>
      <c r="S6" s="379"/>
      <c r="T6" s="183" t="n">
        <v>60.7074</v>
      </c>
      <c r="U6" s="379"/>
      <c r="V6" s="379"/>
      <c r="W6" s="379"/>
      <c r="X6" s="379"/>
      <c r="Y6" s="379"/>
      <c r="Z6" s="379"/>
      <c r="AA6" s="180" t="s">
        <v>50</v>
      </c>
      <c r="AB6" s="181" t="n">
        <v>5</v>
      </c>
      <c r="AC6" s="182" t="s">
        <v>4619</v>
      </c>
      <c r="AD6" s="183" t="n">
        <v>26.53966</v>
      </c>
      <c r="AE6" s="183" t="n">
        <v>72.814471</v>
      </c>
      <c r="AF6" s="183"/>
    </row>
    <row r="7" customFormat="false" ht="18.75" hidden="false" customHeight="false" outlineLevel="0" collapsed="false">
      <c r="A7" s="379" t="s">
        <v>42</v>
      </c>
      <c r="B7" s="379" t="s">
        <v>4611</v>
      </c>
      <c r="C7" s="378" t="s">
        <v>4620</v>
      </c>
      <c r="D7" s="548" t="s">
        <v>4621</v>
      </c>
      <c r="E7" s="379" t="s">
        <v>4622</v>
      </c>
      <c r="F7" s="379" t="n">
        <v>1249</v>
      </c>
      <c r="G7" s="379" t="n">
        <v>795</v>
      </c>
      <c r="H7" s="379" t="n">
        <v>5038</v>
      </c>
      <c r="I7" s="379" t="n">
        <v>2638</v>
      </c>
      <c r="J7" s="379" t="n">
        <v>2400</v>
      </c>
      <c r="K7" s="379" t="n">
        <v>1705</v>
      </c>
      <c r="L7" s="19" t="n">
        <f aca="false">(K7/H7)*100</f>
        <v>33.8427947598253</v>
      </c>
      <c r="M7" s="379" t="n">
        <v>133</v>
      </c>
      <c r="N7" s="19" t="n">
        <f aca="false">(M7/H7)*100</f>
        <v>2.63993648273124</v>
      </c>
      <c r="O7" s="379" t="n">
        <v>3</v>
      </c>
      <c r="P7" s="379" t="n">
        <v>0</v>
      </c>
      <c r="Q7" s="183"/>
      <c r="R7" s="183"/>
      <c r="S7" s="379"/>
      <c r="T7" s="183"/>
      <c r="U7" s="379"/>
      <c r="V7" s="379"/>
      <c r="W7" s="379"/>
      <c r="X7" s="379"/>
      <c r="Y7" s="379"/>
      <c r="Z7" s="379"/>
      <c r="AA7" s="183"/>
      <c r="AB7" s="183"/>
      <c r="AC7" s="550"/>
      <c r="AD7" s="551"/>
      <c r="AE7" s="183"/>
      <c r="AF7" s="183"/>
    </row>
    <row r="8" customFormat="false" ht="18.75" hidden="false" customHeight="false" outlineLevel="0" collapsed="false">
      <c r="A8" s="379" t="s">
        <v>42</v>
      </c>
      <c r="B8" s="379" t="s">
        <v>4611</v>
      </c>
      <c r="C8" s="378" t="s">
        <v>4620</v>
      </c>
      <c r="D8" s="549" t="s">
        <v>4623</v>
      </c>
      <c r="E8" s="379" t="s">
        <v>4624</v>
      </c>
      <c r="F8" s="379" t="n">
        <v>822</v>
      </c>
      <c r="G8" s="379" t="n">
        <v>120</v>
      </c>
      <c r="H8" s="379" t="n">
        <v>803</v>
      </c>
      <c r="I8" s="379" t="n">
        <v>411</v>
      </c>
      <c r="J8" s="379" t="n">
        <v>392</v>
      </c>
      <c r="K8" s="379" t="n">
        <v>349</v>
      </c>
      <c r="L8" s="19" t="n">
        <f aca="false">(K8/H8)*100</f>
        <v>43.4620174346202</v>
      </c>
      <c r="M8" s="379" t="n">
        <v>21</v>
      </c>
      <c r="N8" s="19" t="n">
        <f aca="false">(M8/H8)*100</f>
        <v>2.61519302615193</v>
      </c>
      <c r="O8" s="379" t="n">
        <v>0</v>
      </c>
      <c r="P8" s="379" t="n">
        <v>0</v>
      </c>
      <c r="Q8" s="183"/>
      <c r="R8" s="183"/>
      <c r="S8" s="379"/>
      <c r="T8" s="183"/>
      <c r="U8" s="379"/>
      <c r="V8" s="379"/>
      <c r="W8" s="379"/>
      <c r="X8" s="379"/>
      <c r="Y8" s="379"/>
      <c r="Z8" s="379"/>
      <c r="AA8" s="183"/>
      <c r="AB8" s="183"/>
      <c r="AC8" s="382"/>
      <c r="AD8" s="183"/>
      <c r="AE8" s="183"/>
      <c r="AF8" s="183"/>
    </row>
    <row r="9" customFormat="false" ht="18.75" hidden="false" customHeight="false" outlineLevel="0" collapsed="false">
      <c r="A9" s="379" t="s">
        <v>42</v>
      </c>
      <c r="B9" s="379" t="s">
        <v>4611</v>
      </c>
      <c r="C9" s="378" t="s">
        <v>4620</v>
      </c>
      <c r="D9" s="549" t="s">
        <v>4625</v>
      </c>
      <c r="E9" s="379" t="s">
        <v>4626</v>
      </c>
      <c r="F9" s="379" t="n">
        <v>1499</v>
      </c>
      <c r="G9" s="379" t="n">
        <v>205</v>
      </c>
      <c r="H9" s="379" t="n">
        <v>1371</v>
      </c>
      <c r="I9" s="379" t="n">
        <v>710</v>
      </c>
      <c r="J9" s="379" t="n">
        <v>661</v>
      </c>
      <c r="K9" s="379" t="n">
        <v>458</v>
      </c>
      <c r="L9" s="19" t="n">
        <f aca="false">(K9/H9)*100</f>
        <v>33.4062727935813</v>
      </c>
      <c r="M9" s="379" t="n">
        <v>28</v>
      </c>
      <c r="N9" s="19" t="n">
        <f aca="false">(M9/H9)*100</f>
        <v>2.04230488694384</v>
      </c>
      <c r="O9" s="379" t="n">
        <v>89</v>
      </c>
      <c r="P9" s="379" t="n">
        <v>101</v>
      </c>
      <c r="Q9" s="183"/>
      <c r="R9" s="183"/>
      <c r="S9" s="379"/>
      <c r="T9" s="183"/>
      <c r="U9" s="379"/>
      <c r="V9" s="379"/>
      <c r="W9" s="379"/>
      <c r="X9" s="379"/>
      <c r="Y9" s="379"/>
      <c r="Z9" s="379"/>
      <c r="AA9" s="183"/>
      <c r="AB9" s="183"/>
      <c r="AC9" s="382"/>
      <c r="AD9" s="183"/>
      <c r="AE9" s="183"/>
      <c r="AF9" s="183"/>
    </row>
    <row r="10" customFormat="false" ht="18.75" hidden="false" customHeight="false" outlineLevel="0" collapsed="false">
      <c r="A10" s="379" t="s">
        <v>42</v>
      </c>
      <c r="B10" s="379" t="s">
        <v>4611</v>
      </c>
      <c r="C10" s="378" t="s">
        <v>4620</v>
      </c>
      <c r="D10" s="549" t="s">
        <v>4627</v>
      </c>
      <c r="E10" s="379" t="s">
        <v>4628</v>
      </c>
      <c r="F10" s="379" t="n">
        <v>1158</v>
      </c>
      <c r="G10" s="379" t="n">
        <v>236</v>
      </c>
      <c r="H10" s="379" t="n">
        <v>1874</v>
      </c>
      <c r="I10" s="379" t="n">
        <v>991</v>
      </c>
      <c r="J10" s="379" t="n">
        <v>883</v>
      </c>
      <c r="K10" s="379" t="n">
        <v>291</v>
      </c>
      <c r="L10" s="19" t="n">
        <f aca="false">(K10/H10)*100</f>
        <v>15.5282817502668</v>
      </c>
      <c r="M10" s="379" t="n">
        <v>15</v>
      </c>
      <c r="N10" s="19" t="n">
        <f aca="false">(M10/H10)*100</f>
        <v>0.80042689434365</v>
      </c>
      <c r="O10" s="379" t="n">
        <v>175</v>
      </c>
      <c r="P10" s="379" t="n">
        <v>0</v>
      </c>
      <c r="Q10" s="183"/>
      <c r="R10" s="183"/>
      <c r="S10" s="379"/>
      <c r="T10" s="183"/>
      <c r="U10" s="379"/>
      <c r="V10" s="379"/>
      <c r="W10" s="379"/>
      <c r="X10" s="379"/>
      <c r="Y10" s="379"/>
      <c r="Z10" s="379"/>
      <c r="AA10" s="183"/>
      <c r="AB10" s="183"/>
      <c r="AC10" s="382"/>
      <c r="AD10" s="183"/>
      <c r="AE10" s="183"/>
      <c r="AF10" s="183"/>
    </row>
    <row r="11" customFormat="false" ht="18.75" hidden="false" customHeight="false" outlineLevel="0" collapsed="false">
      <c r="A11" s="379" t="s">
        <v>42</v>
      </c>
      <c r="B11" s="379" t="s">
        <v>4611</v>
      </c>
      <c r="C11" s="378" t="s">
        <v>4629</v>
      </c>
      <c r="D11" s="548" t="s">
        <v>4630</v>
      </c>
      <c r="E11" s="379" t="s">
        <v>4631</v>
      </c>
      <c r="F11" s="379" t="n">
        <v>1910.28</v>
      </c>
      <c r="G11" s="379" t="n">
        <v>473</v>
      </c>
      <c r="H11" s="379" t="n">
        <v>2956</v>
      </c>
      <c r="I11" s="379" t="n">
        <v>1559</v>
      </c>
      <c r="J11" s="379" t="n">
        <v>1397</v>
      </c>
      <c r="K11" s="379" t="n">
        <v>427</v>
      </c>
      <c r="L11" s="19" t="n">
        <f aca="false">(K11/H11)*100</f>
        <v>14.4451962110961</v>
      </c>
      <c r="M11" s="379" t="n">
        <v>122</v>
      </c>
      <c r="N11" s="19" t="n">
        <f aca="false">(M11/H11)*100</f>
        <v>4.12719891745602</v>
      </c>
      <c r="O11" s="379" t="n">
        <v>61.02</v>
      </c>
      <c r="P11" s="379" t="n">
        <v>0</v>
      </c>
      <c r="Q11" s="183"/>
      <c r="R11" s="183"/>
      <c r="S11" s="379"/>
      <c r="T11" s="183"/>
      <c r="U11" s="379"/>
      <c r="V11" s="379"/>
      <c r="W11" s="379"/>
      <c r="X11" s="379"/>
      <c r="Y11" s="379"/>
      <c r="Z11" s="379"/>
      <c r="AA11" s="183"/>
      <c r="AB11" s="183"/>
      <c r="AC11" s="550"/>
      <c r="AD11" s="551"/>
      <c r="AE11" s="183"/>
      <c r="AF11" s="183"/>
    </row>
    <row r="12" customFormat="false" ht="18.75" hidden="false" customHeight="false" outlineLevel="0" collapsed="false">
      <c r="A12" s="379" t="s">
        <v>42</v>
      </c>
      <c r="B12" s="379" t="s">
        <v>4611</v>
      </c>
      <c r="C12" s="378" t="s">
        <v>4629</v>
      </c>
      <c r="D12" s="549" t="s">
        <v>4632</v>
      </c>
      <c r="E12" s="379" t="s">
        <v>4633</v>
      </c>
      <c r="F12" s="379" t="n">
        <v>1702.1</v>
      </c>
      <c r="G12" s="379" t="n">
        <v>323</v>
      </c>
      <c r="H12" s="379" t="n">
        <v>2058</v>
      </c>
      <c r="I12" s="379" t="n">
        <v>1053</v>
      </c>
      <c r="J12" s="379" t="n">
        <v>1005</v>
      </c>
      <c r="K12" s="379" t="n">
        <v>107</v>
      </c>
      <c r="L12" s="19" t="n">
        <f aca="false">(K12/H12)*100</f>
        <v>5.19922254616132</v>
      </c>
      <c r="M12" s="379" t="n">
        <v>125</v>
      </c>
      <c r="N12" s="19" t="n">
        <f aca="false">(M12/H12)*100</f>
        <v>6.07385811467444</v>
      </c>
      <c r="O12" s="379" t="n">
        <v>64.01</v>
      </c>
      <c r="P12" s="379" t="n">
        <v>0</v>
      </c>
      <c r="Q12" s="183"/>
      <c r="R12" s="183"/>
      <c r="S12" s="379"/>
      <c r="T12" s="183"/>
      <c r="U12" s="379"/>
      <c r="V12" s="379"/>
      <c r="W12" s="379"/>
      <c r="X12" s="379"/>
      <c r="Y12" s="379"/>
      <c r="Z12" s="379"/>
      <c r="AA12" s="183"/>
      <c r="AB12" s="183"/>
      <c r="AC12" s="382"/>
      <c r="AD12" s="183"/>
      <c r="AE12" s="183"/>
      <c r="AF12" s="183"/>
    </row>
    <row r="13" customFormat="false" ht="18.75" hidden="false" customHeight="false" outlineLevel="0" collapsed="false">
      <c r="A13" s="379" t="s">
        <v>42</v>
      </c>
      <c r="B13" s="379" t="s">
        <v>4611</v>
      </c>
      <c r="C13" s="378" t="s">
        <v>4634</v>
      </c>
      <c r="D13" s="548" t="s">
        <v>4635</v>
      </c>
      <c r="E13" s="379" t="s">
        <v>4636</v>
      </c>
      <c r="F13" s="379" t="n">
        <v>2127.15</v>
      </c>
      <c r="G13" s="379" t="n">
        <v>535</v>
      </c>
      <c r="H13" s="379" t="n">
        <v>3476</v>
      </c>
      <c r="I13" s="379" t="n">
        <v>1800</v>
      </c>
      <c r="J13" s="379" t="n">
        <v>1676</v>
      </c>
      <c r="K13" s="379" t="n">
        <v>1276</v>
      </c>
      <c r="L13" s="19" t="n">
        <f aca="false">(K13/H13)*100</f>
        <v>36.7088607594937</v>
      </c>
      <c r="M13" s="379" t="n">
        <v>147</v>
      </c>
      <c r="N13" s="19" t="n">
        <f aca="false">(M13/H13)*100</f>
        <v>4.22899884925201</v>
      </c>
      <c r="O13" s="379" t="n">
        <v>49.35</v>
      </c>
      <c r="P13" s="379" t="n">
        <v>0</v>
      </c>
      <c r="Q13" s="183" t="s">
        <v>49</v>
      </c>
      <c r="R13" s="179" t="n">
        <v>45519</v>
      </c>
      <c r="S13" s="379"/>
      <c r="T13" s="183" t="n">
        <v>14.431</v>
      </c>
      <c r="U13" s="379"/>
      <c r="V13" s="379"/>
      <c r="W13" s="379"/>
      <c r="X13" s="379"/>
      <c r="Y13" s="379"/>
      <c r="Z13" s="379"/>
      <c r="AA13" s="180" t="s">
        <v>50</v>
      </c>
      <c r="AB13" s="181" t="n">
        <v>5</v>
      </c>
      <c r="AC13" s="182" t="s">
        <v>4637</v>
      </c>
      <c r="AD13" s="183" t="n">
        <v>26.612159</v>
      </c>
      <c r="AE13" s="183" t="n">
        <v>72.837053</v>
      </c>
      <c r="AF13" s="183"/>
    </row>
    <row r="14" customFormat="false" ht="37.5" hidden="false" customHeight="false" outlineLevel="0" collapsed="false">
      <c r="A14" s="379"/>
      <c r="B14" s="379"/>
      <c r="C14" s="378"/>
      <c r="D14" s="548"/>
      <c r="E14" s="379"/>
      <c r="F14" s="379"/>
      <c r="G14" s="379"/>
      <c r="H14" s="379"/>
      <c r="I14" s="379"/>
      <c r="J14" s="379"/>
      <c r="K14" s="379"/>
      <c r="L14" s="19"/>
      <c r="M14" s="379"/>
      <c r="N14" s="19"/>
      <c r="O14" s="379"/>
      <c r="P14" s="379"/>
      <c r="Q14" s="188"/>
      <c r="R14" s="184"/>
      <c r="S14" s="379"/>
      <c r="T14" s="188"/>
      <c r="U14" s="379"/>
      <c r="V14" s="379"/>
      <c r="W14" s="379"/>
      <c r="X14" s="379"/>
      <c r="Y14" s="379"/>
      <c r="Z14" s="379"/>
      <c r="AA14" s="185" t="s">
        <v>50</v>
      </c>
      <c r="AB14" s="186" t="n">
        <v>10</v>
      </c>
      <c r="AC14" s="187" t="s">
        <v>4638</v>
      </c>
      <c r="AD14" s="188" t="n">
        <v>26.637432</v>
      </c>
      <c r="AE14" s="188" t="n">
        <v>72.828005</v>
      </c>
      <c r="AF14" s="183"/>
    </row>
    <row r="15" customFormat="false" ht="37.5" hidden="false" customHeight="false" outlineLevel="0" collapsed="false">
      <c r="A15" s="379" t="s">
        <v>42</v>
      </c>
      <c r="B15" s="379" t="s">
        <v>4611</v>
      </c>
      <c r="C15" s="378" t="s">
        <v>4634</v>
      </c>
      <c r="D15" s="549" t="s">
        <v>4639</v>
      </c>
      <c r="E15" s="379" t="s">
        <v>4640</v>
      </c>
      <c r="F15" s="379" t="n">
        <v>1358.02</v>
      </c>
      <c r="G15" s="379" t="n">
        <v>319</v>
      </c>
      <c r="H15" s="379" t="n">
        <v>2013</v>
      </c>
      <c r="I15" s="379" t="n">
        <v>1048</v>
      </c>
      <c r="J15" s="379" t="n">
        <v>965</v>
      </c>
      <c r="K15" s="379" t="n">
        <v>142</v>
      </c>
      <c r="L15" s="19" t="n">
        <f aca="false">(K15/H15)*100</f>
        <v>7.0541480377546</v>
      </c>
      <c r="M15" s="379" t="n">
        <v>62</v>
      </c>
      <c r="N15" s="19" t="n">
        <f aca="false">(M15/H15)*100</f>
        <v>3.07998012916046</v>
      </c>
      <c r="O15" s="379" t="n">
        <v>32.14</v>
      </c>
      <c r="P15" s="379" t="n">
        <v>0</v>
      </c>
      <c r="Q15" s="183" t="s">
        <v>49</v>
      </c>
      <c r="R15" s="179" t="n">
        <v>45519</v>
      </c>
      <c r="S15" s="379"/>
      <c r="T15" s="183" t="n">
        <v>48.2789</v>
      </c>
      <c r="U15" s="379"/>
      <c r="V15" s="379"/>
      <c r="W15" s="379"/>
      <c r="X15" s="379"/>
      <c r="Y15" s="379"/>
      <c r="Z15" s="379"/>
      <c r="AA15" s="180" t="s">
        <v>50</v>
      </c>
      <c r="AB15" s="181" t="n">
        <v>5</v>
      </c>
      <c r="AC15" s="182" t="s">
        <v>4641</v>
      </c>
      <c r="AD15" s="183" t="n">
        <v>26.587797</v>
      </c>
      <c r="AE15" s="183" t="n">
        <v>72.832302</v>
      </c>
      <c r="AF15" s="183"/>
    </row>
    <row r="16" customFormat="false" ht="37.5" hidden="false" customHeight="false" outlineLevel="0" collapsed="false">
      <c r="A16" s="379"/>
      <c r="B16" s="379"/>
      <c r="C16" s="378"/>
      <c r="D16" s="549"/>
      <c r="E16" s="379"/>
      <c r="F16" s="379"/>
      <c r="G16" s="379"/>
      <c r="H16" s="379"/>
      <c r="I16" s="379"/>
      <c r="J16" s="379"/>
      <c r="K16" s="379"/>
      <c r="L16" s="19"/>
      <c r="M16" s="379"/>
      <c r="N16" s="19"/>
      <c r="O16" s="379"/>
      <c r="P16" s="379"/>
      <c r="Q16" s="188"/>
      <c r="R16" s="184"/>
      <c r="S16" s="379"/>
      <c r="T16" s="188"/>
      <c r="U16" s="379"/>
      <c r="V16" s="379"/>
      <c r="W16" s="379"/>
      <c r="X16" s="379"/>
      <c r="Y16" s="379"/>
      <c r="Z16" s="379"/>
      <c r="AA16" s="185" t="s">
        <v>50</v>
      </c>
      <c r="AB16" s="186" t="n">
        <v>12</v>
      </c>
      <c r="AC16" s="187" t="s">
        <v>4642</v>
      </c>
      <c r="AD16" s="188" t="n">
        <v>26.58033</v>
      </c>
      <c r="AE16" s="188" t="n">
        <v>72.829927</v>
      </c>
      <c r="AF16" s="183"/>
    </row>
    <row r="17" customFormat="false" ht="37.5" hidden="false" customHeight="false" outlineLevel="0" collapsed="false">
      <c r="A17" s="379" t="s">
        <v>42</v>
      </c>
      <c r="B17" s="379" t="s">
        <v>4611</v>
      </c>
      <c r="C17" s="378" t="s">
        <v>1287</v>
      </c>
      <c r="D17" s="548" t="s">
        <v>4643</v>
      </c>
      <c r="E17" s="379" t="s">
        <v>4644</v>
      </c>
      <c r="F17" s="379" t="n">
        <v>832.93</v>
      </c>
      <c r="G17" s="379" t="n">
        <v>666</v>
      </c>
      <c r="H17" s="379" t="n">
        <v>4306</v>
      </c>
      <c r="I17" s="379" t="n">
        <v>2280</v>
      </c>
      <c r="J17" s="379" t="n">
        <v>2026</v>
      </c>
      <c r="K17" s="379" t="n">
        <v>1046</v>
      </c>
      <c r="L17" s="19" t="n">
        <f aca="false">(K17/H17)*100</f>
        <v>24.2916860195077</v>
      </c>
      <c r="M17" s="379" t="n">
        <v>35</v>
      </c>
      <c r="N17" s="19" t="n">
        <f aca="false">(M17/H17)*100</f>
        <v>0.812819321876451</v>
      </c>
      <c r="O17" s="379" t="n">
        <v>128.24</v>
      </c>
      <c r="P17" s="379" t="n">
        <v>0</v>
      </c>
      <c r="Q17" s="183" t="s">
        <v>49</v>
      </c>
      <c r="R17" s="179" t="n">
        <v>45519</v>
      </c>
      <c r="S17" s="379"/>
      <c r="T17" s="183" t="n">
        <v>125.1916</v>
      </c>
      <c r="U17" s="379"/>
      <c r="V17" s="379"/>
      <c r="W17" s="379"/>
      <c r="X17" s="379"/>
      <c r="Y17" s="379"/>
      <c r="Z17" s="379"/>
      <c r="AA17" s="180" t="s">
        <v>50</v>
      </c>
      <c r="AB17" s="181" t="n">
        <v>18</v>
      </c>
      <c r="AC17" s="182" t="s">
        <v>4645</v>
      </c>
      <c r="AD17" s="183" t="n">
        <v>26.491659</v>
      </c>
      <c r="AE17" s="183" t="n">
        <v>72.922326</v>
      </c>
      <c r="AF17" s="183"/>
    </row>
    <row r="18" customFormat="false" ht="18.75" hidden="false" customHeight="false" outlineLevel="0" collapsed="false">
      <c r="A18" s="379"/>
      <c r="B18" s="379"/>
      <c r="C18" s="378"/>
      <c r="D18" s="548"/>
      <c r="E18" s="379"/>
      <c r="F18" s="379"/>
      <c r="G18" s="379"/>
      <c r="H18" s="379"/>
      <c r="I18" s="379"/>
      <c r="J18" s="379"/>
      <c r="K18" s="379"/>
      <c r="L18" s="19"/>
      <c r="M18" s="379"/>
      <c r="N18" s="19"/>
      <c r="O18" s="379"/>
      <c r="P18" s="379"/>
      <c r="Q18" s="188"/>
      <c r="R18" s="184"/>
      <c r="S18" s="379"/>
      <c r="T18" s="188"/>
      <c r="U18" s="379"/>
      <c r="V18" s="379"/>
      <c r="W18" s="379"/>
      <c r="X18" s="379"/>
      <c r="Y18" s="379"/>
      <c r="Z18" s="379"/>
      <c r="AA18" s="185" t="s">
        <v>50</v>
      </c>
      <c r="AB18" s="186" t="n">
        <v>15</v>
      </c>
      <c r="AC18" s="187" t="s">
        <v>4646</v>
      </c>
      <c r="AD18" s="188" t="n">
        <v>26.499865</v>
      </c>
      <c r="AE18" s="188" t="n">
        <v>72.922154</v>
      </c>
      <c r="AF18" s="183"/>
    </row>
    <row r="19" customFormat="false" ht="18.75" hidden="false" customHeight="false" outlineLevel="0" collapsed="false">
      <c r="A19" s="379" t="s">
        <v>42</v>
      </c>
      <c r="B19" s="379" t="s">
        <v>4611</v>
      </c>
      <c r="C19" s="378" t="s">
        <v>1287</v>
      </c>
      <c r="D19" s="549" t="s">
        <v>868</v>
      </c>
      <c r="E19" s="379" t="s">
        <v>4647</v>
      </c>
      <c r="F19" s="379" t="n">
        <v>508.56</v>
      </c>
      <c r="G19" s="379" t="n">
        <v>204</v>
      </c>
      <c r="H19" s="379" t="n">
        <v>1592</v>
      </c>
      <c r="I19" s="379" t="n">
        <v>829</v>
      </c>
      <c r="J19" s="379" t="n">
        <v>763</v>
      </c>
      <c r="K19" s="379" t="n">
        <v>78</v>
      </c>
      <c r="L19" s="19" t="n">
        <f aca="false">(K19/H19)*100</f>
        <v>4.89949748743719</v>
      </c>
      <c r="M19" s="379" t="n">
        <v>0</v>
      </c>
      <c r="N19" s="19" t="n">
        <f aca="false">(M19/H19)*100</f>
        <v>0</v>
      </c>
      <c r="O19" s="379" t="n">
        <v>18.76</v>
      </c>
      <c r="P19" s="379" t="n">
        <v>0</v>
      </c>
      <c r="Q19" s="183" t="s">
        <v>49</v>
      </c>
      <c r="R19" s="179" t="n">
        <v>45519</v>
      </c>
      <c r="S19" s="379"/>
      <c r="T19" s="183" t="n">
        <v>18.5993</v>
      </c>
      <c r="U19" s="379"/>
      <c r="V19" s="379"/>
      <c r="W19" s="379"/>
      <c r="X19" s="379"/>
      <c r="Y19" s="379"/>
      <c r="Z19" s="379"/>
      <c r="AA19" s="180" t="s">
        <v>50</v>
      </c>
      <c r="AB19" s="181" t="n">
        <v>12</v>
      </c>
      <c r="AC19" s="182" t="s">
        <v>4648</v>
      </c>
      <c r="AD19" s="183" t="n">
        <v>26.47795</v>
      </c>
      <c r="AE19" s="183" t="n">
        <v>72.923686</v>
      </c>
      <c r="AF19" s="183"/>
    </row>
    <row r="20" customFormat="false" ht="18.75" hidden="false" customHeight="false" outlineLevel="0" collapsed="false">
      <c r="A20" s="379" t="s">
        <v>42</v>
      </c>
      <c r="B20" s="379" t="s">
        <v>4611</v>
      </c>
      <c r="C20" s="378" t="s">
        <v>4649</v>
      </c>
      <c r="D20" s="548" t="s">
        <v>4649</v>
      </c>
      <c r="E20" s="379" t="s">
        <v>4650</v>
      </c>
      <c r="F20" s="379" t="n">
        <v>1456.44</v>
      </c>
      <c r="G20" s="379" t="n">
        <v>293</v>
      </c>
      <c r="H20" s="379" t="n">
        <v>2039</v>
      </c>
      <c r="I20" s="379" t="n">
        <v>1046</v>
      </c>
      <c r="J20" s="379" t="n">
        <v>993</v>
      </c>
      <c r="K20" s="379" t="n">
        <v>353</v>
      </c>
      <c r="L20" s="19" t="n">
        <f aca="false">(K20/H20)*100</f>
        <v>17.3124080431584</v>
      </c>
      <c r="M20" s="379" t="n">
        <v>19</v>
      </c>
      <c r="N20" s="19" t="n">
        <f aca="false">(M20/H20)*100</f>
        <v>0.931829328102011</v>
      </c>
      <c r="O20" s="379" t="n">
        <v>88</v>
      </c>
      <c r="P20" s="379" t="n">
        <v>0</v>
      </c>
      <c r="Q20" s="183" t="s">
        <v>49</v>
      </c>
      <c r="R20" s="179" t="n">
        <v>45519</v>
      </c>
      <c r="S20" s="379"/>
      <c r="T20" s="183" t="n">
        <v>79.5449</v>
      </c>
      <c r="U20" s="379"/>
      <c r="V20" s="379"/>
      <c r="W20" s="379"/>
      <c r="X20" s="379"/>
      <c r="Y20" s="379"/>
      <c r="Z20" s="379"/>
      <c r="AA20" s="180" t="s">
        <v>50</v>
      </c>
      <c r="AB20" s="181" t="n">
        <v>18</v>
      </c>
      <c r="AC20" s="182" t="s">
        <v>4651</v>
      </c>
      <c r="AD20" s="183" t="n">
        <v>26.611559</v>
      </c>
      <c r="AE20" s="183" t="n">
        <v>72.979532</v>
      </c>
      <c r="AF20" s="183"/>
    </row>
    <row r="21" customFormat="false" ht="37.5" hidden="false" customHeight="false" outlineLevel="0" collapsed="false">
      <c r="A21" s="379"/>
      <c r="B21" s="379"/>
      <c r="C21" s="378"/>
      <c r="D21" s="548"/>
      <c r="E21" s="379"/>
      <c r="F21" s="379"/>
      <c r="G21" s="379"/>
      <c r="H21" s="379"/>
      <c r="I21" s="379"/>
      <c r="J21" s="379"/>
      <c r="K21" s="379"/>
      <c r="L21" s="19"/>
      <c r="M21" s="379"/>
      <c r="N21" s="19"/>
      <c r="O21" s="379"/>
      <c r="P21" s="379"/>
      <c r="Q21" s="188"/>
      <c r="R21" s="184"/>
      <c r="S21" s="379"/>
      <c r="T21" s="188"/>
      <c r="U21" s="379"/>
      <c r="V21" s="379"/>
      <c r="W21" s="379"/>
      <c r="X21" s="379"/>
      <c r="Y21" s="379"/>
      <c r="Z21" s="379"/>
      <c r="AA21" s="185" t="s">
        <v>50</v>
      </c>
      <c r="AB21" s="186" t="n">
        <v>10</v>
      </c>
      <c r="AC21" s="187" t="s">
        <v>4652</v>
      </c>
      <c r="AD21" s="188" t="n">
        <v>26.570728</v>
      </c>
      <c r="AE21" s="188" t="n">
        <v>72.980073</v>
      </c>
      <c r="AF21" s="183"/>
    </row>
    <row r="22" customFormat="false" ht="37.5" hidden="false" customHeight="false" outlineLevel="0" collapsed="false">
      <c r="A22" s="379" t="s">
        <v>42</v>
      </c>
      <c r="B22" s="379" t="s">
        <v>4611</v>
      </c>
      <c r="C22" s="378" t="s">
        <v>4649</v>
      </c>
      <c r="D22" s="549" t="s">
        <v>4653</v>
      </c>
      <c r="E22" s="379" t="s">
        <v>4654</v>
      </c>
      <c r="F22" s="379" t="n">
        <v>816.57</v>
      </c>
      <c r="G22" s="379" t="n">
        <v>160</v>
      </c>
      <c r="H22" s="379" t="n">
        <v>1134</v>
      </c>
      <c r="I22" s="379" t="n">
        <v>587</v>
      </c>
      <c r="J22" s="379" t="n">
        <v>547</v>
      </c>
      <c r="K22" s="379" t="n">
        <v>192</v>
      </c>
      <c r="L22" s="19" t="n">
        <f aca="false">(K22/H22)*100</f>
        <v>16.9312169312169</v>
      </c>
      <c r="M22" s="379" t="n">
        <v>9</v>
      </c>
      <c r="N22" s="19" t="n">
        <f aca="false">(M22/H22)*100</f>
        <v>0.793650793650794</v>
      </c>
      <c r="O22" s="379" t="n">
        <v>23.31</v>
      </c>
      <c r="P22" s="379" t="n">
        <v>0</v>
      </c>
      <c r="Q22" s="183" t="s">
        <v>49</v>
      </c>
      <c r="R22" s="179" t="n">
        <v>45519</v>
      </c>
      <c r="S22" s="379"/>
      <c r="T22" s="183" t="n">
        <v>22.0149</v>
      </c>
      <c r="U22" s="379"/>
      <c r="V22" s="379"/>
      <c r="W22" s="379"/>
      <c r="X22" s="379"/>
      <c r="Y22" s="379"/>
      <c r="Z22" s="379"/>
      <c r="AA22" s="180" t="s">
        <v>50</v>
      </c>
      <c r="AB22" s="181" t="n">
        <v>16</v>
      </c>
      <c r="AC22" s="182" t="s">
        <v>4655</v>
      </c>
      <c r="AD22" s="183" t="n">
        <v>26.57993</v>
      </c>
      <c r="AE22" s="183" t="n">
        <v>72.979678</v>
      </c>
      <c r="AF22" s="183"/>
    </row>
    <row r="23" customFormat="false" ht="26.25" hidden="false" customHeight="true" outlineLevel="0" collapsed="false">
      <c r="A23" s="379"/>
      <c r="B23" s="379"/>
      <c r="C23" s="378"/>
      <c r="D23" s="549"/>
      <c r="E23" s="379"/>
      <c r="F23" s="379"/>
      <c r="G23" s="379"/>
      <c r="H23" s="379"/>
      <c r="I23" s="379"/>
      <c r="J23" s="379"/>
      <c r="K23" s="379"/>
      <c r="L23" s="19"/>
      <c r="M23" s="379"/>
      <c r="N23" s="19"/>
      <c r="O23" s="379"/>
      <c r="P23" s="379"/>
      <c r="Q23" s="188"/>
      <c r="R23" s="184"/>
      <c r="S23" s="379"/>
      <c r="T23" s="188"/>
      <c r="U23" s="379"/>
      <c r="V23" s="379"/>
      <c r="W23" s="379"/>
      <c r="X23" s="379"/>
      <c r="Y23" s="379"/>
      <c r="Z23" s="379"/>
      <c r="AA23" s="185" t="s">
        <v>50</v>
      </c>
      <c r="AB23" s="186" t="n">
        <v>15</v>
      </c>
      <c r="AC23" s="187" t="s">
        <v>4656</v>
      </c>
      <c r="AD23" s="188" t="n">
        <v>26.572197</v>
      </c>
      <c r="AE23" s="188" t="n">
        <v>72.977579</v>
      </c>
      <c r="AF23" s="183"/>
    </row>
    <row r="24" customFormat="false" ht="32.25" hidden="false" customHeight="true" outlineLevel="0" collapsed="false">
      <c r="A24" s="379" t="s">
        <v>42</v>
      </c>
      <c r="B24" s="379" t="s">
        <v>4611</v>
      </c>
      <c r="C24" s="378" t="s">
        <v>4657</v>
      </c>
      <c r="D24" s="548" t="s">
        <v>4658</v>
      </c>
      <c r="E24" s="379" t="s">
        <v>4659</v>
      </c>
      <c r="F24" s="379" t="n">
        <v>1810.76</v>
      </c>
      <c r="G24" s="379" t="n">
        <v>456</v>
      </c>
      <c r="H24" s="379" t="n">
        <v>2922</v>
      </c>
      <c r="I24" s="379" t="n">
        <v>1488</v>
      </c>
      <c r="J24" s="379" t="n">
        <v>1434</v>
      </c>
      <c r="K24" s="379" t="n">
        <v>724</v>
      </c>
      <c r="L24" s="19" t="n">
        <f aca="false">(K24/H24)*100</f>
        <v>24.7775496235455</v>
      </c>
      <c r="M24" s="379" t="n">
        <v>161</v>
      </c>
      <c r="N24" s="19" t="n">
        <f aca="false">(M24/H24)*100</f>
        <v>5.50992470910335</v>
      </c>
      <c r="O24" s="379" t="n">
        <v>33</v>
      </c>
      <c r="P24" s="379" t="n">
        <v>0</v>
      </c>
      <c r="Q24" s="183" t="s">
        <v>49</v>
      </c>
      <c r="R24" s="179" t="n">
        <v>45519</v>
      </c>
      <c r="S24" s="379"/>
      <c r="T24" s="183" t="n">
        <v>57.6271</v>
      </c>
      <c r="U24" s="379"/>
      <c r="V24" s="379"/>
      <c r="W24" s="379"/>
      <c r="X24" s="379"/>
      <c r="Y24" s="379"/>
      <c r="Z24" s="379"/>
      <c r="AA24" s="180" t="s">
        <v>50</v>
      </c>
      <c r="AB24" s="181" t="n">
        <v>14</v>
      </c>
      <c r="AC24" s="182" t="s">
        <v>4660</v>
      </c>
      <c r="AD24" s="183" t="n">
        <v>26.578351</v>
      </c>
      <c r="AE24" s="183" t="n">
        <v>72.946737</v>
      </c>
      <c r="AF24" s="183"/>
    </row>
    <row r="25" customFormat="false" ht="37.5" hidden="false" customHeight="false" outlineLevel="0" collapsed="false">
      <c r="A25" s="379"/>
      <c r="B25" s="379"/>
      <c r="C25" s="378"/>
      <c r="D25" s="548"/>
      <c r="E25" s="379"/>
      <c r="F25" s="379"/>
      <c r="G25" s="379"/>
      <c r="H25" s="379"/>
      <c r="I25" s="379"/>
      <c r="J25" s="379"/>
      <c r="K25" s="379"/>
      <c r="L25" s="19"/>
      <c r="M25" s="379"/>
      <c r="N25" s="19"/>
      <c r="O25" s="379"/>
      <c r="P25" s="379"/>
      <c r="Q25" s="188"/>
      <c r="R25" s="184"/>
      <c r="S25" s="379"/>
      <c r="T25" s="188"/>
      <c r="U25" s="379"/>
      <c r="V25" s="379"/>
      <c r="W25" s="379"/>
      <c r="X25" s="379"/>
      <c r="Y25" s="379"/>
      <c r="Z25" s="379"/>
      <c r="AA25" s="185" t="s">
        <v>50</v>
      </c>
      <c r="AB25" s="186" t="n">
        <v>20</v>
      </c>
      <c r="AC25" s="187" t="s">
        <v>4661</v>
      </c>
      <c r="AD25" s="188" t="n">
        <v>26.549977</v>
      </c>
      <c r="AE25" s="188" t="n">
        <v>72.951321</v>
      </c>
      <c r="AF25" s="183"/>
    </row>
    <row r="26" customFormat="false" ht="56.25" hidden="false" customHeight="false" outlineLevel="0" collapsed="false">
      <c r="A26" s="379" t="s">
        <v>42</v>
      </c>
      <c r="B26" s="379" t="s">
        <v>4611</v>
      </c>
      <c r="C26" s="378" t="s">
        <v>4657</v>
      </c>
      <c r="D26" s="549" t="s">
        <v>4662</v>
      </c>
      <c r="E26" s="379" t="s">
        <v>4663</v>
      </c>
      <c r="F26" s="379" t="n">
        <v>1811.12</v>
      </c>
      <c r="G26" s="379" t="n">
        <v>369</v>
      </c>
      <c r="H26" s="379" t="n">
        <v>2295</v>
      </c>
      <c r="I26" s="379" t="n">
        <v>1167</v>
      </c>
      <c r="J26" s="379" t="n">
        <v>1128</v>
      </c>
      <c r="K26" s="379" t="n">
        <v>619</v>
      </c>
      <c r="L26" s="19" t="n">
        <f aca="false">(K26/H26)*100</f>
        <v>26.9716775599129</v>
      </c>
      <c r="M26" s="379" t="n">
        <v>3</v>
      </c>
      <c r="N26" s="19" t="n">
        <f aca="false">(M26/H26)*100</f>
        <v>0.130718954248366</v>
      </c>
      <c r="O26" s="379" t="n">
        <v>44</v>
      </c>
      <c r="P26" s="379" t="n">
        <v>0</v>
      </c>
      <c r="Q26" s="183" t="s">
        <v>49</v>
      </c>
      <c r="R26" s="179" t="n">
        <v>45519</v>
      </c>
      <c r="S26" s="379"/>
      <c r="T26" s="183" t="n">
        <v>28.328</v>
      </c>
      <c r="U26" s="379"/>
      <c r="V26" s="379"/>
      <c r="W26" s="379"/>
      <c r="X26" s="379"/>
      <c r="Y26" s="379"/>
      <c r="Z26" s="379"/>
      <c r="AA26" s="180" t="s">
        <v>50</v>
      </c>
      <c r="AB26" s="181" t="n">
        <v>15</v>
      </c>
      <c r="AC26" s="182" t="s">
        <v>4664</v>
      </c>
      <c r="AD26" s="183" t="n">
        <v>26.560823</v>
      </c>
      <c r="AE26" s="183" t="n">
        <v>72.937443</v>
      </c>
      <c r="AF26" s="183"/>
    </row>
    <row r="27" customFormat="false" ht="37.5" hidden="false" customHeight="false" outlineLevel="0" collapsed="false">
      <c r="A27" s="379"/>
      <c r="B27" s="379"/>
      <c r="C27" s="378"/>
      <c r="D27" s="549"/>
      <c r="E27" s="379"/>
      <c r="F27" s="379"/>
      <c r="G27" s="379"/>
      <c r="H27" s="379"/>
      <c r="I27" s="379"/>
      <c r="J27" s="379"/>
      <c r="K27" s="379"/>
      <c r="L27" s="19"/>
      <c r="M27" s="379"/>
      <c r="N27" s="19"/>
      <c r="O27" s="379"/>
      <c r="P27" s="379"/>
      <c r="Q27" s="188"/>
      <c r="R27" s="184"/>
      <c r="S27" s="379"/>
      <c r="T27" s="188"/>
      <c r="U27" s="379"/>
      <c r="V27" s="379"/>
      <c r="W27" s="379"/>
      <c r="X27" s="379"/>
      <c r="Y27" s="379"/>
      <c r="Z27" s="379"/>
      <c r="AA27" s="185" t="s">
        <v>50</v>
      </c>
      <c r="AB27" s="186" t="n">
        <v>15</v>
      </c>
      <c r="AC27" s="187" t="s">
        <v>4665</v>
      </c>
      <c r="AD27" s="188" t="n">
        <v>26.563785</v>
      </c>
      <c r="AE27" s="188" t="n">
        <v>72.938566</v>
      </c>
      <c r="AF27" s="183"/>
    </row>
    <row r="28" customFormat="false" ht="18.75" hidden="false" customHeight="false" outlineLevel="0" collapsed="false">
      <c r="A28" s="379" t="s">
        <v>42</v>
      </c>
      <c r="B28" s="379" t="s">
        <v>4611</v>
      </c>
      <c r="C28" s="378" t="s">
        <v>4666</v>
      </c>
      <c r="D28" s="548" t="s">
        <v>4666</v>
      </c>
      <c r="E28" s="379" t="s">
        <v>4667</v>
      </c>
      <c r="F28" s="379" t="n">
        <v>2473.18</v>
      </c>
      <c r="G28" s="379" t="n">
        <v>431</v>
      </c>
      <c r="H28" s="379" t="n">
        <v>2842</v>
      </c>
      <c r="I28" s="379" t="n">
        <v>1454</v>
      </c>
      <c r="J28" s="379" t="n">
        <v>1388</v>
      </c>
      <c r="K28" s="379" t="n">
        <v>420</v>
      </c>
      <c r="L28" s="19" t="n">
        <f aca="false">(K28/H28)*100</f>
        <v>14.7783251231527</v>
      </c>
      <c r="M28" s="379" t="n">
        <v>134</v>
      </c>
      <c r="N28" s="19" t="n">
        <f aca="false">(M28/H28)*100</f>
        <v>4.71498944405348</v>
      </c>
      <c r="O28" s="379" t="n">
        <v>154.11</v>
      </c>
      <c r="P28" s="379" t="n">
        <v>0</v>
      </c>
      <c r="Q28" s="183"/>
      <c r="R28" s="183"/>
      <c r="S28" s="379"/>
      <c r="T28" s="183"/>
      <c r="U28" s="379"/>
      <c r="V28" s="379"/>
      <c r="W28" s="379"/>
      <c r="X28" s="379"/>
      <c r="Y28" s="379"/>
      <c r="Z28" s="379"/>
      <c r="AA28" s="183"/>
      <c r="AB28" s="183"/>
      <c r="AC28" s="195"/>
      <c r="AD28" s="196"/>
      <c r="AE28" s="183"/>
      <c r="AF28" s="183"/>
    </row>
    <row r="29" customFormat="false" ht="18.75" hidden="false" customHeight="false" outlineLevel="0" collapsed="false">
      <c r="A29" s="379" t="s">
        <v>42</v>
      </c>
      <c r="B29" s="379" t="s">
        <v>4611</v>
      </c>
      <c r="C29" s="378" t="s">
        <v>4668</v>
      </c>
      <c r="D29" s="548" t="s">
        <v>4669</v>
      </c>
      <c r="E29" s="379" t="s">
        <v>4670</v>
      </c>
      <c r="F29" s="379" t="n">
        <v>478.74</v>
      </c>
      <c r="G29" s="379" t="n">
        <v>339</v>
      </c>
      <c r="H29" s="379" t="n">
        <v>1963</v>
      </c>
      <c r="I29" s="379" t="n">
        <v>1026</v>
      </c>
      <c r="J29" s="379" t="n">
        <v>937</v>
      </c>
      <c r="K29" s="379" t="n">
        <v>305</v>
      </c>
      <c r="L29" s="19" t="n">
        <f aca="false">(K29/H29)*100</f>
        <v>15.5374426897606</v>
      </c>
      <c r="M29" s="379" t="n">
        <v>22</v>
      </c>
      <c r="N29" s="19" t="n">
        <f aca="false">(M29/H29)*100</f>
        <v>1.1207335710647</v>
      </c>
      <c r="O29" s="379" t="n">
        <v>1.17</v>
      </c>
      <c r="P29" s="379" t="n">
        <v>0</v>
      </c>
      <c r="Q29" s="183"/>
      <c r="R29" s="183"/>
      <c r="S29" s="379"/>
      <c r="T29" s="183"/>
      <c r="U29" s="379"/>
      <c r="V29" s="379"/>
      <c r="W29" s="379"/>
      <c r="X29" s="379"/>
      <c r="Y29" s="379"/>
      <c r="Z29" s="379"/>
      <c r="AA29" s="183"/>
      <c r="AB29" s="183"/>
      <c r="AC29" s="382"/>
      <c r="AD29" s="183"/>
      <c r="AE29" s="183"/>
      <c r="AF29" s="183"/>
    </row>
    <row r="30" customFormat="false" ht="18.75" hidden="false" customHeight="false" outlineLevel="0" collapsed="false">
      <c r="A30" s="379" t="s">
        <v>42</v>
      </c>
      <c r="B30" s="379" t="s">
        <v>4611</v>
      </c>
      <c r="C30" s="378" t="s">
        <v>4668</v>
      </c>
      <c r="D30" s="549" t="s">
        <v>4671</v>
      </c>
      <c r="E30" s="379" t="s">
        <v>4672</v>
      </c>
      <c r="F30" s="379" t="n">
        <v>422.79</v>
      </c>
      <c r="G30" s="379" t="n">
        <v>178</v>
      </c>
      <c r="H30" s="379" t="n">
        <v>1200</v>
      </c>
      <c r="I30" s="379" t="n">
        <v>603</v>
      </c>
      <c r="J30" s="379" t="n">
        <v>597</v>
      </c>
      <c r="K30" s="379" t="n">
        <v>0</v>
      </c>
      <c r="L30" s="19" t="n">
        <f aca="false">(K30/H30)*100</f>
        <v>0</v>
      </c>
      <c r="M30" s="379" t="n">
        <v>46</v>
      </c>
      <c r="N30" s="19" t="n">
        <f aca="false">(M30/H30)*100</f>
        <v>3.83333333333333</v>
      </c>
      <c r="O30" s="379" t="n">
        <v>17.47</v>
      </c>
      <c r="P30" s="379" t="n">
        <v>0</v>
      </c>
      <c r="Q30" s="183"/>
      <c r="R30" s="183"/>
      <c r="S30" s="379"/>
      <c r="T30" s="183"/>
      <c r="U30" s="379"/>
      <c r="V30" s="379"/>
      <c r="W30" s="379"/>
      <c r="X30" s="379"/>
      <c r="Y30" s="379"/>
      <c r="Z30" s="379"/>
      <c r="AA30" s="183"/>
      <c r="AB30" s="183"/>
      <c r="AC30" s="382"/>
      <c r="AD30" s="183"/>
      <c r="AE30" s="183"/>
      <c r="AF30" s="183"/>
    </row>
    <row r="31" customFormat="false" ht="37.5" hidden="false" customHeight="false" outlineLevel="0" collapsed="false">
      <c r="A31" s="379" t="s">
        <v>42</v>
      </c>
      <c r="B31" s="379" t="s">
        <v>4611</v>
      </c>
      <c r="C31" s="378" t="s">
        <v>4673</v>
      </c>
      <c r="D31" s="548" t="s">
        <v>4674</v>
      </c>
      <c r="E31" s="379" t="s">
        <v>4675</v>
      </c>
      <c r="F31" s="379" t="n">
        <v>1407.38</v>
      </c>
      <c r="G31" s="379" t="n">
        <v>546</v>
      </c>
      <c r="H31" s="379" t="n">
        <v>3175</v>
      </c>
      <c r="I31" s="379" t="n">
        <v>1675</v>
      </c>
      <c r="J31" s="379" t="n">
        <v>1500</v>
      </c>
      <c r="K31" s="379" t="n">
        <v>1179</v>
      </c>
      <c r="L31" s="19" t="n">
        <f aca="false">(K31/H31)*100</f>
        <v>37.1338582677165</v>
      </c>
      <c r="M31" s="379" t="n">
        <v>2</v>
      </c>
      <c r="N31" s="19" t="n">
        <f aca="false">(M31/H31)*100</f>
        <v>0.062992125984252</v>
      </c>
      <c r="O31" s="379" t="n">
        <v>173.06</v>
      </c>
      <c r="P31" s="379" t="n">
        <v>0</v>
      </c>
      <c r="Q31" s="183" t="s">
        <v>49</v>
      </c>
      <c r="R31" s="179" t="n">
        <v>45519</v>
      </c>
      <c r="S31" s="379"/>
      <c r="T31" s="183" t="n">
        <v>44.1268</v>
      </c>
      <c r="U31" s="379"/>
      <c r="V31" s="379"/>
      <c r="W31" s="379"/>
      <c r="X31" s="379"/>
      <c r="Y31" s="379"/>
      <c r="Z31" s="379"/>
      <c r="AA31" s="180" t="s">
        <v>50</v>
      </c>
      <c r="AB31" s="181" t="n">
        <v>8</v>
      </c>
      <c r="AC31" s="182" t="s">
        <v>4676</v>
      </c>
      <c r="AD31" s="183" t="n">
        <v>26.669382</v>
      </c>
      <c r="AE31" s="183" t="n">
        <v>72.707932</v>
      </c>
      <c r="AF31" s="183"/>
    </row>
    <row r="32" customFormat="false" ht="18.75" hidden="false" customHeight="false" outlineLevel="0" collapsed="false">
      <c r="A32" s="379"/>
      <c r="B32" s="379"/>
      <c r="C32" s="378"/>
      <c r="D32" s="548"/>
      <c r="E32" s="379"/>
      <c r="F32" s="379"/>
      <c r="G32" s="379"/>
      <c r="H32" s="379"/>
      <c r="I32" s="379"/>
      <c r="J32" s="379"/>
      <c r="K32" s="379"/>
      <c r="L32" s="19"/>
      <c r="M32" s="379"/>
      <c r="N32" s="19"/>
      <c r="O32" s="379"/>
      <c r="P32" s="379"/>
      <c r="Q32" s="188"/>
      <c r="R32" s="184"/>
      <c r="S32" s="379"/>
      <c r="T32" s="188"/>
      <c r="U32" s="379"/>
      <c r="V32" s="379"/>
      <c r="W32" s="379"/>
      <c r="X32" s="379"/>
      <c r="Y32" s="379"/>
      <c r="Z32" s="379"/>
      <c r="AA32" s="185" t="s">
        <v>50</v>
      </c>
      <c r="AB32" s="186" t="n">
        <v>15</v>
      </c>
      <c r="AC32" s="187" t="s">
        <v>4677</v>
      </c>
      <c r="AD32" s="188" t="n">
        <v>26.700601</v>
      </c>
      <c r="AE32" s="188" t="n">
        <v>72.670501</v>
      </c>
      <c r="AF32" s="183"/>
    </row>
    <row r="33" customFormat="false" ht="18.75" hidden="false" customHeight="false" outlineLevel="0" collapsed="false">
      <c r="A33" s="379"/>
      <c r="B33" s="379"/>
      <c r="C33" s="378"/>
      <c r="D33" s="548"/>
      <c r="E33" s="379"/>
      <c r="F33" s="379"/>
      <c r="G33" s="379"/>
      <c r="H33" s="379"/>
      <c r="I33" s="379"/>
      <c r="J33" s="379"/>
      <c r="K33" s="379"/>
      <c r="L33" s="19"/>
      <c r="M33" s="379"/>
      <c r="N33" s="19"/>
      <c r="O33" s="379"/>
      <c r="P33" s="379"/>
      <c r="Q33" s="188"/>
      <c r="R33" s="184"/>
      <c r="S33" s="379"/>
      <c r="T33" s="188"/>
      <c r="U33" s="379"/>
      <c r="V33" s="379"/>
      <c r="W33" s="379"/>
      <c r="X33" s="379"/>
      <c r="Y33" s="379"/>
      <c r="Z33" s="379"/>
      <c r="AA33" s="185" t="s">
        <v>50</v>
      </c>
      <c r="AB33" s="186" t="n">
        <v>18</v>
      </c>
      <c r="AC33" s="187" t="s">
        <v>4678</v>
      </c>
      <c r="AD33" s="188" t="n">
        <v>26.68317</v>
      </c>
      <c r="AE33" s="188" t="n">
        <v>72.703676</v>
      </c>
      <c r="AF33" s="183"/>
    </row>
    <row r="34" customFormat="false" ht="37.5" hidden="false" customHeight="false" outlineLevel="0" collapsed="false">
      <c r="A34" s="379"/>
      <c r="B34" s="379"/>
      <c r="C34" s="378"/>
      <c r="D34" s="548"/>
      <c r="E34" s="379"/>
      <c r="F34" s="379"/>
      <c r="G34" s="379"/>
      <c r="H34" s="379"/>
      <c r="I34" s="379"/>
      <c r="J34" s="379"/>
      <c r="K34" s="379"/>
      <c r="L34" s="19"/>
      <c r="M34" s="379"/>
      <c r="N34" s="19"/>
      <c r="O34" s="379"/>
      <c r="P34" s="379"/>
      <c r="Q34" s="188"/>
      <c r="R34" s="184"/>
      <c r="S34" s="379"/>
      <c r="T34" s="188"/>
      <c r="U34" s="379"/>
      <c r="V34" s="379"/>
      <c r="W34" s="379"/>
      <c r="X34" s="379"/>
      <c r="Y34" s="379"/>
      <c r="Z34" s="379"/>
      <c r="AA34" s="185" t="s">
        <v>50</v>
      </c>
      <c r="AB34" s="186" t="n">
        <v>15</v>
      </c>
      <c r="AC34" s="187" t="s">
        <v>4679</v>
      </c>
      <c r="AD34" s="188" t="n">
        <v>26.680293</v>
      </c>
      <c r="AE34" s="188" t="n">
        <v>72.692561</v>
      </c>
      <c r="AF34" s="183"/>
    </row>
    <row r="35" customFormat="false" ht="40.5" hidden="false" customHeight="false" outlineLevel="0" collapsed="false">
      <c r="A35" s="379" t="s">
        <v>42</v>
      </c>
      <c r="B35" s="379" t="s">
        <v>4611</v>
      </c>
      <c r="C35" s="378" t="s">
        <v>4680</v>
      </c>
      <c r="D35" s="548" t="s">
        <v>4681</v>
      </c>
      <c r="E35" s="379" t="s">
        <v>4682</v>
      </c>
      <c r="F35" s="379" t="n">
        <v>910.38</v>
      </c>
      <c r="G35" s="379" t="n">
        <v>217</v>
      </c>
      <c r="H35" s="379" t="n">
        <v>1375</v>
      </c>
      <c r="I35" s="379" t="n">
        <v>721</v>
      </c>
      <c r="J35" s="379" t="n">
        <v>654</v>
      </c>
      <c r="K35" s="379" t="n">
        <v>291</v>
      </c>
      <c r="L35" s="19" t="n">
        <f aca="false">(K35/H35)*100</f>
        <v>21.1636363636364</v>
      </c>
      <c r="M35" s="379" t="n">
        <v>58</v>
      </c>
      <c r="N35" s="19" t="n">
        <f aca="false">(M35/H35)*100</f>
        <v>4.21818181818182</v>
      </c>
      <c r="O35" s="379" t="n">
        <v>27.57</v>
      </c>
      <c r="P35" s="379" t="n">
        <v>0</v>
      </c>
      <c r="Q35" s="183" t="s">
        <v>49</v>
      </c>
      <c r="R35" s="179" t="n">
        <v>45519</v>
      </c>
      <c r="S35" s="379"/>
      <c r="T35" s="183"/>
      <c r="U35" s="379"/>
      <c r="V35" s="379"/>
      <c r="W35" s="379"/>
      <c r="X35" s="379"/>
      <c r="Y35" s="379"/>
      <c r="Z35" s="379"/>
      <c r="AA35" s="180" t="s">
        <v>50</v>
      </c>
      <c r="AB35" s="181" t="n">
        <v>15</v>
      </c>
      <c r="AC35" s="407" t="s">
        <v>4683</v>
      </c>
      <c r="AD35" s="183" t="n">
        <v>26.676546</v>
      </c>
      <c r="AE35" s="183" t="n">
        <v>72.841028</v>
      </c>
      <c r="AF35" s="183"/>
    </row>
    <row r="36" customFormat="false" ht="20.25" hidden="false" customHeight="false" outlineLevel="0" collapsed="false">
      <c r="A36" s="379"/>
      <c r="B36" s="379"/>
      <c r="C36" s="378"/>
      <c r="D36" s="548"/>
      <c r="E36" s="379"/>
      <c r="F36" s="379"/>
      <c r="G36" s="379"/>
      <c r="H36" s="379"/>
      <c r="I36" s="379"/>
      <c r="J36" s="379"/>
      <c r="K36" s="379"/>
      <c r="L36" s="19"/>
      <c r="M36" s="379"/>
      <c r="N36" s="19"/>
      <c r="O36" s="379"/>
      <c r="P36" s="379"/>
      <c r="Q36" s="188"/>
      <c r="R36" s="552"/>
      <c r="S36" s="379"/>
      <c r="T36" s="188"/>
      <c r="U36" s="379"/>
      <c r="V36" s="379"/>
      <c r="W36" s="379"/>
      <c r="X36" s="379"/>
      <c r="Y36" s="379"/>
      <c r="Z36" s="379"/>
      <c r="AA36" s="185" t="s">
        <v>50</v>
      </c>
      <c r="AB36" s="186" t="n">
        <v>12</v>
      </c>
      <c r="AC36" s="553" t="s">
        <v>4684</v>
      </c>
      <c r="AD36" s="188" t="n">
        <v>26.64226</v>
      </c>
      <c r="AE36" s="188" t="n">
        <v>72.851184</v>
      </c>
      <c r="AF36" s="183"/>
    </row>
    <row r="37" customFormat="false" ht="38.25" hidden="false" customHeight="false" outlineLevel="0" collapsed="false">
      <c r="A37" s="379" t="s">
        <v>42</v>
      </c>
      <c r="B37" s="379" t="s">
        <v>4611</v>
      </c>
      <c r="C37" s="378" t="s">
        <v>4680</v>
      </c>
      <c r="D37" s="549" t="s">
        <v>4685</v>
      </c>
      <c r="E37" s="379" t="s">
        <v>4686</v>
      </c>
      <c r="F37" s="379" t="n">
        <v>245.03</v>
      </c>
      <c r="G37" s="379" t="n">
        <v>69</v>
      </c>
      <c r="H37" s="379" t="n">
        <v>395</v>
      </c>
      <c r="I37" s="379" t="n">
        <v>205</v>
      </c>
      <c r="J37" s="379" t="n">
        <v>190</v>
      </c>
      <c r="K37" s="379" t="n">
        <v>0</v>
      </c>
      <c r="L37" s="19" t="n">
        <f aca="false">(K37/H37)*100</f>
        <v>0</v>
      </c>
      <c r="M37" s="379" t="n">
        <v>0</v>
      </c>
      <c r="N37" s="19" t="n">
        <f aca="false">(M37/H37)*100</f>
        <v>0</v>
      </c>
      <c r="O37" s="379" t="n">
        <v>0</v>
      </c>
      <c r="P37" s="379" t="n">
        <v>0</v>
      </c>
      <c r="Q37" s="183" t="s">
        <v>49</v>
      </c>
      <c r="R37" s="179" t="n">
        <v>45519</v>
      </c>
      <c r="S37" s="379"/>
      <c r="T37" s="183" t="n">
        <v>0</v>
      </c>
      <c r="U37" s="379"/>
      <c r="V37" s="379"/>
      <c r="W37" s="379"/>
      <c r="X37" s="379"/>
      <c r="Y37" s="379"/>
      <c r="Z37" s="379"/>
      <c r="AA37" s="180" t="s">
        <v>50</v>
      </c>
      <c r="AB37" s="181" t="n">
        <v>0</v>
      </c>
      <c r="AC37" s="407"/>
      <c r="AD37" s="183" t="n">
        <v>0</v>
      </c>
      <c r="AE37" s="183" t="n">
        <v>0</v>
      </c>
      <c r="AF37" s="183"/>
    </row>
    <row r="38" customFormat="false" ht="20.25" hidden="false" customHeight="false" outlineLevel="0" collapsed="false">
      <c r="A38" s="379" t="s">
        <v>42</v>
      </c>
      <c r="B38" s="379" t="s">
        <v>4611</v>
      </c>
      <c r="C38" s="378" t="s">
        <v>4680</v>
      </c>
      <c r="D38" s="549" t="s">
        <v>4687</v>
      </c>
      <c r="E38" s="379" t="s">
        <v>4688</v>
      </c>
      <c r="F38" s="379" t="n">
        <v>385.1</v>
      </c>
      <c r="G38" s="379" t="n">
        <v>59</v>
      </c>
      <c r="H38" s="379" t="n">
        <v>420</v>
      </c>
      <c r="I38" s="379" t="n">
        <v>217</v>
      </c>
      <c r="J38" s="379" t="n">
        <v>203</v>
      </c>
      <c r="K38" s="379" t="n">
        <v>0</v>
      </c>
      <c r="L38" s="19" t="n">
        <f aca="false">(K38/H38)*100</f>
        <v>0</v>
      </c>
      <c r="M38" s="379" t="n">
        <v>0</v>
      </c>
      <c r="N38" s="19" t="n">
        <f aca="false">(M38/H38)*100</f>
        <v>0</v>
      </c>
      <c r="O38" s="379" t="n">
        <v>48.14</v>
      </c>
      <c r="P38" s="379" t="n">
        <v>0</v>
      </c>
      <c r="Q38" s="183" t="s">
        <v>49</v>
      </c>
      <c r="R38" s="179" t="n">
        <v>45519</v>
      </c>
      <c r="S38" s="379"/>
      <c r="T38" s="183" t="n">
        <v>47.4129</v>
      </c>
      <c r="U38" s="379"/>
      <c r="V38" s="379"/>
      <c r="W38" s="379"/>
      <c r="X38" s="379"/>
      <c r="Y38" s="379"/>
      <c r="Z38" s="379"/>
      <c r="AA38" s="180" t="s">
        <v>50</v>
      </c>
      <c r="AB38" s="181" t="n">
        <v>18</v>
      </c>
      <c r="AC38" s="407" t="s">
        <v>4689</v>
      </c>
      <c r="AD38" s="183" t="n">
        <v>26.660719</v>
      </c>
      <c r="AE38" s="183" t="n">
        <v>72.869512</v>
      </c>
      <c r="AF38" s="183"/>
    </row>
    <row r="39" customFormat="false" ht="40.5" hidden="false" customHeight="false" outlineLevel="0" collapsed="false">
      <c r="A39" s="379" t="s">
        <v>42</v>
      </c>
      <c r="B39" s="379" t="s">
        <v>4611</v>
      </c>
      <c r="C39" s="378" t="s">
        <v>4680</v>
      </c>
      <c r="D39" s="549" t="s">
        <v>4312</v>
      </c>
      <c r="E39" s="379" t="s">
        <v>4690</v>
      </c>
      <c r="F39" s="379" t="n">
        <v>229.45</v>
      </c>
      <c r="G39" s="379" t="n">
        <v>55</v>
      </c>
      <c r="H39" s="379" t="n">
        <v>327</v>
      </c>
      <c r="I39" s="379" t="n">
        <v>173</v>
      </c>
      <c r="J39" s="379" t="n">
        <v>154</v>
      </c>
      <c r="K39" s="379" t="n">
        <v>0</v>
      </c>
      <c r="L39" s="19" t="n">
        <f aca="false">(K39/H39)*100</f>
        <v>0</v>
      </c>
      <c r="M39" s="379" t="n">
        <v>74</v>
      </c>
      <c r="N39" s="19" t="n">
        <f aca="false">(M39/H39)*100</f>
        <v>22.6299694189602</v>
      </c>
      <c r="O39" s="379" t="n">
        <v>0</v>
      </c>
      <c r="P39" s="379" t="n">
        <v>0</v>
      </c>
      <c r="Q39" s="183" t="s">
        <v>49</v>
      </c>
      <c r="R39" s="179" t="n">
        <v>45519</v>
      </c>
      <c r="S39" s="379"/>
      <c r="T39" s="183"/>
      <c r="U39" s="379"/>
      <c r="V39" s="379"/>
      <c r="W39" s="379"/>
      <c r="X39" s="379"/>
      <c r="Y39" s="379"/>
      <c r="Z39" s="379"/>
      <c r="AA39" s="180" t="s">
        <v>50</v>
      </c>
      <c r="AB39" s="181" t="n">
        <v>8</v>
      </c>
      <c r="AC39" s="407" t="s">
        <v>4691</v>
      </c>
      <c r="AD39" s="183" t="n">
        <v>26.641531</v>
      </c>
      <c r="AE39" s="183" t="n">
        <v>72.843916</v>
      </c>
      <c r="AF39" s="183"/>
    </row>
    <row r="40" customFormat="false" ht="18.75" hidden="false" customHeight="false" outlineLevel="0" collapsed="false">
      <c r="A40" s="379" t="s">
        <v>42</v>
      </c>
      <c r="B40" s="379" t="s">
        <v>4611</v>
      </c>
      <c r="C40" s="378" t="s">
        <v>4692</v>
      </c>
      <c r="D40" s="548" t="s">
        <v>4693</v>
      </c>
      <c r="E40" s="379" t="s">
        <v>4694</v>
      </c>
      <c r="F40" s="379" t="n">
        <v>1594.19</v>
      </c>
      <c r="G40" s="379" t="n">
        <v>558</v>
      </c>
      <c r="H40" s="379" t="n">
        <v>3500</v>
      </c>
      <c r="I40" s="379" t="n">
        <v>1823</v>
      </c>
      <c r="J40" s="379" t="n">
        <v>1677</v>
      </c>
      <c r="K40" s="379" t="n">
        <v>1222</v>
      </c>
      <c r="L40" s="19" t="n">
        <f aca="false">(K40/H40)*100</f>
        <v>34.9142857142857</v>
      </c>
      <c r="M40" s="379" t="n">
        <v>136</v>
      </c>
      <c r="N40" s="19" t="n">
        <f aca="false">(M40/H40)*100</f>
        <v>3.88571428571429</v>
      </c>
      <c r="O40" s="379" t="n">
        <v>90.54</v>
      </c>
      <c r="P40" s="379" t="n">
        <v>0</v>
      </c>
      <c r="Q40" s="391" t="s">
        <v>49</v>
      </c>
      <c r="R40" s="392" t="s">
        <v>4695</v>
      </c>
      <c r="S40" s="379"/>
      <c r="T40" s="392" t="n">
        <v>88.9255</v>
      </c>
      <c r="U40" s="379"/>
      <c r="V40" s="379"/>
      <c r="W40" s="379"/>
      <c r="X40" s="379"/>
      <c r="Y40" s="379"/>
      <c r="Z40" s="379"/>
      <c r="AA40" s="392" t="s">
        <v>50</v>
      </c>
      <c r="AB40" s="392" t="n">
        <v>14</v>
      </c>
      <c r="AC40" s="127" t="s">
        <v>4696</v>
      </c>
      <c r="AD40" s="392" t="n">
        <v>26.562332</v>
      </c>
      <c r="AE40" s="392" t="n">
        <v>72.721593</v>
      </c>
      <c r="AF40" s="183" t="s">
        <v>52</v>
      </c>
    </row>
    <row r="41" customFormat="false" ht="34.5" hidden="false" customHeight="false" outlineLevel="0" collapsed="false">
      <c r="A41" s="379"/>
      <c r="B41" s="379"/>
      <c r="C41" s="378"/>
      <c r="D41" s="548"/>
      <c r="E41" s="379"/>
      <c r="F41" s="379"/>
      <c r="G41" s="379"/>
      <c r="H41" s="379"/>
      <c r="I41" s="379"/>
      <c r="J41" s="379"/>
      <c r="K41" s="379"/>
      <c r="L41" s="19"/>
      <c r="M41" s="379"/>
      <c r="N41" s="19"/>
      <c r="O41" s="379"/>
      <c r="P41" s="379"/>
      <c r="Q41" s="554"/>
      <c r="R41" s="555"/>
      <c r="S41" s="379"/>
      <c r="T41" s="555"/>
      <c r="U41" s="379"/>
      <c r="V41" s="379"/>
      <c r="W41" s="379"/>
      <c r="X41" s="379"/>
      <c r="Y41" s="379"/>
      <c r="Z41" s="379"/>
      <c r="AA41" s="555" t="s">
        <v>50</v>
      </c>
      <c r="AB41" s="555" t="n">
        <v>12</v>
      </c>
      <c r="AC41" s="126" t="s">
        <v>4697</v>
      </c>
      <c r="AD41" s="555" t="n">
        <v>26.571715</v>
      </c>
      <c r="AE41" s="555" t="n">
        <v>72.711185</v>
      </c>
      <c r="AF41" s="183" t="s">
        <v>52</v>
      </c>
    </row>
    <row r="42" customFormat="false" ht="18.75" hidden="false" customHeight="false" outlineLevel="0" collapsed="false">
      <c r="A42" s="379" t="s">
        <v>42</v>
      </c>
      <c r="B42" s="379" t="s">
        <v>4611</v>
      </c>
      <c r="C42" s="378" t="s">
        <v>4692</v>
      </c>
      <c r="D42" s="549" t="s">
        <v>4698</v>
      </c>
      <c r="E42" s="379" t="s">
        <v>4699</v>
      </c>
      <c r="F42" s="379" t="n">
        <v>564.93</v>
      </c>
      <c r="G42" s="379" t="n">
        <v>100</v>
      </c>
      <c r="H42" s="379" t="n">
        <v>683</v>
      </c>
      <c r="I42" s="379" t="n">
        <v>354</v>
      </c>
      <c r="J42" s="379" t="n">
        <v>329</v>
      </c>
      <c r="K42" s="379" t="n">
        <v>23</v>
      </c>
      <c r="L42" s="19" t="n">
        <f aca="false">(K42/H42)*100</f>
        <v>3.36749633967789</v>
      </c>
      <c r="M42" s="379" t="n">
        <v>0</v>
      </c>
      <c r="N42" s="19" t="n">
        <f aca="false">(M42/H42)*100</f>
        <v>0</v>
      </c>
      <c r="O42" s="379" t="n">
        <v>1.02</v>
      </c>
      <c r="P42" s="379" t="n">
        <v>0</v>
      </c>
      <c r="Q42" s="391" t="s">
        <v>49</v>
      </c>
      <c r="R42" s="392" t="s">
        <v>4695</v>
      </c>
      <c r="S42" s="379"/>
      <c r="T42" s="392" t="n">
        <v>1.0198</v>
      </c>
      <c r="U42" s="379"/>
      <c r="V42" s="379"/>
      <c r="W42" s="379"/>
      <c r="X42" s="379"/>
      <c r="Y42" s="379"/>
      <c r="Z42" s="379"/>
      <c r="AA42" s="392" t="s">
        <v>50</v>
      </c>
      <c r="AB42" s="392" t="n">
        <v>0</v>
      </c>
      <c r="AC42" s="556"/>
      <c r="AD42" s="392" t="n">
        <v>0</v>
      </c>
      <c r="AE42" s="392" t="n">
        <v>0</v>
      </c>
      <c r="AF42" s="183" t="s">
        <v>52</v>
      </c>
    </row>
    <row r="43" customFormat="false" ht="39.75" hidden="false" customHeight="false" outlineLevel="0" collapsed="false">
      <c r="A43" s="379" t="s">
        <v>42</v>
      </c>
      <c r="B43" s="379" t="s">
        <v>4611</v>
      </c>
      <c r="C43" s="378" t="s">
        <v>4700</v>
      </c>
      <c r="D43" s="548" t="s">
        <v>4700</v>
      </c>
      <c r="E43" s="379" t="s">
        <v>4701</v>
      </c>
      <c r="F43" s="379" t="n">
        <v>1149.01</v>
      </c>
      <c r="G43" s="379" t="n">
        <v>506</v>
      </c>
      <c r="H43" s="379" t="n">
        <v>3117</v>
      </c>
      <c r="I43" s="379" t="n">
        <v>1616</v>
      </c>
      <c r="J43" s="379" t="n">
        <v>1501</v>
      </c>
      <c r="K43" s="379" t="n">
        <v>451</v>
      </c>
      <c r="L43" s="19" t="n">
        <f aca="false">(K43/H43)*100</f>
        <v>14.4690407443054</v>
      </c>
      <c r="M43" s="379" t="n">
        <v>35</v>
      </c>
      <c r="N43" s="19" t="n">
        <f aca="false">(M43/H43)*100</f>
        <v>1.12287455887071</v>
      </c>
      <c r="O43" s="379" t="n">
        <v>104.9</v>
      </c>
      <c r="P43" s="379" t="n">
        <v>0</v>
      </c>
      <c r="Q43" s="24" t="s">
        <v>49</v>
      </c>
      <c r="R43" s="25" t="n">
        <v>44993</v>
      </c>
      <c r="S43" s="379"/>
      <c r="T43" s="26" t="n">
        <v>87.89</v>
      </c>
      <c r="U43" s="24" t="s">
        <v>50</v>
      </c>
      <c r="V43" s="379"/>
      <c r="W43" s="379"/>
      <c r="X43" s="379"/>
      <c r="Y43" s="379"/>
      <c r="Z43" s="379"/>
      <c r="AA43" s="92" t="s">
        <v>50</v>
      </c>
      <c r="AB43" s="92" t="n">
        <v>5</v>
      </c>
      <c r="AC43" s="557" t="s">
        <v>4702</v>
      </c>
      <c r="AD43" s="92" t="n">
        <v>26.594888</v>
      </c>
      <c r="AE43" s="92" t="n">
        <v>72.803632</v>
      </c>
      <c r="AF43" s="183" t="s">
        <v>1277</v>
      </c>
    </row>
    <row r="44" customFormat="false" ht="39.75" hidden="false" customHeight="false" outlineLevel="0" collapsed="false">
      <c r="A44" s="379"/>
      <c r="B44" s="379"/>
      <c r="C44" s="378"/>
      <c r="D44" s="548"/>
      <c r="E44" s="379"/>
      <c r="F44" s="379"/>
      <c r="G44" s="379"/>
      <c r="H44" s="379"/>
      <c r="I44" s="379"/>
      <c r="J44" s="379"/>
      <c r="K44" s="379"/>
      <c r="L44" s="19"/>
      <c r="M44" s="379"/>
      <c r="N44" s="19"/>
      <c r="O44" s="379"/>
      <c r="P44" s="379"/>
      <c r="Q44" s="256"/>
      <c r="R44" s="173"/>
      <c r="S44" s="379"/>
      <c r="T44" s="172"/>
      <c r="U44" s="379"/>
      <c r="V44" s="379"/>
      <c r="W44" s="379"/>
      <c r="X44" s="379"/>
      <c r="Y44" s="379"/>
      <c r="Z44" s="379"/>
      <c r="AA44" s="174" t="s">
        <v>50</v>
      </c>
      <c r="AB44" s="174" t="n">
        <v>2</v>
      </c>
      <c r="AC44" s="175" t="s">
        <v>4703</v>
      </c>
      <c r="AD44" s="174" t="n">
        <v>26.605023</v>
      </c>
      <c r="AE44" s="174" t="n">
        <v>72.799687</v>
      </c>
      <c r="AF44" s="183" t="s">
        <v>1277</v>
      </c>
    </row>
    <row r="45" customFormat="false" ht="18.75" hidden="false" customHeight="false" outlineLevel="0" collapsed="false">
      <c r="A45" s="379"/>
      <c r="B45" s="379"/>
      <c r="C45" s="378"/>
      <c r="D45" s="548"/>
      <c r="E45" s="379"/>
      <c r="F45" s="379"/>
      <c r="G45" s="379"/>
      <c r="H45" s="379"/>
      <c r="I45" s="379"/>
      <c r="J45" s="379"/>
      <c r="K45" s="379"/>
      <c r="L45" s="19"/>
      <c r="M45" s="379"/>
      <c r="N45" s="19"/>
      <c r="O45" s="379"/>
      <c r="P45" s="379"/>
      <c r="Q45" s="453"/>
      <c r="R45" s="453"/>
      <c r="S45" s="379"/>
      <c r="T45" s="453"/>
      <c r="U45" s="379"/>
      <c r="V45" s="379"/>
      <c r="W45" s="379"/>
      <c r="X45" s="379"/>
      <c r="Y45" s="379"/>
      <c r="Z45" s="379"/>
      <c r="AA45" s="174" t="s">
        <v>50</v>
      </c>
      <c r="AB45" s="174" t="n">
        <v>15</v>
      </c>
      <c r="AC45" s="177" t="s">
        <v>4704</v>
      </c>
      <c r="AD45" s="453" t="n">
        <v>26.601874</v>
      </c>
      <c r="AE45" s="453" t="n">
        <v>72.795366</v>
      </c>
      <c r="AF45" s="183" t="s">
        <v>1277</v>
      </c>
    </row>
    <row r="46" customFormat="false" ht="18.75" hidden="false" customHeight="false" outlineLevel="0" collapsed="false">
      <c r="A46" s="379"/>
      <c r="B46" s="379"/>
      <c r="C46" s="378"/>
      <c r="D46" s="548"/>
      <c r="E46" s="379"/>
      <c r="F46" s="379"/>
      <c r="G46" s="379"/>
      <c r="H46" s="379"/>
      <c r="I46" s="379"/>
      <c r="J46" s="379"/>
      <c r="K46" s="379"/>
      <c r="L46" s="19"/>
      <c r="M46" s="379"/>
      <c r="N46" s="19"/>
      <c r="O46" s="379"/>
      <c r="P46" s="379"/>
      <c r="Q46" s="453"/>
      <c r="R46" s="453"/>
      <c r="S46" s="379"/>
      <c r="T46" s="453"/>
      <c r="U46" s="379"/>
      <c r="V46" s="379"/>
      <c r="W46" s="379"/>
      <c r="X46" s="379"/>
      <c r="Y46" s="379"/>
      <c r="Z46" s="379"/>
      <c r="AA46" s="174" t="s">
        <v>50</v>
      </c>
      <c r="AB46" s="174" t="n">
        <v>15</v>
      </c>
      <c r="AC46" s="177" t="s">
        <v>4705</v>
      </c>
      <c r="AD46" s="453" t="n">
        <v>26.592097</v>
      </c>
      <c r="AE46" s="453" t="n">
        <v>72.805055</v>
      </c>
      <c r="AF46" s="183" t="s">
        <v>1277</v>
      </c>
    </row>
    <row r="47" customFormat="false" ht="18.75" hidden="false" customHeight="false" outlineLevel="0" collapsed="false">
      <c r="A47" s="379" t="s">
        <v>42</v>
      </c>
      <c r="B47" s="379" t="s">
        <v>4611</v>
      </c>
      <c r="C47" s="378" t="s">
        <v>4706</v>
      </c>
      <c r="D47" s="548" t="s">
        <v>4706</v>
      </c>
      <c r="E47" s="379" t="s">
        <v>4707</v>
      </c>
      <c r="F47" s="379" t="n">
        <v>1495.44</v>
      </c>
      <c r="G47" s="379" t="n">
        <v>423</v>
      </c>
      <c r="H47" s="379" t="n">
        <v>2508</v>
      </c>
      <c r="I47" s="379" t="n">
        <v>1279</v>
      </c>
      <c r="J47" s="379" t="n">
        <v>1229</v>
      </c>
      <c r="K47" s="379" t="n">
        <v>507</v>
      </c>
      <c r="L47" s="19" t="n">
        <f aca="false">(K47/H47)*100</f>
        <v>20.2153110047847</v>
      </c>
      <c r="M47" s="379" t="n">
        <v>28</v>
      </c>
      <c r="N47" s="19" t="n">
        <f aca="false">(M47/H47)*100</f>
        <v>1.11642743221691</v>
      </c>
      <c r="O47" s="379" t="n">
        <v>28.16</v>
      </c>
      <c r="P47" s="379" t="n">
        <v>0</v>
      </c>
      <c r="Q47" s="183"/>
      <c r="R47" s="183"/>
      <c r="S47" s="379"/>
      <c r="T47" s="183"/>
      <c r="U47" s="379"/>
      <c r="V47" s="379"/>
      <c r="W47" s="379"/>
      <c r="X47" s="379"/>
      <c r="Y47" s="379"/>
      <c r="Z47" s="379"/>
      <c r="AA47" s="183"/>
      <c r="AB47" s="183"/>
      <c r="AC47" s="550"/>
      <c r="AD47" s="551"/>
      <c r="AE47" s="183"/>
      <c r="AF47" s="183"/>
    </row>
    <row r="48" customFormat="false" ht="18.75" hidden="false" customHeight="false" outlineLevel="0" collapsed="false">
      <c r="A48" s="379" t="s">
        <v>42</v>
      </c>
      <c r="B48" s="379" t="s">
        <v>4611</v>
      </c>
      <c r="C48" s="378" t="s">
        <v>4708</v>
      </c>
      <c r="D48" s="548" t="s">
        <v>4708</v>
      </c>
      <c r="E48" s="379" t="s">
        <v>4709</v>
      </c>
      <c r="F48" s="379" t="n">
        <v>779.5</v>
      </c>
      <c r="G48" s="379" t="n">
        <v>120</v>
      </c>
      <c r="H48" s="379" t="n">
        <v>917</v>
      </c>
      <c r="I48" s="379" t="n">
        <v>492</v>
      </c>
      <c r="J48" s="379" t="n">
        <v>425</v>
      </c>
      <c r="K48" s="379" t="n">
        <v>17</v>
      </c>
      <c r="L48" s="19" t="n">
        <f aca="false">(K48/H48)*100</f>
        <v>1.85387131952017</v>
      </c>
      <c r="M48" s="379" t="n">
        <v>0</v>
      </c>
      <c r="N48" s="19" t="n">
        <f aca="false">(M48/H48)*100</f>
        <v>0</v>
      </c>
      <c r="O48" s="379" t="n">
        <v>0</v>
      </c>
      <c r="P48" s="379" t="n">
        <v>0</v>
      </c>
      <c r="Q48" s="183"/>
      <c r="R48" s="183"/>
      <c r="S48" s="379"/>
      <c r="T48" s="183"/>
      <c r="U48" s="379"/>
      <c r="V48" s="379"/>
      <c r="W48" s="379"/>
      <c r="X48" s="379"/>
      <c r="Y48" s="379"/>
      <c r="Z48" s="379"/>
      <c r="AA48" s="183"/>
      <c r="AB48" s="183"/>
      <c r="AC48" s="382"/>
      <c r="AD48" s="183"/>
      <c r="AE48" s="183"/>
      <c r="AF48" s="183"/>
    </row>
    <row r="49" customFormat="false" ht="18.75" hidden="false" customHeight="false" outlineLevel="0" collapsed="false">
      <c r="A49" s="379" t="s">
        <v>42</v>
      </c>
      <c r="B49" s="379" t="s">
        <v>4611</v>
      </c>
      <c r="C49" s="378" t="s">
        <v>4708</v>
      </c>
      <c r="D49" s="549" t="s">
        <v>4372</v>
      </c>
      <c r="E49" s="379" t="s">
        <v>4710</v>
      </c>
      <c r="F49" s="379" t="n">
        <v>496.36</v>
      </c>
      <c r="G49" s="379" t="n">
        <v>111</v>
      </c>
      <c r="H49" s="379" t="n">
        <v>827</v>
      </c>
      <c r="I49" s="379" t="n">
        <v>429</v>
      </c>
      <c r="J49" s="379" t="n">
        <v>398</v>
      </c>
      <c r="K49" s="379" t="n">
        <v>30</v>
      </c>
      <c r="L49" s="19" t="n">
        <f aca="false">(K49/H49)*100</f>
        <v>3.62756952841596</v>
      </c>
      <c r="M49" s="379" t="n">
        <v>0</v>
      </c>
      <c r="N49" s="19" t="n">
        <f aca="false">(M49/H49)*100</f>
        <v>0</v>
      </c>
      <c r="O49" s="379" t="n">
        <v>0</v>
      </c>
      <c r="P49" s="379" t="n">
        <v>0</v>
      </c>
      <c r="Q49" s="183"/>
      <c r="R49" s="183"/>
      <c r="S49" s="379"/>
      <c r="T49" s="183"/>
      <c r="U49" s="379"/>
      <c r="V49" s="379"/>
      <c r="W49" s="379"/>
      <c r="X49" s="379"/>
      <c r="Y49" s="379"/>
      <c r="Z49" s="379"/>
      <c r="AA49" s="183"/>
      <c r="AB49" s="183"/>
      <c r="AC49" s="382"/>
      <c r="AD49" s="183"/>
      <c r="AE49" s="183"/>
      <c r="AF49" s="183"/>
    </row>
    <row r="50" customFormat="false" ht="18.75" hidden="false" customHeight="false" outlineLevel="0" collapsed="false">
      <c r="A50" s="379" t="s">
        <v>42</v>
      </c>
      <c r="B50" s="379" t="s">
        <v>4611</v>
      </c>
      <c r="C50" s="378" t="s">
        <v>4708</v>
      </c>
      <c r="D50" s="549" t="s">
        <v>4711</v>
      </c>
      <c r="E50" s="379" t="s">
        <v>4712</v>
      </c>
      <c r="F50" s="379" t="n">
        <v>893.3</v>
      </c>
      <c r="G50" s="379" t="n">
        <v>145</v>
      </c>
      <c r="H50" s="379" t="n">
        <v>858</v>
      </c>
      <c r="I50" s="379" t="n">
        <v>445</v>
      </c>
      <c r="J50" s="379" t="n">
        <v>413</v>
      </c>
      <c r="K50" s="379" t="n">
        <v>56</v>
      </c>
      <c r="L50" s="19" t="n">
        <f aca="false">(K50/H50)*100</f>
        <v>6.52680652680653</v>
      </c>
      <c r="M50" s="379" t="n">
        <v>8</v>
      </c>
      <c r="N50" s="19" t="n">
        <f aca="false">(M50/H50)*100</f>
        <v>0.932400932400932</v>
      </c>
      <c r="O50" s="379" t="n">
        <v>0</v>
      </c>
      <c r="P50" s="379" t="n">
        <v>0</v>
      </c>
      <c r="Q50" s="183"/>
      <c r="R50" s="183"/>
      <c r="S50" s="379"/>
      <c r="T50" s="183"/>
      <c r="U50" s="379"/>
      <c r="V50" s="379"/>
      <c r="W50" s="379"/>
      <c r="X50" s="379"/>
      <c r="Y50" s="379"/>
      <c r="Z50" s="379"/>
      <c r="AA50" s="183"/>
      <c r="AB50" s="183"/>
      <c r="AC50" s="382"/>
      <c r="AD50" s="183"/>
      <c r="AE50" s="183"/>
      <c r="AF50" s="183"/>
    </row>
    <row r="51" customFormat="false" ht="37.5" hidden="false" customHeight="false" outlineLevel="0" collapsed="false">
      <c r="A51" s="379" t="s">
        <v>42</v>
      </c>
      <c r="B51" s="379" t="s">
        <v>4611</v>
      </c>
      <c r="C51" s="378" t="s">
        <v>4713</v>
      </c>
      <c r="D51" s="548" t="s">
        <v>4714</v>
      </c>
      <c r="E51" s="379" t="s">
        <v>4715</v>
      </c>
      <c r="F51" s="379" t="n">
        <v>3382.98</v>
      </c>
      <c r="G51" s="379" t="n">
        <v>355</v>
      </c>
      <c r="H51" s="379" t="n">
        <v>2409</v>
      </c>
      <c r="I51" s="379" t="n">
        <v>1264</v>
      </c>
      <c r="J51" s="379" t="n">
        <v>1145</v>
      </c>
      <c r="K51" s="379" t="n">
        <v>622</v>
      </c>
      <c r="L51" s="19" t="n">
        <f aca="false">(K51/H51)*100</f>
        <v>25.8198422581984</v>
      </c>
      <c r="M51" s="379" t="n">
        <v>200</v>
      </c>
      <c r="N51" s="19" t="n">
        <f aca="false">(M51/H51)*100</f>
        <v>8.302200083022</v>
      </c>
      <c r="O51" s="379" t="n">
        <v>1121.15</v>
      </c>
      <c r="P51" s="379" t="n">
        <v>0</v>
      </c>
      <c r="Q51" s="183" t="s">
        <v>49</v>
      </c>
      <c r="R51" s="179" t="n">
        <v>45519</v>
      </c>
      <c r="S51" s="379"/>
      <c r="T51" s="183" t="n">
        <v>1118.339</v>
      </c>
      <c r="U51" s="379"/>
      <c r="V51" s="379"/>
      <c r="W51" s="379"/>
      <c r="X51" s="379"/>
      <c r="Y51" s="379"/>
      <c r="Z51" s="379"/>
      <c r="AA51" s="180" t="s">
        <v>50</v>
      </c>
      <c r="AB51" s="181" t="n">
        <v>10</v>
      </c>
      <c r="AC51" s="182" t="s">
        <v>4716</v>
      </c>
      <c r="AD51" s="183" t="n">
        <v>26.519259</v>
      </c>
      <c r="AE51" s="183" t="n">
        <v>72.783726</v>
      </c>
      <c r="AF51" s="183"/>
    </row>
    <row r="52" customFormat="false" ht="37.5" hidden="false" customHeight="false" outlineLevel="0" collapsed="false">
      <c r="A52" s="379"/>
      <c r="B52" s="379"/>
      <c r="C52" s="378"/>
      <c r="D52" s="548"/>
      <c r="E52" s="379"/>
      <c r="F52" s="379"/>
      <c r="G52" s="379"/>
      <c r="H52" s="379"/>
      <c r="I52" s="379"/>
      <c r="J52" s="379"/>
      <c r="K52" s="379"/>
      <c r="L52" s="19"/>
      <c r="M52" s="379"/>
      <c r="N52" s="19"/>
      <c r="O52" s="379"/>
      <c r="P52" s="379"/>
      <c r="Q52" s="188"/>
      <c r="R52" s="184"/>
      <c r="S52" s="379"/>
      <c r="T52" s="188"/>
      <c r="U52" s="379"/>
      <c r="V52" s="379"/>
      <c r="W52" s="379"/>
      <c r="X52" s="379"/>
      <c r="Y52" s="379"/>
      <c r="Z52" s="379"/>
      <c r="AA52" s="185" t="s">
        <v>50</v>
      </c>
      <c r="AB52" s="186" t="n">
        <v>15</v>
      </c>
      <c r="AC52" s="187" t="s">
        <v>4717</v>
      </c>
      <c r="AD52" s="188" t="n">
        <v>26.518031</v>
      </c>
      <c r="AE52" s="188" t="n">
        <v>72.785344</v>
      </c>
      <c r="AF52" s="183"/>
    </row>
    <row r="53" customFormat="false" ht="37.5" hidden="false" customHeight="false" outlineLevel="0" collapsed="false">
      <c r="A53" s="379"/>
      <c r="B53" s="379"/>
      <c r="C53" s="378"/>
      <c r="D53" s="548"/>
      <c r="E53" s="379"/>
      <c r="F53" s="379"/>
      <c r="G53" s="379"/>
      <c r="H53" s="379"/>
      <c r="I53" s="379"/>
      <c r="J53" s="379"/>
      <c r="K53" s="379"/>
      <c r="L53" s="19"/>
      <c r="M53" s="379"/>
      <c r="N53" s="19"/>
      <c r="O53" s="379"/>
      <c r="P53" s="379"/>
      <c r="Q53" s="188"/>
      <c r="R53" s="184"/>
      <c r="S53" s="379"/>
      <c r="T53" s="188"/>
      <c r="U53" s="379"/>
      <c r="V53" s="379"/>
      <c r="W53" s="379"/>
      <c r="X53" s="379"/>
      <c r="Y53" s="379"/>
      <c r="Z53" s="379"/>
      <c r="AA53" s="185" t="s">
        <v>50</v>
      </c>
      <c r="AB53" s="186" t="n">
        <v>29</v>
      </c>
      <c r="AC53" s="187" t="s">
        <v>4718</v>
      </c>
      <c r="AD53" s="188" t="n">
        <v>26.541561</v>
      </c>
      <c r="AE53" s="188" t="n">
        <v>72.787052</v>
      </c>
      <c r="AF53" s="183"/>
    </row>
    <row r="54" customFormat="false" ht="37.5" hidden="false" customHeight="false" outlineLevel="0" collapsed="false">
      <c r="A54" s="379"/>
      <c r="B54" s="379"/>
      <c r="C54" s="378"/>
      <c r="D54" s="548"/>
      <c r="E54" s="379"/>
      <c r="F54" s="379"/>
      <c r="G54" s="379"/>
      <c r="H54" s="379"/>
      <c r="I54" s="379"/>
      <c r="J54" s="379"/>
      <c r="K54" s="379"/>
      <c r="L54" s="19"/>
      <c r="M54" s="379"/>
      <c r="N54" s="19"/>
      <c r="O54" s="379"/>
      <c r="P54" s="379"/>
      <c r="Q54" s="188"/>
      <c r="R54" s="184"/>
      <c r="S54" s="379"/>
      <c r="T54" s="188"/>
      <c r="U54" s="379"/>
      <c r="V54" s="379"/>
      <c r="W54" s="379"/>
      <c r="X54" s="379"/>
      <c r="Y54" s="379"/>
      <c r="Z54" s="379"/>
      <c r="AA54" s="185" t="s">
        <v>50</v>
      </c>
      <c r="AB54" s="186" t="n">
        <v>16</v>
      </c>
      <c r="AC54" s="187" t="s">
        <v>4719</v>
      </c>
      <c r="AD54" s="188" t="n">
        <v>26.511258</v>
      </c>
      <c r="AE54" s="188" t="n">
        <v>72.748578</v>
      </c>
      <c r="AF54" s="183"/>
    </row>
    <row r="55" customFormat="false" ht="18.75" hidden="false" customHeight="false" outlineLevel="0" collapsed="false">
      <c r="A55" s="379" t="s">
        <v>42</v>
      </c>
      <c r="B55" s="379" t="s">
        <v>4611</v>
      </c>
      <c r="C55" s="378" t="s">
        <v>4713</v>
      </c>
      <c r="D55" s="549" t="s">
        <v>3051</v>
      </c>
      <c r="E55" s="379" t="s">
        <v>4720</v>
      </c>
      <c r="F55" s="379" t="n">
        <v>1152.8</v>
      </c>
      <c r="G55" s="379" t="n">
        <v>221</v>
      </c>
      <c r="H55" s="379" t="n">
        <v>1469</v>
      </c>
      <c r="I55" s="379" t="n">
        <v>787</v>
      </c>
      <c r="J55" s="379" t="n">
        <v>682</v>
      </c>
      <c r="K55" s="379" t="n">
        <v>94</v>
      </c>
      <c r="L55" s="19" t="n">
        <f aca="false">(K55/H55)*100</f>
        <v>6.39891082368959</v>
      </c>
      <c r="M55" s="379" t="n">
        <v>452</v>
      </c>
      <c r="N55" s="19" t="n">
        <f aca="false">(M55/H55)*100</f>
        <v>30.7692307692308</v>
      </c>
      <c r="O55" s="379" t="n">
        <v>1.85</v>
      </c>
      <c r="P55" s="379" t="n">
        <v>0</v>
      </c>
      <c r="Q55" s="183" t="s">
        <v>49</v>
      </c>
      <c r="R55" s="179" t="n">
        <v>45519</v>
      </c>
      <c r="S55" s="379"/>
      <c r="T55" s="183" t="n">
        <v>1.8535</v>
      </c>
      <c r="U55" s="379"/>
      <c r="V55" s="379"/>
      <c r="W55" s="379"/>
      <c r="X55" s="379"/>
      <c r="Y55" s="379"/>
      <c r="Z55" s="379"/>
      <c r="AA55" s="180" t="s">
        <v>50</v>
      </c>
      <c r="AB55" s="181" t="n">
        <v>0</v>
      </c>
      <c r="AC55" s="382"/>
      <c r="AD55" s="183" t="n">
        <v>26.550019</v>
      </c>
      <c r="AE55" s="183" t="n">
        <v>72.803057</v>
      </c>
      <c r="AF55" s="183"/>
    </row>
    <row r="56" customFormat="false" ht="37.5" hidden="false" customHeight="false" outlineLevel="0" collapsed="false">
      <c r="A56" s="379" t="s">
        <v>42</v>
      </c>
      <c r="B56" s="379" t="s">
        <v>4611</v>
      </c>
      <c r="C56" s="378" t="s">
        <v>4713</v>
      </c>
      <c r="D56" s="549" t="s">
        <v>4721</v>
      </c>
      <c r="E56" s="379" t="s">
        <v>4722</v>
      </c>
      <c r="F56" s="379" t="n">
        <v>1152.04</v>
      </c>
      <c r="G56" s="379" t="n">
        <v>190</v>
      </c>
      <c r="H56" s="379" t="n">
        <v>1317</v>
      </c>
      <c r="I56" s="379" t="n">
        <v>652</v>
      </c>
      <c r="J56" s="379" t="n">
        <v>665</v>
      </c>
      <c r="K56" s="379" t="n">
        <v>0</v>
      </c>
      <c r="L56" s="19" t="n">
        <f aca="false">(K56/H56)*100</f>
        <v>0</v>
      </c>
      <c r="M56" s="379" t="n">
        <v>0</v>
      </c>
      <c r="N56" s="19" t="n">
        <f aca="false">(M56/H56)*100</f>
        <v>0</v>
      </c>
      <c r="O56" s="379" t="n">
        <v>0</v>
      </c>
      <c r="P56" s="379" t="n">
        <v>0</v>
      </c>
      <c r="Q56" s="386" t="s">
        <v>49</v>
      </c>
      <c r="R56" s="405" t="n">
        <v>45519</v>
      </c>
      <c r="S56" s="379"/>
      <c r="T56" s="386"/>
      <c r="U56" s="379"/>
      <c r="V56" s="379"/>
      <c r="W56" s="379"/>
      <c r="X56" s="379"/>
      <c r="Y56" s="379"/>
      <c r="Z56" s="379"/>
      <c r="AA56" s="180" t="s">
        <v>50</v>
      </c>
      <c r="AB56" s="409" t="n">
        <v>11</v>
      </c>
      <c r="AC56" s="417" t="s">
        <v>4723</v>
      </c>
      <c r="AD56" s="386" t="n">
        <v>26.545542</v>
      </c>
      <c r="AE56" s="386" t="n">
        <v>72.796176</v>
      </c>
      <c r="AF56" s="183"/>
    </row>
    <row r="57" customFormat="false" ht="18.75" hidden="false" customHeight="false" outlineLevel="0" collapsed="false">
      <c r="A57" s="379" t="s">
        <v>42</v>
      </c>
      <c r="B57" s="379" t="s">
        <v>4611</v>
      </c>
      <c r="C57" s="378" t="s">
        <v>489</v>
      </c>
      <c r="D57" s="548" t="s">
        <v>489</v>
      </c>
      <c r="E57" s="379" t="s">
        <v>4724</v>
      </c>
      <c r="F57" s="379" t="n">
        <v>1171.2</v>
      </c>
      <c r="G57" s="379" t="n">
        <v>321</v>
      </c>
      <c r="H57" s="379" t="n">
        <v>1981</v>
      </c>
      <c r="I57" s="379" t="n">
        <v>1035</v>
      </c>
      <c r="J57" s="379" t="n">
        <v>946</v>
      </c>
      <c r="K57" s="379" t="n">
        <v>241</v>
      </c>
      <c r="L57" s="19" t="n">
        <f aca="false">(K57/H57)*100</f>
        <v>12.1655729429581</v>
      </c>
      <c r="M57" s="379" t="n">
        <v>295</v>
      </c>
      <c r="N57" s="19" t="n">
        <f aca="false">(M57/H57)*100</f>
        <v>14.8914689550732</v>
      </c>
      <c r="O57" s="379" t="n">
        <v>21.04</v>
      </c>
      <c r="P57" s="379" t="n">
        <v>0</v>
      </c>
      <c r="Q57" s="183" t="s">
        <v>49</v>
      </c>
      <c r="R57" s="179" t="n">
        <v>45153</v>
      </c>
      <c r="S57" s="379"/>
      <c r="T57" s="481" t="n">
        <v>27.03</v>
      </c>
      <c r="U57" s="379"/>
      <c r="V57" s="379"/>
      <c r="W57" s="379"/>
      <c r="X57" s="379"/>
      <c r="Y57" s="379"/>
      <c r="Z57" s="379"/>
      <c r="AA57" s="180" t="s">
        <v>50</v>
      </c>
      <c r="AB57" s="12" t="n">
        <v>5</v>
      </c>
      <c r="AC57" s="558" t="s">
        <v>4725</v>
      </c>
      <c r="AD57" s="180" t="n">
        <v>26.620116</v>
      </c>
      <c r="AE57" s="180" t="n">
        <v>72.990187</v>
      </c>
      <c r="AF57" s="183"/>
    </row>
    <row r="58" customFormat="false" ht="37.5" hidden="false" customHeight="false" outlineLevel="0" collapsed="false">
      <c r="A58" s="379"/>
      <c r="B58" s="379"/>
      <c r="C58" s="378"/>
      <c r="D58" s="548"/>
      <c r="E58" s="379"/>
      <c r="F58" s="379"/>
      <c r="G58" s="379"/>
      <c r="H58" s="379"/>
      <c r="I58" s="379"/>
      <c r="J58" s="379"/>
      <c r="K58" s="379"/>
      <c r="L58" s="19"/>
      <c r="M58" s="379"/>
      <c r="N58" s="19"/>
      <c r="O58" s="379"/>
      <c r="P58" s="379"/>
      <c r="Q58" s="559" t="s">
        <v>49</v>
      </c>
      <c r="R58" s="560"/>
      <c r="S58" s="379"/>
      <c r="T58" s="561"/>
      <c r="U58" s="379"/>
      <c r="V58" s="379"/>
      <c r="W58" s="379"/>
      <c r="X58" s="379"/>
      <c r="Y58" s="379"/>
      <c r="Z58" s="379"/>
      <c r="AA58" s="561" t="s">
        <v>50</v>
      </c>
      <c r="AB58" s="562" t="n">
        <v>10</v>
      </c>
      <c r="AC58" s="563" t="s">
        <v>4726</v>
      </c>
      <c r="AD58" s="561" t="n">
        <v>26.601145</v>
      </c>
      <c r="AE58" s="561" t="n">
        <v>73.009948</v>
      </c>
      <c r="AF58" s="183"/>
    </row>
    <row r="59" customFormat="false" ht="37.5" hidden="false" customHeight="false" outlineLevel="0" collapsed="false">
      <c r="A59" s="379" t="s">
        <v>42</v>
      </c>
      <c r="B59" s="379" t="s">
        <v>4611</v>
      </c>
      <c r="C59" s="378" t="s">
        <v>489</v>
      </c>
      <c r="D59" s="549" t="s">
        <v>4727</v>
      </c>
      <c r="E59" s="379" t="s">
        <v>4728</v>
      </c>
      <c r="F59" s="379" t="n">
        <v>658.89</v>
      </c>
      <c r="G59" s="379" t="n">
        <v>70</v>
      </c>
      <c r="H59" s="379" t="n">
        <v>410</v>
      </c>
      <c r="I59" s="379" t="n">
        <v>221</v>
      </c>
      <c r="J59" s="379" t="n">
        <v>189</v>
      </c>
      <c r="K59" s="379" t="n">
        <v>10</v>
      </c>
      <c r="L59" s="19" t="n">
        <f aca="false">(K59/H59)*100</f>
        <v>2.4390243902439</v>
      </c>
      <c r="M59" s="379" t="n">
        <v>0</v>
      </c>
      <c r="N59" s="19" t="n">
        <f aca="false">(M59/H59)*100</f>
        <v>0</v>
      </c>
      <c r="O59" s="379" t="n">
        <v>11.15</v>
      </c>
      <c r="P59" s="379" t="n">
        <v>0</v>
      </c>
      <c r="Q59" s="183" t="s">
        <v>49</v>
      </c>
      <c r="R59" s="179" t="n">
        <v>45153</v>
      </c>
      <c r="S59" s="379"/>
      <c r="T59" s="481" t="n">
        <v>11.24</v>
      </c>
      <c r="U59" s="379"/>
      <c r="V59" s="379"/>
      <c r="W59" s="379"/>
      <c r="X59" s="379"/>
      <c r="Y59" s="379"/>
      <c r="Z59" s="379"/>
      <c r="AA59" s="180" t="s">
        <v>50</v>
      </c>
      <c r="AB59" s="12" t="n">
        <v>15</v>
      </c>
      <c r="AC59" s="558" t="s">
        <v>4729</v>
      </c>
      <c r="AD59" s="180" t="n">
        <v>26.619838</v>
      </c>
      <c r="AE59" s="180" t="n">
        <v>72.980965</v>
      </c>
      <c r="AF59" s="183"/>
    </row>
    <row r="60" customFormat="false" ht="18.75" hidden="false" customHeight="false" outlineLevel="0" collapsed="false">
      <c r="A60" s="379" t="s">
        <v>42</v>
      </c>
      <c r="B60" s="379" t="s">
        <v>4611</v>
      </c>
      <c r="C60" s="378" t="s">
        <v>2289</v>
      </c>
      <c r="D60" s="548" t="s">
        <v>2289</v>
      </c>
      <c r="E60" s="379" t="s">
        <v>4730</v>
      </c>
      <c r="F60" s="379" t="n">
        <v>1492.5</v>
      </c>
      <c r="G60" s="379" t="n">
        <v>239</v>
      </c>
      <c r="H60" s="379" t="n">
        <v>1472</v>
      </c>
      <c r="I60" s="379" t="n">
        <v>788</v>
      </c>
      <c r="J60" s="379" t="n">
        <v>684</v>
      </c>
      <c r="K60" s="379" t="n">
        <v>129</v>
      </c>
      <c r="L60" s="19" t="n">
        <f aca="false">(K60/H60)*100</f>
        <v>8.76358695652174</v>
      </c>
      <c r="M60" s="379" t="n">
        <v>170</v>
      </c>
      <c r="N60" s="19" t="n">
        <f aca="false">(M60/H60)*100</f>
        <v>11.5489130434783</v>
      </c>
      <c r="O60" s="379" t="n">
        <v>10.5</v>
      </c>
      <c r="P60" s="379" t="n">
        <v>0</v>
      </c>
      <c r="Q60" s="183"/>
      <c r="R60" s="183"/>
      <c r="S60" s="379"/>
      <c r="T60" s="183"/>
      <c r="U60" s="379"/>
      <c r="V60" s="379"/>
      <c r="W60" s="379"/>
      <c r="X60" s="379"/>
      <c r="Y60" s="379"/>
      <c r="Z60" s="379"/>
      <c r="AA60" s="183"/>
      <c r="AB60" s="183"/>
      <c r="AC60" s="550"/>
      <c r="AD60" s="551"/>
      <c r="AE60" s="183"/>
      <c r="AF60" s="183"/>
    </row>
    <row r="61" customFormat="false" ht="18.75" hidden="false" customHeight="false" outlineLevel="0" collapsed="false">
      <c r="A61" s="379" t="s">
        <v>42</v>
      </c>
      <c r="B61" s="379" t="s">
        <v>4611</v>
      </c>
      <c r="C61" s="378" t="s">
        <v>2289</v>
      </c>
      <c r="D61" s="549" t="s">
        <v>4731</v>
      </c>
      <c r="E61" s="379" t="s">
        <v>4732</v>
      </c>
      <c r="F61" s="379" t="n">
        <v>1396.26</v>
      </c>
      <c r="G61" s="379" t="n">
        <v>273</v>
      </c>
      <c r="H61" s="379" t="n">
        <v>1606</v>
      </c>
      <c r="I61" s="379" t="n">
        <v>847</v>
      </c>
      <c r="J61" s="379" t="n">
        <v>759</v>
      </c>
      <c r="K61" s="379" t="n">
        <v>189</v>
      </c>
      <c r="L61" s="19" t="n">
        <f aca="false">(K61/H61)*100</f>
        <v>11.7683686176837</v>
      </c>
      <c r="M61" s="379" t="n">
        <v>0</v>
      </c>
      <c r="N61" s="19" t="n">
        <f aca="false">(M61/H61)*100</f>
        <v>0</v>
      </c>
      <c r="O61" s="379" t="n">
        <v>70.02</v>
      </c>
      <c r="P61" s="379" t="n">
        <v>0</v>
      </c>
      <c r="Q61" s="183"/>
      <c r="R61" s="183"/>
      <c r="S61" s="379"/>
      <c r="T61" s="183"/>
      <c r="U61" s="379"/>
      <c r="V61" s="379"/>
      <c r="W61" s="379"/>
      <c r="X61" s="379"/>
      <c r="Y61" s="379"/>
      <c r="Z61" s="379"/>
      <c r="AA61" s="183"/>
      <c r="AB61" s="183"/>
      <c r="AC61" s="382"/>
      <c r="AD61" s="183"/>
      <c r="AE61" s="183"/>
      <c r="AF61" s="183"/>
    </row>
    <row r="62" customFormat="false" ht="18.75" hidden="false" customHeight="false" outlineLevel="0" collapsed="false">
      <c r="A62" s="379" t="s">
        <v>42</v>
      </c>
      <c r="B62" s="379" t="s">
        <v>4611</v>
      </c>
      <c r="C62" s="378" t="s">
        <v>2289</v>
      </c>
      <c r="D62" s="549" t="s">
        <v>4733</v>
      </c>
      <c r="E62" s="379" t="s">
        <v>4734</v>
      </c>
      <c r="F62" s="379" t="n">
        <v>1642.8</v>
      </c>
      <c r="G62" s="379" t="n">
        <v>298</v>
      </c>
      <c r="H62" s="379" t="n">
        <v>1850</v>
      </c>
      <c r="I62" s="379" t="n">
        <v>959</v>
      </c>
      <c r="J62" s="379" t="n">
        <v>891</v>
      </c>
      <c r="K62" s="379" t="n">
        <v>425</v>
      </c>
      <c r="L62" s="19" t="n">
        <f aca="false">(K62/H62)*100</f>
        <v>22.972972972973</v>
      </c>
      <c r="M62" s="379" t="n">
        <v>0</v>
      </c>
      <c r="N62" s="19" t="n">
        <f aca="false">(M62/H62)*100</f>
        <v>0</v>
      </c>
      <c r="O62" s="379" t="n">
        <v>0</v>
      </c>
      <c r="P62" s="379" t="n">
        <v>0</v>
      </c>
      <c r="Q62" s="183"/>
      <c r="R62" s="183"/>
      <c r="S62" s="379"/>
      <c r="T62" s="183"/>
      <c r="U62" s="379"/>
      <c r="V62" s="379"/>
      <c r="W62" s="379"/>
      <c r="X62" s="379"/>
      <c r="Y62" s="379"/>
      <c r="Z62" s="379"/>
      <c r="AA62" s="183"/>
      <c r="AB62" s="183"/>
      <c r="AC62" s="382"/>
      <c r="AD62" s="183"/>
      <c r="AE62" s="183"/>
      <c r="AF62" s="183"/>
    </row>
    <row r="63" customFormat="false" ht="18.75" hidden="false" customHeight="false" outlineLevel="0" collapsed="false">
      <c r="A63" s="379" t="s">
        <v>42</v>
      </c>
      <c r="B63" s="379" t="s">
        <v>4611</v>
      </c>
      <c r="C63" s="378" t="s">
        <v>4735</v>
      </c>
      <c r="D63" s="548" t="s">
        <v>4736</v>
      </c>
      <c r="E63" s="379" t="s">
        <v>4737</v>
      </c>
      <c r="F63" s="379" t="n">
        <v>1510.77</v>
      </c>
      <c r="G63" s="379" t="n">
        <v>288</v>
      </c>
      <c r="H63" s="379" t="n">
        <v>1815</v>
      </c>
      <c r="I63" s="379" t="n">
        <v>945</v>
      </c>
      <c r="J63" s="379" t="n">
        <v>870</v>
      </c>
      <c r="K63" s="379" t="n">
        <v>750</v>
      </c>
      <c r="L63" s="19" t="n">
        <f aca="false">(K63/H63)*100</f>
        <v>41.3223140495868</v>
      </c>
      <c r="M63" s="379" t="n">
        <v>116</v>
      </c>
      <c r="N63" s="19" t="n">
        <f aca="false">(M63/H63)*100</f>
        <v>6.39118457300275</v>
      </c>
      <c r="O63" s="379" t="n">
        <v>84.32</v>
      </c>
      <c r="P63" s="379" t="n">
        <v>0</v>
      </c>
      <c r="Q63" s="183"/>
      <c r="R63" s="183"/>
      <c r="S63" s="379"/>
      <c r="T63" s="183"/>
      <c r="U63" s="379"/>
      <c r="V63" s="379"/>
      <c r="W63" s="379"/>
      <c r="X63" s="379"/>
      <c r="Y63" s="379"/>
      <c r="Z63" s="379"/>
      <c r="AA63" s="183"/>
      <c r="AB63" s="183"/>
      <c r="AC63" s="550"/>
      <c r="AD63" s="551"/>
      <c r="AE63" s="183"/>
      <c r="AF63" s="183"/>
    </row>
    <row r="64" customFormat="false" ht="18.75" hidden="false" customHeight="false" outlineLevel="0" collapsed="false">
      <c r="A64" s="379" t="s">
        <v>42</v>
      </c>
      <c r="B64" s="379" t="s">
        <v>4611</v>
      </c>
      <c r="C64" s="378" t="s">
        <v>4735</v>
      </c>
      <c r="D64" s="549" t="s">
        <v>4738</v>
      </c>
      <c r="E64" s="379" t="s">
        <v>4739</v>
      </c>
      <c r="F64" s="379" t="n">
        <v>538.68</v>
      </c>
      <c r="G64" s="379" t="n">
        <v>68</v>
      </c>
      <c r="H64" s="379" t="n">
        <v>478</v>
      </c>
      <c r="I64" s="379" t="n">
        <v>243</v>
      </c>
      <c r="J64" s="379" t="n">
        <v>235</v>
      </c>
      <c r="K64" s="379" t="n">
        <v>0</v>
      </c>
      <c r="L64" s="19" t="n">
        <f aca="false">(K64/H64)*100</f>
        <v>0</v>
      </c>
      <c r="M64" s="379" t="n">
        <v>0</v>
      </c>
      <c r="N64" s="19" t="n">
        <f aca="false">(M64/H64)*100</f>
        <v>0</v>
      </c>
      <c r="O64" s="379" t="n">
        <v>82.04</v>
      </c>
      <c r="P64" s="379" t="n">
        <v>0</v>
      </c>
      <c r="Q64" s="183"/>
      <c r="R64" s="183"/>
      <c r="S64" s="379"/>
      <c r="T64" s="183"/>
      <c r="U64" s="379"/>
      <c r="V64" s="379"/>
      <c r="W64" s="379"/>
      <c r="X64" s="379"/>
      <c r="Y64" s="379"/>
      <c r="Z64" s="379"/>
      <c r="AA64" s="183"/>
      <c r="AB64" s="183"/>
      <c r="AC64" s="382"/>
      <c r="AD64" s="183"/>
      <c r="AE64" s="183"/>
      <c r="AF64" s="183"/>
    </row>
    <row r="65" customFormat="false" ht="37.5" hidden="false" customHeight="false" outlineLevel="0" collapsed="false">
      <c r="A65" s="379" t="s">
        <v>42</v>
      </c>
      <c r="B65" s="379" t="s">
        <v>4611</v>
      </c>
      <c r="C65" s="378" t="s">
        <v>4735</v>
      </c>
      <c r="D65" s="549" t="s">
        <v>4740</v>
      </c>
      <c r="E65" s="379" t="s">
        <v>4741</v>
      </c>
      <c r="F65" s="379" t="n">
        <v>495.97</v>
      </c>
      <c r="G65" s="379" t="n">
        <v>57</v>
      </c>
      <c r="H65" s="379" t="n">
        <v>359</v>
      </c>
      <c r="I65" s="379" t="n">
        <v>188</v>
      </c>
      <c r="J65" s="379" t="n">
        <v>171</v>
      </c>
      <c r="K65" s="379" t="n">
        <v>248</v>
      </c>
      <c r="L65" s="19" t="n">
        <f aca="false">(K65/H65)*100</f>
        <v>69.0807799442897</v>
      </c>
      <c r="M65" s="379" t="n">
        <v>0</v>
      </c>
      <c r="N65" s="19" t="n">
        <f aca="false">(M65/H65)*100</f>
        <v>0</v>
      </c>
      <c r="O65" s="379" t="n">
        <v>11.84</v>
      </c>
      <c r="P65" s="379" t="n">
        <v>0</v>
      </c>
      <c r="Q65" s="183"/>
      <c r="R65" s="183"/>
      <c r="S65" s="379"/>
      <c r="T65" s="183"/>
      <c r="U65" s="379"/>
      <c r="V65" s="379"/>
      <c r="W65" s="379"/>
      <c r="X65" s="379"/>
      <c r="Y65" s="379"/>
      <c r="Z65" s="379"/>
      <c r="AA65" s="183"/>
      <c r="AB65" s="183"/>
      <c r="AC65" s="382"/>
      <c r="AD65" s="183"/>
      <c r="AE65" s="183"/>
      <c r="AF65" s="183"/>
    </row>
    <row r="66" customFormat="false" ht="18.75" hidden="false" customHeight="false" outlineLevel="0" collapsed="false">
      <c r="A66" s="379" t="s">
        <v>42</v>
      </c>
      <c r="B66" s="379" t="s">
        <v>4611</v>
      </c>
      <c r="C66" s="378" t="s">
        <v>4735</v>
      </c>
      <c r="D66" s="549" t="s">
        <v>4742</v>
      </c>
      <c r="E66" s="379" t="s">
        <v>4743</v>
      </c>
      <c r="F66" s="379" t="n">
        <v>858.57</v>
      </c>
      <c r="G66" s="379" t="n">
        <v>124</v>
      </c>
      <c r="H66" s="379" t="n">
        <v>790</v>
      </c>
      <c r="I66" s="379" t="n">
        <v>409</v>
      </c>
      <c r="J66" s="379" t="n">
        <v>381</v>
      </c>
      <c r="K66" s="379" t="n">
        <v>138</v>
      </c>
      <c r="L66" s="19" t="n">
        <f aca="false">(K66/H66)*100</f>
        <v>17.4683544303797</v>
      </c>
      <c r="M66" s="379" t="n">
        <v>0</v>
      </c>
      <c r="N66" s="19" t="n">
        <f aca="false">(M66/H66)*100</f>
        <v>0</v>
      </c>
      <c r="O66" s="379" t="n">
        <v>8.16</v>
      </c>
      <c r="P66" s="379" t="n">
        <v>0</v>
      </c>
      <c r="Q66" s="183"/>
      <c r="R66" s="183"/>
      <c r="S66" s="379"/>
      <c r="T66" s="183"/>
      <c r="U66" s="379"/>
      <c r="V66" s="379"/>
      <c r="W66" s="379"/>
      <c r="X66" s="379"/>
      <c r="Y66" s="379"/>
      <c r="Z66" s="379"/>
      <c r="AA66" s="183"/>
      <c r="AB66" s="183"/>
      <c r="AC66" s="382"/>
      <c r="AD66" s="183"/>
      <c r="AE66" s="183"/>
      <c r="AF66" s="183"/>
    </row>
    <row r="67" customFormat="false" ht="37.5" hidden="false" customHeight="false" outlineLevel="0" collapsed="false">
      <c r="A67" s="379" t="s">
        <v>42</v>
      </c>
      <c r="B67" s="379" t="s">
        <v>4611</v>
      </c>
      <c r="C67" s="378" t="s">
        <v>4744</v>
      </c>
      <c r="D67" s="548" t="s">
        <v>4744</v>
      </c>
      <c r="E67" s="379" t="s">
        <v>4745</v>
      </c>
      <c r="F67" s="379" t="n">
        <v>1170.85</v>
      </c>
      <c r="G67" s="379" t="n">
        <v>299</v>
      </c>
      <c r="H67" s="379" t="n">
        <v>1997</v>
      </c>
      <c r="I67" s="379" t="n">
        <v>998</v>
      </c>
      <c r="J67" s="379" t="n">
        <v>999</v>
      </c>
      <c r="K67" s="379" t="n">
        <v>472</v>
      </c>
      <c r="L67" s="19" t="n">
        <f aca="false">(K67/H67)*100</f>
        <v>23.6354531797697</v>
      </c>
      <c r="M67" s="379" t="n">
        <v>2</v>
      </c>
      <c r="N67" s="19" t="n">
        <f aca="false">(M67/H67)*100</f>
        <v>0.100150225338007</v>
      </c>
      <c r="O67" s="379" t="n">
        <v>30.26</v>
      </c>
      <c r="P67" s="379" t="n">
        <v>0</v>
      </c>
      <c r="Q67" s="183" t="s">
        <v>49</v>
      </c>
      <c r="R67" s="179" t="n">
        <v>45519</v>
      </c>
      <c r="S67" s="379"/>
      <c r="T67" s="183" t="n">
        <v>28.3846</v>
      </c>
      <c r="U67" s="379"/>
      <c r="V67" s="379"/>
      <c r="W67" s="379"/>
      <c r="X67" s="379"/>
      <c r="Y67" s="379"/>
      <c r="Z67" s="379"/>
      <c r="AA67" s="180" t="s">
        <v>50</v>
      </c>
      <c r="AB67" s="181" t="n">
        <v>10</v>
      </c>
      <c r="AC67" s="182" t="s">
        <v>4746</v>
      </c>
      <c r="AD67" s="183" t="n">
        <v>26.618643</v>
      </c>
      <c r="AE67" s="183" t="n">
        <v>72.897371</v>
      </c>
      <c r="AF67" s="183"/>
    </row>
    <row r="68" customFormat="false" ht="37.5" hidden="false" customHeight="false" outlineLevel="0" collapsed="false">
      <c r="A68" s="379" t="s">
        <v>42</v>
      </c>
      <c r="B68" s="379" t="s">
        <v>4611</v>
      </c>
      <c r="C68" s="378" t="s">
        <v>4744</v>
      </c>
      <c r="D68" s="549" t="s">
        <v>4747</v>
      </c>
      <c r="E68" s="379" t="s">
        <v>4748</v>
      </c>
      <c r="F68" s="379" t="n">
        <v>687.13</v>
      </c>
      <c r="G68" s="379" t="n">
        <v>137</v>
      </c>
      <c r="H68" s="379" t="n">
        <v>866</v>
      </c>
      <c r="I68" s="379" t="n">
        <v>442</v>
      </c>
      <c r="J68" s="379" t="n">
        <v>424</v>
      </c>
      <c r="K68" s="379" t="n">
        <v>28</v>
      </c>
      <c r="L68" s="19" t="n">
        <f aca="false">(K68/H68)*100</f>
        <v>3.23325635103926</v>
      </c>
      <c r="M68" s="379" t="n">
        <v>103</v>
      </c>
      <c r="N68" s="19" t="n">
        <f aca="false">(M68/H68)*100</f>
        <v>11.8937644341801</v>
      </c>
      <c r="O68" s="379" t="n">
        <v>25</v>
      </c>
      <c r="P68" s="379" t="n">
        <v>0</v>
      </c>
      <c r="Q68" s="183" t="s">
        <v>49</v>
      </c>
      <c r="R68" s="179" t="n">
        <v>45519</v>
      </c>
      <c r="S68" s="379"/>
      <c r="T68" s="183"/>
      <c r="U68" s="379"/>
      <c r="V68" s="379"/>
      <c r="W68" s="379"/>
      <c r="X68" s="379"/>
      <c r="Y68" s="379"/>
      <c r="Z68" s="379"/>
      <c r="AA68" s="180" t="s">
        <v>50</v>
      </c>
      <c r="AB68" s="181" t="n">
        <v>16</v>
      </c>
      <c r="AC68" s="182" t="s">
        <v>4749</v>
      </c>
      <c r="AD68" s="183" t="n">
        <v>26.642232</v>
      </c>
      <c r="AE68" s="183" t="n">
        <v>72.851225</v>
      </c>
      <c r="AF68" s="183"/>
    </row>
    <row r="69" customFormat="false" ht="40.5" hidden="false" customHeight="false" outlineLevel="0" collapsed="false">
      <c r="A69" s="379" t="s">
        <v>42</v>
      </c>
      <c r="B69" s="379" t="s">
        <v>4611</v>
      </c>
      <c r="C69" s="378" t="s">
        <v>4750</v>
      </c>
      <c r="D69" s="548" t="s">
        <v>4751</v>
      </c>
      <c r="E69" s="379" t="s">
        <v>4752</v>
      </c>
      <c r="F69" s="379" t="n">
        <v>1182.3</v>
      </c>
      <c r="G69" s="379" t="n">
        <v>302</v>
      </c>
      <c r="H69" s="379" t="n">
        <v>2041</v>
      </c>
      <c r="I69" s="379" t="n">
        <v>1047</v>
      </c>
      <c r="J69" s="379" t="n">
        <v>994</v>
      </c>
      <c r="K69" s="379" t="n">
        <v>899</v>
      </c>
      <c r="L69" s="19" t="n">
        <f aca="false">(K69/H69)*100</f>
        <v>44.047035766781</v>
      </c>
      <c r="M69" s="379" t="n">
        <v>1</v>
      </c>
      <c r="N69" s="19" t="n">
        <f aca="false">(M69/H69)*100</f>
        <v>0.0489955903968643</v>
      </c>
      <c r="O69" s="379" t="n">
        <v>52.18</v>
      </c>
      <c r="P69" s="379" t="n">
        <v>0</v>
      </c>
      <c r="Q69" s="564" t="s">
        <v>49</v>
      </c>
      <c r="R69" s="565" t="s">
        <v>4753</v>
      </c>
      <c r="S69" s="379"/>
      <c r="T69" s="565" t="n">
        <v>50.877</v>
      </c>
      <c r="U69" s="565" t="s">
        <v>50</v>
      </c>
      <c r="V69" s="379"/>
      <c r="W69" s="379"/>
      <c r="X69" s="379"/>
      <c r="Y69" s="379"/>
      <c r="Z69" s="379"/>
      <c r="AA69" s="565" t="s">
        <v>50</v>
      </c>
      <c r="AB69" s="565" t="n">
        <v>6</v>
      </c>
      <c r="AC69" s="566" t="s">
        <v>4754</v>
      </c>
      <c r="AD69" s="565" t="n">
        <v>26.602675</v>
      </c>
      <c r="AE69" s="565" t="n">
        <v>72.892631</v>
      </c>
      <c r="AF69" s="183" t="s">
        <v>52</v>
      </c>
    </row>
    <row r="70" customFormat="false" ht="40.5" hidden="false" customHeight="false" outlineLevel="0" collapsed="false">
      <c r="A70" s="379"/>
      <c r="B70" s="379"/>
      <c r="C70" s="378"/>
      <c r="D70" s="548"/>
      <c r="E70" s="379"/>
      <c r="F70" s="379"/>
      <c r="G70" s="379"/>
      <c r="H70" s="379"/>
      <c r="I70" s="379"/>
      <c r="J70" s="379"/>
      <c r="K70" s="379"/>
      <c r="L70" s="19"/>
      <c r="M70" s="379"/>
      <c r="N70" s="19"/>
      <c r="O70" s="379"/>
      <c r="P70" s="379"/>
      <c r="Q70" s="567"/>
      <c r="R70" s="568"/>
      <c r="S70" s="379"/>
      <c r="T70" s="568"/>
      <c r="U70" s="379"/>
      <c r="V70" s="379"/>
      <c r="W70" s="379"/>
      <c r="X70" s="379"/>
      <c r="Y70" s="379"/>
      <c r="Z70" s="379"/>
      <c r="AA70" s="568" t="s">
        <v>50</v>
      </c>
      <c r="AB70" s="568" t="n">
        <v>12</v>
      </c>
      <c r="AC70" s="569" t="s">
        <v>4755</v>
      </c>
      <c r="AD70" s="568" t="n">
        <v>26.601445</v>
      </c>
      <c r="AE70" s="568" t="n">
        <v>72.894567</v>
      </c>
      <c r="AF70" s="183" t="s">
        <v>52</v>
      </c>
    </row>
    <row r="71" customFormat="false" ht="40.5" hidden="false" customHeight="false" outlineLevel="0" collapsed="false">
      <c r="A71" s="379"/>
      <c r="B71" s="379"/>
      <c r="C71" s="378"/>
      <c r="D71" s="548"/>
      <c r="E71" s="379"/>
      <c r="F71" s="379"/>
      <c r="G71" s="379"/>
      <c r="H71" s="379"/>
      <c r="I71" s="379"/>
      <c r="J71" s="379"/>
      <c r="K71" s="379"/>
      <c r="L71" s="19"/>
      <c r="M71" s="379"/>
      <c r="N71" s="19"/>
      <c r="O71" s="379"/>
      <c r="P71" s="379"/>
      <c r="Q71" s="567"/>
      <c r="R71" s="568"/>
      <c r="S71" s="379"/>
      <c r="T71" s="568"/>
      <c r="U71" s="379"/>
      <c r="V71" s="379"/>
      <c r="W71" s="379"/>
      <c r="X71" s="379"/>
      <c r="Y71" s="379"/>
      <c r="Z71" s="379"/>
      <c r="AA71" s="568" t="s">
        <v>50</v>
      </c>
      <c r="AB71" s="568" t="n">
        <v>14</v>
      </c>
      <c r="AC71" s="569" t="s">
        <v>4756</v>
      </c>
      <c r="AD71" s="568" t="n">
        <v>26.600294</v>
      </c>
      <c r="AE71" s="568" t="n">
        <v>72.894136</v>
      </c>
      <c r="AF71" s="183" t="s">
        <v>52</v>
      </c>
    </row>
    <row r="72" customFormat="false" ht="40.5" hidden="false" customHeight="false" outlineLevel="0" collapsed="false">
      <c r="A72" s="379" t="s">
        <v>42</v>
      </c>
      <c r="B72" s="379" t="s">
        <v>4611</v>
      </c>
      <c r="C72" s="378" t="s">
        <v>4750</v>
      </c>
      <c r="D72" s="570" t="s">
        <v>4757</v>
      </c>
      <c r="E72" s="379"/>
      <c r="F72" s="379"/>
      <c r="G72" s="379"/>
      <c r="H72" s="379"/>
      <c r="I72" s="379"/>
      <c r="J72" s="379"/>
      <c r="K72" s="379"/>
      <c r="L72" s="19"/>
      <c r="M72" s="379"/>
      <c r="N72" s="19"/>
      <c r="O72" s="379"/>
      <c r="P72" s="379"/>
      <c r="Q72" s="564" t="s">
        <v>49</v>
      </c>
      <c r="R72" s="565" t="s">
        <v>4753</v>
      </c>
      <c r="S72" s="379"/>
      <c r="T72" s="565" t="n">
        <v>31.7515</v>
      </c>
      <c r="U72" s="379"/>
      <c r="V72" s="379"/>
      <c r="W72" s="379"/>
      <c r="X72" s="379"/>
      <c r="Y72" s="379"/>
      <c r="Z72" s="379"/>
      <c r="AA72" s="565" t="s">
        <v>50</v>
      </c>
      <c r="AB72" s="565" t="n">
        <v>12</v>
      </c>
      <c r="AC72" s="566" t="s">
        <v>4758</v>
      </c>
      <c r="AD72" s="565" t="n">
        <v>26.627261</v>
      </c>
      <c r="AE72" s="565" t="n">
        <v>72.908305</v>
      </c>
      <c r="AF72" s="183" t="s">
        <v>52</v>
      </c>
    </row>
    <row r="73" customFormat="false" ht="18.75" hidden="false" customHeight="false" outlineLevel="0" collapsed="false">
      <c r="A73" s="379" t="s">
        <v>42</v>
      </c>
      <c r="B73" s="379" t="s">
        <v>4611</v>
      </c>
      <c r="C73" s="378" t="s">
        <v>4759</v>
      </c>
      <c r="D73" s="548" t="s">
        <v>4760</v>
      </c>
      <c r="E73" s="379" t="s">
        <v>4761</v>
      </c>
      <c r="F73" s="379" t="n">
        <v>2560</v>
      </c>
      <c r="G73" s="379" t="n">
        <v>2476</v>
      </c>
      <c r="H73" s="379" t="n">
        <v>14939</v>
      </c>
      <c r="I73" s="379" t="n">
        <v>7789</v>
      </c>
      <c r="J73" s="379" t="n">
        <v>7150</v>
      </c>
      <c r="K73" s="379" t="n">
        <v>3619</v>
      </c>
      <c r="L73" s="19" t="n">
        <f aca="false">(K73/H73)*100</f>
        <v>24.2251824084611</v>
      </c>
      <c r="M73" s="379" t="n">
        <v>121</v>
      </c>
      <c r="N73" s="19" t="n">
        <f aca="false">(M73/H73)*100</f>
        <v>0.809960506057969</v>
      </c>
      <c r="O73" s="379" t="n">
        <v>96</v>
      </c>
      <c r="P73" s="379" t="n">
        <v>0</v>
      </c>
      <c r="Q73" s="183"/>
      <c r="R73" s="183"/>
      <c r="S73" s="379"/>
      <c r="T73" s="183"/>
      <c r="U73" s="379"/>
      <c r="V73" s="379"/>
      <c r="W73" s="379"/>
      <c r="X73" s="379"/>
      <c r="Y73" s="379"/>
      <c r="Z73" s="379"/>
      <c r="AA73" s="183"/>
      <c r="AB73" s="183"/>
      <c r="AC73" s="550"/>
      <c r="AD73" s="551"/>
      <c r="AE73" s="183"/>
      <c r="AF73" s="183"/>
    </row>
    <row r="74" customFormat="false" ht="18.75" hidden="false" customHeight="false" outlineLevel="0" collapsed="false">
      <c r="A74" s="379" t="s">
        <v>42</v>
      </c>
      <c r="B74" s="379" t="s">
        <v>4611</v>
      </c>
      <c r="C74" s="378" t="s">
        <v>4762</v>
      </c>
      <c r="D74" s="548" t="s">
        <v>4763</v>
      </c>
      <c r="E74" s="379" t="s">
        <v>4764</v>
      </c>
      <c r="F74" s="379" t="n">
        <v>2021.02</v>
      </c>
      <c r="G74" s="379" t="n">
        <v>482</v>
      </c>
      <c r="H74" s="379" t="n">
        <v>2882</v>
      </c>
      <c r="I74" s="379" t="n">
        <v>1482</v>
      </c>
      <c r="J74" s="379" t="n">
        <v>1400</v>
      </c>
      <c r="K74" s="379" t="n">
        <v>160</v>
      </c>
      <c r="L74" s="19" t="n">
        <f aca="false">(K74/H74)*100</f>
        <v>5.55170020818876</v>
      </c>
      <c r="M74" s="379" t="n">
        <v>658</v>
      </c>
      <c r="N74" s="19" t="n">
        <f aca="false">(M74/H74)*100</f>
        <v>22.8313671061763</v>
      </c>
      <c r="O74" s="379" t="n">
        <v>0</v>
      </c>
      <c r="P74" s="379" t="n">
        <v>0</v>
      </c>
      <c r="Q74" s="183"/>
      <c r="R74" s="183"/>
      <c r="S74" s="379"/>
      <c r="T74" s="183"/>
      <c r="U74" s="379"/>
      <c r="V74" s="379"/>
      <c r="W74" s="379"/>
      <c r="X74" s="379"/>
      <c r="Y74" s="379"/>
      <c r="Z74" s="379"/>
      <c r="AA74" s="183"/>
      <c r="AB74" s="183"/>
      <c r="AC74" s="550"/>
      <c r="AD74" s="551"/>
      <c r="AE74" s="183"/>
      <c r="AF74" s="183"/>
    </row>
    <row r="75" customFormat="false" ht="18.75" hidden="false" customHeight="false" outlineLevel="0" collapsed="false">
      <c r="A75" s="379" t="s">
        <v>42</v>
      </c>
      <c r="B75" s="379" t="s">
        <v>4611</v>
      </c>
      <c r="C75" s="378" t="s">
        <v>4765</v>
      </c>
      <c r="D75" s="548" t="s">
        <v>4766</v>
      </c>
      <c r="E75" s="379" t="s">
        <v>4767</v>
      </c>
      <c r="F75" s="379" t="n">
        <v>2346.2</v>
      </c>
      <c r="G75" s="379" t="n">
        <v>629</v>
      </c>
      <c r="H75" s="379" t="n">
        <v>4189</v>
      </c>
      <c r="I75" s="379" t="n">
        <v>2168</v>
      </c>
      <c r="J75" s="379" t="n">
        <v>2021</v>
      </c>
      <c r="K75" s="379" t="n">
        <v>1537</v>
      </c>
      <c r="L75" s="19" t="n">
        <f aca="false">(K75/H75)*100</f>
        <v>36.6913344473621</v>
      </c>
      <c r="M75" s="379" t="n">
        <v>73</v>
      </c>
      <c r="N75" s="19" t="n">
        <f aca="false">(M75/H75)*100</f>
        <v>1.74265934590594</v>
      </c>
      <c r="O75" s="379" t="n">
        <v>80.95</v>
      </c>
      <c r="P75" s="379" t="n">
        <v>0</v>
      </c>
      <c r="Q75" s="183" t="s">
        <v>49</v>
      </c>
      <c r="R75" s="179" t="n">
        <v>45519</v>
      </c>
      <c r="S75" s="379"/>
      <c r="T75" s="183" t="n">
        <v>18.6083</v>
      </c>
      <c r="U75" s="379"/>
      <c r="V75" s="379"/>
      <c r="W75" s="379"/>
      <c r="X75" s="379"/>
      <c r="Y75" s="379"/>
      <c r="Z75" s="379"/>
      <c r="AA75" s="180" t="s">
        <v>50</v>
      </c>
      <c r="AB75" s="181" t="n">
        <v>5</v>
      </c>
      <c r="AC75" s="182" t="s">
        <v>2931</v>
      </c>
      <c r="AD75" s="183" t="n">
        <v>26.590218</v>
      </c>
      <c r="AE75" s="183" t="n">
        <v>72.670291</v>
      </c>
      <c r="AF75" s="183"/>
    </row>
    <row r="76" customFormat="false" ht="18.75" hidden="false" customHeight="false" outlineLevel="0" collapsed="false">
      <c r="A76" s="379"/>
      <c r="B76" s="379"/>
      <c r="C76" s="378"/>
      <c r="D76" s="548"/>
      <c r="E76" s="379"/>
      <c r="F76" s="379"/>
      <c r="G76" s="379"/>
      <c r="H76" s="379"/>
      <c r="I76" s="379"/>
      <c r="J76" s="379"/>
      <c r="K76" s="379"/>
      <c r="L76" s="19"/>
      <c r="M76" s="379"/>
      <c r="N76" s="19"/>
      <c r="O76" s="379"/>
      <c r="P76" s="379"/>
      <c r="Q76" s="188"/>
      <c r="R76" s="184"/>
      <c r="S76" s="379"/>
      <c r="T76" s="188"/>
      <c r="U76" s="379"/>
      <c r="V76" s="379"/>
      <c r="W76" s="379"/>
      <c r="X76" s="379"/>
      <c r="Y76" s="379"/>
      <c r="Z76" s="379"/>
      <c r="AA76" s="185" t="s">
        <v>50</v>
      </c>
      <c r="AB76" s="186" t="n">
        <v>10</v>
      </c>
      <c r="AC76" s="187" t="s">
        <v>4768</v>
      </c>
      <c r="AD76" s="188" t="n">
        <v>26.628252</v>
      </c>
      <c r="AE76" s="188" t="n">
        <v>72.697966</v>
      </c>
      <c r="AF76" s="183"/>
    </row>
    <row r="77" customFormat="false" ht="18.75" hidden="false" customHeight="false" outlineLevel="0" collapsed="false">
      <c r="A77" s="379" t="s">
        <v>42</v>
      </c>
      <c r="B77" s="379" t="s">
        <v>4611</v>
      </c>
      <c r="C77" s="378" t="s">
        <v>4769</v>
      </c>
      <c r="D77" s="548" t="s">
        <v>4769</v>
      </c>
      <c r="E77" s="379" t="s">
        <v>4770</v>
      </c>
      <c r="F77" s="379" t="n">
        <v>403.44</v>
      </c>
      <c r="G77" s="379" t="n">
        <v>200</v>
      </c>
      <c r="H77" s="379" t="n">
        <v>1218</v>
      </c>
      <c r="I77" s="379" t="n">
        <v>636</v>
      </c>
      <c r="J77" s="379" t="n">
        <v>582</v>
      </c>
      <c r="K77" s="379" t="n">
        <v>241</v>
      </c>
      <c r="L77" s="19" t="n">
        <f aca="false">(K77/H77)*100</f>
        <v>19.7865353037767</v>
      </c>
      <c r="M77" s="379" t="n">
        <v>105</v>
      </c>
      <c r="N77" s="19" t="n">
        <f aca="false">(M77/H77)*100</f>
        <v>8.62068965517241</v>
      </c>
      <c r="O77" s="379" t="n">
        <v>48.56</v>
      </c>
      <c r="P77" s="379" t="n">
        <v>0</v>
      </c>
      <c r="Q77" s="183"/>
      <c r="R77" s="183"/>
      <c r="S77" s="379"/>
      <c r="T77" s="183"/>
      <c r="U77" s="379"/>
      <c r="V77" s="379"/>
      <c r="W77" s="379"/>
      <c r="X77" s="379"/>
      <c r="Y77" s="379"/>
      <c r="Z77" s="379"/>
      <c r="AA77" s="183"/>
      <c r="AB77" s="183"/>
      <c r="AC77" s="382"/>
      <c r="AD77" s="183"/>
      <c r="AE77" s="183"/>
      <c r="AF77" s="183"/>
    </row>
    <row r="78" customFormat="false" ht="18.75" hidden="false" customHeight="false" outlineLevel="0" collapsed="false">
      <c r="A78" s="379" t="s">
        <v>42</v>
      </c>
      <c r="B78" s="379" t="s">
        <v>4611</v>
      </c>
      <c r="C78" s="378" t="s">
        <v>4769</v>
      </c>
      <c r="D78" s="549" t="s">
        <v>4771</v>
      </c>
      <c r="E78" s="379" t="s">
        <v>4772</v>
      </c>
      <c r="F78" s="379" t="n">
        <v>470.12</v>
      </c>
      <c r="G78" s="379" t="n">
        <v>151</v>
      </c>
      <c r="H78" s="379" t="n">
        <v>1269</v>
      </c>
      <c r="I78" s="379" t="n">
        <v>639</v>
      </c>
      <c r="J78" s="379" t="n">
        <v>630</v>
      </c>
      <c r="K78" s="379" t="n">
        <v>0</v>
      </c>
      <c r="L78" s="19" t="n">
        <f aca="false">(K78/H78)*100</f>
        <v>0</v>
      </c>
      <c r="M78" s="379" t="n">
        <v>0</v>
      </c>
      <c r="N78" s="19" t="n">
        <f aca="false">(M78/H78)*100</f>
        <v>0</v>
      </c>
      <c r="O78" s="379" t="n">
        <v>0</v>
      </c>
      <c r="P78" s="379" t="n">
        <v>0</v>
      </c>
      <c r="Q78" s="183"/>
      <c r="R78" s="183"/>
      <c r="S78" s="379"/>
      <c r="T78" s="183"/>
      <c r="U78" s="379"/>
      <c r="V78" s="379"/>
      <c r="W78" s="379"/>
      <c r="X78" s="379"/>
      <c r="Y78" s="379"/>
      <c r="Z78" s="379"/>
      <c r="AA78" s="183"/>
      <c r="AB78" s="183"/>
      <c r="AC78" s="382"/>
      <c r="AD78" s="183"/>
      <c r="AE78" s="183"/>
      <c r="AF78" s="183"/>
    </row>
    <row r="79" customFormat="false" ht="18.75" hidden="false" customHeight="false" outlineLevel="0" collapsed="false">
      <c r="A79" s="379" t="s">
        <v>42</v>
      </c>
      <c r="B79" s="379" t="s">
        <v>4611</v>
      </c>
      <c r="C79" s="378" t="s">
        <v>537</v>
      </c>
      <c r="D79" s="548" t="s">
        <v>537</v>
      </c>
      <c r="E79" s="379" t="s">
        <v>4773</v>
      </c>
      <c r="F79" s="379" t="n">
        <v>1751.08</v>
      </c>
      <c r="G79" s="379" t="n">
        <v>323</v>
      </c>
      <c r="H79" s="379" t="n">
        <v>2034</v>
      </c>
      <c r="I79" s="379" t="n">
        <v>1050</v>
      </c>
      <c r="J79" s="379" t="n">
        <v>984</v>
      </c>
      <c r="K79" s="379" t="n">
        <v>360</v>
      </c>
      <c r="L79" s="19" t="n">
        <f aca="false">(K79/H79)*100</f>
        <v>17.6991150442478</v>
      </c>
      <c r="M79" s="379" t="n">
        <v>0</v>
      </c>
      <c r="N79" s="19" t="n">
        <f aca="false">(M79/H79)*100</f>
        <v>0</v>
      </c>
      <c r="O79" s="379" t="n">
        <v>43</v>
      </c>
      <c r="P79" s="379" t="n">
        <v>0</v>
      </c>
      <c r="Q79" s="183" t="s">
        <v>49</v>
      </c>
      <c r="R79" s="179" t="n">
        <v>45348</v>
      </c>
      <c r="S79" s="379"/>
      <c r="T79" s="183" t="n">
        <v>18.4698</v>
      </c>
      <c r="U79" s="379"/>
      <c r="V79" s="379"/>
      <c r="W79" s="379"/>
      <c r="X79" s="379"/>
      <c r="Y79" s="379"/>
      <c r="Z79" s="379"/>
      <c r="AA79" s="180" t="s">
        <v>50</v>
      </c>
      <c r="AB79" s="181" t="n">
        <v>5</v>
      </c>
      <c r="AC79" s="182" t="s">
        <v>4774</v>
      </c>
      <c r="AD79" s="183" t="n">
        <v>26.712612</v>
      </c>
      <c r="AE79" s="183" t="n">
        <v>72.691652</v>
      </c>
      <c r="AF79" s="183"/>
    </row>
    <row r="80" customFormat="false" ht="18.75" hidden="false" customHeight="false" outlineLevel="0" collapsed="false">
      <c r="A80" s="379"/>
      <c r="B80" s="379"/>
      <c r="C80" s="378"/>
      <c r="D80" s="548"/>
      <c r="E80" s="379"/>
      <c r="F80" s="379"/>
      <c r="G80" s="379"/>
      <c r="H80" s="379"/>
      <c r="I80" s="379"/>
      <c r="J80" s="379"/>
      <c r="K80" s="379"/>
      <c r="L80" s="19"/>
      <c r="M80" s="379"/>
      <c r="N80" s="19"/>
      <c r="O80" s="379"/>
      <c r="P80" s="379"/>
      <c r="Q80" s="188" t="s">
        <v>49</v>
      </c>
      <c r="R80" s="184"/>
      <c r="S80" s="379"/>
      <c r="T80" s="188"/>
      <c r="U80" s="379"/>
      <c r="V80" s="379"/>
      <c r="W80" s="379"/>
      <c r="X80" s="379"/>
      <c r="Y80" s="379"/>
      <c r="Z80" s="379"/>
      <c r="AA80" s="185" t="s">
        <v>50</v>
      </c>
      <c r="AB80" s="186" t="n">
        <v>8</v>
      </c>
      <c r="AC80" s="187" t="s">
        <v>4775</v>
      </c>
      <c r="AD80" s="188" t="n">
        <v>26.710376</v>
      </c>
      <c r="AE80" s="188" t="n">
        <v>72.689179</v>
      </c>
      <c r="AF80" s="183"/>
    </row>
    <row r="81" customFormat="false" ht="18.75" hidden="false" customHeight="false" outlineLevel="0" collapsed="false">
      <c r="A81" s="379" t="s">
        <v>42</v>
      </c>
      <c r="B81" s="379" t="s">
        <v>4611</v>
      </c>
      <c r="C81" s="378" t="s">
        <v>537</v>
      </c>
      <c r="D81" s="549" t="s">
        <v>4776</v>
      </c>
      <c r="E81" s="379" t="s">
        <v>4777</v>
      </c>
      <c r="F81" s="379" t="n">
        <v>455.92</v>
      </c>
      <c r="G81" s="379" t="n">
        <v>154</v>
      </c>
      <c r="H81" s="379" t="n">
        <v>1053</v>
      </c>
      <c r="I81" s="379" t="n">
        <v>575</v>
      </c>
      <c r="J81" s="379" t="n">
        <v>478</v>
      </c>
      <c r="K81" s="379" t="n">
        <v>177</v>
      </c>
      <c r="L81" s="19" t="n">
        <f aca="false">(K81/H81)*100</f>
        <v>16.8091168091168</v>
      </c>
      <c r="M81" s="379" t="n">
        <v>22</v>
      </c>
      <c r="N81" s="19" t="n">
        <f aca="false">(M81/H81)*100</f>
        <v>2.08926875593542</v>
      </c>
      <c r="O81" s="379" t="n">
        <v>47.08</v>
      </c>
      <c r="P81" s="379" t="n">
        <v>0</v>
      </c>
      <c r="Q81" s="183" t="s">
        <v>49</v>
      </c>
      <c r="R81" s="179" t="n">
        <v>45348</v>
      </c>
      <c r="S81" s="379"/>
      <c r="T81" s="183" t="n">
        <v>24.872</v>
      </c>
      <c r="U81" s="379"/>
      <c r="V81" s="379"/>
      <c r="W81" s="379"/>
      <c r="X81" s="379"/>
      <c r="Y81" s="379"/>
      <c r="Z81" s="379"/>
      <c r="AA81" s="180" t="s">
        <v>50</v>
      </c>
      <c r="AB81" s="181" t="n">
        <v>12</v>
      </c>
      <c r="AC81" s="182" t="s">
        <v>4778</v>
      </c>
      <c r="AD81" s="183" t="n">
        <v>26.713569</v>
      </c>
      <c r="AE81" s="183" t="n">
        <v>72.68742</v>
      </c>
      <c r="AF81" s="183"/>
    </row>
    <row r="82" customFormat="false" ht="18.75" hidden="false" customHeight="false" outlineLevel="0" collapsed="false">
      <c r="A82" s="379"/>
      <c r="B82" s="379"/>
      <c r="C82" s="378"/>
      <c r="D82" s="549"/>
      <c r="E82" s="379"/>
      <c r="F82" s="379"/>
      <c r="G82" s="379"/>
      <c r="H82" s="379"/>
      <c r="I82" s="379"/>
      <c r="J82" s="379"/>
      <c r="K82" s="379"/>
      <c r="L82" s="19"/>
      <c r="M82" s="379"/>
      <c r="N82" s="19"/>
      <c r="O82" s="379"/>
      <c r="P82" s="379"/>
      <c r="Q82" s="188" t="s">
        <v>49</v>
      </c>
      <c r="R82" s="184"/>
      <c r="S82" s="379"/>
      <c r="T82" s="188"/>
      <c r="U82" s="379"/>
      <c r="V82" s="379"/>
      <c r="W82" s="379"/>
      <c r="X82" s="379"/>
      <c r="Y82" s="379"/>
      <c r="Z82" s="379"/>
      <c r="AA82" s="185" t="s">
        <v>50</v>
      </c>
      <c r="AB82" s="186" t="n">
        <v>12</v>
      </c>
      <c r="AC82" s="187" t="s">
        <v>4779</v>
      </c>
      <c r="AD82" s="188" t="n">
        <v>26.713018</v>
      </c>
      <c r="AE82" s="188" t="n">
        <v>72.691901</v>
      </c>
      <c r="AF82" s="183"/>
    </row>
    <row r="83" customFormat="false" ht="56.25" hidden="false" customHeight="false" outlineLevel="0" collapsed="false">
      <c r="A83" s="379" t="s">
        <v>42</v>
      </c>
      <c r="B83" s="379" t="s">
        <v>4611</v>
      </c>
      <c r="C83" s="378" t="s">
        <v>4780</v>
      </c>
      <c r="D83" s="548" t="s">
        <v>4781</v>
      </c>
      <c r="E83" s="379" t="s">
        <v>4782</v>
      </c>
      <c r="F83" s="379" t="n">
        <v>1309.27</v>
      </c>
      <c r="G83" s="379" t="n">
        <v>602</v>
      </c>
      <c r="H83" s="379" t="n">
        <v>3917</v>
      </c>
      <c r="I83" s="379" t="n">
        <v>2056</v>
      </c>
      <c r="J83" s="379" t="n">
        <v>1861</v>
      </c>
      <c r="K83" s="379" t="n">
        <v>779</v>
      </c>
      <c r="L83" s="19" t="n">
        <f aca="false">(K83/H83)*100</f>
        <v>19.8876691345417</v>
      </c>
      <c r="M83" s="379" t="n">
        <v>51</v>
      </c>
      <c r="N83" s="19" t="n">
        <f aca="false">(M83/H83)*100</f>
        <v>1.30201684962982</v>
      </c>
      <c r="O83" s="379" t="n">
        <v>194.72</v>
      </c>
      <c r="P83" s="379" t="n">
        <v>0</v>
      </c>
      <c r="Q83" s="183" t="s">
        <v>49</v>
      </c>
      <c r="R83" s="179" t="n">
        <v>45299</v>
      </c>
      <c r="S83" s="379"/>
      <c r="T83" s="183" t="n">
        <v>15.9931</v>
      </c>
      <c r="U83" s="379"/>
      <c r="V83" s="379"/>
      <c r="W83" s="379"/>
      <c r="X83" s="379"/>
      <c r="Y83" s="379"/>
      <c r="Z83" s="379"/>
      <c r="AA83" s="180" t="s">
        <v>50</v>
      </c>
      <c r="AB83" s="181" t="n">
        <v>8</v>
      </c>
      <c r="AC83" s="182" t="s">
        <v>4783</v>
      </c>
      <c r="AD83" s="183" t="n">
        <v>26.468816</v>
      </c>
      <c r="AE83" s="183" t="n">
        <v>73.008267</v>
      </c>
      <c r="AF83" s="183"/>
    </row>
    <row r="84" customFormat="false" ht="31.5" hidden="false" customHeight="false" outlineLevel="0" collapsed="false">
      <c r="A84" s="379" t="s">
        <v>42</v>
      </c>
      <c r="B84" s="379" t="s">
        <v>4611</v>
      </c>
      <c r="C84" s="378" t="s">
        <v>4784</v>
      </c>
      <c r="D84" s="548" t="s">
        <v>4785</v>
      </c>
      <c r="E84" s="379" t="s">
        <v>4786</v>
      </c>
      <c r="F84" s="379" t="n">
        <v>631.72</v>
      </c>
      <c r="G84" s="379" t="n">
        <v>150</v>
      </c>
      <c r="H84" s="379" t="n">
        <v>887</v>
      </c>
      <c r="I84" s="379" t="n">
        <v>465</v>
      </c>
      <c r="J84" s="379" t="n">
        <v>422</v>
      </c>
      <c r="K84" s="379" t="n">
        <v>272</v>
      </c>
      <c r="L84" s="19" t="n">
        <f aca="false">(K84/H84)*100</f>
        <v>30.6651634723788</v>
      </c>
      <c r="M84" s="379" t="n">
        <v>54</v>
      </c>
      <c r="N84" s="19" t="n">
        <f aca="false">(M84/H84)*100</f>
        <v>6.08793686583991</v>
      </c>
      <c r="O84" s="379" t="n">
        <v>59.96</v>
      </c>
      <c r="P84" s="379" t="n">
        <v>0</v>
      </c>
      <c r="Q84" s="45" t="s">
        <v>49</v>
      </c>
      <c r="R84" s="53" t="s">
        <v>595</v>
      </c>
      <c r="S84" s="379"/>
      <c r="T84" s="45" t="n">
        <v>54.2278</v>
      </c>
      <c r="U84" s="379"/>
      <c r="V84" s="379"/>
      <c r="W84" s="379"/>
      <c r="X84" s="379"/>
      <c r="Y84" s="379"/>
      <c r="Z84" s="379"/>
      <c r="AA84" s="45" t="s">
        <v>50</v>
      </c>
      <c r="AB84" s="45" t="n">
        <v>12</v>
      </c>
      <c r="AC84" s="340" t="s">
        <v>4787</v>
      </c>
      <c r="AD84" s="45" t="n">
        <v>26.442971</v>
      </c>
      <c r="AE84" s="45" t="n">
        <v>72.750675</v>
      </c>
      <c r="AF84" s="183" t="s">
        <v>52</v>
      </c>
    </row>
    <row r="85" customFormat="false" ht="18.75" hidden="false" customHeight="false" outlineLevel="0" collapsed="false">
      <c r="A85" s="379" t="s">
        <v>42</v>
      </c>
      <c r="B85" s="379" t="s">
        <v>4611</v>
      </c>
      <c r="C85" s="378" t="s">
        <v>4784</v>
      </c>
      <c r="D85" s="549" t="s">
        <v>4788</v>
      </c>
      <c r="E85" s="379" t="s">
        <v>4789</v>
      </c>
      <c r="F85" s="379" t="n">
        <v>216.99</v>
      </c>
      <c r="G85" s="379" t="n">
        <v>134</v>
      </c>
      <c r="H85" s="379" t="n">
        <v>817</v>
      </c>
      <c r="I85" s="379" t="n">
        <v>431</v>
      </c>
      <c r="J85" s="379" t="n">
        <v>386</v>
      </c>
      <c r="K85" s="379" t="n">
        <v>390</v>
      </c>
      <c r="L85" s="19" t="n">
        <f aca="false">(K85/H85)*100</f>
        <v>47.7356181150551</v>
      </c>
      <c r="M85" s="379" t="n">
        <v>75</v>
      </c>
      <c r="N85" s="19" t="n">
        <f aca="false">(M85/H85)*100</f>
        <v>9.17992656058751</v>
      </c>
      <c r="O85" s="379" t="n">
        <v>7.16</v>
      </c>
      <c r="P85" s="379" t="n">
        <v>0</v>
      </c>
      <c r="Q85" s="571" t="s">
        <v>49</v>
      </c>
      <c r="R85" s="571" t="s">
        <v>595</v>
      </c>
      <c r="S85" s="379"/>
      <c r="T85" s="571" t="n">
        <v>1.813</v>
      </c>
      <c r="U85" s="379"/>
      <c r="V85" s="379"/>
      <c r="W85" s="379"/>
      <c r="X85" s="379"/>
      <c r="Y85" s="379"/>
      <c r="Z85" s="379"/>
      <c r="AA85" s="571" t="s">
        <v>50</v>
      </c>
      <c r="AB85" s="571" t="n">
        <v>0</v>
      </c>
      <c r="AC85" s="572"/>
      <c r="AD85" s="571"/>
      <c r="AE85" s="571"/>
      <c r="AF85" s="183" t="s">
        <v>52</v>
      </c>
    </row>
    <row r="86" customFormat="false" ht="18.75" hidden="false" customHeight="false" outlineLevel="0" collapsed="false">
      <c r="A86" s="379" t="s">
        <v>42</v>
      </c>
      <c r="B86" s="379" t="s">
        <v>4611</v>
      </c>
      <c r="C86" s="378" t="s">
        <v>4784</v>
      </c>
      <c r="D86" s="549" t="s">
        <v>4790</v>
      </c>
      <c r="E86" s="379" t="s">
        <v>4791</v>
      </c>
      <c r="F86" s="379" t="n">
        <v>622.95</v>
      </c>
      <c r="G86" s="379" t="n">
        <v>70</v>
      </c>
      <c r="H86" s="379" t="n">
        <v>512</v>
      </c>
      <c r="I86" s="379" t="n">
        <v>267</v>
      </c>
      <c r="J86" s="379" t="n">
        <v>245</v>
      </c>
      <c r="K86" s="379" t="n">
        <v>16</v>
      </c>
      <c r="L86" s="19" t="n">
        <f aca="false">(K86/H86)*100</f>
        <v>3.125</v>
      </c>
      <c r="M86" s="379" t="n">
        <v>1</v>
      </c>
      <c r="N86" s="19" t="n">
        <f aca="false">(M86/H86)*100</f>
        <v>0.1953125</v>
      </c>
      <c r="O86" s="379" t="n">
        <v>0</v>
      </c>
      <c r="P86" s="379" t="n">
        <v>0</v>
      </c>
      <c r="Q86" s="571" t="s">
        <v>49</v>
      </c>
      <c r="R86" s="571" t="s">
        <v>595</v>
      </c>
      <c r="S86" s="379"/>
      <c r="T86" s="571" t="n">
        <v>0.2428</v>
      </c>
      <c r="U86" s="379"/>
      <c r="V86" s="379"/>
      <c r="W86" s="379"/>
      <c r="X86" s="379"/>
      <c r="Y86" s="379"/>
      <c r="Z86" s="379"/>
      <c r="AA86" s="571" t="s">
        <v>50</v>
      </c>
      <c r="AB86" s="571" t="n">
        <v>0</v>
      </c>
      <c r="AC86" s="572"/>
      <c r="AD86" s="571"/>
      <c r="AE86" s="571"/>
      <c r="AF86" s="183" t="s">
        <v>52</v>
      </c>
    </row>
    <row r="87" customFormat="false" ht="18.75" hidden="false" customHeight="false" outlineLevel="0" collapsed="false">
      <c r="A87" s="379" t="s">
        <v>42</v>
      </c>
      <c r="B87" s="379" t="s">
        <v>4611</v>
      </c>
      <c r="C87" s="378" t="s">
        <v>4784</v>
      </c>
      <c r="D87" s="549" t="s">
        <v>4792</v>
      </c>
      <c r="E87" s="379" t="s">
        <v>4793</v>
      </c>
      <c r="F87" s="379" t="n">
        <v>398.57</v>
      </c>
      <c r="G87" s="379" t="n">
        <v>94</v>
      </c>
      <c r="H87" s="379" t="n">
        <v>401</v>
      </c>
      <c r="I87" s="379" t="n">
        <v>207</v>
      </c>
      <c r="J87" s="379" t="n">
        <v>194</v>
      </c>
      <c r="K87" s="379" t="n">
        <v>82</v>
      </c>
      <c r="L87" s="19" t="n">
        <f aca="false">(K87/H87)*100</f>
        <v>20.4488778054863</v>
      </c>
      <c r="M87" s="379" t="n">
        <v>36</v>
      </c>
      <c r="N87" s="19" t="n">
        <f aca="false">(M87/H87)*100</f>
        <v>8.97755610972569</v>
      </c>
      <c r="O87" s="379" t="n">
        <v>0</v>
      </c>
      <c r="P87" s="379" t="n">
        <v>0</v>
      </c>
      <c r="Q87" s="571" t="s">
        <v>49</v>
      </c>
      <c r="R87" s="571" t="s">
        <v>595</v>
      </c>
      <c r="S87" s="379"/>
      <c r="T87" s="571"/>
      <c r="U87" s="379"/>
      <c r="V87" s="379"/>
      <c r="W87" s="379"/>
      <c r="X87" s="379"/>
      <c r="Y87" s="379"/>
      <c r="Z87" s="379"/>
      <c r="AA87" s="571" t="s">
        <v>50</v>
      </c>
      <c r="AB87" s="571" t="n">
        <v>0</v>
      </c>
      <c r="AC87" s="572"/>
      <c r="AD87" s="571"/>
      <c r="AE87" s="571"/>
      <c r="AF87" s="183" t="s">
        <v>52</v>
      </c>
    </row>
    <row r="88" customFormat="false" ht="18.75" hidden="false" customHeight="false" outlineLevel="0" collapsed="false">
      <c r="A88" s="379" t="s">
        <v>42</v>
      </c>
      <c r="B88" s="379" t="s">
        <v>4611</v>
      </c>
      <c r="C88" s="378" t="s">
        <v>4784</v>
      </c>
      <c r="D88" s="549" t="s">
        <v>4794</v>
      </c>
      <c r="E88" s="379" t="s">
        <v>4795</v>
      </c>
      <c r="F88" s="379" t="n">
        <v>213.8</v>
      </c>
      <c r="G88" s="379" t="n">
        <v>94</v>
      </c>
      <c r="H88" s="379" t="n">
        <v>523</v>
      </c>
      <c r="I88" s="379" t="n">
        <v>282</v>
      </c>
      <c r="J88" s="379" t="n">
        <v>241</v>
      </c>
      <c r="K88" s="379" t="n">
        <v>0</v>
      </c>
      <c r="L88" s="19" t="n">
        <f aca="false">(K88/H88)*100</f>
        <v>0</v>
      </c>
      <c r="M88" s="379" t="n">
        <v>0</v>
      </c>
      <c r="N88" s="19" t="n">
        <f aca="false">(M88/H88)*100</f>
        <v>0</v>
      </c>
      <c r="O88" s="379" t="n">
        <v>0</v>
      </c>
      <c r="P88" s="379" t="n">
        <v>0</v>
      </c>
      <c r="Q88" s="571" t="s">
        <v>49</v>
      </c>
      <c r="R88" s="571" t="s">
        <v>595</v>
      </c>
      <c r="S88" s="379"/>
      <c r="T88" s="571"/>
      <c r="U88" s="379"/>
      <c r="V88" s="379"/>
      <c r="W88" s="379"/>
      <c r="X88" s="379"/>
      <c r="Y88" s="379"/>
      <c r="Z88" s="379"/>
      <c r="AA88" s="571" t="s">
        <v>50</v>
      </c>
      <c r="AB88" s="571" t="n">
        <v>0</v>
      </c>
      <c r="AC88" s="572"/>
      <c r="AD88" s="571"/>
      <c r="AE88" s="571"/>
      <c r="AF88" s="183" t="s">
        <v>52</v>
      </c>
    </row>
    <row r="89" customFormat="false" ht="18.75" hidden="false" customHeight="false" outlineLevel="0" collapsed="false">
      <c r="A89" s="379" t="s">
        <v>42</v>
      </c>
      <c r="B89" s="379" t="s">
        <v>4611</v>
      </c>
      <c r="C89" s="378" t="s">
        <v>4784</v>
      </c>
      <c r="D89" s="549" t="s">
        <v>4796</v>
      </c>
      <c r="E89" s="379" t="s">
        <v>4797</v>
      </c>
      <c r="F89" s="379" t="n">
        <v>163.6</v>
      </c>
      <c r="G89" s="379" t="n">
        <v>10</v>
      </c>
      <c r="H89" s="379" t="n">
        <v>58</v>
      </c>
      <c r="I89" s="379" t="n">
        <v>32</v>
      </c>
      <c r="J89" s="379" t="n">
        <v>26</v>
      </c>
      <c r="K89" s="379" t="n">
        <v>0</v>
      </c>
      <c r="L89" s="19" t="n">
        <f aca="false">(K89/H89)*100</f>
        <v>0</v>
      </c>
      <c r="M89" s="379" t="n">
        <v>0</v>
      </c>
      <c r="N89" s="19" t="n">
        <f aca="false">(M89/H89)*100</f>
        <v>0</v>
      </c>
      <c r="O89" s="379" t="n">
        <v>48.18</v>
      </c>
      <c r="P89" s="379" t="n">
        <v>0</v>
      </c>
      <c r="Q89" s="571" t="s">
        <v>49</v>
      </c>
      <c r="R89" s="571" t="s">
        <v>595</v>
      </c>
      <c r="S89" s="379"/>
      <c r="T89" s="571" t="n">
        <v>48.457</v>
      </c>
      <c r="U89" s="379"/>
      <c r="V89" s="379"/>
      <c r="W89" s="379"/>
      <c r="X89" s="379"/>
      <c r="Y89" s="379"/>
      <c r="Z89" s="379"/>
      <c r="AA89" s="571" t="s">
        <v>50</v>
      </c>
      <c r="AB89" s="571" t="n">
        <v>0</v>
      </c>
      <c r="AC89" s="572"/>
      <c r="AD89" s="571"/>
      <c r="AE89" s="571"/>
      <c r="AF89" s="183" t="s">
        <v>52</v>
      </c>
    </row>
    <row r="90" customFormat="false" ht="18.75" hidden="false" customHeight="false" outlineLevel="0" collapsed="false">
      <c r="A90" s="379" t="s">
        <v>42</v>
      </c>
      <c r="B90" s="379" t="s">
        <v>4611</v>
      </c>
      <c r="C90" s="378" t="s">
        <v>4784</v>
      </c>
      <c r="D90" s="549" t="s">
        <v>194</v>
      </c>
      <c r="E90" s="379" t="s">
        <v>4798</v>
      </c>
      <c r="F90" s="379" t="n">
        <v>802.2</v>
      </c>
      <c r="G90" s="379" t="n">
        <v>111</v>
      </c>
      <c r="H90" s="379" t="n">
        <v>712</v>
      </c>
      <c r="I90" s="379" t="n">
        <v>378</v>
      </c>
      <c r="J90" s="379" t="n">
        <v>334</v>
      </c>
      <c r="K90" s="379" t="n">
        <v>0</v>
      </c>
      <c r="L90" s="19" t="n">
        <f aca="false">(K90/H90)*100</f>
        <v>0</v>
      </c>
      <c r="M90" s="379" t="n">
        <v>0</v>
      </c>
      <c r="N90" s="19" t="n">
        <f aca="false">(M90/H90)*100</f>
        <v>0</v>
      </c>
      <c r="O90" s="379" t="n">
        <v>49.21</v>
      </c>
      <c r="P90" s="379" t="n">
        <v>0</v>
      </c>
      <c r="Q90" s="571" t="s">
        <v>49</v>
      </c>
      <c r="R90" s="571" t="s">
        <v>595</v>
      </c>
      <c r="S90" s="379"/>
      <c r="T90" s="571" t="n">
        <v>50.448</v>
      </c>
      <c r="U90" s="379"/>
      <c r="V90" s="379"/>
      <c r="W90" s="379"/>
      <c r="X90" s="379"/>
      <c r="Y90" s="379"/>
      <c r="Z90" s="379"/>
      <c r="AA90" s="571" t="s">
        <v>50</v>
      </c>
      <c r="AB90" s="571" t="n">
        <v>0</v>
      </c>
      <c r="AC90" s="572"/>
      <c r="AD90" s="571"/>
      <c r="AE90" s="571"/>
      <c r="AF90" s="183" t="s">
        <v>52</v>
      </c>
    </row>
    <row r="91" customFormat="false" ht="18.75" hidden="false" customHeight="false" outlineLevel="0" collapsed="false">
      <c r="A91" s="379" t="s">
        <v>42</v>
      </c>
      <c r="B91" s="379" t="s">
        <v>4611</v>
      </c>
      <c r="C91" s="378" t="s">
        <v>879</v>
      </c>
      <c r="D91" s="548" t="s">
        <v>879</v>
      </c>
      <c r="E91" s="379" t="s">
        <v>4799</v>
      </c>
      <c r="F91" s="379" t="n">
        <v>1317.25</v>
      </c>
      <c r="G91" s="379" t="n">
        <v>274</v>
      </c>
      <c r="H91" s="379" t="n">
        <v>1594</v>
      </c>
      <c r="I91" s="379" t="n">
        <v>816</v>
      </c>
      <c r="J91" s="379" t="n">
        <v>778</v>
      </c>
      <c r="K91" s="379" t="n">
        <v>389</v>
      </c>
      <c r="L91" s="19" t="n">
        <f aca="false">(K91/H91)*100</f>
        <v>24.4040150564617</v>
      </c>
      <c r="M91" s="379" t="n">
        <v>15</v>
      </c>
      <c r="N91" s="19" t="n">
        <f aca="false">(M91/H91)*100</f>
        <v>0.941028858218319</v>
      </c>
      <c r="O91" s="379" t="n">
        <v>50.96</v>
      </c>
      <c r="P91" s="379" t="n">
        <v>0</v>
      </c>
      <c r="Q91" s="183"/>
      <c r="R91" s="183"/>
      <c r="S91" s="379"/>
      <c r="T91" s="183"/>
      <c r="U91" s="379"/>
      <c r="V91" s="379"/>
      <c r="W91" s="379"/>
      <c r="X91" s="379"/>
      <c r="Y91" s="379"/>
      <c r="Z91" s="379"/>
      <c r="AA91" s="183"/>
      <c r="AB91" s="183"/>
      <c r="AC91" s="382"/>
      <c r="AD91" s="183"/>
      <c r="AE91" s="183"/>
      <c r="AF91" s="183"/>
    </row>
    <row r="92" customFormat="false" ht="18.75" hidden="false" customHeight="false" outlineLevel="0" collapsed="false">
      <c r="A92" s="379" t="s">
        <v>42</v>
      </c>
      <c r="B92" s="379" t="s">
        <v>4611</v>
      </c>
      <c r="C92" s="378" t="s">
        <v>879</v>
      </c>
      <c r="D92" s="549" t="s">
        <v>4800</v>
      </c>
      <c r="E92" s="379" t="s">
        <v>4801</v>
      </c>
      <c r="F92" s="379" t="n">
        <v>1118.27</v>
      </c>
      <c r="G92" s="379" t="n">
        <v>193</v>
      </c>
      <c r="H92" s="379" t="n">
        <v>1211</v>
      </c>
      <c r="I92" s="379" t="n">
        <v>627</v>
      </c>
      <c r="J92" s="379" t="n">
        <v>584</v>
      </c>
      <c r="K92" s="379" t="n">
        <v>4</v>
      </c>
      <c r="L92" s="19" t="n">
        <f aca="false">(K92/H92)*100</f>
        <v>0.330305532617671</v>
      </c>
      <c r="M92" s="379" t="n">
        <v>0</v>
      </c>
      <c r="N92" s="19" t="n">
        <f aca="false">(M92/H92)*100</f>
        <v>0</v>
      </c>
      <c r="O92" s="379" t="n">
        <v>23.07</v>
      </c>
      <c r="P92" s="379" t="n">
        <v>0</v>
      </c>
      <c r="Q92" s="183"/>
      <c r="R92" s="183"/>
      <c r="S92" s="379"/>
      <c r="T92" s="183"/>
      <c r="U92" s="379"/>
      <c r="V92" s="379"/>
      <c r="W92" s="379"/>
      <c r="X92" s="379"/>
      <c r="Y92" s="379"/>
      <c r="Z92" s="379"/>
      <c r="AA92" s="183"/>
      <c r="AB92" s="183"/>
      <c r="AC92" s="382"/>
      <c r="AD92" s="183"/>
      <c r="AE92" s="183"/>
      <c r="AF92" s="183"/>
    </row>
    <row r="93" customFormat="false" ht="18.75" hidden="false" customHeight="false" outlineLevel="0" collapsed="false">
      <c r="A93" s="379" t="s">
        <v>42</v>
      </c>
      <c r="B93" s="379" t="s">
        <v>4611</v>
      </c>
      <c r="C93" s="378" t="s">
        <v>4802</v>
      </c>
      <c r="D93" s="548" t="s">
        <v>4802</v>
      </c>
      <c r="E93" s="379" t="s">
        <v>4803</v>
      </c>
      <c r="F93" s="379" t="n">
        <v>1306.53</v>
      </c>
      <c r="G93" s="379" t="n">
        <v>259</v>
      </c>
      <c r="H93" s="379" t="n">
        <v>1665</v>
      </c>
      <c r="I93" s="379" t="n">
        <v>860</v>
      </c>
      <c r="J93" s="379" t="n">
        <v>805</v>
      </c>
      <c r="K93" s="379" t="n">
        <v>32</v>
      </c>
      <c r="L93" s="19" t="n">
        <f aca="false">(K93/H93)*100</f>
        <v>1.92192192192192</v>
      </c>
      <c r="M93" s="379" t="n">
        <v>0</v>
      </c>
      <c r="N93" s="19" t="n">
        <f aca="false">(M93/H93)*100</f>
        <v>0</v>
      </c>
      <c r="O93" s="379" t="n">
        <v>10.29</v>
      </c>
      <c r="P93" s="379" t="n">
        <v>0</v>
      </c>
      <c r="Q93" s="183"/>
      <c r="R93" s="183"/>
      <c r="S93" s="379"/>
      <c r="T93" s="183"/>
      <c r="U93" s="379"/>
      <c r="V93" s="379"/>
      <c r="W93" s="379"/>
      <c r="X93" s="379"/>
      <c r="Y93" s="379"/>
      <c r="Z93" s="379"/>
      <c r="AA93" s="183"/>
      <c r="AB93" s="183"/>
      <c r="AC93" s="382"/>
      <c r="AD93" s="183"/>
      <c r="AE93" s="183"/>
      <c r="AF93" s="183"/>
    </row>
    <row r="94" customFormat="false" ht="18.75" hidden="false" customHeight="false" outlineLevel="0" collapsed="false">
      <c r="A94" s="379" t="s">
        <v>42</v>
      </c>
      <c r="B94" s="379" t="s">
        <v>4611</v>
      </c>
      <c r="C94" s="378" t="s">
        <v>4802</v>
      </c>
      <c r="D94" s="549" t="s">
        <v>537</v>
      </c>
      <c r="E94" s="379" t="s">
        <v>4804</v>
      </c>
      <c r="F94" s="379" t="n">
        <v>941.76</v>
      </c>
      <c r="G94" s="379" t="n">
        <v>220</v>
      </c>
      <c r="H94" s="379" t="n">
        <v>1406</v>
      </c>
      <c r="I94" s="379" t="n">
        <v>739</v>
      </c>
      <c r="J94" s="379" t="n">
        <v>667</v>
      </c>
      <c r="K94" s="379" t="n">
        <v>4</v>
      </c>
      <c r="L94" s="19" t="n">
        <f aca="false">(K94/H94)*100</f>
        <v>0.284495021337127</v>
      </c>
      <c r="M94" s="379" t="n">
        <v>0</v>
      </c>
      <c r="N94" s="19" t="n">
        <f aca="false">(M94/H94)*100</f>
        <v>0</v>
      </c>
      <c r="O94" s="379" t="n">
        <v>12.27</v>
      </c>
      <c r="P94" s="379" t="n">
        <v>0</v>
      </c>
      <c r="Q94" s="183"/>
      <c r="R94" s="183"/>
      <c r="S94" s="379"/>
      <c r="T94" s="183"/>
      <c r="U94" s="379"/>
      <c r="V94" s="379"/>
      <c r="W94" s="379"/>
      <c r="X94" s="379"/>
      <c r="Y94" s="379"/>
      <c r="Z94" s="379"/>
      <c r="AA94" s="183"/>
      <c r="AB94" s="183"/>
      <c r="AC94" s="382"/>
      <c r="AD94" s="183"/>
      <c r="AE94" s="183"/>
      <c r="AF94" s="183"/>
    </row>
    <row r="95" customFormat="false" ht="18.75" hidden="false" customHeight="false" outlineLevel="0" collapsed="false">
      <c r="A95" s="379" t="s">
        <v>42</v>
      </c>
      <c r="B95" s="379" t="s">
        <v>4611</v>
      </c>
      <c r="C95" s="378" t="s">
        <v>4611</v>
      </c>
      <c r="D95" s="548" t="s">
        <v>4805</v>
      </c>
      <c r="E95" s="379" t="s">
        <v>4806</v>
      </c>
      <c r="F95" s="379" t="n">
        <v>6024.32</v>
      </c>
      <c r="G95" s="379" t="n">
        <v>2808</v>
      </c>
      <c r="H95" s="379" t="n">
        <v>18267</v>
      </c>
      <c r="I95" s="379" t="n">
        <v>9542</v>
      </c>
      <c r="J95" s="379" t="n">
        <v>8725</v>
      </c>
      <c r="K95" s="379" t="n">
        <v>3876</v>
      </c>
      <c r="L95" s="19" t="n">
        <f aca="false">(K95/H95)*100</f>
        <v>21.2185909016259</v>
      </c>
      <c r="M95" s="379" t="n">
        <v>412</v>
      </c>
      <c r="N95" s="19" t="n">
        <f aca="false">(M95/H95)*100</f>
        <v>2.25543329501286</v>
      </c>
      <c r="O95" s="379" t="n">
        <v>400</v>
      </c>
      <c r="P95" s="379" t="n">
        <v>0</v>
      </c>
      <c r="Q95" s="183"/>
      <c r="R95" s="183"/>
      <c r="S95" s="379"/>
      <c r="T95" s="183"/>
      <c r="U95" s="379"/>
      <c r="V95" s="379"/>
      <c r="W95" s="379"/>
      <c r="X95" s="379"/>
      <c r="Y95" s="379"/>
      <c r="Z95" s="379"/>
      <c r="AA95" s="183"/>
      <c r="AB95" s="183"/>
      <c r="AC95" s="382"/>
      <c r="AD95" s="183"/>
      <c r="AE95" s="183"/>
      <c r="AF95" s="183"/>
    </row>
    <row r="96" customFormat="false" ht="18.75" hidden="false" customHeight="false" outlineLevel="0" collapsed="false">
      <c r="F96" s="211" t="n">
        <f aca="false">SUM(F4:F95)</f>
        <v>81244.37</v>
      </c>
      <c r="G96" s="211" t="n">
        <f aca="false">SUM(G4:G95)</f>
        <v>22201</v>
      </c>
      <c r="H96" s="211" t="n">
        <f aca="false">SUM(H4:H95)</f>
        <v>141782</v>
      </c>
      <c r="I96" s="211" t="n">
        <f aca="false">SUM(I4:I95)</f>
        <v>73724</v>
      </c>
      <c r="J96" s="211" t="n">
        <f aca="false">SUM(J4:J95)</f>
        <v>68058</v>
      </c>
      <c r="K96" s="211" t="n">
        <f aca="false">SUM(K4:K95)</f>
        <v>29231</v>
      </c>
      <c r="M96" s="211" t="n">
        <f aca="false">SUM(M4:M95)</f>
        <v>4750</v>
      </c>
      <c r="O96" s="211" t="n">
        <f aca="false">SUM(O4:O95)</f>
        <v>4719.53</v>
      </c>
      <c r="P96" s="211" t="n">
        <f aca="false">SUM(P4:P95)</f>
        <v>101</v>
      </c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24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AMI18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U23" activeCellId="0" sqref="U23"/>
    </sheetView>
  </sheetViews>
  <sheetFormatPr defaultColWidth="9.14453125" defaultRowHeight="15.75" zeroHeight="false" outlineLevelRow="0" outlineLevelCol="0"/>
  <cols>
    <col collapsed="false" customWidth="true" hidden="false" outlineLevel="0" max="1" min="1" style="573" width="11.85"/>
    <col collapsed="false" customWidth="true" hidden="false" outlineLevel="0" max="2" min="2" style="573" width="11.28"/>
    <col collapsed="false" customWidth="true" hidden="false" outlineLevel="0" max="3" min="3" style="573" width="19.71"/>
    <col collapsed="false" customWidth="true" hidden="false" outlineLevel="0" max="4" min="4" style="573" width="21.15"/>
    <col collapsed="false" customWidth="true" hidden="false" outlineLevel="0" max="5" min="5" style="573" width="19.57"/>
    <col collapsed="false" customWidth="true" hidden="false" outlineLevel="0" max="6" min="6" style="573" width="11.28"/>
    <col collapsed="false" customWidth="true" hidden="false" outlineLevel="0" max="7" min="7" style="573" width="8.28"/>
    <col collapsed="false" customWidth="true" hidden="false" outlineLevel="0" max="8" min="8" style="573" width="8.71"/>
    <col collapsed="false" customWidth="true" hidden="false" outlineLevel="0" max="9" min="9" style="573" width="10.28"/>
    <col collapsed="false" customWidth="true" hidden="false" outlineLevel="0" max="10" min="10" style="573" width="7.85"/>
    <col collapsed="false" customWidth="true" hidden="false" outlineLevel="0" max="14" min="11" style="573" width="8.71"/>
    <col collapsed="false" customWidth="true" hidden="false" outlineLevel="0" max="15" min="15" style="573" width="11.57"/>
    <col collapsed="false" customWidth="true" hidden="false" outlineLevel="0" max="17" min="16" style="573" width="11.28"/>
    <col collapsed="false" customWidth="true" hidden="false" outlineLevel="0" max="18" min="18" style="573" width="13.57"/>
    <col collapsed="false" customWidth="true" hidden="false" outlineLevel="0" max="19" min="19" style="573" width="18.57"/>
    <col collapsed="false" customWidth="true" hidden="false" outlineLevel="0" max="20" min="20" style="573" width="19.28"/>
    <col collapsed="false" customWidth="true" hidden="false" outlineLevel="0" max="28" min="21" style="573" width="15.43"/>
    <col collapsed="false" customWidth="true" hidden="false" outlineLevel="0" max="29" min="29" style="574" width="39"/>
    <col collapsed="false" customWidth="true" hidden="false" outlineLevel="0" max="30" min="30" style="573" width="10"/>
    <col collapsed="false" customWidth="true" hidden="false" outlineLevel="0" max="31" min="31" style="573" width="11.57"/>
    <col collapsed="false" customWidth="false" hidden="false" outlineLevel="0" max="1024" min="32" style="573" width="9.14"/>
  </cols>
  <sheetData>
    <row r="1" customFormat="false" ht="18.75" hidden="false" customHeight="false" outlineLevel="0" collapsed="false">
      <c r="Q1" s="4" t="s">
        <v>0</v>
      </c>
      <c r="R1" s="4" t="s">
        <v>0</v>
      </c>
      <c r="S1" s="4" t="s">
        <v>1</v>
      </c>
      <c r="T1" s="4" t="s">
        <v>2</v>
      </c>
      <c r="U1" s="4" t="s">
        <v>2</v>
      </c>
      <c r="V1" s="212" t="s">
        <v>2</v>
      </c>
      <c r="W1" s="212" t="s">
        <v>2</v>
      </c>
      <c r="X1" s="212" t="s">
        <v>2</v>
      </c>
      <c r="Y1" s="212" t="s">
        <v>2</v>
      </c>
      <c r="Z1" s="214" t="s">
        <v>3</v>
      </c>
      <c r="AA1" s="316" t="s">
        <v>3</v>
      </c>
      <c r="AB1" s="316" t="s">
        <v>3</v>
      </c>
      <c r="AC1" s="317" t="s">
        <v>3</v>
      </c>
      <c r="AD1" s="508" t="s">
        <v>3</v>
      </c>
      <c r="AE1" s="508" t="s">
        <v>3</v>
      </c>
    </row>
    <row r="2" s="576" customFormat="true" ht="141.75" hidden="false" customHeight="true" outlineLevel="0" collapsed="false">
      <c r="A2" s="575" t="s">
        <v>4</v>
      </c>
      <c r="B2" s="575" t="s">
        <v>5</v>
      </c>
      <c r="C2" s="575" t="s">
        <v>6</v>
      </c>
      <c r="D2" s="575" t="s">
        <v>7</v>
      </c>
      <c r="E2" s="575" t="s">
        <v>8</v>
      </c>
      <c r="F2" s="575" t="s">
        <v>9</v>
      </c>
      <c r="G2" s="575" t="s">
        <v>10</v>
      </c>
      <c r="H2" s="575" t="s">
        <v>11</v>
      </c>
      <c r="I2" s="575" t="s">
        <v>12</v>
      </c>
      <c r="J2" s="575" t="s">
        <v>13</v>
      </c>
      <c r="K2" s="377" t="s">
        <v>14</v>
      </c>
      <c r="L2" s="377"/>
      <c r="M2" s="377" t="s">
        <v>15</v>
      </c>
      <c r="N2" s="377"/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67" t="s">
        <v>21</v>
      </c>
      <c r="U2" s="8" t="s">
        <v>22</v>
      </c>
      <c r="V2" s="67" t="s">
        <v>23</v>
      </c>
      <c r="W2" s="8" t="s">
        <v>24</v>
      </c>
      <c r="X2" s="8" t="s">
        <v>25</v>
      </c>
      <c r="Y2" s="67" t="s">
        <v>26</v>
      </c>
      <c r="Z2" s="67" t="s">
        <v>27</v>
      </c>
      <c r="AA2" s="67" t="s">
        <v>28</v>
      </c>
      <c r="AB2" s="67" t="s">
        <v>29</v>
      </c>
      <c r="AC2" s="67" t="s">
        <v>30</v>
      </c>
      <c r="AD2" s="509" t="s">
        <v>31</v>
      </c>
      <c r="AE2" s="509"/>
      <c r="AF2" s="576" t="s">
        <v>1715</v>
      </c>
    </row>
    <row r="3" s="576" customFormat="true" ht="57.75" hidden="false" customHeight="true" outlineLevel="0" collapsed="false">
      <c r="A3" s="575"/>
      <c r="B3" s="575"/>
      <c r="C3" s="575"/>
      <c r="D3" s="575"/>
      <c r="E3" s="575"/>
      <c r="F3" s="575"/>
      <c r="G3" s="575"/>
      <c r="H3" s="575"/>
      <c r="I3" s="575"/>
      <c r="J3" s="575"/>
      <c r="K3" s="377" t="s">
        <v>1259</v>
      </c>
      <c r="L3" s="377" t="s">
        <v>34</v>
      </c>
      <c r="M3" s="377" t="s">
        <v>1259</v>
      </c>
      <c r="N3" s="377" t="s">
        <v>34</v>
      </c>
      <c r="O3" s="8" t="s">
        <v>35</v>
      </c>
      <c r="P3" s="8" t="s">
        <v>35</v>
      </c>
      <c r="Q3" s="14" t="s">
        <v>36</v>
      </c>
      <c r="R3" s="14" t="s">
        <v>37</v>
      </c>
      <c r="S3" s="15" t="s">
        <v>38</v>
      </c>
      <c r="T3" s="15" t="s">
        <v>38</v>
      </c>
      <c r="U3" s="14" t="s">
        <v>36</v>
      </c>
      <c r="V3" s="14" t="s">
        <v>36</v>
      </c>
      <c r="W3" s="15" t="s">
        <v>36</v>
      </c>
      <c r="X3" s="15" t="s">
        <v>38</v>
      </c>
      <c r="Y3" s="15" t="s">
        <v>38</v>
      </c>
      <c r="Z3" s="15" t="s">
        <v>36</v>
      </c>
      <c r="AA3" s="15" t="s">
        <v>36</v>
      </c>
      <c r="AB3" s="15" t="s">
        <v>38</v>
      </c>
      <c r="AC3" s="14" t="s">
        <v>39</v>
      </c>
      <c r="AD3" s="509" t="s">
        <v>40</v>
      </c>
      <c r="AE3" s="509" t="s">
        <v>41</v>
      </c>
    </row>
    <row r="4" customFormat="false" ht="15.75" hidden="false" customHeight="false" outlineLevel="0" collapsed="false">
      <c r="A4" s="514" t="s">
        <v>42</v>
      </c>
      <c r="B4" s="514" t="s">
        <v>4261</v>
      </c>
      <c r="C4" s="515" t="s">
        <v>4807</v>
      </c>
      <c r="D4" s="516" t="s">
        <v>4808</v>
      </c>
      <c r="E4" s="514" t="s">
        <v>4809</v>
      </c>
      <c r="F4" s="514" t="n">
        <v>1347</v>
      </c>
      <c r="G4" s="514" t="n">
        <v>306</v>
      </c>
      <c r="H4" s="514" t="n">
        <v>1734</v>
      </c>
      <c r="I4" s="514" t="n">
        <v>885</v>
      </c>
      <c r="J4" s="514" t="n">
        <v>849</v>
      </c>
      <c r="K4" s="514" t="n">
        <v>0</v>
      </c>
      <c r="L4" s="19" t="n">
        <f aca="false">(K4/H4)*100</f>
        <v>0</v>
      </c>
      <c r="M4" s="514" t="n">
        <v>689</v>
      </c>
      <c r="N4" s="19" t="n">
        <f aca="false">(M4/H4)*100</f>
        <v>39.7347174163783</v>
      </c>
      <c r="O4" s="514" t="n">
        <v>10</v>
      </c>
      <c r="P4" s="514" t="n">
        <v>0</v>
      </c>
      <c r="Q4" s="131" t="s">
        <v>49</v>
      </c>
      <c r="R4" s="517" t="n">
        <v>44825</v>
      </c>
      <c r="S4" s="514"/>
      <c r="T4" s="131" t="n">
        <v>10.0164</v>
      </c>
      <c r="U4" s="131"/>
      <c r="V4" s="514"/>
      <c r="W4" s="514"/>
      <c r="X4" s="514"/>
      <c r="Y4" s="514"/>
      <c r="Z4" s="514"/>
      <c r="AA4" s="47" t="s">
        <v>266</v>
      </c>
      <c r="AB4" s="132" t="n">
        <v>5</v>
      </c>
      <c r="AC4" s="287" t="s">
        <v>4810</v>
      </c>
      <c r="AD4" s="131"/>
      <c r="AE4" s="131"/>
    </row>
    <row r="5" customFormat="false" ht="15.75" hidden="false" customHeight="false" outlineLevel="0" collapsed="false">
      <c r="A5" s="514" t="s">
        <v>42</v>
      </c>
      <c r="B5" s="514" t="s">
        <v>4261</v>
      </c>
      <c r="C5" s="515" t="s">
        <v>4807</v>
      </c>
      <c r="D5" s="514" t="s">
        <v>4811</v>
      </c>
      <c r="E5" s="514" t="s">
        <v>4812</v>
      </c>
      <c r="F5" s="514" t="n">
        <v>829</v>
      </c>
      <c r="G5" s="514" t="n">
        <v>236</v>
      </c>
      <c r="H5" s="514" t="n">
        <v>1425</v>
      </c>
      <c r="I5" s="514" t="n">
        <v>743</v>
      </c>
      <c r="J5" s="514" t="n">
        <v>682</v>
      </c>
      <c r="K5" s="514" t="n">
        <v>390</v>
      </c>
      <c r="L5" s="19" t="n">
        <f aca="false">(K5/H5)*100</f>
        <v>27.3684210526316</v>
      </c>
      <c r="M5" s="514" t="n">
        <v>0</v>
      </c>
      <c r="N5" s="19" t="n">
        <f aca="false">(M5/H5)*100</f>
        <v>0</v>
      </c>
      <c r="O5" s="514" t="n">
        <v>59</v>
      </c>
      <c r="P5" s="514" t="n">
        <v>0</v>
      </c>
      <c r="Q5" s="131" t="s">
        <v>49</v>
      </c>
      <c r="R5" s="517" t="n">
        <v>44826</v>
      </c>
      <c r="S5" s="514"/>
      <c r="T5" s="131" t="n">
        <v>1.0279</v>
      </c>
      <c r="U5" s="131"/>
      <c r="V5" s="514"/>
      <c r="W5" s="514"/>
      <c r="X5" s="514"/>
      <c r="Y5" s="514"/>
      <c r="Z5" s="514"/>
      <c r="AA5" s="47"/>
      <c r="AB5" s="132"/>
      <c r="AC5" s="37"/>
      <c r="AD5" s="131" t="n">
        <v>0</v>
      </c>
      <c r="AE5" s="131" t="n">
        <v>0</v>
      </c>
    </row>
    <row r="6" customFormat="false" ht="15.75" hidden="false" customHeight="false" outlineLevel="0" collapsed="false">
      <c r="A6" s="514" t="s">
        <v>42</v>
      </c>
      <c r="B6" s="514" t="s">
        <v>4261</v>
      </c>
      <c r="C6" s="515" t="s">
        <v>307</v>
      </c>
      <c r="D6" s="516" t="s">
        <v>308</v>
      </c>
      <c r="E6" s="514" t="s">
        <v>309</v>
      </c>
      <c r="F6" s="514" t="n">
        <v>2335</v>
      </c>
      <c r="G6" s="514" t="n">
        <v>411</v>
      </c>
      <c r="H6" s="514" t="n">
        <v>2376</v>
      </c>
      <c r="I6" s="514" t="n">
        <v>1254</v>
      </c>
      <c r="J6" s="514" t="n">
        <v>1122</v>
      </c>
      <c r="K6" s="514" t="n">
        <v>701</v>
      </c>
      <c r="L6" s="19" t="n">
        <f aca="false">(K6/H6)*100</f>
        <v>29.503367003367</v>
      </c>
      <c r="M6" s="514" t="n">
        <v>306</v>
      </c>
      <c r="N6" s="19" t="n">
        <f aca="false">(M6/H6)*100</f>
        <v>12.8787878787879</v>
      </c>
      <c r="O6" s="514" t="n">
        <v>0</v>
      </c>
      <c r="P6" s="514" t="n">
        <v>0</v>
      </c>
      <c r="Q6" s="131"/>
      <c r="R6" s="131"/>
      <c r="S6" s="514"/>
      <c r="T6" s="131"/>
      <c r="U6" s="131"/>
      <c r="V6" s="514"/>
      <c r="W6" s="514"/>
      <c r="X6" s="514"/>
      <c r="Y6" s="514"/>
      <c r="Z6" s="514"/>
      <c r="AA6" s="132"/>
      <c r="AB6" s="132"/>
      <c r="AC6" s="520"/>
      <c r="AD6" s="577"/>
      <c r="AE6" s="131"/>
    </row>
    <row r="7" customFormat="false" ht="15.75" hidden="false" customHeight="false" outlineLevel="0" collapsed="false">
      <c r="A7" s="514" t="s">
        <v>42</v>
      </c>
      <c r="B7" s="514" t="s">
        <v>4261</v>
      </c>
      <c r="C7" s="515" t="s">
        <v>307</v>
      </c>
      <c r="D7" s="516" t="s">
        <v>308</v>
      </c>
      <c r="E7" s="514" t="s">
        <v>309</v>
      </c>
      <c r="F7" s="514" t="n">
        <v>2335</v>
      </c>
      <c r="G7" s="514" t="n">
        <v>411</v>
      </c>
      <c r="H7" s="514" t="n">
        <v>2376</v>
      </c>
      <c r="I7" s="514" t="n">
        <v>1254</v>
      </c>
      <c r="J7" s="514" t="n">
        <v>1122</v>
      </c>
      <c r="K7" s="514" t="n">
        <v>701</v>
      </c>
      <c r="L7" s="19" t="n">
        <f aca="false">(K7/H7)*100</f>
        <v>29.503367003367</v>
      </c>
      <c r="M7" s="514" t="n">
        <v>306</v>
      </c>
      <c r="N7" s="19" t="n">
        <f aca="false">(M7/H7)*100</f>
        <v>12.8787878787879</v>
      </c>
      <c r="O7" s="514" t="n">
        <v>0</v>
      </c>
      <c r="P7" s="514" t="n">
        <v>0</v>
      </c>
      <c r="Q7" s="131"/>
      <c r="R7" s="131"/>
      <c r="S7" s="514"/>
      <c r="T7" s="131"/>
      <c r="U7" s="131"/>
      <c r="V7" s="514"/>
      <c r="W7" s="514"/>
      <c r="X7" s="514"/>
      <c r="Y7" s="514"/>
      <c r="Z7" s="514"/>
      <c r="AA7" s="132"/>
      <c r="AB7" s="132"/>
      <c r="AC7" s="520"/>
      <c r="AD7" s="577"/>
      <c r="AE7" s="131"/>
    </row>
    <row r="8" customFormat="false" ht="15.75" hidden="false" customHeight="false" outlineLevel="0" collapsed="false">
      <c r="A8" s="514" t="s">
        <v>42</v>
      </c>
      <c r="B8" s="514" t="s">
        <v>4261</v>
      </c>
      <c r="C8" s="515" t="s">
        <v>307</v>
      </c>
      <c r="D8" s="514" t="s">
        <v>311</v>
      </c>
      <c r="E8" s="514" t="s">
        <v>312</v>
      </c>
      <c r="F8" s="514" t="n">
        <v>590</v>
      </c>
      <c r="G8" s="514" t="n">
        <v>119</v>
      </c>
      <c r="H8" s="514" t="n">
        <v>680</v>
      </c>
      <c r="I8" s="514" t="n">
        <v>348</v>
      </c>
      <c r="J8" s="514" t="n">
        <v>332</v>
      </c>
      <c r="K8" s="514" t="n">
        <v>0</v>
      </c>
      <c r="L8" s="19" t="n">
        <f aca="false">(K8/H8)*100</f>
        <v>0</v>
      </c>
      <c r="M8" s="514" t="n">
        <v>0</v>
      </c>
      <c r="N8" s="19" t="n">
        <f aca="false">(M8/H8)*100</f>
        <v>0</v>
      </c>
      <c r="O8" s="514" t="n">
        <v>1</v>
      </c>
      <c r="P8" s="514" t="n">
        <v>0</v>
      </c>
      <c r="Q8" s="131"/>
      <c r="R8" s="131"/>
      <c r="S8" s="514"/>
      <c r="T8" s="131"/>
      <c r="U8" s="131"/>
      <c r="V8" s="514"/>
      <c r="W8" s="514"/>
      <c r="X8" s="514"/>
      <c r="Y8" s="514"/>
      <c r="Z8" s="514"/>
      <c r="AA8" s="132"/>
      <c r="AB8" s="132"/>
      <c r="AC8" s="37"/>
      <c r="AD8" s="131"/>
      <c r="AE8" s="131"/>
    </row>
    <row r="9" customFormat="false" ht="15.75" hidden="false" customHeight="false" outlineLevel="0" collapsed="false">
      <c r="A9" s="514" t="s">
        <v>4813</v>
      </c>
      <c r="B9" s="514" t="s">
        <v>4261</v>
      </c>
      <c r="C9" s="515" t="s">
        <v>314</v>
      </c>
      <c r="D9" s="516" t="s">
        <v>315</v>
      </c>
      <c r="E9" s="514" t="s">
        <v>316</v>
      </c>
      <c r="F9" s="514" t="n">
        <v>2081</v>
      </c>
      <c r="G9" s="514" t="n">
        <v>757</v>
      </c>
      <c r="H9" s="514" t="n">
        <v>4347</v>
      </c>
      <c r="I9" s="514" t="n">
        <v>2283</v>
      </c>
      <c r="J9" s="514" t="n">
        <v>2064</v>
      </c>
      <c r="K9" s="514" t="n">
        <v>518</v>
      </c>
      <c r="L9" s="19" t="n">
        <f aca="false">(K9/H9)*100</f>
        <v>11.9162640901771</v>
      </c>
      <c r="M9" s="514" t="n">
        <v>215</v>
      </c>
      <c r="N9" s="19" t="n">
        <f aca="false">(M9/H9)*100</f>
        <v>4.94593972854842</v>
      </c>
      <c r="O9" s="514" t="n">
        <v>94</v>
      </c>
      <c r="P9" s="514" t="n">
        <v>0</v>
      </c>
      <c r="Q9" s="131"/>
      <c r="R9" s="131"/>
      <c r="S9" s="514"/>
      <c r="T9" s="131"/>
      <c r="U9" s="131"/>
      <c r="V9" s="514"/>
      <c r="W9" s="514"/>
      <c r="X9" s="514"/>
      <c r="Y9" s="514"/>
      <c r="Z9" s="514"/>
      <c r="AA9" s="132"/>
      <c r="AB9" s="132"/>
      <c r="AC9" s="37"/>
      <c r="AD9" s="131"/>
      <c r="AE9" s="131"/>
    </row>
    <row r="10" customFormat="false" ht="15.75" hidden="false" customHeight="false" outlineLevel="0" collapsed="false">
      <c r="A10" s="514" t="s">
        <v>42</v>
      </c>
      <c r="B10" s="514" t="s">
        <v>4261</v>
      </c>
      <c r="C10" s="515" t="s">
        <v>314</v>
      </c>
      <c r="D10" s="514" t="s">
        <v>318</v>
      </c>
      <c r="E10" s="514" t="s">
        <v>319</v>
      </c>
      <c r="F10" s="514" t="n">
        <v>177</v>
      </c>
      <c r="G10" s="514" t="n">
        <v>74</v>
      </c>
      <c r="H10" s="514" t="n">
        <v>462</v>
      </c>
      <c r="I10" s="514" t="n">
        <v>230</v>
      </c>
      <c r="J10" s="514" t="n">
        <v>232</v>
      </c>
      <c r="K10" s="514" t="n">
        <v>0</v>
      </c>
      <c r="L10" s="19" t="n">
        <f aca="false">(K10/H10)*100</f>
        <v>0</v>
      </c>
      <c r="M10" s="514" t="n">
        <v>0</v>
      </c>
      <c r="N10" s="19" t="n">
        <f aca="false">(M10/H10)*100</f>
        <v>0</v>
      </c>
      <c r="O10" s="514" t="n">
        <v>14</v>
      </c>
      <c r="P10" s="514" t="n">
        <v>0</v>
      </c>
      <c r="Q10" s="131"/>
      <c r="R10" s="131"/>
      <c r="S10" s="514"/>
      <c r="T10" s="131"/>
      <c r="U10" s="131"/>
      <c r="V10" s="514"/>
      <c r="W10" s="514"/>
      <c r="X10" s="514"/>
      <c r="Y10" s="514"/>
      <c r="Z10" s="514"/>
      <c r="AA10" s="132"/>
      <c r="AB10" s="132"/>
      <c r="AC10" s="37"/>
      <c r="AD10" s="131"/>
      <c r="AE10" s="131"/>
    </row>
    <row r="11" customFormat="false" ht="15.75" hidden="false" customHeight="false" outlineLevel="0" collapsed="false">
      <c r="A11" s="514" t="s">
        <v>42</v>
      </c>
      <c r="B11" s="514" t="s">
        <v>4261</v>
      </c>
      <c r="C11" s="515" t="s">
        <v>314</v>
      </c>
      <c r="D11" s="514" t="s">
        <v>322</v>
      </c>
      <c r="E11" s="514" t="s">
        <v>323</v>
      </c>
      <c r="F11" s="514" t="n">
        <v>1398</v>
      </c>
      <c r="G11" s="514" t="n">
        <v>98</v>
      </c>
      <c r="H11" s="514" t="n">
        <v>539</v>
      </c>
      <c r="I11" s="514" t="n">
        <v>288</v>
      </c>
      <c r="J11" s="514" t="n">
        <v>251</v>
      </c>
      <c r="K11" s="514" t="n">
        <v>159</v>
      </c>
      <c r="L11" s="19" t="n">
        <f aca="false">(K11/H11)*100</f>
        <v>29.4990723562152</v>
      </c>
      <c r="M11" s="514" t="n">
        <v>82</v>
      </c>
      <c r="N11" s="19" t="n">
        <f aca="false">(M11/H11)*100</f>
        <v>15.2133580705009</v>
      </c>
      <c r="O11" s="514" t="n">
        <v>95</v>
      </c>
      <c r="P11" s="514" t="n">
        <v>0</v>
      </c>
      <c r="Q11" s="131"/>
      <c r="R11" s="131"/>
      <c r="S11" s="514"/>
      <c r="T11" s="131"/>
      <c r="U11" s="131"/>
      <c r="V11" s="514"/>
      <c r="W11" s="514"/>
      <c r="X11" s="514"/>
      <c r="Y11" s="514"/>
      <c r="Z11" s="514"/>
      <c r="AA11" s="132"/>
      <c r="AB11" s="132"/>
      <c r="AC11" s="37"/>
      <c r="AD11" s="131"/>
      <c r="AE11" s="131"/>
    </row>
    <row r="12" customFormat="false" ht="19.5" hidden="false" customHeight="true" outlineLevel="0" collapsed="false">
      <c r="A12" s="514" t="s">
        <v>42</v>
      </c>
      <c r="B12" s="514" t="s">
        <v>4261</v>
      </c>
      <c r="C12" s="515" t="s">
        <v>4814</v>
      </c>
      <c r="D12" s="516" t="s">
        <v>4815</v>
      </c>
      <c r="E12" s="514" t="s">
        <v>4816</v>
      </c>
      <c r="F12" s="514" t="n">
        <v>1677</v>
      </c>
      <c r="G12" s="514" t="n">
        <v>244</v>
      </c>
      <c r="H12" s="514" t="n">
        <v>1365</v>
      </c>
      <c r="I12" s="514" t="n">
        <v>733</v>
      </c>
      <c r="J12" s="514" t="n">
        <v>632</v>
      </c>
      <c r="K12" s="514" t="n">
        <v>14</v>
      </c>
      <c r="L12" s="19" t="n">
        <f aca="false">(K12/H12)*100</f>
        <v>1.02564102564103</v>
      </c>
      <c r="M12" s="514" t="n">
        <v>0</v>
      </c>
      <c r="N12" s="19" t="n">
        <f aca="false">(M12/H12)*100</f>
        <v>0</v>
      </c>
      <c r="O12" s="514" t="n">
        <v>0</v>
      </c>
      <c r="P12" s="514" t="n">
        <v>0</v>
      </c>
      <c r="Q12" s="131" t="s">
        <v>49</v>
      </c>
      <c r="R12" s="517" t="n">
        <v>44823</v>
      </c>
      <c r="S12" s="514"/>
      <c r="T12" s="131"/>
      <c r="U12" s="131"/>
      <c r="V12" s="514"/>
      <c r="W12" s="514"/>
      <c r="X12" s="514"/>
      <c r="Y12" s="514"/>
      <c r="Z12" s="514"/>
      <c r="AA12" s="132" t="s">
        <v>266</v>
      </c>
      <c r="AB12" s="132" t="n">
        <v>1</v>
      </c>
      <c r="AC12" s="287" t="s">
        <v>4817</v>
      </c>
      <c r="AD12" s="131"/>
      <c r="AE12" s="131"/>
    </row>
    <row r="13" customFormat="false" ht="18.75" hidden="false" customHeight="true" outlineLevel="0" collapsed="false">
      <c r="A13" s="514" t="s">
        <v>42</v>
      </c>
      <c r="B13" s="514" t="s">
        <v>4261</v>
      </c>
      <c r="C13" s="515" t="s">
        <v>4814</v>
      </c>
      <c r="D13" s="514" t="s">
        <v>4818</v>
      </c>
      <c r="E13" s="514" t="s">
        <v>4819</v>
      </c>
      <c r="F13" s="514" t="n">
        <v>1485.01</v>
      </c>
      <c r="G13" s="514" t="n">
        <v>209</v>
      </c>
      <c r="H13" s="514" t="n">
        <v>1336</v>
      </c>
      <c r="I13" s="514" t="n">
        <v>690</v>
      </c>
      <c r="J13" s="514" t="n">
        <v>646</v>
      </c>
      <c r="K13" s="514" t="n">
        <v>131</v>
      </c>
      <c r="L13" s="19" t="n">
        <f aca="false">(K13/H13)*100</f>
        <v>9.80538922155689</v>
      </c>
      <c r="M13" s="514" t="n">
        <v>0</v>
      </c>
      <c r="N13" s="19" t="n">
        <f aca="false">(M13/H13)*100</f>
        <v>0</v>
      </c>
      <c r="O13" s="514" t="n">
        <v>6</v>
      </c>
      <c r="P13" s="514" t="n">
        <v>0</v>
      </c>
      <c r="Q13" s="131" t="s">
        <v>49</v>
      </c>
      <c r="R13" s="517" t="n">
        <v>44823</v>
      </c>
      <c r="S13" s="514"/>
      <c r="T13" s="131" t="n">
        <v>3.7231</v>
      </c>
      <c r="U13" s="131"/>
      <c r="V13" s="514"/>
      <c r="W13" s="514"/>
      <c r="X13" s="514"/>
      <c r="Y13" s="514"/>
      <c r="Z13" s="514"/>
      <c r="AA13" s="132" t="s">
        <v>266</v>
      </c>
      <c r="AB13" s="132" t="n">
        <v>2</v>
      </c>
      <c r="AC13" s="287" t="s">
        <v>4820</v>
      </c>
      <c r="AD13" s="131"/>
      <c r="AE13" s="131"/>
    </row>
    <row r="14" customFormat="false" ht="15.75" hidden="false" customHeight="false" outlineLevel="0" collapsed="false">
      <c r="A14" s="514" t="s">
        <v>42</v>
      </c>
      <c r="B14" s="514" t="s">
        <v>4261</v>
      </c>
      <c r="C14" s="515" t="s">
        <v>4814</v>
      </c>
      <c r="D14" s="514" t="s">
        <v>4818</v>
      </c>
      <c r="E14" s="514" t="s">
        <v>4819</v>
      </c>
      <c r="F14" s="514" t="n">
        <v>1485.01</v>
      </c>
      <c r="G14" s="514" t="n">
        <v>209</v>
      </c>
      <c r="H14" s="514" t="n">
        <v>1336</v>
      </c>
      <c r="I14" s="514" t="n">
        <v>690</v>
      </c>
      <c r="J14" s="514" t="n">
        <v>646</v>
      </c>
      <c r="K14" s="514" t="n">
        <v>131</v>
      </c>
      <c r="L14" s="19" t="n">
        <f aca="false">(K14/H14)*100</f>
        <v>9.80538922155689</v>
      </c>
      <c r="M14" s="514" t="n">
        <v>0</v>
      </c>
      <c r="N14" s="19" t="n">
        <f aca="false">(M14/H14)*100</f>
        <v>0</v>
      </c>
      <c r="O14" s="514" t="n">
        <v>6</v>
      </c>
      <c r="P14" s="514" t="n">
        <v>0</v>
      </c>
      <c r="Q14" s="131"/>
      <c r="R14" s="517"/>
      <c r="S14" s="514"/>
      <c r="T14" s="131"/>
      <c r="U14" s="131"/>
      <c r="V14" s="514"/>
      <c r="W14" s="514"/>
      <c r="X14" s="514"/>
      <c r="Y14" s="514"/>
      <c r="Z14" s="514"/>
      <c r="AA14" s="132"/>
      <c r="AB14" s="132"/>
      <c r="AC14" s="287"/>
      <c r="AD14" s="131"/>
      <c r="AE14" s="131"/>
    </row>
    <row r="15" customFormat="false" ht="15.75" hidden="false" customHeight="false" outlineLevel="0" collapsed="false">
      <c r="A15" s="514" t="s">
        <v>42</v>
      </c>
      <c r="B15" s="514" t="s">
        <v>4261</v>
      </c>
      <c r="C15" s="515" t="s">
        <v>4821</v>
      </c>
      <c r="D15" s="516" t="s">
        <v>4822</v>
      </c>
      <c r="E15" s="514" t="s">
        <v>4823</v>
      </c>
      <c r="F15" s="514" t="n">
        <v>1611</v>
      </c>
      <c r="G15" s="514" t="n">
        <v>316</v>
      </c>
      <c r="H15" s="514" t="n">
        <v>1929</v>
      </c>
      <c r="I15" s="514" t="n">
        <v>999</v>
      </c>
      <c r="J15" s="514" t="n">
        <v>930</v>
      </c>
      <c r="K15" s="514" t="n">
        <v>664</v>
      </c>
      <c r="L15" s="19" t="n">
        <f aca="false">(K15/H15)*100</f>
        <v>34.4219803006739</v>
      </c>
      <c r="M15" s="514" t="n">
        <v>0</v>
      </c>
      <c r="N15" s="19" t="n">
        <f aca="false">(M15/H15)*100</f>
        <v>0</v>
      </c>
      <c r="O15" s="514" t="n">
        <v>75</v>
      </c>
      <c r="P15" s="514" t="n">
        <v>0</v>
      </c>
      <c r="Q15" s="131" t="s">
        <v>49</v>
      </c>
      <c r="R15" s="517" t="n">
        <v>44826</v>
      </c>
      <c r="S15" s="514"/>
      <c r="T15" s="131" t="n">
        <v>10.5785</v>
      </c>
      <c r="U15" s="131"/>
      <c r="V15" s="514"/>
      <c r="W15" s="514"/>
      <c r="X15" s="514"/>
      <c r="Y15" s="514"/>
      <c r="Z15" s="514"/>
      <c r="AA15" s="47" t="s">
        <v>266</v>
      </c>
      <c r="AB15" s="132" t="n">
        <v>5</v>
      </c>
      <c r="AC15" s="287" t="s">
        <v>4824</v>
      </c>
      <c r="AD15" s="131"/>
      <c r="AE15" s="131"/>
    </row>
    <row r="16" customFormat="false" ht="15.75" hidden="false" customHeight="false" outlineLevel="0" collapsed="false">
      <c r="A16" s="514"/>
      <c r="B16" s="514"/>
      <c r="C16" s="515"/>
      <c r="D16" s="516"/>
      <c r="E16" s="514"/>
      <c r="F16" s="514"/>
      <c r="G16" s="514"/>
      <c r="H16" s="514"/>
      <c r="I16" s="514"/>
      <c r="J16" s="514"/>
      <c r="K16" s="514"/>
      <c r="L16" s="19"/>
      <c r="M16" s="514"/>
      <c r="N16" s="19"/>
      <c r="O16" s="514"/>
      <c r="P16" s="514"/>
      <c r="Q16" s="578"/>
      <c r="R16" s="578"/>
      <c r="S16" s="514"/>
      <c r="T16" s="578"/>
      <c r="U16" s="578"/>
      <c r="V16" s="514"/>
      <c r="W16" s="514"/>
      <c r="X16" s="514"/>
      <c r="Y16" s="514"/>
      <c r="Z16" s="514"/>
      <c r="AA16" s="229" t="s">
        <v>266</v>
      </c>
      <c r="AB16" s="229" t="n">
        <v>10</v>
      </c>
      <c r="AC16" s="579" t="s">
        <v>4825</v>
      </c>
      <c r="AD16" s="578"/>
      <c r="AE16" s="578"/>
    </row>
    <row r="17" customFormat="false" ht="15.75" hidden="false" customHeight="false" outlineLevel="0" collapsed="false">
      <c r="A17" s="514"/>
      <c r="B17" s="514"/>
      <c r="C17" s="515"/>
      <c r="D17" s="516"/>
      <c r="E17" s="514"/>
      <c r="F17" s="514"/>
      <c r="G17" s="514"/>
      <c r="H17" s="514"/>
      <c r="I17" s="514"/>
      <c r="J17" s="514"/>
      <c r="K17" s="514"/>
      <c r="L17" s="19"/>
      <c r="M17" s="514"/>
      <c r="N17" s="19"/>
      <c r="O17" s="514"/>
      <c r="P17" s="514"/>
      <c r="Q17" s="578"/>
      <c r="R17" s="578"/>
      <c r="S17" s="514"/>
      <c r="T17" s="578"/>
      <c r="U17" s="578"/>
      <c r="V17" s="514"/>
      <c r="W17" s="514"/>
      <c r="X17" s="514"/>
      <c r="Y17" s="514"/>
      <c r="Z17" s="514"/>
      <c r="AA17" s="229" t="s">
        <v>266</v>
      </c>
      <c r="AB17" s="229" t="n">
        <v>10</v>
      </c>
      <c r="AC17" s="579" t="s">
        <v>4826</v>
      </c>
      <c r="AD17" s="578"/>
      <c r="AE17" s="578"/>
    </row>
    <row r="18" customFormat="false" ht="15.75" hidden="false" customHeight="false" outlineLevel="0" collapsed="false">
      <c r="A18" s="514"/>
      <c r="B18" s="514"/>
      <c r="C18" s="515"/>
      <c r="D18" s="516"/>
      <c r="E18" s="514"/>
      <c r="F18" s="514"/>
      <c r="G18" s="514"/>
      <c r="H18" s="514"/>
      <c r="I18" s="514"/>
      <c r="J18" s="514"/>
      <c r="K18" s="514"/>
      <c r="L18" s="19"/>
      <c r="M18" s="514"/>
      <c r="N18" s="19"/>
      <c r="O18" s="514"/>
      <c r="P18" s="514"/>
      <c r="Q18" s="578"/>
      <c r="R18" s="578"/>
      <c r="S18" s="514"/>
      <c r="T18" s="578"/>
      <c r="U18" s="578"/>
      <c r="V18" s="514"/>
      <c r="W18" s="514"/>
      <c r="X18" s="514"/>
      <c r="Y18" s="514"/>
      <c r="Z18" s="514"/>
      <c r="AA18" s="229" t="s">
        <v>266</v>
      </c>
      <c r="AB18" s="229" t="n">
        <v>10</v>
      </c>
      <c r="AC18" s="579" t="s">
        <v>4827</v>
      </c>
      <c r="AD18" s="578"/>
      <c r="AE18" s="578"/>
    </row>
    <row r="19" customFormat="false" ht="31.5" hidden="false" customHeight="false" outlineLevel="0" collapsed="false">
      <c r="A19" s="514"/>
      <c r="B19" s="514"/>
      <c r="C19" s="515"/>
      <c r="D19" s="516"/>
      <c r="E19" s="514"/>
      <c r="F19" s="514"/>
      <c r="G19" s="514"/>
      <c r="H19" s="514"/>
      <c r="I19" s="514"/>
      <c r="J19" s="514"/>
      <c r="K19" s="514"/>
      <c r="L19" s="19"/>
      <c r="M19" s="514"/>
      <c r="N19" s="19"/>
      <c r="O19" s="514"/>
      <c r="P19" s="514"/>
      <c r="Q19" s="578"/>
      <c r="R19" s="578"/>
      <c r="S19" s="514"/>
      <c r="T19" s="578"/>
      <c r="U19" s="578"/>
      <c r="V19" s="514"/>
      <c r="W19" s="514"/>
      <c r="X19" s="514"/>
      <c r="Y19" s="514"/>
      <c r="Z19" s="514"/>
      <c r="AA19" s="229" t="s">
        <v>266</v>
      </c>
      <c r="AB19" s="229" t="n">
        <v>10</v>
      </c>
      <c r="AC19" s="579" t="s">
        <v>4828</v>
      </c>
      <c r="AD19" s="578"/>
      <c r="AE19" s="578"/>
    </row>
    <row r="20" customFormat="false" ht="15.75" hidden="false" customHeight="false" outlineLevel="0" collapsed="false">
      <c r="A20" s="514" t="s">
        <v>42</v>
      </c>
      <c r="B20" s="514" t="s">
        <v>4261</v>
      </c>
      <c r="C20" s="515" t="s">
        <v>4821</v>
      </c>
      <c r="D20" s="514" t="s">
        <v>4829</v>
      </c>
      <c r="E20" s="514" t="s">
        <v>4830</v>
      </c>
      <c r="F20" s="514" t="n">
        <v>629.68</v>
      </c>
      <c r="G20" s="514" t="n">
        <v>69</v>
      </c>
      <c r="H20" s="514" t="n">
        <v>413</v>
      </c>
      <c r="I20" s="514" t="n">
        <v>220</v>
      </c>
      <c r="J20" s="514" t="n">
        <v>193</v>
      </c>
      <c r="K20" s="514" t="n">
        <v>278</v>
      </c>
      <c r="L20" s="19" t="n">
        <f aca="false">(K20/H20)*100</f>
        <v>67.3123486682809</v>
      </c>
      <c r="M20" s="514" t="n">
        <v>118</v>
      </c>
      <c r="N20" s="19" t="n">
        <f aca="false">(M20/H20)*100</f>
        <v>28.5714285714286</v>
      </c>
      <c r="O20" s="514" t="n">
        <v>0</v>
      </c>
      <c r="P20" s="514" t="n">
        <v>0</v>
      </c>
      <c r="Q20" s="131"/>
      <c r="R20" s="131"/>
      <c r="S20" s="514"/>
      <c r="T20" s="131"/>
      <c r="U20" s="131"/>
      <c r="V20" s="514"/>
      <c r="W20" s="514"/>
      <c r="X20" s="514"/>
      <c r="Y20" s="514"/>
      <c r="Z20" s="514"/>
      <c r="AA20" s="132"/>
      <c r="AB20" s="132"/>
      <c r="AC20" s="37"/>
      <c r="AD20" s="131"/>
      <c r="AE20" s="131"/>
    </row>
    <row r="21" customFormat="false" ht="15.75" hidden="false" customHeight="false" outlineLevel="0" collapsed="false">
      <c r="A21" s="514" t="s">
        <v>42</v>
      </c>
      <c r="B21" s="514" t="s">
        <v>4261</v>
      </c>
      <c r="C21" s="515" t="s">
        <v>4821</v>
      </c>
      <c r="D21" s="514" t="s">
        <v>358</v>
      </c>
      <c r="E21" s="514" t="s">
        <v>4831</v>
      </c>
      <c r="F21" s="514" t="n">
        <v>243</v>
      </c>
      <c r="G21" s="514" t="n">
        <v>82</v>
      </c>
      <c r="H21" s="514" t="n">
        <v>514</v>
      </c>
      <c r="I21" s="514" t="n">
        <v>266</v>
      </c>
      <c r="J21" s="514" t="n">
        <v>248</v>
      </c>
      <c r="K21" s="514" t="n">
        <v>0</v>
      </c>
      <c r="L21" s="19" t="n">
        <f aca="false">(K21/H21)*100</f>
        <v>0</v>
      </c>
      <c r="M21" s="514" t="n">
        <v>0</v>
      </c>
      <c r="N21" s="19" t="n">
        <f aca="false">(M21/H21)*100</f>
        <v>0</v>
      </c>
      <c r="O21" s="514" t="n">
        <v>12</v>
      </c>
      <c r="P21" s="514" t="n">
        <v>0</v>
      </c>
      <c r="Q21" s="131" t="s">
        <v>49</v>
      </c>
      <c r="R21" s="517" t="n">
        <v>44826</v>
      </c>
      <c r="S21" s="514"/>
      <c r="T21" s="580" t="n">
        <v>0</v>
      </c>
      <c r="U21" s="131"/>
      <c r="V21" s="514"/>
      <c r="W21" s="514"/>
      <c r="X21" s="514"/>
      <c r="Y21" s="514"/>
      <c r="Z21" s="514"/>
      <c r="AA21" s="47"/>
      <c r="AB21" s="581"/>
      <c r="AC21" s="37" t="n">
        <v>0</v>
      </c>
      <c r="AD21" s="580" t="n">
        <v>0</v>
      </c>
      <c r="AE21" s="580" t="n">
        <v>0</v>
      </c>
    </row>
    <row r="22" customFormat="false" ht="15.75" hidden="false" customHeight="false" outlineLevel="0" collapsed="false">
      <c r="A22" s="514" t="s">
        <v>42</v>
      </c>
      <c r="B22" s="514" t="s">
        <v>4261</v>
      </c>
      <c r="C22" s="515" t="s">
        <v>4821</v>
      </c>
      <c r="D22" s="514" t="s">
        <v>4832</v>
      </c>
      <c r="E22" s="514" t="s">
        <v>4833</v>
      </c>
      <c r="F22" s="514" t="n">
        <v>406</v>
      </c>
      <c r="G22" s="514" t="n">
        <v>67</v>
      </c>
      <c r="H22" s="514" t="n">
        <v>387</v>
      </c>
      <c r="I22" s="514" t="n">
        <v>214</v>
      </c>
      <c r="J22" s="514" t="n">
        <v>173</v>
      </c>
      <c r="K22" s="514" t="n">
        <v>114</v>
      </c>
      <c r="L22" s="19" t="n">
        <f aca="false">(K22/H22)*100</f>
        <v>29.4573643410853</v>
      </c>
      <c r="M22" s="514" t="n">
        <v>0</v>
      </c>
      <c r="N22" s="19" t="n">
        <f aca="false">(M22/H22)*100</f>
        <v>0</v>
      </c>
      <c r="O22" s="514" t="n">
        <v>0</v>
      </c>
      <c r="P22" s="514" t="n">
        <v>0</v>
      </c>
      <c r="Q22" s="131" t="s">
        <v>49</v>
      </c>
      <c r="R22" s="517" t="n">
        <v>44826</v>
      </c>
      <c r="S22" s="514"/>
      <c r="T22" s="580" t="n">
        <v>0</v>
      </c>
      <c r="U22" s="131"/>
      <c r="V22" s="514"/>
      <c r="W22" s="514"/>
      <c r="X22" s="514"/>
      <c r="Y22" s="514"/>
      <c r="Z22" s="514"/>
      <c r="AA22" s="47"/>
      <c r="AB22" s="581"/>
      <c r="AC22" s="37" t="n">
        <v>0</v>
      </c>
      <c r="AD22" s="580" t="n">
        <v>0</v>
      </c>
      <c r="AE22" s="580" t="n">
        <v>0</v>
      </c>
    </row>
    <row r="23" customFormat="false" ht="15.75" hidden="false" customHeight="false" outlineLevel="0" collapsed="false">
      <c r="A23" s="514" t="s">
        <v>42</v>
      </c>
      <c r="B23" s="514" t="s">
        <v>4261</v>
      </c>
      <c r="C23" s="515" t="s">
        <v>4821</v>
      </c>
      <c r="D23" s="514" t="s">
        <v>4834</v>
      </c>
      <c r="E23" s="514" t="s">
        <v>4835</v>
      </c>
      <c r="F23" s="514" t="n">
        <v>420</v>
      </c>
      <c r="G23" s="514" t="n">
        <v>59</v>
      </c>
      <c r="H23" s="514" t="n">
        <v>376</v>
      </c>
      <c r="I23" s="514" t="n">
        <v>212</v>
      </c>
      <c r="J23" s="514" t="n">
        <v>164</v>
      </c>
      <c r="K23" s="514" t="n">
        <v>347</v>
      </c>
      <c r="L23" s="19" t="n">
        <f aca="false">(K23/H23)*100</f>
        <v>92.2872340425532</v>
      </c>
      <c r="M23" s="514" t="n">
        <v>0</v>
      </c>
      <c r="N23" s="19" t="n">
        <f aca="false">(M23/H23)*100</f>
        <v>0</v>
      </c>
      <c r="O23" s="514" t="n">
        <v>0</v>
      </c>
      <c r="P23" s="514" t="n">
        <v>0</v>
      </c>
      <c r="Q23" s="131" t="s">
        <v>49</v>
      </c>
      <c r="R23" s="517" t="n">
        <v>44826</v>
      </c>
      <c r="S23" s="514"/>
      <c r="T23" s="580" t="n">
        <v>0</v>
      </c>
      <c r="U23" s="131"/>
      <c r="V23" s="514"/>
      <c r="W23" s="514"/>
      <c r="X23" s="514"/>
      <c r="Y23" s="514"/>
      <c r="Z23" s="514"/>
      <c r="AA23" s="47"/>
      <c r="AB23" s="581"/>
      <c r="AC23" s="37" t="n">
        <v>0</v>
      </c>
      <c r="AD23" s="580" t="n">
        <v>0</v>
      </c>
      <c r="AE23" s="580" t="n">
        <v>0</v>
      </c>
    </row>
    <row r="24" s="576" customFormat="true" ht="17.25" hidden="false" customHeight="true" outlineLevel="0" collapsed="false">
      <c r="A24" s="515" t="s">
        <v>42</v>
      </c>
      <c r="B24" s="515" t="s">
        <v>4261</v>
      </c>
      <c r="C24" s="515" t="s">
        <v>4836</v>
      </c>
      <c r="D24" s="515" t="s">
        <v>4837</v>
      </c>
      <c r="E24" s="515" t="s">
        <v>4838</v>
      </c>
      <c r="F24" s="515" t="n">
        <v>1980.53</v>
      </c>
      <c r="G24" s="515" t="n">
        <v>724</v>
      </c>
      <c r="H24" s="515" t="n">
        <v>4136</v>
      </c>
      <c r="I24" s="515" t="n">
        <v>2196</v>
      </c>
      <c r="J24" s="515" t="n">
        <v>1940</v>
      </c>
      <c r="K24" s="515" t="n">
        <v>987</v>
      </c>
      <c r="L24" s="582" t="n">
        <f aca="false">(K24/H24)*100</f>
        <v>23.8636363636364</v>
      </c>
      <c r="M24" s="515" t="n">
        <v>132</v>
      </c>
      <c r="N24" s="582" t="n">
        <f aca="false">(M24/H24)*100</f>
        <v>3.19148936170213</v>
      </c>
      <c r="O24" s="515" t="n">
        <v>214</v>
      </c>
      <c r="P24" s="515" t="n">
        <v>0</v>
      </c>
      <c r="Q24" s="518" t="s">
        <v>49</v>
      </c>
      <c r="R24" s="583" t="n">
        <v>44851</v>
      </c>
      <c r="S24" s="515"/>
      <c r="T24" s="518" t="n">
        <v>186.4465</v>
      </c>
      <c r="U24" s="518"/>
      <c r="V24" s="515"/>
      <c r="W24" s="515"/>
      <c r="X24" s="515"/>
      <c r="Y24" s="515"/>
      <c r="Z24" s="515"/>
      <c r="AA24" s="584" t="s">
        <v>50</v>
      </c>
      <c r="AB24" s="584" t="n">
        <v>5</v>
      </c>
      <c r="AC24" s="585" t="s">
        <v>276</v>
      </c>
      <c r="AD24" s="518"/>
      <c r="AE24" s="518"/>
    </row>
    <row r="25" customFormat="false" ht="15.75" hidden="false" customHeight="false" outlineLevel="0" collapsed="false">
      <c r="A25" s="514" t="s">
        <v>42</v>
      </c>
      <c r="B25" s="514" t="s">
        <v>4261</v>
      </c>
      <c r="C25" s="515" t="s">
        <v>4836</v>
      </c>
      <c r="D25" s="514" t="s">
        <v>4839</v>
      </c>
      <c r="E25" s="514" t="s">
        <v>4840</v>
      </c>
      <c r="F25" s="514" t="n">
        <v>351.38</v>
      </c>
      <c r="G25" s="514" t="n">
        <v>128</v>
      </c>
      <c r="H25" s="514" t="n">
        <v>731</v>
      </c>
      <c r="I25" s="514" t="n">
        <v>388</v>
      </c>
      <c r="J25" s="514" t="n">
        <v>343</v>
      </c>
      <c r="K25" s="514" t="n">
        <v>578</v>
      </c>
      <c r="L25" s="19" t="n">
        <f aca="false">(K25/H25)*100</f>
        <v>79.0697674418605</v>
      </c>
      <c r="M25" s="514" t="n">
        <v>103</v>
      </c>
      <c r="N25" s="19" t="n">
        <f aca="false">(M25/H25)*100</f>
        <v>14.0902872777018</v>
      </c>
      <c r="O25" s="514" t="n">
        <v>6.1</v>
      </c>
      <c r="P25" s="514" t="n">
        <v>0</v>
      </c>
      <c r="Q25" s="45" t="s">
        <v>49</v>
      </c>
      <c r="R25" s="53" t="n">
        <v>44851</v>
      </c>
      <c r="S25" s="514"/>
      <c r="T25" s="45" t="n">
        <v>0</v>
      </c>
      <c r="U25" s="45"/>
      <c r="V25" s="514"/>
      <c r="W25" s="514"/>
      <c r="X25" s="514"/>
      <c r="Y25" s="514"/>
      <c r="Z25" s="514"/>
      <c r="AA25" s="47" t="n">
        <v>0</v>
      </c>
      <c r="AB25" s="47" t="n">
        <v>0</v>
      </c>
      <c r="AC25" s="340" t="n">
        <v>0</v>
      </c>
      <c r="AD25" s="45" t="n">
        <v>0</v>
      </c>
      <c r="AE25" s="45" t="n">
        <v>0</v>
      </c>
      <c r="AF25" s="586"/>
      <c r="AG25" s="586"/>
      <c r="AH25" s="586"/>
      <c r="AI25" s="586"/>
      <c r="AJ25" s="586"/>
      <c r="AK25" s="586"/>
      <c r="AL25" s="586"/>
      <c r="AM25" s="586"/>
      <c r="AN25" s="586"/>
      <c r="AO25" s="586"/>
      <c r="AP25" s="586"/>
      <c r="AQ25" s="586"/>
    </row>
    <row r="26" customFormat="false" ht="21.75" hidden="false" customHeight="true" outlineLevel="0" collapsed="false">
      <c r="A26" s="514" t="s">
        <v>42</v>
      </c>
      <c r="B26" s="514" t="s">
        <v>4261</v>
      </c>
      <c r="C26" s="515" t="s">
        <v>4841</v>
      </c>
      <c r="D26" s="516" t="s">
        <v>4842</v>
      </c>
      <c r="E26" s="514" t="s">
        <v>4843</v>
      </c>
      <c r="F26" s="514" t="n">
        <v>1092.85</v>
      </c>
      <c r="G26" s="514" t="n">
        <v>144</v>
      </c>
      <c r="H26" s="514" t="n">
        <v>858</v>
      </c>
      <c r="I26" s="514" t="n">
        <v>448</v>
      </c>
      <c r="J26" s="514" t="n">
        <v>410</v>
      </c>
      <c r="K26" s="514" t="n">
        <v>212</v>
      </c>
      <c r="L26" s="19" t="n">
        <f aca="false">(K26/H26)*100</f>
        <v>24.7086247086247</v>
      </c>
      <c r="M26" s="514" t="n">
        <v>0</v>
      </c>
      <c r="N26" s="19" t="n">
        <f aca="false">(M26/H26)*100</f>
        <v>0</v>
      </c>
      <c r="O26" s="514" t="n">
        <v>24</v>
      </c>
      <c r="P26" s="514" t="n">
        <v>0</v>
      </c>
      <c r="Q26" s="45" t="s">
        <v>49</v>
      </c>
      <c r="R26" s="53" t="n">
        <v>44825</v>
      </c>
      <c r="S26" s="514"/>
      <c r="T26" s="45"/>
      <c r="U26" s="45"/>
      <c r="V26" s="514"/>
      <c r="W26" s="514"/>
      <c r="X26" s="514"/>
      <c r="Y26" s="514"/>
      <c r="Z26" s="514"/>
      <c r="AA26" s="47" t="s">
        <v>266</v>
      </c>
      <c r="AB26" s="47" t="n">
        <v>2</v>
      </c>
      <c r="AC26" s="340" t="s">
        <v>276</v>
      </c>
      <c r="AD26" s="45"/>
      <c r="AE26" s="45"/>
      <c r="AF26" s="586"/>
    </row>
    <row r="27" customFormat="false" ht="15.75" hidden="false" customHeight="false" outlineLevel="0" collapsed="false">
      <c r="A27" s="514" t="s">
        <v>42</v>
      </c>
      <c r="B27" s="514" t="s">
        <v>4261</v>
      </c>
      <c r="C27" s="515" t="s">
        <v>4841</v>
      </c>
      <c r="D27" s="516" t="s">
        <v>4842</v>
      </c>
      <c r="E27" s="514" t="s">
        <v>4843</v>
      </c>
      <c r="F27" s="514" t="n">
        <v>1092.85</v>
      </c>
      <c r="G27" s="514" t="n">
        <v>144</v>
      </c>
      <c r="H27" s="514" t="n">
        <v>858</v>
      </c>
      <c r="I27" s="514" t="n">
        <v>448</v>
      </c>
      <c r="J27" s="514" t="n">
        <v>410</v>
      </c>
      <c r="K27" s="514" t="n">
        <v>212</v>
      </c>
      <c r="L27" s="19" t="n">
        <f aca="false">(K27/H27)*100</f>
        <v>24.7086247086247</v>
      </c>
      <c r="M27" s="514" t="n">
        <v>0</v>
      </c>
      <c r="N27" s="19" t="n">
        <f aca="false">(M27/H27)*100</f>
        <v>0</v>
      </c>
      <c r="O27" s="514" t="n">
        <v>24</v>
      </c>
      <c r="P27" s="514" t="n">
        <v>0</v>
      </c>
      <c r="Q27" s="131"/>
      <c r="R27" s="131"/>
      <c r="S27" s="514"/>
      <c r="T27" s="131"/>
      <c r="U27" s="131"/>
      <c r="V27" s="514"/>
      <c r="W27" s="514"/>
      <c r="X27" s="514"/>
      <c r="Y27" s="514"/>
      <c r="Z27" s="514"/>
      <c r="AA27" s="132"/>
      <c r="AB27" s="132"/>
      <c r="AC27" s="587"/>
      <c r="AD27" s="588"/>
      <c r="AE27" s="131"/>
    </row>
    <row r="28" customFormat="false" ht="15.75" hidden="false" customHeight="false" outlineLevel="0" collapsed="false">
      <c r="A28" s="514" t="s">
        <v>42</v>
      </c>
      <c r="B28" s="514" t="s">
        <v>4261</v>
      </c>
      <c r="C28" s="515" t="s">
        <v>4841</v>
      </c>
      <c r="D28" s="514" t="s">
        <v>4844</v>
      </c>
      <c r="E28" s="514" t="s">
        <v>4845</v>
      </c>
      <c r="F28" s="514" t="n">
        <v>1217.15</v>
      </c>
      <c r="G28" s="514" t="n">
        <v>130</v>
      </c>
      <c r="H28" s="514" t="n">
        <v>652</v>
      </c>
      <c r="I28" s="514" t="n">
        <v>338</v>
      </c>
      <c r="J28" s="514" t="n">
        <v>314</v>
      </c>
      <c r="K28" s="514" t="n">
        <v>248</v>
      </c>
      <c r="L28" s="19" t="n">
        <f aca="false">(K28/H28)*100</f>
        <v>38.0368098159509</v>
      </c>
      <c r="M28" s="514" t="n">
        <v>0</v>
      </c>
      <c r="N28" s="19" t="n">
        <f aca="false">(M28/H28)*100</f>
        <v>0</v>
      </c>
      <c r="O28" s="514" t="n">
        <v>0</v>
      </c>
      <c r="P28" s="514" t="n">
        <v>0</v>
      </c>
      <c r="Q28" s="131" t="s">
        <v>49</v>
      </c>
      <c r="R28" s="517" t="n">
        <v>44825</v>
      </c>
      <c r="S28" s="514"/>
      <c r="T28" s="37" t="n">
        <v>0</v>
      </c>
      <c r="U28" s="131"/>
      <c r="V28" s="514"/>
      <c r="W28" s="514"/>
      <c r="X28" s="514"/>
      <c r="Y28" s="514"/>
      <c r="Z28" s="514"/>
      <c r="AA28" s="581" t="n">
        <v>0</v>
      </c>
      <c r="AB28" s="581" t="n">
        <v>0</v>
      </c>
      <c r="AC28" s="37" t="n">
        <v>0</v>
      </c>
      <c r="AD28" s="37" t="n">
        <v>0</v>
      </c>
      <c r="AE28" s="37" t="n">
        <v>0</v>
      </c>
    </row>
    <row r="29" customFormat="false" ht="15.75" hidden="false" customHeight="false" outlineLevel="0" collapsed="false">
      <c r="A29" s="514" t="s">
        <v>42</v>
      </c>
      <c r="B29" s="514" t="s">
        <v>4261</v>
      </c>
      <c r="C29" s="515" t="s">
        <v>4841</v>
      </c>
      <c r="D29" s="514" t="s">
        <v>4846</v>
      </c>
      <c r="E29" s="514" t="s">
        <v>4847</v>
      </c>
      <c r="F29" s="514" t="n">
        <v>173</v>
      </c>
      <c r="G29" s="514" t="n">
        <v>32</v>
      </c>
      <c r="H29" s="514" t="n">
        <v>153</v>
      </c>
      <c r="I29" s="514" t="n">
        <v>78</v>
      </c>
      <c r="J29" s="514" t="n">
        <v>75</v>
      </c>
      <c r="K29" s="514" t="n">
        <v>0</v>
      </c>
      <c r="L29" s="19" t="n">
        <f aca="false">(K29/H29)*100</f>
        <v>0</v>
      </c>
      <c r="M29" s="514" t="n">
        <v>0</v>
      </c>
      <c r="N29" s="19" t="n">
        <f aca="false">(M29/H29)*100</f>
        <v>0</v>
      </c>
      <c r="O29" s="514" t="n">
        <v>0</v>
      </c>
      <c r="P29" s="514" t="n">
        <v>0</v>
      </c>
      <c r="Q29" s="131" t="s">
        <v>49</v>
      </c>
      <c r="R29" s="517" t="n">
        <v>44825</v>
      </c>
      <c r="S29" s="514"/>
      <c r="T29" s="37" t="n">
        <v>0</v>
      </c>
      <c r="U29" s="131"/>
      <c r="V29" s="514"/>
      <c r="W29" s="514"/>
      <c r="X29" s="514"/>
      <c r="Y29" s="514"/>
      <c r="Z29" s="514"/>
      <c r="AA29" s="581" t="n">
        <v>0</v>
      </c>
      <c r="AB29" s="581" t="n">
        <v>0</v>
      </c>
      <c r="AC29" s="37" t="n">
        <v>0</v>
      </c>
      <c r="AD29" s="37" t="n">
        <v>0</v>
      </c>
      <c r="AE29" s="37" t="n">
        <v>0</v>
      </c>
    </row>
    <row r="30" customFormat="false" ht="15.75" hidden="false" customHeight="false" outlineLevel="0" collapsed="false">
      <c r="A30" s="514" t="s">
        <v>42</v>
      </c>
      <c r="B30" s="514" t="s">
        <v>4261</v>
      </c>
      <c r="C30" s="515" t="s">
        <v>4841</v>
      </c>
      <c r="D30" s="514" t="s">
        <v>4848</v>
      </c>
      <c r="E30" s="514" t="s">
        <v>4849</v>
      </c>
      <c r="F30" s="514" t="n">
        <v>355</v>
      </c>
      <c r="G30" s="514" t="n">
        <v>37</v>
      </c>
      <c r="H30" s="514" t="n">
        <v>192</v>
      </c>
      <c r="I30" s="514" t="n">
        <v>99</v>
      </c>
      <c r="J30" s="514" t="n">
        <v>93</v>
      </c>
      <c r="K30" s="514" t="n">
        <v>0</v>
      </c>
      <c r="L30" s="19" t="n">
        <f aca="false">(K30/H30)*100</f>
        <v>0</v>
      </c>
      <c r="M30" s="514" t="n">
        <v>0</v>
      </c>
      <c r="N30" s="19" t="n">
        <f aca="false">(M30/H30)*100</f>
        <v>0</v>
      </c>
      <c r="O30" s="514" t="n">
        <v>0</v>
      </c>
      <c r="P30" s="514" t="n">
        <v>0</v>
      </c>
      <c r="Q30" s="131" t="s">
        <v>49</v>
      </c>
      <c r="R30" s="517" t="n">
        <v>44825</v>
      </c>
      <c r="S30" s="514"/>
      <c r="T30" s="37" t="n">
        <v>0</v>
      </c>
      <c r="U30" s="131"/>
      <c r="V30" s="514"/>
      <c r="W30" s="514"/>
      <c r="X30" s="514"/>
      <c r="Y30" s="514"/>
      <c r="Z30" s="514"/>
      <c r="AA30" s="581" t="n">
        <v>0</v>
      </c>
      <c r="AB30" s="581" t="n">
        <v>0</v>
      </c>
      <c r="AC30" s="37" t="n">
        <v>0</v>
      </c>
      <c r="AD30" s="37" t="n">
        <v>0</v>
      </c>
      <c r="AE30" s="37" t="n">
        <v>0</v>
      </c>
    </row>
    <row r="31" customFormat="false" ht="15.75" hidden="false" customHeight="false" outlineLevel="0" collapsed="false">
      <c r="A31" s="514" t="s">
        <v>42</v>
      </c>
      <c r="B31" s="514" t="s">
        <v>4261</v>
      </c>
      <c r="C31" s="515" t="s">
        <v>4841</v>
      </c>
      <c r="D31" s="514" t="s">
        <v>4850</v>
      </c>
      <c r="E31" s="514" t="s">
        <v>4851</v>
      </c>
      <c r="F31" s="514" t="n">
        <v>105</v>
      </c>
      <c r="G31" s="514" t="n">
        <v>30</v>
      </c>
      <c r="H31" s="514" t="n">
        <v>151</v>
      </c>
      <c r="I31" s="514" t="n">
        <v>78</v>
      </c>
      <c r="J31" s="514" t="n">
        <v>73</v>
      </c>
      <c r="K31" s="514" t="n">
        <v>0</v>
      </c>
      <c r="L31" s="19" t="n">
        <f aca="false">(K31/H31)*100</f>
        <v>0</v>
      </c>
      <c r="M31" s="514" t="n">
        <v>0</v>
      </c>
      <c r="N31" s="19" t="n">
        <f aca="false">(M31/H31)*100</f>
        <v>0</v>
      </c>
      <c r="O31" s="514" t="n">
        <v>0</v>
      </c>
      <c r="P31" s="514" t="n">
        <v>0</v>
      </c>
      <c r="Q31" s="131" t="s">
        <v>49</v>
      </c>
      <c r="R31" s="517" t="n">
        <v>44825</v>
      </c>
      <c r="S31" s="514"/>
      <c r="T31" s="37" t="n">
        <v>0</v>
      </c>
      <c r="U31" s="131"/>
      <c r="V31" s="514"/>
      <c r="W31" s="514"/>
      <c r="X31" s="514"/>
      <c r="Y31" s="514"/>
      <c r="Z31" s="514"/>
      <c r="AA31" s="581" t="n">
        <v>0</v>
      </c>
      <c r="AB31" s="581" t="n">
        <v>0</v>
      </c>
      <c r="AC31" s="37" t="n">
        <v>0</v>
      </c>
      <c r="AD31" s="37" t="n">
        <v>0</v>
      </c>
      <c r="AE31" s="37" t="n">
        <v>0</v>
      </c>
    </row>
    <row r="32" customFormat="false" ht="15.75" hidden="false" customHeight="false" outlineLevel="0" collapsed="false">
      <c r="A32" s="514" t="s">
        <v>42</v>
      </c>
      <c r="B32" s="514" t="s">
        <v>4261</v>
      </c>
      <c r="C32" s="515" t="s">
        <v>4841</v>
      </c>
      <c r="D32" s="514" t="s">
        <v>4852</v>
      </c>
      <c r="E32" s="514" t="s">
        <v>4853</v>
      </c>
      <c r="F32" s="514" t="n">
        <v>1358.83</v>
      </c>
      <c r="G32" s="514" t="n">
        <v>274</v>
      </c>
      <c r="H32" s="514" t="n">
        <v>1172</v>
      </c>
      <c r="I32" s="514" t="n">
        <v>602</v>
      </c>
      <c r="J32" s="514" t="n">
        <v>570</v>
      </c>
      <c r="K32" s="514" t="n">
        <v>108</v>
      </c>
      <c r="L32" s="19" t="n">
        <f aca="false">(K32/H32)*100</f>
        <v>9.21501706484642</v>
      </c>
      <c r="M32" s="514" t="n">
        <v>0</v>
      </c>
      <c r="N32" s="19" t="n">
        <f aca="false">(M32/H32)*100</f>
        <v>0</v>
      </c>
      <c r="O32" s="514" t="n">
        <v>5</v>
      </c>
      <c r="P32" s="514" t="n">
        <v>0</v>
      </c>
      <c r="Q32" s="131"/>
      <c r="R32" s="131"/>
      <c r="S32" s="514"/>
      <c r="T32" s="131"/>
      <c r="U32" s="131"/>
      <c r="V32" s="514"/>
      <c r="W32" s="514"/>
      <c r="X32" s="514"/>
      <c r="Y32" s="514"/>
      <c r="Z32" s="514"/>
      <c r="AA32" s="132"/>
      <c r="AB32" s="132"/>
      <c r="AC32" s="37"/>
      <c r="AD32" s="131"/>
      <c r="AE32" s="131"/>
    </row>
    <row r="33" customFormat="false" ht="14.25" hidden="false" customHeight="true" outlineLevel="0" collapsed="false">
      <c r="A33" s="514" t="s">
        <v>42</v>
      </c>
      <c r="B33" s="514" t="s">
        <v>4261</v>
      </c>
      <c r="C33" s="515" t="s">
        <v>4854</v>
      </c>
      <c r="D33" s="516" t="s">
        <v>4855</v>
      </c>
      <c r="E33" s="514" t="s">
        <v>4856</v>
      </c>
      <c r="F33" s="514" t="n">
        <v>1866</v>
      </c>
      <c r="G33" s="514" t="n">
        <v>350</v>
      </c>
      <c r="H33" s="514" t="n">
        <v>2175</v>
      </c>
      <c r="I33" s="514" t="n">
        <v>1128</v>
      </c>
      <c r="J33" s="514" t="n">
        <v>1047</v>
      </c>
      <c r="K33" s="514" t="n">
        <v>513</v>
      </c>
      <c r="L33" s="19" t="n">
        <f aca="false">(K33/H33)*100</f>
        <v>23.5862068965517</v>
      </c>
      <c r="M33" s="514" t="n">
        <v>357</v>
      </c>
      <c r="N33" s="19" t="n">
        <f aca="false">(M33/H33)*100</f>
        <v>16.4137931034483</v>
      </c>
      <c r="O33" s="514" t="n">
        <v>302</v>
      </c>
      <c r="P33" s="514" t="n">
        <v>0</v>
      </c>
      <c r="Q33" s="45" t="s">
        <v>49</v>
      </c>
      <c r="R33" s="53" t="n">
        <v>44851</v>
      </c>
      <c r="S33" s="514"/>
      <c r="T33" s="45"/>
      <c r="U33" s="45"/>
      <c r="V33" s="514"/>
      <c r="W33" s="514"/>
      <c r="X33" s="514"/>
      <c r="Y33" s="514"/>
      <c r="Z33" s="514"/>
      <c r="AA33" s="47" t="s">
        <v>266</v>
      </c>
      <c r="AB33" s="47" t="n">
        <v>10</v>
      </c>
      <c r="AC33" s="128" t="s">
        <v>317</v>
      </c>
      <c r="AD33" s="45"/>
      <c r="AE33" s="45"/>
      <c r="AF33" s="586"/>
    </row>
    <row r="34" customFormat="false" ht="15.75" hidden="false" customHeight="false" outlineLevel="0" collapsed="false">
      <c r="A34" s="514" t="s">
        <v>42</v>
      </c>
      <c r="B34" s="514" t="s">
        <v>4261</v>
      </c>
      <c r="C34" s="515" t="s">
        <v>4854</v>
      </c>
      <c r="D34" s="514" t="s">
        <v>1746</v>
      </c>
      <c r="E34" s="514" t="s">
        <v>4857</v>
      </c>
      <c r="F34" s="514" t="n">
        <v>548</v>
      </c>
      <c r="G34" s="514" t="n">
        <v>81</v>
      </c>
      <c r="H34" s="514" t="n">
        <v>376</v>
      </c>
      <c r="I34" s="514" t="n">
        <v>199</v>
      </c>
      <c r="J34" s="514" t="n">
        <v>177</v>
      </c>
      <c r="K34" s="514" t="n">
        <v>27</v>
      </c>
      <c r="L34" s="19" t="n">
        <f aca="false">(K34/H34)*100</f>
        <v>7.18085106382979</v>
      </c>
      <c r="M34" s="514" t="n">
        <v>0</v>
      </c>
      <c r="N34" s="19" t="n">
        <f aca="false">(M34/H34)*100</f>
        <v>0</v>
      </c>
      <c r="O34" s="514" t="n">
        <v>0</v>
      </c>
      <c r="P34" s="514" t="n">
        <v>0</v>
      </c>
      <c r="Q34" s="131" t="s">
        <v>49</v>
      </c>
      <c r="R34" s="517" t="n">
        <v>44851</v>
      </c>
      <c r="S34" s="514"/>
      <c r="T34" s="48" t="n">
        <v>0</v>
      </c>
      <c r="U34" s="580"/>
      <c r="V34" s="514"/>
      <c r="W34" s="514"/>
      <c r="X34" s="514"/>
      <c r="Y34" s="514"/>
      <c r="Z34" s="514"/>
      <c r="AA34" s="581" t="n">
        <v>0</v>
      </c>
      <c r="AB34" s="581" t="n">
        <v>0</v>
      </c>
      <c r="AC34" s="37" t="n">
        <v>0</v>
      </c>
      <c r="AD34" s="48" t="n">
        <v>0</v>
      </c>
      <c r="AE34" s="48" t="n">
        <v>0</v>
      </c>
    </row>
    <row r="35" customFormat="false" ht="15.75" hidden="false" customHeight="false" outlineLevel="0" collapsed="false">
      <c r="A35" s="514" t="s">
        <v>42</v>
      </c>
      <c r="B35" s="514" t="s">
        <v>4261</v>
      </c>
      <c r="C35" s="515" t="s">
        <v>4854</v>
      </c>
      <c r="D35" s="514" t="s">
        <v>4858</v>
      </c>
      <c r="E35" s="514" t="s">
        <v>4859</v>
      </c>
      <c r="F35" s="514" t="n">
        <v>1013</v>
      </c>
      <c r="G35" s="514" t="n">
        <v>71</v>
      </c>
      <c r="H35" s="514" t="n">
        <v>462</v>
      </c>
      <c r="I35" s="514" t="n">
        <v>258</v>
      </c>
      <c r="J35" s="514" t="n">
        <v>204</v>
      </c>
      <c r="K35" s="514" t="n">
        <v>0</v>
      </c>
      <c r="L35" s="19" t="n">
        <f aca="false">(K35/H35)*100</f>
        <v>0</v>
      </c>
      <c r="M35" s="514" t="n">
        <v>0</v>
      </c>
      <c r="N35" s="19" t="n">
        <f aca="false">(M35/H35)*100</f>
        <v>0</v>
      </c>
      <c r="O35" s="514" t="n">
        <v>0</v>
      </c>
      <c r="P35" s="514" t="n">
        <v>0</v>
      </c>
      <c r="Q35" s="131" t="s">
        <v>49</v>
      </c>
      <c r="R35" s="517" t="n">
        <v>44851</v>
      </c>
      <c r="S35" s="514"/>
      <c r="T35" s="48" t="n">
        <v>0</v>
      </c>
      <c r="U35" s="580"/>
      <c r="V35" s="514"/>
      <c r="W35" s="514"/>
      <c r="X35" s="514"/>
      <c r="Y35" s="514"/>
      <c r="Z35" s="514"/>
      <c r="AA35" s="581" t="n">
        <v>0</v>
      </c>
      <c r="AB35" s="581" t="n">
        <v>0</v>
      </c>
      <c r="AC35" s="287" t="n">
        <v>0</v>
      </c>
      <c r="AD35" s="48" t="n">
        <v>0</v>
      </c>
      <c r="AE35" s="48" t="n">
        <v>0</v>
      </c>
    </row>
    <row r="36" customFormat="false" ht="18" hidden="false" customHeight="true" outlineLevel="0" collapsed="false">
      <c r="A36" s="514" t="s">
        <v>42</v>
      </c>
      <c r="B36" s="514" t="s">
        <v>4261</v>
      </c>
      <c r="C36" s="515" t="s">
        <v>4854</v>
      </c>
      <c r="D36" s="514" t="s">
        <v>4860</v>
      </c>
      <c r="E36" s="514" t="s">
        <v>4861</v>
      </c>
      <c r="F36" s="514" t="n">
        <v>1326</v>
      </c>
      <c r="G36" s="514" t="n">
        <v>207</v>
      </c>
      <c r="H36" s="514" t="n">
        <v>981</v>
      </c>
      <c r="I36" s="514" t="n">
        <v>519</v>
      </c>
      <c r="J36" s="514" t="n">
        <v>462</v>
      </c>
      <c r="K36" s="514" t="n">
        <v>265</v>
      </c>
      <c r="L36" s="19" t="n">
        <f aca="false">(K36/H36)*100</f>
        <v>27.013251783894</v>
      </c>
      <c r="M36" s="514" t="n">
        <v>0</v>
      </c>
      <c r="N36" s="19" t="n">
        <f aca="false">(M36/H36)*100</f>
        <v>0</v>
      </c>
      <c r="O36" s="514" t="n">
        <v>31</v>
      </c>
      <c r="P36" s="514" t="n">
        <v>0</v>
      </c>
      <c r="Q36" s="45" t="s">
        <v>49</v>
      </c>
      <c r="R36" s="53" t="n">
        <v>44851</v>
      </c>
      <c r="S36" s="514"/>
      <c r="T36" s="45"/>
      <c r="U36" s="45"/>
      <c r="V36" s="514"/>
      <c r="W36" s="514"/>
      <c r="X36" s="514"/>
      <c r="Y36" s="514"/>
      <c r="Z36" s="514"/>
      <c r="AA36" s="47" t="s">
        <v>266</v>
      </c>
      <c r="AB36" s="47" t="n">
        <v>10</v>
      </c>
      <c r="AC36" s="340" t="s">
        <v>276</v>
      </c>
      <c r="AD36" s="45"/>
      <c r="AE36" s="45"/>
    </row>
    <row r="37" customFormat="false" ht="15.75" hidden="false" customHeight="false" outlineLevel="0" collapsed="false">
      <c r="A37" s="514" t="s">
        <v>42</v>
      </c>
      <c r="B37" s="514" t="s">
        <v>4261</v>
      </c>
      <c r="C37" s="515" t="s">
        <v>4854</v>
      </c>
      <c r="D37" s="514" t="s">
        <v>471</v>
      </c>
      <c r="E37" s="514" t="s">
        <v>4862</v>
      </c>
      <c r="F37" s="514" t="n">
        <v>241</v>
      </c>
      <c r="G37" s="514" t="n">
        <v>52</v>
      </c>
      <c r="H37" s="514" t="n">
        <v>237</v>
      </c>
      <c r="I37" s="514" t="n">
        <v>120</v>
      </c>
      <c r="J37" s="514" t="n">
        <v>117</v>
      </c>
      <c r="K37" s="514" t="n">
        <v>0</v>
      </c>
      <c r="L37" s="19" t="n">
        <f aca="false">(K37/H37)*100</f>
        <v>0</v>
      </c>
      <c r="M37" s="514" t="n">
        <v>0</v>
      </c>
      <c r="N37" s="19" t="n">
        <f aca="false">(M37/H37)*100</f>
        <v>0</v>
      </c>
      <c r="O37" s="514" t="n">
        <v>0</v>
      </c>
      <c r="P37" s="514" t="n">
        <v>0</v>
      </c>
      <c r="Q37" s="131" t="s">
        <v>49</v>
      </c>
      <c r="R37" s="517" t="n">
        <v>44851</v>
      </c>
      <c r="S37" s="514"/>
      <c r="T37" s="48" t="n">
        <v>0</v>
      </c>
      <c r="U37" s="580"/>
      <c r="V37" s="514"/>
      <c r="W37" s="514"/>
      <c r="X37" s="514"/>
      <c r="Y37" s="514"/>
      <c r="Z37" s="514"/>
      <c r="AA37" s="581" t="n">
        <v>0</v>
      </c>
      <c r="AB37" s="581" t="n">
        <v>0</v>
      </c>
      <c r="AC37" s="37" t="n">
        <v>0</v>
      </c>
      <c r="AD37" s="48" t="n">
        <v>0</v>
      </c>
      <c r="AE37" s="48" t="n">
        <v>0</v>
      </c>
    </row>
    <row r="38" customFormat="false" ht="15.75" hidden="false" customHeight="false" outlineLevel="0" collapsed="false">
      <c r="A38" s="514" t="s">
        <v>42</v>
      </c>
      <c r="B38" s="514" t="s">
        <v>4261</v>
      </c>
      <c r="C38" s="515" t="s">
        <v>4854</v>
      </c>
      <c r="D38" s="514" t="s">
        <v>4863</v>
      </c>
      <c r="E38" s="514" t="s">
        <v>4864</v>
      </c>
      <c r="F38" s="514" t="n">
        <v>410</v>
      </c>
      <c r="G38" s="514" t="n">
        <v>57</v>
      </c>
      <c r="H38" s="514" t="n">
        <v>274</v>
      </c>
      <c r="I38" s="514" t="n">
        <v>140</v>
      </c>
      <c r="J38" s="514" t="n">
        <v>134</v>
      </c>
      <c r="K38" s="514" t="n">
        <v>0</v>
      </c>
      <c r="L38" s="19" t="n">
        <f aca="false">(K38/H38)*100</f>
        <v>0</v>
      </c>
      <c r="M38" s="514" t="n">
        <v>0</v>
      </c>
      <c r="N38" s="19" t="n">
        <f aca="false">(M38/H38)*100</f>
        <v>0</v>
      </c>
      <c r="O38" s="514" t="n">
        <v>0</v>
      </c>
      <c r="P38" s="514" t="n">
        <v>0</v>
      </c>
      <c r="Q38" s="131" t="s">
        <v>49</v>
      </c>
      <c r="R38" s="517" t="n">
        <v>44851</v>
      </c>
      <c r="S38" s="514"/>
      <c r="T38" s="131"/>
      <c r="U38" s="131"/>
      <c r="V38" s="514"/>
      <c r="W38" s="514"/>
      <c r="X38" s="514"/>
      <c r="Y38" s="514"/>
      <c r="Z38" s="514"/>
      <c r="AA38" s="132"/>
      <c r="AB38" s="589" t="n">
        <v>0</v>
      </c>
      <c r="AC38" s="37" t="n">
        <v>0</v>
      </c>
      <c r="AD38" s="48" t="n">
        <v>0</v>
      </c>
      <c r="AE38" s="48" t="n">
        <v>0</v>
      </c>
    </row>
    <row r="39" customFormat="false" ht="15.75" hidden="false" customHeight="false" outlineLevel="0" collapsed="false">
      <c r="A39" s="514" t="s">
        <v>42</v>
      </c>
      <c r="B39" s="514" t="s">
        <v>4261</v>
      </c>
      <c r="C39" s="515" t="s">
        <v>4854</v>
      </c>
      <c r="D39" s="514" t="s">
        <v>4865</v>
      </c>
      <c r="E39" s="514" t="s">
        <v>4866</v>
      </c>
      <c r="F39" s="514" t="n">
        <v>515</v>
      </c>
      <c r="G39" s="514" t="n">
        <v>138</v>
      </c>
      <c r="H39" s="514" t="n">
        <v>762</v>
      </c>
      <c r="I39" s="514" t="n">
        <v>398</v>
      </c>
      <c r="J39" s="514" t="n">
        <v>364</v>
      </c>
      <c r="K39" s="514" t="n">
        <v>108</v>
      </c>
      <c r="L39" s="19" t="n">
        <f aca="false">(K39/H39)*100</f>
        <v>14.1732283464567</v>
      </c>
      <c r="M39" s="514" t="n">
        <v>0</v>
      </c>
      <c r="N39" s="19" t="n">
        <f aca="false">(M39/H39)*100</f>
        <v>0</v>
      </c>
      <c r="O39" s="514" t="n">
        <v>32</v>
      </c>
      <c r="P39" s="514" t="n">
        <v>0</v>
      </c>
      <c r="Q39" s="131" t="s">
        <v>49</v>
      </c>
      <c r="R39" s="517" t="n">
        <v>44851</v>
      </c>
      <c r="S39" s="514"/>
      <c r="T39" s="48" t="n">
        <v>0</v>
      </c>
      <c r="U39" s="580"/>
      <c r="V39" s="514"/>
      <c r="W39" s="514"/>
      <c r="X39" s="514"/>
      <c r="Y39" s="514"/>
      <c r="Z39" s="514"/>
      <c r="AA39" s="581" t="n">
        <v>0</v>
      </c>
      <c r="AB39" s="581" t="n">
        <v>0</v>
      </c>
      <c r="AC39" s="37" t="n">
        <v>0</v>
      </c>
      <c r="AD39" s="48" t="n">
        <v>0</v>
      </c>
      <c r="AE39" s="48" t="n">
        <v>0</v>
      </c>
    </row>
    <row r="40" customFormat="false" ht="15.75" hidden="false" customHeight="false" outlineLevel="0" collapsed="false">
      <c r="A40" s="514" t="s">
        <v>42</v>
      </c>
      <c r="B40" s="514" t="s">
        <v>4261</v>
      </c>
      <c r="C40" s="515" t="s">
        <v>4867</v>
      </c>
      <c r="D40" s="516" t="s">
        <v>4868</v>
      </c>
      <c r="E40" s="514" t="s">
        <v>4869</v>
      </c>
      <c r="F40" s="514" t="n">
        <v>2155</v>
      </c>
      <c r="G40" s="514" t="n">
        <v>309</v>
      </c>
      <c r="H40" s="514" t="n">
        <v>1924</v>
      </c>
      <c r="I40" s="514" t="n">
        <v>1049</v>
      </c>
      <c r="J40" s="514" t="n">
        <v>875</v>
      </c>
      <c r="K40" s="514" t="n">
        <v>178</v>
      </c>
      <c r="L40" s="19" t="n">
        <f aca="false">(K40/H40)*100</f>
        <v>9.25155925155925</v>
      </c>
      <c r="M40" s="514" t="n">
        <v>0</v>
      </c>
      <c r="N40" s="19" t="n">
        <f aca="false">(M40/H40)*100</f>
        <v>0</v>
      </c>
      <c r="O40" s="514" t="n">
        <v>0</v>
      </c>
      <c r="P40" s="514" t="n">
        <v>0</v>
      </c>
      <c r="Q40" s="131" t="s">
        <v>49</v>
      </c>
      <c r="R40" s="517" t="n">
        <v>44825</v>
      </c>
      <c r="S40" s="514"/>
      <c r="T40" s="131" t="n">
        <v>7.3338</v>
      </c>
      <c r="U40" s="131"/>
      <c r="V40" s="514"/>
      <c r="W40" s="514"/>
      <c r="X40" s="514"/>
      <c r="Y40" s="514"/>
      <c r="Z40" s="514"/>
      <c r="AA40" s="47" t="s">
        <v>266</v>
      </c>
      <c r="AB40" s="132" t="n">
        <v>5</v>
      </c>
      <c r="AC40" s="287" t="s">
        <v>4870</v>
      </c>
      <c r="AD40" s="131"/>
      <c r="AE40" s="131"/>
    </row>
    <row r="41" customFormat="false" ht="15.75" hidden="false" customHeight="false" outlineLevel="0" collapsed="false">
      <c r="A41" s="514" t="s">
        <v>42</v>
      </c>
      <c r="B41" s="514" t="s">
        <v>4261</v>
      </c>
      <c r="C41" s="515" t="s">
        <v>4867</v>
      </c>
      <c r="D41" s="514" t="s">
        <v>4871</v>
      </c>
      <c r="E41" s="514" t="s">
        <v>4872</v>
      </c>
      <c r="F41" s="514" t="n">
        <v>468</v>
      </c>
      <c r="G41" s="514" t="n">
        <v>101</v>
      </c>
      <c r="H41" s="514" t="n">
        <v>579</v>
      </c>
      <c r="I41" s="514" t="n">
        <v>309</v>
      </c>
      <c r="J41" s="514" t="n">
        <v>270</v>
      </c>
      <c r="K41" s="514" t="n">
        <v>0</v>
      </c>
      <c r="L41" s="19" t="n">
        <f aca="false">(K41/H41)*100</f>
        <v>0</v>
      </c>
      <c r="M41" s="514" t="n">
        <v>0</v>
      </c>
      <c r="N41" s="19" t="n">
        <f aca="false">(M41/H41)*100</f>
        <v>0</v>
      </c>
      <c r="O41" s="514" t="n">
        <v>0</v>
      </c>
      <c r="P41" s="514" t="n">
        <v>0</v>
      </c>
      <c r="Q41" s="131" t="s">
        <v>49</v>
      </c>
      <c r="R41" s="517" t="n">
        <v>44825</v>
      </c>
      <c r="S41" s="514"/>
      <c r="T41" s="580" t="n">
        <v>0</v>
      </c>
      <c r="U41" s="131"/>
      <c r="V41" s="514"/>
      <c r="W41" s="514"/>
      <c r="X41" s="514"/>
      <c r="Y41" s="514"/>
      <c r="Z41" s="514"/>
      <c r="AA41" s="47"/>
      <c r="AB41" s="581"/>
      <c r="AC41" s="37" t="n">
        <v>0</v>
      </c>
      <c r="AD41" s="580" t="n">
        <v>0</v>
      </c>
      <c r="AE41" s="580" t="n">
        <v>0</v>
      </c>
    </row>
    <row r="42" customFormat="false" ht="15.75" hidden="false" customHeight="false" outlineLevel="0" collapsed="false">
      <c r="A42" s="514" t="s">
        <v>42</v>
      </c>
      <c r="B42" s="514" t="s">
        <v>4261</v>
      </c>
      <c r="C42" s="515" t="s">
        <v>4867</v>
      </c>
      <c r="D42" s="514" t="s">
        <v>438</v>
      </c>
      <c r="E42" s="514" t="s">
        <v>4873</v>
      </c>
      <c r="F42" s="514" t="n">
        <v>1199</v>
      </c>
      <c r="G42" s="514" t="n">
        <v>115</v>
      </c>
      <c r="H42" s="514" t="n">
        <v>742</v>
      </c>
      <c r="I42" s="514" t="n">
        <v>394</v>
      </c>
      <c r="J42" s="514" t="n">
        <v>348</v>
      </c>
      <c r="K42" s="514" t="n">
        <v>35</v>
      </c>
      <c r="L42" s="19" t="n">
        <f aca="false">(K42/H42)*100</f>
        <v>4.71698113207547</v>
      </c>
      <c r="M42" s="514" t="n">
        <v>0</v>
      </c>
      <c r="N42" s="19" t="n">
        <f aca="false">(M42/H42)*100</f>
        <v>0</v>
      </c>
      <c r="O42" s="514" t="n">
        <v>0</v>
      </c>
      <c r="P42" s="514" t="n">
        <v>0</v>
      </c>
      <c r="Q42" s="131" t="s">
        <v>49</v>
      </c>
      <c r="R42" s="517" t="n">
        <v>44825</v>
      </c>
      <c r="S42" s="514"/>
      <c r="T42" s="580" t="n">
        <v>0</v>
      </c>
      <c r="U42" s="131"/>
      <c r="V42" s="514"/>
      <c r="W42" s="514"/>
      <c r="X42" s="514"/>
      <c r="Y42" s="514"/>
      <c r="Z42" s="514"/>
      <c r="AA42" s="47"/>
      <c r="AB42" s="581"/>
      <c r="AC42" s="37" t="n">
        <v>0</v>
      </c>
      <c r="AD42" s="580" t="n">
        <v>0</v>
      </c>
      <c r="AE42" s="580" t="n">
        <v>0</v>
      </c>
    </row>
    <row r="43" customFormat="false" ht="15.75" hidden="false" customHeight="false" outlineLevel="0" collapsed="false">
      <c r="A43" s="514" t="s">
        <v>42</v>
      </c>
      <c r="B43" s="514" t="s">
        <v>4261</v>
      </c>
      <c r="C43" s="515" t="s">
        <v>4867</v>
      </c>
      <c r="D43" s="514" t="s">
        <v>2181</v>
      </c>
      <c r="E43" s="514" t="s">
        <v>4874</v>
      </c>
      <c r="F43" s="514" t="n">
        <v>460</v>
      </c>
      <c r="G43" s="514" t="n">
        <v>9</v>
      </c>
      <c r="H43" s="514" t="n">
        <v>51</v>
      </c>
      <c r="I43" s="514" t="n">
        <v>30</v>
      </c>
      <c r="J43" s="514" t="n">
        <v>21</v>
      </c>
      <c r="K43" s="514" t="n">
        <v>0</v>
      </c>
      <c r="L43" s="19" t="n">
        <f aca="false">(K43/H43)*100</f>
        <v>0</v>
      </c>
      <c r="M43" s="514" t="n">
        <v>0</v>
      </c>
      <c r="N43" s="19" t="n">
        <f aca="false">(M43/H43)*100</f>
        <v>0</v>
      </c>
      <c r="O43" s="514" t="n">
        <v>7</v>
      </c>
      <c r="P43" s="514" t="n">
        <v>0</v>
      </c>
      <c r="Q43" s="131" t="s">
        <v>49</v>
      </c>
      <c r="R43" s="517" t="n">
        <v>44825</v>
      </c>
      <c r="S43" s="514"/>
      <c r="T43" s="131" t="n">
        <v>15.0624</v>
      </c>
      <c r="U43" s="131"/>
      <c r="V43" s="514"/>
      <c r="W43" s="514"/>
      <c r="X43" s="514"/>
      <c r="Y43" s="514"/>
      <c r="Z43" s="514"/>
      <c r="AA43" s="47"/>
      <c r="AB43" s="132"/>
      <c r="AC43" s="37" t="n">
        <v>0</v>
      </c>
      <c r="AD43" s="131"/>
      <c r="AE43" s="131"/>
    </row>
    <row r="44" customFormat="false" ht="15.75" hidden="false" customHeight="false" outlineLevel="0" collapsed="false">
      <c r="A44" s="514" t="s">
        <v>42</v>
      </c>
      <c r="B44" s="514" t="s">
        <v>4261</v>
      </c>
      <c r="C44" s="515" t="s">
        <v>4867</v>
      </c>
      <c r="D44" s="514" t="s">
        <v>4875</v>
      </c>
      <c r="E44" s="514" t="s">
        <v>4876</v>
      </c>
      <c r="F44" s="514" t="n">
        <v>404</v>
      </c>
      <c r="G44" s="514" t="n">
        <v>68</v>
      </c>
      <c r="H44" s="514" t="n">
        <v>350</v>
      </c>
      <c r="I44" s="514" t="n">
        <v>187</v>
      </c>
      <c r="J44" s="514" t="n">
        <v>163</v>
      </c>
      <c r="K44" s="514" t="n">
        <v>0</v>
      </c>
      <c r="L44" s="19" t="n">
        <f aca="false">(K44/H44)*100</f>
        <v>0</v>
      </c>
      <c r="M44" s="514" t="n">
        <v>0</v>
      </c>
      <c r="N44" s="19" t="n">
        <f aca="false">(M44/H44)*100</f>
        <v>0</v>
      </c>
      <c r="O44" s="514" t="n">
        <v>0</v>
      </c>
      <c r="P44" s="514" t="n">
        <v>0</v>
      </c>
      <c r="Q44" s="131" t="s">
        <v>49</v>
      </c>
      <c r="R44" s="517" t="n">
        <v>44825</v>
      </c>
      <c r="S44" s="514"/>
      <c r="T44" s="580" t="n">
        <v>0</v>
      </c>
      <c r="U44" s="131"/>
      <c r="V44" s="514"/>
      <c r="W44" s="514"/>
      <c r="X44" s="514"/>
      <c r="Y44" s="514"/>
      <c r="Z44" s="514"/>
      <c r="AA44" s="47"/>
      <c r="AB44" s="581"/>
      <c r="AC44" s="37" t="n">
        <v>0</v>
      </c>
      <c r="AD44" s="580" t="n">
        <v>0</v>
      </c>
      <c r="AE44" s="580" t="n">
        <v>0</v>
      </c>
    </row>
    <row r="45" customFormat="false" ht="17.25" hidden="false" customHeight="true" outlineLevel="0" collapsed="false">
      <c r="A45" s="514" t="s">
        <v>42</v>
      </c>
      <c r="B45" s="514" t="s">
        <v>4261</v>
      </c>
      <c r="C45" s="515" t="s">
        <v>4877</v>
      </c>
      <c r="D45" s="516" t="s">
        <v>4877</v>
      </c>
      <c r="E45" s="514" t="s">
        <v>4878</v>
      </c>
      <c r="F45" s="514" t="n">
        <v>1055.92</v>
      </c>
      <c r="G45" s="514" t="n">
        <v>130</v>
      </c>
      <c r="H45" s="514" t="n">
        <v>842</v>
      </c>
      <c r="I45" s="514" t="n">
        <v>447</v>
      </c>
      <c r="J45" s="514" t="n">
        <v>395</v>
      </c>
      <c r="K45" s="514" t="n">
        <v>414</v>
      </c>
      <c r="L45" s="19" t="n">
        <f aca="false">(K45/H45)*100</f>
        <v>49.1686460807601</v>
      </c>
      <c r="M45" s="514" t="n">
        <v>16</v>
      </c>
      <c r="N45" s="19" t="n">
        <f aca="false">(M45/H45)*100</f>
        <v>1.90023752969121</v>
      </c>
      <c r="O45" s="514" t="n">
        <v>4</v>
      </c>
      <c r="P45" s="514" t="n">
        <v>0</v>
      </c>
      <c r="Q45" s="45" t="s">
        <v>49</v>
      </c>
      <c r="R45" s="53" t="n">
        <v>44836</v>
      </c>
      <c r="S45" s="514"/>
      <c r="T45" s="45" t="n">
        <v>2.501</v>
      </c>
      <c r="U45" s="45"/>
      <c r="V45" s="514"/>
      <c r="W45" s="514"/>
      <c r="X45" s="514"/>
      <c r="Y45" s="514"/>
      <c r="Z45" s="514"/>
      <c r="AA45" s="47" t="s">
        <v>266</v>
      </c>
      <c r="AB45" s="47" t="n">
        <v>2</v>
      </c>
      <c r="AC45" s="340" t="s">
        <v>276</v>
      </c>
      <c r="AD45" s="45"/>
      <c r="AE45" s="45"/>
      <c r="AF45" s="586"/>
    </row>
    <row r="46" customFormat="false" ht="15.75" hidden="false" customHeight="false" outlineLevel="0" collapsed="false">
      <c r="A46" s="514" t="s">
        <v>42</v>
      </c>
      <c r="B46" s="514" t="s">
        <v>4261</v>
      </c>
      <c r="C46" s="515" t="s">
        <v>4877</v>
      </c>
      <c r="D46" s="514" t="s">
        <v>4879</v>
      </c>
      <c r="E46" s="514" t="s">
        <v>4880</v>
      </c>
      <c r="F46" s="514" t="n">
        <v>460.53</v>
      </c>
      <c r="G46" s="514" t="n">
        <v>82</v>
      </c>
      <c r="H46" s="514" t="n">
        <v>529</v>
      </c>
      <c r="I46" s="514" t="n">
        <v>288</v>
      </c>
      <c r="J46" s="514" t="n">
        <v>241</v>
      </c>
      <c r="K46" s="514" t="n">
        <v>177</v>
      </c>
      <c r="L46" s="19" t="n">
        <f aca="false">(K46/H46)*100</f>
        <v>33.4593572778828</v>
      </c>
      <c r="M46" s="514" t="n">
        <v>0</v>
      </c>
      <c r="N46" s="19" t="n">
        <f aca="false">(M46/H46)*100</f>
        <v>0</v>
      </c>
      <c r="O46" s="514" t="n">
        <v>0</v>
      </c>
      <c r="P46" s="514" t="n">
        <v>0</v>
      </c>
      <c r="Q46" s="131" t="s">
        <v>49</v>
      </c>
      <c r="R46" s="517" t="n">
        <v>44836</v>
      </c>
      <c r="S46" s="514"/>
      <c r="T46" s="37" t="n">
        <v>0</v>
      </c>
      <c r="U46" s="131"/>
      <c r="V46" s="514"/>
      <c r="W46" s="514"/>
      <c r="X46" s="514"/>
      <c r="Y46" s="514"/>
      <c r="Z46" s="514"/>
      <c r="AA46" s="581" t="n">
        <v>0</v>
      </c>
      <c r="AB46" s="581" t="n">
        <v>0</v>
      </c>
      <c r="AC46" s="37" t="n">
        <v>0</v>
      </c>
      <c r="AD46" s="37" t="n">
        <v>0</v>
      </c>
      <c r="AE46" s="37" t="n">
        <v>0</v>
      </c>
    </row>
    <row r="47" customFormat="false" ht="15.75" hidden="false" customHeight="false" outlineLevel="0" collapsed="false">
      <c r="A47" s="514" t="s">
        <v>42</v>
      </c>
      <c r="B47" s="514" t="s">
        <v>4261</v>
      </c>
      <c r="C47" s="515" t="s">
        <v>4877</v>
      </c>
      <c r="D47" s="514" t="s">
        <v>4881</v>
      </c>
      <c r="E47" s="514" t="s">
        <v>4882</v>
      </c>
      <c r="F47" s="514" t="n">
        <v>364</v>
      </c>
      <c r="G47" s="514" t="n">
        <v>114</v>
      </c>
      <c r="H47" s="514" t="n">
        <v>667</v>
      </c>
      <c r="I47" s="514" t="n">
        <v>344</v>
      </c>
      <c r="J47" s="514" t="n">
        <v>323</v>
      </c>
      <c r="K47" s="514" t="n">
        <v>488</v>
      </c>
      <c r="L47" s="19" t="n">
        <f aca="false">(K47/H47)*100</f>
        <v>73.1634182908546</v>
      </c>
      <c r="M47" s="514" t="n">
        <v>4</v>
      </c>
      <c r="N47" s="19" t="n">
        <f aca="false">(M47/H47)*100</f>
        <v>0.599700149925037</v>
      </c>
      <c r="O47" s="514" t="n">
        <v>0</v>
      </c>
      <c r="P47" s="514" t="n">
        <v>0</v>
      </c>
      <c r="Q47" s="131" t="s">
        <v>49</v>
      </c>
      <c r="R47" s="517" t="n">
        <v>44836</v>
      </c>
      <c r="S47" s="514"/>
      <c r="T47" s="131" t="n">
        <v>0</v>
      </c>
      <c r="U47" s="131"/>
      <c r="V47" s="514"/>
      <c r="W47" s="514"/>
      <c r="X47" s="514"/>
      <c r="Y47" s="514"/>
      <c r="Z47" s="514"/>
      <c r="AA47" s="581" t="n">
        <v>0</v>
      </c>
      <c r="AB47" s="581" t="n">
        <v>0</v>
      </c>
      <c r="AC47" s="287" t="n">
        <v>0</v>
      </c>
      <c r="AD47" s="131" t="n">
        <v>0</v>
      </c>
      <c r="AE47" s="131" t="n">
        <v>0</v>
      </c>
    </row>
    <row r="48" customFormat="false" ht="15.75" hidden="false" customHeight="false" outlineLevel="0" collapsed="false">
      <c r="A48" s="514" t="s">
        <v>42</v>
      </c>
      <c r="B48" s="514" t="s">
        <v>4261</v>
      </c>
      <c r="C48" s="515" t="s">
        <v>4877</v>
      </c>
      <c r="D48" s="514" t="s">
        <v>4883</v>
      </c>
      <c r="E48" s="514" t="s">
        <v>4884</v>
      </c>
      <c r="F48" s="514" t="n">
        <v>310</v>
      </c>
      <c r="G48" s="514" t="n">
        <v>40</v>
      </c>
      <c r="H48" s="514" t="n">
        <v>221</v>
      </c>
      <c r="I48" s="514" t="n">
        <v>112</v>
      </c>
      <c r="J48" s="514" t="n">
        <v>109</v>
      </c>
      <c r="K48" s="514" t="n">
        <v>43</v>
      </c>
      <c r="L48" s="19" t="n">
        <f aca="false">(K48/H48)*100</f>
        <v>19.4570135746606</v>
      </c>
      <c r="M48" s="514" t="n">
        <v>0</v>
      </c>
      <c r="N48" s="19" t="n">
        <f aca="false">(M48/H48)*100</f>
        <v>0</v>
      </c>
      <c r="O48" s="514" t="n">
        <v>0</v>
      </c>
      <c r="P48" s="514" t="n">
        <v>0</v>
      </c>
      <c r="Q48" s="131" t="s">
        <v>49</v>
      </c>
      <c r="R48" s="517" t="n">
        <v>44836</v>
      </c>
      <c r="S48" s="514"/>
      <c r="T48" s="131" t="n">
        <v>0</v>
      </c>
      <c r="U48" s="131"/>
      <c r="V48" s="514"/>
      <c r="W48" s="514"/>
      <c r="X48" s="514"/>
      <c r="Y48" s="514"/>
      <c r="Z48" s="514"/>
      <c r="AA48" s="581" t="n">
        <v>0</v>
      </c>
      <c r="AB48" s="581" t="n">
        <v>0</v>
      </c>
      <c r="AC48" s="37" t="n">
        <v>0</v>
      </c>
      <c r="AD48" s="131" t="n">
        <v>0</v>
      </c>
      <c r="AE48" s="131" t="n">
        <v>0</v>
      </c>
    </row>
    <row r="49" customFormat="false" ht="15.75" hidden="false" customHeight="false" outlineLevel="0" collapsed="false">
      <c r="A49" s="514" t="s">
        <v>42</v>
      </c>
      <c r="B49" s="514" t="s">
        <v>4261</v>
      </c>
      <c r="C49" s="515" t="s">
        <v>4877</v>
      </c>
      <c r="D49" s="514" t="s">
        <v>1659</v>
      </c>
      <c r="E49" s="514" t="s">
        <v>4885</v>
      </c>
      <c r="F49" s="514" t="n">
        <v>547</v>
      </c>
      <c r="G49" s="514" t="n">
        <v>155</v>
      </c>
      <c r="H49" s="514" t="n">
        <v>977</v>
      </c>
      <c r="I49" s="514" t="n">
        <v>510</v>
      </c>
      <c r="J49" s="514" t="n">
        <v>467</v>
      </c>
      <c r="K49" s="514" t="n">
        <v>177</v>
      </c>
      <c r="L49" s="19" t="n">
        <f aca="false">(K49/H49)*100</f>
        <v>18.1166837256909</v>
      </c>
      <c r="M49" s="514" t="n">
        <v>308</v>
      </c>
      <c r="N49" s="19" t="n">
        <f aca="false">(M49/H49)*100</f>
        <v>31.525076765609</v>
      </c>
      <c r="O49" s="514" t="n">
        <v>5</v>
      </c>
      <c r="P49" s="514" t="n">
        <v>0</v>
      </c>
      <c r="Q49" s="131" t="s">
        <v>49</v>
      </c>
      <c r="R49" s="517" t="n">
        <v>44836</v>
      </c>
      <c r="S49" s="514"/>
      <c r="T49" s="131" t="n">
        <v>0</v>
      </c>
      <c r="U49" s="131"/>
      <c r="V49" s="514"/>
      <c r="W49" s="514"/>
      <c r="X49" s="514"/>
      <c r="Y49" s="514"/>
      <c r="Z49" s="514"/>
      <c r="AA49" s="581" t="n">
        <v>0</v>
      </c>
      <c r="AB49" s="581" t="n">
        <v>0</v>
      </c>
      <c r="AC49" s="37" t="n">
        <v>0</v>
      </c>
      <c r="AD49" s="131" t="n">
        <v>0</v>
      </c>
      <c r="AE49" s="131" t="n">
        <v>0</v>
      </c>
    </row>
    <row r="50" customFormat="false" ht="15.75" hidden="false" customHeight="false" outlineLevel="0" collapsed="false">
      <c r="A50" s="514" t="s">
        <v>42</v>
      </c>
      <c r="B50" s="514" t="s">
        <v>4261</v>
      </c>
      <c r="C50" s="515" t="s">
        <v>4173</v>
      </c>
      <c r="D50" s="516" t="s">
        <v>4886</v>
      </c>
      <c r="E50" s="514" t="s">
        <v>4887</v>
      </c>
      <c r="F50" s="514" t="n">
        <v>1407</v>
      </c>
      <c r="G50" s="514" t="n">
        <v>317</v>
      </c>
      <c r="H50" s="514" t="n">
        <v>1751</v>
      </c>
      <c r="I50" s="514" t="n">
        <v>952</v>
      </c>
      <c r="J50" s="514" t="n">
        <v>799</v>
      </c>
      <c r="K50" s="514" t="n">
        <v>36</v>
      </c>
      <c r="L50" s="19" t="n">
        <f aca="false">(K50/H50)*100</f>
        <v>2.05596801827527</v>
      </c>
      <c r="M50" s="514" t="n">
        <v>385</v>
      </c>
      <c r="N50" s="19" t="n">
        <f aca="false">(M50/H50)*100</f>
        <v>21.9874357509994</v>
      </c>
      <c r="O50" s="514" t="n">
        <v>0</v>
      </c>
      <c r="P50" s="514" t="n">
        <v>0</v>
      </c>
      <c r="Q50" s="131"/>
      <c r="R50" s="131"/>
      <c r="S50" s="514"/>
      <c r="T50" s="131"/>
      <c r="U50" s="131"/>
      <c r="V50" s="514"/>
      <c r="W50" s="514"/>
      <c r="X50" s="514"/>
      <c r="Y50" s="514"/>
      <c r="Z50" s="514"/>
      <c r="AA50" s="132"/>
      <c r="AB50" s="132"/>
      <c r="AC50" s="587"/>
      <c r="AD50" s="588"/>
      <c r="AE50" s="131"/>
    </row>
    <row r="51" s="587" customFormat="true" ht="15.75" hidden="false" customHeight="false" outlineLevel="0" collapsed="false">
      <c r="A51" s="514" t="s">
        <v>42</v>
      </c>
      <c r="B51" s="514" t="s">
        <v>4261</v>
      </c>
      <c r="C51" s="515" t="s">
        <v>4173</v>
      </c>
      <c r="D51" s="516" t="s">
        <v>4886</v>
      </c>
      <c r="E51" s="514" t="s">
        <v>4887</v>
      </c>
      <c r="F51" s="514" t="n">
        <v>1407</v>
      </c>
      <c r="G51" s="514" t="n">
        <v>317</v>
      </c>
      <c r="H51" s="514" t="n">
        <v>1751</v>
      </c>
      <c r="I51" s="514" t="n">
        <v>952</v>
      </c>
      <c r="J51" s="514" t="n">
        <v>799</v>
      </c>
      <c r="K51" s="514" t="n">
        <v>36</v>
      </c>
      <c r="L51" s="19" t="n">
        <f aca="false">(K51/H51)*100</f>
        <v>2.05596801827527</v>
      </c>
      <c r="M51" s="514" t="n">
        <v>385</v>
      </c>
      <c r="N51" s="19" t="n">
        <f aca="false">(M51/H51)*100</f>
        <v>21.9874357509994</v>
      </c>
      <c r="O51" s="514" t="n">
        <v>0</v>
      </c>
      <c r="P51" s="514" t="n">
        <v>0</v>
      </c>
      <c r="Q51" s="590"/>
      <c r="R51" s="590"/>
      <c r="S51" s="514"/>
      <c r="U51" s="590"/>
      <c r="V51" s="514"/>
      <c r="W51" s="514"/>
      <c r="X51" s="514"/>
      <c r="Y51" s="514"/>
      <c r="Z51" s="514"/>
      <c r="AA51" s="591"/>
      <c r="AB51" s="592"/>
      <c r="AD51" s="588"/>
      <c r="AE51" s="593"/>
      <c r="AF51" s="594"/>
      <c r="AI51" s="590"/>
      <c r="AJ51" s="590"/>
      <c r="AK51" s="595"/>
      <c r="AL51" s="588"/>
      <c r="AM51" s="593"/>
      <c r="AQ51" s="590"/>
      <c r="AR51" s="590"/>
      <c r="AS51" s="595"/>
      <c r="AT51" s="588"/>
      <c r="AU51" s="593"/>
      <c r="AY51" s="590"/>
      <c r="AZ51" s="590"/>
      <c r="BA51" s="595"/>
      <c r="BB51" s="588"/>
      <c r="BC51" s="593"/>
      <c r="BG51" s="590"/>
      <c r="BH51" s="590"/>
      <c r="BI51" s="595"/>
      <c r="BJ51" s="588"/>
      <c r="BK51" s="593"/>
      <c r="BO51" s="590"/>
      <c r="BP51" s="590"/>
      <c r="BQ51" s="595"/>
      <c r="BR51" s="588"/>
      <c r="BS51" s="593"/>
      <c r="BW51" s="590"/>
      <c r="BX51" s="590"/>
      <c r="BY51" s="595"/>
      <c r="BZ51" s="588"/>
      <c r="CA51" s="593"/>
      <c r="CE51" s="590"/>
      <c r="CF51" s="590"/>
      <c r="CG51" s="595"/>
      <c r="CH51" s="588"/>
      <c r="CI51" s="593"/>
      <c r="CM51" s="590"/>
      <c r="CN51" s="590"/>
      <c r="CO51" s="595"/>
      <c r="CP51" s="588"/>
      <c r="CQ51" s="593"/>
      <c r="CU51" s="590"/>
      <c r="CV51" s="590"/>
      <c r="CW51" s="595"/>
      <c r="CX51" s="588"/>
      <c r="CY51" s="593"/>
      <c r="DC51" s="590"/>
      <c r="DD51" s="590"/>
      <c r="DE51" s="595"/>
      <c r="DF51" s="588"/>
      <c r="DG51" s="593"/>
      <c r="DK51" s="590"/>
      <c r="DL51" s="590"/>
      <c r="DM51" s="595"/>
      <c r="DN51" s="588"/>
      <c r="DO51" s="593"/>
      <c r="DS51" s="590"/>
      <c r="DT51" s="590"/>
      <c r="DU51" s="595"/>
      <c r="DV51" s="588"/>
      <c r="DW51" s="593"/>
      <c r="EA51" s="590"/>
      <c r="EB51" s="590"/>
      <c r="EC51" s="595"/>
      <c r="ED51" s="588"/>
      <c r="EE51" s="593"/>
      <c r="EI51" s="590"/>
      <c r="EJ51" s="590"/>
      <c r="EK51" s="595"/>
      <c r="EL51" s="588"/>
      <c r="EM51" s="593"/>
      <c r="EQ51" s="590"/>
      <c r="ER51" s="590"/>
      <c r="ES51" s="595"/>
      <c r="ET51" s="588"/>
      <c r="EU51" s="593"/>
      <c r="EY51" s="590"/>
      <c r="EZ51" s="590"/>
      <c r="FA51" s="595"/>
      <c r="FB51" s="588"/>
      <c r="FC51" s="593"/>
      <c r="FG51" s="590"/>
      <c r="FH51" s="590"/>
      <c r="FI51" s="595"/>
      <c r="FJ51" s="588"/>
      <c r="FK51" s="593"/>
      <c r="FO51" s="590"/>
      <c r="FP51" s="590"/>
      <c r="FQ51" s="595"/>
      <c r="FR51" s="588"/>
      <c r="FS51" s="593"/>
      <c r="FW51" s="590"/>
      <c r="FX51" s="590"/>
      <c r="FY51" s="595"/>
      <c r="FZ51" s="588"/>
      <c r="GA51" s="593"/>
      <c r="GE51" s="590"/>
      <c r="GF51" s="590"/>
      <c r="GG51" s="595"/>
      <c r="GH51" s="588"/>
      <c r="GI51" s="593"/>
      <c r="GM51" s="590"/>
      <c r="GN51" s="590"/>
      <c r="GO51" s="595"/>
      <c r="GP51" s="588"/>
      <c r="GQ51" s="593"/>
      <c r="GU51" s="590"/>
      <c r="GV51" s="590"/>
      <c r="GW51" s="595"/>
      <c r="GX51" s="588"/>
      <c r="GY51" s="593"/>
      <c r="HC51" s="590"/>
      <c r="HD51" s="590"/>
      <c r="HE51" s="595"/>
      <c r="HF51" s="588"/>
      <c r="HG51" s="593"/>
      <c r="HK51" s="590"/>
      <c r="HL51" s="590"/>
      <c r="HM51" s="595"/>
      <c r="HN51" s="588"/>
      <c r="HO51" s="593"/>
      <c r="HS51" s="590"/>
      <c r="HT51" s="590"/>
      <c r="HU51" s="595"/>
      <c r="HV51" s="588"/>
      <c r="HW51" s="593"/>
      <c r="IA51" s="590"/>
      <c r="IB51" s="590"/>
      <c r="IC51" s="595"/>
      <c r="ID51" s="588"/>
      <c r="IE51" s="593"/>
      <c r="II51" s="590"/>
      <c r="IJ51" s="590"/>
      <c r="IK51" s="595"/>
      <c r="IL51" s="588"/>
      <c r="IM51" s="593"/>
      <c r="IQ51" s="590"/>
      <c r="IR51" s="590"/>
      <c r="IS51" s="595"/>
      <c r="IT51" s="588"/>
      <c r="IU51" s="593"/>
      <c r="IY51" s="590"/>
      <c r="IZ51" s="590"/>
      <c r="JA51" s="595"/>
      <c r="JB51" s="588"/>
      <c r="JC51" s="593"/>
      <c r="JG51" s="590"/>
      <c r="JH51" s="590"/>
      <c r="JI51" s="595"/>
      <c r="JJ51" s="588"/>
      <c r="JK51" s="593"/>
      <c r="JO51" s="590"/>
      <c r="JP51" s="590"/>
      <c r="JQ51" s="595"/>
      <c r="JR51" s="588"/>
      <c r="JS51" s="593"/>
      <c r="JW51" s="590"/>
      <c r="JX51" s="590"/>
      <c r="JY51" s="595"/>
      <c r="JZ51" s="588"/>
      <c r="KA51" s="593"/>
      <c r="KE51" s="590"/>
      <c r="KF51" s="590"/>
      <c r="KG51" s="595"/>
      <c r="KH51" s="588"/>
      <c r="KI51" s="593"/>
      <c r="KM51" s="590"/>
      <c r="KN51" s="590"/>
      <c r="KO51" s="595"/>
      <c r="KP51" s="588"/>
      <c r="KQ51" s="593"/>
      <c r="KU51" s="590"/>
      <c r="KV51" s="590"/>
      <c r="KW51" s="595"/>
      <c r="KX51" s="588"/>
      <c r="KY51" s="593"/>
      <c r="LC51" s="590"/>
      <c r="LD51" s="590"/>
      <c r="LE51" s="595"/>
      <c r="LF51" s="588"/>
      <c r="LG51" s="593"/>
      <c r="LK51" s="590"/>
      <c r="LL51" s="590"/>
      <c r="LM51" s="595"/>
      <c r="LN51" s="588"/>
      <c r="LO51" s="593"/>
      <c r="LS51" s="590"/>
      <c r="LT51" s="590"/>
      <c r="LU51" s="595"/>
      <c r="LV51" s="588"/>
      <c r="LW51" s="593"/>
      <c r="MA51" s="590"/>
      <c r="MB51" s="590"/>
      <c r="MC51" s="595"/>
      <c r="MD51" s="588"/>
      <c r="ME51" s="593"/>
      <c r="MI51" s="590"/>
      <c r="MJ51" s="590"/>
      <c r="MK51" s="595"/>
      <c r="ML51" s="588"/>
      <c r="MM51" s="593"/>
      <c r="MQ51" s="590"/>
      <c r="MR51" s="590"/>
      <c r="MS51" s="595"/>
      <c r="MT51" s="588"/>
      <c r="MU51" s="593"/>
      <c r="MY51" s="590"/>
      <c r="MZ51" s="590"/>
      <c r="NA51" s="595"/>
      <c r="NB51" s="588"/>
      <c r="NC51" s="593"/>
      <c r="NG51" s="590"/>
      <c r="NH51" s="590"/>
      <c r="NI51" s="595"/>
      <c r="NJ51" s="588"/>
      <c r="NK51" s="593"/>
      <c r="NO51" s="590"/>
      <c r="NP51" s="590"/>
      <c r="NQ51" s="595"/>
      <c r="NR51" s="588"/>
      <c r="NS51" s="593"/>
      <c r="NW51" s="590"/>
      <c r="NX51" s="590"/>
      <c r="NY51" s="595"/>
      <c r="NZ51" s="588"/>
      <c r="OA51" s="593"/>
      <c r="OE51" s="590"/>
      <c r="OF51" s="590"/>
      <c r="OG51" s="595"/>
      <c r="OH51" s="588"/>
      <c r="OI51" s="593"/>
      <c r="OM51" s="590"/>
      <c r="ON51" s="590"/>
      <c r="OO51" s="595"/>
      <c r="OP51" s="588"/>
      <c r="OQ51" s="593"/>
      <c r="OU51" s="590"/>
      <c r="OV51" s="590"/>
      <c r="OW51" s="595"/>
      <c r="OX51" s="588"/>
      <c r="OY51" s="593"/>
      <c r="PC51" s="590"/>
      <c r="PD51" s="590"/>
      <c r="PE51" s="595"/>
      <c r="PF51" s="588"/>
      <c r="PG51" s="593"/>
      <c r="PK51" s="590"/>
      <c r="PL51" s="590"/>
      <c r="PM51" s="595"/>
      <c r="PN51" s="588"/>
      <c r="PO51" s="593"/>
      <c r="PS51" s="590"/>
      <c r="PT51" s="590"/>
      <c r="PU51" s="595"/>
      <c r="PV51" s="588"/>
      <c r="PW51" s="593"/>
      <c r="QA51" s="590"/>
      <c r="QB51" s="590"/>
      <c r="QC51" s="595"/>
      <c r="QD51" s="588"/>
      <c r="QE51" s="593"/>
      <c r="QI51" s="590"/>
      <c r="QJ51" s="590"/>
      <c r="QK51" s="595"/>
      <c r="QL51" s="588"/>
      <c r="QM51" s="593"/>
      <c r="QQ51" s="590"/>
      <c r="QR51" s="590"/>
      <c r="QS51" s="595"/>
      <c r="QT51" s="588"/>
      <c r="QU51" s="593"/>
      <c r="QY51" s="590"/>
      <c r="QZ51" s="590"/>
      <c r="RA51" s="595"/>
      <c r="RB51" s="588"/>
      <c r="RC51" s="593"/>
      <c r="RG51" s="590"/>
      <c r="RH51" s="590"/>
      <c r="RI51" s="595"/>
      <c r="RJ51" s="588"/>
      <c r="RK51" s="593"/>
      <c r="RO51" s="590"/>
      <c r="RP51" s="590"/>
      <c r="RQ51" s="595"/>
      <c r="RR51" s="588"/>
      <c r="RS51" s="593"/>
      <c r="RW51" s="590"/>
      <c r="RX51" s="590"/>
      <c r="RY51" s="595"/>
      <c r="RZ51" s="588"/>
      <c r="SA51" s="593"/>
      <c r="SE51" s="590"/>
      <c r="SF51" s="590"/>
      <c r="SG51" s="595"/>
      <c r="SH51" s="588"/>
      <c r="SI51" s="593"/>
      <c r="SM51" s="590"/>
      <c r="SN51" s="590"/>
      <c r="SO51" s="595"/>
      <c r="SP51" s="588"/>
      <c r="SQ51" s="593"/>
      <c r="SU51" s="590"/>
      <c r="SV51" s="590"/>
      <c r="SW51" s="595"/>
      <c r="SX51" s="588"/>
      <c r="SY51" s="593"/>
      <c r="TC51" s="590"/>
      <c r="TD51" s="590"/>
      <c r="TE51" s="595"/>
      <c r="TF51" s="588"/>
      <c r="TG51" s="593"/>
      <c r="TK51" s="590"/>
      <c r="TL51" s="590"/>
      <c r="TM51" s="595"/>
      <c r="TN51" s="588"/>
      <c r="TO51" s="593"/>
      <c r="TS51" s="590"/>
      <c r="TT51" s="590"/>
      <c r="TU51" s="595"/>
      <c r="TV51" s="588"/>
      <c r="TW51" s="593"/>
      <c r="UA51" s="590"/>
      <c r="UB51" s="590"/>
      <c r="UC51" s="595"/>
      <c r="UD51" s="588"/>
      <c r="UE51" s="593"/>
      <c r="UI51" s="590"/>
      <c r="UJ51" s="590"/>
      <c r="UK51" s="595"/>
      <c r="UL51" s="588"/>
      <c r="UM51" s="593"/>
      <c r="UQ51" s="590"/>
      <c r="UR51" s="590"/>
      <c r="US51" s="595"/>
      <c r="UT51" s="588"/>
      <c r="UU51" s="593"/>
      <c r="UY51" s="590"/>
      <c r="UZ51" s="590"/>
      <c r="VA51" s="595"/>
      <c r="VB51" s="588"/>
      <c r="VC51" s="593"/>
      <c r="VG51" s="590"/>
      <c r="VH51" s="590"/>
      <c r="VI51" s="595"/>
      <c r="VJ51" s="588"/>
      <c r="VK51" s="593"/>
      <c r="VO51" s="590"/>
      <c r="VP51" s="590"/>
      <c r="VQ51" s="595"/>
      <c r="VR51" s="588"/>
      <c r="VS51" s="593"/>
      <c r="VW51" s="590"/>
      <c r="VX51" s="590"/>
      <c r="VY51" s="595"/>
      <c r="VZ51" s="588"/>
      <c r="WA51" s="593"/>
      <c r="WE51" s="590"/>
      <c r="WF51" s="590"/>
      <c r="WG51" s="595"/>
      <c r="WH51" s="588"/>
      <c r="WI51" s="593"/>
      <c r="WM51" s="590"/>
      <c r="WN51" s="590"/>
      <c r="WO51" s="595"/>
      <c r="WP51" s="588"/>
      <c r="WQ51" s="593"/>
      <c r="WU51" s="590"/>
      <c r="WV51" s="590"/>
      <c r="WW51" s="595"/>
      <c r="WX51" s="588"/>
      <c r="WY51" s="593"/>
      <c r="XC51" s="590"/>
      <c r="XD51" s="590"/>
      <c r="XE51" s="595"/>
      <c r="XF51" s="588"/>
      <c r="XG51" s="593"/>
      <c r="XK51" s="590"/>
      <c r="XL51" s="590"/>
      <c r="XM51" s="595"/>
      <c r="XN51" s="588"/>
      <c r="XO51" s="593"/>
      <c r="XS51" s="590"/>
      <c r="XT51" s="590"/>
      <c r="XU51" s="595"/>
      <c r="XV51" s="588"/>
      <c r="XW51" s="593"/>
      <c r="YA51" s="590"/>
      <c r="YB51" s="590"/>
      <c r="YC51" s="595"/>
      <c r="YD51" s="588"/>
      <c r="YE51" s="593"/>
      <c r="YI51" s="590"/>
      <c r="YJ51" s="590"/>
      <c r="YK51" s="595"/>
      <c r="YL51" s="588"/>
      <c r="YM51" s="593"/>
      <c r="YQ51" s="590"/>
      <c r="YR51" s="590"/>
      <c r="YS51" s="595"/>
      <c r="YT51" s="588"/>
      <c r="YU51" s="593"/>
      <c r="YY51" s="590"/>
      <c r="YZ51" s="590"/>
      <c r="ZA51" s="595"/>
      <c r="ZB51" s="588"/>
      <c r="ZC51" s="593"/>
      <c r="ZG51" s="590"/>
      <c r="ZH51" s="590"/>
      <c r="ZI51" s="595"/>
      <c r="ZJ51" s="588"/>
      <c r="ZK51" s="593"/>
      <c r="ZO51" s="590"/>
      <c r="ZP51" s="590"/>
      <c r="ZQ51" s="595"/>
      <c r="ZR51" s="588"/>
      <c r="ZS51" s="593"/>
      <c r="ZW51" s="590"/>
      <c r="ZX51" s="590"/>
      <c r="ZY51" s="595"/>
      <c r="ZZ51" s="588"/>
      <c r="AAA51" s="593"/>
      <c r="AAE51" s="590"/>
      <c r="AAF51" s="590"/>
      <c r="AAG51" s="595"/>
      <c r="AAH51" s="588"/>
      <c r="AAI51" s="593"/>
      <c r="AAM51" s="590"/>
      <c r="AAN51" s="590"/>
      <c r="AAO51" s="595"/>
      <c r="AAP51" s="588"/>
      <c r="AAQ51" s="593"/>
      <c r="AAU51" s="590"/>
      <c r="AAV51" s="590"/>
      <c r="AAW51" s="595"/>
      <c r="AAX51" s="588"/>
      <c r="AAY51" s="593"/>
      <c r="ABC51" s="590"/>
      <c r="ABD51" s="590"/>
      <c r="ABE51" s="595"/>
      <c r="ABF51" s="588"/>
      <c r="ABG51" s="593"/>
      <c r="ABK51" s="590"/>
      <c r="ABL51" s="590"/>
      <c r="ABM51" s="595"/>
      <c r="ABN51" s="588"/>
      <c r="ABO51" s="593"/>
      <c r="ABS51" s="590"/>
      <c r="ABT51" s="590"/>
      <c r="ABU51" s="595"/>
      <c r="ABV51" s="588"/>
      <c r="ABW51" s="593"/>
      <c r="ACA51" s="590"/>
      <c r="ACB51" s="590"/>
      <c r="ACC51" s="595"/>
      <c r="ACD51" s="588"/>
      <c r="ACE51" s="593"/>
      <c r="ACI51" s="590"/>
      <c r="ACJ51" s="590"/>
      <c r="ACK51" s="595"/>
      <c r="ACL51" s="588"/>
      <c r="ACM51" s="593"/>
      <c r="ACQ51" s="590"/>
      <c r="ACR51" s="590"/>
      <c r="ACS51" s="595"/>
      <c r="ACT51" s="588"/>
      <c r="ACU51" s="593"/>
      <c r="ACY51" s="590"/>
      <c r="ACZ51" s="590"/>
      <c r="ADA51" s="595"/>
      <c r="ADB51" s="588"/>
      <c r="ADC51" s="593"/>
      <c r="ADG51" s="590"/>
      <c r="ADH51" s="590"/>
      <c r="ADI51" s="595"/>
      <c r="ADJ51" s="588"/>
      <c r="ADK51" s="593"/>
      <c r="ADO51" s="590"/>
      <c r="ADP51" s="590"/>
      <c r="ADQ51" s="595"/>
      <c r="ADR51" s="588"/>
      <c r="ADS51" s="593"/>
      <c r="ADW51" s="590"/>
      <c r="ADX51" s="590"/>
      <c r="ADY51" s="595"/>
      <c r="ADZ51" s="588"/>
      <c r="AEA51" s="593"/>
      <c r="AEE51" s="590"/>
      <c r="AEF51" s="590"/>
      <c r="AEG51" s="595"/>
      <c r="AEH51" s="588"/>
      <c r="AEI51" s="593"/>
      <c r="AEM51" s="590"/>
      <c r="AEN51" s="590"/>
      <c r="AEO51" s="595"/>
      <c r="AEP51" s="588"/>
      <c r="AEQ51" s="593"/>
      <c r="AEU51" s="590"/>
      <c r="AEV51" s="590"/>
      <c r="AEW51" s="595"/>
      <c r="AEX51" s="588"/>
      <c r="AEY51" s="593"/>
      <c r="AFC51" s="590"/>
      <c r="AFD51" s="590"/>
      <c r="AFE51" s="595"/>
      <c r="AFF51" s="588"/>
      <c r="AFG51" s="593"/>
      <c r="AFK51" s="590"/>
      <c r="AFL51" s="590"/>
      <c r="AFM51" s="595"/>
      <c r="AFN51" s="588"/>
      <c r="AFO51" s="593"/>
      <c r="AFS51" s="590"/>
      <c r="AFT51" s="590"/>
      <c r="AFU51" s="595"/>
      <c r="AFV51" s="588"/>
      <c r="AFW51" s="593"/>
      <c r="AGA51" s="590"/>
      <c r="AGB51" s="590"/>
      <c r="AGC51" s="595"/>
      <c r="AGD51" s="588"/>
      <c r="AGE51" s="593"/>
      <c r="AGI51" s="590"/>
      <c r="AGJ51" s="590"/>
      <c r="AGK51" s="595"/>
      <c r="AGL51" s="588"/>
      <c r="AGM51" s="593"/>
      <c r="AGQ51" s="590"/>
      <c r="AGR51" s="590"/>
      <c r="AGS51" s="595"/>
      <c r="AGT51" s="588"/>
      <c r="AGU51" s="593"/>
      <c r="AGY51" s="590"/>
      <c r="AGZ51" s="590"/>
      <c r="AHA51" s="595"/>
      <c r="AHB51" s="588"/>
      <c r="AHC51" s="593"/>
      <c r="AHG51" s="590"/>
      <c r="AHH51" s="590"/>
      <c r="AHI51" s="595"/>
      <c r="AHJ51" s="588"/>
      <c r="AHK51" s="593"/>
      <c r="AHO51" s="590"/>
      <c r="AHP51" s="590"/>
      <c r="AHQ51" s="595"/>
      <c r="AHR51" s="588"/>
      <c r="AHS51" s="593"/>
      <c r="AHW51" s="590"/>
      <c r="AHX51" s="590"/>
      <c r="AHY51" s="595"/>
      <c r="AHZ51" s="588"/>
      <c r="AIA51" s="593"/>
      <c r="AIE51" s="590"/>
      <c r="AIF51" s="590"/>
      <c r="AIG51" s="595"/>
      <c r="AIH51" s="588"/>
      <c r="AII51" s="593"/>
      <c r="AIM51" s="590"/>
      <c r="AIN51" s="590"/>
      <c r="AIO51" s="595"/>
      <c r="AIP51" s="588"/>
      <c r="AIQ51" s="593"/>
      <c r="AIU51" s="590"/>
      <c r="AIV51" s="590"/>
      <c r="AIW51" s="595"/>
      <c r="AIX51" s="588"/>
      <c r="AIY51" s="593"/>
      <c r="AJC51" s="590"/>
      <c r="AJD51" s="590"/>
      <c r="AJE51" s="595"/>
      <c r="AJF51" s="588"/>
      <c r="AJG51" s="593"/>
      <c r="AJK51" s="590"/>
      <c r="AJL51" s="590"/>
      <c r="AJM51" s="595"/>
      <c r="AJN51" s="588"/>
      <c r="AJO51" s="593"/>
      <c r="AJS51" s="590"/>
      <c r="AJT51" s="590"/>
      <c r="AJU51" s="595"/>
      <c r="AJV51" s="588"/>
      <c r="AJW51" s="593"/>
      <c r="AKA51" s="590"/>
      <c r="AKB51" s="590"/>
      <c r="AKC51" s="595"/>
      <c r="AKD51" s="588"/>
      <c r="AKE51" s="593"/>
      <c r="AKI51" s="590"/>
      <c r="AKJ51" s="590"/>
      <c r="AKK51" s="595"/>
      <c r="AKL51" s="588"/>
      <c r="AKM51" s="593"/>
      <c r="AKQ51" s="590"/>
      <c r="AKR51" s="590"/>
      <c r="AKS51" s="595"/>
      <c r="AKT51" s="588"/>
      <c r="AKU51" s="593"/>
      <c r="AKY51" s="590"/>
      <c r="AKZ51" s="590"/>
      <c r="ALA51" s="595"/>
      <c r="ALB51" s="588"/>
      <c r="ALC51" s="593"/>
      <c r="ALG51" s="590"/>
      <c r="ALH51" s="590"/>
      <c r="ALI51" s="595"/>
      <c r="ALJ51" s="588"/>
      <c r="ALK51" s="593"/>
      <c r="ALO51" s="590"/>
      <c r="ALP51" s="590"/>
      <c r="ALQ51" s="595"/>
      <c r="ALR51" s="588"/>
      <c r="ALS51" s="593"/>
      <c r="ALW51" s="590"/>
      <c r="ALX51" s="590"/>
      <c r="ALY51" s="595"/>
      <c r="ALZ51" s="588"/>
      <c r="AMA51" s="593"/>
      <c r="AME51" s="590"/>
      <c r="AMF51" s="590"/>
      <c r="AMG51" s="595"/>
      <c r="AMH51" s="588"/>
      <c r="AMI51" s="593"/>
    </row>
    <row r="52" s="587" customFormat="true" ht="21" hidden="false" customHeight="true" outlineLevel="0" collapsed="false">
      <c r="A52" s="514" t="s">
        <v>42</v>
      </c>
      <c r="B52" s="514" t="s">
        <v>4261</v>
      </c>
      <c r="C52" s="515" t="s">
        <v>4173</v>
      </c>
      <c r="D52" s="516" t="s">
        <v>4886</v>
      </c>
      <c r="E52" s="514" t="s">
        <v>4887</v>
      </c>
      <c r="F52" s="514" t="n">
        <v>1407</v>
      </c>
      <c r="G52" s="514" t="n">
        <v>317</v>
      </c>
      <c r="H52" s="514" t="n">
        <v>1751</v>
      </c>
      <c r="I52" s="514" t="n">
        <v>952</v>
      </c>
      <c r="J52" s="514" t="n">
        <v>799</v>
      </c>
      <c r="K52" s="514" t="n">
        <v>36</v>
      </c>
      <c r="L52" s="19" t="n">
        <f aca="false">(K52/H52)*100</f>
        <v>2.05596801827527</v>
      </c>
      <c r="M52" s="514" t="n">
        <v>385</v>
      </c>
      <c r="N52" s="19" t="n">
        <f aca="false">(M52/H52)*100</f>
        <v>21.9874357509994</v>
      </c>
      <c r="O52" s="514" t="n">
        <v>0</v>
      </c>
      <c r="P52" s="514" t="n">
        <v>0</v>
      </c>
      <c r="Q52" s="131"/>
      <c r="R52" s="131"/>
      <c r="S52" s="514"/>
      <c r="T52" s="131" t="n">
        <v>0</v>
      </c>
      <c r="U52" s="131"/>
      <c r="V52" s="514"/>
      <c r="W52" s="514"/>
      <c r="X52" s="514"/>
      <c r="Y52" s="514"/>
      <c r="Z52" s="514"/>
      <c r="AA52" s="132" t="s">
        <v>266</v>
      </c>
      <c r="AB52" s="132" t="n">
        <v>5</v>
      </c>
      <c r="AC52" s="287" t="s">
        <v>4888</v>
      </c>
      <c r="AD52" s="131"/>
      <c r="AE52" s="131"/>
      <c r="AF52" s="594"/>
      <c r="AI52" s="590"/>
      <c r="AJ52" s="590"/>
      <c r="AK52" s="595"/>
      <c r="AL52" s="588"/>
      <c r="AM52" s="593"/>
      <c r="AQ52" s="590"/>
      <c r="AR52" s="590"/>
      <c r="AS52" s="595"/>
      <c r="AT52" s="588"/>
      <c r="AU52" s="593"/>
      <c r="AY52" s="590"/>
      <c r="AZ52" s="590"/>
      <c r="BA52" s="595"/>
      <c r="BB52" s="588"/>
      <c r="BC52" s="593"/>
      <c r="BG52" s="590"/>
      <c r="BH52" s="590"/>
      <c r="BI52" s="595"/>
      <c r="BJ52" s="588"/>
      <c r="BK52" s="593"/>
      <c r="BO52" s="590"/>
      <c r="BP52" s="590"/>
      <c r="BQ52" s="595"/>
      <c r="BR52" s="588"/>
      <c r="BS52" s="593"/>
      <c r="BW52" s="590"/>
      <c r="BX52" s="590"/>
      <c r="BY52" s="595"/>
      <c r="BZ52" s="588"/>
      <c r="CA52" s="593"/>
      <c r="CE52" s="590"/>
      <c r="CF52" s="590"/>
      <c r="CG52" s="595"/>
      <c r="CH52" s="588"/>
      <c r="CI52" s="593"/>
      <c r="CM52" s="590"/>
      <c r="CN52" s="590"/>
      <c r="CO52" s="595"/>
      <c r="CP52" s="588"/>
      <c r="CQ52" s="593"/>
      <c r="CU52" s="590"/>
      <c r="CV52" s="590"/>
      <c r="CW52" s="595"/>
      <c r="CX52" s="588"/>
      <c r="CY52" s="593"/>
      <c r="DC52" s="590"/>
      <c r="DD52" s="590"/>
      <c r="DE52" s="595"/>
      <c r="DF52" s="588"/>
      <c r="DG52" s="593"/>
      <c r="DK52" s="590"/>
      <c r="DL52" s="590"/>
      <c r="DM52" s="595"/>
      <c r="DN52" s="588"/>
      <c r="DO52" s="593"/>
      <c r="DS52" s="590"/>
      <c r="DT52" s="590"/>
      <c r="DU52" s="595"/>
      <c r="DV52" s="588"/>
      <c r="DW52" s="593"/>
      <c r="EA52" s="590"/>
      <c r="EB52" s="590"/>
      <c r="EC52" s="595"/>
      <c r="ED52" s="588"/>
      <c r="EE52" s="593"/>
      <c r="EI52" s="590"/>
      <c r="EJ52" s="590"/>
      <c r="EK52" s="595"/>
      <c r="EL52" s="588"/>
      <c r="EM52" s="593"/>
      <c r="EQ52" s="590"/>
      <c r="ER52" s="590"/>
      <c r="ES52" s="595"/>
      <c r="ET52" s="588"/>
      <c r="EU52" s="593"/>
      <c r="EY52" s="590"/>
      <c r="EZ52" s="590"/>
      <c r="FA52" s="595"/>
      <c r="FB52" s="588"/>
      <c r="FC52" s="593"/>
      <c r="FG52" s="590"/>
      <c r="FH52" s="590"/>
      <c r="FI52" s="595"/>
      <c r="FJ52" s="588"/>
      <c r="FK52" s="593"/>
      <c r="FO52" s="590"/>
      <c r="FP52" s="590"/>
      <c r="FQ52" s="595"/>
      <c r="FR52" s="588"/>
      <c r="FS52" s="593"/>
      <c r="FW52" s="590"/>
      <c r="FX52" s="590"/>
      <c r="FY52" s="595"/>
      <c r="FZ52" s="588"/>
      <c r="GA52" s="593"/>
      <c r="GE52" s="590"/>
      <c r="GF52" s="590"/>
      <c r="GG52" s="595"/>
      <c r="GH52" s="588"/>
      <c r="GI52" s="593"/>
      <c r="GM52" s="590"/>
      <c r="GN52" s="590"/>
      <c r="GO52" s="595"/>
      <c r="GP52" s="588"/>
      <c r="GQ52" s="593"/>
      <c r="GU52" s="590"/>
      <c r="GV52" s="590"/>
      <c r="GW52" s="595"/>
      <c r="GX52" s="588"/>
      <c r="GY52" s="593"/>
      <c r="HC52" s="590"/>
      <c r="HD52" s="590"/>
      <c r="HE52" s="595"/>
      <c r="HF52" s="588"/>
      <c r="HG52" s="593"/>
      <c r="HK52" s="590"/>
      <c r="HL52" s="590"/>
      <c r="HM52" s="595"/>
      <c r="HN52" s="588"/>
      <c r="HO52" s="593"/>
      <c r="HS52" s="590"/>
      <c r="HT52" s="590"/>
      <c r="HU52" s="595"/>
      <c r="HV52" s="588"/>
      <c r="HW52" s="593"/>
      <c r="IA52" s="590"/>
      <c r="IB52" s="590"/>
      <c r="IC52" s="595"/>
      <c r="ID52" s="588"/>
      <c r="IE52" s="593"/>
      <c r="II52" s="590"/>
      <c r="IJ52" s="590"/>
      <c r="IK52" s="595"/>
      <c r="IL52" s="588"/>
      <c r="IM52" s="593"/>
      <c r="IQ52" s="590"/>
      <c r="IR52" s="590"/>
      <c r="IS52" s="595"/>
      <c r="IT52" s="588"/>
      <c r="IU52" s="593"/>
      <c r="IY52" s="590"/>
      <c r="IZ52" s="590"/>
      <c r="JA52" s="595"/>
      <c r="JB52" s="588"/>
      <c r="JC52" s="593"/>
      <c r="JG52" s="590"/>
      <c r="JH52" s="590"/>
      <c r="JI52" s="595"/>
      <c r="JJ52" s="588"/>
      <c r="JK52" s="593"/>
      <c r="JO52" s="590"/>
      <c r="JP52" s="590"/>
      <c r="JQ52" s="595"/>
      <c r="JR52" s="588"/>
      <c r="JS52" s="593"/>
      <c r="JW52" s="590"/>
      <c r="JX52" s="590"/>
      <c r="JY52" s="595"/>
      <c r="JZ52" s="588"/>
      <c r="KA52" s="593"/>
      <c r="KE52" s="590"/>
      <c r="KF52" s="590"/>
      <c r="KG52" s="595"/>
      <c r="KH52" s="588"/>
      <c r="KI52" s="593"/>
      <c r="KM52" s="590"/>
      <c r="KN52" s="590"/>
      <c r="KO52" s="595"/>
      <c r="KP52" s="588"/>
      <c r="KQ52" s="593"/>
      <c r="KU52" s="590"/>
      <c r="KV52" s="590"/>
      <c r="KW52" s="595"/>
      <c r="KX52" s="588"/>
      <c r="KY52" s="593"/>
      <c r="LC52" s="590"/>
      <c r="LD52" s="590"/>
      <c r="LE52" s="595"/>
      <c r="LF52" s="588"/>
      <c r="LG52" s="593"/>
      <c r="LK52" s="590"/>
      <c r="LL52" s="590"/>
      <c r="LM52" s="595"/>
      <c r="LN52" s="588"/>
      <c r="LO52" s="593"/>
      <c r="LS52" s="590"/>
      <c r="LT52" s="590"/>
      <c r="LU52" s="595"/>
      <c r="LV52" s="588"/>
      <c r="LW52" s="593"/>
      <c r="MA52" s="590"/>
      <c r="MB52" s="590"/>
      <c r="MC52" s="595"/>
      <c r="MD52" s="588"/>
      <c r="ME52" s="593"/>
      <c r="MI52" s="590"/>
      <c r="MJ52" s="590"/>
      <c r="MK52" s="595"/>
      <c r="ML52" s="588"/>
      <c r="MM52" s="593"/>
      <c r="MQ52" s="590"/>
      <c r="MR52" s="590"/>
      <c r="MS52" s="595"/>
      <c r="MT52" s="588"/>
      <c r="MU52" s="593"/>
      <c r="MY52" s="590"/>
      <c r="MZ52" s="590"/>
      <c r="NA52" s="595"/>
      <c r="NB52" s="588"/>
      <c r="NC52" s="593"/>
      <c r="NG52" s="590"/>
      <c r="NH52" s="590"/>
      <c r="NI52" s="595"/>
      <c r="NJ52" s="588"/>
      <c r="NK52" s="593"/>
      <c r="NO52" s="590"/>
      <c r="NP52" s="590"/>
      <c r="NQ52" s="595"/>
      <c r="NR52" s="588"/>
      <c r="NS52" s="593"/>
      <c r="NW52" s="590"/>
      <c r="NX52" s="590"/>
      <c r="NY52" s="595"/>
      <c r="NZ52" s="588"/>
      <c r="OA52" s="593"/>
      <c r="OE52" s="590"/>
      <c r="OF52" s="590"/>
      <c r="OG52" s="595"/>
      <c r="OH52" s="588"/>
      <c r="OI52" s="593"/>
      <c r="OM52" s="590"/>
      <c r="ON52" s="590"/>
      <c r="OO52" s="595"/>
      <c r="OP52" s="588"/>
      <c r="OQ52" s="593"/>
      <c r="OU52" s="590"/>
      <c r="OV52" s="590"/>
      <c r="OW52" s="595"/>
      <c r="OX52" s="588"/>
      <c r="OY52" s="593"/>
      <c r="PC52" s="590"/>
      <c r="PD52" s="590"/>
      <c r="PE52" s="595"/>
      <c r="PF52" s="588"/>
      <c r="PG52" s="593"/>
      <c r="PK52" s="590"/>
      <c r="PL52" s="590"/>
      <c r="PM52" s="595"/>
      <c r="PN52" s="588"/>
      <c r="PO52" s="593"/>
      <c r="PS52" s="590"/>
      <c r="PT52" s="590"/>
      <c r="PU52" s="595"/>
      <c r="PV52" s="588"/>
      <c r="PW52" s="593"/>
      <c r="QA52" s="590"/>
      <c r="QB52" s="590"/>
      <c r="QC52" s="595"/>
      <c r="QD52" s="588"/>
      <c r="QE52" s="593"/>
      <c r="QI52" s="590"/>
      <c r="QJ52" s="590"/>
      <c r="QK52" s="595"/>
      <c r="QL52" s="588"/>
      <c r="QM52" s="593"/>
      <c r="QQ52" s="590"/>
      <c r="QR52" s="590"/>
      <c r="QS52" s="595"/>
      <c r="QT52" s="588"/>
      <c r="QU52" s="593"/>
      <c r="QY52" s="590"/>
      <c r="QZ52" s="590"/>
      <c r="RA52" s="595"/>
      <c r="RB52" s="588"/>
      <c r="RC52" s="593"/>
      <c r="RG52" s="590"/>
      <c r="RH52" s="590"/>
      <c r="RI52" s="595"/>
      <c r="RJ52" s="588"/>
      <c r="RK52" s="593"/>
      <c r="RO52" s="590"/>
      <c r="RP52" s="590"/>
      <c r="RQ52" s="595"/>
      <c r="RR52" s="588"/>
      <c r="RS52" s="593"/>
      <c r="RW52" s="590"/>
      <c r="RX52" s="590"/>
      <c r="RY52" s="595"/>
      <c r="RZ52" s="588"/>
      <c r="SA52" s="593"/>
      <c r="SE52" s="590"/>
      <c r="SF52" s="590"/>
      <c r="SG52" s="595"/>
      <c r="SH52" s="588"/>
      <c r="SI52" s="593"/>
      <c r="SM52" s="590"/>
      <c r="SN52" s="590"/>
      <c r="SO52" s="595"/>
      <c r="SP52" s="588"/>
      <c r="SQ52" s="593"/>
      <c r="SU52" s="590"/>
      <c r="SV52" s="590"/>
      <c r="SW52" s="595"/>
      <c r="SX52" s="588"/>
      <c r="SY52" s="593"/>
      <c r="TC52" s="590"/>
      <c r="TD52" s="590"/>
      <c r="TE52" s="595"/>
      <c r="TF52" s="588"/>
      <c r="TG52" s="593"/>
      <c r="TK52" s="590"/>
      <c r="TL52" s="590"/>
      <c r="TM52" s="595"/>
      <c r="TN52" s="588"/>
      <c r="TO52" s="593"/>
      <c r="TS52" s="590"/>
      <c r="TT52" s="590"/>
      <c r="TU52" s="595"/>
      <c r="TV52" s="588"/>
      <c r="TW52" s="593"/>
      <c r="UA52" s="590"/>
      <c r="UB52" s="590"/>
      <c r="UC52" s="595"/>
      <c r="UD52" s="588"/>
      <c r="UE52" s="593"/>
      <c r="UI52" s="590"/>
      <c r="UJ52" s="590"/>
      <c r="UK52" s="595"/>
      <c r="UL52" s="588"/>
      <c r="UM52" s="593"/>
      <c r="UQ52" s="590"/>
      <c r="UR52" s="590"/>
      <c r="US52" s="595"/>
      <c r="UT52" s="588"/>
      <c r="UU52" s="593"/>
      <c r="UY52" s="590"/>
      <c r="UZ52" s="590"/>
      <c r="VA52" s="595"/>
      <c r="VB52" s="588"/>
      <c r="VC52" s="593"/>
      <c r="VG52" s="590"/>
      <c r="VH52" s="590"/>
      <c r="VI52" s="595"/>
      <c r="VJ52" s="588"/>
      <c r="VK52" s="593"/>
      <c r="VO52" s="590"/>
      <c r="VP52" s="590"/>
      <c r="VQ52" s="595"/>
      <c r="VR52" s="588"/>
      <c r="VS52" s="593"/>
      <c r="VW52" s="590"/>
      <c r="VX52" s="590"/>
      <c r="VY52" s="595"/>
      <c r="VZ52" s="588"/>
      <c r="WA52" s="593"/>
      <c r="WE52" s="590"/>
      <c r="WF52" s="590"/>
      <c r="WG52" s="595"/>
      <c r="WH52" s="588"/>
      <c r="WI52" s="593"/>
      <c r="WM52" s="590"/>
      <c r="WN52" s="590"/>
      <c r="WO52" s="595"/>
      <c r="WP52" s="588"/>
      <c r="WQ52" s="593"/>
      <c r="WU52" s="590"/>
      <c r="WV52" s="590"/>
      <c r="WW52" s="595"/>
      <c r="WX52" s="588"/>
      <c r="WY52" s="593"/>
      <c r="XC52" s="590"/>
      <c r="XD52" s="590"/>
      <c r="XE52" s="595"/>
      <c r="XF52" s="588"/>
      <c r="XG52" s="593"/>
      <c r="XK52" s="590"/>
      <c r="XL52" s="590"/>
      <c r="XM52" s="595"/>
      <c r="XN52" s="588"/>
      <c r="XO52" s="593"/>
      <c r="XS52" s="590"/>
      <c r="XT52" s="590"/>
      <c r="XU52" s="595"/>
      <c r="XV52" s="588"/>
      <c r="XW52" s="593"/>
      <c r="YA52" s="590"/>
      <c r="YB52" s="590"/>
      <c r="YC52" s="595"/>
      <c r="YD52" s="588"/>
      <c r="YE52" s="593"/>
      <c r="YI52" s="590"/>
      <c r="YJ52" s="590"/>
      <c r="YK52" s="595"/>
      <c r="YL52" s="588"/>
      <c r="YM52" s="593"/>
      <c r="YQ52" s="590"/>
      <c r="YR52" s="590"/>
      <c r="YS52" s="595"/>
      <c r="YT52" s="588"/>
      <c r="YU52" s="593"/>
      <c r="YY52" s="590"/>
      <c r="YZ52" s="590"/>
      <c r="ZA52" s="595"/>
      <c r="ZB52" s="588"/>
      <c r="ZC52" s="593"/>
      <c r="ZG52" s="590"/>
      <c r="ZH52" s="590"/>
      <c r="ZI52" s="595"/>
      <c r="ZJ52" s="588"/>
      <c r="ZK52" s="593"/>
      <c r="ZO52" s="590"/>
      <c r="ZP52" s="590"/>
      <c r="ZQ52" s="595"/>
      <c r="ZR52" s="588"/>
      <c r="ZS52" s="593"/>
      <c r="ZW52" s="590"/>
      <c r="ZX52" s="590"/>
      <c r="ZY52" s="595"/>
      <c r="ZZ52" s="588"/>
      <c r="AAA52" s="593"/>
      <c r="AAE52" s="590"/>
      <c r="AAF52" s="590"/>
      <c r="AAG52" s="595"/>
      <c r="AAH52" s="588"/>
      <c r="AAI52" s="593"/>
      <c r="AAM52" s="590"/>
      <c r="AAN52" s="590"/>
      <c r="AAO52" s="595"/>
      <c r="AAP52" s="588"/>
      <c r="AAQ52" s="593"/>
      <c r="AAU52" s="590"/>
      <c r="AAV52" s="590"/>
      <c r="AAW52" s="595"/>
      <c r="AAX52" s="588"/>
      <c r="AAY52" s="593"/>
      <c r="ABC52" s="590"/>
      <c r="ABD52" s="590"/>
      <c r="ABE52" s="595"/>
      <c r="ABF52" s="588"/>
      <c r="ABG52" s="593"/>
      <c r="ABK52" s="590"/>
      <c r="ABL52" s="590"/>
      <c r="ABM52" s="595"/>
      <c r="ABN52" s="588"/>
      <c r="ABO52" s="593"/>
      <c r="ABS52" s="590"/>
      <c r="ABT52" s="590"/>
      <c r="ABU52" s="595"/>
      <c r="ABV52" s="588"/>
      <c r="ABW52" s="593"/>
      <c r="ACA52" s="590"/>
      <c r="ACB52" s="590"/>
      <c r="ACC52" s="595"/>
      <c r="ACD52" s="588"/>
      <c r="ACE52" s="593"/>
      <c r="ACI52" s="590"/>
      <c r="ACJ52" s="590"/>
      <c r="ACK52" s="595"/>
      <c r="ACL52" s="588"/>
      <c r="ACM52" s="593"/>
      <c r="ACQ52" s="590"/>
      <c r="ACR52" s="590"/>
      <c r="ACS52" s="595"/>
      <c r="ACT52" s="588"/>
      <c r="ACU52" s="593"/>
      <c r="ACY52" s="590"/>
      <c r="ACZ52" s="590"/>
      <c r="ADA52" s="595"/>
      <c r="ADB52" s="588"/>
      <c r="ADC52" s="593"/>
      <c r="ADG52" s="590"/>
      <c r="ADH52" s="590"/>
      <c r="ADI52" s="595"/>
      <c r="ADJ52" s="588"/>
      <c r="ADK52" s="593"/>
      <c r="ADO52" s="590"/>
      <c r="ADP52" s="590"/>
      <c r="ADQ52" s="595"/>
      <c r="ADR52" s="588"/>
      <c r="ADS52" s="593"/>
      <c r="ADW52" s="590"/>
      <c r="ADX52" s="590"/>
      <c r="ADY52" s="595"/>
      <c r="ADZ52" s="588"/>
      <c r="AEA52" s="593"/>
      <c r="AEE52" s="590"/>
      <c r="AEF52" s="590"/>
      <c r="AEG52" s="595"/>
      <c r="AEH52" s="588"/>
      <c r="AEI52" s="593"/>
      <c r="AEM52" s="590"/>
      <c r="AEN52" s="590"/>
      <c r="AEO52" s="595"/>
      <c r="AEP52" s="588"/>
      <c r="AEQ52" s="593"/>
      <c r="AEU52" s="590"/>
      <c r="AEV52" s="590"/>
      <c r="AEW52" s="595"/>
      <c r="AEX52" s="588"/>
      <c r="AEY52" s="593"/>
      <c r="AFC52" s="590"/>
      <c r="AFD52" s="590"/>
      <c r="AFE52" s="595"/>
      <c r="AFF52" s="588"/>
      <c r="AFG52" s="593"/>
      <c r="AFK52" s="590"/>
      <c r="AFL52" s="590"/>
      <c r="AFM52" s="595"/>
      <c r="AFN52" s="588"/>
      <c r="AFO52" s="593"/>
      <c r="AFS52" s="590"/>
      <c r="AFT52" s="590"/>
      <c r="AFU52" s="595"/>
      <c r="AFV52" s="588"/>
      <c r="AFW52" s="593"/>
      <c r="AGA52" s="590"/>
      <c r="AGB52" s="590"/>
      <c r="AGC52" s="595"/>
      <c r="AGD52" s="588"/>
      <c r="AGE52" s="593"/>
      <c r="AGI52" s="590"/>
      <c r="AGJ52" s="590"/>
      <c r="AGK52" s="595"/>
      <c r="AGL52" s="588"/>
      <c r="AGM52" s="593"/>
      <c r="AGQ52" s="590"/>
      <c r="AGR52" s="590"/>
      <c r="AGS52" s="595"/>
      <c r="AGT52" s="588"/>
      <c r="AGU52" s="593"/>
      <c r="AGY52" s="590"/>
      <c r="AGZ52" s="590"/>
      <c r="AHA52" s="595"/>
      <c r="AHB52" s="588"/>
      <c r="AHC52" s="593"/>
      <c r="AHG52" s="590"/>
      <c r="AHH52" s="590"/>
      <c r="AHI52" s="595"/>
      <c r="AHJ52" s="588"/>
      <c r="AHK52" s="593"/>
      <c r="AHO52" s="590"/>
      <c r="AHP52" s="590"/>
      <c r="AHQ52" s="595"/>
      <c r="AHR52" s="588"/>
      <c r="AHS52" s="593"/>
      <c r="AHW52" s="590"/>
      <c r="AHX52" s="590"/>
      <c r="AHY52" s="595"/>
      <c r="AHZ52" s="588"/>
      <c r="AIA52" s="593"/>
      <c r="AIE52" s="590"/>
      <c r="AIF52" s="590"/>
      <c r="AIG52" s="595"/>
      <c r="AIH52" s="588"/>
      <c r="AII52" s="593"/>
      <c r="AIM52" s="590"/>
      <c r="AIN52" s="590"/>
      <c r="AIO52" s="595"/>
      <c r="AIP52" s="588"/>
      <c r="AIQ52" s="593"/>
      <c r="AIU52" s="590"/>
      <c r="AIV52" s="590"/>
      <c r="AIW52" s="595"/>
      <c r="AIX52" s="588"/>
      <c r="AIY52" s="593"/>
      <c r="AJC52" s="590"/>
      <c r="AJD52" s="590"/>
      <c r="AJE52" s="595"/>
      <c r="AJF52" s="588"/>
      <c r="AJG52" s="593"/>
      <c r="AJK52" s="590"/>
      <c r="AJL52" s="590"/>
      <c r="AJM52" s="595"/>
      <c r="AJN52" s="588"/>
      <c r="AJO52" s="593"/>
      <c r="AJS52" s="590"/>
      <c r="AJT52" s="590"/>
      <c r="AJU52" s="595"/>
      <c r="AJV52" s="588"/>
      <c r="AJW52" s="593"/>
      <c r="AKA52" s="590"/>
      <c r="AKB52" s="590"/>
      <c r="AKC52" s="595"/>
      <c r="AKD52" s="588"/>
      <c r="AKE52" s="593"/>
      <c r="AKI52" s="590"/>
      <c r="AKJ52" s="590"/>
      <c r="AKK52" s="595"/>
      <c r="AKL52" s="588"/>
      <c r="AKM52" s="593"/>
      <c r="AKQ52" s="590"/>
      <c r="AKR52" s="590"/>
      <c r="AKS52" s="595"/>
      <c r="AKT52" s="588"/>
      <c r="AKU52" s="593"/>
      <c r="AKY52" s="590"/>
      <c r="AKZ52" s="590"/>
      <c r="ALA52" s="595"/>
      <c r="ALB52" s="588"/>
      <c r="ALC52" s="593"/>
      <c r="ALG52" s="590"/>
      <c r="ALH52" s="590"/>
      <c r="ALI52" s="595"/>
      <c r="ALJ52" s="588"/>
      <c r="ALK52" s="593"/>
      <c r="ALO52" s="590"/>
      <c r="ALP52" s="590"/>
      <c r="ALQ52" s="595"/>
      <c r="ALR52" s="588"/>
      <c r="ALS52" s="593"/>
      <c r="ALW52" s="590"/>
      <c r="ALX52" s="590"/>
      <c r="ALY52" s="595"/>
      <c r="ALZ52" s="588"/>
      <c r="AMA52" s="593"/>
      <c r="AME52" s="590"/>
      <c r="AMF52" s="590"/>
      <c r="AMG52" s="595"/>
      <c r="AMH52" s="588"/>
      <c r="AMI52" s="593"/>
    </row>
    <row r="53" customFormat="false" ht="15.75" hidden="false" customHeight="false" outlineLevel="0" collapsed="false">
      <c r="A53" s="514" t="s">
        <v>42</v>
      </c>
      <c r="B53" s="514" t="s">
        <v>4261</v>
      </c>
      <c r="C53" s="515" t="s">
        <v>4173</v>
      </c>
      <c r="D53" s="514" t="s">
        <v>4889</v>
      </c>
      <c r="E53" s="514" t="s">
        <v>4890</v>
      </c>
      <c r="F53" s="514" t="n">
        <v>1653</v>
      </c>
      <c r="G53" s="514" t="n">
        <v>136</v>
      </c>
      <c r="H53" s="514" t="n">
        <v>805</v>
      </c>
      <c r="I53" s="514" t="n">
        <v>413</v>
      </c>
      <c r="J53" s="514" t="n">
        <v>392</v>
      </c>
      <c r="K53" s="514" t="n">
        <v>44</v>
      </c>
      <c r="L53" s="19" t="n">
        <f aca="false">(K53/H53)*100</f>
        <v>5.46583850931677</v>
      </c>
      <c r="M53" s="514" t="n">
        <v>364</v>
      </c>
      <c r="N53" s="19" t="n">
        <f aca="false">(M53/H53)*100</f>
        <v>45.2173913043478</v>
      </c>
      <c r="O53" s="514" t="n">
        <v>6</v>
      </c>
      <c r="P53" s="514" t="n">
        <v>0</v>
      </c>
      <c r="Q53" s="131" t="s">
        <v>49</v>
      </c>
      <c r="R53" s="517" t="n">
        <v>44825</v>
      </c>
      <c r="S53" s="514"/>
      <c r="T53" s="131" t="n">
        <v>0</v>
      </c>
      <c r="U53" s="131"/>
      <c r="V53" s="514"/>
      <c r="W53" s="514"/>
      <c r="X53" s="514"/>
      <c r="Y53" s="514"/>
      <c r="Z53" s="514"/>
      <c r="AA53" s="132" t="s">
        <v>266</v>
      </c>
      <c r="AB53" s="132" t="n">
        <v>0</v>
      </c>
      <c r="AC53" s="287" t="n">
        <v>0</v>
      </c>
      <c r="AD53" s="131" t="n">
        <v>0</v>
      </c>
      <c r="AE53" s="131" t="n">
        <v>0</v>
      </c>
    </row>
    <row r="54" customFormat="false" ht="15.75" hidden="false" customHeight="false" outlineLevel="0" collapsed="false">
      <c r="A54" s="514" t="s">
        <v>42</v>
      </c>
      <c r="B54" s="514" t="s">
        <v>4261</v>
      </c>
      <c r="C54" s="515" t="s">
        <v>4173</v>
      </c>
      <c r="D54" s="514" t="s">
        <v>4891</v>
      </c>
      <c r="E54" s="514" t="s">
        <v>4892</v>
      </c>
      <c r="F54" s="514" t="n">
        <v>264</v>
      </c>
      <c r="G54" s="514" t="n">
        <v>55</v>
      </c>
      <c r="H54" s="514" t="n">
        <v>378</v>
      </c>
      <c r="I54" s="514" t="n">
        <v>201</v>
      </c>
      <c r="J54" s="514" t="n">
        <v>177</v>
      </c>
      <c r="K54" s="514" t="n">
        <v>0</v>
      </c>
      <c r="L54" s="19" t="n">
        <f aca="false">(K54/H54)*100</f>
        <v>0</v>
      </c>
      <c r="M54" s="514" t="n">
        <v>0</v>
      </c>
      <c r="N54" s="19" t="n">
        <f aca="false">(M54/H54)*100</f>
        <v>0</v>
      </c>
      <c r="O54" s="514" t="n">
        <v>0</v>
      </c>
      <c r="P54" s="514" t="n">
        <v>0</v>
      </c>
      <c r="Q54" s="131" t="s">
        <v>49</v>
      </c>
      <c r="R54" s="517" t="n">
        <v>44825</v>
      </c>
      <c r="S54" s="514"/>
      <c r="T54" s="131" t="n">
        <v>0</v>
      </c>
      <c r="U54" s="131"/>
      <c r="V54" s="514"/>
      <c r="W54" s="514"/>
      <c r="X54" s="514"/>
      <c r="Y54" s="514"/>
      <c r="Z54" s="514"/>
      <c r="AA54" s="132" t="s">
        <v>266</v>
      </c>
      <c r="AB54" s="132" t="n">
        <v>0</v>
      </c>
      <c r="AC54" s="287" t="n">
        <v>0</v>
      </c>
      <c r="AD54" s="131" t="n">
        <v>0</v>
      </c>
      <c r="AE54" s="131" t="n">
        <v>0</v>
      </c>
    </row>
    <row r="55" customFormat="false" ht="15.75" hidden="false" customHeight="false" outlineLevel="0" collapsed="false">
      <c r="A55" s="514" t="s">
        <v>42</v>
      </c>
      <c r="B55" s="514" t="s">
        <v>4261</v>
      </c>
      <c r="C55" s="515" t="s">
        <v>4173</v>
      </c>
      <c r="D55" s="514" t="s">
        <v>4893</v>
      </c>
      <c r="E55" s="514" t="s">
        <v>4894</v>
      </c>
      <c r="F55" s="514" t="n">
        <v>343</v>
      </c>
      <c r="G55" s="514" t="n">
        <v>58</v>
      </c>
      <c r="H55" s="514" t="n">
        <v>301</v>
      </c>
      <c r="I55" s="514" t="n">
        <v>153</v>
      </c>
      <c r="J55" s="514" t="n">
        <v>148</v>
      </c>
      <c r="K55" s="514" t="n">
        <v>0</v>
      </c>
      <c r="L55" s="19" t="n">
        <f aca="false">(K55/H55)*100</f>
        <v>0</v>
      </c>
      <c r="M55" s="514" t="n">
        <v>0</v>
      </c>
      <c r="N55" s="19" t="n">
        <f aca="false">(M55/H55)*100</f>
        <v>0</v>
      </c>
      <c r="O55" s="514" t="n">
        <v>0</v>
      </c>
      <c r="P55" s="514" t="n">
        <v>0</v>
      </c>
      <c r="Q55" s="131" t="s">
        <v>49</v>
      </c>
      <c r="R55" s="517" t="n">
        <v>44825</v>
      </c>
      <c r="S55" s="514"/>
      <c r="T55" s="131" t="n">
        <v>0</v>
      </c>
      <c r="U55" s="131"/>
      <c r="V55" s="514"/>
      <c r="W55" s="514"/>
      <c r="X55" s="514"/>
      <c r="Y55" s="514"/>
      <c r="Z55" s="514"/>
      <c r="AA55" s="132" t="s">
        <v>266</v>
      </c>
      <c r="AB55" s="132" t="n">
        <v>0</v>
      </c>
      <c r="AC55" s="287" t="n">
        <v>0</v>
      </c>
      <c r="AD55" s="131" t="n">
        <v>0</v>
      </c>
      <c r="AE55" s="131" t="n">
        <v>0</v>
      </c>
    </row>
    <row r="56" customFormat="false" ht="18.75" hidden="false" customHeight="true" outlineLevel="0" collapsed="false">
      <c r="A56" s="514" t="s">
        <v>42</v>
      </c>
      <c r="B56" s="514" t="s">
        <v>4261</v>
      </c>
      <c r="C56" s="515" t="s">
        <v>4895</v>
      </c>
      <c r="D56" s="516" t="s">
        <v>4895</v>
      </c>
      <c r="E56" s="514" t="s">
        <v>4896</v>
      </c>
      <c r="F56" s="514" t="n">
        <v>1567</v>
      </c>
      <c r="G56" s="514" t="n">
        <v>125</v>
      </c>
      <c r="H56" s="514" t="n">
        <v>625</v>
      </c>
      <c r="I56" s="514" t="n">
        <v>328</v>
      </c>
      <c r="J56" s="514" t="n">
        <v>297</v>
      </c>
      <c r="K56" s="514" t="n">
        <v>3</v>
      </c>
      <c r="L56" s="19" t="n">
        <f aca="false">(K56/H56)*100</f>
        <v>0.48</v>
      </c>
      <c r="M56" s="514" t="n">
        <v>0</v>
      </c>
      <c r="N56" s="19" t="n">
        <f aca="false">(M56/H56)*100</f>
        <v>0</v>
      </c>
      <c r="O56" s="514" t="n">
        <v>37.09</v>
      </c>
      <c r="P56" s="514" t="n">
        <v>0</v>
      </c>
      <c r="Q56" s="45" t="s">
        <v>49</v>
      </c>
      <c r="R56" s="53" t="n">
        <v>44825</v>
      </c>
      <c r="S56" s="514"/>
      <c r="T56" s="45" t="n">
        <v>37.0935</v>
      </c>
      <c r="U56" s="45"/>
      <c r="V56" s="514"/>
      <c r="W56" s="514"/>
      <c r="X56" s="514"/>
      <c r="Y56" s="514"/>
      <c r="Z56" s="514"/>
      <c r="AA56" s="47" t="s">
        <v>50</v>
      </c>
      <c r="AB56" s="47" t="n">
        <v>10</v>
      </c>
      <c r="AC56" s="340" t="s">
        <v>276</v>
      </c>
      <c r="AD56" s="45"/>
      <c r="AE56" s="45"/>
      <c r="AF56" s="586"/>
    </row>
    <row r="57" customFormat="false" ht="15.75" hidden="false" customHeight="false" outlineLevel="0" collapsed="false">
      <c r="A57" s="514" t="s">
        <v>42</v>
      </c>
      <c r="B57" s="514" t="s">
        <v>4261</v>
      </c>
      <c r="C57" s="515" t="s">
        <v>4895</v>
      </c>
      <c r="D57" s="514" t="s">
        <v>4897</v>
      </c>
      <c r="E57" s="514" t="s">
        <v>4898</v>
      </c>
      <c r="F57" s="514" t="n">
        <v>728.99</v>
      </c>
      <c r="G57" s="514" t="n">
        <v>166</v>
      </c>
      <c r="H57" s="514" t="n">
        <v>814</v>
      </c>
      <c r="I57" s="514" t="n">
        <v>429</v>
      </c>
      <c r="J57" s="514" t="n">
        <v>385</v>
      </c>
      <c r="K57" s="514" t="n">
        <v>0</v>
      </c>
      <c r="L57" s="19" t="n">
        <f aca="false">(K57/H57)*100</f>
        <v>0</v>
      </c>
      <c r="M57" s="514" t="n">
        <v>0</v>
      </c>
      <c r="N57" s="19" t="n">
        <f aca="false">(M57/H57)*100</f>
        <v>0</v>
      </c>
      <c r="O57" s="514" t="n">
        <v>0</v>
      </c>
      <c r="P57" s="514" t="n">
        <v>0</v>
      </c>
      <c r="Q57" s="131" t="s">
        <v>49</v>
      </c>
      <c r="R57" s="517" t="n">
        <v>44825</v>
      </c>
      <c r="S57" s="514"/>
      <c r="T57" s="37" t="n">
        <v>0</v>
      </c>
      <c r="U57" s="131"/>
      <c r="V57" s="514"/>
      <c r="W57" s="514"/>
      <c r="X57" s="514"/>
      <c r="Y57" s="514"/>
      <c r="Z57" s="514"/>
      <c r="AA57" s="581" t="n">
        <v>0</v>
      </c>
      <c r="AB57" s="581" t="n">
        <v>0</v>
      </c>
      <c r="AC57" s="37" t="n">
        <v>0</v>
      </c>
      <c r="AD57" s="37" t="n">
        <v>0</v>
      </c>
      <c r="AE57" s="37" t="n">
        <v>0</v>
      </c>
    </row>
    <row r="58" customFormat="false" ht="15.75" hidden="false" customHeight="false" outlineLevel="0" collapsed="false">
      <c r="A58" s="514" t="s">
        <v>42</v>
      </c>
      <c r="B58" s="514" t="s">
        <v>4261</v>
      </c>
      <c r="C58" s="515" t="s">
        <v>4895</v>
      </c>
      <c r="D58" s="514" t="s">
        <v>4899</v>
      </c>
      <c r="E58" s="514" t="s">
        <v>4900</v>
      </c>
      <c r="F58" s="514" t="n">
        <v>579.39</v>
      </c>
      <c r="G58" s="514" t="n">
        <v>41</v>
      </c>
      <c r="H58" s="514" t="n">
        <v>224</v>
      </c>
      <c r="I58" s="514" t="n">
        <v>119</v>
      </c>
      <c r="J58" s="514" t="n">
        <v>105</v>
      </c>
      <c r="K58" s="514" t="n">
        <v>0</v>
      </c>
      <c r="L58" s="19" t="n">
        <f aca="false">(K58/H58)*100</f>
        <v>0</v>
      </c>
      <c r="M58" s="514" t="n">
        <v>0</v>
      </c>
      <c r="N58" s="19" t="n">
        <f aca="false">(M58/H58)*100</f>
        <v>0</v>
      </c>
      <c r="O58" s="514" t="n">
        <v>50</v>
      </c>
      <c r="P58" s="514" t="n">
        <v>0</v>
      </c>
      <c r="Q58" s="131" t="s">
        <v>49</v>
      </c>
      <c r="R58" s="517" t="n">
        <v>44825</v>
      </c>
      <c r="S58" s="514"/>
      <c r="T58" s="37" t="n">
        <v>0</v>
      </c>
      <c r="U58" s="131"/>
      <c r="V58" s="514"/>
      <c r="W58" s="514"/>
      <c r="X58" s="514"/>
      <c r="Y58" s="514"/>
      <c r="Z58" s="514"/>
      <c r="AA58" s="581" t="n">
        <v>0</v>
      </c>
      <c r="AB58" s="581" t="n">
        <v>0</v>
      </c>
      <c r="AC58" s="287" t="n">
        <v>0</v>
      </c>
      <c r="AD58" s="37" t="n">
        <v>0</v>
      </c>
      <c r="AE58" s="37" t="n">
        <v>0</v>
      </c>
    </row>
    <row r="59" customFormat="false" ht="15.75" hidden="false" customHeight="false" outlineLevel="0" collapsed="false">
      <c r="A59" s="514" t="s">
        <v>42</v>
      </c>
      <c r="B59" s="514" t="s">
        <v>4261</v>
      </c>
      <c r="C59" s="515" t="s">
        <v>4895</v>
      </c>
      <c r="D59" s="514" t="s">
        <v>2717</v>
      </c>
      <c r="E59" s="514" t="s">
        <v>4901</v>
      </c>
      <c r="F59" s="514" t="n">
        <v>371.83</v>
      </c>
      <c r="G59" s="514" t="n">
        <v>60</v>
      </c>
      <c r="H59" s="514" t="n">
        <v>325</v>
      </c>
      <c r="I59" s="514" t="n">
        <v>175</v>
      </c>
      <c r="J59" s="514" t="n">
        <v>150</v>
      </c>
      <c r="K59" s="514" t="n">
        <v>0</v>
      </c>
      <c r="L59" s="19" t="n">
        <f aca="false">(K59/H59)*100</f>
        <v>0</v>
      </c>
      <c r="M59" s="514" t="n">
        <v>74</v>
      </c>
      <c r="N59" s="19" t="n">
        <f aca="false">(M59/H59)*100</f>
        <v>22.7692307692308</v>
      </c>
      <c r="O59" s="514" t="n">
        <v>0</v>
      </c>
      <c r="P59" s="514" t="n">
        <v>0</v>
      </c>
      <c r="Q59" s="131" t="s">
        <v>49</v>
      </c>
      <c r="R59" s="517" t="n">
        <v>44825</v>
      </c>
      <c r="S59" s="514"/>
      <c r="T59" s="37" t="n">
        <v>0</v>
      </c>
      <c r="U59" s="131"/>
      <c r="V59" s="514"/>
      <c r="W59" s="514"/>
      <c r="X59" s="514"/>
      <c r="Y59" s="514"/>
      <c r="Z59" s="514"/>
      <c r="AA59" s="581" t="n">
        <v>0</v>
      </c>
      <c r="AB59" s="581" t="n">
        <v>0</v>
      </c>
      <c r="AC59" s="287" t="n">
        <v>0</v>
      </c>
      <c r="AD59" s="37" t="n">
        <v>0</v>
      </c>
      <c r="AE59" s="37" t="n">
        <v>0</v>
      </c>
    </row>
    <row r="60" customFormat="false" ht="15.75" hidden="false" customHeight="false" outlineLevel="0" collapsed="false">
      <c r="A60" s="514" t="s">
        <v>42</v>
      </c>
      <c r="B60" s="514" t="s">
        <v>4261</v>
      </c>
      <c r="C60" s="515" t="s">
        <v>4895</v>
      </c>
      <c r="D60" s="514" t="s">
        <v>4902</v>
      </c>
      <c r="E60" s="514" t="s">
        <v>4903</v>
      </c>
      <c r="F60" s="514" t="n">
        <v>526.57</v>
      </c>
      <c r="G60" s="514" t="n">
        <v>111</v>
      </c>
      <c r="H60" s="514" t="n">
        <v>598</v>
      </c>
      <c r="I60" s="514" t="n">
        <v>312</v>
      </c>
      <c r="J60" s="514" t="n">
        <v>286</v>
      </c>
      <c r="K60" s="514" t="n">
        <v>0</v>
      </c>
      <c r="L60" s="19" t="n">
        <f aca="false">(K60/H60)*100</f>
        <v>0</v>
      </c>
      <c r="M60" s="514" t="n">
        <v>0</v>
      </c>
      <c r="N60" s="19" t="n">
        <f aca="false">(M60/H60)*100</f>
        <v>0</v>
      </c>
      <c r="O60" s="514" t="n">
        <v>50</v>
      </c>
      <c r="P60" s="514" t="n">
        <v>0</v>
      </c>
      <c r="Q60" s="131" t="s">
        <v>49</v>
      </c>
      <c r="R60" s="517" t="n">
        <v>44825</v>
      </c>
      <c r="S60" s="514"/>
      <c r="T60" s="37" t="n">
        <v>0</v>
      </c>
      <c r="U60" s="131"/>
      <c r="V60" s="514"/>
      <c r="W60" s="514"/>
      <c r="X60" s="514"/>
      <c r="Y60" s="514"/>
      <c r="Z60" s="514"/>
      <c r="AA60" s="581" t="n">
        <v>0</v>
      </c>
      <c r="AB60" s="581" t="n">
        <v>0</v>
      </c>
      <c r="AC60" s="37" t="n">
        <v>0</v>
      </c>
      <c r="AD60" s="37" t="n">
        <v>0</v>
      </c>
      <c r="AE60" s="37" t="n">
        <v>0</v>
      </c>
    </row>
    <row r="61" customFormat="false" ht="15.75" hidden="false" customHeight="false" outlineLevel="0" collapsed="false">
      <c r="A61" s="514" t="s">
        <v>42</v>
      </c>
      <c r="B61" s="514" t="s">
        <v>4261</v>
      </c>
      <c r="C61" s="515" t="s">
        <v>4895</v>
      </c>
      <c r="D61" s="514" t="s">
        <v>4904</v>
      </c>
      <c r="E61" s="514" t="s">
        <v>4905</v>
      </c>
      <c r="F61" s="514" t="n">
        <v>720.41</v>
      </c>
      <c r="G61" s="514" t="n">
        <v>76</v>
      </c>
      <c r="H61" s="514" t="n">
        <v>402</v>
      </c>
      <c r="I61" s="514" t="n">
        <v>209</v>
      </c>
      <c r="J61" s="514" t="n">
        <v>193</v>
      </c>
      <c r="K61" s="514" t="n">
        <v>0</v>
      </c>
      <c r="L61" s="19" t="n">
        <f aca="false">(K61/H61)*100</f>
        <v>0</v>
      </c>
      <c r="M61" s="514" t="n">
        <v>0</v>
      </c>
      <c r="N61" s="19" t="n">
        <f aca="false">(M61/H61)*100</f>
        <v>0</v>
      </c>
      <c r="O61" s="514" t="n">
        <v>50</v>
      </c>
      <c r="P61" s="514" t="n">
        <v>0</v>
      </c>
      <c r="Q61" s="131" t="s">
        <v>49</v>
      </c>
      <c r="R61" s="517" t="n">
        <v>44825</v>
      </c>
      <c r="S61" s="514"/>
      <c r="T61" s="37" t="n">
        <v>0</v>
      </c>
      <c r="U61" s="131"/>
      <c r="V61" s="514"/>
      <c r="W61" s="514"/>
      <c r="X61" s="514"/>
      <c r="Y61" s="514"/>
      <c r="Z61" s="514"/>
      <c r="AA61" s="581" t="n">
        <v>0</v>
      </c>
      <c r="AB61" s="581" t="n">
        <v>0</v>
      </c>
      <c r="AC61" s="37" t="n">
        <v>0</v>
      </c>
      <c r="AD61" s="37" t="n">
        <v>0</v>
      </c>
      <c r="AE61" s="37" t="n">
        <v>0</v>
      </c>
    </row>
    <row r="62" customFormat="false" ht="18" hidden="false" customHeight="true" outlineLevel="0" collapsed="false">
      <c r="A62" s="514" t="s">
        <v>42</v>
      </c>
      <c r="B62" s="514" t="s">
        <v>4261</v>
      </c>
      <c r="C62" s="515" t="s">
        <v>4906</v>
      </c>
      <c r="D62" s="516" t="s">
        <v>4907</v>
      </c>
      <c r="E62" s="514" t="s">
        <v>4908</v>
      </c>
      <c r="F62" s="514" t="n">
        <v>924.57</v>
      </c>
      <c r="G62" s="514" t="n">
        <v>145</v>
      </c>
      <c r="H62" s="514" t="n">
        <v>840</v>
      </c>
      <c r="I62" s="514" t="n">
        <v>419</v>
      </c>
      <c r="J62" s="514" t="n">
        <v>421</v>
      </c>
      <c r="K62" s="514" t="n">
        <v>0</v>
      </c>
      <c r="L62" s="19" t="n">
        <f aca="false">(K62/H62)*100</f>
        <v>0</v>
      </c>
      <c r="M62" s="514" t="n">
        <v>0</v>
      </c>
      <c r="N62" s="19" t="n">
        <f aca="false">(M62/H62)*100</f>
        <v>0</v>
      </c>
      <c r="O62" s="514" t="n">
        <v>0</v>
      </c>
      <c r="P62" s="514" t="n">
        <v>0</v>
      </c>
      <c r="Q62" s="131"/>
      <c r="R62" s="131"/>
      <c r="S62" s="514"/>
      <c r="T62" s="131"/>
      <c r="U62" s="131"/>
      <c r="V62" s="514"/>
      <c r="W62" s="514"/>
      <c r="X62" s="514"/>
      <c r="Y62" s="514"/>
      <c r="Z62" s="514"/>
      <c r="AA62" s="132" t="s">
        <v>266</v>
      </c>
      <c r="AB62" s="132" t="n">
        <v>11</v>
      </c>
      <c r="AC62" s="287" t="s">
        <v>4909</v>
      </c>
      <c r="AD62" s="131"/>
      <c r="AE62" s="131"/>
    </row>
    <row r="63" customFormat="false" ht="15.75" hidden="false" customHeight="false" outlineLevel="0" collapsed="false">
      <c r="A63" s="514" t="s">
        <v>42</v>
      </c>
      <c r="B63" s="514" t="s">
        <v>4261</v>
      </c>
      <c r="C63" s="515" t="s">
        <v>4906</v>
      </c>
      <c r="D63" s="514" t="s">
        <v>4910</v>
      </c>
      <c r="E63" s="514" t="s">
        <v>4911</v>
      </c>
      <c r="F63" s="514" t="n">
        <v>323</v>
      </c>
      <c r="G63" s="514" t="n">
        <v>81</v>
      </c>
      <c r="H63" s="514" t="n">
        <v>395</v>
      </c>
      <c r="I63" s="514" t="n">
        <v>192</v>
      </c>
      <c r="J63" s="514" t="n">
        <v>203</v>
      </c>
      <c r="K63" s="514" t="n">
        <v>0</v>
      </c>
      <c r="L63" s="19" t="n">
        <f aca="false">(K63/H63)*100</f>
        <v>0</v>
      </c>
      <c r="M63" s="514" t="n">
        <v>115</v>
      </c>
      <c r="N63" s="19" t="n">
        <f aca="false">(M63/H63)*100</f>
        <v>29.1139240506329</v>
      </c>
      <c r="O63" s="514" t="n">
        <v>0</v>
      </c>
      <c r="P63" s="514" t="n">
        <v>0</v>
      </c>
      <c r="Q63" s="131" t="s">
        <v>49</v>
      </c>
      <c r="R63" s="517" t="n">
        <v>44826</v>
      </c>
      <c r="S63" s="514"/>
      <c r="T63" s="131" t="n">
        <v>0</v>
      </c>
      <c r="U63" s="131"/>
      <c r="V63" s="514"/>
      <c r="W63" s="514"/>
      <c r="X63" s="514"/>
      <c r="Y63" s="514"/>
      <c r="Z63" s="514"/>
      <c r="AA63" s="132" t="s">
        <v>266</v>
      </c>
      <c r="AB63" s="132" t="n">
        <v>0</v>
      </c>
      <c r="AC63" s="287" t="n">
        <v>0</v>
      </c>
      <c r="AD63" s="131" t="n">
        <v>0</v>
      </c>
      <c r="AE63" s="131" t="n">
        <v>0</v>
      </c>
    </row>
    <row r="64" customFormat="false" ht="15.75" hidden="false" customHeight="false" outlineLevel="0" collapsed="false">
      <c r="A64" s="514" t="s">
        <v>42</v>
      </c>
      <c r="B64" s="514" t="s">
        <v>4261</v>
      </c>
      <c r="C64" s="515" t="s">
        <v>4906</v>
      </c>
      <c r="D64" s="514" t="s">
        <v>2181</v>
      </c>
      <c r="E64" s="514" t="s">
        <v>4912</v>
      </c>
      <c r="F64" s="514" t="n">
        <v>196</v>
      </c>
      <c r="G64" s="514" t="n">
        <v>36</v>
      </c>
      <c r="H64" s="514" t="n">
        <v>176</v>
      </c>
      <c r="I64" s="514" t="n">
        <v>95</v>
      </c>
      <c r="J64" s="514" t="n">
        <v>81</v>
      </c>
      <c r="K64" s="514" t="n">
        <v>0</v>
      </c>
      <c r="L64" s="19" t="n">
        <f aca="false">(K64/H64)*100</f>
        <v>0</v>
      </c>
      <c r="M64" s="514" t="n">
        <v>0</v>
      </c>
      <c r="N64" s="19" t="n">
        <f aca="false">(M64/H64)*100</f>
        <v>0</v>
      </c>
      <c r="O64" s="514" t="n">
        <v>0</v>
      </c>
      <c r="P64" s="514" t="n">
        <v>0</v>
      </c>
      <c r="Q64" s="131" t="s">
        <v>49</v>
      </c>
      <c r="R64" s="517" t="n">
        <v>44826</v>
      </c>
      <c r="S64" s="514"/>
      <c r="T64" s="131" t="n">
        <v>0</v>
      </c>
      <c r="U64" s="131"/>
      <c r="V64" s="514"/>
      <c r="W64" s="514"/>
      <c r="X64" s="514"/>
      <c r="Y64" s="514"/>
      <c r="Z64" s="514"/>
      <c r="AA64" s="132" t="s">
        <v>266</v>
      </c>
      <c r="AB64" s="132" t="n">
        <v>0</v>
      </c>
      <c r="AC64" s="287" t="n">
        <v>0</v>
      </c>
      <c r="AD64" s="131" t="n">
        <v>0</v>
      </c>
      <c r="AE64" s="131" t="n">
        <v>0</v>
      </c>
    </row>
    <row r="65" customFormat="false" ht="20.25" hidden="false" customHeight="true" outlineLevel="0" collapsed="false">
      <c r="A65" s="514" t="s">
        <v>42</v>
      </c>
      <c r="B65" s="514" t="s">
        <v>4261</v>
      </c>
      <c r="C65" s="515" t="s">
        <v>4906</v>
      </c>
      <c r="D65" s="514" t="s">
        <v>4913</v>
      </c>
      <c r="E65" s="514" t="s">
        <v>4914</v>
      </c>
      <c r="F65" s="514" t="n">
        <v>187</v>
      </c>
      <c r="G65" s="514" t="n">
        <v>54</v>
      </c>
      <c r="H65" s="514" t="n">
        <v>253</v>
      </c>
      <c r="I65" s="514" t="n">
        <v>132</v>
      </c>
      <c r="J65" s="514" t="n">
        <v>121</v>
      </c>
      <c r="K65" s="514" t="n">
        <v>0</v>
      </c>
      <c r="L65" s="19" t="n">
        <f aca="false">(K65/H65)*100</f>
        <v>0</v>
      </c>
      <c r="M65" s="514" t="n">
        <v>0</v>
      </c>
      <c r="N65" s="19" t="n">
        <f aca="false">(M65/H65)*100</f>
        <v>0</v>
      </c>
      <c r="O65" s="514" t="n">
        <v>0</v>
      </c>
      <c r="P65" s="514" t="n">
        <v>0</v>
      </c>
      <c r="Q65" s="131" t="s">
        <v>49</v>
      </c>
      <c r="R65" s="517" t="n">
        <v>44826</v>
      </c>
      <c r="S65" s="514"/>
      <c r="T65" s="131"/>
      <c r="U65" s="131"/>
      <c r="V65" s="514"/>
      <c r="W65" s="514"/>
      <c r="X65" s="514"/>
      <c r="Y65" s="514"/>
      <c r="Z65" s="514"/>
      <c r="AA65" s="132" t="s">
        <v>266</v>
      </c>
      <c r="AB65" s="132" t="n">
        <v>11</v>
      </c>
      <c r="AC65" s="287" t="s">
        <v>4915</v>
      </c>
      <c r="AD65" s="131"/>
      <c r="AE65" s="131"/>
    </row>
    <row r="66" customFormat="false" ht="27" hidden="false" customHeight="true" outlineLevel="0" collapsed="false">
      <c r="A66" s="514" t="s">
        <v>42</v>
      </c>
      <c r="B66" s="514" t="s">
        <v>4261</v>
      </c>
      <c r="C66" s="515" t="s">
        <v>4906</v>
      </c>
      <c r="D66" s="514" t="s">
        <v>4916</v>
      </c>
      <c r="E66" s="514" t="s">
        <v>4917</v>
      </c>
      <c r="F66" s="514" t="n">
        <v>1037.89</v>
      </c>
      <c r="G66" s="514" t="n">
        <v>200</v>
      </c>
      <c r="H66" s="514" t="n">
        <v>993</v>
      </c>
      <c r="I66" s="514" t="n">
        <v>529</v>
      </c>
      <c r="J66" s="514" t="n">
        <v>464</v>
      </c>
      <c r="K66" s="514" t="n">
        <v>70</v>
      </c>
      <c r="L66" s="19" t="n">
        <f aca="false">(K66/H66)*100</f>
        <v>7.04934541792548</v>
      </c>
      <c r="M66" s="514" t="n">
        <v>0</v>
      </c>
      <c r="N66" s="19" t="n">
        <f aca="false">(M66/H66)*100</f>
        <v>0</v>
      </c>
      <c r="O66" s="514" t="n">
        <v>5.06</v>
      </c>
      <c r="P66" s="514" t="n">
        <v>0</v>
      </c>
      <c r="Q66" s="131" t="s">
        <v>49</v>
      </c>
      <c r="R66" s="517" t="n">
        <v>44826</v>
      </c>
      <c r="S66" s="514"/>
      <c r="T66" s="131"/>
      <c r="U66" s="131"/>
      <c r="V66" s="514"/>
      <c r="W66" s="514"/>
      <c r="X66" s="514"/>
      <c r="Y66" s="514"/>
      <c r="Z66" s="514"/>
      <c r="AA66" s="132" t="s">
        <v>266</v>
      </c>
      <c r="AB66" s="132" t="n">
        <v>12</v>
      </c>
      <c r="AC66" s="287" t="s">
        <v>4918</v>
      </c>
      <c r="AD66" s="131"/>
      <c r="AE66" s="131"/>
    </row>
    <row r="67" customFormat="false" ht="20.25" hidden="false" customHeight="true" outlineLevel="0" collapsed="false">
      <c r="A67" s="514" t="s">
        <v>42</v>
      </c>
      <c r="B67" s="514" t="s">
        <v>4261</v>
      </c>
      <c r="C67" s="515" t="s">
        <v>4240</v>
      </c>
      <c r="D67" s="516" t="s">
        <v>4919</v>
      </c>
      <c r="E67" s="514" t="s">
        <v>4920</v>
      </c>
      <c r="F67" s="514" t="n">
        <v>1843</v>
      </c>
      <c r="G67" s="514" t="n">
        <v>294</v>
      </c>
      <c r="H67" s="514" t="n">
        <v>1863</v>
      </c>
      <c r="I67" s="514" t="n">
        <v>972</v>
      </c>
      <c r="J67" s="514" t="n">
        <v>891</v>
      </c>
      <c r="K67" s="514" t="n">
        <v>310</v>
      </c>
      <c r="L67" s="19" t="n">
        <f aca="false">(K67/H67)*100</f>
        <v>16.6398282340311</v>
      </c>
      <c r="M67" s="514" t="n">
        <v>60</v>
      </c>
      <c r="N67" s="19" t="n">
        <f aca="false">(M67/H67)*100</f>
        <v>3.22061191626409</v>
      </c>
      <c r="O67" s="514" t="n">
        <v>0</v>
      </c>
      <c r="P67" s="514" t="n">
        <v>0</v>
      </c>
      <c r="Q67" s="131" t="s">
        <v>49</v>
      </c>
      <c r="R67" s="517" t="n">
        <v>44826</v>
      </c>
      <c r="S67" s="514"/>
      <c r="T67" s="131" t="n">
        <v>0</v>
      </c>
      <c r="U67" s="131"/>
      <c r="V67" s="514"/>
      <c r="W67" s="514"/>
      <c r="X67" s="514"/>
      <c r="Y67" s="514"/>
      <c r="Z67" s="514"/>
      <c r="AA67" s="132" t="s">
        <v>266</v>
      </c>
      <c r="AB67" s="132" t="n">
        <v>5</v>
      </c>
      <c r="AC67" s="287" t="s">
        <v>4921</v>
      </c>
      <c r="AD67" s="131"/>
      <c r="AE67" s="131"/>
    </row>
    <row r="68" customFormat="false" ht="17.25" hidden="false" customHeight="true" outlineLevel="0" collapsed="false">
      <c r="A68" s="514" t="s">
        <v>42</v>
      </c>
      <c r="B68" s="514" t="s">
        <v>4261</v>
      </c>
      <c r="C68" s="515" t="s">
        <v>4240</v>
      </c>
      <c r="D68" s="514" t="s">
        <v>4922</v>
      </c>
      <c r="E68" s="514" t="s">
        <v>4923</v>
      </c>
      <c r="F68" s="514" t="n">
        <v>353</v>
      </c>
      <c r="G68" s="514" t="n">
        <v>78</v>
      </c>
      <c r="H68" s="514" t="n">
        <v>361</v>
      </c>
      <c r="I68" s="514" t="n">
        <v>193</v>
      </c>
      <c r="J68" s="514" t="n">
        <v>168</v>
      </c>
      <c r="K68" s="514" t="n">
        <v>0</v>
      </c>
      <c r="L68" s="19" t="n">
        <f aca="false">(K68/H68)*100</f>
        <v>0</v>
      </c>
      <c r="M68" s="514" t="n">
        <v>0</v>
      </c>
      <c r="N68" s="19" t="n">
        <f aca="false">(M68/H68)*100</f>
        <v>0</v>
      </c>
      <c r="O68" s="514" t="n">
        <v>0</v>
      </c>
      <c r="P68" s="514" t="n">
        <v>0</v>
      </c>
      <c r="Q68" s="131" t="s">
        <v>49</v>
      </c>
      <c r="R68" s="517" t="n">
        <v>44826</v>
      </c>
      <c r="S68" s="514"/>
      <c r="T68" s="45"/>
      <c r="U68" s="131"/>
      <c r="V68" s="514"/>
      <c r="W68" s="514"/>
      <c r="X68" s="514"/>
      <c r="Y68" s="514"/>
      <c r="Z68" s="514"/>
      <c r="AA68" s="132" t="s">
        <v>266</v>
      </c>
      <c r="AB68" s="47" t="n">
        <v>5</v>
      </c>
      <c r="AC68" s="128" t="s">
        <v>4924</v>
      </c>
      <c r="AD68" s="45"/>
      <c r="AE68" s="45"/>
    </row>
    <row r="69" customFormat="false" ht="15.75" hidden="false" customHeight="false" outlineLevel="0" collapsed="false">
      <c r="A69" s="514" t="s">
        <v>42</v>
      </c>
      <c r="B69" s="514" t="s">
        <v>4261</v>
      </c>
      <c r="C69" s="515" t="s">
        <v>4240</v>
      </c>
      <c r="D69" s="514" t="s">
        <v>4925</v>
      </c>
      <c r="E69" s="514" t="s">
        <v>4926</v>
      </c>
      <c r="F69" s="514" t="n">
        <v>251</v>
      </c>
      <c r="G69" s="514" t="n">
        <v>36</v>
      </c>
      <c r="H69" s="514" t="n">
        <v>229</v>
      </c>
      <c r="I69" s="514" t="n">
        <v>128</v>
      </c>
      <c r="J69" s="514" t="n">
        <v>101</v>
      </c>
      <c r="K69" s="514" t="n">
        <v>0</v>
      </c>
      <c r="L69" s="19" t="n">
        <f aca="false">(K69/H69)*100</f>
        <v>0</v>
      </c>
      <c r="M69" s="514" t="n">
        <v>0</v>
      </c>
      <c r="N69" s="19" t="n">
        <f aca="false">(M69/H69)*100</f>
        <v>0</v>
      </c>
      <c r="O69" s="514" t="n">
        <v>0</v>
      </c>
      <c r="P69" s="514" t="n">
        <v>0</v>
      </c>
      <c r="Q69" s="131" t="s">
        <v>49</v>
      </c>
      <c r="R69" s="517" t="n">
        <v>44826</v>
      </c>
      <c r="S69" s="514"/>
      <c r="T69" s="131"/>
      <c r="U69" s="131"/>
      <c r="V69" s="514"/>
      <c r="W69" s="514"/>
      <c r="X69" s="514"/>
      <c r="Y69" s="514"/>
      <c r="Z69" s="514"/>
      <c r="AA69" s="132" t="s">
        <v>266</v>
      </c>
      <c r="AB69" s="132" t="n">
        <v>0</v>
      </c>
      <c r="AC69" s="287" t="n">
        <v>0</v>
      </c>
      <c r="AD69" s="131" t="n">
        <v>0</v>
      </c>
      <c r="AE69" s="131" t="n">
        <v>0</v>
      </c>
    </row>
    <row r="70" customFormat="false" ht="20.25" hidden="false" customHeight="true" outlineLevel="0" collapsed="false">
      <c r="A70" s="514" t="s">
        <v>42</v>
      </c>
      <c r="B70" s="514" t="s">
        <v>4261</v>
      </c>
      <c r="C70" s="515" t="s">
        <v>4240</v>
      </c>
      <c r="D70" s="514" t="s">
        <v>4927</v>
      </c>
      <c r="E70" s="514" t="s">
        <v>4928</v>
      </c>
      <c r="F70" s="514" t="n">
        <v>634</v>
      </c>
      <c r="G70" s="514" t="n">
        <v>156</v>
      </c>
      <c r="H70" s="514" t="n">
        <v>759</v>
      </c>
      <c r="I70" s="514" t="n">
        <v>420</v>
      </c>
      <c r="J70" s="514" t="n">
        <v>339</v>
      </c>
      <c r="K70" s="514" t="n">
        <v>32</v>
      </c>
      <c r="L70" s="19" t="n">
        <f aca="false">(K70/H70)*100</f>
        <v>4.21607378129117</v>
      </c>
      <c r="M70" s="514" t="n">
        <v>0</v>
      </c>
      <c r="N70" s="19" t="n">
        <f aca="false">(M70/H70)*100</f>
        <v>0</v>
      </c>
      <c r="O70" s="514" t="n">
        <v>0</v>
      </c>
      <c r="P70" s="514" t="n">
        <v>0</v>
      </c>
      <c r="Q70" s="131" t="s">
        <v>49</v>
      </c>
      <c r="R70" s="517" t="n">
        <v>44826</v>
      </c>
      <c r="S70" s="514"/>
      <c r="T70" s="131" t="n">
        <v>4.055</v>
      </c>
      <c r="U70" s="131"/>
      <c r="V70" s="514"/>
      <c r="W70" s="514"/>
      <c r="X70" s="514"/>
      <c r="Y70" s="514"/>
      <c r="Z70" s="514"/>
      <c r="AA70" s="132" t="s">
        <v>266</v>
      </c>
      <c r="AB70" s="132" t="n">
        <v>5</v>
      </c>
      <c r="AC70" s="287" t="s">
        <v>4929</v>
      </c>
      <c r="AD70" s="131"/>
      <c r="AE70" s="131"/>
    </row>
    <row r="71" customFormat="false" ht="21.75" hidden="false" customHeight="true" outlineLevel="0" collapsed="false">
      <c r="A71" s="514" t="s">
        <v>42</v>
      </c>
      <c r="B71" s="514" t="s">
        <v>4261</v>
      </c>
      <c r="C71" s="515" t="s">
        <v>4240</v>
      </c>
      <c r="D71" s="514" t="s">
        <v>4930</v>
      </c>
      <c r="E71" s="514" t="s">
        <v>4931</v>
      </c>
      <c r="F71" s="514" t="n">
        <v>310.61</v>
      </c>
      <c r="G71" s="514" t="n">
        <v>71</v>
      </c>
      <c r="H71" s="514" t="n">
        <v>520</v>
      </c>
      <c r="I71" s="514" t="n">
        <v>271</v>
      </c>
      <c r="J71" s="514" t="n">
        <v>249</v>
      </c>
      <c r="K71" s="514" t="n">
        <v>84</v>
      </c>
      <c r="L71" s="19" t="n">
        <f aca="false">(K71/H71)*100</f>
        <v>16.1538461538462</v>
      </c>
      <c r="M71" s="514" t="n">
        <v>0</v>
      </c>
      <c r="N71" s="19" t="n">
        <f aca="false">(M71/H71)*100</f>
        <v>0</v>
      </c>
      <c r="O71" s="514" t="n">
        <v>30.1</v>
      </c>
      <c r="P71" s="514" t="n">
        <v>41.05</v>
      </c>
      <c r="Q71" s="131" t="s">
        <v>49</v>
      </c>
      <c r="R71" s="517" t="n">
        <v>44826</v>
      </c>
      <c r="S71" s="514"/>
      <c r="T71" s="131"/>
      <c r="U71" s="131"/>
      <c r="V71" s="514"/>
      <c r="W71" s="514"/>
      <c r="X71" s="514"/>
      <c r="Y71" s="514"/>
      <c r="Z71" s="514"/>
      <c r="AA71" s="132" t="s">
        <v>266</v>
      </c>
      <c r="AB71" s="132" t="n">
        <v>12</v>
      </c>
      <c r="AC71" s="287" t="s">
        <v>4932</v>
      </c>
      <c r="AD71" s="131"/>
      <c r="AE71" s="131"/>
    </row>
    <row r="72" customFormat="false" ht="15.75" hidden="false" customHeight="false" outlineLevel="0" collapsed="false">
      <c r="A72" s="514" t="s">
        <v>42</v>
      </c>
      <c r="B72" s="514" t="s">
        <v>4261</v>
      </c>
      <c r="C72" s="515" t="s">
        <v>4933</v>
      </c>
      <c r="D72" s="516" t="s">
        <v>4934</v>
      </c>
      <c r="E72" s="514" t="s">
        <v>4935</v>
      </c>
      <c r="F72" s="514" t="n">
        <v>1167</v>
      </c>
      <c r="G72" s="514" t="n">
        <v>152</v>
      </c>
      <c r="H72" s="514" t="n">
        <v>1002</v>
      </c>
      <c r="I72" s="514" t="n">
        <v>510</v>
      </c>
      <c r="J72" s="514" t="n">
        <v>492</v>
      </c>
      <c r="K72" s="514" t="n">
        <v>19</v>
      </c>
      <c r="L72" s="19" t="n">
        <f aca="false">(K72/H72)*100</f>
        <v>1.89620758483034</v>
      </c>
      <c r="M72" s="514" t="n">
        <v>0</v>
      </c>
      <c r="N72" s="19" t="n">
        <f aca="false">(M72/H72)*100</f>
        <v>0</v>
      </c>
      <c r="O72" s="514" t="n">
        <v>20</v>
      </c>
      <c r="P72" s="514" t="n">
        <v>0</v>
      </c>
      <c r="Q72" s="45" t="s">
        <v>49</v>
      </c>
      <c r="R72" s="53" t="n">
        <v>44825</v>
      </c>
      <c r="S72" s="514"/>
      <c r="T72" s="45" t="n">
        <v>18.2918</v>
      </c>
      <c r="U72" s="45"/>
      <c r="V72" s="514"/>
      <c r="W72" s="514"/>
      <c r="X72" s="514"/>
      <c r="Y72" s="514"/>
      <c r="Z72" s="514"/>
      <c r="AA72" s="47" t="s">
        <v>50</v>
      </c>
      <c r="AB72" s="47" t="n">
        <v>10</v>
      </c>
      <c r="AC72" s="128" t="s">
        <v>317</v>
      </c>
      <c r="AD72" s="45"/>
      <c r="AE72" s="45"/>
    </row>
    <row r="73" customFormat="false" ht="15.75" hidden="false" customHeight="false" outlineLevel="0" collapsed="false">
      <c r="A73" s="514" t="s">
        <v>42</v>
      </c>
      <c r="B73" s="514" t="s">
        <v>4261</v>
      </c>
      <c r="C73" s="515" t="s">
        <v>4933</v>
      </c>
      <c r="D73" s="514" t="s">
        <v>4936</v>
      </c>
      <c r="E73" s="514" t="s">
        <v>4937</v>
      </c>
      <c r="F73" s="514" t="n">
        <v>379</v>
      </c>
      <c r="G73" s="514" t="n">
        <v>67</v>
      </c>
      <c r="H73" s="514" t="n">
        <v>419</v>
      </c>
      <c r="I73" s="514" t="n">
        <v>214</v>
      </c>
      <c r="J73" s="514" t="n">
        <v>205</v>
      </c>
      <c r="K73" s="514" t="n">
        <v>0</v>
      </c>
      <c r="L73" s="19" t="n">
        <f aca="false">(K73/H73)*100</f>
        <v>0</v>
      </c>
      <c r="M73" s="514" t="n">
        <v>0</v>
      </c>
      <c r="N73" s="19" t="n">
        <f aca="false">(M73/H73)*100</f>
        <v>0</v>
      </c>
      <c r="O73" s="514" t="n">
        <v>0</v>
      </c>
      <c r="P73" s="514" t="n">
        <v>0</v>
      </c>
      <c r="Q73" s="45" t="s">
        <v>49</v>
      </c>
      <c r="R73" s="53" t="n">
        <v>44825</v>
      </c>
      <c r="S73" s="514"/>
      <c r="T73" s="261" t="n">
        <v>0</v>
      </c>
      <c r="U73" s="45"/>
      <c r="V73" s="514"/>
      <c r="W73" s="514"/>
      <c r="X73" s="514"/>
      <c r="Y73" s="514"/>
      <c r="Z73" s="514"/>
      <c r="AA73" s="273" t="n">
        <v>0</v>
      </c>
      <c r="AB73" s="273" t="n">
        <v>0</v>
      </c>
      <c r="AC73" s="340" t="n">
        <v>0</v>
      </c>
      <c r="AD73" s="261" t="n">
        <v>0</v>
      </c>
      <c r="AE73" s="261" t="n">
        <v>0</v>
      </c>
      <c r="AF73" s="586"/>
    </row>
    <row r="74" customFormat="false" ht="15.75" hidden="false" customHeight="false" outlineLevel="0" collapsed="false">
      <c r="A74" s="514" t="s">
        <v>42</v>
      </c>
      <c r="B74" s="514" t="s">
        <v>4261</v>
      </c>
      <c r="C74" s="515" t="s">
        <v>4933</v>
      </c>
      <c r="D74" s="514" t="s">
        <v>4938</v>
      </c>
      <c r="E74" s="514" t="s">
        <v>4939</v>
      </c>
      <c r="F74" s="514" t="n">
        <v>495</v>
      </c>
      <c r="G74" s="514" t="n">
        <v>137</v>
      </c>
      <c r="H74" s="514" t="n">
        <v>832</v>
      </c>
      <c r="I74" s="514" t="n">
        <v>441</v>
      </c>
      <c r="J74" s="514" t="n">
        <v>391</v>
      </c>
      <c r="K74" s="514" t="n">
        <v>0</v>
      </c>
      <c r="L74" s="19" t="n">
        <f aca="false">(K74/H74)*100</f>
        <v>0</v>
      </c>
      <c r="M74" s="514" t="n">
        <v>0</v>
      </c>
      <c r="N74" s="19" t="n">
        <f aca="false">(M74/H74)*100</f>
        <v>0</v>
      </c>
      <c r="O74" s="514" t="n">
        <v>0</v>
      </c>
      <c r="P74" s="514" t="n">
        <v>0</v>
      </c>
      <c r="Q74" s="45" t="s">
        <v>49</v>
      </c>
      <c r="R74" s="53" t="n">
        <v>44825</v>
      </c>
      <c r="S74" s="514"/>
      <c r="T74" s="261" t="n">
        <v>0</v>
      </c>
      <c r="U74" s="45"/>
      <c r="V74" s="514"/>
      <c r="W74" s="514"/>
      <c r="X74" s="514"/>
      <c r="Y74" s="514"/>
      <c r="Z74" s="514"/>
      <c r="AA74" s="273" t="n">
        <v>0</v>
      </c>
      <c r="AB74" s="273" t="n">
        <v>0</v>
      </c>
      <c r="AC74" s="340" t="n">
        <v>0</v>
      </c>
      <c r="AD74" s="261" t="n">
        <v>0</v>
      </c>
      <c r="AE74" s="261" t="n">
        <v>0</v>
      </c>
      <c r="AF74" s="586"/>
      <c r="AG74" s="586"/>
      <c r="AH74" s="586"/>
    </row>
    <row r="75" customFormat="false" ht="15.75" hidden="false" customHeight="false" outlineLevel="0" collapsed="false">
      <c r="A75" s="514" t="s">
        <v>42</v>
      </c>
      <c r="B75" s="514" t="s">
        <v>4261</v>
      </c>
      <c r="C75" s="515" t="s">
        <v>4933</v>
      </c>
      <c r="D75" s="514" t="s">
        <v>1131</v>
      </c>
      <c r="E75" s="514" t="s">
        <v>4940</v>
      </c>
      <c r="F75" s="514" t="n">
        <v>781.81</v>
      </c>
      <c r="G75" s="514" t="n">
        <v>110</v>
      </c>
      <c r="H75" s="514" t="n">
        <v>674</v>
      </c>
      <c r="I75" s="514" t="n">
        <v>344</v>
      </c>
      <c r="J75" s="514" t="n">
        <v>330</v>
      </c>
      <c r="K75" s="514" t="n">
        <v>201</v>
      </c>
      <c r="L75" s="19" t="n">
        <f aca="false">(K75/H75)*100</f>
        <v>29.8219584569733</v>
      </c>
      <c r="M75" s="514" t="n">
        <v>18</v>
      </c>
      <c r="N75" s="19" t="n">
        <f aca="false">(M75/H75)*100</f>
        <v>2.67062314540059</v>
      </c>
      <c r="O75" s="514" t="n">
        <v>0</v>
      </c>
      <c r="P75" s="514" t="n">
        <v>0</v>
      </c>
      <c r="Q75" s="45" t="s">
        <v>49</v>
      </c>
      <c r="R75" s="53" t="n">
        <v>44825</v>
      </c>
      <c r="S75" s="514"/>
      <c r="T75" s="261" t="n">
        <v>0</v>
      </c>
      <c r="U75" s="45"/>
      <c r="V75" s="514"/>
      <c r="W75" s="514"/>
      <c r="X75" s="514"/>
      <c r="Y75" s="514"/>
      <c r="Z75" s="514"/>
      <c r="AA75" s="273" t="n">
        <v>0</v>
      </c>
      <c r="AB75" s="273" t="n">
        <v>0</v>
      </c>
      <c r="AC75" s="340" t="n">
        <v>0</v>
      </c>
      <c r="AD75" s="261" t="n">
        <v>0</v>
      </c>
      <c r="AE75" s="261" t="n">
        <v>0</v>
      </c>
      <c r="AF75" s="586"/>
      <c r="AG75" s="586"/>
      <c r="AH75" s="586"/>
    </row>
    <row r="76" customFormat="false" ht="15.75" hidden="false" customHeight="false" outlineLevel="0" collapsed="false">
      <c r="A76" s="514" t="s">
        <v>42</v>
      </c>
      <c r="B76" s="514" t="s">
        <v>4261</v>
      </c>
      <c r="C76" s="515" t="s">
        <v>4933</v>
      </c>
      <c r="D76" s="514" t="s">
        <v>4941</v>
      </c>
      <c r="E76" s="514" t="s">
        <v>4942</v>
      </c>
      <c r="F76" s="514" t="n">
        <v>288.28</v>
      </c>
      <c r="G76" s="514" t="n">
        <v>130</v>
      </c>
      <c r="H76" s="514" t="n">
        <v>616</v>
      </c>
      <c r="I76" s="514" t="n">
        <v>305</v>
      </c>
      <c r="J76" s="514" t="n">
        <v>311</v>
      </c>
      <c r="K76" s="514" t="n">
        <v>0</v>
      </c>
      <c r="L76" s="19" t="n">
        <f aca="false">(K76/H76)*100</f>
        <v>0</v>
      </c>
      <c r="M76" s="514" t="n">
        <v>602</v>
      </c>
      <c r="N76" s="19" t="n">
        <f aca="false">(M76/H76)*100</f>
        <v>97.7272727272727</v>
      </c>
      <c r="O76" s="514" t="n">
        <v>0</v>
      </c>
      <c r="P76" s="514" t="n">
        <v>0</v>
      </c>
      <c r="Q76" s="45" t="s">
        <v>49</v>
      </c>
      <c r="R76" s="53" t="n">
        <v>44825</v>
      </c>
      <c r="S76" s="514"/>
      <c r="T76" s="261" t="n">
        <v>0</v>
      </c>
      <c r="U76" s="45"/>
      <c r="V76" s="514"/>
      <c r="W76" s="514"/>
      <c r="X76" s="514"/>
      <c r="Y76" s="514"/>
      <c r="Z76" s="514"/>
      <c r="AA76" s="273" t="n">
        <v>0</v>
      </c>
      <c r="AB76" s="273" t="n">
        <v>0</v>
      </c>
      <c r="AC76" s="340" t="n">
        <v>0</v>
      </c>
      <c r="AD76" s="261" t="n">
        <v>0</v>
      </c>
      <c r="AE76" s="261" t="n">
        <v>0</v>
      </c>
      <c r="AF76" s="586"/>
    </row>
    <row r="77" customFormat="false" ht="15.75" hidden="false" customHeight="false" outlineLevel="0" collapsed="false">
      <c r="A77" s="514" t="s">
        <v>42</v>
      </c>
      <c r="B77" s="514" t="s">
        <v>4261</v>
      </c>
      <c r="C77" s="515" t="s">
        <v>4943</v>
      </c>
      <c r="D77" s="516" t="s">
        <v>4943</v>
      </c>
      <c r="E77" s="514" t="s">
        <v>4944</v>
      </c>
      <c r="F77" s="514" t="n">
        <v>441.37</v>
      </c>
      <c r="G77" s="514" t="n">
        <v>109</v>
      </c>
      <c r="H77" s="514" t="n">
        <v>616</v>
      </c>
      <c r="I77" s="514" t="n">
        <v>321</v>
      </c>
      <c r="J77" s="514" t="n">
        <v>295</v>
      </c>
      <c r="K77" s="514" t="n">
        <v>51</v>
      </c>
      <c r="L77" s="19" t="n">
        <f aca="false">(K77/H77)*100</f>
        <v>8.27922077922078</v>
      </c>
      <c r="M77" s="514" t="n">
        <v>0</v>
      </c>
      <c r="N77" s="19" t="n">
        <f aca="false">(M77/H77)*100</f>
        <v>0</v>
      </c>
      <c r="O77" s="514" t="n">
        <v>0</v>
      </c>
      <c r="P77" s="514" t="n">
        <v>0</v>
      </c>
      <c r="Q77" s="45" t="s">
        <v>49</v>
      </c>
      <c r="R77" s="53" t="n">
        <v>44823</v>
      </c>
      <c r="S77" s="514"/>
      <c r="T77" s="45" t="n">
        <v>55</v>
      </c>
      <c r="U77" s="45"/>
      <c r="V77" s="514"/>
      <c r="W77" s="514"/>
      <c r="X77" s="514"/>
      <c r="Y77" s="514"/>
      <c r="Z77" s="514"/>
      <c r="AA77" s="47" t="s">
        <v>266</v>
      </c>
      <c r="AB77" s="47"/>
      <c r="AC77" s="128" t="n">
        <v>0</v>
      </c>
      <c r="AD77" s="45"/>
      <c r="AE77" s="45"/>
      <c r="AF77" s="586"/>
    </row>
    <row r="78" customFormat="false" ht="15.75" hidden="false" customHeight="false" outlineLevel="0" collapsed="false">
      <c r="A78" s="514" t="s">
        <v>42</v>
      </c>
      <c r="B78" s="514" t="s">
        <v>4261</v>
      </c>
      <c r="C78" s="515" t="s">
        <v>4943</v>
      </c>
      <c r="D78" s="514" t="s">
        <v>4945</v>
      </c>
      <c r="E78" s="514" t="s">
        <v>4946</v>
      </c>
      <c r="F78" s="514" t="n">
        <v>586</v>
      </c>
      <c r="G78" s="514" t="n">
        <v>56</v>
      </c>
      <c r="H78" s="514" t="n">
        <v>340</v>
      </c>
      <c r="I78" s="514" t="n">
        <v>178</v>
      </c>
      <c r="J78" s="514" t="n">
        <v>162</v>
      </c>
      <c r="K78" s="514" t="n">
        <v>0</v>
      </c>
      <c r="L78" s="19" t="n">
        <f aca="false">(K78/H78)*100</f>
        <v>0</v>
      </c>
      <c r="M78" s="514" t="n">
        <v>0</v>
      </c>
      <c r="N78" s="19" t="n">
        <f aca="false">(M78/H78)*100</f>
        <v>0</v>
      </c>
      <c r="O78" s="514" t="n">
        <v>0</v>
      </c>
      <c r="P78" s="514" t="n">
        <v>0</v>
      </c>
      <c r="Q78" s="45" t="s">
        <v>49</v>
      </c>
      <c r="R78" s="53" t="n">
        <v>44823</v>
      </c>
      <c r="S78" s="514"/>
      <c r="T78" s="45" t="n">
        <v>0</v>
      </c>
      <c r="U78" s="45"/>
      <c r="V78" s="514"/>
      <c r="W78" s="514"/>
      <c r="X78" s="514"/>
      <c r="Y78" s="514"/>
      <c r="Z78" s="514"/>
      <c r="AA78" s="47" t="s">
        <v>266</v>
      </c>
      <c r="AB78" s="47" t="n">
        <v>0</v>
      </c>
      <c r="AC78" s="128" t="n">
        <v>0</v>
      </c>
      <c r="AD78" s="45" t="n">
        <v>0</v>
      </c>
      <c r="AE78" s="45" t="n">
        <v>0</v>
      </c>
    </row>
    <row r="79" customFormat="false" ht="15.75" hidden="false" customHeight="false" outlineLevel="0" collapsed="false">
      <c r="A79" s="514" t="s">
        <v>42</v>
      </c>
      <c r="B79" s="514" t="s">
        <v>4261</v>
      </c>
      <c r="C79" s="515" t="s">
        <v>4943</v>
      </c>
      <c r="D79" s="514" t="s">
        <v>4947</v>
      </c>
      <c r="E79" s="514" t="s">
        <v>4948</v>
      </c>
      <c r="F79" s="514" t="n">
        <v>798.63</v>
      </c>
      <c r="G79" s="514" t="n">
        <v>52</v>
      </c>
      <c r="H79" s="514" t="n">
        <v>324</v>
      </c>
      <c r="I79" s="514" t="n">
        <v>176</v>
      </c>
      <c r="J79" s="514" t="n">
        <v>148</v>
      </c>
      <c r="K79" s="514" t="n">
        <v>0</v>
      </c>
      <c r="L79" s="19" t="n">
        <f aca="false">(K79/H79)*100</f>
        <v>0</v>
      </c>
      <c r="M79" s="514" t="n">
        <v>0</v>
      </c>
      <c r="N79" s="19" t="n">
        <f aca="false">(M79/H79)*100</f>
        <v>0</v>
      </c>
      <c r="O79" s="514" t="n">
        <v>0</v>
      </c>
      <c r="P79" s="514" t="n">
        <v>0</v>
      </c>
      <c r="Q79" s="45" t="s">
        <v>49</v>
      </c>
      <c r="R79" s="53" t="n">
        <v>44823</v>
      </c>
      <c r="S79" s="514"/>
      <c r="T79" s="45" t="n">
        <v>0</v>
      </c>
      <c r="U79" s="45"/>
      <c r="V79" s="514"/>
      <c r="W79" s="514"/>
      <c r="X79" s="514"/>
      <c r="Y79" s="514"/>
      <c r="Z79" s="514"/>
      <c r="AA79" s="47" t="s">
        <v>266</v>
      </c>
      <c r="AB79" s="47" t="n">
        <v>0</v>
      </c>
      <c r="AC79" s="128" t="n">
        <v>0</v>
      </c>
      <c r="AD79" s="45" t="n">
        <v>0</v>
      </c>
      <c r="AE79" s="45" t="n">
        <v>0</v>
      </c>
    </row>
    <row r="80" customFormat="false" ht="15.75" hidden="false" customHeight="false" outlineLevel="0" collapsed="false">
      <c r="A80" s="514" t="s">
        <v>42</v>
      </c>
      <c r="B80" s="514" t="s">
        <v>4261</v>
      </c>
      <c r="C80" s="515" t="s">
        <v>4943</v>
      </c>
      <c r="D80" s="514" t="s">
        <v>1680</v>
      </c>
      <c r="E80" s="514" t="s">
        <v>4949</v>
      </c>
      <c r="F80" s="514" t="n">
        <v>233</v>
      </c>
      <c r="G80" s="514" t="n">
        <v>74</v>
      </c>
      <c r="H80" s="514" t="n">
        <v>434</v>
      </c>
      <c r="I80" s="514" t="n">
        <v>229</v>
      </c>
      <c r="J80" s="514" t="n">
        <v>205</v>
      </c>
      <c r="K80" s="514" t="n">
        <v>0</v>
      </c>
      <c r="L80" s="19" t="n">
        <f aca="false">(K80/H80)*100</f>
        <v>0</v>
      </c>
      <c r="M80" s="514" t="n">
        <v>0</v>
      </c>
      <c r="N80" s="19" t="n">
        <f aca="false">(M80/H80)*100</f>
        <v>0</v>
      </c>
      <c r="O80" s="514" t="n">
        <v>0</v>
      </c>
      <c r="P80" s="514" t="n">
        <v>0</v>
      </c>
      <c r="Q80" s="45" t="s">
        <v>49</v>
      </c>
      <c r="R80" s="53" t="n">
        <v>44823</v>
      </c>
      <c r="S80" s="514"/>
      <c r="T80" s="45" t="n">
        <v>0</v>
      </c>
      <c r="U80" s="45"/>
      <c r="V80" s="514"/>
      <c r="W80" s="514"/>
      <c r="X80" s="514"/>
      <c r="Y80" s="514"/>
      <c r="Z80" s="514"/>
      <c r="AA80" s="47" t="s">
        <v>266</v>
      </c>
      <c r="AB80" s="47" t="n">
        <v>0</v>
      </c>
      <c r="AC80" s="128" t="n">
        <v>0</v>
      </c>
      <c r="AD80" s="45" t="n">
        <v>0</v>
      </c>
      <c r="AE80" s="45" t="n">
        <v>0</v>
      </c>
    </row>
    <row r="81" customFormat="false" ht="15.75" hidden="false" customHeight="false" outlineLevel="0" collapsed="false">
      <c r="A81" s="514" t="s">
        <v>42</v>
      </c>
      <c r="B81" s="514" t="s">
        <v>4261</v>
      </c>
      <c r="C81" s="515" t="s">
        <v>4943</v>
      </c>
      <c r="D81" s="514" t="s">
        <v>4950</v>
      </c>
      <c r="E81" s="514" t="s">
        <v>4951</v>
      </c>
      <c r="F81" s="514" t="n">
        <v>266.54</v>
      </c>
      <c r="G81" s="514" t="n">
        <v>83</v>
      </c>
      <c r="H81" s="514" t="n">
        <v>539</v>
      </c>
      <c r="I81" s="514" t="n">
        <v>292</v>
      </c>
      <c r="J81" s="514" t="n">
        <v>247</v>
      </c>
      <c r="K81" s="514" t="n">
        <v>85</v>
      </c>
      <c r="L81" s="19" t="n">
        <f aca="false">(K81/H81)*100</f>
        <v>15.7699443413729</v>
      </c>
      <c r="M81" s="514" t="n">
        <v>0</v>
      </c>
      <c r="N81" s="19" t="n">
        <f aca="false">(M81/H81)*100</f>
        <v>0</v>
      </c>
      <c r="O81" s="514" t="n">
        <v>0</v>
      </c>
      <c r="P81" s="514" t="n">
        <v>0</v>
      </c>
      <c r="Q81" s="45" t="s">
        <v>49</v>
      </c>
      <c r="R81" s="53" t="n">
        <v>44823</v>
      </c>
      <c r="S81" s="514"/>
      <c r="T81" s="45" t="n">
        <v>0</v>
      </c>
      <c r="U81" s="45"/>
      <c r="V81" s="514"/>
      <c r="W81" s="514"/>
      <c r="X81" s="514"/>
      <c r="Y81" s="514"/>
      <c r="Z81" s="514"/>
      <c r="AA81" s="47" t="s">
        <v>266</v>
      </c>
      <c r="AB81" s="47" t="n">
        <v>0</v>
      </c>
      <c r="AC81" s="128" t="n">
        <v>0</v>
      </c>
      <c r="AD81" s="45" t="n">
        <v>0</v>
      </c>
      <c r="AE81" s="45" t="n">
        <v>0</v>
      </c>
    </row>
    <row r="82" customFormat="false" ht="23.25" hidden="false" customHeight="true" outlineLevel="0" collapsed="false">
      <c r="A82" s="514" t="s">
        <v>42</v>
      </c>
      <c r="B82" s="514" t="s">
        <v>4261</v>
      </c>
      <c r="C82" s="515" t="s">
        <v>4943</v>
      </c>
      <c r="D82" s="514" t="s">
        <v>4952</v>
      </c>
      <c r="E82" s="514" t="s">
        <v>4953</v>
      </c>
      <c r="F82" s="514" t="n">
        <v>379.88</v>
      </c>
      <c r="G82" s="514" t="n">
        <v>91</v>
      </c>
      <c r="H82" s="514" t="n">
        <v>500</v>
      </c>
      <c r="I82" s="514" t="n">
        <v>272</v>
      </c>
      <c r="J82" s="514" t="n">
        <v>228</v>
      </c>
      <c r="K82" s="514" t="n">
        <v>180</v>
      </c>
      <c r="L82" s="19" t="n">
        <f aca="false">(K82/H82)*100</f>
        <v>36</v>
      </c>
      <c r="M82" s="514" t="n">
        <v>0</v>
      </c>
      <c r="N82" s="19" t="n">
        <f aca="false">(M82/H82)*100</f>
        <v>0</v>
      </c>
      <c r="O82" s="514" t="n">
        <v>0</v>
      </c>
      <c r="P82" s="514" t="n">
        <v>0</v>
      </c>
      <c r="Q82" s="45" t="s">
        <v>49</v>
      </c>
      <c r="R82" s="53" t="n">
        <v>44823</v>
      </c>
      <c r="S82" s="514"/>
      <c r="T82" s="45" t="n">
        <v>27.2434</v>
      </c>
      <c r="U82" s="45"/>
      <c r="V82" s="514"/>
      <c r="W82" s="514"/>
      <c r="X82" s="514"/>
      <c r="Y82" s="514"/>
      <c r="Z82" s="514"/>
      <c r="AA82" s="47" t="s">
        <v>266</v>
      </c>
      <c r="AB82" s="47" t="n">
        <v>20</v>
      </c>
      <c r="AC82" s="128" t="s">
        <v>4954</v>
      </c>
      <c r="AD82" s="45"/>
      <c r="AE82" s="45"/>
      <c r="AF82" s="586"/>
      <c r="AG82" s="586"/>
      <c r="AH82" s="586"/>
    </row>
    <row r="83" customFormat="false" ht="15.75" hidden="false" customHeight="false" outlineLevel="0" collapsed="false">
      <c r="A83" s="514" t="s">
        <v>42</v>
      </c>
      <c r="B83" s="514" t="s">
        <v>4261</v>
      </c>
      <c r="C83" s="515" t="s">
        <v>4955</v>
      </c>
      <c r="D83" s="516" t="s">
        <v>4955</v>
      </c>
      <c r="E83" s="514" t="s">
        <v>4956</v>
      </c>
      <c r="F83" s="514" t="n">
        <v>1460</v>
      </c>
      <c r="G83" s="514" t="n">
        <v>249</v>
      </c>
      <c r="H83" s="514" t="n">
        <v>1520</v>
      </c>
      <c r="I83" s="514" t="n">
        <v>818</v>
      </c>
      <c r="J83" s="514" t="n">
        <v>702</v>
      </c>
      <c r="K83" s="514" t="n">
        <v>368</v>
      </c>
      <c r="L83" s="19" t="n">
        <f aca="false">(K83/H83)*100</f>
        <v>24.2105263157895</v>
      </c>
      <c r="M83" s="514" t="n">
        <v>2</v>
      </c>
      <c r="N83" s="19" t="n">
        <f aca="false">(M83/H83)*100</f>
        <v>0.131578947368421</v>
      </c>
      <c r="O83" s="514" t="n">
        <v>0</v>
      </c>
      <c r="P83" s="514" t="n">
        <v>0</v>
      </c>
      <c r="Q83" s="131" t="s">
        <v>49</v>
      </c>
      <c r="R83" s="517" t="n">
        <v>44825</v>
      </c>
      <c r="S83" s="514"/>
      <c r="T83" s="37" t="n">
        <v>0</v>
      </c>
      <c r="U83" s="131"/>
      <c r="V83" s="514"/>
      <c r="W83" s="514"/>
      <c r="X83" s="514"/>
      <c r="Y83" s="514"/>
      <c r="Z83" s="514"/>
      <c r="AA83" s="581" t="n">
        <v>0</v>
      </c>
      <c r="AB83" s="581" t="n">
        <v>0</v>
      </c>
      <c r="AC83" s="287" t="n">
        <v>0</v>
      </c>
      <c r="AD83" s="37" t="n">
        <v>0</v>
      </c>
      <c r="AE83" s="37" t="n">
        <v>0</v>
      </c>
    </row>
    <row r="84" customFormat="false" ht="15.75" hidden="false" customHeight="false" outlineLevel="0" collapsed="false">
      <c r="A84" s="514" t="s">
        <v>42</v>
      </c>
      <c r="B84" s="514" t="s">
        <v>4261</v>
      </c>
      <c r="C84" s="515" t="s">
        <v>4955</v>
      </c>
      <c r="D84" s="514" t="s">
        <v>4957</v>
      </c>
      <c r="E84" s="514" t="s">
        <v>4958</v>
      </c>
      <c r="F84" s="514" t="n">
        <v>127</v>
      </c>
      <c r="G84" s="514" t="n">
        <v>39</v>
      </c>
      <c r="H84" s="514" t="n">
        <v>192</v>
      </c>
      <c r="I84" s="514" t="n">
        <v>104</v>
      </c>
      <c r="J84" s="514" t="n">
        <v>88</v>
      </c>
      <c r="K84" s="514" t="n">
        <v>192</v>
      </c>
      <c r="L84" s="19" t="n">
        <f aca="false">(K84/H84)*100</f>
        <v>100</v>
      </c>
      <c r="M84" s="514" t="n">
        <v>0</v>
      </c>
      <c r="N84" s="19" t="n">
        <f aca="false">(M84/H84)*100</f>
        <v>0</v>
      </c>
      <c r="O84" s="514" t="n">
        <v>0</v>
      </c>
      <c r="P84" s="514" t="n">
        <v>0</v>
      </c>
      <c r="Q84" s="131" t="s">
        <v>49</v>
      </c>
      <c r="R84" s="517" t="n">
        <v>44825</v>
      </c>
      <c r="S84" s="514"/>
      <c r="T84" s="37" t="n">
        <v>0</v>
      </c>
      <c r="U84" s="131"/>
      <c r="V84" s="514"/>
      <c r="W84" s="514"/>
      <c r="X84" s="514"/>
      <c r="Y84" s="514"/>
      <c r="Z84" s="514"/>
      <c r="AA84" s="581" t="n">
        <v>0</v>
      </c>
      <c r="AB84" s="581" t="n">
        <v>0</v>
      </c>
      <c r="AC84" s="37" t="n">
        <v>0</v>
      </c>
      <c r="AD84" s="37" t="n">
        <v>0</v>
      </c>
      <c r="AE84" s="37" t="n">
        <v>0</v>
      </c>
    </row>
    <row r="85" customFormat="false" ht="15.75" hidden="false" customHeight="false" outlineLevel="0" collapsed="false">
      <c r="A85" s="514" t="s">
        <v>42</v>
      </c>
      <c r="B85" s="514" t="s">
        <v>4261</v>
      </c>
      <c r="C85" s="515" t="s">
        <v>4955</v>
      </c>
      <c r="D85" s="514" t="s">
        <v>4871</v>
      </c>
      <c r="E85" s="514" t="s">
        <v>4959</v>
      </c>
      <c r="F85" s="514" t="n">
        <v>310</v>
      </c>
      <c r="G85" s="514" t="n">
        <v>32</v>
      </c>
      <c r="H85" s="514" t="n">
        <v>206</v>
      </c>
      <c r="I85" s="514" t="n">
        <v>103</v>
      </c>
      <c r="J85" s="514" t="n">
        <v>103</v>
      </c>
      <c r="K85" s="514" t="n">
        <v>0</v>
      </c>
      <c r="L85" s="19" t="n">
        <f aca="false">(K85/H85)*100</f>
        <v>0</v>
      </c>
      <c r="M85" s="514" t="n">
        <v>0</v>
      </c>
      <c r="N85" s="19" t="n">
        <f aca="false">(M85/H85)*100</f>
        <v>0</v>
      </c>
      <c r="O85" s="514" t="n">
        <v>0</v>
      </c>
      <c r="P85" s="514" t="n">
        <v>0</v>
      </c>
      <c r="Q85" s="131" t="s">
        <v>49</v>
      </c>
      <c r="R85" s="517" t="n">
        <v>44825</v>
      </c>
      <c r="S85" s="514"/>
      <c r="T85" s="37" t="n">
        <v>0</v>
      </c>
      <c r="U85" s="131"/>
      <c r="V85" s="514"/>
      <c r="W85" s="514"/>
      <c r="X85" s="514"/>
      <c r="Y85" s="514"/>
      <c r="Z85" s="514"/>
      <c r="AA85" s="581" t="n">
        <v>0</v>
      </c>
      <c r="AB85" s="581" t="n">
        <v>0</v>
      </c>
      <c r="AC85" s="37" t="n">
        <v>0</v>
      </c>
      <c r="AD85" s="37" t="n">
        <v>0</v>
      </c>
      <c r="AE85" s="37" t="n">
        <v>0</v>
      </c>
    </row>
    <row r="86" customFormat="false" ht="15.75" hidden="false" customHeight="false" outlineLevel="0" collapsed="false">
      <c r="A86" s="514" t="s">
        <v>42</v>
      </c>
      <c r="B86" s="514" t="s">
        <v>4261</v>
      </c>
      <c r="C86" s="515" t="s">
        <v>4960</v>
      </c>
      <c r="D86" s="516" t="s">
        <v>4960</v>
      </c>
      <c r="E86" s="514" t="s">
        <v>4961</v>
      </c>
      <c r="F86" s="514" t="n">
        <v>557</v>
      </c>
      <c r="G86" s="514" t="n">
        <v>175</v>
      </c>
      <c r="H86" s="514" t="n">
        <v>988</v>
      </c>
      <c r="I86" s="514" t="n">
        <v>551</v>
      </c>
      <c r="J86" s="514" t="n">
        <v>437</v>
      </c>
      <c r="K86" s="514" t="n">
        <v>0</v>
      </c>
      <c r="L86" s="19" t="n">
        <f aca="false">(K86/H86)*100</f>
        <v>0</v>
      </c>
      <c r="M86" s="514" t="n">
        <v>0</v>
      </c>
      <c r="N86" s="19" t="n">
        <f aca="false">(M86/H86)*100</f>
        <v>0</v>
      </c>
      <c r="O86" s="514" t="n">
        <v>0</v>
      </c>
      <c r="P86" s="514" t="n">
        <v>0</v>
      </c>
      <c r="Q86" s="131" t="s">
        <v>49</v>
      </c>
      <c r="R86" s="517" t="n">
        <v>44824</v>
      </c>
      <c r="S86" s="514"/>
      <c r="T86" s="131"/>
      <c r="U86" s="131"/>
      <c r="V86" s="514"/>
      <c r="W86" s="514"/>
      <c r="X86" s="514"/>
      <c r="Y86" s="514"/>
      <c r="Z86" s="514"/>
      <c r="AA86" s="132" t="s">
        <v>266</v>
      </c>
      <c r="AB86" s="132" t="n">
        <v>0</v>
      </c>
      <c r="AC86" s="287" t="s">
        <v>4962</v>
      </c>
      <c r="AD86" s="131"/>
      <c r="AE86" s="131"/>
    </row>
    <row r="87" customFormat="false" ht="15.75" hidden="false" customHeight="false" outlineLevel="0" collapsed="false">
      <c r="A87" s="514" t="s">
        <v>42</v>
      </c>
      <c r="B87" s="514" t="s">
        <v>4261</v>
      </c>
      <c r="C87" s="515" t="s">
        <v>4960</v>
      </c>
      <c r="D87" s="514" t="s">
        <v>4963</v>
      </c>
      <c r="E87" s="514" t="s">
        <v>4964</v>
      </c>
      <c r="F87" s="514" t="n">
        <v>885</v>
      </c>
      <c r="G87" s="514" t="n">
        <v>101</v>
      </c>
      <c r="H87" s="514" t="n">
        <v>580</v>
      </c>
      <c r="I87" s="514" t="n">
        <v>303</v>
      </c>
      <c r="J87" s="514" t="n">
        <v>277</v>
      </c>
      <c r="K87" s="514" t="n">
        <v>0</v>
      </c>
      <c r="L87" s="19" t="n">
        <f aca="false">(K87/H87)*100</f>
        <v>0</v>
      </c>
      <c r="M87" s="514" t="n">
        <v>0</v>
      </c>
      <c r="N87" s="19" t="n">
        <f aca="false">(M87/H87)*100</f>
        <v>0</v>
      </c>
      <c r="O87" s="514" t="n">
        <v>0</v>
      </c>
      <c r="P87" s="514" t="n">
        <v>0</v>
      </c>
      <c r="Q87" s="131" t="s">
        <v>49</v>
      </c>
      <c r="R87" s="517" t="n">
        <v>44824</v>
      </c>
      <c r="S87" s="514"/>
      <c r="T87" s="131" t="n">
        <v>0.0971</v>
      </c>
      <c r="U87" s="131"/>
      <c r="V87" s="514"/>
      <c r="W87" s="514"/>
      <c r="X87" s="514"/>
      <c r="Y87" s="514"/>
      <c r="Z87" s="514"/>
      <c r="AA87" s="132" t="s">
        <v>266</v>
      </c>
      <c r="AB87" s="132" t="n">
        <v>0</v>
      </c>
      <c r="AC87" s="287" t="s">
        <v>4965</v>
      </c>
      <c r="AD87" s="131"/>
      <c r="AE87" s="131"/>
    </row>
    <row r="88" customFormat="false" ht="15.75" hidden="false" customHeight="false" outlineLevel="0" collapsed="false">
      <c r="A88" s="514" t="s">
        <v>42</v>
      </c>
      <c r="B88" s="514" t="s">
        <v>4261</v>
      </c>
      <c r="C88" s="515" t="s">
        <v>4960</v>
      </c>
      <c r="D88" s="514" t="s">
        <v>4966</v>
      </c>
      <c r="E88" s="514" t="s">
        <v>4967</v>
      </c>
      <c r="F88" s="514" t="n">
        <v>342</v>
      </c>
      <c r="G88" s="514" t="n">
        <v>89</v>
      </c>
      <c r="H88" s="514" t="n">
        <v>465</v>
      </c>
      <c r="I88" s="514" t="n">
        <v>242</v>
      </c>
      <c r="J88" s="514" t="n">
        <v>223</v>
      </c>
      <c r="K88" s="514" t="n">
        <v>0</v>
      </c>
      <c r="L88" s="19" t="n">
        <f aca="false">(K88/H88)*100</f>
        <v>0</v>
      </c>
      <c r="M88" s="514" t="n">
        <v>0</v>
      </c>
      <c r="N88" s="19" t="n">
        <f aca="false">(M88/H88)*100</f>
        <v>0</v>
      </c>
      <c r="O88" s="514" t="n">
        <v>0</v>
      </c>
      <c r="P88" s="514" t="n">
        <v>0</v>
      </c>
      <c r="Q88" s="131" t="s">
        <v>49</v>
      </c>
      <c r="R88" s="517" t="n">
        <v>44824</v>
      </c>
      <c r="S88" s="514"/>
      <c r="T88" s="131"/>
      <c r="U88" s="131"/>
      <c r="V88" s="514"/>
      <c r="W88" s="514"/>
      <c r="X88" s="514"/>
      <c r="Y88" s="514"/>
      <c r="Z88" s="514"/>
      <c r="AA88" s="132" t="s">
        <v>266</v>
      </c>
      <c r="AB88" s="132" t="n">
        <v>1</v>
      </c>
      <c r="AC88" s="287" t="s">
        <v>4968</v>
      </c>
      <c r="AD88" s="131"/>
      <c r="AE88" s="131"/>
    </row>
    <row r="89" customFormat="false" ht="15.75" hidden="false" customHeight="false" outlineLevel="0" collapsed="false">
      <c r="A89" s="514" t="s">
        <v>42</v>
      </c>
      <c r="B89" s="514" t="s">
        <v>4261</v>
      </c>
      <c r="C89" s="515" t="s">
        <v>4960</v>
      </c>
      <c r="D89" s="514" t="s">
        <v>4969</v>
      </c>
      <c r="E89" s="514" t="s">
        <v>4970</v>
      </c>
      <c r="F89" s="514" t="n">
        <v>432</v>
      </c>
      <c r="G89" s="514" t="n">
        <v>103</v>
      </c>
      <c r="H89" s="514" t="n">
        <v>635</v>
      </c>
      <c r="I89" s="514" t="n">
        <v>337</v>
      </c>
      <c r="J89" s="514" t="n">
        <v>298</v>
      </c>
      <c r="K89" s="514" t="n">
        <v>159</v>
      </c>
      <c r="L89" s="19" t="n">
        <f aca="false">(K89/H89)*100</f>
        <v>25.0393700787402</v>
      </c>
      <c r="M89" s="514" t="n">
        <v>0</v>
      </c>
      <c r="N89" s="19" t="n">
        <f aca="false">(M89/H89)*100</f>
        <v>0</v>
      </c>
      <c r="O89" s="514" t="n">
        <v>0</v>
      </c>
      <c r="P89" s="514" t="n">
        <v>0</v>
      </c>
      <c r="Q89" s="131" t="s">
        <v>49</v>
      </c>
      <c r="R89" s="517" t="n">
        <v>44824</v>
      </c>
      <c r="S89" s="514"/>
      <c r="T89" s="131"/>
      <c r="U89" s="131"/>
      <c r="V89" s="514"/>
      <c r="W89" s="514"/>
      <c r="X89" s="514"/>
      <c r="Y89" s="514"/>
      <c r="Z89" s="514"/>
      <c r="AA89" s="132" t="s">
        <v>266</v>
      </c>
      <c r="AB89" s="132" t="n">
        <v>10</v>
      </c>
      <c r="AC89" s="287" t="s">
        <v>4971</v>
      </c>
      <c r="AD89" s="131"/>
      <c r="AE89" s="131"/>
    </row>
    <row r="90" customFormat="false" ht="31.5" hidden="false" customHeight="false" outlineLevel="0" collapsed="false">
      <c r="A90" s="514" t="s">
        <v>42</v>
      </c>
      <c r="B90" s="514" t="s">
        <v>4261</v>
      </c>
      <c r="C90" s="515" t="s">
        <v>4972</v>
      </c>
      <c r="D90" s="516" t="s">
        <v>4973</v>
      </c>
      <c r="E90" s="514" t="s">
        <v>4974</v>
      </c>
      <c r="F90" s="514" t="n">
        <v>1986</v>
      </c>
      <c r="G90" s="514" t="n">
        <v>306</v>
      </c>
      <c r="H90" s="514" t="n">
        <v>1863</v>
      </c>
      <c r="I90" s="514" t="n">
        <v>978</v>
      </c>
      <c r="J90" s="514" t="n">
        <v>885</v>
      </c>
      <c r="K90" s="514" t="n">
        <v>222</v>
      </c>
      <c r="L90" s="19" t="n">
        <f aca="false">(K90/H90)*100</f>
        <v>11.9162640901771</v>
      </c>
      <c r="M90" s="514" t="n">
        <v>21</v>
      </c>
      <c r="N90" s="19" t="n">
        <f aca="false">(M90/H90)*100</f>
        <v>1.12721417069243</v>
      </c>
      <c r="O90" s="514" t="n">
        <v>0</v>
      </c>
      <c r="P90" s="514" t="n">
        <v>0</v>
      </c>
      <c r="Q90" s="131" t="s">
        <v>49</v>
      </c>
      <c r="R90" s="517" t="n">
        <v>44826</v>
      </c>
      <c r="S90" s="514"/>
      <c r="T90" s="131"/>
      <c r="U90" s="131"/>
      <c r="V90" s="514"/>
      <c r="W90" s="514"/>
      <c r="X90" s="514"/>
      <c r="Y90" s="514"/>
      <c r="Z90" s="514"/>
      <c r="AA90" s="132" t="s">
        <v>266</v>
      </c>
      <c r="AB90" s="132" t="n">
        <v>15</v>
      </c>
      <c r="AC90" s="287" t="s">
        <v>4975</v>
      </c>
      <c r="AD90" s="131"/>
      <c r="AE90" s="131"/>
    </row>
    <row r="91" customFormat="false" ht="15.75" hidden="false" customHeight="false" outlineLevel="0" collapsed="false">
      <c r="A91" s="514" t="s">
        <v>42</v>
      </c>
      <c r="B91" s="514" t="s">
        <v>4261</v>
      </c>
      <c r="C91" s="515" t="s">
        <v>4972</v>
      </c>
      <c r="D91" s="514" t="s">
        <v>4976</v>
      </c>
      <c r="E91" s="514" t="s">
        <v>4977</v>
      </c>
      <c r="F91" s="514" t="n">
        <v>255</v>
      </c>
      <c r="G91" s="514" t="n">
        <v>102</v>
      </c>
      <c r="H91" s="514" t="n">
        <v>620</v>
      </c>
      <c r="I91" s="514" t="n">
        <v>341</v>
      </c>
      <c r="J91" s="514" t="n">
        <v>279</v>
      </c>
      <c r="K91" s="514" t="n">
        <v>577</v>
      </c>
      <c r="L91" s="19" t="n">
        <f aca="false">(K91/H91)*100</f>
        <v>93.0645161290323</v>
      </c>
      <c r="M91" s="514" t="n">
        <v>0</v>
      </c>
      <c r="N91" s="19" t="n">
        <f aca="false">(M91/H91)*100</f>
        <v>0</v>
      </c>
      <c r="O91" s="514" t="n">
        <v>0</v>
      </c>
      <c r="P91" s="514" t="n">
        <v>0</v>
      </c>
      <c r="Q91" s="131" t="s">
        <v>49</v>
      </c>
      <c r="R91" s="517" t="n">
        <v>44826</v>
      </c>
      <c r="S91" s="514"/>
      <c r="T91" s="131" t="n">
        <v>0</v>
      </c>
      <c r="U91" s="131"/>
      <c r="V91" s="514"/>
      <c r="W91" s="514"/>
      <c r="X91" s="514"/>
      <c r="Y91" s="514"/>
      <c r="Z91" s="514"/>
      <c r="AA91" s="132" t="s">
        <v>266</v>
      </c>
      <c r="AB91" s="132" t="n">
        <v>0</v>
      </c>
      <c r="AC91" s="37" t="n">
        <v>0</v>
      </c>
      <c r="AD91" s="131" t="n">
        <v>0</v>
      </c>
      <c r="AE91" s="131" t="n">
        <v>0</v>
      </c>
    </row>
    <row r="92" customFormat="false" ht="15.75" hidden="false" customHeight="false" outlineLevel="0" collapsed="false">
      <c r="A92" s="514" t="s">
        <v>42</v>
      </c>
      <c r="B92" s="514" t="s">
        <v>4261</v>
      </c>
      <c r="C92" s="515" t="s">
        <v>4978</v>
      </c>
      <c r="D92" s="516" t="s">
        <v>1994</v>
      </c>
      <c r="E92" s="514" t="s">
        <v>4979</v>
      </c>
      <c r="F92" s="514" t="n">
        <v>878</v>
      </c>
      <c r="G92" s="514" t="n">
        <v>149</v>
      </c>
      <c r="H92" s="514" t="n">
        <v>891</v>
      </c>
      <c r="I92" s="514" t="n">
        <v>471</v>
      </c>
      <c r="J92" s="514" t="n">
        <v>420</v>
      </c>
      <c r="K92" s="514" t="n">
        <v>101</v>
      </c>
      <c r="L92" s="19" t="n">
        <f aca="false">(K92/H92)*100</f>
        <v>11.3355780022447</v>
      </c>
      <c r="M92" s="514" t="n">
        <v>0</v>
      </c>
      <c r="N92" s="19" t="n">
        <f aca="false">(M92/H92)*100</f>
        <v>0</v>
      </c>
      <c r="O92" s="514" t="n">
        <v>32</v>
      </c>
      <c r="P92" s="514" t="n">
        <v>0</v>
      </c>
      <c r="Q92" s="131" t="s">
        <v>49</v>
      </c>
      <c r="R92" s="517" t="n">
        <v>44824</v>
      </c>
      <c r="S92" s="514"/>
      <c r="T92" s="131" t="n">
        <v>21.0274</v>
      </c>
      <c r="U92" s="131"/>
      <c r="V92" s="514"/>
      <c r="W92" s="514"/>
      <c r="X92" s="514"/>
      <c r="Y92" s="514"/>
      <c r="Z92" s="514"/>
      <c r="AA92" s="132" t="s">
        <v>266</v>
      </c>
      <c r="AB92" s="132" t="n">
        <v>7</v>
      </c>
      <c r="AC92" s="287" t="s">
        <v>4980</v>
      </c>
      <c r="AD92" s="131"/>
      <c r="AE92" s="131"/>
    </row>
    <row r="93" customFormat="false" ht="15.75" hidden="false" customHeight="false" outlineLevel="0" collapsed="false">
      <c r="A93" s="514" t="s">
        <v>42</v>
      </c>
      <c r="B93" s="514" t="s">
        <v>4261</v>
      </c>
      <c r="C93" s="515" t="s">
        <v>4978</v>
      </c>
      <c r="D93" s="516" t="s">
        <v>1994</v>
      </c>
      <c r="E93" s="514" t="s">
        <v>4979</v>
      </c>
      <c r="F93" s="514" t="n">
        <v>878</v>
      </c>
      <c r="G93" s="514" t="n">
        <v>149</v>
      </c>
      <c r="H93" s="514" t="n">
        <v>891</v>
      </c>
      <c r="I93" s="514" t="n">
        <v>471</v>
      </c>
      <c r="J93" s="514" t="n">
        <v>420</v>
      </c>
      <c r="K93" s="514" t="n">
        <v>101</v>
      </c>
      <c r="L93" s="19" t="n">
        <f aca="false">(K93/H93)*100</f>
        <v>11.3355780022447</v>
      </c>
      <c r="M93" s="514" t="n">
        <v>0</v>
      </c>
      <c r="N93" s="19" t="n">
        <f aca="false">(M93/H93)*100</f>
        <v>0</v>
      </c>
      <c r="O93" s="514" t="n">
        <v>32</v>
      </c>
      <c r="P93" s="514" t="n">
        <v>0</v>
      </c>
      <c r="Q93" s="131"/>
      <c r="R93" s="131"/>
      <c r="S93" s="514"/>
      <c r="T93" s="131"/>
      <c r="U93" s="131"/>
      <c r="V93" s="514"/>
      <c r="W93" s="514"/>
      <c r="X93" s="514"/>
      <c r="Y93" s="514"/>
      <c r="Z93" s="514"/>
      <c r="AA93" s="132"/>
      <c r="AB93" s="132"/>
      <c r="AC93" s="596"/>
      <c r="AD93" s="597"/>
      <c r="AE93" s="131"/>
    </row>
    <row r="94" customFormat="false" ht="15.75" hidden="false" customHeight="false" outlineLevel="0" collapsed="false">
      <c r="A94" s="514" t="s">
        <v>42</v>
      </c>
      <c r="B94" s="514" t="s">
        <v>4261</v>
      </c>
      <c r="C94" s="515" t="s">
        <v>4978</v>
      </c>
      <c r="D94" s="514" t="s">
        <v>4981</v>
      </c>
      <c r="E94" s="514" t="s">
        <v>4982</v>
      </c>
      <c r="F94" s="514" t="n">
        <v>227</v>
      </c>
      <c r="G94" s="514" t="n">
        <v>25</v>
      </c>
      <c r="H94" s="514" t="n">
        <v>157</v>
      </c>
      <c r="I94" s="514" t="n">
        <v>79</v>
      </c>
      <c r="J94" s="514" t="n">
        <v>78</v>
      </c>
      <c r="K94" s="514" t="n">
        <v>0</v>
      </c>
      <c r="L94" s="19" t="n">
        <f aca="false">(K94/H94)*100</f>
        <v>0</v>
      </c>
      <c r="M94" s="514" t="n">
        <v>0</v>
      </c>
      <c r="N94" s="19" t="n">
        <f aca="false">(M94/H94)*100</f>
        <v>0</v>
      </c>
      <c r="O94" s="514" t="n">
        <v>0</v>
      </c>
      <c r="P94" s="514" t="n">
        <v>5</v>
      </c>
      <c r="Q94" s="131" t="s">
        <v>49</v>
      </c>
      <c r="R94" s="517" t="n">
        <v>44824</v>
      </c>
      <c r="S94" s="514"/>
      <c r="T94" s="131" t="n">
        <v>0</v>
      </c>
      <c r="U94" s="131"/>
      <c r="V94" s="514"/>
      <c r="W94" s="514"/>
      <c r="X94" s="514"/>
      <c r="Y94" s="514"/>
      <c r="Z94" s="514"/>
      <c r="AA94" s="132" t="n">
        <v>0</v>
      </c>
      <c r="AB94" s="132" t="n">
        <v>0</v>
      </c>
      <c r="AC94" s="287" t="n">
        <v>0</v>
      </c>
      <c r="AD94" s="131" t="n">
        <v>0</v>
      </c>
      <c r="AE94" s="131" t="n">
        <v>0</v>
      </c>
    </row>
    <row r="95" customFormat="false" ht="15.75" hidden="false" customHeight="false" outlineLevel="0" collapsed="false">
      <c r="A95" s="514" t="s">
        <v>42</v>
      </c>
      <c r="B95" s="514" t="s">
        <v>4261</v>
      </c>
      <c r="C95" s="515" t="s">
        <v>4978</v>
      </c>
      <c r="D95" s="514" t="s">
        <v>4976</v>
      </c>
      <c r="E95" s="514" t="s">
        <v>4983</v>
      </c>
      <c r="F95" s="514" t="n">
        <v>398</v>
      </c>
      <c r="G95" s="514" t="n">
        <v>57</v>
      </c>
      <c r="H95" s="514" t="n">
        <v>289</v>
      </c>
      <c r="I95" s="514" t="n">
        <v>168</v>
      </c>
      <c r="J95" s="514" t="n">
        <v>121</v>
      </c>
      <c r="K95" s="514" t="n">
        <v>0</v>
      </c>
      <c r="L95" s="19" t="n">
        <f aca="false">(K95/H95)*100</f>
        <v>0</v>
      </c>
      <c r="M95" s="514" t="n">
        <v>0</v>
      </c>
      <c r="N95" s="19" t="n">
        <f aca="false">(M95/H95)*100</f>
        <v>0</v>
      </c>
      <c r="O95" s="514" t="n">
        <v>0</v>
      </c>
      <c r="P95" s="514" t="n">
        <v>0</v>
      </c>
      <c r="Q95" s="131" t="s">
        <v>1052</v>
      </c>
      <c r="R95" s="517" t="n">
        <v>44824</v>
      </c>
      <c r="S95" s="514"/>
      <c r="T95" s="131" t="n">
        <v>0</v>
      </c>
      <c r="U95" s="131"/>
      <c r="V95" s="514"/>
      <c r="W95" s="514"/>
      <c r="X95" s="514"/>
      <c r="Y95" s="514"/>
      <c r="Z95" s="514"/>
      <c r="AA95" s="132" t="n">
        <v>0</v>
      </c>
      <c r="AB95" s="132" t="n">
        <v>0</v>
      </c>
      <c r="AC95" s="287" t="n">
        <v>0</v>
      </c>
      <c r="AD95" s="131" t="n">
        <v>0</v>
      </c>
      <c r="AE95" s="131" t="n">
        <v>0</v>
      </c>
    </row>
    <row r="96" customFormat="false" ht="15.75" hidden="false" customHeight="false" outlineLevel="0" collapsed="false">
      <c r="A96" s="514" t="s">
        <v>42</v>
      </c>
      <c r="B96" s="514" t="s">
        <v>4261</v>
      </c>
      <c r="C96" s="515" t="s">
        <v>4978</v>
      </c>
      <c r="D96" s="514" t="s">
        <v>4984</v>
      </c>
      <c r="E96" s="514" t="s">
        <v>4985</v>
      </c>
      <c r="F96" s="514" t="n">
        <v>185</v>
      </c>
      <c r="G96" s="514" t="n">
        <v>38</v>
      </c>
      <c r="H96" s="514" t="n">
        <v>188</v>
      </c>
      <c r="I96" s="514" t="n">
        <v>102</v>
      </c>
      <c r="J96" s="514" t="n">
        <v>86</v>
      </c>
      <c r="K96" s="514" t="n">
        <v>0</v>
      </c>
      <c r="L96" s="19" t="n">
        <f aca="false">(K96/H96)*100</f>
        <v>0</v>
      </c>
      <c r="M96" s="514" t="n">
        <v>0</v>
      </c>
      <c r="N96" s="19" t="n">
        <f aca="false">(M96/H96)*100</f>
        <v>0</v>
      </c>
      <c r="O96" s="514" t="n">
        <v>0</v>
      </c>
      <c r="P96" s="514" t="n">
        <v>0</v>
      </c>
      <c r="Q96" s="131" t="s">
        <v>49</v>
      </c>
      <c r="R96" s="517" t="n">
        <v>44824</v>
      </c>
      <c r="S96" s="514"/>
      <c r="T96" s="131" t="n">
        <v>0</v>
      </c>
      <c r="U96" s="131"/>
      <c r="V96" s="514"/>
      <c r="W96" s="514"/>
      <c r="X96" s="514"/>
      <c r="Y96" s="514"/>
      <c r="Z96" s="514"/>
      <c r="AA96" s="132" t="n">
        <v>0</v>
      </c>
      <c r="AB96" s="132" t="n">
        <v>0</v>
      </c>
      <c r="AC96" s="287" t="n">
        <v>0</v>
      </c>
      <c r="AD96" s="131" t="n">
        <v>0</v>
      </c>
      <c r="AE96" s="131" t="n">
        <v>0</v>
      </c>
    </row>
    <row r="97" customFormat="false" ht="15.75" hidden="false" customHeight="false" outlineLevel="0" collapsed="false">
      <c r="A97" s="514" t="s">
        <v>42</v>
      </c>
      <c r="B97" s="514" t="s">
        <v>4261</v>
      </c>
      <c r="C97" s="515" t="s">
        <v>4978</v>
      </c>
      <c r="D97" s="514" t="s">
        <v>4986</v>
      </c>
      <c r="E97" s="514" t="s">
        <v>4987</v>
      </c>
      <c r="F97" s="514" t="n">
        <v>347</v>
      </c>
      <c r="G97" s="514" t="n">
        <v>115</v>
      </c>
      <c r="H97" s="514" t="n">
        <v>646</v>
      </c>
      <c r="I97" s="514" t="n">
        <v>327</v>
      </c>
      <c r="J97" s="514" t="n">
        <v>319</v>
      </c>
      <c r="K97" s="514" t="n">
        <v>0</v>
      </c>
      <c r="L97" s="19" t="n">
        <f aca="false">(K97/H97)*100</f>
        <v>0</v>
      </c>
      <c r="M97" s="514" t="n">
        <v>0</v>
      </c>
      <c r="N97" s="19" t="n">
        <f aca="false">(M97/H97)*100</f>
        <v>0</v>
      </c>
      <c r="O97" s="514" t="n">
        <v>0</v>
      </c>
      <c r="P97" s="514" t="n">
        <v>0</v>
      </c>
      <c r="Q97" s="131" t="s">
        <v>49</v>
      </c>
      <c r="R97" s="517" t="n">
        <v>44824</v>
      </c>
      <c r="S97" s="514"/>
      <c r="T97" s="131"/>
      <c r="U97" s="131"/>
      <c r="V97" s="514"/>
      <c r="W97" s="514"/>
      <c r="X97" s="514"/>
      <c r="Y97" s="514"/>
      <c r="Z97" s="514"/>
      <c r="AA97" s="132" t="s">
        <v>266</v>
      </c>
      <c r="AB97" s="132" t="n">
        <v>5</v>
      </c>
      <c r="AC97" s="287" t="s">
        <v>4988</v>
      </c>
      <c r="AD97" s="131"/>
      <c r="AE97" s="131"/>
    </row>
    <row r="98" customFormat="false" ht="15.75" hidden="false" customHeight="false" outlineLevel="0" collapsed="false">
      <c r="A98" s="514" t="s">
        <v>42</v>
      </c>
      <c r="B98" s="514" t="s">
        <v>4261</v>
      </c>
      <c r="C98" s="515" t="s">
        <v>4989</v>
      </c>
      <c r="D98" s="516" t="s">
        <v>4989</v>
      </c>
      <c r="E98" s="514" t="s">
        <v>4990</v>
      </c>
      <c r="F98" s="514" t="n">
        <v>2920</v>
      </c>
      <c r="G98" s="514" t="n">
        <v>499</v>
      </c>
      <c r="H98" s="514" t="n">
        <v>3081</v>
      </c>
      <c r="I98" s="514" t="n">
        <v>1650</v>
      </c>
      <c r="J98" s="514" t="n">
        <v>1431</v>
      </c>
      <c r="K98" s="514" t="n">
        <v>664</v>
      </c>
      <c r="L98" s="19" t="n">
        <f aca="false">(K98/H98)*100</f>
        <v>21.5514443362545</v>
      </c>
      <c r="M98" s="514" t="n">
        <v>19</v>
      </c>
      <c r="N98" s="19" t="n">
        <f aca="false">(M98/H98)*100</f>
        <v>0.616682895163908</v>
      </c>
      <c r="O98" s="514" t="n">
        <v>1</v>
      </c>
      <c r="P98" s="514" t="n">
        <v>0</v>
      </c>
      <c r="Q98" s="131"/>
      <c r="R98" s="131"/>
      <c r="S98" s="514"/>
      <c r="T98" s="131" t="n">
        <v>5.5928</v>
      </c>
      <c r="U98" s="131"/>
      <c r="V98" s="514"/>
      <c r="W98" s="514"/>
      <c r="X98" s="514"/>
      <c r="Y98" s="514"/>
      <c r="Z98" s="514"/>
      <c r="AA98" s="132" t="s">
        <v>266</v>
      </c>
      <c r="AB98" s="132" t="n">
        <v>2</v>
      </c>
      <c r="AC98" s="287" t="s">
        <v>4991</v>
      </c>
      <c r="AD98" s="131"/>
      <c r="AE98" s="131"/>
    </row>
    <row r="99" customFormat="false" ht="15.75" hidden="false" customHeight="false" outlineLevel="0" collapsed="false">
      <c r="A99" s="514"/>
      <c r="B99" s="514"/>
      <c r="C99" s="515"/>
      <c r="D99" s="516"/>
      <c r="E99" s="514"/>
      <c r="F99" s="514"/>
      <c r="G99" s="514"/>
      <c r="H99" s="514"/>
      <c r="I99" s="514"/>
      <c r="J99" s="514"/>
      <c r="K99" s="514"/>
      <c r="L99" s="19"/>
      <c r="M99" s="514"/>
      <c r="N99" s="19"/>
      <c r="O99" s="514"/>
      <c r="P99" s="514"/>
      <c r="Q99" s="131"/>
      <c r="R99" s="131"/>
      <c r="S99" s="514"/>
      <c r="T99" s="131"/>
      <c r="U99" s="131"/>
      <c r="V99" s="514"/>
      <c r="W99" s="514"/>
      <c r="X99" s="514"/>
      <c r="Y99" s="514"/>
      <c r="Z99" s="514"/>
      <c r="AA99" s="132"/>
      <c r="AB99" s="132"/>
      <c r="AC99" s="520"/>
      <c r="AD99" s="577"/>
      <c r="AE99" s="131"/>
    </row>
    <row r="100" customFormat="false" ht="15.75" hidden="false" customHeight="false" outlineLevel="0" collapsed="false">
      <c r="A100" s="514" t="s">
        <v>42</v>
      </c>
      <c r="B100" s="514" t="s">
        <v>4261</v>
      </c>
      <c r="C100" s="515" t="s">
        <v>4989</v>
      </c>
      <c r="D100" s="514" t="s">
        <v>4992</v>
      </c>
      <c r="E100" s="514" t="s">
        <v>4993</v>
      </c>
      <c r="F100" s="514" t="n">
        <v>1725</v>
      </c>
      <c r="G100" s="514" t="n">
        <v>183</v>
      </c>
      <c r="H100" s="514" t="n">
        <v>1059</v>
      </c>
      <c r="I100" s="514" t="n">
        <v>568</v>
      </c>
      <c r="J100" s="514" t="n">
        <v>491</v>
      </c>
      <c r="K100" s="514" t="n">
        <v>0</v>
      </c>
      <c r="L100" s="19" t="n">
        <f aca="false">(K100/H100)*100</f>
        <v>0</v>
      </c>
      <c r="M100" s="514" t="n">
        <v>0</v>
      </c>
      <c r="N100" s="19" t="n">
        <f aca="false">(M100/H100)*100</f>
        <v>0</v>
      </c>
      <c r="O100" s="514" t="n">
        <v>39</v>
      </c>
      <c r="P100" s="514" t="n">
        <v>0</v>
      </c>
      <c r="Q100" s="131" t="s">
        <v>49</v>
      </c>
      <c r="R100" s="517" t="n">
        <v>44825</v>
      </c>
      <c r="S100" s="514"/>
      <c r="T100" s="131"/>
      <c r="U100" s="131"/>
      <c r="V100" s="514"/>
      <c r="W100" s="514"/>
      <c r="X100" s="514"/>
      <c r="Y100" s="514"/>
      <c r="Z100" s="514"/>
      <c r="AA100" s="132" t="s">
        <v>266</v>
      </c>
      <c r="AB100" s="132" t="n">
        <v>3</v>
      </c>
      <c r="AC100" s="287" t="s">
        <v>4994</v>
      </c>
      <c r="AD100" s="131"/>
      <c r="AE100" s="131"/>
    </row>
    <row r="101" customFormat="false" ht="15.75" hidden="false" customHeight="false" outlineLevel="0" collapsed="false">
      <c r="A101" s="514" t="s">
        <v>42</v>
      </c>
      <c r="B101" s="514" t="s">
        <v>4261</v>
      </c>
      <c r="C101" s="515" t="s">
        <v>4995</v>
      </c>
      <c r="D101" s="516" t="s">
        <v>4995</v>
      </c>
      <c r="E101" s="514" t="s">
        <v>4996</v>
      </c>
      <c r="F101" s="514" t="n">
        <v>1741.2</v>
      </c>
      <c r="G101" s="514" t="n">
        <v>354</v>
      </c>
      <c r="H101" s="514" t="n">
        <v>1676</v>
      </c>
      <c r="I101" s="514" t="n">
        <v>893</v>
      </c>
      <c r="J101" s="514" t="n">
        <v>783</v>
      </c>
      <c r="K101" s="514" t="n">
        <v>417</v>
      </c>
      <c r="L101" s="19" t="n">
        <f aca="false">(K101/H101)*100</f>
        <v>24.8806682577566</v>
      </c>
      <c r="M101" s="514" t="n">
        <v>135</v>
      </c>
      <c r="N101" s="19" t="n">
        <f aca="false">(M101/H101)*100</f>
        <v>8.05489260143198</v>
      </c>
      <c r="O101" s="514" t="n">
        <v>104</v>
      </c>
      <c r="P101" s="514" t="n">
        <v>0</v>
      </c>
      <c r="Q101" s="131"/>
      <c r="R101" s="131"/>
      <c r="S101" s="514"/>
      <c r="T101" s="131"/>
      <c r="U101" s="131"/>
      <c r="V101" s="514"/>
      <c r="W101" s="514"/>
      <c r="X101" s="514"/>
      <c r="Y101" s="514"/>
      <c r="Z101" s="514"/>
      <c r="AA101" s="132"/>
      <c r="AB101" s="132"/>
      <c r="AC101" s="520"/>
      <c r="AD101" s="577"/>
      <c r="AE101" s="131"/>
    </row>
    <row r="102" customFormat="false" ht="15.75" hidden="false" customHeight="false" outlineLevel="0" collapsed="false">
      <c r="A102" s="514" t="s">
        <v>42</v>
      </c>
      <c r="B102" s="514" t="s">
        <v>4261</v>
      </c>
      <c r="C102" s="515" t="s">
        <v>4995</v>
      </c>
      <c r="D102" s="516" t="s">
        <v>4995</v>
      </c>
      <c r="E102" s="514" t="s">
        <v>4996</v>
      </c>
      <c r="F102" s="514" t="n">
        <v>1741.2</v>
      </c>
      <c r="G102" s="514" t="n">
        <v>354</v>
      </c>
      <c r="H102" s="514" t="n">
        <v>1676</v>
      </c>
      <c r="I102" s="514" t="n">
        <v>893</v>
      </c>
      <c r="J102" s="514" t="n">
        <v>783</v>
      </c>
      <c r="K102" s="514" t="n">
        <v>417</v>
      </c>
      <c r="L102" s="19" t="n">
        <f aca="false">(K102/H102)*100</f>
        <v>24.8806682577566</v>
      </c>
      <c r="M102" s="514" t="n">
        <v>135</v>
      </c>
      <c r="N102" s="19" t="n">
        <f aca="false">(M102/H102)*100</f>
        <v>8.05489260143198</v>
      </c>
      <c r="O102" s="514" t="n">
        <v>104</v>
      </c>
      <c r="P102" s="514" t="n">
        <v>0</v>
      </c>
      <c r="Q102" s="131"/>
      <c r="R102" s="131"/>
      <c r="S102" s="514"/>
      <c r="T102" s="131"/>
      <c r="U102" s="131"/>
      <c r="V102" s="514"/>
      <c r="W102" s="514"/>
      <c r="X102" s="514"/>
      <c r="Y102" s="514"/>
      <c r="Z102" s="514"/>
      <c r="AA102" s="132"/>
      <c r="AB102" s="132"/>
      <c r="AC102" s="520"/>
      <c r="AD102" s="577"/>
      <c r="AE102" s="131"/>
    </row>
    <row r="103" customFormat="false" ht="15.75" hidden="false" customHeight="false" outlineLevel="0" collapsed="false">
      <c r="A103" s="514" t="s">
        <v>42</v>
      </c>
      <c r="B103" s="514" t="s">
        <v>4261</v>
      </c>
      <c r="C103" s="515" t="s">
        <v>4995</v>
      </c>
      <c r="D103" s="516" t="s">
        <v>4995</v>
      </c>
      <c r="E103" s="514" t="s">
        <v>4996</v>
      </c>
      <c r="F103" s="514" t="n">
        <v>1741.2</v>
      </c>
      <c r="G103" s="514" t="n">
        <v>354</v>
      </c>
      <c r="H103" s="514" t="n">
        <v>1676</v>
      </c>
      <c r="I103" s="514" t="n">
        <v>893</v>
      </c>
      <c r="J103" s="514" t="n">
        <v>783</v>
      </c>
      <c r="K103" s="514" t="n">
        <v>417</v>
      </c>
      <c r="L103" s="19" t="n">
        <f aca="false">(K103/H103)*100</f>
        <v>24.8806682577566</v>
      </c>
      <c r="M103" s="514" t="n">
        <v>135</v>
      </c>
      <c r="N103" s="19" t="n">
        <f aca="false">(M103/H103)*100</f>
        <v>8.05489260143198</v>
      </c>
      <c r="O103" s="514" t="n">
        <v>104</v>
      </c>
      <c r="P103" s="514" t="n">
        <v>0</v>
      </c>
      <c r="Q103" s="131" t="s">
        <v>49</v>
      </c>
      <c r="R103" s="517" t="n">
        <v>44823</v>
      </c>
      <c r="S103" s="514"/>
      <c r="T103" s="131" t="n">
        <v>102.7576</v>
      </c>
      <c r="U103" s="131"/>
      <c r="V103" s="514"/>
      <c r="W103" s="514"/>
      <c r="X103" s="514"/>
      <c r="Y103" s="514"/>
      <c r="Z103" s="514"/>
      <c r="AA103" s="132" t="s">
        <v>266</v>
      </c>
      <c r="AB103" s="132" t="n">
        <v>10</v>
      </c>
      <c r="AC103" s="287" t="s">
        <v>4997</v>
      </c>
      <c r="AD103" s="131"/>
      <c r="AE103" s="131"/>
    </row>
    <row r="104" customFormat="false" ht="15.75" hidden="false" customHeight="false" outlineLevel="0" collapsed="false">
      <c r="A104" s="514" t="s">
        <v>42</v>
      </c>
      <c r="B104" s="514" t="s">
        <v>4261</v>
      </c>
      <c r="C104" s="515" t="s">
        <v>4995</v>
      </c>
      <c r="D104" s="514" t="s">
        <v>4998</v>
      </c>
      <c r="E104" s="514" t="s">
        <v>4999</v>
      </c>
      <c r="F104" s="514" t="n">
        <v>609.78</v>
      </c>
      <c r="G104" s="514" t="n">
        <v>123</v>
      </c>
      <c r="H104" s="514" t="n">
        <v>585</v>
      </c>
      <c r="I104" s="514" t="n">
        <v>311</v>
      </c>
      <c r="J104" s="514" t="n">
        <v>274</v>
      </c>
      <c r="K104" s="514" t="n">
        <v>267</v>
      </c>
      <c r="L104" s="19" t="n">
        <f aca="false">(K104/H104)*100</f>
        <v>45.6410256410256</v>
      </c>
      <c r="M104" s="514" t="n">
        <v>0</v>
      </c>
      <c r="N104" s="19" t="n">
        <f aca="false">(M104/H104)*100</f>
        <v>0</v>
      </c>
      <c r="O104" s="514" t="n">
        <v>0</v>
      </c>
      <c r="P104" s="514" t="n">
        <v>0</v>
      </c>
      <c r="Q104" s="131" t="s">
        <v>49</v>
      </c>
      <c r="R104" s="517" t="n">
        <v>44823</v>
      </c>
      <c r="S104" s="514"/>
      <c r="T104" s="131" t="n">
        <v>0.1133</v>
      </c>
      <c r="U104" s="131"/>
      <c r="V104" s="514"/>
      <c r="W104" s="514"/>
      <c r="X104" s="514"/>
      <c r="Y104" s="514"/>
      <c r="Z104" s="514"/>
      <c r="AA104" s="132" t="s">
        <v>266</v>
      </c>
      <c r="AB104" s="132" t="n">
        <v>0</v>
      </c>
      <c r="AC104" s="287" t="n">
        <v>0</v>
      </c>
      <c r="AD104" s="131" t="n">
        <v>0</v>
      </c>
      <c r="AE104" s="131" t="n">
        <v>0</v>
      </c>
    </row>
    <row r="105" customFormat="false" ht="15.75" hidden="false" customHeight="false" outlineLevel="0" collapsed="false">
      <c r="A105" s="514" t="s">
        <v>42</v>
      </c>
      <c r="B105" s="514" t="s">
        <v>4261</v>
      </c>
      <c r="C105" s="515" t="s">
        <v>4995</v>
      </c>
      <c r="D105" s="514" t="s">
        <v>2481</v>
      </c>
      <c r="E105" s="514" t="s">
        <v>5000</v>
      </c>
      <c r="F105" s="514" t="n">
        <v>364.02</v>
      </c>
      <c r="G105" s="514" t="n">
        <v>83</v>
      </c>
      <c r="H105" s="514" t="n">
        <v>464</v>
      </c>
      <c r="I105" s="514" t="n">
        <v>232</v>
      </c>
      <c r="J105" s="514" t="n">
        <v>232</v>
      </c>
      <c r="K105" s="514" t="n">
        <v>48</v>
      </c>
      <c r="L105" s="19" t="n">
        <f aca="false">(K105/H105)*100</f>
        <v>10.3448275862069</v>
      </c>
      <c r="M105" s="514" t="n">
        <v>0</v>
      </c>
      <c r="N105" s="19" t="n">
        <f aca="false">(M105/H105)*100</f>
        <v>0</v>
      </c>
      <c r="O105" s="514" t="n">
        <v>0</v>
      </c>
      <c r="P105" s="514" t="n">
        <v>0</v>
      </c>
      <c r="Q105" s="131" t="s">
        <v>49</v>
      </c>
      <c r="R105" s="517" t="n">
        <v>44823</v>
      </c>
      <c r="S105" s="514"/>
      <c r="T105" s="131" t="n">
        <v>0</v>
      </c>
      <c r="U105" s="131"/>
      <c r="V105" s="514"/>
      <c r="W105" s="514"/>
      <c r="X105" s="514"/>
      <c r="Y105" s="514"/>
      <c r="Z105" s="514"/>
      <c r="AA105" s="132" t="s">
        <v>266</v>
      </c>
      <c r="AB105" s="132" t="n">
        <v>0</v>
      </c>
      <c r="AC105" s="287" t="n">
        <v>0</v>
      </c>
      <c r="AD105" s="131" t="n">
        <v>0</v>
      </c>
      <c r="AE105" s="131" t="n">
        <v>0</v>
      </c>
    </row>
    <row r="106" customFormat="false" ht="15.75" hidden="false" customHeight="false" outlineLevel="0" collapsed="false">
      <c r="A106" s="514" t="s">
        <v>42</v>
      </c>
      <c r="B106" s="514" t="s">
        <v>4261</v>
      </c>
      <c r="C106" s="515" t="s">
        <v>5001</v>
      </c>
      <c r="D106" s="516" t="s">
        <v>5002</v>
      </c>
      <c r="E106" s="514" t="s">
        <v>5003</v>
      </c>
      <c r="F106" s="514" t="n">
        <v>2829</v>
      </c>
      <c r="G106" s="514" t="n">
        <v>572</v>
      </c>
      <c r="H106" s="514" t="n">
        <v>3752</v>
      </c>
      <c r="I106" s="514" t="n">
        <v>1983</v>
      </c>
      <c r="J106" s="514" t="n">
        <v>1769</v>
      </c>
      <c r="K106" s="514" t="n">
        <v>638</v>
      </c>
      <c r="L106" s="19" t="n">
        <f aca="false">(K106/H106)*100</f>
        <v>17.0042643923241</v>
      </c>
      <c r="M106" s="514" t="n">
        <v>472</v>
      </c>
      <c r="N106" s="19" t="n">
        <f aca="false">(M106/H106)*100</f>
        <v>12.5799573560768</v>
      </c>
      <c r="O106" s="514" t="n">
        <v>219</v>
      </c>
      <c r="P106" s="514" t="n">
        <v>0</v>
      </c>
      <c r="Q106" s="131"/>
      <c r="R106" s="131"/>
      <c r="S106" s="514"/>
      <c r="T106" s="131"/>
      <c r="U106" s="131"/>
      <c r="V106" s="514"/>
      <c r="W106" s="514"/>
      <c r="X106" s="514"/>
      <c r="Y106" s="514"/>
      <c r="Z106" s="514"/>
      <c r="AA106" s="132"/>
      <c r="AB106" s="132"/>
      <c r="AC106" s="596"/>
      <c r="AD106" s="597"/>
      <c r="AE106" s="131"/>
    </row>
    <row r="107" customFormat="false" ht="15.75" hidden="false" customHeight="false" outlineLevel="0" collapsed="false">
      <c r="A107" s="514" t="s">
        <v>42</v>
      </c>
      <c r="B107" s="514" t="s">
        <v>4261</v>
      </c>
      <c r="C107" s="515" t="s">
        <v>5001</v>
      </c>
      <c r="D107" s="514" t="s">
        <v>5004</v>
      </c>
      <c r="E107" s="514" t="s">
        <v>5005</v>
      </c>
      <c r="F107" s="514" t="n">
        <v>1087</v>
      </c>
      <c r="G107" s="514" t="n">
        <v>97</v>
      </c>
      <c r="H107" s="514" t="n">
        <v>576</v>
      </c>
      <c r="I107" s="514" t="n">
        <v>295</v>
      </c>
      <c r="J107" s="514" t="n">
        <v>281</v>
      </c>
      <c r="K107" s="514" t="n">
        <v>273</v>
      </c>
      <c r="L107" s="19" t="n">
        <f aca="false">(K107/H107)*100</f>
        <v>47.3958333333333</v>
      </c>
      <c r="M107" s="514" t="n">
        <v>0</v>
      </c>
      <c r="N107" s="19" t="n">
        <f aca="false">(M107/H107)*100</f>
        <v>0</v>
      </c>
      <c r="O107" s="514" t="n">
        <v>0</v>
      </c>
      <c r="P107" s="514" t="n">
        <v>0</v>
      </c>
      <c r="Q107" s="131"/>
      <c r="R107" s="131"/>
      <c r="S107" s="514"/>
      <c r="T107" s="131"/>
      <c r="U107" s="131"/>
      <c r="V107" s="514"/>
      <c r="W107" s="514"/>
      <c r="X107" s="514"/>
      <c r="Y107" s="514"/>
      <c r="Z107" s="514"/>
      <c r="AA107" s="132"/>
      <c r="AB107" s="132"/>
      <c r="AC107" s="37"/>
      <c r="AD107" s="131"/>
      <c r="AE107" s="131"/>
    </row>
    <row r="108" customFormat="false" ht="15.75" hidden="false" customHeight="false" outlineLevel="0" collapsed="false">
      <c r="A108" s="514" t="s">
        <v>42</v>
      </c>
      <c r="B108" s="514" t="s">
        <v>4261</v>
      </c>
      <c r="C108" s="515" t="s">
        <v>3051</v>
      </c>
      <c r="D108" s="516" t="s">
        <v>3051</v>
      </c>
      <c r="E108" s="514" t="s">
        <v>5006</v>
      </c>
      <c r="F108" s="514" t="n">
        <v>948.45</v>
      </c>
      <c r="G108" s="514" t="n">
        <v>150</v>
      </c>
      <c r="H108" s="514" t="n">
        <v>836</v>
      </c>
      <c r="I108" s="514" t="n">
        <v>434</v>
      </c>
      <c r="J108" s="514" t="n">
        <v>402</v>
      </c>
      <c r="K108" s="514" t="n">
        <v>145</v>
      </c>
      <c r="L108" s="19" t="n">
        <f aca="false">(K108/H108)*100</f>
        <v>17.3444976076555</v>
      </c>
      <c r="M108" s="514" t="n">
        <v>106</v>
      </c>
      <c r="N108" s="19" t="n">
        <f aca="false">(M108/H108)*100</f>
        <v>12.6794258373206</v>
      </c>
      <c r="O108" s="514" t="n">
        <v>37.03</v>
      </c>
      <c r="P108" s="514" t="n">
        <v>0</v>
      </c>
      <c r="Q108" s="131" t="s">
        <v>49</v>
      </c>
      <c r="R108" s="517" t="n">
        <v>44825</v>
      </c>
      <c r="S108" s="514"/>
      <c r="T108" s="131"/>
      <c r="U108" s="131"/>
      <c r="V108" s="514"/>
      <c r="W108" s="514"/>
      <c r="X108" s="514"/>
      <c r="Y108" s="514"/>
      <c r="Z108" s="514"/>
      <c r="AA108" s="47" t="s">
        <v>266</v>
      </c>
      <c r="AB108" s="132" t="n">
        <v>5</v>
      </c>
      <c r="AC108" s="287" t="s">
        <v>2931</v>
      </c>
      <c r="AD108" s="131"/>
      <c r="AE108" s="131"/>
    </row>
    <row r="109" customFormat="false" ht="15.75" hidden="false" customHeight="false" outlineLevel="0" collapsed="false">
      <c r="A109" s="514"/>
      <c r="B109" s="514"/>
      <c r="C109" s="515"/>
      <c r="D109" s="516"/>
      <c r="E109" s="514"/>
      <c r="F109" s="514"/>
      <c r="G109" s="514"/>
      <c r="H109" s="514"/>
      <c r="I109" s="514"/>
      <c r="J109" s="514"/>
      <c r="K109" s="514"/>
      <c r="L109" s="19"/>
      <c r="M109" s="514"/>
      <c r="N109" s="19"/>
      <c r="O109" s="514"/>
      <c r="P109" s="514"/>
      <c r="Q109" s="131"/>
      <c r="R109" s="131"/>
      <c r="S109" s="514"/>
      <c r="T109" s="596"/>
      <c r="U109" s="131"/>
      <c r="V109" s="514"/>
      <c r="W109" s="514"/>
      <c r="X109" s="514"/>
      <c r="Y109" s="514"/>
      <c r="Z109" s="514"/>
      <c r="AA109" s="132"/>
      <c r="AB109" s="132"/>
      <c r="AC109" s="596"/>
      <c r="AD109" s="597"/>
      <c r="AE109" s="598"/>
    </row>
    <row r="110" customFormat="false" ht="15.75" hidden="false" customHeight="false" outlineLevel="0" collapsed="false">
      <c r="A110" s="514"/>
      <c r="B110" s="514"/>
      <c r="C110" s="515"/>
      <c r="D110" s="516"/>
      <c r="E110" s="514"/>
      <c r="F110" s="514"/>
      <c r="G110" s="514"/>
      <c r="H110" s="514"/>
      <c r="I110" s="514"/>
      <c r="J110" s="514"/>
      <c r="K110" s="514"/>
      <c r="L110" s="19"/>
      <c r="M110" s="514"/>
      <c r="N110" s="19"/>
      <c r="O110" s="514"/>
      <c r="P110" s="514"/>
      <c r="Q110" s="131"/>
      <c r="R110" s="131"/>
      <c r="S110" s="514"/>
      <c r="T110" s="596"/>
      <c r="U110" s="131"/>
      <c r="V110" s="514"/>
      <c r="W110" s="514"/>
      <c r="X110" s="514"/>
      <c r="Y110" s="514"/>
      <c r="Z110" s="514"/>
      <c r="AA110" s="132"/>
      <c r="AB110" s="132"/>
      <c r="AC110" s="596"/>
      <c r="AD110" s="597"/>
      <c r="AE110" s="598"/>
    </row>
    <row r="111" customFormat="false" ht="15.75" hidden="false" customHeight="false" outlineLevel="0" collapsed="false">
      <c r="A111" s="514"/>
      <c r="B111" s="514"/>
      <c r="C111" s="515"/>
      <c r="D111" s="516"/>
      <c r="E111" s="514"/>
      <c r="F111" s="514"/>
      <c r="G111" s="514"/>
      <c r="H111" s="514"/>
      <c r="I111" s="514"/>
      <c r="J111" s="514"/>
      <c r="K111" s="514"/>
      <c r="L111" s="19"/>
      <c r="M111" s="514"/>
      <c r="N111" s="19"/>
      <c r="O111" s="514"/>
      <c r="P111" s="514"/>
      <c r="Q111" s="131"/>
      <c r="R111" s="131"/>
      <c r="S111" s="514"/>
      <c r="T111" s="596"/>
      <c r="U111" s="131"/>
      <c r="V111" s="514"/>
      <c r="W111" s="514"/>
      <c r="X111" s="514"/>
      <c r="Y111" s="514"/>
      <c r="Z111" s="514"/>
      <c r="AA111" s="132"/>
      <c r="AB111" s="132"/>
      <c r="AC111" s="596"/>
      <c r="AD111" s="597"/>
      <c r="AE111" s="598"/>
    </row>
    <row r="112" customFormat="false" ht="15.75" hidden="false" customHeight="false" outlineLevel="0" collapsed="false">
      <c r="A112" s="514"/>
      <c r="B112" s="514"/>
      <c r="C112" s="515"/>
      <c r="D112" s="516"/>
      <c r="E112" s="514"/>
      <c r="F112" s="514"/>
      <c r="G112" s="514"/>
      <c r="H112" s="514"/>
      <c r="I112" s="514"/>
      <c r="J112" s="514"/>
      <c r="K112" s="514"/>
      <c r="L112" s="19"/>
      <c r="M112" s="514"/>
      <c r="N112" s="19"/>
      <c r="O112" s="514"/>
      <c r="P112" s="514"/>
      <c r="Q112" s="131"/>
      <c r="R112" s="131"/>
      <c r="S112" s="514"/>
      <c r="T112" s="596"/>
      <c r="U112" s="131"/>
      <c r="V112" s="514"/>
      <c r="W112" s="514"/>
      <c r="X112" s="514"/>
      <c r="Y112" s="514"/>
      <c r="Z112" s="514"/>
      <c r="AA112" s="132"/>
      <c r="AB112" s="132"/>
      <c r="AC112" s="596"/>
      <c r="AD112" s="597"/>
      <c r="AE112" s="598"/>
    </row>
    <row r="113" customFormat="false" ht="15.75" hidden="false" customHeight="false" outlineLevel="0" collapsed="false">
      <c r="A113" s="514" t="s">
        <v>42</v>
      </c>
      <c r="B113" s="514" t="s">
        <v>4261</v>
      </c>
      <c r="C113" s="515" t="s">
        <v>3051</v>
      </c>
      <c r="D113" s="514" t="s">
        <v>5007</v>
      </c>
      <c r="E113" s="514" t="s">
        <v>5008</v>
      </c>
      <c r="F113" s="514" t="n">
        <v>363.56</v>
      </c>
      <c r="G113" s="514" t="n">
        <v>92</v>
      </c>
      <c r="H113" s="514" t="n">
        <v>554</v>
      </c>
      <c r="I113" s="514" t="n">
        <v>288</v>
      </c>
      <c r="J113" s="514" t="n">
        <v>266</v>
      </c>
      <c r="K113" s="514" t="n">
        <v>8</v>
      </c>
      <c r="L113" s="19" t="n">
        <f aca="false">(K113/H113)*100</f>
        <v>1.44404332129964</v>
      </c>
      <c r="M113" s="514" t="n">
        <v>509</v>
      </c>
      <c r="N113" s="19" t="n">
        <f aca="false">(M113/H113)*100</f>
        <v>91.8772563176895</v>
      </c>
      <c r="O113" s="514" t="n">
        <v>0</v>
      </c>
      <c r="P113" s="514" t="n">
        <v>0</v>
      </c>
      <c r="Q113" s="131" t="s">
        <v>49</v>
      </c>
      <c r="R113" s="517" t="n">
        <v>44825</v>
      </c>
      <c r="S113" s="514"/>
      <c r="T113" s="131" t="n">
        <v>0</v>
      </c>
      <c r="U113" s="131"/>
      <c r="V113" s="514"/>
      <c r="W113" s="514"/>
      <c r="X113" s="514"/>
      <c r="Y113" s="514"/>
      <c r="Z113" s="514"/>
      <c r="AA113" s="47"/>
      <c r="AB113" s="132"/>
      <c r="AC113" s="37" t="n">
        <v>0</v>
      </c>
      <c r="AD113" s="131" t="n">
        <v>0</v>
      </c>
      <c r="AE113" s="131" t="n">
        <v>0</v>
      </c>
    </row>
    <row r="114" customFormat="false" ht="15.75" hidden="false" customHeight="false" outlineLevel="0" collapsed="false">
      <c r="A114" s="514" t="s">
        <v>42</v>
      </c>
      <c r="B114" s="514" t="s">
        <v>4261</v>
      </c>
      <c r="C114" s="515" t="s">
        <v>3051</v>
      </c>
      <c r="D114" s="514" t="s">
        <v>5009</v>
      </c>
      <c r="E114" s="514" t="s">
        <v>5010</v>
      </c>
      <c r="F114" s="514" t="n">
        <v>178.98</v>
      </c>
      <c r="G114" s="514" t="n">
        <v>59</v>
      </c>
      <c r="H114" s="514" t="n">
        <v>361</v>
      </c>
      <c r="I114" s="514" t="n">
        <v>185</v>
      </c>
      <c r="J114" s="514" t="n">
        <v>176</v>
      </c>
      <c r="K114" s="514" t="n">
        <v>0</v>
      </c>
      <c r="L114" s="19" t="n">
        <f aca="false">(K114/H114)*100</f>
        <v>0</v>
      </c>
      <c r="M114" s="514" t="n">
        <v>348</v>
      </c>
      <c r="N114" s="19" t="n">
        <f aca="false">(M114/H114)*100</f>
        <v>96.398891966759</v>
      </c>
      <c r="O114" s="514" t="n">
        <v>0</v>
      </c>
      <c r="P114" s="514" t="n">
        <v>0</v>
      </c>
      <c r="Q114" s="131" t="s">
        <v>49</v>
      </c>
      <c r="R114" s="517" t="n">
        <v>44825</v>
      </c>
      <c r="S114" s="514"/>
      <c r="T114" s="131" t="n">
        <v>0</v>
      </c>
      <c r="U114" s="131"/>
      <c r="V114" s="514"/>
      <c r="W114" s="514"/>
      <c r="X114" s="514"/>
      <c r="Y114" s="514"/>
      <c r="Z114" s="514"/>
      <c r="AA114" s="47"/>
      <c r="AB114" s="132"/>
      <c r="AC114" s="37" t="n">
        <v>0</v>
      </c>
      <c r="AD114" s="131" t="n">
        <v>0</v>
      </c>
      <c r="AE114" s="131" t="n">
        <v>0</v>
      </c>
    </row>
    <row r="115" customFormat="false" ht="15.75" hidden="false" customHeight="false" outlineLevel="0" collapsed="false">
      <c r="A115" s="514" t="s">
        <v>42</v>
      </c>
      <c r="B115" s="514" t="s">
        <v>4261</v>
      </c>
      <c r="C115" s="515" t="s">
        <v>3051</v>
      </c>
      <c r="D115" s="514" t="s">
        <v>5011</v>
      </c>
      <c r="E115" s="514" t="s">
        <v>5012</v>
      </c>
      <c r="F115" s="514" t="n">
        <v>412</v>
      </c>
      <c r="G115" s="514" t="n">
        <v>65</v>
      </c>
      <c r="H115" s="514" t="n">
        <v>409</v>
      </c>
      <c r="I115" s="514" t="n">
        <v>210</v>
      </c>
      <c r="J115" s="514" t="n">
        <v>199</v>
      </c>
      <c r="K115" s="514" t="n">
        <v>93</v>
      </c>
      <c r="L115" s="19" t="n">
        <f aca="false">(K115/H115)*100</f>
        <v>22.7383863080685</v>
      </c>
      <c r="M115" s="514" t="n">
        <v>0</v>
      </c>
      <c r="N115" s="19" t="n">
        <f aca="false">(M115/H115)*100</f>
        <v>0</v>
      </c>
      <c r="O115" s="514" t="n">
        <v>31</v>
      </c>
      <c r="P115" s="514" t="n">
        <v>0</v>
      </c>
      <c r="Q115" s="131" t="s">
        <v>49</v>
      </c>
      <c r="R115" s="517" t="n">
        <v>44825</v>
      </c>
      <c r="S115" s="514"/>
      <c r="T115" s="131" t="n">
        <v>30.6104</v>
      </c>
      <c r="U115" s="131"/>
      <c r="V115" s="514"/>
      <c r="W115" s="514"/>
      <c r="X115" s="514"/>
      <c r="Y115" s="514"/>
      <c r="Z115" s="514"/>
      <c r="AA115" s="47" t="s">
        <v>266</v>
      </c>
      <c r="AB115" s="132" t="n">
        <v>10</v>
      </c>
      <c r="AC115" s="287" t="s">
        <v>5013</v>
      </c>
      <c r="AD115" s="131"/>
      <c r="AE115" s="131"/>
    </row>
    <row r="116" customFormat="false" ht="15.75" hidden="false" customHeight="false" outlineLevel="0" collapsed="false">
      <c r="A116" s="514" t="s">
        <v>42</v>
      </c>
      <c r="B116" s="514" t="s">
        <v>4261</v>
      </c>
      <c r="C116" s="515" t="s">
        <v>3051</v>
      </c>
      <c r="D116" s="514" t="s">
        <v>4237</v>
      </c>
      <c r="E116" s="514" t="s">
        <v>5014</v>
      </c>
      <c r="F116" s="514" t="n">
        <v>601.43</v>
      </c>
      <c r="G116" s="514" t="n">
        <v>71</v>
      </c>
      <c r="H116" s="514" t="n">
        <v>364</v>
      </c>
      <c r="I116" s="514" t="n">
        <v>200</v>
      </c>
      <c r="J116" s="514" t="n">
        <v>164</v>
      </c>
      <c r="K116" s="514" t="n">
        <v>50</v>
      </c>
      <c r="L116" s="19" t="n">
        <f aca="false">(K116/H116)*100</f>
        <v>13.7362637362637</v>
      </c>
      <c r="M116" s="514" t="n">
        <v>68</v>
      </c>
      <c r="N116" s="19" t="n">
        <f aca="false">(M116/H116)*100</f>
        <v>18.6813186813187</v>
      </c>
      <c r="O116" s="514" t="n">
        <v>22</v>
      </c>
      <c r="P116" s="514" t="n">
        <v>0</v>
      </c>
      <c r="Q116" s="131" t="s">
        <v>49</v>
      </c>
      <c r="R116" s="517" t="n">
        <v>44825</v>
      </c>
      <c r="S116" s="514"/>
      <c r="T116" s="131"/>
      <c r="U116" s="131"/>
      <c r="V116" s="514"/>
      <c r="W116" s="514"/>
      <c r="X116" s="514"/>
      <c r="Y116" s="514"/>
      <c r="Z116" s="514"/>
      <c r="AA116" s="47" t="s">
        <v>266</v>
      </c>
      <c r="AB116" s="132" t="n">
        <v>10</v>
      </c>
      <c r="AC116" s="287" t="s">
        <v>5015</v>
      </c>
      <c r="AD116" s="131"/>
      <c r="AE116" s="131"/>
    </row>
    <row r="117" customFormat="false" ht="15.75" hidden="false" customHeight="false" outlineLevel="0" collapsed="false">
      <c r="A117" s="514" t="s">
        <v>42</v>
      </c>
      <c r="B117" s="514" t="s">
        <v>4261</v>
      </c>
      <c r="C117" s="515" t="s">
        <v>3051</v>
      </c>
      <c r="D117" s="514" t="s">
        <v>5016</v>
      </c>
      <c r="E117" s="514" t="s">
        <v>5017</v>
      </c>
      <c r="F117" s="514" t="n">
        <v>304</v>
      </c>
      <c r="G117" s="514" t="n">
        <v>130</v>
      </c>
      <c r="H117" s="514" t="n">
        <v>713</v>
      </c>
      <c r="I117" s="514" t="n">
        <v>382</v>
      </c>
      <c r="J117" s="514" t="n">
        <v>331</v>
      </c>
      <c r="K117" s="514" t="n">
        <v>135</v>
      </c>
      <c r="L117" s="19" t="n">
        <f aca="false">(K117/H117)*100</f>
        <v>18.9340813464236</v>
      </c>
      <c r="M117" s="514" t="n">
        <v>459</v>
      </c>
      <c r="N117" s="19" t="n">
        <f aca="false">(M117/H117)*100</f>
        <v>64.3758765778401</v>
      </c>
      <c r="O117" s="514" t="n">
        <v>0</v>
      </c>
      <c r="P117" s="514" t="n">
        <v>0</v>
      </c>
      <c r="Q117" s="131" t="s">
        <v>49</v>
      </c>
      <c r="R117" s="517" t="n">
        <v>44825</v>
      </c>
      <c r="S117" s="514"/>
      <c r="T117" s="131" t="n">
        <v>0</v>
      </c>
      <c r="U117" s="131"/>
      <c r="V117" s="514"/>
      <c r="W117" s="514"/>
      <c r="X117" s="514"/>
      <c r="Y117" s="514"/>
      <c r="Z117" s="514"/>
      <c r="AA117" s="47"/>
      <c r="AB117" s="132"/>
      <c r="AC117" s="37" t="n">
        <v>0</v>
      </c>
      <c r="AD117" s="131" t="n">
        <v>0</v>
      </c>
      <c r="AE117" s="131" t="n">
        <v>0</v>
      </c>
    </row>
    <row r="118" customFormat="false" ht="15.75" hidden="false" customHeight="false" outlineLevel="0" collapsed="false">
      <c r="A118" s="514" t="s">
        <v>42</v>
      </c>
      <c r="B118" s="514" t="s">
        <v>4261</v>
      </c>
      <c r="C118" s="515" t="s">
        <v>3051</v>
      </c>
      <c r="D118" s="514" t="s">
        <v>5018</v>
      </c>
      <c r="E118" s="514" t="s">
        <v>5019</v>
      </c>
      <c r="F118" s="514" t="n">
        <v>669.78</v>
      </c>
      <c r="G118" s="514" t="n">
        <v>97</v>
      </c>
      <c r="H118" s="514" t="n">
        <v>528</v>
      </c>
      <c r="I118" s="514" t="n">
        <v>279</v>
      </c>
      <c r="J118" s="514" t="n">
        <v>249</v>
      </c>
      <c r="K118" s="514" t="n">
        <v>114</v>
      </c>
      <c r="L118" s="19" t="n">
        <f aca="false">(K118/H118)*100</f>
        <v>21.5909090909091</v>
      </c>
      <c r="M118" s="514" t="n">
        <v>0</v>
      </c>
      <c r="N118" s="19" t="n">
        <f aca="false">(M118/H118)*100</f>
        <v>0</v>
      </c>
      <c r="O118" s="514" t="n">
        <v>0</v>
      </c>
      <c r="P118" s="514" t="n">
        <v>0</v>
      </c>
      <c r="Q118" s="131" t="s">
        <v>49</v>
      </c>
      <c r="R118" s="517" t="n">
        <v>44825</v>
      </c>
      <c r="S118" s="514"/>
      <c r="T118" s="131" t="n">
        <v>0</v>
      </c>
      <c r="U118" s="131"/>
      <c r="V118" s="514"/>
      <c r="W118" s="514"/>
      <c r="X118" s="514"/>
      <c r="Y118" s="514"/>
      <c r="Z118" s="514"/>
      <c r="AA118" s="47"/>
      <c r="AB118" s="132"/>
      <c r="AC118" s="37" t="n">
        <v>0</v>
      </c>
      <c r="AD118" s="131" t="n">
        <v>0</v>
      </c>
      <c r="AE118" s="131" t="n">
        <v>0</v>
      </c>
    </row>
    <row r="119" customFormat="false" ht="15.75" hidden="false" customHeight="false" outlineLevel="0" collapsed="false">
      <c r="A119" s="514" t="s">
        <v>42</v>
      </c>
      <c r="B119" s="514" t="s">
        <v>4261</v>
      </c>
      <c r="C119" s="515" t="s">
        <v>537</v>
      </c>
      <c r="D119" s="516" t="s">
        <v>537</v>
      </c>
      <c r="E119" s="514" t="s">
        <v>5020</v>
      </c>
      <c r="F119" s="514" t="n">
        <v>1328.73</v>
      </c>
      <c r="G119" s="514" t="n">
        <v>241</v>
      </c>
      <c r="H119" s="514" t="n">
        <v>1388</v>
      </c>
      <c r="I119" s="514" t="n">
        <v>735</v>
      </c>
      <c r="J119" s="514" t="n">
        <v>653</v>
      </c>
      <c r="K119" s="514" t="n">
        <v>939</v>
      </c>
      <c r="L119" s="19" t="n">
        <f aca="false">(K119/H119)*100</f>
        <v>67.6512968299712</v>
      </c>
      <c r="M119" s="514" t="n">
        <v>103</v>
      </c>
      <c r="N119" s="19" t="n">
        <f aca="false">(M119/H119)*100</f>
        <v>7.42074927953891</v>
      </c>
      <c r="O119" s="514" t="n">
        <v>4.22</v>
      </c>
      <c r="P119" s="514" t="n">
        <v>0</v>
      </c>
      <c r="Q119" s="45" t="s">
        <v>49</v>
      </c>
      <c r="R119" s="53" t="n">
        <v>44851</v>
      </c>
      <c r="S119" s="514"/>
      <c r="T119" s="45"/>
      <c r="U119" s="45"/>
      <c r="V119" s="514"/>
      <c r="W119" s="514"/>
      <c r="X119" s="514"/>
      <c r="Y119" s="514"/>
      <c r="Z119" s="514"/>
      <c r="AA119" s="47" t="s">
        <v>50</v>
      </c>
      <c r="AB119" s="47" t="n">
        <v>2</v>
      </c>
      <c r="AC119" s="340" t="s">
        <v>276</v>
      </c>
      <c r="AD119" s="45"/>
      <c r="AE119" s="45"/>
      <c r="AF119" s="586"/>
      <c r="AG119" s="586"/>
      <c r="AH119" s="586"/>
      <c r="AI119" s="586"/>
      <c r="AJ119" s="586"/>
      <c r="AK119" s="586"/>
      <c r="AL119" s="586"/>
      <c r="AM119" s="586"/>
      <c r="AN119" s="586"/>
      <c r="AO119" s="586"/>
    </row>
    <row r="120" customFormat="false" ht="15.75" hidden="false" customHeight="false" outlineLevel="0" collapsed="false">
      <c r="A120" s="514" t="s">
        <v>42</v>
      </c>
      <c r="B120" s="514" t="s">
        <v>4261</v>
      </c>
      <c r="C120" s="515" t="s">
        <v>537</v>
      </c>
      <c r="D120" s="514" t="s">
        <v>5021</v>
      </c>
      <c r="E120" s="514" t="s">
        <v>5022</v>
      </c>
      <c r="F120" s="514" t="n">
        <v>1185.94</v>
      </c>
      <c r="G120" s="514" t="n">
        <v>237</v>
      </c>
      <c r="H120" s="514" t="n">
        <v>1253</v>
      </c>
      <c r="I120" s="514" t="n">
        <v>619</v>
      </c>
      <c r="J120" s="514" t="n">
        <v>634</v>
      </c>
      <c r="K120" s="514" t="n">
        <v>423</v>
      </c>
      <c r="L120" s="19" t="n">
        <f aca="false">(K120/H120)*100</f>
        <v>33.7589784517159</v>
      </c>
      <c r="M120" s="514" t="n">
        <v>150</v>
      </c>
      <c r="N120" s="19" t="n">
        <f aca="false">(M120/H120)*100</f>
        <v>11.9712689545092</v>
      </c>
      <c r="O120" s="514" t="n">
        <v>0</v>
      </c>
      <c r="P120" s="514" t="n">
        <v>0</v>
      </c>
      <c r="Q120" s="45" t="s">
        <v>49</v>
      </c>
      <c r="R120" s="53" t="n">
        <v>44851</v>
      </c>
      <c r="S120" s="514"/>
      <c r="T120" s="45" t="n">
        <v>0</v>
      </c>
      <c r="U120" s="45"/>
      <c r="V120" s="514"/>
      <c r="W120" s="514"/>
      <c r="X120" s="514"/>
      <c r="Y120" s="514"/>
      <c r="Z120" s="514"/>
      <c r="AA120" s="47" t="n">
        <v>0</v>
      </c>
      <c r="AB120" s="47" t="n">
        <v>0</v>
      </c>
      <c r="AC120" s="340" t="n">
        <v>0</v>
      </c>
      <c r="AD120" s="45" t="n">
        <v>0</v>
      </c>
      <c r="AE120" s="45" t="n">
        <v>0</v>
      </c>
      <c r="AF120" s="586"/>
      <c r="AG120" s="586"/>
      <c r="AH120" s="586"/>
      <c r="AI120" s="586"/>
      <c r="AJ120" s="586"/>
      <c r="AK120" s="586"/>
      <c r="AL120" s="586"/>
      <c r="AM120" s="586"/>
      <c r="AN120" s="586"/>
      <c r="AO120" s="586"/>
    </row>
    <row r="121" customFormat="false" ht="15.75" hidden="false" customHeight="false" outlineLevel="0" collapsed="false">
      <c r="A121" s="514" t="s">
        <v>42</v>
      </c>
      <c r="B121" s="514" t="s">
        <v>4261</v>
      </c>
      <c r="C121" s="515" t="s">
        <v>340</v>
      </c>
      <c r="D121" s="516" t="s">
        <v>340</v>
      </c>
      <c r="E121" s="514" t="s">
        <v>5023</v>
      </c>
      <c r="F121" s="514" t="n">
        <v>510</v>
      </c>
      <c r="G121" s="514" t="n">
        <v>88</v>
      </c>
      <c r="H121" s="514" t="n">
        <v>507</v>
      </c>
      <c r="I121" s="514" t="n">
        <v>264</v>
      </c>
      <c r="J121" s="514" t="n">
        <v>243</v>
      </c>
      <c r="K121" s="514" t="n">
        <v>66</v>
      </c>
      <c r="L121" s="19" t="n">
        <f aca="false">(K121/H121)*100</f>
        <v>13.0177514792899</v>
      </c>
      <c r="M121" s="514" t="n">
        <v>0</v>
      </c>
      <c r="N121" s="19" t="n">
        <f aca="false">(M121/H121)*100</f>
        <v>0</v>
      </c>
      <c r="O121" s="514" t="n">
        <v>0</v>
      </c>
      <c r="P121" s="514" t="n">
        <v>0</v>
      </c>
      <c r="Q121" s="131" t="s">
        <v>49</v>
      </c>
      <c r="R121" s="517" t="n">
        <v>44825</v>
      </c>
      <c r="S121" s="514"/>
      <c r="T121" s="37" t="n">
        <v>0</v>
      </c>
      <c r="U121" s="131"/>
      <c r="V121" s="514"/>
      <c r="W121" s="514"/>
      <c r="X121" s="514"/>
      <c r="Y121" s="514"/>
      <c r="Z121" s="514"/>
      <c r="AA121" s="581" t="n">
        <v>0</v>
      </c>
      <c r="AB121" s="581" t="n">
        <v>0</v>
      </c>
      <c r="AC121" s="287" t="n">
        <v>0</v>
      </c>
      <c r="AD121" s="37" t="n">
        <v>0</v>
      </c>
      <c r="AE121" s="37" t="n">
        <v>0</v>
      </c>
    </row>
    <row r="122" customFormat="false" ht="15.75" hidden="false" customHeight="false" outlineLevel="0" collapsed="false">
      <c r="A122" s="514" t="s">
        <v>42</v>
      </c>
      <c r="B122" s="514" t="s">
        <v>4261</v>
      </c>
      <c r="C122" s="515" t="s">
        <v>340</v>
      </c>
      <c r="D122" s="514" t="s">
        <v>1647</v>
      </c>
      <c r="E122" s="514" t="s">
        <v>5024</v>
      </c>
      <c r="F122" s="514" t="n">
        <v>747</v>
      </c>
      <c r="G122" s="514" t="n">
        <v>146</v>
      </c>
      <c r="H122" s="514" t="n">
        <v>700</v>
      </c>
      <c r="I122" s="514" t="n">
        <v>372</v>
      </c>
      <c r="J122" s="514" t="n">
        <v>328</v>
      </c>
      <c r="K122" s="514" t="n">
        <v>0</v>
      </c>
      <c r="L122" s="19" t="n">
        <f aca="false">(K122/H122)*100</f>
        <v>0</v>
      </c>
      <c r="M122" s="514" t="n">
        <v>0</v>
      </c>
      <c r="N122" s="19" t="n">
        <f aca="false">(M122/H122)*100</f>
        <v>0</v>
      </c>
      <c r="O122" s="514" t="n">
        <v>28</v>
      </c>
      <c r="P122" s="514" t="n">
        <v>0</v>
      </c>
      <c r="Q122" s="131" t="s">
        <v>49</v>
      </c>
      <c r="R122" s="517" t="n">
        <v>44825</v>
      </c>
      <c r="S122" s="514"/>
      <c r="T122" s="37" t="n">
        <v>0</v>
      </c>
      <c r="U122" s="131"/>
      <c r="V122" s="514"/>
      <c r="W122" s="514"/>
      <c r="X122" s="514"/>
      <c r="Y122" s="514"/>
      <c r="Z122" s="514"/>
      <c r="AA122" s="581" t="n">
        <v>0</v>
      </c>
      <c r="AB122" s="581" t="n">
        <v>0</v>
      </c>
      <c r="AC122" s="37" t="n">
        <v>0</v>
      </c>
      <c r="AD122" s="37" t="n">
        <v>0</v>
      </c>
      <c r="AE122" s="37" t="n">
        <v>0</v>
      </c>
    </row>
    <row r="123" customFormat="false" ht="15.75" hidden="false" customHeight="false" outlineLevel="0" collapsed="false">
      <c r="A123" s="514" t="s">
        <v>42</v>
      </c>
      <c r="B123" s="514" t="s">
        <v>4261</v>
      </c>
      <c r="C123" s="515" t="s">
        <v>340</v>
      </c>
      <c r="D123" s="514" t="s">
        <v>1020</v>
      </c>
      <c r="E123" s="514" t="s">
        <v>5025</v>
      </c>
      <c r="F123" s="514" t="n">
        <v>491</v>
      </c>
      <c r="G123" s="514" t="n">
        <v>74</v>
      </c>
      <c r="H123" s="514" t="n">
        <v>405</v>
      </c>
      <c r="I123" s="514" t="n">
        <v>222</v>
      </c>
      <c r="J123" s="514" t="n">
        <v>183</v>
      </c>
      <c r="K123" s="514" t="n">
        <v>0</v>
      </c>
      <c r="L123" s="19" t="n">
        <f aca="false">(K123/H123)*100</f>
        <v>0</v>
      </c>
      <c r="M123" s="514" t="n">
        <v>0</v>
      </c>
      <c r="N123" s="19" t="n">
        <f aca="false">(M123/H123)*100</f>
        <v>0</v>
      </c>
      <c r="O123" s="514" t="n">
        <v>0</v>
      </c>
      <c r="P123" s="514" t="n">
        <v>0</v>
      </c>
      <c r="Q123" s="131" t="s">
        <v>49</v>
      </c>
      <c r="R123" s="517" t="n">
        <v>44825</v>
      </c>
      <c r="S123" s="514"/>
      <c r="T123" s="37" t="n">
        <v>0</v>
      </c>
      <c r="U123" s="131"/>
      <c r="V123" s="514"/>
      <c r="W123" s="514"/>
      <c r="X123" s="514"/>
      <c r="Y123" s="514"/>
      <c r="Z123" s="514"/>
      <c r="AA123" s="581" t="n">
        <v>0</v>
      </c>
      <c r="AB123" s="581" t="n">
        <v>0</v>
      </c>
      <c r="AC123" s="37" t="n">
        <v>0</v>
      </c>
      <c r="AD123" s="37" t="n">
        <v>0</v>
      </c>
      <c r="AE123" s="37" t="n">
        <v>0</v>
      </c>
    </row>
    <row r="124" customFormat="false" ht="15.75" hidden="false" customHeight="false" outlineLevel="0" collapsed="false">
      <c r="A124" s="514" t="s">
        <v>42</v>
      </c>
      <c r="B124" s="514" t="s">
        <v>4261</v>
      </c>
      <c r="C124" s="515" t="s">
        <v>340</v>
      </c>
      <c r="D124" s="514" t="s">
        <v>5026</v>
      </c>
      <c r="E124" s="514" t="s">
        <v>5027</v>
      </c>
      <c r="F124" s="514" t="n">
        <v>294</v>
      </c>
      <c r="G124" s="514" t="n">
        <v>49</v>
      </c>
      <c r="H124" s="514" t="n">
        <v>264</v>
      </c>
      <c r="I124" s="514" t="n">
        <v>136</v>
      </c>
      <c r="J124" s="514" t="n">
        <v>128</v>
      </c>
      <c r="K124" s="514" t="n">
        <v>0</v>
      </c>
      <c r="L124" s="19" t="n">
        <f aca="false">(K124/H124)*100</f>
        <v>0</v>
      </c>
      <c r="M124" s="514" t="n">
        <v>0</v>
      </c>
      <c r="N124" s="19" t="n">
        <f aca="false">(M124/H124)*100</f>
        <v>0</v>
      </c>
      <c r="O124" s="514" t="n">
        <v>0</v>
      </c>
      <c r="P124" s="514" t="n">
        <v>0</v>
      </c>
      <c r="Q124" s="131" t="s">
        <v>49</v>
      </c>
      <c r="R124" s="517" t="n">
        <v>44825</v>
      </c>
      <c r="S124" s="514"/>
      <c r="T124" s="37" t="n">
        <v>0</v>
      </c>
      <c r="U124" s="131"/>
      <c r="V124" s="514"/>
      <c r="W124" s="514"/>
      <c r="X124" s="514"/>
      <c r="Y124" s="514"/>
      <c r="Z124" s="514"/>
      <c r="AA124" s="581" t="n">
        <v>0</v>
      </c>
      <c r="AB124" s="581" t="n">
        <v>0</v>
      </c>
      <c r="AC124" s="37" t="n">
        <v>0</v>
      </c>
      <c r="AD124" s="37" t="n">
        <v>0</v>
      </c>
      <c r="AE124" s="37" t="n">
        <v>0</v>
      </c>
    </row>
    <row r="125" customFormat="false" ht="15.75" hidden="false" customHeight="false" outlineLevel="0" collapsed="false">
      <c r="A125" s="514" t="s">
        <v>42</v>
      </c>
      <c r="B125" s="514" t="s">
        <v>4261</v>
      </c>
      <c r="C125" s="515" t="s">
        <v>340</v>
      </c>
      <c r="D125" s="514" t="s">
        <v>5028</v>
      </c>
      <c r="E125" s="514" t="s">
        <v>5029</v>
      </c>
      <c r="F125" s="514" t="n">
        <v>767</v>
      </c>
      <c r="G125" s="514" t="n">
        <v>149</v>
      </c>
      <c r="H125" s="514" t="n">
        <v>729</v>
      </c>
      <c r="I125" s="514" t="n">
        <v>381</v>
      </c>
      <c r="J125" s="514" t="n">
        <v>348</v>
      </c>
      <c r="K125" s="514" t="n">
        <v>0</v>
      </c>
      <c r="L125" s="19" t="n">
        <f aca="false">(K125/H125)*100</f>
        <v>0</v>
      </c>
      <c r="M125" s="514" t="n">
        <v>0</v>
      </c>
      <c r="N125" s="19" t="n">
        <f aca="false">(M125/H125)*100</f>
        <v>0</v>
      </c>
      <c r="O125" s="514" t="n">
        <v>0</v>
      </c>
      <c r="P125" s="514" t="n">
        <v>0</v>
      </c>
      <c r="Q125" s="131" t="s">
        <v>49</v>
      </c>
      <c r="R125" s="517" t="n">
        <v>44825</v>
      </c>
      <c r="S125" s="514"/>
      <c r="T125" s="37" t="n">
        <v>0</v>
      </c>
      <c r="U125" s="131"/>
      <c r="V125" s="514"/>
      <c r="W125" s="514"/>
      <c r="X125" s="514"/>
      <c r="Y125" s="514"/>
      <c r="Z125" s="514"/>
      <c r="AA125" s="581" t="n">
        <v>0</v>
      </c>
      <c r="AB125" s="581" t="n">
        <v>0</v>
      </c>
      <c r="AC125" s="37" t="n">
        <v>0</v>
      </c>
      <c r="AD125" s="37" t="n">
        <v>0</v>
      </c>
      <c r="AE125" s="37" t="n">
        <v>0</v>
      </c>
    </row>
    <row r="126" customFormat="false" ht="15.75" hidden="false" customHeight="false" outlineLevel="0" collapsed="false">
      <c r="A126" s="514" t="s">
        <v>42</v>
      </c>
      <c r="B126" s="514" t="s">
        <v>4261</v>
      </c>
      <c r="C126" s="515" t="s">
        <v>5030</v>
      </c>
      <c r="D126" s="516" t="s">
        <v>5031</v>
      </c>
      <c r="E126" s="514" t="s">
        <v>5032</v>
      </c>
      <c r="F126" s="514" t="n">
        <v>570.97</v>
      </c>
      <c r="G126" s="514" t="n">
        <v>111</v>
      </c>
      <c r="H126" s="514" t="n">
        <v>659</v>
      </c>
      <c r="I126" s="514" t="n">
        <v>345</v>
      </c>
      <c r="J126" s="514" t="n">
        <v>314</v>
      </c>
      <c r="K126" s="514" t="n">
        <v>0</v>
      </c>
      <c r="L126" s="19" t="n">
        <f aca="false">(K126/H126)*100</f>
        <v>0</v>
      </c>
      <c r="M126" s="514" t="n">
        <v>0</v>
      </c>
      <c r="N126" s="19" t="n">
        <f aca="false">(M126/H126)*100</f>
        <v>0</v>
      </c>
      <c r="O126" s="514" t="n">
        <v>6</v>
      </c>
      <c r="P126" s="514" t="n">
        <v>0</v>
      </c>
      <c r="Q126" s="131" t="s">
        <v>49</v>
      </c>
      <c r="R126" s="517" t="n">
        <v>44825</v>
      </c>
      <c r="S126" s="514"/>
      <c r="T126" s="131"/>
      <c r="U126" s="131"/>
      <c r="V126" s="514"/>
      <c r="W126" s="514"/>
      <c r="X126" s="514"/>
      <c r="Y126" s="514"/>
      <c r="Z126" s="514"/>
      <c r="AA126" s="132" t="s">
        <v>266</v>
      </c>
      <c r="AB126" s="132" t="n">
        <v>10</v>
      </c>
      <c r="AC126" s="128" t="s">
        <v>5033</v>
      </c>
      <c r="AD126" s="131"/>
      <c r="AE126" s="131"/>
    </row>
    <row r="127" customFormat="false" ht="15.75" hidden="false" customHeight="false" outlineLevel="0" collapsed="false">
      <c r="A127" s="514"/>
      <c r="B127" s="514"/>
      <c r="C127" s="515"/>
      <c r="D127" s="516"/>
      <c r="E127" s="514"/>
      <c r="F127" s="514"/>
      <c r="G127" s="514"/>
      <c r="H127" s="514"/>
      <c r="I127" s="514"/>
      <c r="J127" s="514"/>
      <c r="K127" s="514"/>
      <c r="L127" s="19"/>
      <c r="M127" s="514"/>
      <c r="N127" s="19"/>
      <c r="O127" s="514"/>
      <c r="P127" s="514"/>
      <c r="Q127" s="131"/>
      <c r="R127" s="131"/>
      <c r="S127" s="514"/>
      <c r="T127" s="131"/>
      <c r="U127" s="131"/>
      <c r="V127" s="514"/>
      <c r="W127" s="514"/>
      <c r="X127" s="514"/>
      <c r="Y127" s="514"/>
      <c r="Z127" s="514"/>
      <c r="AA127" s="132"/>
      <c r="AB127" s="132"/>
      <c r="AC127" s="596"/>
      <c r="AD127" s="597"/>
      <c r="AE127" s="131"/>
    </row>
    <row r="128" customFormat="false" ht="15.75" hidden="false" customHeight="false" outlineLevel="0" collapsed="false">
      <c r="A128" s="514" t="s">
        <v>42</v>
      </c>
      <c r="B128" s="514" t="s">
        <v>4261</v>
      </c>
      <c r="C128" s="515" t="s">
        <v>5030</v>
      </c>
      <c r="D128" s="514" t="s">
        <v>1790</v>
      </c>
      <c r="E128" s="514" t="s">
        <v>5034</v>
      </c>
      <c r="F128" s="514" t="n">
        <v>647</v>
      </c>
      <c r="G128" s="514" t="n">
        <v>222</v>
      </c>
      <c r="H128" s="514" t="n">
        <v>1279</v>
      </c>
      <c r="I128" s="514" t="n">
        <v>685</v>
      </c>
      <c r="J128" s="514" t="n">
        <v>594</v>
      </c>
      <c r="K128" s="514" t="n">
        <v>0</v>
      </c>
      <c r="L128" s="19" t="n">
        <f aca="false">(K128/H128)*100</f>
        <v>0</v>
      </c>
      <c r="M128" s="514" t="n">
        <v>0</v>
      </c>
      <c r="N128" s="19" t="n">
        <f aca="false">(M128/H128)*100</f>
        <v>0</v>
      </c>
      <c r="O128" s="514" t="n">
        <v>0</v>
      </c>
      <c r="P128" s="514" t="n">
        <v>0</v>
      </c>
      <c r="Q128" s="131" t="s">
        <v>49</v>
      </c>
      <c r="R128" s="517" t="n">
        <v>44825</v>
      </c>
      <c r="S128" s="514"/>
      <c r="T128" s="131" t="n">
        <v>0</v>
      </c>
      <c r="U128" s="131"/>
      <c r="V128" s="514"/>
      <c r="W128" s="514"/>
      <c r="X128" s="514"/>
      <c r="Y128" s="514"/>
      <c r="Z128" s="514"/>
      <c r="AA128" s="132" t="s">
        <v>266</v>
      </c>
      <c r="AB128" s="132" t="n">
        <v>0</v>
      </c>
      <c r="AC128" s="287" t="n">
        <v>0</v>
      </c>
      <c r="AD128" s="131" t="n">
        <v>0</v>
      </c>
      <c r="AE128" s="131" t="n">
        <v>0</v>
      </c>
    </row>
    <row r="129" customFormat="false" ht="15.75" hidden="false" customHeight="false" outlineLevel="0" collapsed="false">
      <c r="A129" s="514" t="s">
        <v>42</v>
      </c>
      <c r="B129" s="514" t="s">
        <v>4261</v>
      </c>
      <c r="C129" s="515" t="s">
        <v>5030</v>
      </c>
      <c r="D129" s="514" t="s">
        <v>5035</v>
      </c>
      <c r="E129" s="514" t="s">
        <v>5036</v>
      </c>
      <c r="F129" s="514" t="n">
        <v>237.14</v>
      </c>
      <c r="G129" s="514" t="n">
        <v>68</v>
      </c>
      <c r="H129" s="514" t="n">
        <v>389</v>
      </c>
      <c r="I129" s="514" t="n">
        <v>200</v>
      </c>
      <c r="J129" s="514" t="n">
        <v>189</v>
      </c>
      <c r="K129" s="514" t="n">
        <v>0</v>
      </c>
      <c r="L129" s="19" t="n">
        <f aca="false">(K129/H129)*100</f>
        <v>0</v>
      </c>
      <c r="M129" s="514" t="n">
        <v>0</v>
      </c>
      <c r="N129" s="19" t="n">
        <f aca="false">(M129/H129)*100</f>
        <v>0</v>
      </c>
      <c r="O129" s="514" t="n">
        <v>0</v>
      </c>
      <c r="P129" s="514" t="n">
        <v>0</v>
      </c>
      <c r="Q129" s="131" t="s">
        <v>49</v>
      </c>
      <c r="R129" s="517" t="n">
        <v>44825</v>
      </c>
      <c r="S129" s="514"/>
      <c r="T129" s="131" t="n">
        <v>0</v>
      </c>
      <c r="U129" s="131"/>
      <c r="V129" s="514"/>
      <c r="W129" s="514"/>
      <c r="X129" s="514"/>
      <c r="Y129" s="514"/>
      <c r="Z129" s="514"/>
      <c r="AA129" s="132" t="s">
        <v>266</v>
      </c>
      <c r="AB129" s="132" t="n">
        <v>0</v>
      </c>
      <c r="AC129" s="287" t="n">
        <v>0</v>
      </c>
      <c r="AD129" s="131" t="n">
        <v>0</v>
      </c>
      <c r="AE129" s="131" t="n">
        <v>0</v>
      </c>
    </row>
    <row r="130" customFormat="false" ht="15.75" hidden="false" customHeight="false" outlineLevel="0" collapsed="false">
      <c r="A130" s="514" t="s">
        <v>42</v>
      </c>
      <c r="B130" s="514" t="s">
        <v>4261</v>
      </c>
      <c r="C130" s="515" t="s">
        <v>5030</v>
      </c>
      <c r="D130" s="514" t="s">
        <v>2011</v>
      </c>
      <c r="E130" s="514" t="s">
        <v>5037</v>
      </c>
      <c r="F130" s="514" t="n">
        <v>292.65</v>
      </c>
      <c r="G130" s="514" t="n">
        <v>95</v>
      </c>
      <c r="H130" s="514" t="n">
        <v>499</v>
      </c>
      <c r="I130" s="514" t="n">
        <v>265</v>
      </c>
      <c r="J130" s="514" t="n">
        <v>234</v>
      </c>
      <c r="K130" s="514" t="n">
        <v>0</v>
      </c>
      <c r="L130" s="19" t="n">
        <f aca="false">(K130/H130)*100</f>
        <v>0</v>
      </c>
      <c r="M130" s="514" t="n">
        <v>0</v>
      </c>
      <c r="N130" s="19" t="n">
        <f aca="false">(M130/H130)*100</f>
        <v>0</v>
      </c>
      <c r="O130" s="514" t="n">
        <v>0</v>
      </c>
      <c r="P130" s="514" t="n">
        <v>0</v>
      </c>
      <c r="Q130" s="131" t="s">
        <v>49</v>
      </c>
      <c r="R130" s="517" t="n">
        <v>44825</v>
      </c>
      <c r="S130" s="514"/>
      <c r="T130" s="131" t="n">
        <v>0</v>
      </c>
      <c r="U130" s="131"/>
      <c r="V130" s="514"/>
      <c r="W130" s="514"/>
      <c r="X130" s="514"/>
      <c r="Y130" s="514"/>
      <c r="Z130" s="514"/>
      <c r="AA130" s="132" t="s">
        <v>266</v>
      </c>
      <c r="AB130" s="132" t="n">
        <v>0</v>
      </c>
      <c r="AC130" s="287" t="n">
        <v>0</v>
      </c>
      <c r="AD130" s="131" t="n">
        <v>0</v>
      </c>
      <c r="AE130" s="131" t="n">
        <v>0</v>
      </c>
    </row>
    <row r="131" customFormat="false" ht="15.75" hidden="false" customHeight="false" outlineLevel="0" collapsed="false">
      <c r="A131" s="514" t="s">
        <v>42</v>
      </c>
      <c r="B131" s="514" t="s">
        <v>4261</v>
      </c>
      <c r="C131" s="515" t="s">
        <v>5030</v>
      </c>
      <c r="D131" s="514" t="s">
        <v>5038</v>
      </c>
      <c r="E131" s="514" t="s">
        <v>5039</v>
      </c>
      <c r="F131" s="514" t="n">
        <v>240.26</v>
      </c>
      <c r="G131" s="514" t="n">
        <v>120</v>
      </c>
      <c r="H131" s="514" t="n">
        <v>502</v>
      </c>
      <c r="I131" s="514" t="n">
        <v>259</v>
      </c>
      <c r="J131" s="514" t="n">
        <v>243</v>
      </c>
      <c r="K131" s="514" t="n">
        <v>0</v>
      </c>
      <c r="L131" s="19" t="n">
        <f aca="false">(K131/H131)*100</f>
        <v>0</v>
      </c>
      <c r="M131" s="514" t="n">
        <v>2</v>
      </c>
      <c r="N131" s="19" t="n">
        <f aca="false">(M131/H131)*100</f>
        <v>0.398406374501992</v>
      </c>
      <c r="O131" s="514" t="n">
        <v>0</v>
      </c>
      <c r="P131" s="514" t="n">
        <v>0</v>
      </c>
      <c r="Q131" s="131" t="s">
        <v>49</v>
      </c>
      <c r="R131" s="517" t="n">
        <v>44825</v>
      </c>
      <c r="S131" s="514"/>
      <c r="T131" s="131" t="n">
        <v>0</v>
      </c>
      <c r="U131" s="131"/>
      <c r="V131" s="514"/>
      <c r="W131" s="514"/>
      <c r="X131" s="514"/>
      <c r="Y131" s="514"/>
      <c r="Z131" s="514"/>
      <c r="AA131" s="132" t="n">
        <v>0</v>
      </c>
      <c r="AB131" s="132" t="n">
        <v>0</v>
      </c>
      <c r="AC131" s="287" t="n">
        <v>0</v>
      </c>
      <c r="AD131" s="131" t="n">
        <v>0</v>
      </c>
      <c r="AE131" s="131" t="n">
        <v>0</v>
      </c>
    </row>
    <row r="132" customFormat="false" ht="15.75" hidden="false" customHeight="false" outlineLevel="0" collapsed="false">
      <c r="A132" s="514" t="s">
        <v>42</v>
      </c>
      <c r="B132" s="514" t="s">
        <v>4261</v>
      </c>
      <c r="C132" s="515" t="s">
        <v>5040</v>
      </c>
      <c r="D132" s="516" t="s">
        <v>5041</v>
      </c>
      <c r="E132" s="514" t="s">
        <v>5042</v>
      </c>
      <c r="F132" s="514" t="n">
        <v>2760.76</v>
      </c>
      <c r="G132" s="514" t="n">
        <v>512</v>
      </c>
      <c r="H132" s="514" t="n">
        <v>3225</v>
      </c>
      <c r="I132" s="514" t="n">
        <v>1748</v>
      </c>
      <c r="J132" s="514" t="n">
        <v>1477</v>
      </c>
      <c r="K132" s="514" t="n">
        <v>618</v>
      </c>
      <c r="L132" s="19" t="n">
        <f aca="false">(K132/H132)*100</f>
        <v>19.1627906976744</v>
      </c>
      <c r="M132" s="514" t="n">
        <v>31</v>
      </c>
      <c r="N132" s="19" t="n">
        <f aca="false">(M132/H132)*100</f>
        <v>0.961240310077519</v>
      </c>
      <c r="O132" s="514" t="n">
        <v>514</v>
      </c>
      <c r="P132" s="514" t="n">
        <v>0</v>
      </c>
      <c r="Q132" s="131"/>
      <c r="R132" s="131"/>
      <c r="S132" s="514"/>
      <c r="T132" s="131"/>
      <c r="U132" s="131"/>
      <c r="V132" s="514"/>
      <c r="W132" s="514"/>
      <c r="X132" s="514"/>
      <c r="Y132" s="514"/>
      <c r="Z132" s="514"/>
      <c r="AA132" s="132"/>
      <c r="AB132" s="132"/>
      <c r="AC132" s="596"/>
      <c r="AD132" s="597"/>
      <c r="AE132" s="131"/>
    </row>
    <row r="133" customFormat="false" ht="15.75" hidden="false" customHeight="false" outlineLevel="0" collapsed="false">
      <c r="A133" s="514"/>
      <c r="B133" s="514"/>
      <c r="C133" s="515"/>
      <c r="D133" s="516"/>
      <c r="E133" s="514"/>
      <c r="F133" s="514"/>
      <c r="G133" s="514"/>
      <c r="H133" s="514"/>
      <c r="I133" s="514"/>
      <c r="J133" s="514"/>
      <c r="K133" s="514"/>
      <c r="L133" s="19"/>
      <c r="M133" s="514"/>
      <c r="N133" s="19"/>
      <c r="O133" s="514"/>
      <c r="P133" s="514"/>
      <c r="Q133" s="131"/>
      <c r="R133" s="131"/>
      <c r="S133" s="514"/>
      <c r="T133" s="131"/>
      <c r="U133" s="131"/>
      <c r="V133" s="514"/>
      <c r="W133" s="514"/>
      <c r="X133" s="514"/>
      <c r="Y133" s="514"/>
      <c r="Z133" s="514"/>
      <c r="AA133" s="132"/>
      <c r="AB133" s="132"/>
      <c r="AC133" s="596"/>
      <c r="AD133" s="597"/>
      <c r="AE133" s="131"/>
    </row>
    <row r="134" customFormat="false" ht="15.75" hidden="false" customHeight="false" outlineLevel="0" collapsed="false">
      <c r="A134" s="514"/>
      <c r="B134" s="514"/>
      <c r="C134" s="515"/>
      <c r="D134" s="516"/>
      <c r="E134" s="514"/>
      <c r="F134" s="514"/>
      <c r="G134" s="514"/>
      <c r="H134" s="514"/>
      <c r="I134" s="514"/>
      <c r="J134" s="514"/>
      <c r="K134" s="514"/>
      <c r="L134" s="19"/>
      <c r="M134" s="514"/>
      <c r="N134" s="19"/>
      <c r="O134" s="514"/>
      <c r="P134" s="514"/>
      <c r="Q134" s="131"/>
      <c r="R134" s="131"/>
      <c r="S134" s="514"/>
      <c r="T134" s="131"/>
      <c r="U134" s="131"/>
      <c r="V134" s="514"/>
      <c r="W134" s="514"/>
      <c r="X134" s="514"/>
      <c r="Y134" s="514"/>
      <c r="Z134" s="514"/>
      <c r="AA134" s="132"/>
      <c r="AB134" s="132"/>
      <c r="AC134" s="596"/>
      <c r="AD134" s="597"/>
      <c r="AE134" s="131"/>
    </row>
    <row r="135" customFormat="false" ht="15.75" hidden="false" customHeight="false" outlineLevel="0" collapsed="false">
      <c r="A135" s="514" t="s">
        <v>42</v>
      </c>
      <c r="B135" s="514" t="s">
        <v>4261</v>
      </c>
      <c r="C135" s="515" t="s">
        <v>5040</v>
      </c>
      <c r="D135" s="514" t="s">
        <v>5043</v>
      </c>
      <c r="E135" s="514" t="s">
        <v>5044</v>
      </c>
      <c r="F135" s="514" t="n">
        <v>692</v>
      </c>
      <c r="G135" s="514" t="n">
        <v>142</v>
      </c>
      <c r="H135" s="514" t="n">
        <v>838</v>
      </c>
      <c r="I135" s="514" t="n">
        <v>424</v>
      </c>
      <c r="J135" s="514" t="n">
        <v>414</v>
      </c>
      <c r="K135" s="514" t="n">
        <v>208</v>
      </c>
      <c r="L135" s="19" t="n">
        <f aca="false">(K135/H135)*100</f>
        <v>24.8210023866348</v>
      </c>
      <c r="M135" s="514" t="n">
        <v>77</v>
      </c>
      <c r="N135" s="19" t="n">
        <f aca="false">(M135/H135)*100</f>
        <v>9.18854415274463</v>
      </c>
      <c r="O135" s="514" t="n">
        <v>0</v>
      </c>
      <c r="P135" s="514" t="n">
        <v>0</v>
      </c>
      <c r="Q135" s="131"/>
      <c r="R135" s="131"/>
      <c r="S135" s="514"/>
      <c r="T135" s="131"/>
      <c r="U135" s="131"/>
      <c r="V135" s="514"/>
      <c r="W135" s="514"/>
      <c r="X135" s="514"/>
      <c r="Y135" s="514"/>
      <c r="Z135" s="514"/>
      <c r="AA135" s="132"/>
      <c r="AB135" s="132"/>
      <c r="AC135" s="37"/>
      <c r="AD135" s="131"/>
      <c r="AE135" s="131"/>
    </row>
    <row r="136" customFormat="false" ht="15.75" hidden="false" customHeight="false" outlineLevel="0" collapsed="false">
      <c r="A136" s="514" t="s">
        <v>42</v>
      </c>
      <c r="B136" s="514" t="s">
        <v>4261</v>
      </c>
      <c r="C136" s="515" t="s">
        <v>5040</v>
      </c>
      <c r="D136" s="514" t="s">
        <v>3655</v>
      </c>
      <c r="E136" s="514" t="s">
        <v>5045</v>
      </c>
      <c r="F136" s="514" t="n">
        <v>220.36</v>
      </c>
      <c r="G136" s="514" t="n">
        <v>111</v>
      </c>
      <c r="H136" s="514" t="n">
        <v>657</v>
      </c>
      <c r="I136" s="514" t="n">
        <v>334</v>
      </c>
      <c r="J136" s="514" t="n">
        <v>323</v>
      </c>
      <c r="K136" s="514" t="n">
        <v>86</v>
      </c>
      <c r="L136" s="19" t="n">
        <f aca="false">(K136/H136)*100</f>
        <v>13.089802130898</v>
      </c>
      <c r="M136" s="514" t="n">
        <v>571</v>
      </c>
      <c r="N136" s="19" t="n">
        <f aca="false">(M136/H136)*100</f>
        <v>86.910197869102</v>
      </c>
      <c r="O136" s="514" t="n">
        <v>0</v>
      </c>
      <c r="P136" s="514" t="n">
        <v>0</v>
      </c>
      <c r="Q136" s="131"/>
      <c r="R136" s="131"/>
      <c r="S136" s="514"/>
      <c r="T136" s="131"/>
      <c r="U136" s="131"/>
      <c r="V136" s="514"/>
      <c r="W136" s="514"/>
      <c r="X136" s="514"/>
      <c r="Y136" s="514"/>
      <c r="Z136" s="514"/>
      <c r="AA136" s="132"/>
      <c r="AB136" s="132"/>
      <c r="AC136" s="37"/>
      <c r="AD136" s="131"/>
      <c r="AE136" s="131"/>
    </row>
    <row r="137" customFormat="false" ht="15.75" hidden="false" customHeight="false" outlineLevel="0" collapsed="false">
      <c r="A137" s="514" t="s">
        <v>42</v>
      </c>
      <c r="B137" s="514" t="s">
        <v>4261</v>
      </c>
      <c r="C137" s="515" t="s">
        <v>4261</v>
      </c>
      <c r="D137" s="516" t="s">
        <v>5046</v>
      </c>
      <c r="E137" s="514" t="s">
        <v>5047</v>
      </c>
      <c r="F137" s="514" t="n">
        <v>2173</v>
      </c>
      <c r="G137" s="514" t="n">
        <v>1114</v>
      </c>
      <c r="H137" s="514" t="n">
        <v>6016</v>
      </c>
      <c r="I137" s="514" t="n">
        <v>3107</v>
      </c>
      <c r="J137" s="514" t="n">
        <v>2909</v>
      </c>
      <c r="K137" s="514" t="n">
        <v>1434</v>
      </c>
      <c r="L137" s="19" t="n">
        <f aca="false">(K137/H137)*100</f>
        <v>23.8364361702128</v>
      </c>
      <c r="M137" s="514" t="n">
        <v>470</v>
      </c>
      <c r="N137" s="19" t="n">
        <f aca="false">(M137/H137)*100</f>
        <v>7.8125</v>
      </c>
      <c r="O137" s="514" t="n">
        <v>418</v>
      </c>
      <c r="P137" s="514" t="n">
        <v>0</v>
      </c>
      <c r="Q137" s="131" t="s">
        <v>49</v>
      </c>
      <c r="R137" s="517" t="n">
        <v>44825</v>
      </c>
      <c r="S137" s="514"/>
      <c r="T137" s="131"/>
      <c r="U137" s="131"/>
      <c r="V137" s="514"/>
      <c r="W137" s="514"/>
      <c r="X137" s="514"/>
      <c r="Y137" s="514"/>
      <c r="Z137" s="514"/>
      <c r="AA137" s="132" t="s">
        <v>266</v>
      </c>
      <c r="AB137" s="132" t="n">
        <v>10</v>
      </c>
      <c r="AC137" s="287" t="s">
        <v>5048</v>
      </c>
      <c r="AD137" s="131"/>
      <c r="AE137" s="131"/>
    </row>
    <row r="138" customFormat="false" ht="15.75" hidden="false" customHeight="false" outlineLevel="0" collapsed="false">
      <c r="A138" s="514"/>
      <c r="B138" s="514"/>
      <c r="C138" s="515"/>
      <c r="D138" s="516"/>
      <c r="E138" s="514"/>
      <c r="F138" s="514"/>
      <c r="G138" s="514"/>
      <c r="H138" s="514"/>
      <c r="I138" s="514"/>
      <c r="J138" s="514"/>
      <c r="K138" s="514"/>
      <c r="L138" s="19"/>
      <c r="M138" s="514"/>
      <c r="N138" s="19"/>
      <c r="O138" s="514"/>
      <c r="P138" s="514"/>
      <c r="Q138" s="131"/>
      <c r="R138" s="131"/>
      <c r="S138" s="514"/>
      <c r="T138" s="131"/>
      <c r="U138" s="131"/>
      <c r="V138" s="514"/>
      <c r="W138" s="514"/>
      <c r="X138" s="514"/>
      <c r="Y138" s="514"/>
      <c r="Z138" s="514"/>
      <c r="AA138" s="132"/>
      <c r="AB138" s="132"/>
      <c r="AC138" s="596"/>
      <c r="AD138" s="597"/>
      <c r="AE138" s="131"/>
    </row>
    <row r="139" customFormat="false" ht="15.75" hidden="false" customHeight="false" outlineLevel="0" collapsed="false">
      <c r="A139" s="514"/>
      <c r="B139" s="514"/>
      <c r="C139" s="515"/>
      <c r="D139" s="516"/>
      <c r="E139" s="514"/>
      <c r="F139" s="514"/>
      <c r="G139" s="514"/>
      <c r="H139" s="514"/>
      <c r="I139" s="514"/>
      <c r="J139" s="514"/>
      <c r="K139" s="514"/>
      <c r="L139" s="19"/>
      <c r="M139" s="514"/>
      <c r="N139" s="19"/>
      <c r="O139" s="514"/>
      <c r="P139" s="514"/>
      <c r="Q139" s="131"/>
      <c r="R139" s="131"/>
      <c r="S139" s="514"/>
      <c r="T139" s="131"/>
      <c r="U139" s="131"/>
      <c r="V139" s="514"/>
      <c r="W139" s="514"/>
      <c r="X139" s="514"/>
      <c r="Y139" s="514"/>
      <c r="Z139" s="514"/>
      <c r="AA139" s="132"/>
      <c r="AB139" s="132"/>
      <c r="AC139" s="596"/>
      <c r="AD139" s="597"/>
      <c r="AE139" s="131"/>
    </row>
    <row r="140" customFormat="false" ht="15.75" hidden="false" customHeight="false" outlineLevel="0" collapsed="false">
      <c r="A140" s="514" t="s">
        <v>42</v>
      </c>
      <c r="B140" s="514" t="s">
        <v>4261</v>
      </c>
      <c r="C140" s="515" t="s">
        <v>4261</v>
      </c>
      <c r="D140" s="514" t="s">
        <v>5049</v>
      </c>
      <c r="E140" s="514" t="s">
        <v>5050</v>
      </c>
      <c r="F140" s="514" t="n">
        <v>368</v>
      </c>
      <c r="G140" s="514" t="n">
        <v>97</v>
      </c>
      <c r="H140" s="514" t="n">
        <v>622</v>
      </c>
      <c r="I140" s="514" t="n">
        <v>330</v>
      </c>
      <c r="J140" s="514" t="n">
        <v>292</v>
      </c>
      <c r="K140" s="514" t="n">
        <v>369</v>
      </c>
      <c r="L140" s="19" t="n">
        <f aca="false">(K140/H140)*100</f>
        <v>59.3247588424437</v>
      </c>
      <c r="M140" s="514" t="n">
        <v>0</v>
      </c>
      <c r="N140" s="19" t="n">
        <f aca="false">(M140/H140)*100</f>
        <v>0</v>
      </c>
      <c r="O140" s="514" t="n">
        <v>0</v>
      </c>
      <c r="P140" s="514" t="n">
        <v>0</v>
      </c>
      <c r="Q140" s="131" t="s">
        <v>49</v>
      </c>
      <c r="R140" s="599" t="n">
        <v>44825</v>
      </c>
      <c r="S140" s="514"/>
      <c r="T140" s="131"/>
      <c r="U140" s="131"/>
      <c r="V140" s="514"/>
      <c r="W140" s="514"/>
      <c r="X140" s="514"/>
      <c r="Y140" s="514"/>
      <c r="Z140" s="514"/>
      <c r="AA140" s="132"/>
      <c r="AB140" s="132"/>
      <c r="AC140" s="287" t="n">
        <v>0</v>
      </c>
      <c r="AD140" s="131"/>
      <c r="AE140" s="131"/>
    </row>
    <row r="141" customFormat="false" ht="15.75" hidden="false" customHeight="false" outlineLevel="0" collapsed="false">
      <c r="A141" s="514" t="s">
        <v>42</v>
      </c>
      <c r="B141" s="514" t="s">
        <v>4261</v>
      </c>
      <c r="C141" s="515" t="s">
        <v>5051</v>
      </c>
      <c r="D141" s="516" t="s">
        <v>5052</v>
      </c>
      <c r="E141" s="514" t="s">
        <v>5053</v>
      </c>
      <c r="F141" s="514" t="n">
        <v>3337</v>
      </c>
      <c r="G141" s="514" t="n">
        <v>612</v>
      </c>
      <c r="H141" s="514" t="n">
        <v>3749</v>
      </c>
      <c r="I141" s="514" t="n">
        <v>1940</v>
      </c>
      <c r="J141" s="514" t="n">
        <v>1809</v>
      </c>
      <c r="K141" s="514" t="n">
        <v>814</v>
      </c>
      <c r="L141" s="19" t="n">
        <f aca="false">(K141/H141)*100</f>
        <v>21.712456655108</v>
      </c>
      <c r="M141" s="514" t="n">
        <v>572</v>
      </c>
      <c r="N141" s="19" t="n">
        <f aca="false">(M141/H141)*100</f>
        <v>15.2574019738597</v>
      </c>
      <c r="O141" s="514" t="n">
        <v>137</v>
      </c>
      <c r="P141" s="514" t="n">
        <v>0</v>
      </c>
      <c r="Q141" s="131"/>
      <c r="R141" s="131"/>
      <c r="S141" s="514"/>
      <c r="T141" s="131"/>
      <c r="U141" s="131"/>
      <c r="V141" s="514"/>
      <c r="W141" s="514"/>
      <c r="X141" s="514"/>
      <c r="Y141" s="514"/>
      <c r="Z141" s="514"/>
      <c r="AA141" s="132"/>
      <c r="AB141" s="132"/>
      <c r="AC141" s="596"/>
      <c r="AD141" s="597"/>
      <c r="AE141" s="131"/>
    </row>
    <row r="142" customFormat="false" ht="15.75" hidden="false" customHeight="false" outlineLevel="0" collapsed="false">
      <c r="A142" s="514"/>
      <c r="B142" s="514"/>
      <c r="C142" s="515"/>
      <c r="D142" s="516"/>
      <c r="E142" s="514"/>
      <c r="F142" s="514"/>
      <c r="G142" s="514"/>
      <c r="H142" s="514"/>
      <c r="I142" s="514"/>
      <c r="J142" s="514"/>
      <c r="K142" s="514"/>
      <c r="L142" s="19"/>
      <c r="M142" s="514"/>
      <c r="N142" s="19"/>
      <c r="O142" s="514"/>
      <c r="P142" s="514"/>
      <c r="Q142" s="131"/>
      <c r="R142" s="131"/>
      <c r="S142" s="514"/>
      <c r="T142" s="131"/>
      <c r="U142" s="131"/>
      <c r="V142" s="514"/>
      <c r="W142" s="514"/>
      <c r="X142" s="514"/>
      <c r="Y142" s="514"/>
      <c r="Z142" s="514"/>
      <c r="AA142" s="132"/>
      <c r="AB142" s="132"/>
      <c r="AC142" s="596"/>
      <c r="AD142" s="597"/>
      <c r="AE142" s="131"/>
    </row>
    <row r="143" customFormat="false" ht="15.75" hidden="false" customHeight="false" outlineLevel="0" collapsed="false">
      <c r="A143" s="514"/>
      <c r="B143" s="514"/>
      <c r="C143" s="515"/>
      <c r="D143" s="516"/>
      <c r="E143" s="514"/>
      <c r="F143" s="514"/>
      <c r="G143" s="514"/>
      <c r="H143" s="514"/>
      <c r="I143" s="514"/>
      <c r="J143" s="514"/>
      <c r="K143" s="514"/>
      <c r="L143" s="19"/>
      <c r="M143" s="514"/>
      <c r="N143" s="19"/>
      <c r="O143" s="514"/>
      <c r="P143" s="514"/>
      <c r="Q143" s="131"/>
      <c r="R143" s="131"/>
      <c r="S143" s="514"/>
      <c r="T143" s="131"/>
      <c r="U143" s="131"/>
      <c r="V143" s="514"/>
      <c r="W143" s="514"/>
      <c r="X143" s="514"/>
      <c r="Y143" s="514"/>
      <c r="Z143" s="514"/>
      <c r="AA143" s="132"/>
      <c r="AB143" s="132"/>
      <c r="AC143" s="596"/>
      <c r="AD143" s="597"/>
      <c r="AE143" s="131"/>
    </row>
    <row r="144" customFormat="false" ht="15.75" hidden="false" customHeight="false" outlineLevel="0" collapsed="false">
      <c r="A144" s="514" t="s">
        <v>42</v>
      </c>
      <c r="B144" s="514" t="s">
        <v>4261</v>
      </c>
      <c r="C144" s="515" t="s">
        <v>5051</v>
      </c>
      <c r="D144" s="514" t="s">
        <v>2011</v>
      </c>
      <c r="E144" s="514" t="s">
        <v>5054</v>
      </c>
      <c r="F144" s="514" t="n">
        <v>1147</v>
      </c>
      <c r="G144" s="514" t="n">
        <v>110</v>
      </c>
      <c r="H144" s="514" t="n">
        <v>682</v>
      </c>
      <c r="I144" s="514" t="n">
        <v>373</v>
      </c>
      <c r="J144" s="514" t="n">
        <v>309</v>
      </c>
      <c r="K144" s="514" t="n">
        <v>291</v>
      </c>
      <c r="L144" s="19" t="n">
        <f aca="false">(K144/H144)*100</f>
        <v>42.6686217008798</v>
      </c>
      <c r="M144" s="514" t="n">
        <v>295</v>
      </c>
      <c r="N144" s="19" t="n">
        <f aca="false">(M144/H144)*100</f>
        <v>43.2551319648094</v>
      </c>
      <c r="O144" s="514" t="n">
        <v>155</v>
      </c>
      <c r="P144" s="514" t="n">
        <v>0</v>
      </c>
      <c r="Q144" s="131"/>
      <c r="R144" s="131"/>
      <c r="S144" s="514"/>
      <c r="T144" s="131"/>
      <c r="U144" s="131"/>
      <c r="V144" s="514"/>
      <c r="W144" s="514"/>
      <c r="X144" s="514"/>
      <c r="Y144" s="514"/>
      <c r="Z144" s="514"/>
      <c r="AA144" s="132"/>
      <c r="AB144" s="132"/>
      <c r="AC144" s="37"/>
      <c r="AD144" s="131"/>
      <c r="AE144" s="131"/>
    </row>
    <row r="145" customFormat="false" ht="15.75" hidden="false" customHeight="false" outlineLevel="0" collapsed="false">
      <c r="A145" s="514" t="s">
        <v>42</v>
      </c>
      <c r="B145" s="514" t="s">
        <v>4261</v>
      </c>
      <c r="C145" s="515" t="s">
        <v>5055</v>
      </c>
      <c r="D145" s="516" t="s">
        <v>5056</v>
      </c>
      <c r="E145" s="514" t="s">
        <v>5057</v>
      </c>
      <c r="F145" s="514" t="n">
        <v>1051</v>
      </c>
      <c r="G145" s="514" t="n">
        <v>437</v>
      </c>
      <c r="H145" s="514" t="n">
        <v>2778</v>
      </c>
      <c r="I145" s="514" t="n">
        <v>1436</v>
      </c>
      <c r="J145" s="514" t="n">
        <v>1342</v>
      </c>
      <c r="K145" s="514" t="n">
        <v>221</v>
      </c>
      <c r="L145" s="19" t="n">
        <f aca="false">(K145/H145)*100</f>
        <v>7.95536357091433</v>
      </c>
      <c r="M145" s="514" t="n">
        <v>240</v>
      </c>
      <c r="N145" s="19" t="n">
        <f aca="false">(M145/H145)*100</f>
        <v>8.63930885529158</v>
      </c>
      <c r="O145" s="514" t="n">
        <v>113</v>
      </c>
      <c r="P145" s="514" t="n">
        <v>0</v>
      </c>
      <c r="Q145" s="131"/>
      <c r="R145" s="131"/>
      <c r="S145" s="514"/>
      <c r="T145" s="131"/>
      <c r="U145" s="131" t="s">
        <v>50</v>
      </c>
      <c r="V145" s="514"/>
      <c r="W145" s="514"/>
      <c r="X145" s="514"/>
      <c r="Y145" s="514"/>
      <c r="Z145" s="514"/>
      <c r="AA145" s="132" t="s">
        <v>266</v>
      </c>
      <c r="AB145" s="132" t="n">
        <v>15</v>
      </c>
      <c r="AC145" s="287" t="s">
        <v>5058</v>
      </c>
      <c r="AD145" s="131"/>
      <c r="AE145" s="131"/>
    </row>
    <row r="146" customFormat="false" ht="15.75" hidden="false" customHeight="false" outlineLevel="0" collapsed="false">
      <c r="A146" s="514" t="s">
        <v>42</v>
      </c>
      <c r="B146" s="514" t="s">
        <v>4261</v>
      </c>
      <c r="C146" s="515" t="s">
        <v>5055</v>
      </c>
      <c r="D146" s="514" t="s">
        <v>5059</v>
      </c>
      <c r="E146" s="514" t="s">
        <v>5060</v>
      </c>
      <c r="F146" s="514" t="n">
        <v>553</v>
      </c>
      <c r="G146" s="514" t="n">
        <v>70</v>
      </c>
      <c r="H146" s="514" t="n">
        <v>451</v>
      </c>
      <c r="I146" s="514" t="n">
        <v>225</v>
      </c>
      <c r="J146" s="514" t="n">
        <v>226</v>
      </c>
      <c r="K146" s="514" t="n">
        <v>92</v>
      </c>
      <c r="L146" s="19" t="n">
        <f aca="false">(K146/H146)*100</f>
        <v>20.3991130820399</v>
      </c>
      <c r="M146" s="514" t="n">
        <v>0</v>
      </c>
      <c r="N146" s="19" t="n">
        <f aca="false">(M146/H146)*100</f>
        <v>0</v>
      </c>
      <c r="O146" s="514" t="n">
        <v>0</v>
      </c>
      <c r="P146" s="514" t="n">
        <v>0</v>
      </c>
      <c r="Q146" s="131" t="s">
        <v>49</v>
      </c>
      <c r="R146" s="517" t="n">
        <v>44825</v>
      </c>
      <c r="S146" s="514"/>
      <c r="T146" s="131" t="n">
        <v>0</v>
      </c>
      <c r="U146" s="131"/>
      <c r="V146" s="514"/>
      <c r="W146" s="514"/>
      <c r="X146" s="514"/>
      <c r="Y146" s="514"/>
      <c r="Z146" s="514"/>
      <c r="AA146" s="132" t="s">
        <v>266</v>
      </c>
      <c r="AB146" s="132" t="n">
        <v>0</v>
      </c>
      <c r="AC146" s="287" t="n">
        <v>0</v>
      </c>
      <c r="AD146" s="131" t="n">
        <v>0</v>
      </c>
      <c r="AE146" s="131" t="n">
        <v>0</v>
      </c>
    </row>
    <row r="147" customFormat="false" ht="15.75" hidden="false" customHeight="false" outlineLevel="0" collapsed="false">
      <c r="A147" s="514" t="s">
        <v>42</v>
      </c>
      <c r="B147" s="514" t="s">
        <v>4261</v>
      </c>
      <c r="C147" s="515" t="s">
        <v>5055</v>
      </c>
      <c r="D147" s="514" t="s">
        <v>5061</v>
      </c>
      <c r="E147" s="514" t="s">
        <v>5062</v>
      </c>
      <c r="F147" s="514" t="n">
        <v>471</v>
      </c>
      <c r="G147" s="514" t="n">
        <v>61</v>
      </c>
      <c r="H147" s="514" t="n">
        <v>400</v>
      </c>
      <c r="I147" s="514" t="n">
        <v>207</v>
      </c>
      <c r="J147" s="514" t="n">
        <v>193</v>
      </c>
      <c r="K147" s="514" t="n">
        <v>0</v>
      </c>
      <c r="L147" s="19" t="n">
        <f aca="false">(K147/H147)*100</f>
        <v>0</v>
      </c>
      <c r="M147" s="514" t="n">
        <v>0</v>
      </c>
      <c r="N147" s="19" t="n">
        <f aca="false">(M147/H147)*100</f>
        <v>0</v>
      </c>
      <c r="O147" s="514" t="n">
        <v>0</v>
      </c>
      <c r="P147" s="514" t="n">
        <v>0</v>
      </c>
      <c r="Q147" s="131" t="s">
        <v>49</v>
      </c>
      <c r="R147" s="517" t="n">
        <v>44825</v>
      </c>
      <c r="S147" s="514"/>
      <c r="T147" s="131" t="n">
        <v>0</v>
      </c>
      <c r="U147" s="131"/>
      <c r="V147" s="514"/>
      <c r="W147" s="514"/>
      <c r="X147" s="514"/>
      <c r="Y147" s="514"/>
      <c r="Z147" s="514"/>
      <c r="AA147" s="132" t="s">
        <v>266</v>
      </c>
      <c r="AB147" s="132" t="n">
        <v>0</v>
      </c>
      <c r="AC147" s="287" t="n">
        <v>0</v>
      </c>
      <c r="AD147" s="131" t="n">
        <v>0</v>
      </c>
      <c r="AE147" s="131" t="n">
        <v>0</v>
      </c>
    </row>
    <row r="148" customFormat="false" ht="15.75" hidden="false" customHeight="false" outlineLevel="0" collapsed="false">
      <c r="A148" s="514" t="s">
        <v>42</v>
      </c>
      <c r="B148" s="514" t="s">
        <v>4261</v>
      </c>
      <c r="C148" s="515" t="s">
        <v>5055</v>
      </c>
      <c r="D148" s="514" t="s">
        <v>5063</v>
      </c>
      <c r="E148" s="514" t="s">
        <v>5064</v>
      </c>
      <c r="F148" s="514" t="n">
        <v>501</v>
      </c>
      <c r="G148" s="514" t="n">
        <v>90</v>
      </c>
      <c r="H148" s="514" t="n">
        <v>539</v>
      </c>
      <c r="I148" s="514" t="n">
        <v>291</v>
      </c>
      <c r="J148" s="514" t="n">
        <v>248</v>
      </c>
      <c r="K148" s="514" t="n">
        <v>423</v>
      </c>
      <c r="L148" s="19" t="n">
        <f aca="false">(K148/H148)*100</f>
        <v>78.4786641929499</v>
      </c>
      <c r="M148" s="514" t="n">
        <v>62</v>
      </c>
      <c r="N148" s="19" t="n">
        <f aca="false">(M148/H148)*100</f>
        <v>11.5027829313544</v>
      </c>
      <c r="O148" s="514" t="n">
        <v>0</v>
      </c>
      <c r="P148" s="514" t="n">
        <v>0</v>
      </c>
      <c r="Q148" s="131" t="s">
        <v>49</v>
      </c>
      <c r="R148" s="517" t="n">
        <v>44825</v>
      </c>
      <c r="S148" s="514"/>
      <c r="T148" s="131"/>
      <c r="U148" s="131" t="s">
        <v>50</v>
      </c>
      <c r="V148" s="514"/>
      <c r="W148" s="514"/>
      <c r="X148" s="514"/>
      <c r="Y148" s="514"/>
      <c r="Z148" s="514"/>
      <c r="AA148" s="132" t="s">
        <v>266</v>
      </c>
      <c r="AB148" s="132" t="n">
        <v>15</v>
      </c>
      <c r="AC148" s="287" t="s">
        <v>5065</v>
      </c>
      <c r="AD148" s="131"/>
      <c r="AE148" s="131"/>
    </row>
    <row r="149" customFormat="false" ht="15.75" hidden="false" customHeight="false" outlineLevel="0" collapsed="false">
      <c r="A149" s="514" t="s">
        <v>42</v>
      </c>
      <c r="B149" s="514" t="s">
        <v>4261</v>
      </c>
      <c r="C149" s="515" t="s">
        <v>5055</v>
      </c>
      <c r="D149" s="514" t="s">
        <v>5066</v>
      </c>
      <c r="E149" s="514" t="s">
        <v>5067</v>
      </c>
      <c r="F149" s="514" t="n">
        <v>686</v>
      </c>
      <c r="G149" s="514" t="n">
        <v>46</v>
      </c>
      <c r="H149" s="514" t="n">
        <v>261</v>
      </c>
      <c r="I149" s="514" t="n">
        <v>139</v>
      </c>
      <c r="J149" s="514" t="n">
        <v>122</v>
      </c>
      <c r="K149" s="514" t="n">
        <v>0</v>
      </c>
      <c r="L149" s="19" t="n">
        <f aca="false">(K149/H149)*100</f>
        <v>0</v>
      </c>
      <c r="M149" s="514" t="n">
        <v>0</v>
      </c>
      <c r="N149" s="19" t="n">
        <f aca="false">(M149/H149)*100</f>
        <v>0</v>
      </c>
      <c r="O149" s="514" t="n">
        <v>0</v>
      </c>
      <c r="P149" s="514" t="n">
        <v>0</v>
      </c>
      <c r="Q149" s="131" t="s">
        <v>49</v>
      </c>
      <c r="R149" s="517" t="n">
        <v>44825</v>
      </c>
      <c r="S149" s="514"/>
      <c r="T149" s="131" t="n">
        <v>0</v>
      </c>
      <c r="U149" s="131"/>
      <c r="V149" s="514"/>
      <c r="W149" s="514"/>
      <c r="X149" s="514"/>
      <c r="Y149" s="514"/>
      <c r="Z149" s="514"/>
      <c r="AA149" s="132" t="s">
        <v>266</v>
      </c>
      <c r="AB149" s="132" t="n">
        <v>0</v>
      </c>
      <c r="AC149" s="287" t="n">
        <v>0</v>
      </c>
      <c r="AD149" s="131" t="n">
        <v>0</v>
      </c>
      <c r="AE149" s="131" t="n">
        <v>0</v>
      </c>
    </row>
    <row r="150" customFormat="false" ht="15.75" hidden="false" customHeight="false" outlineLevel="0" collapsed="false">
      <c r="A150" s="514" t="s">
        <v>42</v>
      </c>
      <c r="B150" s="514" t="s">
        <v>4261</v>
      </c>
      <c r="C150" s="515" t="s">
        <v>5055</v>
      </c>
      <c r="D150" s="514" t="s">
        <v>5068</v>
      </c>
      <c r="E150" s="514" t="s">
        <v>5069</v>
      </c>
      <c r="F150" s="514" t="n">
        <v>602</v>
      </c>
      <c r="G150" s="514" t="n">
        <v>126</v>
      </c>
      <c r="H150" s="514" t="n">
        <v>719</v>
      </c>
      <c r="I150" s="514" t="n">
        <v>373</v>
      </c>
      <c r="J150" s="514" t="n">
        <v>346</v>
      </c>
      <c r="K150" s="514" t="n">
        <v>274</v>
      </c>
      <c r="L150" s="19" t="n">
        <f aca="false">(K150/H150)*100</f>
        <v>38.1084840055633</v>
      </c>
      <c r="M150" s="514" t="n">
        <v>68</v>
      </c>
      <c r="N150" s="19" t="n">
        <f aca="false">(M150/H150)*100</f>
        <v>9.45757997218359</v>
      </c>
      <c r="O150" s="514" t="n">
        <v>0</v>
      </c>
      <c r="P150" s="514" t="n">
        <v>0</v>
      </c>
      <c r="Q150" s="131" t="s">
        <v>49</v>
      </c>
      <c r="R150" s="517" t="n">
        <v>44825</v>
      </c>
      <c r="S150" s="514"/>
      <c r="T150" s="131"/>
      <c r="U150" s="131" t="s">
        <v>50</v>
      </c>
      <c r="V150" s="514"/>
      <c r="W150" s="514"/>
      <c r="X150" s="514"/>
      <c r="Y150" s="514"/>
      <c r="Z150" s="514"/>
      <c r="AA150" s="132" t="s">
        <v>266</v>
      </c>
      <c r="AB150" s="132" t="n">
        <v>15</v>
      </c>
      <c r="AC150" s="287" t="s">
        <v>5070</v>
      </c>
      <c r="AD150" s="131"/>
      <c r="AE150" s="131"/>
    </row>
    <row r="151" customFormat="false" ht="31.5" hidden="false" customHeight="false" outlineLevel="0" collapsed="false">
      <c r="A151" s="514" t="s">
        <v>42</v>
      </c>
      <c r="B151" s="514" t="s">
        <v>4261</v>
      </c>
      <c r="C151" s="515" t="s">
        <v>5071</v>
      </c>
      <c r="D151" s="516" t="s">
        <v>5072</v>
      </c>
      <c r="E151" s="514" t="s">
        <v>5073</v>
      </c>
      <c r="F151" s="514" t="n">
        <v>1645</v>
      </c>
      <c r="G151" s="514" t="n">
        <v>635</v>
      </c>
      <c r="H151" s="514" t="n">
        <v>3743</v>
      </c>
      <c r="I151" s="514" t="n">
        <v>1936</v>
      </c>
      <c r="J151" s="514" t="n">
        <v>1807</v>
      </c>
      <c r="K151" s="514" t="n">
        <v>780</v>
      </c>
      <c r="L151" s="19" t="n">
        <f aca="false">(K151/H151)*100</f>
        <v>20.8388992786535</v>
      </c>
      <c r="M151" s="514" t="n">
        <v>444</v>
      </c>
      <c r="N151" s="19" t="n">
        <f aca="false">(M151/H151)*100</f>
        <v>11.8621426663104</v>
      </c>
      <c r="O151" s="514" t="n">
        <v>196</v>
      </c>
      <c r="P151" s="514" t="n">
        <v>0</v>
      </c>
      <c r="Q151" s="45" t="s">
        <v>49</v>
      </c>
      <c r="R151" s="45"/>
      <c r="S151" s="514"/>
      <c r="T151" s="45" t="n">
        <v>196.1184</v>
      </c>
      <c r="U151" s="131"/>
      <c r="V151" s="514"/>
      <c r="W151" s="514"/>
      <c r="X151" s="514"/>
      <c r="Y151" s="514"/>
      <c r="Z151" s="514"/>
      <c r="AA151" s="47" t="s">
        <v>266</v>
      </c>
      <c r="AB151" s="47" t="n">
        <v>10</v>
      </c>
      <c r="AC151" s="128" t="s">
        <v>5074</v>
      </c>
      <c r="AD151" s="45"/>
      <c r="AE151" s="45"/>
    </row>
    <row r="152" customFormat="false" ht="15.75" hidden="false" customHeight="false" outlineLevel="0" collapsed="false">
      <c r="A152" s="514"/>
      <c r="B152" s="514"/>
      <c r="C152" s="515"/>
      <c r="D152" s="516"/>
      <c r="E152" s="514"/>
      <c r="F152" s="514"/>
      <c r="G152" s="514"/>
      <c r="H152" s="514"/>
      <c r="I152" s="514"/>
      <c r="J152" s="514"/>
      <c r="K152" s="514"/>
      <c r="L152" s="19"/>
      <c r="M152" s="514"/>
      <c r="N152" s="19"/>
      <c r="O152" s="514"/>
      <c r="P152" s="514"/>
      <c r="Q152" s="578"/>
      <c r="R152" s="578"/>
      <c r="S152" s="514"/>
      <c r="T152" s="578"/>
      <c r="U152" s="578"/>
      <c r="V152" s="514"/>
      <c r="W152" s="514"/>
      <c r="X152" s="514"/>
      <c r="Y152" s="514"/>
      <c r="Z152" s="514"/>
      <c r="AA152" s="229" t="s">
        <v>266</v>
      </c>
      <c r="AB152" s="229" t="n">
        <v>10</v>
      </c>
      <c r="AC152" s="579" t="s">
        <v>5075</v>
      </c>
      <c r="AD152" s="578"/>
      <c r="AE152" s="578"/>
      <c r="AF152" s="600"/>
      <c r="AG152" s="600"/>
      <c r="AH152" s="600"/>
    </row>
    <row r="153" customFormat="false" ht="15.75" hidden="false" customHeight="false" outlineLevel="0" collapsed="false">
      <c r="A153" s="514"/>
      <c r="B153" s="514"/>
      <c r="C153" s="515"/>
      <c r="D153" s="516"/>
      <c r="E153" s="514"/>
      <c r="F153" s="514"/>
      <c r="G153" s="514"/>
      <c r="H153" s="514"/>
      <c r="I153" s="514"/>
      <c r="J153" s="514"/>
      <c r="K153" s="514"/>
      <c r="L153" s="19"/>
      <c r="M153" s="514"/>
      <c r="N153" s="19"/>
      <c r="O153" s="514"/>
      <c r="P153" s="514"/>
      <c r="Q153" s="578"/>
      <c r="R153" s="578"/>
      <c r="S153" s="514"/>
      <c r="T153" s="578"/>
      <c r="U153" s="578"/>
      <c r="V153" s="514"/>
      <c r="W153" s="514"/>
      <c r="X153" s="514"/>
      <c r="Y153" s="514"/>
      <c r="Z153" s="514"/>
      <c r="AA153" s="229" t="s">
        <v>266</v>
      </c>
      <c r="AB153" s="229" t="n">
        <v>10</v>
      </c>
      <c r="AC153" s="579" t="s">
        <v>5076</v>
      </c>
      <c r="AD153" s="578"/>
      <c r="AE153" s="578"/>
      <c r="AF153" s="600"/>
      <c r="AG153" s="600"/>
      <c r="AH153" s="600"/>
    </row>
    <row r="154" customFormat="false" ht="31.5" hidden="false" customHeight="false" outlineLevel="0" collapsed="false">
      <c r="A154" s="514"/>
      <c r="B154" s="514"/>
      <c r="C154" s="515"/>
      <c r="D154" s="516"/>
      <c r="E154" s="514"/>
      <c r="F154" s="514"/>
      <c r="G154" s="514"/>
      <c r="H154" s="514"/>
      <c r="I154" s="514"/>
      <c r="J154" s="514"/>
      <c r="K154" s="514"/>
      <c r="L154" s="19"/>
      <c r="M154" s="514"/>
      <c r="N154" s="19"/>
      <c r="O154" s="514"/>
      <c r="P154" s="514"/>
      <c r="Q154" s="578"/>
      <c r="R154" s="578"/>
      <c r="S154" s="514"/>
      <c r="T154" s="578"/>
      <c r="U154" s="578"/>
      <c r="V154" s="514"/>
      <c r="W154" s="514"/>
      <c r="X154" s="514"/>
      <c r="Y154" s="514"/>
      <c r="Z154" s="514"/>
      <c r="AA154" s="229" t="s">
        <v>266</v>
      </c>
      <c r="AB154" s="229" t="n">
        <v>10</v>
      </c>
      <c r="AC154" s="579" t="s">
        <v>5077</v>
      </c>
      <c r="AD154" s="578"/>
      <c r="AE154" s="578"/>
      <c r="AF154" s="600"/>
      <c r="AG154" s="600"/>
      <c r="AH154" s="600"/>
    </row>
    <row r="155" customFormat="false" ht="15.75" hidden="false" customHeight="false" outlineLevel="0" collapsed="false">
      <c r="A155" s="514"/>
      <c r="B155" s="514"/>
      <c r="C155" s="515"/>
      <c r="D155" s="516"/>
      <c r="E155" s="514"/>
      <c r="F155" s="514"/>
      <c r="G155" s="514"/>
      <c r="H155" s="514"/>
      <c r="I155" s="514"/>
      <c r="J155" s="514"/>
      <c r="K155" s="514"/>
      <c r="L155" s="19"/>
      <c r="M155" s="514"/>
      <c r="N155" s="19"/>
      <c r="O155" s="514"/>
      <c r="P155" s="514"/>
      <c r="Q155" s="578"/>
      <c r="R155" s="578"/>
      <c r="S155" s="514"/>
      <c r="T155" s="578"/>
      <c r="U155" s="578"/>
      <c r="V155" s="514"/>
      <c r="W155" s="514"/>
      <c r="X155" s="514"/>
      <c r="Y155" s="514"/>
      <c r="Z155" s="514"/>
      <c r="AA155" s="229" t="s">
        <v>266</v>
      </c>
      <c r="AB155" s="229" t="n">
        <v>10</v>
      </c>
      <c r="AC155" s="579" t="s">
        <v>5078</v>
      </c>
      <c r="AD155" s="578"/>
      <c r="AE155" s="578"/>
      <c r="AF155" s="600"/>
      <c r="AG155" s="600"/>
      <c r="AH155" s="600"/>
    </row>
    <row r="156" customFormat="false" ht="15.75" hidden="false" customHeight="false" outlineLevel="0" collapsed="false">
      <c r="A156" s="514"/>
      <c r="B156" s="514"/>
      <c r="C156" s="515"/>
      <c r="D156" s="516"/>
      <c r="E156" s="514"/>
      <c r="F156" s="514"/>
      <c r="G156" s="514"/>
      <c r="H156" s="514"/>
      <c r="I156" s="514"/>
      <c r="J156" s="514"/>
      <c r="K156" s="514"/>
      <c r="L156" s="19"/>
      <c r="M156" s="514"/>
      <c r="N156" s="19"/>
      <c r="O156" s="514"/>
      <c r="P156" s="514"/>
      <c r="Q156" s="578"/>
      <c r="R156" s="578"/>
      <c r="S156" s="514"/>
      <c r="T156" s="578"/>
      <c r="U156" s="578"/>
      <c r="V156" s="514"/>
      <c r="W156" s="514"/>
      <c r="X156" s="514"/>
      <c r="Y156" s="514"/>
      <c r="Z156" s="514"/>
      <c r="AA156" s="229" t="s">
        <v>266</v>
      </c>
      <c r="AB156" s="229" t="n">
        <v>10</v>
      </c>
      <c r="AC156" s="579" t="s">
        <v>5079</v>
      </c>
      <c r="AD156" s="578"/>
      <c r="AE156" s="578"/>
      <c r="AF156" s="600"/>
      <c r="AG156" s="600"/>
      <c r="AH156" s="600"/>
    </row>
    <row r="157" customFormat="false" ht="15.75" hidden="false" customHeight="false" outlineLevel="0" collapsed="false">
      <c r="A157" s="514"/>
      <c r="B157" s="514"/>
      <c r="C157" s="515"/>
      <c r="D157" s="516"/>
      <c r="E157" s="514"/>
      <c r="F157" s="514"/>
      <c r="G157" s="514"/>
      <c r="H157" s="514"/>
      <c r="I157" s="514"/>
      <c r="J157" s="514"/>
      <c r="K157" s="514"/>
      <c r="L157" s="19"/>
      <c r="M157" s="514"/>
      <c r="N157" s="19"/>
      <c r="O157" s="514"/>
      <c r="P157" s="514"/>
      <c r="Q157" s="578"/>
      <c r="R157" s="578"/>
      <c r="S157" s="514"/>
      <c r="T157" s="578"/>
      <c r="U157" s="578"/>
      <c r="V157" s="514"/>
      <c r="W157" s="514"/>
      <c r="X157" s="514"/>
      <c r="Y157" s="514"/>
      <c r="Z157" s="514"/>
      <c r="AA157" s="229" t="s">
        <v>266</v>
      </c>
      <c r="AB157" s="229" t="n">
        <v>10</v>
      </c>
      <c r="AC157" s="579" t="s">
        <v>5080</v>
      </c>
      <c r="AD157" s="578"/>
      <c r="AE157" s="578"/>
      <c r="AF157" s="600"/>
      <c r="AG157" s="600"/>
      <c r="AH157" s="600"/>
    </row>
    <row r="158" customFormat="false" ht="31.5" hidden="false" customHeight="false" outlineLevel="0" collapsed="false">
      <c r="A158" s="514" t="s">
        <v>42</v>
      </c>
      <c r="B158" s="514" t="s">
        <v>4261</v>
      </c>
      <c r="C158" s="515" t="s">
        <v>5071</v>
      </c>
      <c r="D158" s="514" t="s">
        <v>5081</v>
      </c>
      <c r="E158" s="514" t="s">
        <v>5082</v>
      </c>
      <c r="F158" s="514" t="n">
        <v>582</v>
      </c>
      <c r="G158" s="514" t="n">
        <v>95</v>
      </c>
      <c r="H158" s="514" t="n">
        <v>439</v>
      </c>
      <c r="I158" s="514" t="n">
        <v>252</v>
      </c>
      <c r="J158" s="514" t="n">
        <v>187</v>
      </c>
      <c r="K158" s="514" t="n">
        <v>0</v>
      </c>
      <c r="L158" s="19" t="n">
        <f aca="false">(K158/H158)*100</f>
        <v>0</v>
      </c>
      <c r="M158" s="514" t="n">
        <v>44</v>
      </c>
      <c r="N158" s="19" t="n">
        <f aca="false">(M158/H158)*100</f>
        <v>10.0227790432802</v>
      </c>
      <c r="O158" s="514" t="n">
        <v>18</v>
      </c>
      <c r="P158" s="514" t="n">
        <v>0</v>
      </c>
      <c r="Q158" s="131" t="s">
        <v>49</v>
      </c>
      <c r="R158" s="517" t="n">
        <v>44826</v>
      </c>
      <c r="S158" s="514"/>
      <c r="T158" s="131" t="n">
        <v>17.8467</v>
      </c>
      <c r="U158" s="131"/>
      <c r="V158" s="514"/>
      <c r="W158" s="514"/>
      <c r="X158" s="514"/>
      <c r="Y158" s="514"/>
      <c r="Z158" s="514"/>
      <c r="AA158" s="47" t="s">
        <v>266</v>
      </c>
      <c r="AB158" s="132" t="n">
        <v>5</v>
      </c>
      <c r="AC158" s="287" t="s">
        <v>5083</v>
      </c>
      <c r="AD158" s="131"/>
      <c r="AE158" s="131"/>
    </row>
    <row r="159" customFormat="false" ht="15.75" hidden="false" customHeight="false" outlineLevel="0" collapsed="false">
      <c r="A159" s="514"/>
      <c r="B159" s="514"/>
      <c r="C159" s="515"/>
      <c r="D159" s="514"/>
      <c r="E159" s="514"/>
      <c r="F159" s="514"/>
      <c r="G159" s="514"/>
      <c r="H159" s="514"/>
      <c r="I159" s="514"/>
      <c r="J159" s="514"/>
      <c r="K159" s="514"/>
      <c r="L159" s="19"/>
      <c r="M159" s="514"/>
      <c r="N159" s="19"/>
      <c r="O159" s="514"/>
      <c r="P159" s="514"/>
      <c r="Q159" s="578"/>
      <c r="R159" s="578"/>
      <c r="S159" s="514"/>
      <c r="T159" s="578"/>
      <c r="U159" s="578"/>
      <c r="V159" s="514"/>
      <c r="W159" s="514"/>
      <c r="X159" s="514"/>
      <c r="Y159" s="514"/>
      <c r="Z159" s="514"/>
      <c r="AA159" s="229" t="s">
        <v>266</v>
      </c>
      <c r="AB159" s="229" t="n">
        <v>5</v>
      </c>
      <c r="AC159" s="579" t="s">
        <v>5084</v>
      </c>
      <c r="AD159" s="578"/>
      <c r="AE159" s="578"/>
      <c r="AF159" s="600"/>
      <c r="AG159" s="600"/>
      <c r="AH159" s="600"/>
      <c r="AI159" s="600"/>
      <c r="AJ159" s="600"/>
      <c r="AK159" s="600"/>
    </row>
    <row r="160" customFormat="false" ht="15.75" hidden="false" customHeight="false" outlineLevel="0" collapsed="false">
      <c r="A160" s="514" t="s">
        <v>42</v>
      </c>
      <c r="B160" s="514" t="s">
        <v>4261</v>
      </c>
      <c r="C160" s="515" t="s">
        <v>5071</v>
      </c>
      <c r="D160" s="514" t="s">
        <v>5085</v>
      </c>
      <c r="E160" s="514" t="s">
        <v>5086</v>
      </c>
      <c r="F160" s="514" t="n">
        <v>271</v>
      </c>
      <c r="G160" s="514" t="n">
        <v>43</v>
      </c>
      <c r="H160" s="514" t="n">
        <v>237</v>
      </c>
      <c r="I160" s="514" t="n">
        <v>130</v>
      </c>
      <c r="J160" s="514" t="n">
        <v>107</v>
      </c>
      <c r="K160" s="514" t="n">
        <v>16</v>
      </c>
      <c r="L160" s="19" t="n">
        <f aca="false">(K160/H160)*100</f>
        <v>6.75105485232067</v>
      </c>
      <c r="M160" s="514" t="n">
        <v>0</v>
      </c>
      <c r="N160" s="19" t="n">
        <f aca="false">(M160/H160)*100</f>
        <v>0</v>
      </c>
      <c r="O160" s="514" t="n">
        <v>0</v>
      </c>
      <c r="P160" s="514" t="n">
        <v>0</v>
      </c>
      <c r="Q160" s="131" t="s">
        <v>49</v>
      </c>
      <c r="R160" s="517" t="n">
        <v>44826</v>
      </c>
      <c r="S160" s="514"/>
      <c r="T160" s="131" t="n">
        <v>0</v>
      </c>
      <c r="U160" s="131"/>
      <c r="V160" s="514"/>
      <c r="W160" s="514"/>
      <c r="X160" s="514"/>
      <c r="Y160" s="514"/>
      <c r="Z160" s="514"/>
      <c r="AA160" s="47"/>
      <c r="AB160" s="132"/>
      <c r="AC160" s="37" t="n">
        <v>0</v>
      </c>
      <c r="AD160" s="131" t="n">
        <v>0</v>
      </c>
      <c r="AE160" s="131" t="n">
        <v>0</v>
      </c>
    </row>
    <row r="161" customFormat="false" ht="15.75" hidden="false" customHeight="false" outlineLevel="0" collapsed="false">
      <c r="A161" s="514" t="s">
        <v>42</v>
      </c>
      <c r="B161" s="514" t="s">
        <v>4261</v>
      </c>
      <c r="C161" s="515" t="s">
        <v>5087</v>
      </c>
      <c r="D161" s="516" t="s">
        <v>5088</v>
      </c>
      <c r="E161" s="514" t="s">
        <v>5089</v>
      </c>
      <c r="F161" s="514" t="n">
        <v>1043.54</v>
      </c>
      <c r="G161" s="514" t="n">
        <v>352</v>
      </c>
      <c r="H161" s="514" t="n">
        <v>1772</v>
      </c>
      <c r="I161" s="514" t="n">
        <v>937</v>
      </c>
      <c r="J161" s="514" t="n">
        <v>835</v>
      </c>
      <c r="K161" s="514" t="n">
        <v>425</v>
      </c>
      <c r="L161" s="19" t="n">
        <f aca="false">(K161/H161)*100</f>
        <v>23.9841986455982</v>
      </c>
      <c r="M161" s="514" t="n">
        <v>132</v>
      </c>
      <c r="N161" s="19" t="n">
        <f aca="false">(M161/H161)*100</f>
        <v>7.44920993227991</v>
      </c>
      <c r="O161" s="514" t="n">
        <v>93</v>
      </c>
      <c r="P161" s="514" t="n">
        <v>0</v>
      </c>
      <c r="Q161" s="131" t="s">
        <v>49</v>
      </c>
      <c r="R161" s="517" t="n">
        <v>44823</v>
      </c>
      <c r="S161" s="514"/>
      <c r="T161" s="131" t="n">
        <v>48.5297</v>
      </c>
      <c r="U161" s="131"/>
      <c r="V161" s="514"/>
      <c r="W161" s="514"/>
      <c r="X161" s="514"/>
      <c r="Y161" s="514"/>
      <c r="Z161" s="514"/>
      <c r="AA161" s="132" t="s">
        <v>266</v>
      </c>
      <c r="AB161" s="132" t="n">
        <v>10</v>
      </c>
      <c r="AC161" s="287" t="s">
        <v>5090</v>
      </c>
      <c r="AD161" s="131"/>
      <c r="AE161" s="131"/>
    </row>
    <row r="162" customFormat="false" ht="15.75" hidden="false" customHeight="false" outlineLevel="0" collapsed="false">
      <c r="A162" s="514"/>
      <c r="B162" s="514"/>
      <c r="C162" s="515"/>
      <c r="D162" s="516"/>
      <c r="E162" s="514"/>
      <c r="F162" s="514"/>
      <c r="G162" s="514"/>
      <c r="H162" s="514"/>
      <c r="I162" s="514"/>
      <c r="J162" s="514"/>
      <c r="K162" s="514"/>
      <c r="L162" s="19"/>
      <c r="M162" s="514"/>
      <c r="N162" s="19"/>
      <c r="O162" s="514"/>
      <c r="P162" s="514"/>
      <c r="Q162" s="131"/>
      <c r="R162" s="131"/>
      <c r="S162" s="514"/>
      <c r="T162" s="131"/>
      <c r="U162" s="131"/>
      <c r="V162" s="514"/>
      <c r="W162" s="514"/>
      <c r="X162" s="514"/>
      <c r="Y162" s="514"/>
      <c r="Z162" s="514"/>
      <c r="AA162" s="132"/>
      <c r="AB162" s="132"/>
      <c r="AC162" s="520"/>
      <c r="AD162" s="577"/>
      <c r="AE162" s="131"/>
    </row>
    <row r="163" customFormat="false" ht="15.75" hidden="false" customHeight="false" outlineLevel="0" collapsed="false">
      <c r="A163" s="514" t="s">
        <v>42</v>
      </c>
      <c r="B163" s="514" t="s">
        <v>4261</v>
      </c>
      <c r="C163" s="515" t="s">
        <v>5087</v>
      </c>
      <c r="D163" s="514" t="s">
        <v>5091</v>
      </c>
      <c r="E163" s="514" t="s">
        <v>5092</v>
      </c>
      <c r="F163" s="514" t="n">
        <v>196.2</v>
      </c>
      <c r="G163" s="514" t="n">
        <v>63</v>
      </c>
      <c r="H163" s="514" t="n">
        <v>344</v>
      </c>
      <c r="I163" s="514" t="n">
        <v>177</v>
      </c>
      <c r="J163" s="514" t="n">
        <v>167</v>
      </c>
      <c r="K163" s="514" t="n">
        <v>118</v>
      </c>
      <c r="L163" s="19" t="n">
        <f aca="false">(K163/H163)*100</f>
        <v>34.3023255813954</v>
      </c>
      <c r="M163" s="514" t="n">
        <v>0</v>
      </c>
      <c r="N163" s="19" t="n">
        <f aca="false">(M163/H163)*100</f>
        <v>0</v>
      </c>
      <c r="O163" s="514" t="n">
        <v>0</v>
      </c>
      <c r="P163" s="514" t="n">
        <v>0</v>
      </c>
      <c r="Q163" s="131" t="s">
        <v>49</v>
      </c>
      <c r="R163" s="517" t="n">
        <v>44823</v>
      </c>
      <c r="S163" s="514"/>
      <c r="T163" s="131" t="n">
        <v>0</v>
      </c>
      <c r="U163" s="131"/>
      <c r="V163" s="514"/>
      <c r="W163" s="514"/>
      <c r="X163" s="514"/>
      <c r="Y163" s="514"/>
      <c r="Z163" s="514"/>
      <c r="AA163" s="132" t="n">
        <v>0</v>
      </c>
      <c r="AB163" s="132" t="n">
        <v>0</v>
      </c>
      <c r="AC163" s="287" t="n">
        <v>0</v>
      </c>
      <c r="AD163" s="131" t="n">
        <v>0</v>
      </c>
      <c r="AE163" s="131" t="n">
        <v>0</v>
      </c>
    </row>
    <row r="164" customFormat="false" ht="15.75" hidden="false" customHeight="false" outlineLevel="0" collapsed="false">
      <c r="A164" s="514" t="s">
        <v>42</v>
      </c>
      <c r="B164" s="514" t="s">
        <v>4261</v>
      </c>
      <c r="C164" s="515" t="s">
        <v>5093</v>
      </c>
      <c r="D164" s="516" t="s">
        <v>5094</v>
      </c>
      <c r="E164" s="514" t="s">
        <v>5095</v>
      </c>
      <c r="F164" s="514" t="n">
        <v>1682.77</v>
      </c>
      <c r="G164" s="514" t="n">
        <v>365</v>
      </c>
      <c r="H164" s="514" t="n">
        <v>2041</v>
      </c>
      <c r="I164" s="514" t="n">
        <v>1072</v>
      </c>
      <c r="J164" s="514" t="n">
        <v>969</v>
      </c>
      <c r="K164" s="514" t="n">
        <v>242</v>
      </c>
      <c r="L164" s="19" t="n">
        <f aca="false">(K164/H164)*100</f>
        <v>11.8569328760412</v>
      </c>
      <c r="M164" s="514" t="n">
        <v>433</v>
      </c>
      <c r="N164" s="19" t="n">
        <f aca="false">(M164/H164)*100</f>
        <v>21.2150906418422</v>
      </c>
      <c r="O164" s="514" t="n">
        <v>199</v>
      </c>
      <c r="P164" s="514" t="n">
        <v>0</v>
      </c>
      <c r="Q164" s="131" t="s">
        <v>49</v>
      </c>
      <c r="R164" s="517" t="n">
        <v>44824</v>
      </c>
      <c r="S164" s="514"/>
      <c r="T164" s="131" t="n">
        <v>87.8814</v>
      </c>
      <c r="U164" s="131"/>
      <c r="V164" s="514"/>
      <c r="W164" s="514"/>
      <c r="X164" s="514"/>
      <c r="Y164" s="514"/>
      <c r="Z164" s="514"/>
      <c r="AA164" s="132" t="s">
        <v>50</v>
      </c>
      <c r="AB164" s="132" t="n">
        <v>10</v>
      </c>
      <c r="AC164" s="287" t="s">
        <v>5096</v>
      </c>
      <c r="AD164" s="131" t="n">
        <v>0</v>
      </c>
      <c r="AE164" s="131" t="n">
        <v>0</v>
      </c>
    </row>
    <row r="165" customFormat="false" ht="15.75" hidden="false" customHeight="false" outlineLevel="0" collapsed="false">
      <c r="A165" s="514"/>
      <c r="B165" s="514"/>
      <c r="C165" s="515"/>
      <c r="D165" s="516"/>
      <c r="E165" s="514"/>
      <c r="F165" s="514"/>
      <c r="G165" s="514"/>
      <c r="H165" s="514"/>
      <c r="I165" s="514"/>
      <c r="J165" s="514"/>
      <c r="K165" s="514"/>
      <c r="L165" s="19"/>
      <c r="M165" s="514"/>
      <c r="N165" s="19"/>
      <c r="O165" s="514"/>
      <c r="P165" s="514"/>
      <c r="Q165" s="131" t="s">
        <v>49</v>
      </c>
      <c r="R165" s="517" t="n">
        <v>44824</v>
      </c>
      <c r="S165" s="514"/>
      <c r="T165" s="131" t="n">
        <v>87.8814</v>
      </c>
      <c r="U165" s="131"/>
      <c r="V165" s="514"/>
      <c r="W165" s="514"/>
      <c r="X165" s="514"/>
      <c r="Y165" s="514"/>
      <c r="Z165" s="514"/>
      <c r="AA165" s="47" t="s">
        <v>266</v>
      </c>
      <c r="AB165" s="132" t="n">
        <v>10</v>
      </c>
      <c r="AC165" s="287" t="s">
        <v>5097</v>
      </c>
      <c r="AD165" s="131"/>
      <c r="AE165" s="131"/>
    </row>
    <row r="166" customFormat="false" ht="15.75" hidden="false" customHeight="false" outlineLevel="0" collapsed="false">
      <c r="A166" s="514"/>
      <c r="B166" s="514"/>
      <c r="C166" s="515"/>
      <c r="D166" s="516"/>
      <c r="E166" s="514"/>
      <c r="F166" s="514"/>
      <c r="G166" s="514"/>
      <c r="H166" s="514"/>
      <c r="I166" s="514"/>
      <c r="J166" s="514"/>
      <c r="K166" s="514"/>
      <c r="L166" s="19"/>
      <c r="M166" s="514"/>
      <c r="N166" s="19"/>
      <c r="O166" s="514"/>
      <c r="P166" s="514"/>
      <c r="Q166" s="578"/>
      <c r="R166" s="601"/>
      <c r="S166" s="514"/>
      <c r="T166" s="578"/>
      <c r="U166" s="578"/>
      <c r="V166" s="514"/>
      <c r="W166" s="514"/>
      <c r="X166" s="514"/>
      <c r="Y166" s="514"/>
      <c r="Z166" s="514"/>
      <c r="AA166" s="229" t="s">
        <v>266</v>
      </c>
      <c r="AB166" s="229" t="n">
        <v>10</v>
      </c>
      <c r="AC166" s="579" t="s">
        <v>5098</v>
      </c>
      <c r="AD166" s="578"/>
      <c r="AE166" s="578"/>
      <c r="AF166" s="600"/>
    </row>
    <row r="167" customFormat="false" ht="15.75" hidden="false" customHeight="false" outlineLevel="0" collapsed="false">
      <c r="A167" s="514"/>
      <c r="B167" s="514"/>
      <c r="C167" s="515"/>
      <c r="D167" s="516"/>
      <c r="E167" s="514"/>
      <c r="F167" s="514"/>
      <c r="G167" s="514"/>
      <c r="H167" s="514"/>
      <c r="I167" s="514"/>
      <c r="J167" s="514"/>
      <c r="K167" s="514"/>
      <c r="L167" s="19"/>
      <c r="M167" s="514"/>
      <c r="N167" s="19"/>
      <c r="O167" s="514"/>
      <c r="P167" s="514"/>
      <c r="Q167" s="578"/>
      <c r="R167" s="601"/>
      <c r="S167" s="514"/>
      <c r="T167" s="578"/>
      <c r="U167" s="578"/>
      <c r="V167" s="514"/>
      <c r="W167" s="514"/>
      <c r="X167" s="514"/>
      <c r="Y167" s="514"/>
      <c r="Z167" s="514"/>
      <c r="AA167" s="229" t="s">
        <v>266</v>
      </c>
      <c r="AB167" s="229" t="n">
        <v>10</v>
      </c>
      <c r="AC167" s="579" t="s">
        <v>5099</v>
      </c>
      <c r="AD167" s="578"/>
      <c r="AE167" s="578"/>
      <c r="AF167" s="600"/>
    </row>
    <row r="168" customFormat="false" ht="15.75" hidden="false" customHeight="false" outlineLevel="0" collapsed="false">
      <c r="A168" s="514"/>
      <c r="B168" s="514"/>
      <c r="C168" s="515"/>
      <c r="D168" s="516"/>
      <c r="E168" s="514"/>
      <c r="F168" s="514"/>
      <c r="G168" s="514"/>
      <c r="H168" s="514"/>
      <c r="I168" s="514"/>
      <c r="J168" s="514"/>
      <c r="K168" s="514"/>
      <c r="L168" s="19"/>
      <c r="M168" s="514"/>
      <c r="N168" s="19"/>
      <c r="O168" s="514"/>
      <c r="P168" s="514"/>
      <c r="Q168" s="578"/>
      <c r="R168" s="578"/>
      <c r="S168" s="514"/>
      <c r="T168" s="578"/>
      <c r="U168" s="578"/>
      <c r="V168" s="514"/>
      <c r="W168" s="514"/>
      <c r="X168" s="514"/>
      <c r="Y168" s="514"/>
      <c r="Z168" s="514"/>
      <c r="AA168" s="229" t="s">
        <v>266</v>
      </c>
      <c r="AB168" s="229" t="n">
        <v>10</v>
      </c>
      <c r="AC168" s="579" t="s">
        <v>5100</v>
      </c>
      <c r="AD168" s="578"/>
      <c r="AE168" s="578"/>
      <c r="AF168" s="600"/>
    </row>
    <row r="169" customFormat="false" ht="15.75" hidden="false" customHeight="false" outlineLevel="0" collapsed="false">
      <c r="A169" s="514"/>
      <c r="B169" s="514"/>
      <c r="C169" s="515"/>
      <c r="D169" s="516"/>
      <c r="E169" s="514"/>
      <c r="F169" s="514"/>
      <c r="G169" s="514"/>
      <c r="H169" s="514"/>
      <c r="I169" s="514"/>
      <c r="J169" s="514"/>
      <c r="K169" s="514"/>
      <c r="L169" s="19"/>
      <c r="M169" s="514"/>
      <c r="N169" s="19"/>
      <c r="O169" s="514"/>
      <c r="P169" s="514"/>
      <c r="Q169" s="578"/>
      <c r="R169" s="578"/>
      <c r="S169" s="514"/>
      <c r="T169" s="578"/>
      <c r="U169" s="578"/>
      <c r="V169" s="514"/>
      <c r="W169" s="514"/>
      <c r="X169" s="514"/>
      <c r="Y169" s="514"/>
      <c r="Z169" s="514"/>
      <c r="AA169" s="229" t="s">
        <v>266</v>
      </c>
      <c r="AB169" s="229" t="n">
        <v>10</v>
      </c>
      <c r="AC169" s="579" t="s">
        <v>5101</v>
      </c>
      <c r="AD169" s="578"/>
      <c r="AE169" s="578"/>
      <c r="AF169" s="600"/>
    </row>
    <row r="170" customFormat="false" ht="15.75" hidden="false" customHeight="false" outlineLevel="0" collapsed="false">
      <c r="A170" s="514"/>
      <c r="B170" s="514"/>
      <c r="C170" s="515"/>
      <c r="D170" s="516"/>
      <c r="E170" s="514"/>
      <c r="F170" s="514"/>
      <c r="G170" s="514"/>
      <c r="H170" s="514"/>
      <c r="I170" s="514"/>
      <c r="J170" s="514"/>
      <c r="K170" s="514"/>
      <c r="L170" s="19"/>
      <c r="M170" s="514"/>
      <c r="N170" s="19"/>
      <c r="O170" s="514"/>
      <c r="P170" s="514"/>
      <c r="Q170" s="578"/>
      <c r="R170" s="578"/>
      <c r="S170" s="514"/>
      <c r="T170" s="578"/>
      <c r="U170" s="578"/>
      <c r="V170" s="514"/>
      <c r="W170" s="514"/>
      <c r="X170" s="514"/>
      <c r="Y170" s="514"/>
      <c r="Z170" s="514"/>
      <c r="AA170" s="229" t="s">
        <v>266</v>
      </c>
      <c r="AB170" s="229" t="n">
        <v>10</v>
      </c>
      <c r="AC170" s="579" t="s">
        <v>5102</v>
      </c>
      <c r="AD170" s="578"/>
      <c r="AE170" s="578"/>
      <c r="AF170" s="600"/>
    </row>
    <row r="171" customFormat="false" ht="15.75" hidden="false" customHeight="false" outlineLevel="0" collapsed="false">
      <c r="A171" s="514" t="s">
        <v>42</v>
      </c>
      <c r="B171" s="514" t="s">
        <v>4261</v>
      </c>
      <c r="C171" s="515" t="s">
        <v>5093</v>
      </c>
      <c r="D171" s="514" t="s">
        <v>2916</v>
      </c>
      <c r="E171" s="514" t="s">
        <v>5103</v>
      </c>
      <c r="F171" s="514" t="n">
        <v>313</v>
      </c>
      <c r="G171" s="514" t="n">
        <v>107</v>
      </c>
      <c r="H171" s="514" t="n">
        <v>541</v>
      </c>
      <c r="I171" s="514" t="n">
        <v>284</v>
      </c>
      <c r="J171" s="514" t="n">
        <v>257</v>
      </c>
      <c r="K171" s="514" t="n">
        <v>0</v>
      </c>
      <c r="L171" s="19" t="n">
        <f aca="false">(K171/H171)*100</f>
        <v>0</v>
      </c>
      <c r="M171" s="514" t="n">
        <v>0</v>
      </c>
      <c r="N171" s="19" t="n">
        <f aca="false">(M171/H171)*100</f>
        <v>0</v>
      </c>
      <c r="O171" s="514" t="n">
        <v>0</v>
      </c>
      <c r="P171" s="514" t="n">
        <v>0</v>
      </c>
      <c r="Q171" s="131" t="s">
        <v>49</v>
      </c>
      <c r="R171" s="517" t="n">
        <v>44824</v>
      </c>
      <c r="S171" s="514"/>
      <c r="T171" s="580" t="n">
        <v>0</v>
      </c>
      <c r="U171" s="131"/>
      <c r="V171" s="514"/>
      <c r="W171" s="514"/>
      <c r="X171" s="514"/>
      <c r="Y171" s="514"/>
      <c r="Z171" s="514"/>
      <c r="AA171" s="47"/>
      <c r="AB171" s="581"/>
      <c r="AC171" s="37" t="n">
        <v>0</v>
      </c>
      <c r="AD171" s="580" t="n">
        <v>0</v>
      </c>
      <c r="AE171" s="580" t="n">
        <v>0</v>
      </c>
    </row>
    <row r="172" customFormat="false" ht="15.75" hidden="false" customHeight="false" outlineLevel="0" collapsed="false">
      <c r="A172" s="514" t="s">
        <v>42</v>
      </c>
      <c r="B172" s="514" t="s">
        <v>4261</v>
      </c>
      <c r="C172" s="515" t="s">
        <v>5093</v>
      </c>
      <c r="D172" s="514" t="s">
        <v>5104</v>
      </c>
      <c r="E172" s="514" t="s">
        <v>5105</v>
      </c>
      <c r="F172" s="514" t="n">
        <v>289</v>
      </c>
      <c r="G172" s="514" t="n">
        <v>84</v>
      </c>
      <c r="H172" s="514" t="n">
        <v>484</v>
      </c>
      <c r="I172" s="514" t="n">
        <v>268</v>
      </c>
      <c r="J172" s="514" t="n">
        <v>216</v>
      </c>
      <c r="K172" s="514" t="n">
        <v>0</v>
      </c>
      <c r="L172" s="19" t="n">
        <f aca="false">(K172/H172)*100</f>
        <v>0</v>
      </c>
      <c r="M172" s="514" t="n">
        <v>395</v>
      </c>
      <c r="N172" s="19" t="n">
        <f aca="false">(M172/H172)*100</f>
        <v>81.6115702479339</v>
      </c>
      <c r="O172" s="514" t="n">
        <v>0</v>
      </c>
      <c r="P172" s="514" t="n">
        <v>0</v>
      </c>
      <c r="Q172" s="131" t="s">
        <v>49</v>
      </c>
      <c r="R172" s="517" t="n">
        <v>44824</v>
      </c>
      <c r="S172" s="514"/>
      <c r="T172" s="131" t="n">
        <v>0</v>
      </c>
      <c r="U172" s="131"/>
      <c r="V172" s="514"/>
      <c r="W172" s="514"/>
      <c r="X172" s="514"/>
      <c r="Y172" s="514"/>
      <c r="Z172" s="514"/>
      <c r="AA172" s="47" t="n">
        <v>0</v>
      </c>
      <c r="AB172" s="47" t="n">
        <v>0</v>
      </c>
      <c r="AC172" s="37" t="n">
        <v>0</v>
      </c>
      <c r="AD172" s="131" t="n">
        <v>0</v>
      </c>
      <c r="AE172" s="131" t="n">
        <v>0</v>
      </c>
    </row>
    <row r="173" customFormat="false" ht="15.75" hidden="false" customHeight="false" outlineLevel="0" collapsed="false">
      <c r="A173" s="514" t="s">
        <v>42</v>
      </c>
      <c r="B173" s="514" t="s">
        <v>4261</v>
      </c>
      <c r="C173" s="515" t="s">
        <v>5093</v>
      </c>
      <c r="D173" s="514" t="s">
        <v>2498</v>
      </c>
      <c r="E173" s="514" t="s">
        <v>5106</v>
      </c>
      <c r="F173" s="514" t="n">
        <v>621.23</v>
      </c>
      <c r="G173" s="514" t="n">
        <v>142</v>
      </c>
      <c r="H173" s="514" t="n">
        <v>864</v>
      </c>
      <c r="I173" s="514" t="n">
        <v>456</v>
      </c>
      <c r="J173" s="514" t="n">
        <v>408</v>
      </c>
      <c r="K173" s="514" t="n">
        <v>393</v>
      </c>
      <c r="L173" s="19" t="n">
        <f aca="false">(K173/H173)*100</f>
        <v>45.4861111111111</v>
      </c>
      <c r="M173" s="514" t="n">
        <v>250</v>
      </c>
      <c r="N173" s="19" t="n">
        <f aca="false">(M173/H173)*100</f>
        <v>28.9351851851852</v>
      </c>
      <c r="O173" s="514" t="n">
        <v>0</v>
      </c>
      <c r="P173" s="514" t="n">
        <v>0</v>
      </c>
      <c r="Q173" s="131" t="s">
        <v>49</v>
      </c>
      <c r="R173" s="517" t="n">
        <v>44824</v>
      </c>
      <c r="S173" s="514"/>
      <c r="T173" s="131" t="n">
        <v>0</v>
      </c>
      <c r="U173" s="131"/>
      <c r="V173" s="514"/>
      <c r="W173" s="514"/>
      <c r="X173" s="514"/>
      <c r="Y173" s="514"/>
      <c r="Z173" s="514"/>
      <c r="AA173" s="47" t="n">
        <v>0</v>
      </c>
      <c r="AB173" s="47" t="n">
        <v>0</v>
      </c>
      <c r="AC173" s="37" t="n">
        <v>0</v>
      </c>
      <c r="AD173" s="131" t="n">
        <v>0</v>
      </c>
      <c r="AE173" s="131" t="n">
        <v>0</v>
      </c>
    </row>
    <row r="174" customFormat="false" ht="15.75" hidden="false" customHeight="false" outlineLevel="0" collapsed="false">
      <c r="A174" s="514" t="s">
        <v>42</v>
      </c>
      <c r="B174" s="514" t="s">
        <v>4261</v>
      </c>
      <c r="C174" s="515" t="s">
        <v>5107</v>
      </c>
      <c r="D174" s="516" t="s">
        <v>5108</v>
      </c>
      <c r="E174" s="514" t="s">
        <v>5109</v>
      </c>
      <c r="F174" s="514" t="n">
        <v>2745</v>
      </c>
      <c r="G174" s="514" t="n">
        <v>886</v>
      </c>
      <c r="H174" s="514" t="n">
        <v>5570</v>
      </c>
      <c r="I174" s="514" t="n">
        <v>2889</v>
      </c>
      <c r="J174" s="514" t="n">
        <v>2681</v>
      </c>
      <c r="K174" s="514" t="n">
        <v>1015</v>
      </c>
      <c r="L174" s="19" t="n">
        <f aca="false">(K174/H174)*100</f>
        <v>18.2226211849192</v>
      </c>
      <c r="M174" s="514" t="n">
        <v>614</v>
      </c>
      <c r="N174" s="19" t="n">
        <f aca="false">(M174/H174)*100</f>
        <v>11.0233393177738</v>
      </c>
      <c r="O174" s="514" t="n">
        <v>7</v>
      </c>
      <c r="P174" s="514" t="n">
        <v>0</v>
      </c>
      <c r="Q174" s="45" t="s">
        <v>49</v>
      </c>
      <c r="R174" s="53" t="n">
        <v>44825</v>
      </c>
      <c r="S174" s="514"/>
      <c r="T174" s="45"/>
      <c r="U174" s="45"/>
      <c r="V174" s="514"/>
      <c r="W174" s="514"/>
      <c r="X174" s="514"/>
      <c r="Y174" s="514"/>
      <c r="Z174" s="514"/>
      <c r="AA174" s="47" t="s">
        <v>50</v>
      </c>
      <c r="AB174" s="47" t="n">
        <v>10</v>
      </c>
      <c r="AC174" s="128" t="s">
        <v>317</v>
      </c>
      <c r="AD174" s="45"/>
      <c r="AE174" s="45"/>
      <c r="AF174" s="586"/>
    </row>
    <row r="175" customFormat="false" ht="15.75" hidden="false" customHeight="false" outlineLevel="0" collapsed="false">
      <c r="A175" s="514"/>
      <c r="B175" s="514"/>
      <c r="C175" s="515"/>
      <c r="D175" s="516"/>
      <c r="E175" s="514"/>
      <c r="F175" s="602"/>
      <c r="G175" s="602"/>
      <c r="H175" s="602"/>
      <c r="I175" s="602"/>
      <c r="J175" s="602"/>
      <c r="K175" s="602"/>
      <c r="L175" s="19"/>
      <c r="M175" s="602"/>
      <c r="N175" s="19"/>
      <c r="O175" s="602"/>
      <c r="P175" s="602"/>
      <c r="Q175" s="131"/>
      <c r="R175" s="131"/>
      <c r="S175" s="602"/>
      <c r="T175" s="131"/>
      <c r="U175" s="131"/>
      <c r="V175" s="602"/>
      <c r="W175" s="602"/>
      <c r="X175" s="602"/>
      <c r="Y175" s="602"/>
      <c r="Z175" s="602"/>
      <c r="AA175" s="132"/>
      <c r="AB175" s="132"/>
      <c r="AC175" s="520"/>
      <c r="AD175" s="577"/>
      <c r="AE175" s="131"/>
    </row>
    <row r="176" customFormat="false" ht="15.75" hidden="false" customHeight="false" outlineLevel="0" collapsed="false">
      <c r="A176" s="514"/>
      <c r="B176" s="514"/>
      <c r="C176" s="515"/>
      <c r="D176" s="516"/>
      <c r="E176" s="514"/>
      <c r="F176" s="602"/>
      <c r="G176" s="602"/>
      <c r="H176" s="602"/>
      <c r="I176" s="602"/>
      <c r="J176" s="602"/>
      <c r="K176" s="602"/>
      <c r="L176" s="19"/>
      <c r="M176" s="602"/>
      <c r="N176" s="19"/>
      <c r="O176" s="602"/>
      <c r="P176" s="602"/>
      <c r="Q176" s="131"/>
      <c r="R176" s="131"/>
      <c r="S176" s="602"/>
      <c r="T176" s="131"/>
      <c r="U176" s="131"/>
      <c r="V176" s="602"/>
      <c r="W176" s="602"/>
      <c r="X176" s="602"/>
      <c r="Y176" s="602"/>
      <c r="Z176" s="602"/>
      <c r="AA176" s="132"/>
      <c r="AB176" s="132"/>
      <c r="AC176" s="520"/>
      <c r="AD176" s="577"/>
      <c r="AE176" s="131"/>
    </row>
    <row r="177" customFormat="false" ht="15.75" hidden="false" customHeight="false" outlineLevel="0" collapsed="false">
      <c r="A177" s="514"/>
      <c r="B177" s="514"/>
      <c r="C177" s="515"/>
      <c r="D177" s="516"/>
      <c r="E177" s="514"/>
      <c r="F177" s="602"/>
      <c r="G177" s="602"/>
      <c r="H177" s="602"/>
      <c r="I177" s="602"/>
      <c r="J177" s="602"/>
      <c r="K177" s="602"/>
      <c r="L177" s="19"/>
      <c r="M177" s="602"/>
      <c r="N177" s="19"/>
      <c r="O177" s="602"/>
      <c r="P177" s="602"/>
      <c r="Q177" s="131"/>
      <c r="R177" s="131"/>
      <c r="S177" s="602"/>
      <c r="T177" s="131"/>
      <c r="U177" s="131"/>
      <c r="V177" s="602"/>
      <c r="W177" s="602"/>
      <c r="X177" s="602"/>
      <c r="Y177" s="602"/>
      <c r="Z177" s="602"/>
      <c r="AA177" s="132"/>
      <c r="AB177" s="132"/>
      <c r="AC177" s="520"/>
      <c r="AD177" s="577"/>
      <c r="AE177" s="131"/>
    </row>
    <row r="178" customFormat="false" ht="15.75" hidden="false" customHeight="false" outlineLevel="0" collapsed="false">
      <c r="A178" s="514"/>
      <c r="B178" s="514"/>
      <c r="C178" s="515"/>
      <c r="D178" s="516"/>
      <c r="E178" s="514"/>
      <c r="F178" s="602"/>
      <c r="G178" s="602"/>
      <c r="H178" s="602"/>
      <c r="I178" s="602"/>
      <c r="J178" s="602"/>
      <c r="K178" s="602"/>
      <c r="L178" s="19"/>
      <c r="M178" s="602"/>
      <c r="N178" s="19"/>
      <c r="O178" s="602"/>
      <c r="P178" s="602"/>
      <c r="Q178" s="131"/>
      <c r="R178" s="131"/>
      <c r="S178" s="602"/>
      <c r="T178" s="131"/>
      <c r="U178" s="131"/>
      <c r="V178" s="602"/>
      <c r="W178" s="602"/>
      <c r="X178" s="602"/>
      <c r="Y178" s="602"/>
      <c r="Z178" s="602"/>
      <c r="AA178" s="132"/>
      <c r="AB178" s="132"/>
      <c r="AC178" s="520"/>
      <c r="AD178" s="577"/>
      <c r="AE178" s="131"/>
    </row>
    <row r="179" customFormat="false" ht="15.75" hidden="false" customHeight="false" outlineLevel="0" collapsed="false">
      <c r="A179" s="514"/>
      <c r="B179" s="514"/>
      <c r="C179" s="515"/>
      <c r="D179" s="516"/>
      <c r="E179" s="514"/>
      <c r="F179" s="602"/>
      <c r="G179" s="602"/>
      <c r="H179" s="602"/>
      <c r="I179" s="602"/>
      <c r="J179" s="602"/>
      <c r="K179" s="602"/>
      <c r="L179" s="19"/>
      <c r="M179" s="602"/>
      <c r="N179" s="19"/>
      <c r="O179" s="602"/>
      <c r="P179" s="602"/>
      <c r="Q179" s="131"/>
      <c r="R179" s="131"/>
      <c r="S179" s="602"/>
      <c r="T179" s="131"/>
      <c r="U179" s="131"/>
      <c r="V179" s="602"/>
      <c r="W179" s="602"/>
      <c r="X179" s="602"/>
      <c r="Y179" s="602"/>
      <c r="Z179" s="602"/>
      <c r="AA179" s="132"/>
      <c r="AB179" s="132"/>
      <c r="AC179" s="520"/>
      <c r="AD179" s="577"/>
      <c r="AE179" s="131"/>
    </row>
    <row r="180" customFormat="false" ht="15.75" hidden="false" customHeight="false" outlineLevel="0" collapsed="false">
      <c r="A180" s="514" t="s">
        <v>42</v>
      </c>
      <c r="B180" s="514" t="s">
        <v>4261</v>
      </c>
      <c r="C180" s="515" t="s">
        <v>5107</v>
      </c>
      <c r="D180" s="514" t="s">
        <v>5110</v>
      </c>
      <c r="E180" s="514" t="s">
        <v>5111</v>
      </c>
      <c r="F180" s="602" t="n">
        <v>580</v>
      </c>
      <c r="G180" s="602" t="n">
        <v>186</v>
      </c>
      <c r="H180" s="602" t="n">
        <v>981</v>
      </c>
      <c r="I180" s="602" t="n">
        <v>502</v>
      </c>
      <c r="J180" s="602" t="n">
        <v>479</v>
      </c>
      <c r="K180" s="602" t="n">
        <v>76</v>
      </c>
      <c r="L180" s="19" t="n">
        <f aca="false">(K180/H180)*100</f>
        <v>7.74719673802243</v>
      </c>
      <c r="M180" s="602" t="n">
        <v>75</v>
      </c>
      <c r="N180" s="19" t="n">
        <f aca="false">(M180/H180)*100</f>
        <v>7.64525993883792</v>
      </c>
      <c r="O180" s="602" t="n">
        <v>0</v>
      </c>
      <c r="P180" s="602" t="n">
        <v>0</v>
      </c>
      <c r="Q180" s="131" t="s">
        <v>49</v>
      </c>
      <c r="R180" s="517" t="n">
        <v>44825</v>
      </c>
      <c r="S180" s="514"/>
      <c r="T180" s="131" t="n">
        <v>0</v>
      </c>
      <c r="U180" s="131"/>
      <c r="V180" s="514"/>
      <c r="W180" s="514"/>
      <c r="X180" s="514"/>
      <c r="Y180" s="514"/>
      <c r="Z180" s="514"/>
      <c r="AA180" s="581" t="n">
        <v>0</v>
      </c>
      <c r="AB180" s="581" t="n">
        <v>0</v>
      </c>
      <c r="AC180" s="37" t="n">
        <v>0</v>
      </c>
      <c r="AD180" s="131" t="n">
        <v>0</v>
      </c>
      <c r="AE180" s="131" t="n">
        <v>0</v>
      </c>
    </row>
    <row r="181" customFormat="false" ht="15.75" hidden="false" customHeight="false" outlineLevel="0" collapsed="false">
      <c r="F181" s="131" t="n">
        <f aca="false">SUM(F4:F180)</f>
        <v>122315.66</v>
      </c>
      <c r="G181" s="131" t="n">
        <f aca="false">SUM(G4:G180)</f>
        <v>24478</v>
      </c>
      <c r="H181" s="131" t="n">
        <f aca="false">SUM(H4:H180)</f>
        <v>140025</v>
      </c>
      <c r="I181" s="131" t="n">
        <f aca="false">SUM(I4:I180)</f>
        <v>73648</v>
      </c>
      <c r="J181" s="131" t="n">
        <f aca="false">SUM(J4:J180)</f>
        <v>66377</v>
      </c>
      <c r="K181" s="131" t="n">
        <f aca="false">SUM(K4:K180)</f>
        <v>24834</v>
      </c>
      <c r="L181" s="131"/>
      <c r="M181" s="131" t="n">
        <f aca="false">SUM(M4:M180)</f>
        <v>12461</v>
      </c>
      <c r="N181" s="131"/>
      <c r="O181" s="131" t="n">
        <f aca="false">SUM(O4:O180)</f>
        <v>3887.6</v>
      </c>
      <c r="P181" s="131" t="n">
        <f aca="false">SUM(P4:P180)</f>
        <v>46.05</v>
      </c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37"/>
      <c r="AD181" s="131"/>
      <c r="AE181" s="131"/>
    </row>
  </sheetData>
  <mergeCells count="3">
    <mergeCell ref="K2:L2"/>
    <mergeCell ref="M2:N2"/>
    <mergeCell ref="AD2:AE2"/>
  </mergeCells>
  <conditionalFormatting sqref="AC2:AC3">
    <cfRule type="duplicateValues" priority="2" aboveAverage="0" equalAverage="0" bottom="0" percent="0" rank="0" text="" dxfId="25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2021-01-13T10:03:28Z</dcterms:created>
  <dc:creator>fes pk</dc:creator>
  <dc:description/>
  <dc:language>en-IN</dc:language>
  <cp:lastModifiedBy/>
  <dcterms:modified xsi:type="dcterms:W3CDTF">2026-10-27T10:35:36Z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