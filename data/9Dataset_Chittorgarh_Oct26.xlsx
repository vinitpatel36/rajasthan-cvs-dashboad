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s-admin\Downloads\"/>
    </mc:Choice>
  </mc:AlternateContent>
  <bookViews>
    <workbookView xWindow="0" yWindow="0" windowWidth="19200" windowHeight="6930" tabRatio="724"/>
  </bookViews>
  <sheets>
    <sheet name="Begun Block " sheetId="1" r:id="rId1"/>
    <sheet name="Bhadesar" sheetId="2" r:id="rId2"/>
    <sheet name="Barisadri" sheetId="3" r:id="rId3"/>
    <sheet name="Bhainsrorgarh" sheetId="4" r:id="rId4"/>
    <sheet name="Bhopalsagar" sheetId="5" r:id="rId5"/>
    <sheet name="Chittaurgarh" sheetId="6" r:id="rId6"/>
    <sheet name="Dungla" sheetId="7" r:id="rId7"/>
    <sheet name="Gangrar" sheetId="8" r:id="rId8"/>
    <sheet name="Kapasan" sheetId="9" r:id="rId9"/>
    <sheet name="Nimbahera" sheetId="10" r:id="rId10"/>
    <sheet name="Rashmi" sheetId="11" r:id="rId11"/>
  </sheets>
  <definedNames>
    <definedName name="_xlnm._FilterDatabase" localSheetId="2" hidden="1">Barisadri!$A$2:$AMJ$158</definedName>
    <definedName name="_xlnm._FilterDatabase" localSheetId="0" hidden="1">'Begun Block '!$A$2:$ALY$260</definedName>
    <definedName name="_xlnm._FilterDatabase" localSheetId="1" hidden="1">Bhadesar!$A$2:$AH$171</definedName>
    <definedName name="_xlnm._FilterDatabase" localSheetId="3" hidden="1">Bhainsrorgarh!$A$2:$AI$217</definedName>
    <definedName name="_xlnm._FilterDatabase" localSheetId="4" hidden="1">Bhopalsagar!$A$2:$AI$89</definedName>
    <definedName name="_xlnm._FilterDatabase" localSheetId="5" hidden="1">Chittaurgarh!$A$2:$AI$233</definedName>
    <definedName name="_xlnm._FilterDatabase" localSheetId="6" hidden="1">Dungla!$A$2:$AI$112</definedName>
    <definedName name="_xlnm._FilterDatabase" localSheetId="7" hidden="1">Gangrar!$A$2:$AI$134</definedName>
    <definedName name="_xlnm._FilterDatabase" localSheetId="8" hidden="1">Kapasan!$A$2:$AI$114</definedName>
    <definedName name="_xlnm._FilterDatabase" localSheetId="9" hidden="1">Nimbahera!$A$2:$AI$178</definedName>
    <definedName name="_xlnm._FilterDatabase" localSheetId="10" hidden="1">Rashmi!$A$2:$AI$97</definedName>
    <definedName name="_FilterDatabase_0" localSheetId="0">'Begun Block '!$F$3:$AJ$260</definedName>
    <definedName name="_FilterDatabase_0_0" localSheetId="0">#REF!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97" i="11" l="1"/>
  <c r="L97" i="11"/>
  <c r="N96" i="11"/>
  <c r="L96" i="11"/>
  <c r="N95" i="11"/>
  <c r="L95" i="11"/>
  <c r="N94" i="11"/>
  <c r="L94" i="11"/>
  <c r="N93" i="11"/>
  <c r="L93" i="11"/>
  <c r="N92" i="11"/>
  <c r="L92" i="11"/>
  <c r="N91" i="11"/>
  <c r="L91" i="11"/>
  <c r="N90" i="11"/>
  <c r="L90" i="11"/>
  <c r="N89" i="11"/>
  <c r="L89" i="11"/>
  <c r="N88" i="11"/>
  <c r="L88" i="11"/>
  <c r="N87" i="11"/>
  <c r="L87" i="11"/>
  <c r="N84" i="11"/>
  <c r="L84" i="11"/>
  <c r="N82" i="11"/>
  <c r="L82" i="11"/>
  <c r="N81" i="11"/>
  <c r="L81" i="11"/>
  <c r="N80" i="11"/>
  <c r="L80" i="11"/>
  <c r="N79" i="11"/>
  <c r="L79" i="11"/>
  <c r="N78" i="11"/>
  <c r="L78" i="11"/>
  <c r="N77" i="11"/>
  <c r="L77" i="11"/>
  <c r="N76" i="11"/>
  <c r="L76" i="11"/>
  <c r="N75" i="11"/>
  <c r="L75" i="11"/>
  <c r="N74" i="11"/>
  <c r="L74" i="11"/>
  <c r="N73" i="11"/>
  <c r="L73" i="11"/>
  <c r="N72" i="11"/>
  <c r="L72" i="11"/>
  <c r="N71" i="11"/>
  <c r="L71" i="11"/>
  <c r="N68" i="11"/>
  <c r="L68" i="11"/>
  <c r="N67" i="11"/>
  <c r="L67" i="11"/>
  <c r="N66" i="11"/>
  <c r="L66" i="11"/>
  <c r="N65" i="11"/>
  <c r="L65" i="11"/>
  <c r="N64" i="11"/>
  <c r="L64" i="11"/>
  <c r="N63" i="11"/>
  <c r="L63" i="11"/>
  <c r="N62" i="11"/>
  <c r="L62" i="11"/>
  <c r="N61" i="11"/>
  <c r="L61" i="11"/>
  <c r="N60" i="11"/>
  <c r="L60" i="11"/>
  <c r="N59" i="11"/>
  <c r="L59" i="11"/>
  <c r="N58" i="11"/>
  <c r="L58" i="11"/>
  <c r="N57" i="11"/>
  <c r="L57" i="11"/>
  <c r="N56" i="11"/>
  <c r="L56" i="11"/>
  <c r="N55" i="11"/>
  <c r="L55" i="11"/>
  <c r="N54" i="11"/>
  <c r="L54" i="11"/>
  <c r="N53" i="11"/>
  <c r="L53" i="11"/>
  <c r="N52" i="11"/>
  <c r="L52" i="11"/>
  <c r="N51" i="11"/>
  <c r="L51" i="11"/>
  <c r="N50" i="11"/>
  <c r="L50" i="11"/>
  <c r="N49" i="11"/>
  <c r="L49" i="11"/>
  <c r="N48" i="11"/>
  <c r="L48" i="11"/>
  <c r="N47" i="11"/>
  <c r="L47" i="11"/>
  <c r="N46" i="11"/>
  <c r="L46" i="11"/>
  <c r="N45" i="11"/>
  <c r="L45" i="11"/>
  <c r="N44" i="11"/>
  <c r="L44" i="11"/>
  <c r="N42" i="11"/>
  <c r="L42" i="11"/>
  <c r="N41" i="11"/>
  <c r="L41" i="11"/>
  <c r="N40" i="11"/>
  <c r="L40" i="11"/>
  <c r="N38" i="11"/>
  <c r="L38" i="11"/>
  <c r="N37" i="11"/>
  <c r="L37" i="11"/>
  <c r="N36" i="11"/>
  <c r="L36" i="11"/>
  <c r="N35" i="11"/>
  <c r="L35" i="11"/>
  <c r="N34" i="11"/>
  <c r="L34" i="11"/>
  <c r="N33" i="11"/>
  <c r="L33" i="11"/>
  <c r="N32" i="11"/>
  <c r="L32" i="11"/>
  <c r="N31" i="11"/>
  <c r="L31" i="11"/>
  <c r="N30" i="11"/>
  <c r="L30" i="11"/>
  <c r="N29" i="11"/>
  <c r="L29" i="11"/>
  <c r="N28" i="11"/>
  <c r="L28" i="11"/>
  <c r="N27" i="11"/>
  <c r="L27" i="11"/>
  <c r="N26" i="11"/>
  <c r="L26" i="11"/>
  <c r="N25" i="11"/>
  <c r="L25" i="11"/>
  <c r="N24" i="11"/>
  <c r="L24" i="11"/>
  <c r="N23" i="11"/>
  <c r="L23" i="11"/>
  <c r="N22" i="11"/>
  <c r="L22" i="11"/>
  <c r="N21" i="11"/>
  <c r="L21" i="11"/>
  <c r="N20" i="11"/>
  <c r="L20" i="11"/>
  <c r="N19" i="11"/>
  <c r="L19" i="11"/>
  <c r="N18" i="11"/>
  <c r="L18" i="11"/>
  <c r="N17" i="11"/>
  <c r="L17" i="11"/>
  <c r="N16" i="11"/>
  <c r="L16" i="11"/>
  <c r="N15" i="11"/>
  <c r="L15" i="11"/>
  <c r="N14" i="11"/>
  <c r="L14" i="11"/>
  <c r="N13" i="11"/>
  <c r="L13" i="11"/>
  <c r="N12" i="11"/>
  <c r="L12" i="11"/>
  <c r="N11" i="11"/>
  <c r="L11" i="11"/>
  <c r="N10" i="11"/>
  <c r="L10" i="11"/>
  <c r="N9" i="11"/>
  <c r="L9" i="11"/>
  <c r="N8" i="11"/>
  <c r="L8" i="11"/>
  <c r="N7" i="11"/>
  <c r="L7" i="11"/>
  <c r="N6" i="11"/>
  <c r="L6" i="11"/>
  <c r="N5" i="11"/>
  <c r="L5" i="11"/>
  <c r="N4" i="11"/>
  <c r="L4" i="11"/>
  <c r="N178" i="10"/>
  <c r="L178" i="10"/>
  <c r="N177" i="10"/>
  <c r="L177" i="10"/>
  <c r="N176" i="10"/>
  <c r="L176" i="10"/>
  <c r="N175" i="10"/>
  <c r="L175" i="10"/>
  <c r="N174" i="10"/>
  <c r="L174" i="10"/>
  <c r="N173" i="10"/>
  <c r="L173" i="10"/>
  <c r="N172" i="10"/>
  <c r="L172" i="10"/>
  <c r="N171" i="10"/>
  <c r="L171" i="10"/>
  <c r="N170" i="10"/>
  <c r="L170" i="10"/>
  <c r="N169" i="10"/>
  <c r="L169" i="10"/>
  <c r="N168" i="10"/>
  <c r="L168" i="10"/>
  <c r="N167" i="10"/>
  <c r="L167" i="10"/>
  <c r="N166" i="10"/>
  <c r="L166" i="10"/>
  <c r="N165" i="10"/>
  <c r="L165" i="10"/>
  <c r="N164" i="10"/>
  <c r="L164" i="10"/>
  <c r="N162" i="10"/>
  <c r="L162" i="10"/>
  <c r="N160" i="10"/>
  <c r="L160" i="10"/>
  <c r="N159" i="10"/>
  <c r="L159" i="10"/>
  <c r="N158" i="10"/>
  <c r="L158" i="10"/>
  <c r="N157" i="10"/>
  <c r="L157" i="10"/>
  <c r="N156" i="10"/>
  <c r="L156" i="10"/>
  <c r="N155" i="10"/>
  <c r="L155" i="10"/>
  <c r="N154" i="10"/>
  <c r="L154" i="10"/>
  <c r="N153" i="10"/>
  <c r="L153" i="10"/>
  <c r="N152" i="10"/>
  <c r="L152" i="10"/>
  <c r="N151" i="10"/>
  <c r="L151" i="10"/>
  <c r="N149" i="10"/>
  <c r="L149" i="10"/>
  <c r="N148" i="10"/>
  <c r="L148" i="10"/>
  <c r="N147" i="10"/>
  <c r="L147" i="10"/>
  <c r="N146" i="10"/>
  <c r="L146" i="10"/>
  <c r="N145" i="10"/>
  <c r="L145" i="10"/>
  <c r="N144" i="10"/>
  <c r="L144" i="10"/>
  <c r="N143" i="10"/>
  <c r="L143" i="10"/>
  <c r="N142" i="10"/>
  <c r="L142" i="10"/>
  <c r="N140" i="10"/>
  <c r="L140" i="10"/>
  <c r="N139" i="10"/>
  <c r="L139" i="10"/>
  <c r="N138" i="10"/>
  <c r="L138" i="10"/>
  <c r="N137" i="10"/>
  <c r="L137" i="10"/>
  <c r="N136" i="10"/>
  <c r="L136" i="10"/>
  <c r="N135" i="10"/>
  <c r="L135" i="10"/>
  <c r="N134" i="10"/>
  <c r="L134" i="10"/>
  <c r="N133" i="10"/>
  <c r="L133" i="10"/>
  <c r="N132" i="10"/>
  <c r="L132" i="10"/>
  <c r="N131" i="10"/>
  <c r="L131" i="10"/>
  <c r="N130" i="10"/>
  <c r="L130" i="10"/>
  <c r="N129" i="10"/>
  <c r="L129" i="10"/>
  <c r="N128" i="10"/>
  <c r="L128" i="10"/>
  <c r="N127" i="10"/>
  <c r="L127" i="10"/>
  <c r="N126" i="10"/>
  <c r="L126" i="10"/>
  <c r="N125" i="10"/>
  <c r="L125" i="10"/>
  <c r="N124" i="10"/>
  <c r="L124" i="10"/>
  <c r="N123" i="10"/>
  <c r="L123" i="10"/>
  <c r="N122" i="10"/>
  <c r="L122" i="10"/>
  <c r="N121" i="10"/>
  <c r="L121" i="10"/>
  <c r="N120" i="10"/>
  <c r="L120" i="10"/>
  <c r="N119" i="10"/>
  <c r="L119" i="10"/>
  <c r="N118" i="10"/>
  <c r="L118" i="10"/>
  <c r="N117" i="10"/>
  <c r="L117" i="10"/>
  <c r="N116" i="10"/>
  <c r="L116" i="10"/>
  <c r="N115" i="10"/>
  <c r="L115" i="10"/>
  <c r="N114" i="10"/>
  <c r="L114" i="10"/>
  <c r="N113" i="10"/>
  <c r="L113" i="10"/>
  <c r="N112" i="10"/>
  <c r="L112" i="10"/>
  <c r="N111" i="10"/>
  <c r="L111" i="10"/>
  <c r="N109" i="10"/>
  <c r="L109" i="10"/>
  <c r="N108" i="10"/>
  <c r="L108" i="10"/>
  <c r="N106" i="10"/>
  <c r="L106" i="10"/>
  <c r="N105" i="10"/>
  <c r="L105" i="10"/>
  <c r="N104" i="10"/>
  <c r="L104" i="10"/>
  <c r="N103" i="10"/>
  <c r="L103" i="10"/>
  <c r="N102" i="10"/>
  <c r="L102" i="10"/>
  <c r="N101" i="10"/>
  <c r="L101" i="10"/>
  <c r="N100" i="10"/>
  <c r="L100" i="10"/>
  <c r="N99" i="10"/>
  <c r="L99" i="10"/>
  <c r="N98" i="10"/>
  <c r="L98" i="10"/>
  <c r="N97" i="10"/>
  <c r="L97" i="10"/>
  <c r="N96" i="10"/>
  <c r="L96" i="10"/>
  <c r="N95" i="10"/>
  <c r="L95" i="10"/>
  <c r="N94" i="10"/>
  <c r="L94" i="10"/>
  <c r="N93" i="10"/>
  <c r="L93" i="10"/>
  <c r="N92" i="10"/>
  <c r="L92" i="10"/>
  <c r="N91" i="10"/>
  <c r="L91" i="10"/>
  <c r="N89" i="10"/>
  <c r="L89" i="10"/>
  <c r="N88" i="10"/>
  <c r="L88" i="10"/>
  <c r="N87" i="10"/>
  <c r="L87" i="10"/>
  <c r="N86" i="10"/>
  <c r="L86" i="10"/>
  <c r="N85" i="10"/>
  <c r="L85" i="10"/>
  <c r="N84" i="10"/>
  <c r="L84" i="10"/>
  <c r="N82" i="10"/>
  <c r="L82" i="10"/>
  <c r="N81" i="10"/>
  <c r="L81" i="10"/>
  <c r="N80" i="10"/>
  <c r="L80" i="10"/>
  <c r="N79" i="10"/>
  <c r="L79" i="10"/>
  <c r="N78" i="10"/>
  <c r="L78" i="10"/>
  <c r="N77" i="10"/>
  <c r="L77" i="10"/>
  <c r="N76" i="10"/>
  <c r="L76" i="10"/>
  <c r="N75" i="10"/>
  <c r="L75" i="10"/>
  <c r="N74" i="10"/>
  <c r="L74" i="10"/>
  <c r="N73" i="10"/>
  <c r="L73" i="10"/>
  <c r="N72" i="10"/>
  <c r="L72" i="10"/>
  <c r="N71" i="10"/>
  <c r="L71" i="10"/>
  <c r="N70" i="10"/>
  <c r="L70" i="10"/>
  <c r="N69" i="10"/>
  <c r="L69" i="10"/>
  <c r="N68" i="10"/>
  <c r="L68" i="10"/>
  <c r="N67" i="10"/>
  <c r="L67" i="10"/>
  <c r="N66" i="10"/>
  <c r="L66" i="10"/>
  <c r="N65" i="10"/>
  <c r="L65" i="10"/>
  <c r="N64" i="10"/>
  <c r="L64" i="10"/>
  <c r="N63" i="10"/>
  <c r="L63" i="10"/>
  <c r="N62" i="10"/>
  <c r="L62" i="10"/>
  <c r="N61" i="10"/>
  <c r="L61" i="10"/>
  <c r="N60" i="10"/>
  <c r="L60" i="10"/>
  <c r="N59" i="10"/>
  <c r="L59" i="10"/>
  <c r="N58" i="10"/>
  <c r="L58" i="10"/>
  <c r="N57" i="10"/>
  <c r="L57" i="10"/>
  <c r="N56" i="10"/>
  <c r="L56" i="10"/>
  <c r="N55" i="10"/>
  <c r="L55" i="10"/>
  <c r="N54" i="10"/>
  <c r="L54" i="10"/>
  <c r="N53" i="10"/>
  <c r="L53" i="10"/>
  <c r="N52" i="10"/>
  <c r="L52" i="10"/>
  <c r="N45" i="10"/>
  <c r="L45" i="10"/>
  <c r="N44" i="10"/>
  <c r="L44" i="10"/>
  <c r="N42" i="10"/>
  <c r="L42" i="10"/>
  <c r="N41" i="10"/>
  <c r="L41" i="10"/>
  <c r="N40" i="10"/>
  <c r="L40" i="10"/>
  <c r="N39" i="10"/>
  <c r="L39" i="10"/>
  <c r="N38" i="10"/>
  <c r="L38" i="10"/>
  <c r="N37" i="10"/>
  <c r="L37" i="10"/>
  <c r="N36" i="10"/>
  <c r="L36" i="10"/>
  <c r="N35" i="10"/>
  <c r="L35" i="10"/>
  <c r="N34" i="10"/>
  <c r="L34" i="10"/>
  <c r="N33" i="10"/>
  <c r="L33" i="10"/>
  <c r="N32" i="10"/>
  <c r="L32" i="10"/>
  <c r="N31" i="10"/>
  <c r="L31" i="10"/>
  <c r="N30" i="10"/>
  <c r="L30" i="10"/>
  <c r="N29" i="10"/>
  <c r="L29" i="10"/>
  <c r="N28" i="10"/>
  <c r="L28" i="10"/>
  <c r="N27" i="10"/>
  <c r="L27" i="10"/>
  <c r="N26" i="10"/>
  <c r="L26" i="10"/>
  <c r="N25" i="10"/>
  <c r="L25" i="10"/>
  <c r="N23" i="10"/>
  <c r="L23" i="10"/>
  <c r="N22" i="10"/>
  <c r="L22" i="10"/>
  <c r="N21" i="10"/>
  <c r="L21" i="10"/>
  <c r="N20" i="10"/>
  <c r="L20" i="10"/>
  <c r="N19" i="10"/>
  <c r="L19" i="10"/>
  <c r="N18" i="10"/>
  <c r="L18" i="10"/>
  <c r="N17" i="10"/>
  <c r="L17" i="10"/>
  <c r="N16" i="10"/>
  <c r="L16" i="10"/>
  <c r="N15" i="10"/>
  <c r="L15" i="10"/>
  <c r="N14" i="10"/>
  <c r="L14" i="10"/>
  <c r="N13" i="10"/>
  <c r="L13" i="10"/>
  <c r="N12" i="10"/>
  <c r="L12" i="10"/>
  <c r="N11" i="10"/>
  <c r="L11" i="10"/>
  <c r="N10" i="10"/>
  <c r="L10" i="10"/>
  <c r="N9" i="10"/>
  <c r="L9" i="10"/>
  <c r="N8" i="10"/>
  <c r="L8" i="10"/>
  <c r="N7" i="10"/>
  <c r="L7" i="10"/>
  <c r="N6" i="10"/>
  <c r="L6" i="10"/>
  <c r="N4" i="10"/>
  <c r="L4" i="10"/>
  <c r="N114" i="9"/>
  <c r="L114" i="9"/>
  <c r="N113" i="9"/>
  <c r="L113" i="9"/>
  <c r="N112" i="9"/>
  <c r="L112" i="9"/>
  <c r="N111" i="9"/>
  <c r="L111" i="9"/>
  <c r="N110" i="9"/>
  <c r="L110" i="9"/>
  <c r="N109" i="9"/>
  <c r="L109" i="9"/>
  <c r="N108" i="9"/>
  <c r="L108" i="9"/>
  <c r="N107" i="9"/>
  <c r="L107" i="9"/>
  <c r="N106" i="9"/>
  <c r="L106" i="9"/>
  <c r="N105" i="9"/>
  <c r="L105" i="9"/>
  <c r="N104" i="9"/>
  <c r="L104" i="9"/>
  <c r="N103" i="9"/>
  <c r="L103" i="9"/>
  <c r="N102" i="9"/>
  <c r="L102" i="9"/>
  <c r="N101" i="9"/>
  <c r="L101" i="9"/>
  <c r="N100" i="9"/>
  <c r="L100" i="9"/>
  <c r="N99" i="9"/>
  <c r="L99" i="9"/>
  <c r="N98" i="9"/>
  <c r="L98" i="9"/>
  <c r="N97" i="9"/>
  <c r="L97" i="9"/>
  <c r="N96" i="9"/>
  <c r="L96" i="9"/>
  <c r="N95" i="9"/>
  <c r="L95" i="9"/>
  <c r="N94" i="9"/>
  <c r="L94" i="9"/>
  <c r="N93" i="9"/>
  <c r="L93" i="9"/>
  <c r="N92" i="9"/>
  <c r="L92" i="9"/>
  <c r="N91" i="9"/>
  <c r="L91" i="9"/>
  <c r="N90" i="9"/>
  <c r="L90" i="9"/>
  <c r="N89" i="9"/>
  <c r="L89" i="9"/>
  <c r="N88" i="9"/>
  <c r="L88" i="9"/>
  <c r="N87" i="9"/>
  <c r="L87" i="9"/>
  <c r="N86" i="9"/>
  <c r="L86" i="9"/>
  <c r="N85" i="9"/>
  <c r="L85" i="9"/>
  <c r="N84" i="9"/>
  <c r="L84" i="9"/>
  <c r="N83" i="9"/>
  <c r="L83" i="9"/>
  <c r="N82" i="9"/>
  <c r="L82" i="9"/>
  <c r="N81" i="9"/>
  <c r="L81" i="9"/>
  <c r="N80" i="9"/>
  <c r="L80" i="9"/>
  <c r="N79" i="9"/>
  <c r="L79" i="9"/>
  <c r="N78" i="9"/>
  <c r="L78" i="9"/>
  <c r="N77" i="9"/>
  <c r="L77" i="9"/>
  <c r="N76" i="9"/>
  <c r="L76" i="9"/>
  <c r="N75" i="9"/>
  <c r="L75" i="9"/>
  <c r="N74" i="9"/>
  <c r="L74" i="9"/>
  <c r="N73" i="9"/>
  <c r="L73" i="9"/>
  <c r="N72" i="9"/>
  <c r="L72" i="9"/>
  <c r="N71" i="9"/>
  <c r="L71" i="9"/>
  <c r="N70" i="9"/>
  <c r="L70" i="9"/>
  <c r="N69" i="9"/>
  <c r="L69" i="9"/>
  <c r="N68" i="9"/>
  <c r="L68" i="9"/>
  <c r="N67" i="9"/>
  <c r="L67" i="9"/>
  <c r="N65" i="9"/>
  <c r="L65" i="9"/>
  <c r="N64" i="9"/>
  <c r="L64" i="9"/>
  <c r="N62" i="9"/>
  <c r="L62" i="9"/>
  <c r="N61" i="9"/>
  <c r="L61" i="9"/>
  <c r="N60" i="9"/>
  <c r="L60" i="9"/>
  <c r="N59" i="9"/>
  <c r="L59" i="9"/>
  <c r="N58" i="9"/>
  <c r="L58" i="9"/>
  <c r="N57" i="9"/>
  <c r="L57" i="9"/>
  <c r="N56" i="9"/>
  <c r="L56" i="9"/>
  <c r="N55" i="9"/>
  <c r="L55" i="9"/>
  <c r="N54" i="9"/>
  <c r="L54" i="9"/>
  <c r="N53" i="9"/>
  <c r="L53" i="9"/>
  <c r="N52" i="9"/>
  <c r="L52" i="9"/>
  <c r="N51" i="9"/>
  <c r="L51" i="9"/>
  <c r="N50" i="9"/>
  <c r="L50" i="9"/>
  <c r="N49" i="9"/>
  <c r="L49" i="9"/>
  <c r="N48" i="9"/>
  <c r="L48" i="9"/>
  <c r="N47" i="9"/>
  <c r="L47" i="9"/>
  <c r="N45" i="9"/>
  <c r="L45" i="9"/>
  <c r="N44" i="9"/>
  <c r="L44" i="9"/>
  <c r="N43" i="9"/>
  <c r="L43" i="9"/>
  <c r="N42" i="9"/>
  <c r="L42" i="9"/>
  <c r="N41" i="9"/>
  <c r="L41" i="9"/>
  <c r="N40" i="9"/>
  <c r="L40" i="9"/>
  <c r="N39" i="9"/>
  <c r="L39" i="9"/>
  <c r="N38" i="9"/>
  <c r="L38" i="9"/>
  <c r="N37" i="9"/>
  <c r="L37" i="9"/>
  <c r="N36" i="9"/>
  <c r="L36" i="9"/>
  <c r="N35" i="9"/>
  <c r="L35" i="9"/>
  <c r="N34" i="9"/>
  <c r="L34" i="9"/>
  <c r="N33" i="9"/>
  <c r="L33" i="9"/>
  <c r="N32" i="9"/>
  <c r="L32" i="9"/>
  <c r="N31" i="9"/>
  <c r="L31" i="9"/>
  <c r="N30" i="9"/>
  <c r="L30" i="9"/>
  <c r="N29" i="9"/>
  <c r="L29" i="9"/>
  <c r="N28" i="9"/>
  <c r="L28" i="9"/>
  <c r="N27" i="9"/>
  <c r="L27" i="9"/>
  <c r="N26" i="9"/>
  <c r="L26" i="9"/>
  <c r="N25" i="9"/>
  <c r="L25" i="9"/>
  <c r="N24" i="9"/>
  <c r="L24" i="9"/>
  <c r="N23" i="9"/>
  <c r="L23" i="9"/>
  <c r="N22" i="9"/>
  <c r="L22" i="9"/>
  <c r="N21" i="9"/>
  <c r="L21" i="9"/>
  <c r="N20" i="9"/>
  <c r="L20" i="9"/>
  <c r="N19" i="9"/>
  <c r="L19" i="9"/>
  <c r="N18" i="9"/>
  <c r="L18" i="9"/>
  <c r="N17" i="9"/>
  <c r="L17" i="9"/>
  <c r="N16" i="9"/>
  <c r="L16" i="9"/>
  <c r="N15" i="9"/>
  <c r="L15" i="9"/>
  <c r="N14" i="9"/>
  <c r="L14" i="9"/>
  <c r="N13" i="9"/>
  <c r="L13" i="9"/>
  <c r="N12" i="9"/>
  <c r="L12" i="9"/>
  <c r="N11" i="9"/>
  <c r="L11" i="9"/>
  <c r="N10" i="9"/>
  <c r="L10" i="9"/>
  <c r="N9" i="9"/>
  <c r="L9" i="9"/>
  <c r="N8" i="9"/>
  <c r="L8" i="9"/>
  <c r="N7" i="9"/>
  <c r="L7" i="9"/>
  <c r="N6" i="9"/>
  <c r="L6" i="9"/>
  <c r="N5" i="9"/>
  <c r="L5" i="9"/>
  <c r="N4" i="9"/>
  <c r="L4" i="9"/>
  <c r="N134" i="8"/>
  <c r="L134" i="8"/>
  <c r="N133" i="8"/>
  <c r="L133" i="8"/>
  <c r="N132" i="8"/>
  <c r="L132" i="8"/>
  <c r="N131" i="8"/>
  <c r="L131" i="8"/>
  <c r="N130" i="8"/>
  <c r="L130" i="8"/>
  <c r="N129" i="8"/>
  <c r="L129" i="8"/>
  <c r="N128" i="8"/>
  <c r="L128" i="8"/>
  <c r="N127" i="8"/>
  <c r="L127" i="8"/>
  <c r="N126" i="8"/>
  <c r="L126" i="8"/>
  <c r="N125" i="8"/>
  <c r="L125" i="8"/>
  <c r="N124" i="8"/>
  <c r="L124" i="8"/>
  <c r="N123" i="8"/>
  <c r="L123" i="8"/>
  <c r="N122" i="8"/>
  <c r="L122" i="8"/>
  <c r="N121" i="8"/>
  <c r="L121" i="8"/>
  <c r="N120" i="8"/>
  <c r="L120" i="8"/>
  <c r="N119" i="8"/>
  <c r="L119" i="8"/>
  <c r="N118" i="8"/>
  <c r="L118" i="8"/>
  <c r="N117" i="8"/>
  <c r="L117" i="8"/>
  <c r="N116" i="8"/>
  <c r="L116" i="8"/>
  <c r="N115" i="8"/>
  <c r="L115" i="8"/>
  <c r="N114" i="8"/>
  <c r="L114" i="8"/>
  <c r="N113" i="8"/>
  <c r="L113" i="8"/>
  <c r="N112" i="8"/>
  <c r="L112" i="8"/>
  <c r="N111" i="8"/>
  <c r="L111" i="8"/>
  <c r="N110" i="8"/>
  <c r="L110" i="8"/>
  <c r="N109" i="8"/>
  <c r="L109" i="8"/>
  <c r="N108" i="8"/>
  <c r="L108" i="8"/>
  <c r="N107" i="8"/>
  <c r="L107" i="8"/>
  <c r="N106" i="8"/>
  <c r="L106" i="8"/>
  <c r="N105" i="8"/>
  <c r="L105" i="8"/>
  <c r="N104" i="8"/>
  <c r="L104" i="8"/>
  <c r="N103" i="8"/>
  <c r="L103" i="8"/>
  <c r="N102" i="8"/>
  <c r="L102" i="8"/>
  <c r="N101" i="8"/>
  <c r="L101" i="8"/>
  <c r="N100" i="8"/>
  <c r="L100" i="8"/>
  <c r="N99" i="8"/>
  <c r="L99" i="8"/>
  <c r="N98" i="8"/>
  <c r="L98" i="8"/>
  <c r="N97" i="8"/>
  <c r="L97" i="8"/>
  <c r="N96" i="8"/>
  <c r="L96" i="8"/>
  <c r="N95" i="8"/>
  <c r="L95" i="8"/>
  <c r="N94" i="8"/>
  <c r="L94" i="8"/>
  <c r="N93" i="8"/>
  <c r="L93" i="8"/>
  <c r="N92" i="8"/>
  <c r="L92" i="8"/>
  <c r="N91" i="8"/>
  <c r="L91" i="8"/>
  <c r="N90" i="8"/>
  <c r="L90" i="8"/>
  <c r="N89" i="8"/>
  <c r="L89" i="8"/>
  <c r="N88" i="8"/>
  <c r="L88" i="8"/>
  <c r="N87" i="8"/>
  <c r="L87" i="8"/>
  <c r="N86" i="8"/>
  <c r="L86" i="8"/>
  <c r="N85" i="8"/>
  <c r="L85" i="8"/>
  <c r="N84" i="8"/>
  <c r="L84" i="8"/>
  <c r="N83" i="8"/>
  <c r="L83" i="8"/>
  <c r="N82" i="8"/>
  <c r="L82" i="8"/>
  <c r="N81" i="8"/>
  <c r="L81" i="8"/>
  <c r="N80" i="8"/>
  <c r="L80" i="8"/>
  <c r="N79" i="8"/>
  <c r="L79" i="8"/>
  <c r="N78" i="8"/>
  <c r="L78" i="8"/>
  <c r="N77" i="8"/>
  <c r="L77" i="8"/>
  <c r="N76" i="8"/>
  <c r="L76" i="8"/>
  <c r="N75" i="8"/>
  <c r="L75" i="8"/>
  <c r="N74" i="8"/>
  <c r="L74" i="8"/>
  <c r="N73" i="8"/>
  <c r="L73" i="8"/>
  <c r="N72" i="8"/>
  <c r="L72" i="8"/>
  <c r="N71" i="8"/>
  <c r="L71" i="8"/>
  <c r="N70" i="8"/>
  <c r="L70" i="8"/>
  <c r="N69" i="8"/>
  <c r="L69" i="8"/>
  <c r="N68" i="8"/>
  <c r="L68" i="8"/>
  <c r="N67" i="8"/>
  <c r="L67" i="8"/>
  <c r="N66" i="8"/>
  <c r="L66" i="8"/>
  <c r="N65" i="8"/>
  <c r="L65" i="8"/>
  <c r="N64" i="8"/>
  <c r="L64" i="8"/>
  <c r="N63" i="8"/>
  <c r="L63" i="8"/>
  <c r="N62" i="8"/>
  <c r="L62" i="8"/>
  <c r="N61" i="8"/>
  <c r="L61" i="8"/>
  <c r="N60" i="8"/>
  <c r="L60" i="8"/>
  <c r="N59" i="8"/>
  <c r="L59" i="8"/>
  <c r="N58" i="8"/>
  <c r="L58" i="8"/>
  <c r="N57" i="8"/>
  <c r="L57" i="8"/>
  <c r="N56" i="8"/>
  <c r="L56" i="8"/>
  <c r="N55" i="8"/>
  <c r="L55" i="8"/>
  <c r="N54" i="8"/>
  <c r="L54" i="8"/>
  <c r="N53" i="8"/>
  <c r="L53" i="8"/>
  <c r="N52" i="8"/>
  <c r="L52" i="8"/>
  <c r="N51" i="8"/>
  <c r="L51" i="8"/>
  <c r="N50" i="8"/>
  <c r="L50" i="8"/>
  <c r="N49" i="8"/>
  <c r="L49" i="8"/>
  <c r="N48" i="8"/>
  <c r="L48" i="8"/>
  <c r="N47" i="8"/>
  <c r="L47" i="8"/>
  <c r="N46" i="8"/>
  <c r="L46" i="8"/>
  <c r="N45" i="8"/>
  <c r="L45" i="8"/>
  <c r="N44" i="8"/>
  <c r="L44" i="8"/>
  <c r="N43" i="8"/>
  <c r="L43" i="8"/>
  <c r="N42" i="8"/>
  <c r="L42" i="8"/>
  <c r="N41" i="8"/>
  <c r="L41" i="8"/>
  <c r="N40" i="8"/>
  <c r="L40" i="8"/>
  <c r="N39" i="8"/>
  <c r="L39" i="8"/>
  <c r="N38" i="8"/>
  <c r="L38" i="8"/>
  <c r="N37" i="8"/>
  <c r="L37" i="8"/>
  <c r="N36" i="8"/>
  <c r="L36" i="8"/>
  <c r="N35" i="8"/>
  <c r="L35" i="8"/>
  <c r="N34" i="8"/>
  <c r="L34" i="8"/>
  <c r="N33" i="8"/>
  <c r="L33" i="8"/>
  <c r="N32" i="8"/>
  <c r="L32" i="8"/>
  <c r="N31" i="8"/>
  <c r="L31" i="8"/>
  <c r="N30" i="8"/>
  <c r="L30" i="8"/>
  <c r="N29" i="8"/>
  <c r="L29" i="8"/>
  <c r="N28" i="8"/>
  <c r="L28" i="8"/>
  <c r="N27" i="8"/>
  <c r="L27" i="8"/>
  <c r="N26" i="8"/>
  <c r="L26" i="8"/>
  <c r="N25" i="8"/>
  <c r="L25" i="8"/>
  <c r="N24" i="8"/>
  <c r="L24" i="8"/>
  <c r="N23" i="8"/>
  <c r="L23" i="8"/>
  <c r="N22" i="8"/>
  <c r="L22" i="8"/>
  <c r="N21" i="8"/>
  <c r="L21" i="8"/>
  <c r="N20" i="8"/>
  <c r="L20" i="8"/>
  <c r="N19" i="8"/>
  <c r="L19" i="8"/>
  <c r="N18" i="8"/>
  <c r="L18" i="8"/>
  <c r="N17" i="8"/>
  <c r="L17" i="8"/>
  <c r="N16" i="8"/>
  <c r="L16" i="8"/>
  <c r="N15" i="8"/>
  <c r="L15" i="8"/>
  <c r="N14" i="8"/>
  <c r="L14" i="8"/>
  <c r="N13" i="8"/>
  <c r="L13" i="8"/>
  <c r="N12" i="8"/>
  <c r="L12" i="8"/>
  <c r="N11" i="8"/>
  <c r="L11" i="8"/>
  <c r="N10" i="8"/>
  <c r="L10" i="8"/>
  <c r="N9" i="8"/>
  <c r="L9" i="8"/>
  <c r="N8" i="8"/>
  <c r="L8" i="8"/>
  <c r="N7" i="8"/>
  <c r="L7" i="8"/>
  <c r="N6" i="8"/>
  <c r="L6" i="8"/>
  <c r="N5" i="8"/>
  <c r="L5" i="8"/>
  <c r="N4" i="8"/>
  <c r="L4" i="8"/>
  <c r="N112" i="7"/>
  <c r="L112" i="7"/>
  <c r="N111" i="7"/>
  <c r="L111" i="7"/>
  <c r="N110" i="7"/>
  <c r="L110" i="7"/>
  <c r="N109" i="7"/>
  <c r="L109" i="7"/>
  <c r="N108" i="7"/>
  <c r="L108" i="7"/>
  <c r="N107" i="7"/>
  <c r="L107" i="7"/>
  <c r="N106" i="7"/>
  <c r="L106" i="7"/>
  <c r="N105" i="7"/>
  <c r="L105" i="7"/>
  <c r="N104" i="7"/>
  <c r="L104" i="7"/>
  <c r="N103" i="7"/>
  <c r="L103" i="7"/>
  <c r="N102" i="7"/>
  <c r="L102" i="7"/>
  <c r="N101" i="7"/>
  <c r="L101" i="7"/>
  <c r="N100" i="7"/>
  <c r="L100" i="7"/>
  <c r="N99" i="7"/>
  <c r="L99" i="7"/>
  <c r="N98" i="7"/>
  <c r="L98" i="7"/>
  <c r="N97" i="7"/>
  <c r="L97" i="7"/>
  <c r="N96" i="7"/>
  <c r="L96" i="7"/>
  <c r="N95" i="7"/>
  <c r="L95" i="7"/>
  <c r="N94" i="7"/>
  <c r="L94" i="7"/>
  <c r="N92" i="7"/>
  <c r="L92" i="7"/>
  <c r="N91" i="7"/>
  <c r="L91" i="7"/>
  <c r="N90" i="7"/>
  <c r="L90" i="7"/>
  <c r="N89" i="7"/>
  <c r="L89" i="7"/>
  <c r="N88" i="7"/>
  <c r="L88" i="7"/>
  <c r="N87" i="7"/>
  <c r="L87" i="7"/>
  <c r="N86" i="7"/>
  <c r="L86" i="7"/>
  <c r="N84" i="7"/>
  <c r="L84" i="7"/>
  <c r="N83" i="7"/>
  <c r="L83" i="7"/>
  <c r="N82" i="7"/>
  <c r="L82" i="7"/>
  <c r="N81" i="7"/>
  <c r="L81" i="7"/>
  <c r="N80" i="7"/>
  <c r="L80" i="7"/>
  <c r="N79" i="7"/>
  <c r="L79" i="7"/>
  <c r="N78" i="7"/>
  <c r="L78" i="7"/>
  <c r="N77" i="7"/>
  <c r="L77" i="7"/>
  <c r="N76" i="7"/>
  <c r="L76" i="7"/>
  <c r="N75" i="7"/>
  <c r="L75" i="7"/>
  <c r="N74" i="7"/>
  <c r="L74" i="7"/>
  <c r="N73" i="7"/>
  <c r="L73" i="7"/>
  <c r="N72" i="7"/>
  <c r="L72" i="7"/>
  <c r="N71" i="7"/>
  <c r="L71" i="7"/>
  <c r="N70" i="7"/>
  <c r="L70" i="7"/>
  <c r="N68" i="7"/>
  <c r="L68" i="7"/>
  <c r="N67" i="7"/>
  <c r="L67" i="7"/>
  <c r="N66" i="7"/>
  <c r="L66" i="7"/>
  <c r="N64" i="7"/>
  <c r="L64" i="7"/>
  <c r="N63" i="7"/>
  <c r="L63" i="7"/>
  <c r="N62" i="7"/>
  <c r="L62" i="7"/>
  <c r="N61" i="7"/>
  <c r="L61" i="7"/>
  <c r="N60" i="7"/>
  <c r="L60" i="7"/>
  <c r="N59" i="7"/>
  <c r="L59" i="7"/>
  <c r="N58" i="7"/>
  <c r="L58" i="7"/>
  <c r="N57" i="7"/>
  <c r="L57" i="7"/>
  <c r="N56" i="7"/>
  <c r="L56" i="7"/>
  <c r="N55" i="7"/>
  <c r="L55" i="7"/>
  <c r="N54" i="7"/>
  <c r="L54" i="7"/>
  <c r="N53" i="7"/>
  <c r="L53" i="7"/>
  <c r="N52" i="7"/>
  <c r="L52" i="7"/>
  <c r="N51" i="7"/>
  <c r="L51" i="7"/>
  <c r="N50" i="7"/>
  <c r="L50" i="7"/>
  <c r="N49" i="7"/>
  <c r="L49" i="7"/>
  <c r="N48" i="7"/>
  <c r="L48" i="7"/>
  <c r="N47" i="7"/>
  <c r="L47" i="7"/>
  <c r="N46" i="7"/>
  <c r="L46" i="7"/>
  <c r="N45" i="7"/>
  <c r="L45" i="7"/>
  <c r="N44" i="7"/>
  <c r="L44" i="7"/>
  <c r="N43" i="7"/>
  <c r="L43" i="7"/>
  <c r="N41" i="7"/>
  <c r="L41" i="7"/>
  <c r="N40" i="7"/>
  <c r="L40" i="7"/>
  <c r="N39" i="7"/>
  <c r="L39" i="7"/>
  <c r="N38" i="7"/>
  <c r="L38" i="7"/>
  <c r="N37" i="7"/>
  <c r="L37" i="7"/>
  <c r="N36" i="7"/>
  <c r="L36" i="7"/>
  <c r="N35" i="7"/>
  <c r="L35" i="7"/>
  <c r="N34" i="7"/>
  <c r="L34" i="7"/>
  <c r="N33" i="7"/>
  <c r="L33" i="7"/>
  <c r="N32" i="7"/>
  <c r="L32" i="7"/>
  <c r="N31" i="7"/>
  <c r="L31" i="7"/>
  <c r="N30" i="7"/>
  <c r="L30" i="7"/>
  <c r="N29" i="7"/>
  <c r="L29" i="7"/>
  <c r="N28" i="7"/>
  <c r="L28" i="7"/>
  <c r="N27" i="7"/>
  <c r="L27" i="7"/>
  <c r="N26" i="7"/>
  <c r="L26" i="7"/>
  <c r="N25" i="7"/>
  <c r="L25" i="7"/>
  <c r="N24" i="7"/>
  <c r="L24" i="7"/>
  <c r="N23" i="7"/>
  <c r="L23" i="7"/>
  <c r="N22" i="7"/>
  <c r="L22" i="7"/>
  <c r="N21" i="7"/>
  <c r="L21" i="7"/>
  <c r="N20" i="7"/>
  <c r="L20" i="7"/>
  <c r="N19" i="7"/>
  <c r="L19" i="7"/>
  <c r="N18" i="7"/>
  <c r="L18" i="7"/>
  <c r="N16" i="7"/>
  <c r="L16" i="7"/>
  <c r="N15" i="7"/>
  <c r="L15" i="7"/>
  <c r="N14" i="7"/>
  <c r="L14" i="7"/>
  <c r="N13" i="7"/>
  <c r="L13" i="7"/>
  <c r="N12" i="7"/>
  <c r="L12" i="7"/>
  <c r="N11" i="7"/>
  <c r="L11" i="7"/>
  <c r="N10" i="7"/>
  <c r="L10" i="7"/>
  <c r="N9" i="7"/>
  <c r="L9" i="7"/>
  <c r="N8" i="7"/>
  <c r="L8" i="7"/>
  <c r="N7" i="7"/>
  <c r="L7" i="7"/>
  <c r="N6" i="7"/>
  <c r="L6" i="7"/>
  <c r="N5" i="7"/>
  <c r="L5" i="7"/>
  <c r="N4" i="7"/>
  <c r="L4" i="7"/>
  <c r="N233" i="6"/>
  <c r="L233" i="6"/>
  <c r="N232" i="6"/>
  <c r="L232" i="6"/>
  <c r="N231" i="6"/>
  <c r="L231" i="6"/>
  <c r="N230" i="6"/>
  <c r="L230" i="6"/>
  <c r="N229" i="6"/>
  <c r="L229" i="6"/>
  <c r="N228" i="6"/>
  <c r="L228" i="6"/>
  <c r="N227" i="6"/>
  <c r="L227" i="6"/>
  <c r="N226" i="6"/>
  <c r="L226" i="6"/>
  <c r="N225" i="6"/>
  <c r="L225" i="6"/>
  <c r="N224" i="6"/>
  <c r="L224" i="6"/>
  <c r="N223" i="6"/>
  <c r="L223" i="6"/>
  <c r="N222" i="6"/>
  <c r="L222" i="6"/>
  <c r="N221" i="6"/>
  <c r="L221" i="6"/>
  <c r="N220" i="6"/>
  <c r="L220" i="6"/>
  <c r="N219" i="6"/>
  <c r="L219" i="6"/>
  <c r="N218" i="6"/>
  <c r="L218" i="6"/>
  <c r="N217" i="6"/>
  <c r="L217" i="6"/>
  <c r="N216" i="6"/>
  <c r="L216" i="6"/>
  <c r="N215" i="6"/>
  <c r="L215" i="6"/>
  <c r="N214" i="6"/>
  <c r="L214" i="6"/>
  <c r="N213" i="6"/>
  <c r="L213" i="6"/>
  <c r="N212" i="6"/>
  <c r="L212" i="6"/>
  <c r="N211" i="6"/>
  <c r="L211" i="6"/>
  <c r="N210" i="6"/>
  <c r="L210" i="6"/>
  <c r="N209" i="6"/>
  <c r="L209" i="6"/>
  <c r="N208" i="6"/>
  <c r="L208" i="6"/>
  <c r="N207" i="6"/>
  <c r="L207" i="6"/>
  <c r="N206" i="6"/>
  <c r="L206" i="6"/>
  <c r="N205" i="6"/>
  <c r="L205" i="6"/>
  <c r="N204" i="6"/>
  <c r="L204" i="6"/>
  <c r="N203" i="6"/>
  <c r="L203" i="6"/>
  <c r="N202" i="6"/>
  <c r="L202" i="6"/>
  <c r="N201" i="6"/>
  <c r="L201" i="6"/>
  <c r="N200" i="6"/>
  <c r="L200" i="6"/>
  <c r="N199" i="6"/>
  <c r="L199" i="6"/>
  <c r="N198" i="6"/>
  <c r="L198" i="6"/>
  <c r="N197" i="6"/>
  <c r="L197" i="6"/>
  <c r="N196" i="6"/>
  <c r="L196" i="6"/>
  <c r="N195" i="6"/>
  <c r="L195" i="6"/>
  <c r="N194" i="6"/>
  <c r="L194" i="6"/>
  <c r="N193" i="6"/>
  <c r="L193" i="6"/>
  <c r="N192" i="6"/>
  <c r="L192" i="6"/>
  <c r="N191" i="6"/>
  <c r="L191" i="6"/>
  <c r="N190" i="6"/>
  <c r="L190" i="6"/>
  <c r="N189" i="6"/>
  <c r="L189" i="6"/>
  <c r="N188" i="6"/>
  <c r="L188" i="6"/>
  <c r="N187" i="6"/>
  <c r="L187" i="6"/>
  <c r="N186" i="6"/>
  <c r="L186" i="6"/>
  <c r="N185" i="6"/>
  <c r="L185" i="6"/>
  <c r="N184" i="6"/>
  <c r="L184" i="6"/>
  <c r="N183" i="6"/>
  <c r="L183" i="6"/>
  <c r="N182" i="6"/>
  <c r="L182" i="6"/>
  <c r="N181" i="6"/>
  <c r="L181" i="6"/>
  <c r="N180" i="6"/>
  <c r="L180" i="6"/>
  <c r="N179" i="6"/>
  <c r="L179" i="6"/>
  <c r="N178" i="6"/>
  <c r="L178" i="6"/>
  <c r="N177" i="6"/>
  <c r="L177" i="6"/>
  <c r="N176" i="6"/>
  <c r="L176" i="6"/>
  <c r="N175" i="6"/>
  <c r="L175" i="6"/>
  <c r="N174" i="6"/>
  <c r="L174" i="6"/>
  <c r="N173" i="6"/>
  <c r="L173" i="6"/>
  <c r="N172" i="6"/>
  <c r="L172" i="6"/>
  <c r="N171" i="6"/>
  <c r="L171" i="6"/>
  <c r="N170" i="6"/>
  <c r="L170" i="6"/>
  <c r="N169" i="6"/>
  <c r="L169" i="6"/>
  <c r="N168" i="6"/>
  <c r="L168" i="6"/>
  <c r="N167" i="6"/>
  <c r="L167" i="6"/>
  <c r="N166" i="6"/>
  <c r="L166" i="6"/>
  <c r="N165" i="6"/>
  <c r="L165" i="6"/>
  <c r="N164" i="6"/>
  <c r="L164" i="6"/>
  <c r="N163" i="6"/>
  <c r="L163" i="6"/>
  <c r="N162" i="6"/>
  <c r="L162" i="6"/>
  <c r="N161" i="6"/>
  <c r="L161" i="6"/>
  <c r="N160" i="6"/>
  <c r="L160" i="6"/>
  <c r="N159" i="6"/>
  <c r="L159" i="6"/>
  <c r="N158" i="6"/>
  <c r="L158" i="6"/>
  <c r="N157" i="6"/>
  <c r="L157" i="6"/>
  <c r="N156" i="6"/>
  <c r="L156" i="6"/>
  <c r="N155" i="6"/>
  <c r="L155" i="6"/>
  <c r="N154" i="6"/>
  <c r="L154" i="6"/>
  <c r="N153" i="6"/>
  <c r="L153" i="6"/>
  <c r="N152" i="6"/>
  <c r="L152" i="6"/>
  <c r="N151" i="6"/>
  <c r="L151" i="6"/>
  <c r="N150" i="6"/>
  <c r="L150" i="6"/>
  <c r="N149" i="6"/>
  <c r="L149" i="6"/>
  <c r="N148" i="6"/>
  <c r="L148" i="6"/>
  <c r="N147" i="6"/>
  <c r="L147" i="6"/>
  <c r="N146" i="6"/>
  <c r="L146" i="6"/>
  <c r="N145" i="6"/>
  <c r="L145" i="6"/>
  <c r="N144" i="6"/>
  <c r="L144" i="6"/>
  <c r="N143" i="6"/>
  <c r="L143" i="6"/>
  <c r="N142" i="6"/>
  <c r="L142" i="6"/>
  <c r="N141" i="6"/>
  <c r="L141" i="6"/>
  <c r="N140" i="6"/>
  <c r="L140" i="6"/>
  <c r="N139" i="6"/>
  <c r="L139" i="6"/>
  <c r="N138" i="6"/>
  <c r="L138" i="6"/>
  <c r="N137" i="6"/>
  <c r="L137" i="6"/>
  <c r="N136" i="6"/>
  <c r="L136" i="6"/>
  <c r="N135" i="6"/>
  <c r="L135" i="6"/>
  <c r="N134" i="6"/>
  <c r="L134" i="6"/>
  <c r="N133" i="6"/>
  <c r="L133" i="6"/>
  <c r="N132" i="6"/>
  <c r="L132" i="6"/>
  <c r="N131" i="6"/>
  <c r="L131" i="6"/>
  <c r="N130" i="6"/>
  <c r="L130" i="6"/>
  <c r="N129" i="6"/>
  <c r="L129" i="6"/>
  <c r="N128" i="6"/>
  <c r="L128" i="6"/>
  <c r="N127" i="6"/>
  <c r="L127" i="6"/>
  <c r="N126" i="6"/>
  <c r="L126" i="6"/>
  <c r="N125" i="6"/>
  <c r="L125" i="6"/>
  <c r="N124" i="6"/>
  <c r="L124" i="6"/>
  <c r="N123" i="6"/>
  <c r="L123" i="6"/>
  <c r="N122" i="6"/>
  <c r="L122" i="6"/>
  <c r="N121" i="6"/>
  <c r="L121" i="6"/>
  <c r="N120" i="6"/>
  <c r="L120" i="6"/>
  <c r="N119" i="6"/>
  <c r="L119" i="6"/>
  <c r="N118" i="6"/>
  <c r="L118" i="6"/>
  <c r="N117" i="6"/>
  <c r="L117" i="6"/>
  <c r="N116" i="6"/>
  <c r="L116" i="6"/>
  <c r="N115" i="6"/>
  <c r="L115" i="6"/>
  <c r="N114" i="6"/>
  <c r="L114" i="6"/>
  <c r="N113" i="6"/>
  <c r="L113" i="6"/>
  <c r="N112" i="6"/>
  <c r="L112" i="6"/>
  <c r="N111" i="6"/>
  <c r="L111" i="6"/>
  <c r="N110" i="6"/>
  <c r="L110" i="6"/>
  <c r="N109" i="6"/>
  <c r="L109" i="6"/>
  <c r="N108" i="6"/>
  <c r="L108" i="6"/>
  <c r="N107" i="6"/>
  <c r="L107" i="6"/>
  <c r="N106" i="6"/>
  <c r="L106" i="6"/>
  <c r="N105" i="6"/>
  <c r="L105" i="6"/>
  <c r="N104" i="6"/>
  <c r="L104" i="6"/>
  <c r="N103" i="6"/>
  <c r="L103" i="6"/>
  <c r="N102" i="6"/>
  <c r="L102" i="6"/>
  <c r="N101" i="6"/>
  <c r="L101" i="6"/>
  <c r="N100" i="6"/>
  <c r="L100" i="6"/>
  <c r="N99" i="6"/>
  <c r="L99" i="6"/>
  <c r="N98" i="6"/>
  <c r="L98" i="6"/>
  <c r="N97" i="6"/>
  <c r="L97" i="6"/>
  <c r="N96" i="6"/>
  <c r="L96" i="6"/>
  <c r="N95" i="6"/>
  <c r="L95" i="6"/>
  <c r="N94" i="6"/>
  <c r="L94" i="6"/>
  <c r="N93" i="6"/>
  <c r="L93" i="6"/>
  <c r="N92" i="6"/>
  <c r="L92" i="6"/>
  <c r="N91" i="6"/>
  <c r="L91" i="6"/>
  <c r="N90" i="6"/>
  <c r="L90" i="6"/>
  <c r="N89" i="6"/>
  <c r="L89" i="6"/>
  <c r="N88" i="6"/>
  <c r="L88" i="6"/>
  <c r="N87" i="6"/>
  <c r="L87" i="6"/>
  <c r="N86" i="6"/>
  <c r="L86" i="6"/>
  <c r="N85" i="6"/>
  <c r="L85" i="6"/>
  <c r="N84" i="6"/>
  <c r="L84" i="6"/>
  <c r="N83" i="6"/>
  <c r="L83" i="6"/>
  <c r="N82" i="6"/>
  <c r="L82" i="6"/>
  <c r="N81" i="6"/>
  <c r="L81" i="6"/>
  <c r="N80" i="6"/>
  <c r="L80" i="6"/>
  <c r="N79" i="6"/>
  <c r="L79" i="6"/>
  <c r="N78" i="6"/>
  <c r="L78" i="6"/>
  <c r="N77" i="6"/>
  <c r="L77" i="6"/>
  <c r="N76" i="6"/>
  <c r="L76" i="6"/>
  <c r="N75" i="6"/>
  <c r="L75" i="6"/>
  <c r="N74" i="6"/>
  <c r="L74" i="6"/>
  <c r="N73" i="6"/>
  <c r="L73" i="6"/>
  <c r="N72" i="6"/>
  <c r="L72" i="6"/>
  <c r="N71" i="6"/>
  <c r="L71" i="6"/>
  <c r="N70" i="6"/>
  <c r="L70" i="6"/>
  <c r="N69" i="6"/>
  <c r="L69" i="6"/>
  <c r="N68" i="6"/>
  <c r="L68" i="6"/>
  <c r="N67" i="6"/>
  <c r="L67" i="6"/>
  <c r="N66" i="6"/>
  <c r="L66" i="6"/>
  <c r="N65" i="6"/>
  <c r="L65" i="6"/>
  <c r="N64" i="6"/>
  <c r="L64" i="6"/>
  <c r="N63" i="6"/>
  <c r="L63" i="6"/>
  <c r="N62" i="6"/>
  <c r="L62" i="6"/>
  <c r="N61" i="6"/>
  <c r="L61" i="6"/>
  <c r="N60" i="6"/>
  <c r="L60" i="6"/>
  <c r="N59" i="6"/>
  <c r="L59" i="6"/>
  <c r="N58" i="6"/>
  <c r="L58" i="6"/>
  <c r="N57" i="6"/>
  <c r="L57" i="6"/>
  <c r="N56" i="6"/>
  <c r="L56" i="6"/>
  <c r="N55" i="6"/>
  <c r="L55" i="6"/>
  <c r="N54" i="6"/>
  <c r="L54" i="6"/>
  <c r="N53" i="6"/>
  <c r="L53" i="6"/>
  <c r="N52" i="6"/>
  <c r="L52" i="6"/>
  <c r="N51" i="6"/>
  <c r="L51" i="6"/>
  <c r="N50" i="6"/>
  <c r="L50" i="6"/>
  <c r="N49" i="6"/>
  <c r="L49" i="6"/>
  <c r="N48" i="6"/>
  <c r="L48" i="6"/>
  <c r="N47" i="6"/>
  <c r="L47" i="6"/>
  <c r="N46" i="6"/>
  <c r="L46" i="6"/>
  <c r="N45" i="6"/>
  <c r="L45" i="6"/>
  <c r="N44" i="6"/>
  <c r="L44" i="6"/>
  <c r="N43" i="6"/>
  <c r="L43" i="6"/>
  <c r="N42" i="6"/>
  <c r="L42" i="6"/>
  <c r="N41" i="6"/>
  <c r="L41" i="6"/>
  <c r="N40" i="6"/>
  <c r="L40" i="6"/>
  <c r="N39" i="6"/>
  <c r="L39" i="6"/>
  <c r="N38" i="6"/>
  <c r="L38" i="6"/>
  <c r="N37" i="6"/>
  <c r="L37" i="6"/>
  <c r="N36" i="6"/>
  <c r="L36" i="6"/>
  <c r="N35" i="6"/>
  <c r="L35" i="6"/>
  <c r="N34" i="6"/>
  <c r="L34" i="6"/>
  <c r="N33" i="6"/>
  <c r="L33" i="6"/>
  <c r="N32" i="6"/>
  <c r="L32" i="6"/>
  <c r="N31" i="6"/>
  <c r="L31" i="6"/>
  <c r="N30" i="6"/>
  <c r="L30" i="6"/>
  <c r="N29" i="6"/>
  <c r="L29" i="6"/>
  <c r="N28" i="6"/>
  <c r="L28" i="6"/>
  <c r="N27" i="6"/>
  <c r="L27" i="6"/>
  <c r="N26" i="6"/>
  <c r="L26" i="6"/>
  <c r="N25" i="6"/>
  <c r="L25" i="6"/>
  <c r="N24" i="6"/>
  <c r="L24" i="6"/>
  <c r="N23" i="6"/>
  <c r="L23" i="6"/>
  <c r="N22" i="6"/>
  <c r="L22" i="6"/>
  <c r="N21" i="6"/>
  <c r="L21" i="6"/>
  <c r="N20" i="6"/>
  <c r="L20" i="6"/>
  <c r="N19" i="6"/>
  <c r="L19" i="6"/>
  <c r="N18" i="6"/>
  <c r="L18" i="6"/>
  <c r="N17" i="6"/>
  <c r="L17" i="6"/>
  <c r="N16" i="6"/>
  <c r="L16" i="6"/>
  <c r="N15" i="6"/>
  <c r="L15" i="6"/>
  <c r="N14" i="6"/>
  <c r="L14" i="6"/>
  <c r="N13" i="6"/>
  <c r="L13" i="6"/>
  <c r="N12" i="6"/>
  <c r="L12" i="6"/>
  <c r="N11" i="6"/>
  <c r="L11" i="6"/>
  <c r="N10" i="6"/>
  <c r="L10" i="6"/>
  <c r="N9" i="6"/>
  <c r="L9" i="6"/>
  <c r="N8" i="6"/>
  <c r="L8" i="6"/>
  <c r="N7" i="6"/>
  <c r="L7" i="6"/>
  <c r="N6" i="6"/>
  <c r="L6" i="6"/>
  <c r="N5" i="6"/>
  <c r="L5" i="6"/>
  <c r="N4" i="6"/>
  <c r="L4" i="6"/>
  <c r="N89" i="5"/>
  <c r="L89" i="5"/>
  <c r="N88" i="5"/>
  <c r="L88" i="5"/>
  <c r="N87" i="5"/>
  <c r="L87" i="5"/>
  <c r="N86" i="5"/>
  <c r="L86" i="5"/>
  <c r="N85" i="5"/>
  <c r="L85" i="5"/>
  <c r="N84" i="5"/>
  <c r="L84" i="5"/>
  <c r="N83" i="5"/>
  <c r="L83" i="5"/>
  <c r="N82" i="5"/>
  <c r="L82" i="5"/>
  <c r="N81" i="5"/>
  <c r="L81" i="5"/>
  <c r="N80" i="5"/>
  <c r="L80" i="5"/>
  <c r="N79" i="5"/>
  <c r="L79" i="5"/>
  <c r="N78" i="5"/>
  <c r="L78" i="5"/>
  <c r="N77" i="5"/>
  <c r="L77" i="5"/>
  <c r="N76" i="5"/>
  <c r="L76" i="5"/>
  <c r="N75" i="5"/>
  <c r="L75" i="5"/>
  <c r="N74" i="5"/>
  <c r="L74" i="5"/>
  <c r="N73" i="5"/>
  <c r="L73" i="5"/>
  <c r="N72" i="5"/>
  <c r="L72" i="5"/>
  <c r="N71" i="5"/>
  <c r="L71" i="5"/>
  <c r="N70" i="5"/>
  <c r="L70" i="5"/>
  <c r="N69" i="5"/>
  <c r="L69" i="5"/>
  <c r="N68" i="5"/>
  <c r="L68" i="5"/>
  <c r="N67" i="5"/>
  <c r="L67" i="5"/>
  <c r="N66" i="5"/>
  <c r="L66" i="5"/>
  <c r="N65" i="5"/>
  <c r="L65" i="5"/>
  <c r="N64" i="5"/>
  <c r="L64" i="5"/>
  <c r="N63" i="5"/>
  <c r="L63" i="5"/>
  <c r="N62" i="5"/>
  <c r="L62" i="5"/>
  <c r="N61" i="5"/>
  <c r="L61" i="5"/>
  <c r="N60" i="5"/>
  <c r="L60" i="5"/>
  <c r="N59" i="5"/>
  <c r="L59" i="5"/>
  <c r="N58" i="5"/>
  <c r="L58" i="5"/>
  <c r="N57" i="5"/>
  <c r="L57" i="5"/>
  <c r="N56" i="5"/>
  <c r="L56" i="5"/>
  <c r="N55" i="5"/>
  <c r="L55" i="5"/>
  <c r="N54" i="5"/>
  <c r="L54" i="5"/>
  <c r="N53" i="5"/>
  <c r="L53" i="5"/>
  <c r="N52" i="5"/>
  <c r="L52" i="5"/>
  <c r="N51" i="5"/>
  <c r="L51" i="5"/>
  <c r="N50" i="5"/>
  <c r="L50" i="5"/>
  <c r="N49" i="5"/>
  <c r="L49" i="5"/>
  <c r="N48" i="5"/>
  <c r="L48" i="5"/>
  <c r="N47" i="5"/>
  <c r="L47" i="5"/>
  <c r="N46" i="5"/>
  <c r="L46" i="5"/>
  <c r="N45" i="5"/>
  <c r="L45" i="5"/>
  <c r="N43" i="5"/>
  <c r="L43" i="5"/>
  <c r="N42" i="5"/>
  <c r="L42" i="5"/>
  <c r="N41" i="5"/>
  <c r="L41" i="5"/>
  <c r="N40" i="5"/>
  <c r="L40" i="5"/>
  <c r="N39" i="5"/>
  <c r="L39" i="5"/>
  <c r="N38" i="5"/>
  <c r="L38" i="5"/>
  <c r="N37" i="5"/>
  <c r="L37" i="5"/>
  <c r="N36" i="5"/>
  <c r="L36" i="5"/>
  <c r="N35" i="5"/>
  <c r="L35" i="5"/>
  <c r="N34" i="5"/>
  <c r="L34" i="5"/>
  <c r="N33" i="5"/>
  <c r="L33" i="5"/>
  <c r="N32" i="5"/>
  <c r="L32" i="5"/>
  <c r="N31" i="5"/>
  <c r="L31" i="5"/>
  <c r="N30" i="5"/>
  <c r="L30" i="5"/>
  <c r="N29" i="5"/>
  <c r="L29" i="5"/>
  <c r="N28" i="5"/>
  <c r="L28" i="5"/>
  <c r="N27" i="5"/>
  <c r="L27" i="5"/>
  <c r="N26" i="5"/>
  <c r="L26" i="5"/>
  <c r="N25" i="5"/>
  <c r="L25" i="5"/>
  <c r="N24" i="5"/>
  <c r="L24" i="5"/>
  <c r="N23" i="5"/>
  <c r="L23" i="5"/>
  <c r="N21" i="5"/>
  <c r="L21" i="5"/>
  <c r="N20" i="5"/>
  <c r="L20" i="5"/>
  <c r="N19" i="5"/>
  <c r="L19" i="5"/>
  <c r="N18" i="5"/>
  <c r="L18" i="5"/>
  <c r="N17" i="5"/>
  <c r="L17" i="5"/>
  <c r="N16" i="5"/>
  <c r="L16" i="5"/>
  <c r="N15" i="5"/>
  <c r="L15" i="5"/>
  <c r="N14" i="5"/>
  <c r="L14" i="5"/>
  <c r="N13" i="5"/>
  <c r="L13" i="5"/>
  <c r="N12" i="5"/>
  <c r="L12" i="5"/>
  <c r="N11" i="5"/>
  <c r="L11" i="5"/>
  <c r="N10" i="5"/>
  <c r="L10" i="5"/>
  <c r="N9" i="5"/>
  <c r="L9" i="5"/>
  <c r="N8" i="5"/>
  <c r="L8" i="5"/>
  <c r="N7" i="5"/>
  <c r="L7" i="5"/>
  <c r="N6" i="5"/>
  <c r="L6" i="5"/>
  <c r="N5" i="5"/>
  <c r="L5" i="5"/>
  <c r="N4" i="5"/>
  <c r="L4" i="5"/>
  <c r="N217" i="4"/>
  <c r="L217" i="4"/>
  <c r="N216" i="4"/>
  <c r="L216" i="4"/>
  <c r="N214" i="4"/>
  <c r="L214" i="4"/>
  <c r="N211" i="4"/>
  <c r="L211" i="4"/>
  <c r="N209" i="4"/>
  <c r="L209" i="4"/>
  <c r="N208" i="4"/>
  <c r="L208" i="4"/>
  <c r="N207" i="4"/>
  <c r="L207" i="4"/>
  <c r="N206" i="4"/>
  <c r="L206" i="4"/>
  <c r="N205" i="4"/>
  <c r="L205" i="4"/>
  <c r="N204" i="4"/>
  <c r="L204" i="4"/>
  <c r="N199" i="4"/>
  <c r="L199" i="4"/>
  <c r="N198" i="4"/>
  <c r="L198" i="4"/>
  <c r="N192" i="4"/>
  <c r="L192" i="4"/>
  <c r="N190" i="4"/>
  <c r="L190" i="4"/>
  <c r="N188" i="4"/>
  <c r="L188" i="4"/>
  <c r="N187" i="4"/>
  <c r="L187" i="4"/>
  <c r="N186" i="4"/>
  <c r="L186" i="4"/>
  <c r="N185" i="4"/>
  <c r="L185" i="4"/>
  <c r="N184" i="4"/>
  <c r="L184" i="4"/>
  <c r="N183" i="4"/>
  <c r="L183" i="4"/>
  <c r="N181" i="4"/>
  <c r="L181" i="4"/>
  <c r="N180" i="4"/>
  <c r="L180" i="4"/>
  <c r="N179" i="4"/>
  <c r="L179" i="4"/>
  <c r="N178" i="4"/>
  <c r="L178" i="4"/>
  <c r="N177" i="4"/>
  <c r="L177" i="4"/>
  <c r="N176" i="4"/>
  <c r="L176" i="4"/>
  <c r="N175" i="4"/>
  <c r="L175" i="4"/>
  <c r="N174" i="4"/>
  <c r="L174" i="4"/>
  <c r="N173" i="4"/>
  <c r="L173" i="4"/>
  <c r="N172" i="4"/>
  <c r="L172" i="4"/>
  <c r="N171" i="4"/>
  <c r="L171" i="4"/>
  <c r="N170" i="4"/>
  <c r="L170" i="4"/>
  <c r="N169" i="4"/>
  <c r="L169" i="4"/>
  <c r="N168" i="4"/>
  <c r="L168" i="4"/>
  <c r="N167" i="4"/>
  <c r="L167" i="4"/>
  <c r="N166" i="4"/>
  <c r="L166" i="4"/>
  <c r="N165" i="4"/>
  <c r="L165" i="4"/>
  <c r="N164" i="4"/>
  <c r="L164" i="4"/>
  <c r="N163" i="4"/>
  <c r="L163" i="4"/>
  <c r="N162" i="4"/>
  <c r="L162" i="4"/>
  <c r="N161" i="4"/>
  <c r="L161" i="4"/>
  <c r="N160" i="4"/>
  <c r="L160" i="4"/>
  <c r="N159" i="4"/>
  <c r="L159" i="4"/>
  <c r="N158" i="4"/>
  <c r="L158" i="4"/>
  <c r="N157" i="4"/>
  <c r="L157" i="4"/>
  <c r="N156" i="4"/>
  <c r="L156" i="4"/>
  <c r="N154" i="4"/>
  <c r="L154" i="4"/>
  <c r="N153" i="4"/>
  <c r="L153" i="4"/>
  <c r="N151" i="4"/>
  <c r="L151" i="4"/>
  <c r="N150" i="4"/>
  <c r="L150" i="4"/>
  <c r="N138" i="4"/>
  <c r="L138" i="4"/>
  <c r="N137" i="4"/>
  <c r="L137" i="4"/>
  <c r="N136" i="4"/>
  <c r="L136" i="4"/>
  <c r="N129" i="4"/>
  <c r="L129" i="4"/>
  <c r="N128" i="4"/>
  <c r="L128" i="4"/>
  <c r="N127" i="4"/>
  <c r="L127" i="4"/>
  <c r="N126" i="4"/>
  <c r="L126" i="4"/>
  <c r="N125" i="4"/>
  <c r="L125" i="4"/>
  <c r="N124" i="4"/>
  <c r="L124" i="4"/>
  <c r="N121" i="4"/>
  <c r="L121" i="4"/>
  <c r="N114" i="4"/>
  <c r="L114" i="4"/>
  <c r="N111" i="4"/>
  <c r="L111" i="4"/>
  <c r="N110" i="4"/>
  <c r="L110" i="4"/>
  <c r="N109" i="4"/>
  <c r="L109" i="4"/>
  <c r="N108" i="4"/>
  <c r="L108" i="4"/>
  <c r="N107" i="4"/>
  <c r="L107" i="4"/>
  <c r="N106" i="4"/>
  <c r="L106" i="4"/>
  <c r="N104" i="4"/>
  <c r="L104" i="4"/>
  <c r="N103" i="4"/>
  <c r="L103" i="4"/>
  <c r="N102" i="4"/>
  <c r="L102" i="4"/>
  <c r="N101" i="4"/>
  <c r="L101" i="4"/>
  <c r="N97" i="4"/>
  <c r="L97" i="4"/>
  <c r="N94" i="4"/>
  <c r="L94" i="4"/>
  <c r="N93" i="4"/>
  <c r="L93" i="4"/>
  <c r="N92" i="4"/>
  <c r="L92" i="4"/>
  <c r="N91" i="4"/>
  <c r="L91" i="4"/>
  <c r="N90" i="4"/>
  <c r="L90" i="4"/>
  <c r="N89" i="4"/>
  <c r="L89" i="4"/>
  <c r="N88" i="4"/>
  <c r="L88" i="4"/>
  <c r="N87" i="4"/>
  <c r="L87" i="4"/>
  <c r="N86" i="4"/>
  <c r="L86" i="4"/>
  <c r="N85" i="4"/>
  <c r="L85" i="4"/>
  <c r="N84" i="4"/>
  <c r="L84" i="4"/>
  <c r="N81" i="4"/>
  <c r="L81" i="4"/>
  <c r="N80" i="4"/>
  <c r="L80" i="4"/>
  <c r="N79" i="4"/>
  <c r="L79" i="4"/>
  <c r="N78" i="4"/>
  <c r="L78" i="4"/>
  <c r="N77" i="4"/>
  <c r="L77" i="4"/>
  <c r="N76" i="4"/>
  <c r="L76" i="4"/>
  <c r="N75" i="4"/>
  <c r="L75" i="4"/>
  <c r="N74" i="4"/>
  <c r="L74" i="4"/>
  <c r="N73" i="4"/>
  <c r="L73" i="4"/>
  <c r="N72" i="4"/>
  <c r="L72" i="4"/>
  <c r="N71" i="4"/>
  <c r="L71" i="4"/>
  <c r="N70" i="4"/>
  <c r="L70" i="4"/>
  <c r="N69" i="4"/>
  <c r="L69" i="4"/>
  <c r="N68" i="4"/>
  <c r="L68" i="4"/>
  <c r="N67" i="4"/>
  <c r="L67" i="4"/>
  <c r="N66" i="4"/>
  <c r="L66" i="4"/>
  <c r="N65" i="4"/>
  <c r="L65" i="4"/>
  <c r="N64" i="4"/>
  <c r="L64" i="4"/>
  <c r="N62" i="4"/>
  <c r="L62" i="4"/>
  <c r="N61" i="4"/>
  <c r="L61" i="4"/>
  <c r="N60" i="4"/>
  <c r="L60" i="4"/>
  <c r="N59" i="4"/>
  <c r="L59" i="4"/>
  <c r="N58" i="4"/>
  <c r="L58" i="4"/>
  <c r="N57" i="4"/>
  <c r="L57" i="4"/>
  <c r="N56" i="4"/>
  <c r="L56" i="4"/>
  <c r="N55" i="4"/>
  <c r="L55" i="4"/>
  <c r="N54" i="4"/>
  <c r="L54" i="4"/>
  <c r="N53" i="4"/>
  <c r="L53" i="4"/>
  <c r="N52" i="4"/>
  <c r="L52" i="4"/>
  <c r="N51" i="4"/>
  <c r="L51" i="4"/>
  <c r="N49" i="4"/>
  <c r="L49" i="4"/>
  <c r="N48" i="4"/>
  <c r="L48" i="4"/>
  <c r="N47" i="4"/>
  <c r="L47" i="4"/>
  <c r="N46" i="4"/>
  <c r="L46" i="4"/>
  <c r="N45" i="4"/>
  <c r="L45" i="4"/>
  <c r="N44" i="4"/>
  <c r="L44" i="4"/>
  <c r="N43" i="4"/>
  <c r="L43" i="4"/>
  <c r="N42" i="4"/>
  <c r="L42" i="4"/>
  <c r="N41" i="4"/>
  <c r="L41" i="4"/>
  <c r="N40" i="4"/>
  <c r="L40" i="4"/>
  <c r="N39" i="4"/>
  <c r="L39" i="4"/>
  <c r="N38" i="4"/>
  <c r="L38" i="4"/>
  <c r="N37" i="4"/>
  <c r="L37" i="4"/>
  <c r="N36" i="4"/>
  <c r="L36" i="4"/>
  <c r="N35" i="4"/>
  <c r="L35" i="4"/>
  <c r="N34" i="4"/>
  <c r="L34" i="4"/>
  <c r="N33" i="4"/>
  <c r="L33" i="4"/>
  <c r="N32" i="4"/>
  <c r="L32" i="4"/>
  <c r="N30" i="4"/>
  <c r="L30" i="4"/>
  <c r="N29" i="4"/>
  <c r="L29" i="4"/>
  <c r="N28" i="4"/>
  <c r="L28" i="4"/>
  <c r="N27" i="4"/>
  <c r="L27" i="4"/>
  <c r="N25" i="4"/>
  <c r="L25" i="4"/>
  <c r="N24" i="4"/>
  <c r="L24" i="4"/>
  <c r="N22" i="4"/>
  <c r="L22" i="4"/>
  <c r="N21" i="4"/>
  <c r="L21" i="4"/>
  <c r="N20" i="4"/>
  <c r="L20" i="4"/>
  <c r="N19" i="4"/>
  <c r="L19" i="4"/>
  <c r="N18" i="4"/>
  <c r="L18" i="4"/>
  <c r="N17" i="4"/>
  <c r="L17" i="4"/>
  <c r="N16" i="4"/>
  <c r="L16" i="4"/>
  <c r="N15" i="4"/>
  <c r="L15" i="4"/>
  <c r="N14" i="4"/>
  <c r="L14" i="4"/>
  <c r="N13" i="4"/>
  <c r="L13" i="4"/>
  <c r="N12" i="4"/>
  <c r="L12" i="4"/>
  <c r="N10" i="4"/>
  <c r="L10" i="4"/>
  <c r="N9" i="4"/>
  <c r="L9" i="4"/>
  <c r="N8" i="4"/>
  <c r="L8" i="4"/>
  <c r="N7" i="4"/>
  <c r="L7" i="4"/>
  <c r="N6" i="4"/>
  <c r="L6" i="4"/>
  <c r="N5" i="4"/>
  <c r="L5" i="4"/>
  <c r="N4" i="4"/>
  <c r="L4" i="4"/>
  <c r="N158" i="3"/>
  <c r="L158" i="3"/>
  <c r="N156" i="3"/>
  <c r="L156" i="3"/>
  <c r="N154" i="3"/>
  <c r="L154" i="3"/>
  <c r="N153" i="3"/>
  <c r="L153" i="3"/>
  <c r="N152" i="3"/>
  <c r="L152" i="3"/>
  <c r="N151" i="3"/>
  <c r="L151" i="3"/>
  <c r="N150" i="3"/>
  <c r="L150" i="3"/>
  <c r="N149" i="3"/>
  <c r="L149" i="3"/>
  <c r="N148" i="3"/>
  <c r="L148" i="3"/>
  <c r="N147" i="3"/>
  <c r="L147" i="3"/>
  <c r="N146" i="3"/>
  <c r="L146" i="3"/>
  <c r="N145" i="3"/>
  <c r="L145" i="3"/>
  <c r="N144" i="3"/>
  <c r="L144" i="3"/>
  <c r="N143" i="3"/>
  <c r="L143" i="3"/>
  <c r="N142" i="3"/>
  <c r="L142" i="3"/>
  <c r="L141" i="3"/>
  <c r="N140" i="3"/>
  <c r="L140" i="3"/>
  <c r="N139" i="3"/>
  <c r="L139" i="3"/>
  <c r="N138" i="3"/>
  <c r="L138" i="3"/>
  <c r="N137" i="3"/>
  <c r="L137" i="3"/>
  <c r="N136" i="3"/>
  <c r="L136" i="3"/>
  <c r="N135" i="3"/>
  <c r="L135" i="3"/>
  <c r="N134" i="3"/>
  <c r="L134" i="3"/>
  <c r="N133" i="3"/>
  <c r="L133" i="3"/>
  <c r="N132" i="3"/>
  <c r="L132" i="3"/>
  <c r="N131" i="3"/>
  <c r="L131" i="3"/>
  <c r="N130" i="3"/>
  <c r="L130" i="3"/>
  <c r="N129" i="3"/>
  <c r="L129" i="3"/>
  <c r="N128" i="3"/>
  <c r="L128" i="3"/>
  <c r="N127" i="3"/>
  <c r="L127" i="3"/>
  <c r="N126" i="3"/>
  <c r="L126" i="3"/>
  <c r="N125" i="3"/>
  <c r="L125" i="3"/>
  <c r="N124" i="3"/>
  <c r="L124" i="3"/>
  <c r="N123" i="3"/>
  <c r="L123" i="3"/>
  <c r="N122" i="3"/>
  <c r="L122" i="3"/>
  <c r="N121" i="3"/>
  <c r="L121" i="3"/>
  <c r="N120" i="3"/>
  <c r="L120" i="3"/>
  <c r="N119" i="3"/>
  <c r="L119" i="3"/>
  <c r="N118" i="3"/>
  <c r="L118" i="3"/>
  <c r="N117" i="3"/>
  <c r="L117" i="3"/>
  <c r="N116" i="3"/>
  <c r="L116" i="3"/>
  <c r="N115" i="3"/>
  <c r="L115" i="3"/>
  <c r="N114" i="3"/>
  <c r="L114" i="3"/>
  <c r="N113" i="3"/>
  <c r="L113" i="3"/>
  <c r="N112" i="3"/>
  <c r="L112" i="3"/>
  <c r="N111" i="3"/>
  <c r="L111" i="3"/>
  <c r="N110" i="3"/>
  <c r="L110" i="3"/>
  <c r="N109" i="3"/>
  <c r="L109" i="3"/>
  <c r="N108" i="3"/>
  <c r="L108" i="3"/>
  <c r="N107" i="3"/>
  <c r="L107" i="3"/>
  <c r="N106" i="3"/>
  <c r="L106" i="3"/>
  <c r="N105" i="3"/>
  <c r="L105" i="3"/>
  <c r="N104" i="3"/>
  <c r="L104" i="3"/>
  <c r="N103" i="3"/>
  <c r="L103" i="3"/>
  <c r="N102" i="3"/>
  <c r="L102" i="3"/>
  <c r="N101" i="3"/>
  <c r="L101" i="3"/>
  <c r="L100" i="3"/>
  <c r="N99" i="3"/>
  <c r="L99" i="3"/>
  <c r="N98" i="3"/>
  <c r="L98" i="3"/>
  <c r="N97" i="3"/>
  <c r="L97" i="3"/>
  <c r="N96" i="3"/>
  <c r="L96" i="3"/>
  <c r="N95" i="3"/>
  <c r="L95" i="3"/>
  <c r="N94" i="3"/>
  <c r="L94" i="3"/>
  <c r="N93" i="3"/>
  <c r="L93" i="3"/>
  <c r="N92" i="3"/>
  <c r="L92" i="3"/>
  <c r="N91" i="3"/>
  <c r="L91" i="3"/>
  <c r="N90" i="3"/>
  <c r="L90" i="3"/>
  <c r="N89" i="3"/>
  <c r="L89" i="3"/>
  <c r="N88" i="3"/>
  <c r="L88" i="3"/>
  <c r="N87" i="3"/>
  <c r="L87" i="3"/>
  <c r="N86" i="3"/>
  <c r="L86" i="3"/>
  <c r="N85" i="3"/>
  <c r="L85" i="3"/>
  <c r="N84" i="3"/>
  <c r="L84" i="3"/>
  <c r="N83" i="3"/>
  <c r="L83" i="3"/>
  <c r="N82" i="3"/>
  <c r="L82" i="3"/>
  <c r="N81" i="3"/>
  <c r="L81" i="3"/>
  <c r="N80" i="3"/>
  <c r="L80" i="3"/>
  <c r="N79" i="3"/>
  <c r="L79" i="3"/>
  <c r="N78" i="3"/>
  <c r="L78" i="3"/>
  <c r="N77" i="3"/>
  <c r="L77" i="3"/>
  <c r="N76" i="3"/>
  <c r="L76" i="3"/>
  <c r="N75" i="3"/>
  <c r="L75" i="3"/>
  <c r="N74" i="3"/>
  <c r="L74" i="3"/>
  <c r="N73" i="3"/>
  <c r="L73" i="3"/>
  <c r="N72" i="3"/>
  <c r="L72" i="3"/>
  <c r="N71" i="3"/>
  <c r="L71" i="3"/>
  <c r="N70" i="3"/>
  <c r="L70" i="3"/>
  <c r="N69" i="3"/>
  <c r="L69" i="3"/>
  <c r="N68" i="3"/>
  <c r="L68" i="3"/>
  <c r="N67" i="3"/>
  <c r="L67" i="3"/>
  <c r="N66" i="3"/>
  <c r="L66" i="3"/>
  <c r="N65" i="3"/>
  <c r="L65" i="3"/>
  <c r="N64" i="3"/>
  <c r="L64" i="3"/>
  <c r="N63" i="3"/>
  <c r="L63" i="3"/>
  <c r="N62" i="3"/>
  <c r="L62" i="3"/>
  <c r="N61" i="3"/>
  <c r="L61" i="3"/>
  <c r="N60" i="3"/>
  <c r="L60" i="3"/>
  <c r="N59" i="3"/>
  <c r="L59" i="3"/>
  <c r="N58" i="3"/>
  <c r="L58" i="3"/>
  <c r="N57" i="3"/>
  <c r="L57" i="3"/>
  <c r="N56" i="3"/>
  <c r="L56" i="3"/>
  <c r="N55" i="3"/>
  <c r="L55" i="3"/>
  <c r="N54" i="3"/>
  <c r="L54" i="3"/>
  <c r="N53" i="3"/>
  <c r="L53" i="3"/>
  <c r="N52" i="3"/>
  <c r="L52" i="3"/>
  <c r="N51" i="3"/>
  <c r="L51" i="3"/>
  <c r="N50" i="3"/>
  <c r="L50" i="3"/>
  <c r="N49" i="3"/>
  <c r="L49" i="3"/>
  <c r="N48" i="3"/>
  <c r="L48" i="3"/>
  <c r="N47" i="3"/>
  <c r="L47" i="3"/>
  <c r="N46" i="3"/>
  <c r="L46" i="3"/>
  <c r="N45" i="3"/>
  <c r="L45" i="3"/>
  <c r="N44" i="3"/>
  <c r="L44" i="3"/>
  <c r="N43" i="3"/>
  <c r="L43" i="3"/>
  <c r="N42" i="3"/>
  <c r="L42" i="3"/>
  <c r="N41" i="3"/>
  <c r="L41" i="3"/>
  <c r="N40" i="3"/>
  <c r="L40" i="3"/>
  <c r="N39" i="3"/>
  <c r="L39" i="3"/>
  <c r="N38" i="3"/>
  <c r="L38" i="3"/>
  <c r="N37" i="3"/>
  <c r="L37" i="3"/>
  <c r="N36" i="3"/>
  <c r="L36" i="3"/>
  <c r="N35" i="3"/>
  <c r="L35" i="3"/>
  <c r="N34" i="3"/>
  <c r="L34" i="3"/>
  <c r="N33" i="3"/>
  <c r="L33" i="3"/>
  <c r="N32" i="3"/>
  <c r="L32" i="3"/>
  <c r="N31" i="3"/>
  <c r="L31" i="3"/>
  <c r="N30" i="3"/>
  <c r="L30" i="3"/>
  <c r="L29" i="3"/>
  <c r="N28" i="3"/>
  <c r="L28" i="3"/>
  <c r="N27" i="3"/>
  <c r="L27" i="3"/>
  <c r="N26" i="3"/>
  <c r="L26" i="3"/>
  <c r="N25" i="3"/>
  <c r="L25" i="3"/>
  <c r="N24" i="3"/>
  <c r="L24" i="3"/>
  <c r="N23" i="3"/>
  <c r="L23" i="3"/>
  <c r="N22" i="3"/>
  <c r="L22" i="3"/>
  <c r="N21" i="3"/>
  <c r="L21" i="3"/>
  <c r="N20" i="3"/>
  <c r="L20" i="3"/>
  <c r="N19" i="3"/>
  <c r="L19" i="3"/>
  <c r="N18" i="3"/>
  <c r="L18" i="3"/>
  <c r="N17" i="3"/>
  <c r="L17" i="3"/>
  <c r="L16" i="3"/>
  <c r="N15" i="3"/>
  <c r="L15" i="3"/>
  <c r="N14" i="3"/>
  <c r="L14" i="3"/>
  <c r="N13" i="3"/>
  <c r="L13" i="3"/>
  <c r="N12" i="3"/>
  <c r="L12" i="3"/>
  <c r="N11" i="3"/>
  <c r="L11" i="3"/>
  <c r="N10" i="3"/>
  <c r="L10" i="3"/>
  <c r="N9" i="3"/>
  <c r="L9" i="3"/>
  <c r="N8" i="3"/>
  <c r="L8" i="3"/>
  <c r="N7" i="3"/>
  <c r="L7" i="3"/>
  <c r="N6" i="3"/>
  <c r="L6" i="3"/>
  <c r="N5" i="3"/>
  <c r="L5" i="3"/>
  <c r="N4" i="3"/>
  <c r="L4" i="3"/>
  <c r="N259" i="1"/>
  <c r="L259" i="1"/>
  <c r="N258" i="1"/>
  <c r="L258" i="1"/>
  <c r="N257" i="1"/>
  <c r="L257" i="1"/>
  <c r="N255" i="1"/>
  <c r="L255" i="1"/>
  <c r="N254" i="1"/>
  <c r="L254" i="1"/>
  <c r="N253" i="1"/>
  <c r="L253" i="1"/>
  <c r="N252" i="1"/>
  <c r="L252" i="1"/>
  <c r="N251" i="1"/>
  <c r="L251" i="1"/>
  <c r="N248" i="1"/>
  <c r="L248" i="1"/>
  <c r="N246" i="1"/>
  <c r="L246" i="1"/>
  <c r="N245" i="1"/>
  <c r="L245" i="1"/>
  <c r="N244" i="1"/>
  <c r="L244" i="1"/>
  <c r="N243" i="1"/>
  <c r="L243" i="1"/>
  <c r="N242" i="1"/>
  <c r="L242" i="1"/>
  <c r="N241" i="1"/>
  <c r="L241" i="1"/>
  <c r="N240" i="1"/>
  <c r="L240" i="1"/>
  <c r="N239" i="1"/>
  <c r="L239" i="1"/>
  <c r="N238" i="1"/>
  <c r="L238" i="1"/>
  <c r="N237" i="1"/>
  <c r="L237" i="1"/>
  <c r="N236" i="1"/>
  <c r="L236" i="1"/>
  <c r="N235" i="1"/>
  <c r="L235" i="1"/>
  <c r="N233" i="1"/>
  <c r="L233" i="1"/>
  <c r="N232" i="1"/>
  <c r="L232" i="1"/>
  <c r="N231" i="1"/>
  <c r="L231" i="1"/>
  <c r="N230" i="1"/>
  <c r="L230" i="1"/>
  <c r="N229" i="1"/>
  <c r="L229" i="1"/>
  <c r="N228" i="1"/>
  <c r="L228" i="1"/>
  <c r="N227" i="1"/>
  <c r="L227" i="1"/>
  <c r="N226" i="1"/>
  <c r="L226" i="1"/>
  <c r="N225" i="1"/>
  <c r="L225" i="1"/>
  <c r="N224" i="1"/>
  <c r="L224" i="1"/>
  <c r="N223" i="1"/>
  <c r="L223" i="1"/>
  <c r="N222" i="1"/>
  <c r="L222" i="1"/>
  <c r="N221" i="1"/>
  <c r="L221" i="1"/>
  <c r="N220" i="1"/>
  <c r="L220" i="1"/>
  <c r="N219" i="1"/>
  <c r="L219" i="1"/>
  <c r="N218" i="1"/>
  <c r="L218" i="1"/>
  <c r="N217" i="1"/>
  <c r="L217" i="1"/>
  <c r="N216" i="1"/>
  <c r="L216" i="1"/>
  <c r="N215" i="1"/>
  <c r="L215" i="1"/>
  <c r="N214" i="1"/>
  <c r="L214" i="1"/>
  <c r="N213" i="1"/>
  <c r="L213" i="1"/>
  <c r="N212" i="1"/>
  <c r="L212" i="1"/>
  <c r="N211" i="1"/>
  <c r="L211" i="1"/>
  <c r="N210" i="1"/>
  <c r="L210" i="1"/>
  <c r="N209" i="1"/>
  <c r="L209" i="1"/>
  <c r="N208" i="1"/>
  <c r="L208" i="1"/>
  <c r="N207" i="1"/>
  <c r="L207" i="1"/>
  <c r="N205" i="1"/>
  <c r="L205" i="1"/>
  <c r="N204" i="1"/>
  <c r="L204" i="1"/>
  <c r="N203" i="1"/>
  <c r="L203" i="1"/>
  <c r="N202" i="1"/>
  <c r="L202" i="1"/>
  <c r="N201" i="1"/>
  <c r="L201" i="1"/>
  <c r="N199" i="1"/>
  <c r="L199" i="1"/>
  <c r="N198" i="1"/>
  <c r="L198" i="1"/>
  <c r="N197" i="1"/>
  <c r="L197" i="1"/>
  <c r="N196" i="1"/>
  <c r="L196" i="1"/>
  <c r="N195" i="1"/>
  <c r="L195" i="1"/>
  <c r="N193" i="1"/>
  <c r="L193" i="1"/>
  <c r="N192" i="1"/>
  <c r="L192" i="1"/>
  <c r="N190" i="1"/>
  <c r="L190" i="1"/>
  <c r="N189" i="1"/>
  <c r="L189" i="1"/>
  <c r="N187" i="1"/>
  <c r="L187" i="1"/>
  <c r="N185" i="1"/>
  <c r="L185" i="1"/>
  <c r="N184" i="1"/>
  <c r="L184" i="1"/>
  <c r="N183" i="1"/>
  <c r="L183" i="1"/>
  <c r="N181" i="1"/>
  <c r="L181" i="1"/>
  <c r="N180" i="1"/>
  <c r="L180" i="1"/>
  <c r="N179" i="1"/>
  <c r="L179" i="1"/>
  <c r="N178" i="1"/>
  <c r="L178" i="1"/>
  <c r="N177" i="1"/>
  <c r="L177" i="1"/>
  <c r="N176" i="1"/>
  <c r="L176" i="1"/>
  <c r="N175" i="1"/>
  <c r="L175" i="1"/>
  <c r="N174" i="1"/>
  <c r="L174" i="1"/>
  <c r="N173" i="1"/>
  <c r="L173" i="1"/>
  <c r="N172" i="1"/>
  <c r="L172" i="1"/>
  <c r="N171" i="1"/>
  <c r="L171" i="1"/>
  <c r="N170" i="1"/>
  <c r="L170" i="1"/>
  <c r="N169" i="1"/>
  <c r="L169" i="1"/>
  <c r="N168" i="1"/>
  <c r="L168" i="1"/>
  <c r="N167" i="1"/>
  <c r="L167" i="1"/>
  <c r="N166" i="1"/>
  <c r="L166" i="1"/>
  <c r="N165" i="1"/>
  <c r="L165" i="1"/>
  <c r="N164" i="1"/>
  <c r="L164" i="1"/>
  <c r="N163" i="1"/>
  <c r="L163" i="1"/>
  <c r="N162" i="1"/>
  <c r="L162" i="1"/>
  <c r="N161" i="1"/>
  <c r="L161" i="1"/>
  <c r="N160" i="1"/>
  <c r="L160" i="1"/>
  <c r="N159" i="1"/>
  <c r="L159" i="1"/>
  <c r="N158" i="1"/>
  <c r="L158" i="1"/>
  <c r="N157" i="1"/>
  <c r="L157" i="1"/>
  <c r="N156" i="1"/>
  <c r="L156" i="1"/>
  <c r="N155" i="1"/>
  <c r="L155" i="1"/>
  <c r="N154" i="1"/>
  <c r="L154" i="1"/>
  <c r="N152" i="1"/>
  <c r="L152" i="1"/>
  <c r="N151" i="1"/>
  <c r="L151" i="1"/>
  <c r="N150" i="1"/>
  <c r="L150" i="1"/>
  <c r="N149" i="1"/>
  <c r="L149" i="1"/>
  <c r="N147" i="1"/>
  <c r="L147" i="1"/>
  <c r="N144" i="1"/>
  <c r="L144" i="1"/>
  <c r="N143" i="1"/>
  <c r="L143" i="1"/>
  <c r="N138" i="1"/>
  <c r="L138" i="1"/>
  <c r="N136" i="1"/>
  <c r="L136" i="1"/>
  <c r="N135" i="1"/>
  <c r="L135" i="1"/>
  <c r="N133" i="1"/>
  <c r="L133" i="1"/>
  <c r="N132" i="1"/>
  <c r="L132" i="1"/>
  <c r="N131" i="1"/>
  <c r="L131" i="1"/>
  <c r="N130" i="1"/>
  <c r="L130" i="1"/>
  <c r="N129" i="1"/>
  <c r="L129" i="1"/>
  <c r="N128" i="1"/>
  <c r="L128" i="1"/>
  <c r="N127" i="1"/>
  <c r="L127" i="1"/>
  <c r="N126" i="1"/>
  <c r="L126" i="1"/>
  <c r="N124" i="1"/>
  <c r="L124" i="1"/>
  <c r="N123" i="1"/>
  <c r="L123" i="1"/>
  <c r="N122" i="1"/>
  <c r="L122" i="1"/>
  <c r="N121" i="1"/>
  <c r="L121" i="1"/>
  <c r="N120" i="1"/>
  <c r="L120" i="1"/>
  <c r="N119" i="1"/>
  <c r="L119" i="1"/>
  <c r="N118" i="1"/>
  <c r="L118" i="1"/>
  <c r="N117" i="1"/>
  <c r="L117" i="1"/>
  <c r="N116" i="1"/>
  <c r="L116" i="1"/>
  <c r="N115" i="1"/>
  <c r="L115" i="1"/>
  <c r="N114" i="1"/>
  <c r="L114" i="1"/>
  <c r="N113" i="1"/>
  <c r="L113" i="1"/>
  <c r="N112" i="1"/>
  <c r="L112" i="1"/>
  <c r="N111" i="1"/>
  <c r="L111" i="1"/>
  <c r="N110" i="1"/>
  <c r="L110" i="1"/>
  <c r="N109" i="1"/>
  <c r="L109" i="1"/>
  <c r="N108" i="1"/>
  <c r="L108" i="1"/>
  <c r="N107" i="1"/>
  <c r="L107" i="1"/>
  <c r="N106" i="1"/>
  <c r="L106" i="1"/>
  <c r="N105" i="1"/>
  <c r="L105" i="1"/>
  <c r="N104" i="1"/>
  <c r="L104" i="1"/>
  <c r="N103" i="1"/>
  <c r="L103" i="1"/>
  <c r="N102" i="1"/>
  <c r="L102" i="1"/>
  <c r="N101" i="1"/>
  <c r="L101" i="1"/>
  <c r="N100" i="1"/>
  <c r="L100" i="1"/>
  <c r="N99" i="1"/>
  <c r="L99" i="1"/>
  <c r="N98" i="1"/>
  <c r="L98" i="1"/>
  <c r="N97" i="1"/>
  <c r="L97" i="1"/>
  <c r="N96" i="1"/>
  <c r="L96" i="1"/>
  <c r="N95" i="1"/>
  <c r="L95" i="1"/>
  <c r="N93" i="1"/>
  <c r="L93" i="1"/>
  <c r="N92" i="1"/>
  <c r="L92" i="1"/>
  <c r="N90" i="1"/>
  <c r="L90" i="1"/>
  <c r="N89" i="1"/>
  <c r="L89" i="1"/>
  <c r="N88" i="1"/>
  <c r="L88" i="1"/>
  <c r="N87" i="1"/>
  <c r="L87" i="1"/>
  <c r="N86" i="1"/>
  <c r="L86" i="1"/>
  <c r="N85" i="1"/>
  <c r="L85" i="1"/>
  <c r="N84" i="1"/>
  <c r="L84" i="1"/>
  <c r="N83" i="1"/>
  <c r="L83" i="1"/>
  <c r="N82" i="1"/>
  <c r="L82" i="1"/>
  <c r="N81" i="1"/>
  <c r="L81" i="1"/>
  <c r="N80" i="1"/>
  <c r="L80" i="1"/>
  <c r="N79" i="1"/>
  <c r="L79" i="1"/>
  <c r="N78" i="1"/>
  <c r="L78" i="1"/>
  <c r="N77" i="1"/>
  <c r="L77" i="1"/>
  <c r="N76" i="1"/>
  <c r="L76" i="1"/>
  <c r="N75" i="1"/>
  <c r="L75" i="1"/>
  <c r="N74" i="1"/>
  <c r="L74" i="1"/>
  <c r="N73" i="1"/>
  <c r="L73" i="1"/>
  <c r="N72" i="1"/>
  <c r="L72" i="1"/>
  <c r="N71" i="1"/>
  <c r="L71" i="1"/>
  <c r="N70" i="1"/>
  <c r="L70" i="1"/>
  <c r="N68" i="1"/>
  <c r="L68" i="1"/>
  <c r="N67" i="1"/>
  <c r="L67" i="1"/>
  <c r="N66" i="1"/>
  <c r="L66" i="1"/>
  <c r="N65" i="1"/>
  <c r="L65" i="1"/>
  <c r="N64" i="1"/>
  <c r="L64" i="1"/>
  <c r="N63" i="1"/>
  <c r="L63" i="1"/>
  <c r="N62" i="1"/>
  <c r="L62" i="1"/>
  <c r="N61" i="1"/>
  <c r="L61" i="1"/>
  <c r="N59" i="1"/>
  <c r="L59" i="1"/>
  <c r="N58" i="1"/>
  <c r="L58" i="1"/>
  <c r="N56" i="1"/>
  <c r="L56" i="1"/>
  <c r="N55" i="1"/>
  <c r="L55" i="1"/>
  <c r="N54" i="1"/>
  <c r="L54" i="1"/>
  <c r="N53" i="1"/>
  <c r="L53" i="1"/>
  <c r="N52" i="1"/>
  <c r="L52" i="1"/>
  <c r="N51" i="1"/>
  <c r="L51" i="1"/>
  <c r="N50" i="1"/>
  <c r="L50" i="1"/>
  <c r="N48" i="1"/>
  <c r="L48" i="1"/>
  <c r="N46" i="1"/>
  <c r="L46" i="1"/>
  <c r="N45" i="1"/>
  <c r="L45" i="1"/>
  <c r="N44" i="1"/>
  <c r="L44" i="1"/>
  <c r="N43" i="1"/>
  <c r="L43" i="1"/>
  <c r="N42" i="1"/>
  <c r="L42" i="1"/>
  <c r="N41" i="1"/>
  <c r="L41" i="1"/>
  <c r="N40" i="1"/>
  <c r="L40" i="1"/>
  <c r="N39" i="1"/>
  <c r="L39" i="1"/>
  <c r="N38" i="1"/>
  <c r="L38" i="1"/>
  <c r="N37" i="1"/>
  <c r="L37" i="1"/>
  <c r="N36" i="1"/>
  <c r="L36" i="1"/>
  <c r="N35" i="1"/>
  <c r="L35" i="1"/>
  <c r="N34" i="1"/>
  <c r="L34" i="1"/>
  <c r="N33" i="1"/>
  <c r="L33" i="1"/>
  <c r="N32" i="1"/>
  <c r="L32" i="1"/>
  <c r="N31" i="1"/>
  <c r="L31" i="1"/>
  <c r="N30" i="1"/>
  <c r="L30" i="1"/>
  <c r="N29" i="1"/>
  <c r="L29" i="1"/>
  <c r="N28" i="1"/>
  <c r="L28" i="1"/>
  <c r="N27" i="1"/>
  <c r="L27" i="1"/>
  <c r="N26" i="1"/>
  <c r="L26" i="1"/>
  <c r="N25" i="1"/>
  <c r="L25" i="1"/>
  <c r="N24" i="1"/>
  <c r="L24" i="1"/>
  <c r="N23" i="1"/>
  <c r="L23" i="1"/>
  <c r="N22" i="1"/>
  <c r="L22" i="1"/>
  <c r="N21" i="1"/>
  <c r="L21" i="1"/>
  <c r="N20" i="1"/>
  <c r="L20" i="1"/>
  <c r="N19" i="1"/>
  <c r="L19" i="1"/>
  <c r="N18" i="1"/>
  <c r="L18" i="1"/>
  <c r="N17" i="1"/>
  <c r="L17" i="1"/>
  <c r="N16" i="1"/>
  <c r="L16" i="1"/>
  <c r="N15" i="1"/>
  <c r="L15" i="1"/>
  <c r="N14" i="1"/>
  <c r="L14" i="1"/>
  <c r="N13" i="1"/>
  <c r="L13" i="1"/>
  <c r="N12" i="1"/>
  <c r="L12" i="1"/>
  <c r="N11" i="1"/>
  <c r="L11" i="1"/>
  <c r="N10" i="1"/>
  <c r="L10" i="1"/>
  <c r="N9" i="1"/>
  <c r="L9" i="1"/>
  <c r="N8" i="1"/>
  <c r="L8" i="1"/>
  <c r="N7" i="1"/>
  <c r="L7" i="1"/>
  <c r="N6" i="1"/>
  <c r="L6" i="1"/>
  <c r="N5" i="1"/>
  <c r="L5" i="1"/>
  <c r="N4" i="1"/>
  <c r="L4" i="1"/>
</calcChain>
</file>

<file path=xl/sharedStrings.xml><?xml version="1.0" encoding="utf-8"?>
<sst xmlns="http://schemas.openxmlformats.org/spreadsheetml/2006/main" count="14850" uniqueCount="3475">
  <si>
    <t>P1/L1</t>
  </si>
  <si>
    <t>P2/L2</t>
  </si>
  <si>
    <r>
      <rPr>
        <b/>
        <sz val="11"/>
        <color rgb="FFFF0000"/>
        <rFont val="Calibri"/>
        <family val="2"/>
        <charset val="1"/>
      </rPr>
      <t xml:space="preserve"> </t>
    </r>
    <r>
      <rPr>
        <b/>
        <sz val="11"/>
        <color rgb="FF92D050"/>
        <rFont val="Calibri"/>
        <family val="2"/>
        <charset val="1"/>
      </rPr>
      <t>P2/L2</t>
    </r>
  </si>
  <si>
    <t>P3/L3</t>
  </si>
  <si>
    <t>District</t>
  </si>
  <si>
    <t>Block</t>
  </si>
  <si>
    <t>Panchayat</t>
  </si>
  <si>
    <t>Village</t>
  </si>
  <si>
    <t>CODE11</t>
  </si>
  <si>
    <t>Total Geographical Area</t>
  </si>
  <si>
    <t>Total Households</t>
  </si>
  <si>
    <t>Total Population</t>
  </si>
  <si>
    <t>Total male</t>
  </si>
  <si>
    <t>Total Female</t>
  </si>
  <si>
    <t>Total SC Population</t>
  </si>
  <si>
    <t>Total ST Population</t>
  </si>
  <si>
    <t>Permanent Pasture &amp; other Grazing Land Area</t>
  </si>
  <si>
    <t>Potential CFRR Area</t>
  </si>
  <si>
    <t>Resolution for CVS formation/ reorganisation</t>
  </si>
  <si>
    <t>CVS formed/ reorganised</t>
  </si>
  <si>
    <t>Application by CVS for Pastaure land recognition (Resolution)</t>
  </si>
  <si>
    <t>Resolution for FRC formation/ reorganisation</t>
  </si>
  <si>
    <t xml:space="preserve">Application by FRC for CFR cliam </t>
  </si>
  <si>
    <t xml:space="preserve">Recognition of VI &amp; Tenure over Pasture land under 170 (1) (Sahmati Patra) </t>
  </si>
  <si>
    <t>Entry of Pasture land in Panchayat asset register</t>
  </si>
  <si>
    <r>
      <rPr>
        <b/>
        <sz val="10"/>
        <color rgb="FFFF0000"/>
        <rFont val="Times New Roman"/>
        <family val="1"/>
        <charset val="1"/>
      </rPr>
      <t xml:space="preserve">Village specific bylaws for Pasture land/ </t>
    </r>
    <r>
      <rPr>
        <b/>
        <sz val="10"/>
        <color rgb="FF00A933"/>
        <rFont val="Times New Roman"/>
        <family val="1"/>
        <charset val="1"/>
      </rPr>
      <t>Forest Other Commons  land</t>
    </r>
  </si>
  <si>
    <t>Action taken for demarcation of Pasture land</t>
  </si>
  <si>
    <t>Action taken for removal of enchrochment of Pasture land</t>
  </si>
  <si>
    <t>Removal of encrochment from Pasture Land</t>
  </si>
  <si>
    <t xml:space="preserve">Recognition of  CFR claim </t>
  </si>
  <si>
    <t xml:space="preserve">Ecorestoration Plan of Pasture land </t>
  </si>
  <si>
    <t xml:space="preserve">Community Forest Mangement Plan </t>
  </si>
  <si>
    <t xml:space="preserve">Ecorestoration work  integrated VBGMRG /VPGP /GPDP  </t>
  </si>
  <si>
    <t>Work done under VBGRAMG/ other Govt schemes</t>
  </si>
  <si>
    <t xml:space="preserve">Activities narration of work done under VBGRAMG/ Govt schemes </t>
  </si>
  <si>
    <t>GPS Co-ordinates of work</t>
  </si>
  <si>
    <t>Resolution for VI formation/ reorganisation</t>
  </si>
  <si>
    <t>Ha</t>
  </si>
  <si>
    <t>No.</t>
  </si>
  <si>
    <t>%</t>
  </si>
  <si>
    <t>Y/N</t>
  </si>
  <si>
    <t>Month/Year</t>
  </si>
  <si>
    <t xml:space="preserve"> Ha</t>
  </si>
  <si>
    <t>Narration</t>
  </si>
  <si>
    <t>Latitude</t>
  </si>
  <si>
    <t>Longitude</t>
  </si>
  <si>
    <t>Chittaurgarh</t>
  </si>
  <si>
    <t>Begun</t>
  </si>
  <si>
    <t>Motipura</t>
  </si>
  <si>
    <t>Kara Kara</t>
  </si>
  <si>
    <t>100167</t>
  </si>
  <si>
    <t>Y</t>
  </si>
  <si>
    <t>Saran</t>
  </si>
  <si>
    <t>100168</t>
  </si>
  <si>
    <t>MGNREGS</t>
  </si>
  <si>
    <t> 25.1614006</t>
  </si>
  <si>
    <t>Chhota Khera</t>
  </si>
  <si>
    <t>100169</t>
  </si>
  <si>
    <t>Bara Khera</t>
  </si>
  <si>
    <t>100170</t>
  </si>
  <si>
    <t xml:space="preserve">MGNREGS/other </t>
  </si>
  <si>
    <t>100171</t>
  </si>
  <si>
    <t>Malikhera</t>
  </si>
  <si>
    <t>100172</t>
  </si>
  <si>
    <t>Chosla</t>
  </si>
  <si>
    <t>100173</t>
  </si>
  <si>
    <t>Barniyas</t>
  </si>
  <si>
    <t>Kitiyas</t>
  </si>
  <si>
    <t>100174</t>
  </si>
  <si>
    <t>Sagji Ka Khera</t>
  </si>
  <si>
    <t>100175</t>
  </si>
  <si>
    <t>Kanwarpura</t>
  </si>
  <si>
    <t>100176</t>
  </si>
  <si>
    <t>Dugar</t>
  </si>
  <si>
    <t>Chomu</t>
  </si>
  <si>
    <t>100177</t>
  </si>
  <si>
    <t>Muriliya</t>
  </si>
  <si>
    <t>100178</t>
  </si>
  <si>
    <t>Leerdi</t>
  </si>
  <si>
    <t>100179</t>
  </si>
  <si>
    <t xml:space="preserve">other </t>
  </si>
  <si>
    <t>Chawandiya</t>
  </si>
  <si>
    <t>100180</t>
  </si>
  <si>
    <t>Itawa</t>
  </si>
  <si>
    <t>Akoriya</t>
  </si>
  <si>
    <t>100181</t>
  </si>
  <si>
    <t>Luhariya</t>
  </si>
  <si>
    <t>100182</t>
  </si>
  <si>
    <t> 74.7943123</t>
  </si>
  <si>
    <t>Rooppura</t>
  </si>
  <si>
    <t>100183</t>
  </si>
  <si>
    <t>Rughnathpura</t>
  </si>
  <si>
    <t>100184</t>
  </si>
  <si>
    <t>100185</t>
  </si>
  <si>
    <t> 74.8313231</t>
  </si>
  <si>
    <t>Daulatpur</t>
  </si>
  <si>
    <t>100186</t>
  </si>
  <si>
    <t>Makhanpura</t>
  </si>
  <si>
    <t>100187</t>
  </si>
  <si>
    <t>Hamepur</t>
  </si>
  <si>
    <t>100188</t>
  </si>
  <si>
    <t>100189</t>
  </si>
  <si>
    <t>Sangrampura</t>
  </si>
  <si>
    <t>100190</t>
  </si>
  <si>
    <t>Haron Ka Khera</t>
  </si>
  <si>
    <t>100191</t>
  </si>
  <si>
    <t>Parsoli</t>
  </si>
  <si>
    <t>100192</t>
  </si>
  <si>
    <t>Harpura</t>
  </si>
  <si>
    <t>100193</t>
  </si>
  <si>
    <t>Nathawaton Ka Khera</t>
  </si>
  <si>
    <t>100194</t>
  </si>
  <si>
    <t>NA</t>
  </si>
  <si>
    <t>Rajgarh</t>
  </si>
  <si>
    <t>100195</t>
  </si>
  <si>
    <t> 25.0987701</t>
  </si>
  <si>
    <t>Rajpura</t>
  </si>
  <si>
    <t>100196</t>
  </si>
  <si>
    <t>Ratanpura</t>
  </si>
  <si>
    <t>100197</t>
  </si>
  <si>
    <t>100198</t>
  </si>
  <si>
    <t>Sahara</t>
  </si>
  <si>
    <t>100199</t>
  </si>
  <si>
    <t>Gopalpura</t>
  </si>
  <si>
    <t>Torniya</t>
  </si>
  <si>
    <t>100200</t>
  </si>
  <si>
    <t>Haripura</t>
  </si>
  <si>
    <t>100201</t>
  </si>
  <si>
    <t>Raipuriya</t>
  </si>
  <si>
    <t>100202</t>
  </si>
  <si>
    <t>Jodhpuriya</t>
  </si>
  <si>
    <t>100203</t>
  </si>
  <si>
    <t>Takhatpura</t>
  </si>
  <si>
    <t>100204</t>
  </si>
  <si>
    <t>Sultanpura</t>
  </si>
  <si>
    <t>100205</t>
  </si>
  <si>
    <t>Chanpuriya</t>
  </si>
  <si>
    <t>100206</t>
  </si>
  <si>
    <t>Dekri Khera</t>
  </si>
  <si>
    <t>100207</t>
  </si>
  <si>
    <t>100208</t>
  </si>
  <si>
    <t>Kundaliya</t>
  </si>
  <si>
    <t>100209</t>
  </si>
  <si>
    <t>Pat Kalan</t>
  </si>
  <si>
    <t>100210</t>
  </si>
  <si>
    <t>Patkhurd</t>
  </si>
  <si>
    <t>100211</t>
  </si>
  <si>
    <t>Abhaypur</t>
  </si>
  <si>
    <t>100212</t>
  </si>
  <si>
    <t>Salariya</t>
  </si>
  <si>
    <t>100213</t>
  </si>
  <si>
    <t>Rampuriya</t>
  </si>
  <si>
    <t>100214</t>
  </si>
  <si>
    <t>Amjhariya</t>
  </si>
  <si>
    <t>100215</t>
  </si>
  <si>
    <t>Mahesara</t>
  </si>
  <si>
    <t>100216</t>
  </si>
  <si>
    <t>Kerpura</t>
  </si>
  <si>
    <t>Nahargarh</t>
  </si>
  <si>
    <t>100217</t>
  </si>
  <si>
    <t>Amarpura</t>
  </si>
  <si>
    <t>100218</t>
  </si>
  <si>
    <t>Fatehpura</t>
  </si>
  <si>
    <t>100219</t>
  </si>
  <si>
    <t>Mandawari</t>
  </si>
  <si>
    <t>100220</t>
  </si>
  <si>
    <t>100221</t>
  </si>
  <si>
    <t>Laxmipura</t>
  </si>
  <si>
    <t>100222</t>
  </si>
  <si>
    <t>Boojra</t>
  </si>
  <si>
    <t>100223</t>
  </si>
  <si>
    <t>Bichhor</t>
  </si>
  <si>
    <t>Pohpura</t>
  </si>
  <si>
    <t>100224</t>
  </si>
  <si>
    <t>Deolachh</t>
  </si>
  <si>
    <t>100225</t>
  </si>
  <si>
    <t>Kishangarh</t>
  </si>
  <si>
    <t>100226</t>
  </si>
  <si>
    <t>Makhangunj</t>
  </si>
  <si>
    <t>100227</t>
  </si>
  <si>
    <t>Shambhoopura</t>
  </si>
  <si>
    <t>100228</t>
  </si>
  <si>
    <t>100229</t>
  </si>
  <si>
    <t>Kheri</t>
  </si>
  <si>
    <t>Nal</t>
  </si>
  <si>
    <t>100230</t>
  </si>
  <si>
    <t>Basotha</t>
  </si>
  <si>
    <t>100231</t>
  </si>
  <si>
    <t>Ulloopura</t>
  </si>
  <si>
    <t>100232</t>
  </si>
  <si>
    <t>Madhopur</t>
  </si>
  <si>
    <t>Umar Thoona</t>
  </si>
  <si>
    <t>100233</t>
  </si>
  <si>
    <t>Naliya</t>
  </si>
  <si>
    <t>100234</t>
  </si>
  <si>
    <t>Nandwai</t>
  </si>
  <si>
    <t>Ghatabao</t>
  </si>
  <si>
    <t>100235</t>
  </si>
  <si>
    <t>Umar Ka Khal</t>
  </si>
  <si>
    <t>100236</t>
  </si>
  <si>
    <t>100237</t>
  </si>
  <si>
    <t>Shivpura</t>
  </si>
  <si>
    <t>100238</t>
  </si>
  <si>
    <t>Muroli</t>
  </si>
  <si>
    <t>100239</t>
  </si>
  <si>
    <t>Deori</t>
  </si>
  <si>
    <t>100240</t>
  </si>
  <si>
    <t>100241</t>
  </si>
  <si>
    <t>Narsinghpura</t>
  </si>
  <si>
    <t>100242</t>
  </si>
  <si>
    <t>Jainagar</t>
  </si>
  <si>
    <t>Banora</t>
  </si>
  <si>
    <t>100243</t>
  </si>
  <si>
    <t>Bhawanipura</t>
  </si>
  <si>
    <t>100244</t>
  </si>
  <si>
    <t>Gurha</t>
  </si>
  <si>
    <t>100245</t>
  </si>
  <si>
    <t>100246</t>
  </si>
  <si>
    <t>100247</t>
  </si>
  <si>
    <t>Kanakpura</t>
  </si>
  <si>
    <t>100248</t>
  </si>
  <si>
    <t>Hardeopura</t>
  </si>
  <si>
    <t>100249</t>
  </si>
  <si>
    <t>100250</t>
  </si>
  <si>
    <t>Katunda</t>
  </si>
  <si>
    <t>Amartiya</t>
  </si>
  <si>
    <t>100251</t>
  </si>
  <si>
    <t>Kishanpura</t>
  </si>
  <si>
    <t>100252</t>
  </si>
  <si>
    <t>Suwaniya</t>
  </si>
  <si>
    <t>Jharol</t>
  </si>
  <si>
    <t>100253</t>
  </si>
  <si>
    <t>Tumba</t>
  </si>
  <si>
    <t>100254</t>
  </si>
  <si>
    <t>Neemoda</t>
  </si>
  <si>
    <t>100255</t>
  </si>
  <si>
    <t>Tejpur</t>
  </si>
  <si>
    <t>100256</t>
  </si>
  <si>
    <t>Kuratiya</t>
  </si>
  <si>
    <t>100257</t>
  </si>
  <si>
    <t>Ramnagar @ Rojtalai</t>
  </si>
  <si>
    <t>100258</t>
  </si>
  <si>
    <t>100259</t>
  </si>
  <si>
    <t>Anandpura</t>
  </si>
  <si>
    <t>100260</t>
  </si>
  <si>
    <t>100261</t>
  </si>
  <si>
    <t>Balwantnagar</t>
  </si>
  <si>
    <t>100262</t>
  </si>
  <si>
    <t>Meghniwas</t>
  </si>
  <si>
    <t>100263</t>
  </si>
  <si>
    <t>100264</t>
  </si>
  <si>
    <t>Nathooram Ji Ka Khera</t>
  </si>
  <si>
    <t>100265</t>
  </si>
  <si>
    <t>Samariyan Kalan</t>
  </si>
  <si>
    <t>Andariyon Ki Jhonpariyan</t>
  </si>
  <si>
    <t>100266</t>
  </si>
  <si>
    <t>Gorlan</t>
  </si>
  <si>
    <t>100267</t>
  </si>
  <si>
    <t>Naya Gaon Chauhanon Ka</t>
  </si>
  <si>
    <t>100268</t>
  </si>
  <si>
    <t>Suratpura</t>
  </si>
  <si>
    <t>100269</t>
  </si>
  <si>
    <t>Banda</t>
  </si>
  <si>
    <t>100270</t>
  </si>
  <si>
    <t>Samariya Khurd</t>
  </si>
  <si>
    <t>100271</t>
  </si>
  <si>
    <t>Bari Ka Khera</t>
  </si>
  <si>
    <t>100272</t>
  </si>
  <si>
    <t>100273</t>
  </si>
  <si>
    <t>Teekhi Ka Khera</t>
  </si>
  <si>
    <t>100274</t>
  </si>
  <si>
    <t>Sadalpur</t>
  </si>
  <si>
    <t>100275</t>
  </si>
  <si>
    <t>Shadi</t>
  </si>
  <si>
    <t>Chanda Kheri</t>
  </si>
  <si>
    <t>100276</t>
  </si>
  <si>
    <t>Ramnagar @ Tara Peepli</t>
  </si>
  <si>
    <t>100277</t>
  </si>
  <si>
    <t>Bassi Fatehpur</t>
  </si>
  <si>
    <t>100278</t>
  </si>
  <si>
    <t>Thukrai</t>
  </si>
  <si>
    <t>Bhanwariya Kalan</t>
  </si>
  <si>
    <t>100279</t>
  </si>
  <si>
    <t>Marna</t>
  </si>
  <si>
    <t>100280</t>
  </si>
  <si>
    <t>Bhanwariya Khurd</t>
  </si>
  <si>
    <t>100281</t>
  </si>
  <si>
    <t>Shrinagar</t>
  </si>
  <si>
    <t>100282</t>
  </si>
  <si>
    <t>100283</t>
  </si>
  <si>
    <t>Palanpur</t>
  </si>
  <si>
    <t>100284</t>
  </si>
  <si>
    <t>Peepli Khera</t>
  </si>
  <si>
    <t>100285</t>
  </si>
  <si>
    <t>Khermaliya</t>
  </si>
  <si>
    <t>100286</t>
  </si>
  <si>
    <t>Salera</t>
  </si>
  <si>
    <t>100287</t>
  </si>
  <si>
    <t>Palana Ka Ramnagar</t>
  </si>
  <si>
    <t>100288</t>
  </si>
  <si>
    <t>Gunta</t>
  </si>
  <si>
    <t>100289</t>
  </si>
  <si>
    <t>100290</t>
  </si>
  <si>
    <t>Sonagar</t>
  </si>
  <si>
    <t>100291</t>
  </si>
  <si>
    <t>Chanchpur</t>
  </si>
  <si>
    <t>100292</t>
  </si>
  <si>
    <t>100293</t>
  </si>
  <si>
    <t>Amalda</t>
  </si>
  <si>
    <t>100294</t>
  </si>
  <si>
    <t>Jalampura</t>
  </si>
  <si>
    <t>100295</t>
  </si>
  <si>
    <t>Anoppura</t>
  </si>
  <si>
    <t>100296</t>
  </si>
  <si>
    <t>Kadmali</t>
  </si>
  <si>
    <t>100297</t>
  </si>
  <si>
    <t>Jawadiyanaya</t>
  </si>
  <si>
    <t>100298</t>
  </si>
  <si>
    <t>Bhachardi</t>
  </si>
  <si>
    <t>100299</t>
  </si>
  <si>
    <t>Pandooriya</t>
  </si>
  <si>
    <t>100300</t>
  </si>
  <si>
    <t>Kheri Anoppura</t>
  </si>
  <si>
    <t>100301</t>
  </si>
  <si>
    <t>Amba</t>
  </si>
  <si>
    <t>100302</t>
  </si>
  <si>
    <t>Taleti</t>
  </si>
  <si>
    <t>100303</t>
  </si>
  <si>
    <t>Delwalgarh</t>
  </si>
  <si>
    <t>100304</t>
  </si>
  <si>
    <t>Semlader</t>
  </si>
  <si>
    <t>100305</t>
  </si>
  <si>
    <t>Jawadiya Joona</t>
  </si>
  <si>
    <t>100306</t>
  </si>
  <si>
    <t>: 74.896</t>
  </si>
  <si>
    <t>Fatehpur</t>
  </si>
  <si>
    <t>100307</t>
  </si>
  <si>
    <t>Neeladeh</t>
  </si>
  <si>
    <t>100308</t>
  </si>
  <si>
    <t>Dorai</t>
  </si>
  <si>
    <t>Phalatol</t>
  </si>
  <si>
    <t>100309</t>
  </si>
  <si>
    <t>Bheelon Ki Baithak</t>
  </si>
  <si>
    <t>100310</t>
  </si>
  <si>
    <t>Chhaliyon Ki Baithak</t>
  </si>
  <si>
    <t>100311</t>
  </si>
  <si>
    <t>Meghpura</t>
  </si>
  <si>
    <t>Parawas</t>
  </si>
  <si>
    <t>100312</t>
  </si>
  <si>
    <t>Jodhapatel Ki Kheri</t>
  </si>
  <si>
    <t>100313</t>
  </si>
  <si>
    <t>Pratappura</t>
  </si>
  <si>
    <t>100314</t>
  </si>
  <si>
    <t>Chainsingh Ji Ka Rajpura</t>
  </si>
  <si>
    <t>100315</t>
  </si>
  <si>
    <t>Soorpur</t>
  </si>
  <si>
    <t>100316</t>
  </si>
  <si>
    <t>Gangapur</t>
  </si>
  <si>
    <t>100317</t>
  </si>
  <si>
    <t>Kishorpura</t>
  </si>
  <si>
    <t>100318</t>
  </si>
  <si>
    <t>Anwalhera</t>
  </si>
  <si>
    <t>Pachhunda</t>
  </si>
  <si>
    <t>100319</t>
  </si>
  <si>
    <t>Ganeshpura</t>
  </si>
  <si>
    <t>100320</t>
  </si>
  <si>
    <t>100321</t>
  </si>
  <si>
    <t>Marawada</t>
  </si>
  <si>
    <t>100322</t>
  </si>
  <si>
    <t>100323</t>
  </si>
  <si>
    <t>Karanpuriya</t>
  </si>
  <si>
    <t>100324</t>
  </si>
  <si>
    <t>100325</t>
  </si>
  <si>
    <t>Palka</t>
  </si>
  <si>
    <t>100326</t>
  </si>
  <si>
    <t>Rawarda</t>
  </si>
  <si>
    <t>Dharla</t>
  </si>
  <si>
    <t>100327</t>
  </si>
  <si>
    <t>Umar</t>
  </si>
  <si>
    <t>100328</t>
  </si>
  <si>
    <t>Menal</t>
  </si>
  <si>
    <t>100329</t>
  </si>
  <si>
    <t>100330</t>
  </si>
  <si>
    <t>100331</t>
  </si>
  <si>
    <t>Rayta</t>
  </si>
  <si>
    <t>100332</t>
  </si>
  <si>
    <t>Utthen Khurd</t>
  </si>
  <si>
    <t>100333</t>
  </si>
  <si>
    <t>Utthen Kalan</t>
  </si>
  <si>
    <t>100334</t>
  </si>
  <si>
    <t>Deoriya</t>
  </si>
  <si>
    <t>100335</t>
  </si>
  <si>
    <t>Parkhiya Khera</t>
  </si>
  <si>
    <t>100336</t>
  </si>
  <si>
    <t>Rayti</t>
  </si>
  <si>
    <t>100337</t>
  </si>
  <si>
    <t>Govindpura</t>
  </si>
  <si>
    <t>Gulana</t>
  </si>
  <si>
    <t>100338</t>
  </si>
  <si>
    <t>Dhanora</t>
  </si>
  <si>
    <t>100339</t>
  </si>
  <si>
    <t>Bagpachhli Kheri</t>
  </si>
  <si>
    <t>100340</t>
  </si>
  <si>
    <t>Daulatpura</t>
  </si>
  <si>
    <t>Bhagwanpura</t>
  </si>
  <si>
    <t>100341</t>
  </si>
  <si>
    <t>100342</t>
  </si>
  <si>
    <t>100343</t>
  </si>
  <si>
    <t>100344</t>
  </si>
  <si>
    <t>Laxmiganj</t>
  </si>
  <si>
    <t>100345</t>
  </si>
  <si>
    <t>Bande Ka Ramnagar</t>
  </si>
  <si>
    <t>100346</t>
  </si>
  <si>
    <t>100347</t>
  </si>
  <si>
    <t>Mankeshwar</t>
  </si>
  <si>
    <t>100348</t>
  </si>
  <si>
    <t>Khumawas</t>
  </si>
  <si>
    <t>100349</t>
  </si>
  <si>
    <t>100350</t>
  </si>
  <si>
    <t>Mahupura</t>
  </si>
  <si>
    <t>100351</t>
  </si>
  <si>
    <t>100352</t>
  </si>
  <si>
    <t>Charchha</t>
  </si>
  <si>
    <t>100353</t>
  </si>
  <si>
    <t>Ramniwas</t>
  </si>
  <si>
    <t>100354</t>
  </si>
  <si>
    <t>Peepalda</t>
  </si>
  <si>
    <t>100355</t>
  </si>
  <si>
    <t>Randola</t>
  </si>
  <si>
    <t>100356</t>
  </si>
  <si>
    <t>Udpuriya</t>
  </si>
  <si>
    <t>100357</t>
  </si>
  <si>
    <t>Jetpura</t>
  </si>
  <si>
    <t>100358</t>
  </si>
  <si>
    <t>Ladpura</t>
  </si>
  <si>
    <t>100359</t>
  </si>
  <si>
    <t>100360</t>
  </si>
  <si>
    <t>Bagpura</t>
  </si>
  <si>
    <t>100361</t>
  </si>
  <si>
    <t>Jalsagar</t>
  </si>
  <si>
    <t>100362</t>
  </si>
  <si>
    <t>Brijpura</t>
  </si>
  <si>
    <t>100363</t>
  </si>
  <si>
    <t>Bandan Ka Rajpura</t>
  </si>
  <si>
    <t>100364</t>
  </si>
  <si>
    <t>100365</t>
  </si>
  <si>
    <t>100366</t>
  </si>
  <si>
    <t>Gandeliya</t>
  </si>
  <si>
    <t>100367</t>
  </si>
  <si>
    <t>Garhwara</t>
  </si>
  <si>
    <t>100368</t>
  </si>
  <si>
    <t>Dhamancha</t>
  </si>
  <si>
    <t>Kulatiya Jooni</t>
  </si>
  <si>
    <t>100369</t>
  </si>
  <si>
    <t>100370</t>
  </si>
  <si>
    <t>Dhabai Ji Ka Khera</t>
  </si>
  <si>
    <t>100371</t>
  </si>
  <si>
    <t>Khardi</t>
  </si>
  <si>
    <t>100372</t>
  </si>
  <si>
    <t>Semaliya</t>
  </si>
  <si>
    <t>100373</t>
  </si>
  <si>
    <t>Sudarshanpura</t>
  </si>
  <si>
    <t>100374</t>
  </si>
  <si>
    <t>Karundiya</t>
  </si>
  <si>
    <t>100375</t>
  </si>
  <si>
    <t>Kalyanpura</t>
  </si>
  <si>
    <t>100376</t>
  </si>
  <si>
    <t>Chechi</t>
  </si>
  <si>
    <t>Badanpura</t>
  </si>
  <si>
    <t>100377</t>
  </si>
  <si>
    <t>Kalabar</t>
  </si>
  <si>
    <t>100378</t>
  </si>
  <si>
    <t>100379</t>
  </si>
  <si>
    <t>Bamanhera</t>
  </si>
  <si>
    <t>100380</t>
  </si>
  <si>
    <t>Jaisinghpura</t>
  </si>
  <si>
    <t>100381</t>
  </si>
  <si>
    <t>Turkari</t>
  </si>
  <si>
    <t>100382</t>
  </si>
  <si>
    <t>Singhpur</t>
  </si>
  <si>
    <t>100383</t>
  </si>
  <si>
    <t>Saroopji Ki Kheri</t>
  </si>
  <si>
    <t>100384</t>
  </si>
  <si>
    <t>Bor Baori</t>
  </si>
  <si>
    <t>100385</t>
  </si>
  <si>
    <t>100386</t>
  </si>
  <si>
    <t> 24.9753598</t>
  </si>
  <si>
    <t> 75.1340315</t>
  </si>
  <si>
    <t>Hanutiya</t>
  </si>
  <si>
    <t>100387</t>
  </si>
  <si>
    <t>100388</t>
  </si>
  <si>
    <t>100389</t>
  </si>
  <si>
    <t>Naya Gaon</t>
  </si>
  <si>
    <t>100390</t>
  </si>
  <si>
    <t>Khalda</t>
  </si>
  <si>
    <t>100391</t>
  </si>
  <si>
    <t>Sarlasiya</t>
  </si>
  <si>
    <t>100392</t>
  </si>
  <si>
    <t>Bhatkhera Naya</t>
  </si>
  <si>
    <t>100393</t>
  </si>
  <si>
    <t> 24.9147294</t>
  </si>
  <si>
    <t>Kanthariya</t>
  </si>
  <si>
    <t>100394</t>
  </si>
  <si>
    <t> 75.1022580</t>
  </si>
  <si>
    <t>Galyabaori</t>
  </si>
  <si>
    <t>100395</t>
  </si>
  <si>
    <t>Dobiyan</t>
  </si>
  <si>
    <t>100396</t>
  </si>
  <si>
    <t>Bhatkhera Joona</t>
  </si>
  <si>
    <t>100397</t>
  </si>
  <si>
    <t>100398</t>
  </si>
  <si>
    <t>Jhonpariya</t>
  </si>
  <si>
    <t>100399</t>
  </si>
  <si>
    <t>Borakundi</t>
  </si>
  <si>
    <t>100400</t>
  </si>
  <si>
    <t>Kulatiya Nai</t>
  </si>
  <si>
    <t>100401</t>
  </si>
  <si>
    <t>Dharamdas Ji Ka Khera</t>
  </si>
  <si>
    <t>100402</t>
  </si>
  <si>
    <t>Dediya</t>
  </si>
  <si>
    <t>100403</t>
  </si>
  <si>
    <t>Fatehpur @ Jhunjala Magri</t>
  </si>
  <si>
    <t>100404</t>
  </si>
  <si>
    <t>Jandolya</t>
  </si>
  <si>
    <t>100405</t>
  </si>
  <si>
    <t>Chekli</t>
  </si>
  <si>
    <t>100406</t>
  </si>
  <si>
    <t>Dhawrakuri</t>
  </si>
  <si>
    <t>100407</t>
  </si>
  <si>
    <t>Sarli Ka Khera</t>
  </si>
  <si>
    <t>100408</t>
  </si>
  <si>
    <t>Samron Ka Lewa</t>
  </si>
  <si>
    <t>100409</t>
  </si>
  <si>
    <t xml:space="preserve">Maighniwas </t>
  </si>
  <si>
    <t>100474</t>
  </si>
  <si>
    <t>Sanga Ki Badi</t>
  </si>
  <si>
    <t>100475</t>
  </si>
  <si>
    <t>100476</t>
  </si>
  <si>
    <t>Kajodiya</t>
  </si>
  <si>
    <t>100477</t>
  </si>
  <si>
    <t>Girdiya</t>
  </si>
  <si>
    <t>100478</t>
  </si>
  <si>
    <t>Beena-Ka-Khera</t>
  </si>
  <si>
    <t>100479</t>
  </si>
  <si>
    <t>Dhamniya</t>
  </si>
  <si>
    <t>100480</t>
  </si>
  <si>
    <t>100481</t>
  </si>
  <si>
    <t>Balechhan</t>
  </si>
  <si>
    <t>100482</t>
  </si>
  <si>
    <t>100483</t>
  </si>
  <si>
    <t>Jamboo Kuri</t>
  </si>
  <si>
    <t>100484</t>
  </si>
  <si>
    <t>Ghati</t>
  </si>
  <si>
    <t>100485</t>
  </si>
  <si>
    <t>Sangwa</t>
  </si>
  <si>
    <t>100486</t>
  </si>
  <si>
    <t>Khordiya</t>
  </si>
  <si>
    <t>100487</t>
  </si>
  <si>
    <t>Bhadesar</t>
  </si>
  <si>
    <t>REWALIYA KHURD</t>
  </si>
  <si>
    <t>Neel Ka Khera</t>
  </si>
  <si>
    <t>101175</t>
  </si>
  <si>
    <t>N</t>
  </si>
  <si>
    <t>Rewaliya Khurd</t>
  </si>
  <si>
    <t>101176</t>
  </si>
  <si>
    <t>Manpura</t>
  </si>
  <si>
    <t>101177</t>
  </si>
  <si>
    <t>Rewaliya Kalan</t>
  </si>
  <si>
    <t>101178</t>
  </si>
  <si>
    <t>Bannath Pura</t>
  </si>
  <si>
    <t>101179</t>
  </si>
  <si>
    <t>KAREDIYA</t>
  </si>
  <si>
    <t>Daulat Pura</t>
  </si>
  <si>
    <t>101180</t>
  </si>
  <si>
    <t>KANTHARIYA</t>
  </si>
  <si>
    <t>Mohammad Pura</t>
  </si>
  <si>
    <t>101181</t>
  </si>
  <si>
    <t>Hazoor Pura</t>
  </si>
  <si>
    <t>101182</t>
  </si>
  <si>
    <t>Roopa Kheri</t>
  </si>
  <si>
    <t>101183</t>
  </si>
  <si>
    <t>101184</t>
  </si>
  <si>
    <t>Dautri</t>
  </si>
  <si>
    <t>101185</t>
  </si>
  <si>
    <t>Soniyana</t>
  </si>
  <si>
    <t>101186</t>
  </si>
  <si>
    <t>Sonarda</t>
  </si>
  <si>
    <t>101187</t>
  </si>
  <si>
    <t>PEEPALWAS</t>
  </si>
  <si>
    <t>Murliya</t>
  </si>
  <si>
    <t>101188</t>
  </si>
  <si>
    <t>Shivdan Pura</t>
  </si>
  <si>
    <t>101189</t>
  </si>
  <si>
    <t>Peepli Gujaran</t>
  </si>
  <si>
    <t>101190</t>
  </si>
  <si>
    <t>Jawan Pura</t>
  </si>
  <si>
    <t>101191</t>
  </si>
  <si>
    <t>NAHARGARH</t>
  </si>
  <si>
    <t>Delwas</t>
  </si>
  <si>
    <t>101192</t>
  </si>
  <si>
    <t>Jaitpura Khurd</t>
  </si>
  <si>
    <t>101193</t>
  </si>
  <si>
    <t>Jaitpura Kalan</t>
  </si>
  <si>
    <t>101194</t>
  </si>
  <si>
    <t>Sagwariya</t>
  </si>
  <si>
    <t>101195</t>
  </si>
  <si>
    <t>SUKHWARA</t>
  </si>
  <si>
    <t>Hoda</t>
  </si>
  <si>
    <t>101196</t>
  </si>
  <si>
    <t>Sarlai</t>
  </si>
  <si>
    <t>101197</t>
  </si>
  <si>
    <t>Panch Deola</t>
  </si>
  <si>
    <t>101198</t>
  </si>
  <si>
    <t>Wazeer Ganj</t>
  </si>
  <si>
    <t>101199</t>
  </si>
  <si>
    <t>Hasmat Ganj</t>
  </si>
  <si>
    <t>101200</t>
  </si>
  <si>
    <t>Ganpat Ka Khera</t>
  </si>
  <si>
    <t>101201</t>
  </si>
  <si>
    <t>Sukhwara</t>
  </si>
  <si>
    <t>101202</t>
  </si>
  <si>
    <t>Ibrahim Ganj</t>
  </si>
  <si>
    <t>101203</t>
  </si>
  <si>
    <t>Dharol</t>
  </si>
  <si>
    <t>101204</t>
  </si>
  <si>
    <t>101205</t>
  </si>
  <si>
    <t>Bhootya Khurd</t>
  </si>
  <si>
    <t>101206</t>
  </si>
  <si>
    <t>Hajya Kheri</t>
  </si>
  <si>
    <t>101207</t>
  </si>
  <si>
    <t>Peepalwas</t>
  </si>
  <si>
    <t>101208</t>
  </si>
  <si>
    <t>LESWA</t>
  </si>
  <si>
    <t>Parliya</t>
  </si>
  <si>
    <t>101209</t>
  </si>
  <si>
    <t>Deva Khera</t>
  </si>
  <si>
    <t>101210</t>
  </si>
  <si>
    <t>Leswa</t>
  </si>
  <si>
    <t>101211</t>
  </si>
  <si>
    <t>Kasya Kalan</t>
  </si>
  <si>
    <t>101212</t>
  </si>
  <si>
    <t>Kasya Khurd</t>
  </si>
  <si>
    <t>101213</t>
  </si>
  <si>
    <t>NAPANIYA</t>
  </si>
  <si>
    <t>Mokham Pura</t>
  </si>
  <si>
    <t>101214</t>
  </si>
  <si>
    <t>BHADSORA</t>
  </si>
  <si>
    <t>Bhadsora</t>
  </si>
  <si>
    <t>101215</t>
  </si>
  <si>
    <t>KOONTHANA</t>
  </si>
  <si>
    <t>Gadariya Was</t>
  </si>
  <si>
    <t>101216</t>
  </si>
  <si>
    <t>Surkhand</t>
  </si>
  <si>
    <t>101217</t>
  </si>
  <si>
    <t>Jorawar Pura</t>
  </si>
  <si>
    <t>101218</t>
  </si>
  <si>
    <t>Lohariya</t>
  </si>
  <si>
    <t>101219</t>
  </si>
  <si>
    <t>Koonthana</t>
  </si>
  <si>
    <t>101220</t>
  </si>
  <si>
    <t>Lohana</t>
  </si>
  <si>
    <t>101221</t>
  </si>
  <si>
    <t>Kesharpura</t>
  </si>
  <si>
    <t>101222</t>
  </si>
  <si>
    <t>Ummedpura</t>
  </si>
  <si>
    <t>101223</t>
  </si>
  <si>
    <t>Khokhariya Kheri</t>
  </si>
  <si>
    <t>101224</t>
  </si>
  <si>
    <t>Napaniya</t>
  </si>
  <si>
    <t>101225</t>
  </si>
  <si>
    <t>Chena Khera</t>
  </si>
  <si>
    <t>101226</t>
  </si>
  <si>
    <t>Rakampura</t>
  </si>
  <si>
    <t>101227</t>
  </si>
  <si>
    <t>Buddhpura</t>
  </si>
  <si>
    <t>101228</t>
  </si>
  <si>
    <t>Mokhampura</t>
  </si>
  <si>
    <t>101229</t>
  </si>
  <si>
    <t>MANDPHIYA</t>
  </si>
  <si>
    <t>101230</t>
  </si>
  <si>
    <t>Surajpura</t>
  </si>
  <si>
    <t>101231</t>
  </si>
  <si>
    <t>Keshar Kheri</t>
  </si>
  <si>
    <t>101232</t>
  </si>
  <si>
    <t>DHEERJI KA KHERA</t>
  </si>
  <si>
    <t>101233</t>
  </si>
  <si>
    <t>BAGUND</t>
  </si>
  <si>
    <t>Sohan Khera</t>
  </si>
  <si>
    <t>101234</t>
  </si>
  <si>
    <t>101235</t>
  </si>
  <si>
    <t>AKYA</t>
  </si>
  <si>
    <t>Narbadiya</t>
  </si>
  <si>
    <t>101236</t>
  </si>
  <si>
    <t>Bagund</t>
  </si>
  <si>
    <t>101237</t>
  </si>
  <si>
    <t>101238</t>
  </si>
  <si>
    <t>Madanpura</t>
  </si>
  <si>
    <t>101239</t>
  </si>
  <si>
    <t>Nardhari</t>
  </si>
  <si>
    <t>101240</t>
  </si>
  <si>
    <t>BANSEN</t>
  </si>
  <si>
    <t>Bansen</t>
  </si>
  <si>
    <t>101241</t>
  </si>
  <si>
    <t>Bhootya Kalan</t>
  </si>
  <si>
    <t>101242</t>
  </si>
  <si>
    <t>Achalpura</t>
  </si>
  <si>
    <t>101243</t>
  </si>
  <si>
    <t>Antri</t>
  </si>
  <si>
    <t>101244</t>
  </si>
  <si>
    <t>Hati Pura</t>
  </si>
  <si>
    <t>101245</t>
  </si>
  <si>
    <t>KANNOJ</t>
  </si>
  <si>
    <t>Kannoj</t>
  </si>
  <si>
    <t>101246</t>
  </si>
  <si>
    <t>Nawabpura</t>
  </si>
  <si>
    <t>101247</t>
  </si>
  <si>
    <t>Bheel Gatti</t>
  </si>
  <si>
    <t>101248</t>
  </si>
  <si>
    <t>Kesar Pura</t>
  </si>
  <si>
    <t>101249</t>
  </si>
  <si>
    <t>Kannojiya</t>
  </si>
  <si>
    <t>101250</t>
  </si>
  <si>
    <t>Dheerji Ka Khera</t>
  </si>
  <si>
    <t>101251</t>
  </si>
  <si>
    <t>Lader</t>
  </si>
  <si>
    <t>101252</t>
  </si>
  <si>
    <t>Beawar</t>
  </si>
  <si>
    <t>101253</t>
  </si>
  <si>
    <t>Arnoda</t>
  </si>
  <si>
    <t>101254</t>
  </si>
  <si>
    <t>Chanpa Kheri</t>
  </si>
  <si>
    <t>101255</t>
  </si>
  <si>
    <t>Gantheri</t>
  </si>
  <si>
    <t>101256</t>
  </si>
  <si>
    <t>Lachami Pura</t>
  </si>
  <si>
    <t>101257</t>
  </si>
  <si>
    <t>Deora Peepli</t>
  </si>
  <si>
    <t>101258</t>
  </si>
  <si>
    <t>Koshithal</t>
  </si>
  <si>
    <t>101259</t>
  </si>
  <si>
    <t>101260</t>
  </si>
  <si>
    <t>Akya</t>
  </si>
  <si>
    <t>101261</t>
  </si>
  <si>
    <t>Maora</t>
  </si>
  <si>
    <t>101262</t>
  </si>
  <si>
    <t>Kuretha</t>
  </si>
  <si>
    <t>101263</t>
  </si>
  <si>
    <t>Mandphiya</t>
  </si>
  <si>
    <t>101264</t>
  </si>
  <si>
    <t>Geeda Khera</t>
  </si>
  <si>
    <t>101265</t>
  </si>
  <si>
    <t>POTLA KALAN</t>
  </si>
  <si>
    <t>Segwa</t>
  </si>
  <si>
    <t>101266</t>
  </si>
  <si>
    <t>Dhanet</t>
  </si>
  <si>
    <t>101267</t>
  </si>
  <si>
    <t>Potla Kalan</t>
  </si>
  <si>
    <t>101268</t>
  </si>
  <si>
    <t>Potla Khurd</t>
  </si>
  <si>
    <t>101269</t>
  </si>
  <si>
    <t>Jeeta Was</t>
  </si>
  <si>
    <t>101270</t>
  </si>
  <si>
    <t>Ganga Gurha</t>
  </si>
  <si>
    <t>101271</t>
  </si>
  <si>
    <t>101272</t>
  </si>
  <si>
    <t>BHADESAR</t>
  </si>
  <si>
    <t>101273</t>
  </si>
  <si>
    <t>Agoriya</t>
  </si>
  <si>
    <t>101274</t>
  </si>
  <si>
    <t>BHALUNDI</t>
  </si>
  <si>
    <t>Kaharon Ki Dhani</t>
  </si>
  <si>
    <t>101275</t>
  </si>
  <si>
    <t>Baliyon Ki Dhani</t>
  </si>
  <si>
    <t>101276</t>
  </si>
  <si>
    <t>Badli Ki Dhani</t>
  </si>
  <si>
    <t>101277</t>
  </si>
  <si>
    <t>Dhuwaliyon Ki Dhani</t>
  </si>
  <si>
    <t>101278</t>
  </si>
  <si>
    <t>Sankhlon Ki Dhani</t>
  </si>
  <si>
    <t>101279</t>
  </si>
  <si>
    <t>Gulabji Ka Gurha</t>
  </si>
  <si>
    <t>101280</t>
  </si>
  <si>
    <t>Guman Ji Ka Gurha</t>
  </si>
  <si>
    <t>101281</t>
  </si>
  <si>
    <t>Bhalundi</t>
  </si>
  <si>
    <t>101282</t>
  </si>
  <si>
    <t>Bhaonath Ki Kheri</t>
  </si>
  <si>
    <t>101283</t>
  </si>
  <si>
    <t>Peepli Ka Gurha</t>
  </si>
  <si>
    <t>101284</t>
  </si>
  <si>
    <t>Udpura</t>
  </si>
  <si>
    <t>101285</t>
  </si>
  <si>
    <t>Gadariyon Ki Dhani</t>
  </si>
  <si>
    <t>101286</t>
  </si>
  <si>
    <t>101287</t>
  </si>
  <si>
    <t>Begamaniya</t>
  </si>
  <si>
    <t>101288</t>
  </si>
  <si>
    <t>Chatra Ka Khera</t>
  </si>
  <si>
    <t>101289</t>
  </si>
  <si>
    <t>Gopi Ka Khera</t>
  </si>
  <si>
    <t>101290</t>
  </si>
  <si>
    <t>Lachhmi Pura</t>
  </si>
  <si>
    <t>101291</t>
  </si>
  <si>
    <t>Charpotiya</t>
  </si>
  <si>
    <t>101292</t>
  </si>
  <si>
    <t>Phalasiya</t>
  </si>
  <si>
    <t>101293</t>
  </si>
  <si>
    <t>Bhagal</t>
  </si>
  <si>
    <t>101294</t>
  </si>
  <si>
    <t>Charliya</t>
  </si>
  <si>
    <t>101295</t>
  </si>
  <si>
    <t>AKOLA KALAN</t>
  </si>
  <si>
    <t>Radai Khera</t>
  </si>
  <si>
    <t>101296</t>
  </si>
  <si>
    <t>Akola Kalan</t>
  </si>
  <si>
    <t>101297</t>
  </si>
  <si>
    <t>Karoli</t>
  </si>
  <si>
    <t>101298</t>
  </si>
  <si>
    <t>Akola Khurd</t>
  </si>
  <si>
    <t>101299</t>
  </si>
  <si>
    <t>101300</t>
  </si>
  <si>
    <t>Tarjela</t>
  </si>
  <si>
    <t>101301</t>
  </si>
  <si>
    <t>Manroop Ka Khera</t>
  </si>
  <si>
    <t>101302</t>
  </si>
  <si>
    <t>Suraj Garh</t>
  </si>
  <si>
    <t>101303</t>
  </si>
  <si>
    <t>Karediya</t>
  </si>
  <si>
    <t>101304</t>
  </si>
  <si>
    <t>ASAWARA</t>
  </si>
  <si>
    <t>Sodawas</t>
  </si>
  <si>
    <t>101305</t>
  </si>
  <si>
    <t>Jhadoli</t>
  </si>
  <si>
    <t>101306</t>
  </si>
  <si>
    <t>GARDANA</t>
  </si>
  <si>
    <t>101307</t>
  </si>
  <si>
    <t>Rebariyon Ki Dhani</t>
  </si>
  <si>
    <t>101308</t>
  </si>
  <si>
    <t>Oda</t>
  </si>
  <si>
    <t>101309</t>
  </si>
  <si>
    <t>NANANA</t>
  </si>
  <si>
    <t>Manji Ka Gurha</t>
  </si>
  <si>
    <t>101310</t>
  </si>
  <si>
    <t>Asawara</t>
  </si>
  <si>
    <t>101311</t>
  </si>
  <si>
    <t>101312</t>
  </si>
  <si>
    <t>Magarda</t>
  </si>
  <si>
    <t>101313</t>
  </si>
  <si>
    <t>101314</t>
  </si>
  <si>
    <t>Ameerpura</t>
  </si>
  <si>
    <t>101315</t>
  </si>
  <si>
    <t>Barkhera</t>
  </si>
  <si>
    <t>101316</t>
  </si>
  <si>
    <t>NAPAWALI</t>
  </si>
  <si>
    <t>Sadalkhera</t>
  </si>
  <si>
    <t>101317</t>
  </si>
  <si>
    <t>Jogan Kheri</t>
  </si>
  <si>
    <t>101318</t>
  </si>
  <si>
    <t>Somawas</t>
  </si>
  <si>
    <t>101319</t>
  </si>
  <si>
    <t>Bheemlod</t>
  </si>
  <si>
    <t>101320</t>
  </si>
  <si>
    <t>Hapa Kheri</t>
  </si>
  <si>
    <t>101321</t>
  </si>
  <si>
    <t>Gulji Ka Khera</t>
  </si>
  <si>
    <t>101322</t>
  </si>
  <si>
    <t>Napawali</t>
  </si>
  <si>
    <t>101323</t>
  </si>
  <si>
    <t>Mentron Ka Khera</t>
  </si>
  <si>
    <t>101324</t>
  </si>
  <si>
    <t>Choona Khera</t>
  </si>
  <si>
    <t>101325</t>
  </si>
  <si>
    <t>Gardana</t>
  </si>
  <si>
    <t>101326</t>
  </si>
  <si>
    <t>Beelri</t>
  </si>
  <si>
    <t>101327</t>
  </si>
  <si>
    <t>Malya Kheri</t>
  </si>
  <si>
    <t>101328</t>
  </si>
  <si>
    <t>Minana</t>
  </si>
  <si>
    <t>101329</t>
  </si>
  <si>
    <t>Tejpura</t>
  </si>
  <si>
    <t>101330</t>
  </si>
  <si>
    <t>Peepliya</t>
  </si>
  <si>
    <t>101331</t>
  </si>
  <si>
    <t>Nanana</t>
  </si>
  <si>
    <t>101332</t>
  </si>
  <si>
    <t>Kering Khera</t>
  </si>
  <si>
    <t>101333</t>
  </si>
  <si>
    <t>Balnath Khera</t>
  </si>
  <si>
    <t>101334</t>
  </si>
  <si>
    <t>Durjanji Ka Khera</t>
  </si>
  <si>
    <t>101335</t>
  </si>
  <si>
    <t>Dewal Kheri</t>
  </si>
  <si>
    <t>101336</t>
  </si>
  <si>
    <t>KHODEEP</t>
  </si>
  <si>
    <t>Bhalot</t>
  </si>
  <si>
    <t>101337</t>
  </si>
  <si>
    <t>Pagara</t>
  </si>
  <si>
    <t>101338</t>
  </si>
  <si>
    <t>Upreda</t>
  </si>
  <si>
    <t>101339</t>
  </si>
  <si>
    <t>Wani</t>
  </si>
  <si>
    <t>101340</t>
  </si>
  <si>
    <t>Baman Kheri</t>
  </si>
  <si>
    <t>101341</t>
  </si>
  <si>
    <t>Khodeep</t>
  </si>
  <si>
    <t>101342</t>
  </si>
  <si>
    <t>Barisadri</t>
  </si>
  <si>
    <t>PUNAWALI</t>
  </si>
  <si>
    <t>101518</t>
  </si>
  <si>
    <t>Punawali</t>
  </si>
  <si>
    <t>101519</t>
  </si>
  <si>
    <t>Pinodara</t>
  </si>
  <si>
    <t>101520</t>
  </si>
  <si>
    <t>Aurwadiya</t>
  </si>
  <si>
    <t>101521</t>
  </si>
  <si>
    <t>NIKOOM</t>
  </si>
  <si>
    <t>Nikumbh</t>
  </si>
  <si>
    <t>101522</t>
  </si>
  <si>
    <t>Unthel Khera</t>
  </si>
  <si>
    <t>101523</t>
  </si>
  <si>
    <t>PEEND</t>
  </si>
  <si>
    <t>Unthel</t>
  </si>
  <si>
    <t>101524</t>
  </si>
  <si>
    <t>BHANOOJA</t>
  </si>
  <si>
    <t>Bhanooja</t>
  </si>
  <si>
    <t>101525</t>
  </si>
  <si>
    <t>101526</t>
  </si>
  <si>
    <t>KACHOOMRA</t>
  </si>
  <si>
    <t>Jantai</t>
  </si>
  <si>
    <t>101527</t>
  </si>
  <si>
    <t>Palakheri</t>
  </si>
  <si>
    <t>101528</t>
  </si>
  <si>
    <t>BHATOLI</t>
  </si>
  <si>
    <t>Khanpura</t>
  </si>
  <si>
    <t>101529</t>
  </si>
  <si>
    <t>2020</t>
  </si>
  <si>
    <t>Jangpura</t>
  </si>
  <si>
    <t>101530</t>
  </si>
  <si>
    <t>Ratanpur</t>
  </si>
  <si>
    <t>101531</t>
  </si>
  <si>
    <t>KHAIRMALIYA</t>
  </si>
  <si>
    <t>Akyan</t>
  </si>
  <si>
    <t>101532</t>
  </si>
  <si>
    <t>101533</t>
  </si>
  <si>
    <t>Vankiya</t>
  </si>
  <si>
    <t>101534</t>
  </si>
  <si>
    <t>Seerod</t>
  </si>
  <si>
    <t>101535</t>
  </si>
  <si>
    <t>Khairmaliya</t>
  </si>
  <si>
    <t>101536</t>
  </si>
  <si>
    <t>Pindri</t>
  </si>
  <si>
    <t>101537</t>
  </si>
  <si>
    <t>Peend</t>
  </si>
  <si>
    <t>101538</t>
  </si>
  <si>
    <t>Kalandar Khera</t>
  </si>
  <si>
    <t>101539</t>
  </si>
  <si>
    <t>Bhatoli</t>
  </si>
  <si>
    <t>101540</t>
  </si>
  <si>
    <t>Nandoli</t>
  </si>
  <si>
    <t>101541</t>
  </si>
  <si>
    <t>Suthar Khera</t>
  </si>
  <si>
    <t>101542</t>
  </si>
  <si>
    <t>SANGARIYA</t>
  </si>
  <si>
    <t>Charanon Ka Khera</t>
  </si>
  <si>
    <t>101543</t>
  </si>
  <si>
    <t>Sangariya</t>
  </si>
  <si>
    <t>101544</t>
  </si>
  <si>
    <t>Kachoomra</t>
  </si>
  <si>
    <t>101545</t>
  </si>
  <si>
    <t>Tapariya Kheri</t>
  </si>
  <si>
    <t>101546</t>
  </si>
  <si>
    <t>KHARDEOLA</t>
  </si>
  <si>
    <t>101547</t>
  </si>
  <si>
    <t>Khardeola</t>
  </si>
  <si>
    <t>101548</t>
  </si>
  <si>
    <t>Kapariyo Ka Khera</t>
  </si>
  <si>
    <t>101549</t>
  </si>
  <si>
    <t>Gopal Ji Ka Khera</t>
  </si>
  <si>
    <t>101550</t>
  </si>
  <si>
    <t>101551</t>
  </si>
  <si>
    <t>Samano Ka Khera</t>
  </si>
  <si>
    <t>101552</t>
  </si>
  <si>
    <t>101553</t>
  </si>
  <si>
    <t>CHAINPURIYA</t>
  </si>
  <si>
    <t>Nalwai</t>
  </si>
  <si>
    <t>101554</t>
  </si>
  <si>
    <t>Chainpuriya</t>
  </si>
  <si>
    <t>101555</t>
  </si>
  <si>
    <t>KEERATPURA</t>
  </si>
  <si>
    <t>Wali Ka Khera @ Bhabho Ka Khera</t>
  </si>
  <si>
    <t>101556</t>
  </si>
  <si>
    <t>Chitoriya</t>
  </si>
  <si>
    <t>101557</t>
  </si>
  <si>
    <t>Raingpuriya</t>
  </si>
  <si>
    <t>101558</t>
  </si>
  <si>
    <t>Katai</t>
  </si>
  <si>
    <t>101559</t>
  </si>
  <si>
    <t>Madhopura</t>
  </si>
  <si>
    <t>101560</t>
  </si>
  <si>
    <t>101561</t>
  </si>
  <si>
    <t>Shikarpura</t>
  </si>
  <si>
    <t>101562</t>
  </si>
  <si>
    <t>Bagelon Ka Khera</t>
  </si>
  <si>
    <t>101563</t>
  </si>
  <si>
    <t>Keeratpura</t>
  </si>
  <si>
    <t>101564</t>
  </si>
  <si>
    <t>Ambawali</t>
  </si>
  <si>
    <t>101565</t>
  </si>
  <si>
    <t>Dalpura</t>
  </si>
  <si>
    <t>101566</t>
  </si>
  <si>
    <t>101567</t>
  </si>
  <si>
    <t>JARKHANA</t>
  </si>
  <si>
    <t>101568</t>
  </si>
  <si>
    <t>2019</t>
  </si>
  <si>
    <t>Sarthala</t>
  </si>
  <si>
    <t>101569</t>
  </si>
  <si>
    <t>Ranawaton Ka Khera</t>
  </si>
  <si>
    <t>101570</t>
  </si>
  <si>
    <t>Khankhariya Ji Ka Khera</t>
  </si>
  <si>
    <t>101571</t>
  </si>
  <si>
    <t>Bhopatpura</t>
  </si>
  <si>
    <t>101572</t>
  </si>
  <si>
    <t>Jarkhana</t>
  </si>
  <si>
    <t>101573</t>
  </si>
  <si>
    <t>Sompur (B)</t>
  </si>
  <si>
    <t>101574</t>
  </si>
  <si>
    <t>Sompur (A)</t>
  </si>
  <si>
    <t>101575</t>
  </si>
  <si>
    <t>Chandra Kheri</t>
  </si>
  <si>
    <t>101576</t>
  </si>
  <si>
    <t>BINAYKA</t>
  </si>
  <si>
    <t>Bhurkiyan Kalan</t>
  </si>
  <si>
    <t>101577</t>
  </si>
  <si>
    <t>Binayka</t>
  </si>
  <si>
    <t>101578</t>
  </si>
  <si>
    <t>Deodan</t>
  </si>
  <si>
    <t>101579</t>
  </si>
  <si>
    <t>Charan Kheri</t>
  </si>
  <si>
    <t>101580</t>
  </si>
  <si>
    <t>Nanga Kheri</t>
  </si>
  <si>
    <t>101581</t>
  </si>
  <si>
    <t>PANDERA</t>
  </si>
  <si>
    <t>Jaton Ka Khera</t>
  </si>
  <si>
    <t>101582</t>
  </si>
  <si>
    <t>Masab Ka Khera</t>
  </si>
  <si>
    <t>101583</t>
  </si>
  <si>
    <t>Khera Gajan Devi</t>
  </si>
  <si>
    <t>101584</t>
  </si>
  <si>
    <t>Gajan Devi</t>
  </si>
  <si>
    <t>101585</t>
  </si>
  <si>
    <t>LAXMIPURA</t>
  </si>
  <si>
    <t>Poolamagra</t>
  </si>
  <si>
    <t>101586</t>
  </si>
  <si>
    <t>BORKHERA</t>
  </si>
  <si>
    <t>Linkoda</t>
  </si>
  <si>
    <t>101587</t>
  </si>
  <si>
    <t>101588</t>
  </si>
  <si>
    <t>Borkhera</t>
  </si>
  <si>
    <t>101589</t>
  </si>
  <si>
    <t>Semal Khera</t>
  </si>
  <si>
    <t>101590</t>
  </si>
  <si>
    <t>RATI CHAND JI KA KHERA</t>
  </si>
  <si>
    <t>Rughnath Pura</t>
  </si>
  <si>
    <t>101591</t>
  </si>
  <si>
    <t>Keet Khera</t>
  </si>
  <si>
    <t>101592</t>
  </si>
  <si>
    <t>Rati Talai</t>
  </si>
  <si>
    <t>101593</t>
  </si>
  <si>
    <t>Rati Chandji Ka Khera</t>
  </si>
  <si>
    <t>101594</t>
  </si>
  <si>
    <t>Chandpura</t>
  </si>
  <si>
    <t>101595</t>
  </si>
  <si>
    <t>Sabalpura</t>
  </si>
  <si>
    <t>101596</t>
  </si>
  <si>
    <t>Gundalpur</t>
  </si>
  <si>
    <t>101597</t>
  </si>
  <si>
    <t>PARSOLI</t>
  </si>
  <si>
    <t>Borundi</t>
  </si>
  <si>
    <t>101598</t>
  </si>
  <si>
    <t>Garh Borundi</t>
  </si>
  <si>
    <t>101599</t>
  </si>
  <si>
    <t>101600</t>
  </si>
  <si>
    <t>MOONJWA</t>
  </si>
  <si>
    <t>101601</t>
  </si>
  <si>
    <t>Rathoron Ka Khera</t>
  </si>
  <si>
    <t>101602</t>
  </si>
  <si>
    <t>Kheri Kalan</t>
  </si>
  <si>
    <t>101603</t>
  </si>
  <si>
    <t>Kheri Khurd</t>
  </si>
  <si>
    <t>101604</t>
  </si>
  <si>
    <t>101605</t>
  </si>
  <si>
    <t>Sukhpura</t>
  </si>
  <si>
    <t>101606</t>
  </si>
  <si>
    <t>Karmadiya Khera</t>
  </si>
  <si>
    <t>101607</t>
  </si>
  <si>
    <t>KEWALPURA</t>
  </si>
  <si>
    <t>Lachhmipura</t>
  </si>
  <si>
    <t>101608</t>
  </si>
  <si>
    <t>Sardarpura</t>
  </si>
  <si>
    <t>101609</t>
  </si>
  <si>
    <t>BANSI</t>
  </si>
  <si>
    <t>Makanpura</t>
  </si>
  <si>
    <t>101610</t>
  </si>
  <si>
    <t>AMEERAMA</t>
  </si>
  <si>
    <t>Ameerama</t>
  </si>
  <si>
    <t>101611</t>
  </si>
  <si>
    <t>101612</t>
  </si>
  <si>
    <t>Parbati</t>
  </si>
  <si>
    <t>101613</t>
  </si>
  <si>
    <t>101614</t>
  </si>
  <si>
    <t>101615</t>
  </si>
  <si>
    <t>Pandera</t>
  </si>
  <si>
    <t>101616</t>
  </si>
  <si>
    <t>Phachar</t>
  </si>
  <si>
    <t>101617</t>
  </si>
  <si>
    <t>BOHERA</t>
  </si>
  <si>
    <t>Luhariya Khera</t>
  </si>
  <si>
    <t>101618</t>
  </si>
  <si>
    <t>Bohera</t>
  </si>
  <si>
    <t>101619</t>
  </si>
  <si>
    <t>BARBAL</t>
  </si>
  <si>
    <t>Andon Ka Khera</t>
  </si>
  <si>
    <t>101620</t>
  </si>
  <si>
    <t>Jiya Kheri</t>
  </si>
  <si>
    <t>101621</t>
  </si>
  <si>
    <t>Bhiyana</t>
  </si>
  <si>
    <t>101622</t>
  </si>
  <si>
    <t>MAHOORA</t>
  </si>
  <si>
    <t>Mahoora</t>
  </si>
  <si>
    <t>101623</t>
  </si>
  <si>
    <t>Utarwara</t>
  </si>
  <si>
    <t>101624</t>
  </si>
  <si>
    <t>101625</t>
  </si>
  <si>
    <t>Khuman Singhji Ka Khera</t>
  </si>
  <si>
    <t>101626</t>
  </si>
  <si>
    <t>Kahara Jageer (A)</t>
  </si>
  <si>
    <t>101627</t>
  </si>
  <si>
    <t>Dayalpura</t>
  </si>
  <si>
    <t>101628</t>
  </si>
  <si>
    <t>Kahara Chak (B)</t>
  </si>
  <si>
    <t>101629</t>
  </si>
  <si>
    <t>Kahara Jageer (C)</t>
  </si>
  <si>
    <t>101630</t>
  </si>
  <si>
    <t>Khoriyon Ka Khera</t>
  </si>
  <si>
    <t>101631</t>
  </si>
  <si>
    <t>Gadriyawas</t>
  </si>
  <si>
    <t>101632</t>
  </si>
  <si>
    <t>Dhalawar</t>
  </si>
  <si>
    <t>101633</t>
  </si>
  <si>
    <t>101634</t>
  </si>
  <si>
    <t>Solankiyon Ka Khera</t>
  </si>
  <si>
    <t>101635</t>
  </si>
  <si>
    <t>Payron Ka Khera</t>
  </si>
  <si>
    <t>101636</t>
  </si>
  <si>
    <t>Tajela</t>
  </si>
  <si>
    <t>101637</t>
  </si>
  <si>
    <t>Dabela</t>
  </si>
  <si>
    <t>101638</t>
  </si>
  <si>
    <t>Bansi</t>
  </si>
  <si>
    <t>101639</t>
  </si>
  <si>
    <t>Mukanpura</t>
  </si>
  <si>
    <t>101640</t>
  </si>
  <si>
    <t>Chakmal</t>
  </si>
  <si>
    <t>101641</t>
  </si>
  <si>
    <t>Rawatpura</t>
  </si>
  <si>
    <t>101642</t>
  </si>
  <si>
    <t>101643</t>
  </si>
  <si>
    <t>Khumji Ka Khera</t>
  </si>
  <si>
    <t>101644</t>
  </si>
  <si>
    <t>Badwal</t>
  </si>
  <si>
    <t>101645</t>
  </si>
  <si>
    <t>Tegariyo Ka Phala</t>
  </si>
  <si>
    <t>101646</t>
  </si>
  <si>
    <t>Naya Khera</t>
  </si>
  <si>
    <t>101647</t>
  </si>
  <si>
    <t>Rani Malya</t>
  </si>
  <si>
    <t>101648</t>
  </si>
  <si>
    <t>Kewalpura (A)</t>
  </si>
  <si>
    <t>101649</t>
  </si>
  <si>
    <t>Kali Bheet</t>
  </si>
  <si>
    <t>101650</t>
  </si>
  <si>
    <t>101651</t>
  </si>
  <si>
    <t>Payri</t>
  </si>
  <si>
    <t>Eklingpura</t>
  </si>
  <si>
    <t>101652</t>
  </si>
  <si>
    <t>101653</t>
  </si>
  <si>
    <t>Shyampura</t>
  </si>
  <si>
    <t>101654</t>
  </si>
  <si>
    <t>Kewalpura(B)</t>
  </si>
  <si>
    <t>101655</t>
  </si>
  <si>
    <t>Jooni Barwal</t>
  </si>
  <si>
    <t>101656</t>
  </si>
  <si>
    <t>Kewalpura Jageer</t>
  </si>
  <si>
    <t>101657</t>
  </si>
  <si>
    <t>101658</t>
  </si>
  <si>
    <t>Maraodiya</t>
  </si>
  <si>
    <t>101659</t>
  </si>
  <si>
    <t>Kalyan Pura</t>
  </si>
  <si>
    <t>101660</t>
  </si>
  <si>
    <t>Mata Magri</t>
  </si>
  <si>
    <t>101661</t>
  </si>
  <si>
    <t>Moonjwa</t>
  </si>
  <si>
    <t>101662</t>
  </si>
  <si>
    <t>Dheekriya Kheri</t>
  </si>
  <si>
    <t>101663</t>
  </si>
  <si>
    <t>Pujan Ka Phalian</t>
  </si>
  <si>
    <t>101664</t>
  </si>
  <si>
    <t>101665</t>
  </si>
  <si>
    <t>101666</t>
  </si>
  <si>
    <t>Khankhriya Kheri</t>
  </si>
  <si>
    <t>101667</t>
  </si>
  <si>
    <t>Lalpura</t>
  </si>
  <si>
    <t>101668</t>
  </si>
  <si>
    <t>Forest Block</t>
  </si>
  <si>
    <t>101669</t>
  </si>
  <si>
    <t>Kalakhet</t>
  </si>
  <si>
    <t>101670</t>
  </si>
  <si>
    <t>Deeponka Talab</t>
  </si>
  <si>
    <t>101671</t>
  </si>
  <si>
    <t>Afron Ka Talab</t>
  </si>
  <si>
    <t>101672</t>
  </si>
  <si>
    <t>Bhainsrorgarh</t>
  </si>
  <si>
    <t>TAMBOLIYA</t>
  </si>
  <si>
    <t>100410</t>
  </si>
  <si>
    <t>Takarda</t>
  </si>
  <si>
    <t>100411</t>
  </si>
  <si>
    <t>100412</t>
  </si>
  <si>
    <t>Tamboliya</t>
  </si>
  <si>
    <t>100413</t>
  </si>
  <si>
    <t>BORAO</t>
  </si>
  <si>
    <t>Borao</t>
  </si>
  <si>
    <t>100414</t>
  </si>
  <si>
    <t>Khema Ka Khera</t>
  </si>
  <si>
    <t>100415</t>
  </si>
  <si>
    <t>100416</t>
  </si>
  <si>
    <t>Kishanpuriya</t>
  </si>
  <si>
    <t>100417</t>
  </si>
  <si>
    <t>Shambhoo Nath Ji Ka Khera</t>
  </si>
  <si>
    <t>100418</t>
  </si>
  <si>
    <t>100419</t>
  </si>
  <si>
    <t>Gorakiya</t>
  </si>
  <si>
    <t>100420</t>
  </si>
  <si>
    <t>Laxmi Khera</t>
  </si>
  <si>
    <t>100421</t>
  </si>
  <si>
    <t>DHAGADMAU KALAN</t>
  </si>
  <si>
    <t>Dhagadmau Kalan</t>
  </si>
  <si>
    <t>100422</t>
  </si>
  <si>
    <t>100423</t>
  </si>
  <si>
    <t>100424</t>
  </si>
  <si>
    <t>SHRIPURA</t>
  </si>
  <si>
    <t>Bhoonjar Kalan</t>
  </si>
  <si>
    <t>100425</t>
  </si>
  <si>
    <t>Khumanganj</t>
  </si>
  <si>
    <t>100426</t>
  </si>
  <si>
    <t>Lothiyana</t>
  </si>
  <si>
    <t>100427</t>
  </si>
  <si>
    <t>Shripura</t>
  </si>
  <si>
    <t>100428</t>
  </si>
  <si>
    <t>BHAINSRORGARH</t>
  </si>
  <si>
    <t>Peerpura</t>
  </si>
  <si>
    <t>100429</t>
  </si>
  <si>
    <t>Bhoonjar Khurd</t>
  </si>
  <si>
    <t>100430</t>
  </si>
  <si>
    <t>Nasera</t>
  </si>
  <si>
    <t>100431</t>
  </si>
  <si>
    <t>Khalgaon</t>
  </si>
  <si>
    <t>100432</t>
  </si>
  <si>
    <t>100433</t>
  </si>
  <si>
    <t>100434</t>
  </si>
  <si>
    <t>SANEETA</t>
  </si>
  <si>
    <t>100435</t>
  </si>
  <si>
    <t>Madaar Chok</t>
  </si>
  <si>
    <t>100436</t>
  </si>
  <si>
    <t>Koriya Khal</t>
  </si>
  <si>
    <t>100437</t>
  </si>
  <si>
    <t>Balapura</t>
  </si>
  <si>
    <t>100438</t>
  </si>
  <si>
    <t>Hajipur</t>
  </si>
  <si>
    <t>100439</t>
  </si>
  <si>
    <t>Jagpura</t>
  </si>
  <si>
    <t>100440</t>
  </si>
  <si>
    <t>BAROLIYA</t>
  </si>
  <si>
    <t>Jaora Kalan</t>
  </si>
  <si>
    <t>100441</t>
  </si>
  <si>
    <t>Jaora Khurd</t>
  </si>
  <si>
    <t>100442</t>
  </si>
  <si>
    <t>JHALAR BAORI</t>
  </si>
  <si>
    <t>Jhalar Baori</t>
  </si>
  <si>
    <t>100443</t>
  </si>
  <si>
    <t>Sankhalon Ka Dhundha</t>
  </si>
  <si>
    <t>100444</t>
  </si>
  <si>
    <t>Baroliya</t>
  </si>
  <si>
    <t>100445</t>
  </si>
  <si>
    <t>Teendwa</t>
  </si>
  <si>
    <t>100446</t>
  </si>
  <si>
    <t>Kacholiya</t>
  </si>
  <si>
    <t>100447</t>
  </si>
  <si>
    <t>JAWAHAR NAGAR (KUWA KHEDA)</t>
  </si>
  <si>
    <t>Neem Ka Khera</t>
  </si>
  <si>
    <t>100448</t>
  </si>
  <si>
    <t>Saneeta</t>
  </si>
  <si>
    <t>100449</t>
  </si>
  <si>
    <t>Deopuriya</t>
  </si>
  <si>
    <t>100450</t>
  </si>
  <si>
    <t>100451</t>
  </si>
  <si>
    <t>LUHARIYA</t>
  </si>
  <si>
    <t>Beer Kala Khet</t>
  </si>
  <si>
    <t>100452</t>
  </si>
  <si>
    <t>Mortooka</t>
  </si>
  <si>
    <t>100453</t>
  </si>
  <si>
    <t>RAJPURA</t>
  </si>
  <si>
    <t>Udpuria</t>
  </si>
  <si>
    <t>100454</t>
  </si>
  <si>
    <t>100455</t>
  </si>
  <si>
    <t>100456</t>
  </si>
  <si>
    <t>Bakhtpura</t>
  </si>
  <si>
    <t>100457</t>
  </si>
  <si>
    <t>Suthala</t>
  </si>
  <si>
    <t>100458</t>
  </si>
  <si>
    <t>100459</t>
  </si>
  <si>
    <t>Hatholi</t>
  </si>
  <si>
    <t>100460</t>
  </si>
  <si>
    <t>MANDESARA</t>
  </si>
  <si>
    <t>100461</t>
  </si>
  <si>
    <t>Mandesara</t>
  </si>
  <si>
    <t>100462</t>
  </si>
  <si>
    <t>Khal Gaon</t>
  </si>
  <si>
    <t>100463</t>
  </si>
  <si>
    <t>Dhangadmau Khurd</t>
  </si>
  <si>
    <t>100464</t>
  </si>
  <si>
    <t>GOPAL PURA</t>
  </si>
  <si>
    <t>Umarcha</t>
  </si>
  <si>
    <t>100465</t>
  </si>
  <si>
    <t>Nagpura</t>
  </si>
  <si>
    <t>100466</t>
  </si>
  <si>
    <t>Jai Nagar</t>
  </si>
  <si>
    <t>100467</t>
  </si>
  <si>
    <t>100468</t>
  </si>
  <si>
    <t>100469</t>
  </si>
  <si>
    <t>Borda</t>
  </si>
  <si>
    <t>100470</t>
  </si>
  <si>
    <t>100471</t>
  </si>
  <si>
    <t>Ramnagar</t>
  </si>
  <si>
    <t>100472</t>
  </si>
  <si>
    <t>100473</t>
  </si>
  <si>
    <t>Bassi</t>
  </si>
  <si>
    <t>Parlai Khurd</t>
  </si>
  <si>
    <t>100488</t>
  </si>
  <si>
    <t>100489</t>
  </si>
  <si>
    <t>Bhanda Kuri</t>
  </si>
  <si>
    <t>100490</t>
  </si>
  <si>
    <t>TOLON KA LUHARIYA</t>
  </si>
  <si>
    <t>Gujaron Ki Morvan</t>
  </si>
  <si>
    <t>100491</t>
  </si>
  <si>
    <t>Tolon Ka Luhariya</t>
  </si>
  <si>
    <t>100492</t>
  </si>
  <si>
    <t>Kewaron Ka Luhariya</t>
  </si>
  <si>
    <t>100493</t>
  </si>
  <si>
    <t>Daulpura</t>
  </si>
  <si>
    <t>100494</t>
  </si>
  <si>
    <t>Hadon Ki Morvan</t>
  </si>
  <si>
    <t>100495</t>
  </si>
  <si>
    <t>Hamerganj</t>
  </si>
  <si>
    <t>100496</t>
  </si>
  <si>
    <t>Semliya</t>
  </si>
  <si>
    <t>100497</t>
  </si>
  <si>
    <t>JAWADA</t>
  </si>
  <si>
    <t>Jawada</t>
  </si>
  <si>
    <t>100498</t>
  </si>
  <si>
    <t>100499</t>
  </si>
  <si>
    <t>Kharama</t>
  </si>
  <si>
    <t>100500</t>
  </si>
  <si>
    <t>BALKUNDI KALAN</t>
  </si>
  <si>
    <t>100501</t>
  </si>
  <si>
    <t>BADOLI MADHOSINGH</t>
  </si>
  <si>
    <t>Barodia</t>
  </si>
  <si>
    <t>100502</t>
  </si>
  <si>
    <t>DEO PURA</t>
  </si>
  <si>
    <t>Khangarpura</t>
  </si>
  <si>
    <t>100503</t>
  </si>
  <si>
    <t>BADODIYA</t>
  </si>
  <si>
    <t>Menpura</t>
  </si>
  <si>
    <t>100504</t>
  </si>
  <si>
    <t>Mal Khera</t>
  </si>
  <si>
    <t>100505</t>
  </si>
  <si>
    <t>Balkundi Kalan</t>
  </si>
  <si>
    <t>100506</t>
  </si>
  <si>
    <t>Balkundi Khurd</t>
  </si>
  <si>
    <t>100507</t>
  </si>
  <si>
    <t>Arniya</t>
  </si>
  <si>
    <t>100508</t>
  </si>
  <si>
    <t>100509</t>
  </si>
  <si>
    <t>Baghpura</t>
  </si>
  <si>
    <t>100510</t>
  </si>
  <si>
    <t>Gurha Khera</t>
  </si>
  <si>
    <t>100511</t>
  </si>
  <si>
    <t>Kharnai</t>
  </si>
  <si>
    <t>100512</t>
  </si>
  <si>
    <t>Balaganj</t>
  </si>
  <si>
    <t>100513</t>
  </si>
  <si>
    <t>Dareeba</t>
  </si>
  <si>
    <t>100514</t>
  </si>
  <si>
    <t>Bakhari</t>
  </si>
  <si>
    <t>100515</t>
  </si>
  <si>
    <t>Jagliya Rundi</t>
  </si>
  <si>
    <t>100516</t>
  </si>
  <si>
    <t>Prempura</t>
  </si>
  <si>
    <t>100517</t>
  </si>
  <si>
    <t>Talar</t>
  </si>
  <si>
    <t>100518</t>
  </si>
  <si>
    <t>Malgarh</t>
  </si>
  <si>
    <t>100519</t>
  </si>
  <si>
    <t>Jaswantpura</t>
  </si>
  <si>
    <t>100520</t>
  </si>
  <si>
    <t>Neemri</t>
  </si>
  <si>
    <t>100521</t>
  </si>
  <si>
    <t>Agra</t>
  </si>
  <si>
    <t>100522</t>
  </si>
  <si>
    <t>Kripapur</t>
  </si>
  <si>
    <t>100523</t>
  </si>
  <si>
    <t>100524</t>
  </si>
  <si>
    <t>Bargaon</t>
  </si>
  <si>
    <t>100525</t>
  </si>
  <si>
    <t>Ajpura</t>
  </si>
  <si>
    <t>100526</t>
  </si>
  <si>
    <t>Kolpura</t>
  </si>
  <si>
    <t>100527</t>
  </si>
  <si>
    <t>Phootpal</t>
  </si>
  <si>
    <t>100528</t>
  </si>
  <si>
    <t>KUSHALGARH</t>
  </si>
  <si>
    <t>Arena Kalan</t>
  </si>
  <si>
    <t>100529</t>
  </si>
  <si>
    <t>100530</t>
  </si>
  <si>
    <t>Dhuniya</t>
  </si>
  <si>
    <t>100531</t>
  </si>
  <si>
    <t>Ogadiya</t>
  </si>
  <si>
    <t>100532</t>
  </si>
  <si>
    <t>Narayanpura</t>
  </si>
  <si>
    <t>100533</t>
  </si>
  <si>
    <t>100534</t>
  </si>
  <si>
    <t>EKLINGPURA</t>
  </si>
  <si>
    <t>100535</t>
  </si>
  <si>
    <t>100536</t>
  </si>
  <si>
    <t>100537</t>
  </si>
  <si>
    <t>BARKHERA</t>
  </si>
  <si>
    <t>100538</t>
  </si>
  <si>
    <t>Amlat</t>
  </si>
  <si>
    <t>100539</t>
  </si>
  <si>
    <t>100540</t>
  </si>
  <si>
    <t>Doodi Talai</t>
  </si>
  <si>
    <t>100541</t>
  </si>
  <si>
    <t>Arena Khurd</t>
  </si>
  <si>
    <t>100542</t>
  </si>
  <si>
    <t>PAHOONA</t>
  </si>
  <si>
    <t>100543</t>
  </si>
  <si>
    <t>Nali</t>
  </si>
  <si>
    <t>100544</t>
  </si>
  <si>
    <t>Khera Veeran</t>
  </si>
  <si>
    <t>100545</t>
  </si>
  <si>
    <t>Kushalgarh</t>
  </si>
  <si>
    <t>100546</t>
  </si>
  <si>
    <t>Paral Banda</t>
  </si>
  <si>
    <t>100547</t>
  </si>
  <si>
    <t>Chenpua</t>
  </si>
  <si>
    <t>100548</t>
  </si>
  <si>
    <t>Padajhar Khurd</t>
  </si>
  <si>
    <t>100549</t>
  </si>
  <si>
    <t>100550</t>
  </si>
  <si>
    <t>Emti</t>
  </si>
  <si>
    <t>100551</t>
  </si>
  <si>
    <t>Ganga Ka Khera</t>
  </si>
  <si>
    <t>100552</t>
  </si>
  <si>
    <t>Sarangpura</t>
  </si>
  <si>
    <t>100553</t>
  </si>
  <si>
    <t>Todon Ka Khera</t>
  </si>
  <si>
    <t>100554</t>
  </si>
  <si>
    <t>Barwan</t>
  </si>
  <si>
    <t>100555</t>
  </si>
  <si>
    <t>Lasana</t>
  </si>
  <si>
    <t>100556</t>
  </si>
  <si>
    <t>Jhoojhala</t>
  </si>
  <si>
    <t>100557</t>
  </si>
  <si>
    <t>Baheliya</t>
  </si>
  <si>
    <t>100558</t>
  </si>
  <si>
    <t>Kesha Ka Khera</t>
  </si>
  <si>
    <t>100559</t>
  </si>
  <si>
    <t>Manoli</t>
  </si>
  <si>
    <t>100560</t>
  </si>
  <si>
    <t>Ratoli</t>
  </si>
  <si>
    <t>100561</t>
  </si>
  <si>
    <t>Mordi</t>
  </si>
  <si>
    <t>100562</t>
  </si>
  <si>
    <t>Thah Ka Khera</t>
  </si>
  <si>
    <t>100563</t>
  </si>
  <si>
    <t>Goyat</t>
  </si>
  <si>
    <t>100564</t>
  </si>
  <si>
    <t>Antaraliya</t>
  </si>
  <si>
    <t>100565</t>
  </si>
  <si>
    <t>Chhatarpura</t>
  </si>
  <si>
    <t>100566</t>
  </si>
  <si>
    <t>Dabarwas</t>
  </si>
  <si>
    <t>100567</t>
  </si>
  <si>
    <t>Raipur</t>
  </si>
  <si>
    <t>100568</t>
  </si>
  <si>
    <t>Kherli</t>
  </si>
  <si>
    <t>100569</t>
  </si>
  <si>
    <t>Thamlao</t>
  </si>
  <si>
    <t>100570</t>
  </si>
  <si>
    <t>JHARJHANI</t>
  </si>
  <si>
    <t>Deeppura</t>
  </si>
  <si>
    <t>100571</t>
  </si>
  <si>
    <t>REN KHERA</t>
  </si>
  <si>
    <t>100572</t>
  </si>
  <si>
    <t>MEGHNIWAS</t>
  </si>
  <si>
    <t>100573</t>
  </si>
  <si>
    <t>Jharjhani</t>
  </si>
  <si>
    <t>100574</t>
  </si>
  <si>
    <t>Naiyon Ki Talai</t>
  </si>
  <si>
    <t>100575</t>
  </si>
  <si>
    <t>100576</t>
  </si>
  <si>
    <t>Khajupura</t>
  </si>
  <si>
    <t>100577</t>
  </si>
  <si>
    <t>Bana Ka Khera</t>
  </si>
  <si>
    <t>100578</t>
  </si>
  <si>
    <t>100579</t>
  </si>
  <si>
    <t>Kelu Kheri</t>
  </si>
  <si>
    <t>100580</t>
  </si>
  <si>
    <t>Bhagwatpura</t>
  </si>
  <si>
    <t>100581</t>
  </si>
  <si>
    <t>Malpura</t>
  </si>
  <si>
    <t>100582</t>
  </si>
  <si>
    <t>Kotra</t>
  </si>
  <si>
    <t>100583</t>
  </si>
  <si>
    <t>JALKHERA</t>
  </si>
  <si>
    <t>Bambori Kalan</t>
  </si>
  <si>
    <t>100584</t>
  </si>
  <si>
    <t>Badodiya</t>
  </si>
  <si>
    <t>100585</t>
  </si>
  <si>
    <t>100586</t>
  </si>
  <si>
    <t>Ren Khera</t>
  </si>
  <si>
    <t>100587</t>
  </si>
  <si>
    <t>Bheempura</t>
  </si>
  <si>
    <t>100588</t>
  </si>
  <si>
    <t>Halsera</t>
  </si>
  <si>
    <t>100589</t>
  </si>
  <si>
    <t>Menpur</t>
  </si>
  <si>
    <t>100590</t>
  </si>
  <si>
    <t>DHAWAD KALAN</t>
  </si>
  <si>
    <t>Bambori Khurd</t>
  </si>
  <si>
    <t>100591</t>
  </si>
  <si>
    <t>Ladpur</t>
  </si>
  <si>
    <t>100592</t>
  </si>
  <si>
    <t>Mohanpura</t>
  </si>
  <si>
    <t>100593</t>
  </si>
  <si>
    <t>Jal Khera</t>
  </si>
  <si>
    <t>100594</t>
  </si>
  <si>
    <t>Dhardi</t>
  </si>
  <si>
    <t>100595</t>
  </si>
  <si>
    <t>Karanpura</t>
  </si>
  <si>
    <t>100596</t>
  </si>
  <si>
    <t>Dhawad Khurd</t>
  </si>
  <si>
    <t>100597</t>
  </si>
  <si>
    <t>Dhawad Kalan</t>
  </si>
  <si>
    <t>100598</t>
  </si>
  <si>
    <t>KHATI KHERA</t>
  </si>
  <si>
    <t>Khati Khera</t>
  </si>
  <si>
    <t>100599</t>
  </si>
  <si>
    <t>Manya Kheri</t>
  </si>
  <si>
    <t>100600</t>
  </si>
  <si>
    <t>Gilota</t>
  </si>
  <si>
    <t>100601</t>
  </si>
  <si>
    <t>100602</t>
  </si>
  <si>
    <t>Shogarh</t>
  </si>
  <si>
    <t>100603</t>
  </si>
  <si>
    <t>100604</t>
  </si>
  <si>
    <t>Mohana</t>
  </si>
  <si>
    <t>100605</t>
  </si>
  <si>
    <t>100606</t>
  </si>
  <si>
    <t>Vijaipur</t>
  </si>
  <si>
    <t>100607</t>
  </si>
  <si>
    <t>Dholai</t>
  </si>
  <si>
    <t>100608</t>
  </si>
  <si>
    <t>Matasara</t>
  </si>
  <si>
    <t>100609</t>
  </si>
  <si>
    <t>Rodi</t>
  </si>
  <si>
    <t>100610</t>
  </si>
  <si>
    <t>100611</t>
  </si>
  <si>
    <t>100612</t>
  </si>
  <si>
    <t>Charmi</t>
  </si>
  <si>
    <t>100613</t>
  </si>
  <si>
    <t>100614</t>
  </si>
  <si>
    <t>100615</t>
  </si>
  <si>
    <t>Keharpura</t>
  </si>
  <si>
    <t>100616</t>
  </si>
  <si>
    <t>Chakbaori</t>
  </si>
  <si>
    <t>100617</t>
  </si>
  <si>
    <t>100618</t>
  </si>
  <si>
    <t>Dotara</t>
  </si>
  <si>
    <t>100619</t>
  </si>
  <si>
    <t>Kanti</t>
  </si>
  <si>
    <t>100620</t>
  </si>
  <si>
    <t>Kethoola</t>
  </si>
  <si>
    <t>100621</t>
  </si>
  <si>
    <t>100622</t>
  </si>
  <si>
    <t>Latoor</t>
  </si>
  <si>
    <t>100623</t>
  </si>
  <si>
    <t>Kua Khera</t>
  </si>
  <si>
    <t>100624</t>
  </si>
  <si>
    <t>Chittauriya</t>
  </si>
  <si>
    <t>100625</t>
  </si>
  <si>
    <t>Nayagaon</t>
  </si>
  <si>
    <t>100626</t>
  </si>
  <si>
    <t>Jheenkra</t>
  </si>
  <si>
    <t>100627</t>
  </si>
  <si>
    <t>100628</t>
  </si>
  <si>
    <t>Muwada</t>
  </si>
  <si>
    <t>100629</t>
  </si>
  <si>
    <t>KANROOKARA</t>
  </si>
  <si>
    <t>Peepal Kheri</t>
  </si>
  <si>
    <t>100630</t>
  </si>
  <si>
    <t>100631</t>
  </si>
  <si>
    <t>Doongariya</t>
  </si>
  <si>
    <t>100632</t>
  </si>
  <si>
    <t>100633</t>
  </si>
  <si>
    <t>Baori Khera</t>
  </si>
  <si>
    <t>100634</t>
  </si>
  <si>
    <t>Kherat</t>
  </si>
  <si>
    <t>100635</t>
  </si>
  <si>
    <t>100636</t>
  </si>
  <si>
    <t>Deopura</t>
  </si>
  <si>
    <t>100637</t>
  </si>
  <si>
    <t>Bhopalsagar</t>
  </si>
  <si>
    <t>ANOPPURA</t>
  </si>
  <si>
    <t>Chak Papariya</t>
  </si>
  <si>
    <t>100869</t>
  </si>
  <si>
    <t>Manohar Kheri</t>
  </si>
  <si>
    <t>100870</t>
  </si>
  <si>
    <t>Chauthpura</t>
  </si>
  <si>
    <t>100871</t>
  </si>
  <si>
    <t>Dhani</t>
  </si>
  <si>
    <t>100872</t>
  </si>
  <si>
    <t>100873</t>
  </si>
  <si>
    <t>Sejgariya</t>
  </si>
  <si>
    <t>100874</t>
  </si>
  <si>
    <t>100875</t>
  </si>
  <si>
    <t>KANAKHERA</t>
  </si>
  <si>
    <t>Sanwaliya Khera</t>
  </si>
  <si>
    <t>100879</t>
  </si>
  <si>
    <t>Gulabpura</t>
  </si>
  <si>
    <t>100880</t>
  </si>
  <si>
    <t>Oron Ka Khera</t>
  </si>
  <si>
    <t>100881</t>
  </si>
  <si>
    <t>Mali Khera</t>
  </si>
  <si>
    <t>100882</t>
  </si>
  <si>
    <t>JASHMA</t>
  </si>
  <si>
    <t>Jashma</t>
  </si>
  <si>
    <t>100883</t>
  </si>
  <si>
    <t>100884</t>
  </si>
  <si>
    <t>Goojariya Khera</t>
  </si>
  <si>
    <t>100885</t>
  </si>
  <si>
    <t>USROL</t>
  </si>
  <si>
    <t>Loonera</t>
  </si>
  <si>
    <t>100886</t>
  </si>
  <si>
    <t>Deoron Ka Khera</t>
  </si>
  <si>
    <t>100887</t>
  </si>
  <si>
    <t>Rooppura @ Dhanna Khera</t>
  </si>
  <si>
    <t>100888</t>
  </si>
  <si>
    <t>Kana Khera</t>
  </si>
  <si>
    <t>100889</t>
  </si>
  <si>
    <t>UCHNAR KHURD</t>
  </si>
  <si>
    <t>Singhariya</t>
  </si>
  <si>
    <t>100890</t>
  </si>
  <si>
    <t>BABRANA</t>
  </si>
  <si>
    <t>Rama Khera</t>
  </si>
  <si>
    <t>100941</t>
  </si>
  <si>
    <t>BOOL</t>
  </si>
  <si>
    <t>Balad</t>
  </si>
  <si>
    <t>100942</t>
  </si>
  <si>
    <t>100943</t>
  </si>
  <si>
    <t>Rayapuriya Khurd</t>
  </si>
  <si>
    <t>100946</t>
  </si>
  <si>
    <t>Shambhoo Pura</t>
  </si>
  <si>
    <t>100947</t>
  </si>
  <si>
    <t>Usrol</t>
  </si>
  <si>
    <t>100948</t>
  </si>
  <si>
    <t>PHALASIYA</t>
  </si>
  <si>
    <t>Bari</t>
  </si>
  <si>
    <t>100949</t>
  </si>
  <si>
    <t>Jajron Ka Khera</t>
  </si>
  <si>
    <t>100950</t>
  </si>
  <si>
    <t>BHOOPAL NAGAR</t>
  </si>
  <si>
    <t>100951</t>
  </si>
  <si>
    <t>100952</t>
  </si>
  <si>
    <t>Sadipura</t>
  </si>
  <si>
    <t>100953</t>
  </si>
  <si>
    <t>KANKARWA</t>
  </si>
  <si>
    <t>Kankarwa</t>
  </si>
  <si>
    <t>100954</t>
  </si>
  <si>
    <t>PATOLIYA</t>
  </si>
  <si>
    <t>Ranawaton Ki Sadari</t>
  </si>
  <si>
    <t>100955</t>
  </si>
  <si>
    <t>Ajan Khera</t>
  </si>
  <si>
    <t>100956</t>
  </si>
  <si>
    <t>Jawa</t>
  </si>
  <si>
    <t>100957</t>
  </si>
  <si>
    <t>Patoliya</t>
  </si>
  <si>
    <t>100958</t>
  </si>
  <si>
    <t>PARI</t>
  </si>
  <si>
    <t>Mund Katiya</t>
  </si>
  <si>
    <t>100959</t>
  </si>
  <si>
    <t>Baldiyon Ka Kera</t>
  </si>
  <si>
    <t>100960</t>
  </si>
  <si>
    <t>Pari</t>
  </si>
  <si>
    <t>100961</t>
  </si>
  <si>
    <t>BHOOPAL SAGAR</t>
  </si>
  <si>
    <t>Rawtiya</t>
  </si>
  <si>
    <t>100962</t>
  </si>
  <si>
    <t>Matuniya</t>
  </si>
  <si>
    <t>100963</t>
  </si>
  <si>
    <t>Chak Bhoopal Sagar</t>
  </si>
  <si>
    <t>100964</t>
  </si>
  <si>
    <t>Bhoopal Sagar</t>
  </si>
  <si>
    <t>100965</t>
  </si>
  <si>
    <t>Bond @ Bool</t>
  </si>
  <si>
    <t>100966</t>
  </si>
  <si>
    <t>Tanda</t>
  </si>
  <si>
    <t>100967</t>
  </si>
  <si>
    <t>100968</t>
  </si>
  <si>
    <t>Harmatiya</t>
  </si>
  <si>
    <t>100969</t>
  </si>
  <si>
    <t>Bhoopal Nagar</t>
  </si>
  <si>
    <t>100970</t>
  </si>
  <si>
    <t>Shivwata</t>
  </si>
  <si>
    <t>100971</t>
  </si>
  <si>
    <t>100972</t>
  </si>
  <si>
    <t>Babrana</t>
  </si>
  <si>
    <t>100973</t>
  </si>
  <si>
    <t>Jaitpura</t>
  </si>
  <si>
    <t>100974</t>
  </si>
  <si>
    <t>GUNDLI</t>
  </si>
  <si>
    <t>Hingwaniya</t>
  </si>
  <si>
    <t>101012</t>
  </si>
  <si>
    <t>Gundli</t>
  </si>
  <si>
    <t>101013</t>
  </si>
  <si>
    <t>Gundli Khera</t>
  </si>
  <si>
    <t>101014</t>
  </si>
  <si>
    <t>AKOLA</t>
  </si>
  <si>
    <t>Akola</t>
  </si>
  <si>
    <t>101015</t>
  </si>
  <si>
    <t>Surta Khera</t>
  </si>
  <si>
    <t>101016</t>
  </si>
  <si>
    <t>101017</t>
  </si>
  <si>
    <t>CHORWARI</t>
  </si>
  <si>
    <t>Chokri</t>
  </si>
  <si>
    <t>101018</t>
  </si>
  <si>
    <t>Chorwari</t>
  </si>
  <si>
    <t>101019</t>
  </si>
  <si>
    <t>NILODH</t>
  </si>
  <si>
    <t>Nilod</t>
  </si>
  <si>
    <t>101020</t>
  </si>
  <si>
    <t>Joyra</t>
  </si>
  <si>
    <t>101021</t>
  </si>
  <si>
    <t>DOWANI</t>
  </si>
  <si>
    <t>Babariya Khera</t>
  </si>
  <si>
    <t>101022</t>
  </si>
  <si>
    <t>MURLA</t>
  </si>
  <si>
    <t>Badwai</t>
  </si>
  <si>
    <t>101023</t>
  </si>
  <si>
    <t>101024</t>
  </si>
  <si>
    <t>101025</t>
  </si>
  <si>
    <t>101026</t>
  </si>
  <si>
    <t>Murla</t>
  </si>
  <si>
    <t>101027</t>
  </si>
  <si>
    <t>Lalawas</t>
  </si>
  <si>
    <t>101028</t>
  </si>
  <si>
    <t>Pemakhera</t>
  </si>
  <si>
    <t>101029</t>
  </si>
  <si>
    <t>101030</t>
  </si>
  <si>
    <t>KANAR KHERA</t>
  </si>
  <si>
    <t>Narji Ki Bhagal</t>
  </si>
  <si>
    <t>101031</t>
  </si>
  <si>
    <t>Moonch Ki Bhagal</t>
  </si>
  <si>
    <t>101032</t>
  </si>
  <si>
    <t>MUGANA</t>
  </si>
  <si>
    <t>101033</t>
  </si>
  <si>
    <t>Balla Ki Bhagal</t>
  </si>
  <si>
    <t>101034</t>
  </si>
  <si>
    <t>Goojaron Ki Bhagal</t>
  </si>
  <si>
    <t>101035</t>
  </si>
  <si>
    <t>TANA</t>
  </si>
  <si>
    <t>Chak'B' Tana</t>
  </si>
  <si>
    <t>101036</t>
  </si>
  <si>
    <t>101037</t>
  </si>
  <si>
    <t>Geelund</t>
  </si>
  <si>
    <t>101038</t>
  </si>
  <si>
    <t>Tana</t>
  </si>
  <si>
    <t>101039</t>
  </si>
  <si>
    <t>Nawalpura</t>
  </si>
  <si>
    <t>101040</t>
  </si>
  <si>
    <t>Kabeerji Ki Bhagal</t>
  </si>
  <si>
    <t>101041</t>
  </si>
  <si>
    <t>Dhanna Ki Bhagal</t>
  </si>
  <si>
    <t>101042</t>
  </si>
  <si>
    <t>Kanar Khera</t>
  </si>
  <si>
    <t>101043</t>
  </si>
  <si>
    <t>Rayapuriya Kalan</t>
  </si>
  <si>
    <t>101044</t>
  </si>
  <si>
    <t>Chakuri</t>
  </si>
  <si>
    <t>101046</t>
  </si>
  <si>
    <t>Pitamber Puriya</t>
  </si>
  <si>
    <t>101048</t>
  </si>
  <si>
    <t>SONGAR</t>
  </si>
  <si>
    <t>100638</t>
  </si>
  <si>
    <t>SADI</t>
  </si>
  <si>
    <t>100639</t>
  </si>
  <si>
    <t>NARELA</t>
  </si>
  <si>
    <t>Kathodia</t>
  </si>
  <si>
    <t>100640</t>
  </si>
  <si>
    <t>BARODIYA</t>
  </si>
  <si>
    <t>Seerodi</t>
  </si>
  <si>
    <t>100641</t>
  </si>
  <si>
    <t>Shivsingh Ka Khera</t>
  </si>
  <si>
    <t>100642</t>
  </si>
  <si>
    <t>ROLAHERA</t>
  </si>
  <si>
    <t>Paroli</t>
  </si>
  <si>
    <t>100643</t>
  </si>
  <si>
    <t>Barodiya</t>
  </si>
  <si>
    <t>100644</t>
  </si>
  <si>
    <t>Amoliya</t>
  </si>
  <si>
    <t>100645</t>
  </si>
  <si>
    <t>Chogawari</t>
  </si>
  <si>
    <t>100646</t>
  </si>
  <si>
    <t>Kasara Kheri</t>
  </si>
  <si>
    <t>100647</t>
  </si>
  <si>
    <t>Rolahera</t>
  </si>
  <si>
    <t>100648</t>
  </si>
  <si>
    <t>100649</t>
  </si>
  <si>
    <t>PANDOLI</t>
  </si>
  <si>
    <t>Pandoli</t>
  </si>
  <si>
    <t>100650</t>
  </si>
  <si>
    <t>Mandaldeh</t>
  </si>
  <si>
    <t>100651</t>
  </si>
  <si>
    <t>TUMBARIYA</t>
  </si>
  <si>
    <t>Purohiton Ka Sanwata</t>
  </si>
  <si>
    <t>100652</t>
  </si>
  <si>
    <t>Narela</t>
  </si>
  <si>
    <t>100653</t>
  </si>
  <si>
    <t>Sisodiyon Ka Sanwata</t>
  </si>
  <si>
    <t>100654</t>
  </si>
  <si>
    <t>100655</t>
  </si>
  <si>
    <t>Rojra</t>
  </si>
  <si>
    <t>100656</t>
  </si>
  <si>
    <t>Tumbariya</t>
  </si>
  <si>
    <t>100657</t>
  </si>
  <si>
    <t>NETAWALMAHARAJ</t>
  </si>
  <si>
    <t>Sajjanpura</t>
  </si>
  <si>
    <t>100658</t>
  </si>
  <si>
    <t>Netawal Maharaj</t>
  </si>
  <si>
    <t>100659</t>
  </si>
  <si>
    <t>Panchli</t>
  </si>
  <si>
    <t>100660</t>
  </si>
  <si>
    <t>Bejnathiya</t>
  </si>
  <si>
    <t>100661</t>
  </si>
  <si>
    <t>SATPURA</t>
  </si>
  <si>
    <t>Gadri Khera</t>
  </si>
  <si>
    <t>100662</t>
  </si>
  <si>
    <t>100663</t>
  </si>
  <si>
    <t>ODOOND</t>
  </si>
  <si>
    <t>Lakha Ka Khera</t>
  </si>
  <si>
    <t>100664</t>
  </si>
  <si>
    <t>Odoond</t>
  </si>
  <si>
    <t>100665</t>
  </si>
  <si>
    <t>KASHMOR</t>
  </si>
  <si>
    <t>Kashmor</t>
  </si>
  <si>
    <t>100666</t>
  </si>
  <si>
    <t>Dhanet Khurd</t>
  </si>
  <si>
    <t>100667</t>
  </si>
  <si>
    <t>DHANET KALAN</t>
  </si>
  <si>
    <t>Dhanet Kalan</t>
  </si>
  <si>
    <t>100668</t>
  </si>
  <si>
    <t>Narpat Ki Kheri</t>
  </si>
  <si>
    <t>100669</t>
  </si>
  <si>
    <t>Ganesh Pura</t>
  </si>
  <si>
    <t>100670</t>
  </si>
  <si>
    <t>Dagla Ka Khera</t>
  </si>
  <si>
    <t>100671</t>
  </si>
  <si>
    <t>Bodiyana</t>
  </si>
  <si>
    <t>100672</t>
  </si>
  <si>
    <t>Bherda</t>
  </si>
  <si>
    <t>100673</t>
  </si>
  <si>
    <t>SEMALPURA</t>
  </si>
  <si>
    <t>Jai</t>
  </si>
  <si>
    <t>100674</t>
  </si>
  <si>
    <t>Surjana</t>
  </si>
  <si>
    <t>100675</t>
  </si>
  <si>
    <t>Achhora</t>
  </si>
  <si>
    <t>100676</t>
  </si>
  <si>
    <t>Damdama</t>
  </si>
  <si>
    <t>100677</t>
  </si>
  <si>
    <t>MANPURA</t>
  </si>
  <si>
    <t>Seerdi</t>
  </si>
  <si>
    <t>100678</t>
  </si>
  <si>
    <t>Semalpura</t>
  </si>
  <si>
    <t>100679</t>
  </si>
  <si>
    <t>100680</t>
  </si>
  <si>
    <t>NETAWALGARHPACHHLI</t>
  </si>
  <si>
    <t>Bhairoosingh Ka Khera</t>
  </si>
  <si>
    <t>100681</t>
  </si>
  <si>
    <t>ABHAYPURA</t>
  </si>
  <si>
    <t>Mango Dara</t>
  </si>
  <si>
    <t>100682</t>
  </si>
  <si>
    <t>NAGARI</t>
  </si>
  <si>
    <t>Ekling Pura</t>
  </si>
  <si>
    <t>100683</t>
  </si>
  <si>
    <t>Bheelya Khera</t>
  </si>
  <si>
    <t>100684</t>
  </si>
  <si>
    <t>Nagri</t>
  </si>
  <si>
    <t>100685</t>
  </si>
  <si>
    <t>Gurjar Khera</t>
  </si>
  <si>
    <t>100686</t>
  </si>
  <si>
    <t>Dhordiya</t>
  </si>
  <si>
    <t>100687</t>
  </si>
  <si>
    <t>Biliya</t>
  </si>
  <si>
    <t>100688</t>
  </si>
  <si>
    <t>SUWANIYA</t>
  </si>
  <si>
    <t>100689</t>
  </si>
  <si>
    <t>ANWALHERA</t>
  </si>
  <si>
    <t>Anwal Hera</t>
  </si>
  <si>
    <t>100690</t>
  </si>
  <si>
    <t>Baldarkha</t>
  </si>
  <si>
    <t>100691</t>
  </si>
  <si>
    <t>GHOSONDI</t>
  </si>
  <si>
    <t>100692</t>
  </si>
  <si>
    <t>Ghosondi</t>
  </si>
  <si>
    <t>100693</t>
  </si>
  <si>
    <t>Songaron Ki Kheri</t>
  </si>
  <si>
    <t>100694</t>
  </si>
  <si>
    <t>Negadiya Kalan</t>
  </si>
  <si>
    <t>100695</t>
  </si>
  <si>
    <t>Negadiya Khurd</t>
  </si>
  <si>
    <t>100696</t>
  </si>
  <si>
    <t>Bhoocharton Ki Kheri</t>
  </si>
  <si>
    <t>100697</t>
  </si>
  <si>
    <t>BASSI</t>
  </si>
  <si>
    <t>100698</t>
  </si>
  <si>
    <t>UDPURA</t>
  </si>
  <si>
    <t>Biharipura</t>
  </si>
  <si>
    <t>100699</t>
  </si>
  <si>
    <t>Songar</t>
  </si>
  <si>
    <t>100700</t>
  </si>
  <si>
    <t>100701</t>
  </si>
  <si>
    <t>Chhapiya Kheri</t>
  </si>
  <si>
    <t>100702</t>
  </si>
  <si>
    <t>Peepaliya Khurd</t>
  </si>
  <si>
    <t>100703</t>
  </si>
  <si>
    <t>Duwawa</t>
  </si>
  <si>
    <t>100704</t>
  </si>
  <si>
    <t>Sokya</t>
  </si>
  <si>
    <t>100705</t>
  </si>
  <si>
    <t>Dahee Khera</t>
  </si>
  <si>
    <t>100706</t>
  </si>
  <si>
    <t>PALKA</t>
  </si>
  <si>
    <t>Suwawa</t>
  </si>
  <si>
    <t>100707</t>
  </si>
  <si>
    <t>100708</t>
  </si>
  <si>
    <t>Siyaliya</t>
  </si>
  <si>
    <t>100709</t>
  </si>
  <si>
    <t>100710</t>
  </si>
  <si>
    <t>100711</t>
  </si>
  <si>
    <t>KELJER</t>
  </si>
  <si>
    <t>Kewariya</t>
  </si>
  <si>
    <t>100712</t>
  </si>
  <si>
    <t>Mewasa</t>
  </si>
  <si>
    <t>100713</t>
  </si>
  <si>
    <t>Bobla Kalan</t>
  </si>
  <si>
    <t>100714</t>
  </si>
  <si>
    <t>Suratsingh Ka Khera</t>
  </si>
  <si>
    <t>100715</t>
  </si>
  <si>
    <t>Phusariya</t>
  </si>
  <si>
    <t>100716</t>
  </si>
  <si>
    <t>Amlee Ka Khera</t>
  </si>
  <si>
    <t>100717</t>
  </si>
  <si>
    <t>CHIKSI</t>
  </si>
  <si>
    <t>100718</t>
  </si>
  <si>
    <t>Garol</t>
  </si>
  <si>
    <t>100719</t>
  </si>
  <si>
    <t>ERAL</t>
  </si>
  <si>
    <t>Rajpuriya</t>
  </si>
  <si>
    <t>100720</t>
  </si>
  <si>
    <t>100721</t>
  </si>
  <si>
    <t>Banda @ Ganeshpura</t>
  </si>
  <si>
    <t>100722</t>
  </si>
  <si>
    <t>Bhoongariya</t>
  </si>
  <si>
    <t>100723</t>
  </si>
  <si>
    <t>Bobla Khurd</t>
  </si>
  <si>
    <t>100724</t>
  </si>
  <si>
    <t>PAL</t>
  </si>
  <si>
    <t>Manpuriya</t>
  </si>
  <si>
    <t>100725</t>
  </si>
  <si>
    <t>Keljer</t>
  </si>
  <si>
    <t>100726</t>
  </si>
  <si>
    <t>Pal</t>
  </si>
  <si>
    <t>100727</t>
  </si>
  <si>
    <t>Pal Ka Khera</t>
  </si>
  <si>
    <t>100728</t>
  </si>
  <si>
    <t>Mayra</t>
  </si>
  <si>
    <t>100729</t>
  </si>
  <si>
    <t>Galiyamal</t>
  </si>
  <si>
    <t>100730</t>
  </si>
  <si>
    <t>Kanwarji Ka Khera</t>
  </si>
  <si>
    <t>100731</t>
  </si>
  <si>
    <t>Arjunpura</t>
  </si>
  <si>
    <t>100732</t>
  </si>
  <si>
    <t>Bhadanon Ka Khera</t>
  </si>
  <si>
    <t>100733</t>
  </si>
  <si>
    <t>Godi</t>
  </si>
  <si>
    <t>100734</t>
  </si>
  <si>
    <t>BIJAIPUR</t>
  </si>
  <si>
    <t>Madhupuriya</t>
  </si>
  <si>
    <t>100735</t>
  </si>
  <si>
    <t>Gorsiya</t>
  </si>
  <si>
    <t>100736</t>
  </si>
  <si>
    <t>Deo Doongi</t>
  </si>
  <si>
    <t>100737</t>
  </si>
  <si>
    <t>Jawasiya</t>
  </si>
  <si>
    <t>100738</t>
  </si>
  <si>
    <t>Bhupat Pura</t>
  </si>
  <si>
    <t>100739</t>
  </si>
  <si>
    <t>Kherach</t>
  </si>
  <si>
    <t>100740</t>
  </si>
  <si>
    <t>Bijaipur</t>
  </si>
  <si>
    <t>100741</t>
  </si>
  <si>
    <t>Dhangliya Khera</t>
  </si>
  <si>
    <t>100742</t>
  </si>
  <si>
    <t>AMARPURA</t>
  </si>
  <si>
    <t>Kheta Khera</t>
  </si>
  <si>
    <t>100743</t>
  </si>
  <si>
    <t>Rasya Magri</t>
  </si>
  <si>
    <t>100744</t>
  </si>
  <si>
    <t>Dolatpura</t>
  </si>
  <si>
    <t>100745</t>
  </si>
  <si>
    <t>Kotri</t>
  </si>
  <si>
    <t>100746</t>
  </si>
  <si>
    <t>Kushalpura</t>
  </si>
  <si>
    <t>100747</t>
  </si>
  <si>
    <t>Undri</t>
  </si>
  <si>
    <t>100748</t>
  </si>
  <si>
    <t>100749</t>
  </si>
  <si>
    <t>Sadi</t>
  </si>
  <si>
    <t>100750</t>
  </si>
  <si>
    <t>100751</t>
  </si>
  <si>
    <t>Aambaberi</t>
  </si>
  <si>
    <t>100752</t>
  </si>
  <si>
    <t>100753</t>
  </si>
  <si>
    <t>100754</t>
  </si>
  <si>
    <t>Bheem Puriya</t>
  </si>
  <si>
    <t>100755</t>
  </si>
  <si>
    <t>Bhadi Khera</t>
  </si>
  <si>
    <t>100756</t>
  </si>
  <si>
    <t>Pachundal</t>
  </si>
  <si>
    <t>100757</t>
  </si>
  <si>
    <t>Dhadhan</t>
  </si>
  <si>
    <t>100758</t>
  </si>
  <si>
    <t>Surajpol</t>
  </si>
  <si>
    <t>100759</t>
  </si>
  <si>
    <t>Beerghas</t>
  </si>
  <si>
    <t>100760</t>
  </si>
  <si>
    <t>Eral</t>
  </si>
  <si>
    <t>100761</t>
  </si>
  <si>
    <t>100762</t>
  </si>
  <si>
    <t>Khardi Baori</t>
  </si>
  <si>
    <t>100763</t>
  </si>
  <si>
    <t>Chittauri</t>
  </si>
  <si>
    <t>100764</t>
  </si>
  <si>
    <t>OCHHARI</t>
  </si>
  <si>
    <t>Ochhari</t>
  </si>
  <si>
    <t>100765</t>
  </si>
  <si>
    <t>Khericharnan</t>
  </si>
  <si>
    <t>100766</t>
  </si>
  <si>
    <t>JALAM PURA</t>
  </si>
  <si>
    <t>Khor</t>
  </si>
  <si>
    <t>100767</t>
  </si>
  <si>
    <t>Ordi</t>
  </si>
  <si>
    <t>100768</t>
  </si>
  <si>
    <t>100769</t>
  </si>
  <si>
    <t>Biloda</t>
  </si>
  <si>
    <t>100770</t>
  </si>
  <si>
    <t>SEMALIYA</t>
  </si>
  <si>
    <t>100771</t>
  </si>
  <si>
    <t>Segawa</t>
  </si>
  <si>
    <t>100772</t>
  </si>
  <si>
    <t>SAHNAWA</t>
  </si>
  <si>
    <t>Bojunda</t>
  </si>
  <si>
    <t>100773</t>
  </si>
  <si>
    <t>Lalji Ka Khera</t>
  </si>
  <si>
    <t>100774</t>
  </si>
  <si>
    <t>Barada</t>
  </si>
  <si>
    <t>100775</t>
  </si>
  <si>
    <t>Mishron Ki Peepali</t>
  </si>
  <si>
    <t>100776</t>
  </si>
  <si>
    <t>Pavatiya</t>
  </si>
  <si>
    <t>100777</t>
  </si>
  <si>
    <t>GHOSUNDA</t>
  </si>
  <si>
    <t>Ghosunda</t>
  </si>
  <si>
    <t>100778</t>
  </si>
  <si>
    <t>Gadariyawas</t>
  </si>
  <si>
    <t>100779</t>
  </si>
  <si>
    <t>Bharliya Khera</t>
  </si>
  <si>
    <t>100780</t>
  </si>
  <si>
    <t>Kanthariya Chauhanon Ka</t>
  </si>
  <si>
    <t>100781</t>
  </si>
  <si>
    <t>Satpura</t>
  </si>
  <si>
    <t>100782</t>
  </si>
  <si>
    <t>100783</t>
  </si>
  <si>
    <t>Gangaji Ka Khera</t>
  </si>
  <si>
    <t>100784</t>
  </si>
  <si>
    <t>Badar Ka Khera</t>
  </si>
  <si>
    <t>100785</t>
  </si>
  <si>
    <t>Roop Pura</t>
  </si>
  <si>
    <t>100786</t>
  </si>
  <si>
    <t>DEORI</t>
  </si>
  <si>
    <t>Hapawas</t>
  </si>
  <si>
    <t>100787</t>
  </si>
  <si>
    <t>100788</t>
  </si>
  <si>
    <t>Fatehgarh</t>
  </si>
  <si>
    <t>100789</t>
  </si>
  <si>
    <t>100790</t>
  </si>
  <si>
    <t>Ghaghsa</t>
  </si>
  <si>
    <t>100791</t>
  </si>
  <si>
    <t>Thukrawa</t>
  </si>
  <si>
    <t>100792</t>
  </si>
  <si>
    <t>Reethola</t>
  </si>
  <si>
    <t>100793</t>
  </si>
  <si>
    <t>Sahnawa</t>
  </si>
  <si>
    <t>100794</t>
  </si>
  <si>
    <t>Jafarpura</t>
  </si>
  <si>
    <t>100795</t>
  </si>
  <si>
    <t>Chothpura</t>
  </si>
  <si>
    <t>100796</t>
  </si>
  <si>
    <t>Beelora</t>
  </si>
  <si>
    <t>100797</t>
  </si>
  <si>
    <t>Pachtoli</t>
  </si>
  <si>
    <t>100798</t>
  </si>
  <si>
    <t>Jeetawal</t>
  </si>
  <si>
    <t>100799</t>
  </si>
  <si>
    <t>Chiksi</t>
  </si>
  <si>
    <t>100800</t>
  </si>
  <si>
    <t>100801</t>
  </si>
  <si>
    <t>Jogni</t>
  </si>
  <si>
    <t>100802</t>
  </si>
  <si>
    <t>Bansati</t>
  </si>
  <si>
    <t>100803</t>
  </si>
  <si>
    <t>Khera Bansati</t>
  </si>
  <si>
    <t>100804</t>
  </si>
  <si>
    <t>100805</t>
  </si>
  <si>
    <t>Meenon Ka Kanthariya</t>
  </si>
  <si>
    <t>100806</t>
  </si>
  <si>
    <t>SHAMBHOOPURA</t>
  </si>
  <si>
    <t>Patniya</t>
  </si>
  <si>
    <t>100807</t>
  </si>
  <si>
    <t>SAMRI</t>
  </si>
  <si>
    <t>100808</t>
  </si>
  <si>
    <t>Rel Ka Amrana</t>
  </si>
  <si>
    <t>100809</t>
  </si>
  <si>
    <t>Jorawarsingh Ka Khera</t>
  </si>
  <si>
    <t>100810</t>
  </si>
  <si>
    <t>Amar Pura</t>
  </si>
  <si>
    <t>100811</t>
  </si>
  <si>
    <t>Seendwari</t>
  </si>
  <si>
    <t>100812</t>
  </si>
  <si>
    <t>100813</t>
  </si>
  <si>
    <t>Bad Ka Amrana</t>
  </si>
  <si>
    <t>100814</t>
  </si>
  <si>
    <t>Neem Ka Amrana</t>
  </si>
  <si>
    <t>100815</t>
  </si>
  <si>
    <t>Medi Ka Amrana</t>
  </si>
  <si>
    <t>100816</t>
  </si>
  <si>
    <t>Samri</t>
  </si>
  <si>
    <t>100817</t>
  </si>
  <si>
    <t>100818</t>
  </si>
  <si>
    <t>100819</t>
  </si>
  <si>
    <t>100820</t>
  </si>
  <si>
    <t>ARNIYA PANTH</t>
  </si>
  <si>
    <t>Arniya Panth</t>
  </si>
  <si>
    <t>100821</t>
  </si>
  <si>
    <t>Theekariya</t>
  </si>
  <si>
    <t>100822</t>
  </si>
  <si>
    <t>Bamniya</t>
  </si>
  <si>
    <t>100823</t>
  </si>
  <si>
    <t>100824</t>
  </si>
  <si>
    <t>GILUND</t>
  </si>
  <si>
    <t>Mataji Ki Ordi</t>
  </si>
  <si>
    <t>100825</t>
  </si>
  <si>
    <t>GHATIYAWALI</t>
  </si>
  <si>
    <t>Ghatiyawali</t>
  </si>
  <si>
    <t>100826</t>
  </si>
  <si>
    <t>Gilund</t>
  </si>
  <si>
    <t>100827</t>
  </si>
  <si>
    <t>Bhatiyon Ka Khera</t>
  </si>
  <si>
    <t>100828</t>
  </si>
  <si>
    <t>Khera Gilund</t>
  </si>
  <si>
    <t>100829</t>
  </si>
  <si>
    <t>Dharana</t>
  </si>
  <si>
    <t>100830</t>
  </si>
  <si>
    <t>Modji Ka Khera</t>
  </si>
  <si>
    <t>100831</t>
  </si>
  <si>
    <t>100832</t>
  </si>
  <si>
    <t>Siyalkund</t>
  </si>
  <si>
    <t>100833</t>
  </si>
  <si>
    <t>Gadhwara</t>
  </si>
  <si>
    <t>100834</t>
  </si>
  <si>
    <t>Keljarka Khera</t>
  </si>
  <si>
    <t>100835</t>
  </si>
  <si>
    <t>Netawalgarh Pachhli</t>
  </si>
  <si>
    <t>100836</t>
  </si>
  <si>
    <t>Chatar Bhuj Ka Khera</t>
  </si>
  <si>
    <t>100837</t>
  </si>
  <si>
    <t>100838</t>
  </si>
  <si>
    <t>Hansla</t>
  </si>
  <si>
    <t>100839</t>
  </si>
  <si>
    <t>100840</t>
  </si>
  <si>
    <t>100841</t>
  </si>
  <si>
    <t>Paler</t>
  </si>
  <si>
    <t>100842</t>
  </si>
  <si>
    <t>Sankal Khera</t>
  </si>
  <si>
    <t>100843</t>
  </si>
  <si>
    <t>100844</t>
  </si>
  <si>
    <t>Manak Pura</t>
  </si>
  <si>
    <t>100845</t>
  </si>
  <si>
    <t>100846</t>
  </si>
  <si>
    <t>Bageriya</t>
  </si>
  <si>
    <t>100847</t>
  </si>
  <si>
    <t>100848</t>
  </si>
  <si>
    <t>Bharkiya</t>
  </si>
  <si>
    <t>100849</t>
  </si>
  <si>
    <t>Bagatpura @ Karma Ka Khera</t>
  </si>
  <si>
    <t>100850</t>
  </si>
  <si>
    <t>Guner</t>
  </si>
  <si>
    <t>100851</t>
  </si>
  <si>
    <t>Mahupuriya</t>
  </si>
  <si>
    <t>100852</t>
  </si>
  <si>
    <t>Rawat Ka Talab</t>
  </si>
  <si>
    <t>100853</t>
  </si>
  <si>
    <t>100854</t>
  </si>
  <si>
    <t>Palchha</t>
  </si>
  <si>
    <t>100855</t>
  </si>
  <si>
    <t>100856</t>
  </si>
  <si>
    <t>100857</t>
  </si>
  <si>
    <t>Chamanpura</t>
  </si>
  <si>
    <t>100858</t>
  </si>
  <si>
    <t>Nalda</t>
  </si>
  <si>
    <t>100859</t>
  </si>
  <si>
    <t>100860</t>
  </si>
  <si>
    <t>Hathi Ka Gurha</t>
  </si>
  <si>
    <t>100861</t>
  </si>
  <si>
    <t>Pema Ka Khera</t>
  </si>
  <si>
    <t>100862</t>
  </si>
  <si>
    <t>Kanpura</t>
  </si>
  <si>
    <t>100863</t>
  </si>
  <si>
    <t>Barsingh Ka Gurha</t>
  </si>
  <si>
    <t>100864</t>
  </si>
  <si>
    <t>100865</t>
  </si>
  <si>
    <t>Sankera</t>
  </si>
  <si>
    <t>100866</t>
  </si>
  <si>
    <t>Bihari Pura</t>
  </si>
  <si>
    <t>100867</t>
  </si>
  <si>
    <t>Dungla</t>
  </si>
  <si>
    <t>SANGESARA</t>
  </si>
  <si>
    <t>Sataliyawas</t>
  </si>
  <si>
    <t>101066</t>
  </si>
  <si>
    <t>Mohammad Ganj</t>
  </si>
  <si>
    <t>101067</t>
  </si>
  <si>
    <t>Kareempura</t>
  </si>
  <si>
    <t>101068</t>
  </si>
  <si>
    <t>Kumhar Khera</t>
  </si>
  <si>
    <t>101069</t>
  </si>
  <si>
    <t>101070</t>
  </si>
  <si>
    <t>Sangesara</t>
  </si>
  <si>
    <t>101071</t>
  </si>
  <si>
    <t>LOTHIYANA</t>
  </si>
  <si>
    <t>101072</t>
  </si>
  <si>
    <t>Sameliya Mahadeo</t>
  </si>
  <si>
    <t>101073</t>
  </si>
  <si>
    <t>NEGADIYA</t>
  </si>
  <si>
    <t>Hariya-Kheri</t>
  </si>
  <si>
    <t>101074</t>
  </si>
  <si>
    <t>Jal Kheri</t>
  </si>
  <si>
    <t>101075</t>
  </si>
  <si>
    <t>101076</t>
  </si>
  <si>
    <t>NANGAWALI</t>
  </si>
  <si>
    <t>Nangawali</t>
  </si>
  <si>
    <t>101077</t>
  </si>
  <si>
    <t>Chaktiya</t>
  </si>
  <si>
    <t>101078</t>
  </si>
  <si>
    <t>Nayakhera</t>
  </si>
  <si>
    <t>101079</t>
  </si>
  <si>
    <t>101080</t>
  </si>
  <si>
    <t>NADA KHERA</t>
  </si>
  <si>
    <t>Nada-Khera</t>
  </si>
  <si>
    <t>101081</t>
  </si>
  <si>
    <t>Ghora-Khera</t>
  </si>
  <si>
    <t>101082</t>
  </si>
  <si>
    <t>Bhoot-Khera</t>
  </si>
  <si>
    <t>101083</t>
  </si>
  <si>
    <t>Bhatoli Goojran</t>
  </si>
  <si>
    <t>101084</t>
  </si>
  <si>
    <t>101085</t>
  </si>
  <si>
    <t>MORWAN</t>
  </si>
  <si>
    <t>Azampura</t>
  </si>
  <si>
    <t>101086</t>
  </si>
  <si>
    <t>Nangpura</t>
  </si>
  <si>
    <t>101087</t>
  </si>
  <si>
    <t>Pal-Kheri</t>
  </si>
  <si>
    <t>101088</t>
  </si>
  <si>
    <t>Morwan</t>
  </si>
  <si>
    <t>101089</t>
  </si>
  <si>
    <t>Bheela Khera</t>
  </si>
  <si>
    <t>101090</t>
  </si>
  <si>
    <t>101091</t>
  </si>
  <si>
    <t>MANGALWAR</t>
  </si>
  <si>
    <t>Mangalwar</t>
  </si>
  <si>
    <t>101092</t>
  </si>
  <si>
    <t>RAWAT PURA</t>
  </si>
  <si>
    <t>101093</t>
  </si>
  <si>
    <t>IDRA</t>
  </si>
  <si>
    <t>Rodji Ka Khera</t>
  </si>
  <si>
    <t>101094</t>
  </si>
  <si>
    <t>Titarda</t>
  </si>
  <si>
    <t>101095</t>
  </si>
  <si>
    <t>Negadiya</t>
  </si>
  <si>
    <t>101096</t>
  </si>
  <si>
    <t>Kishorji Ka Khera</t>
  </si>
  <si>
    <t>101097</t>
  </si>
  <si>
    <t>Chhapri</t>
  </si>
  <si>
    <t>101098</t>
  </si>
  <si>
    <t>Idra</t>
  </si>
  <si>
    <t>101099</t>
  </si>
  <si>
    <t>Kheta-Khera</t>
  </si>
  <si>
    <t>101100</t>
  </si>
  <si>
    <t>ARNED</t>
  </si>
  <si>
    <t>Arned</t>
  </si>
  <si>
    <t>101101</t>
  </si>
  <si>
    <t>Laxmi Pura</t>
  </si>
  <si>
    <t>101102</t>
  </si>
  <si>
    <t>BILODA</t>
  </si>
  <si>
    <t>101103</t>
  </si>
  <si>
    <t>Norangabad Khurd</t>
  </si>
  <si>
    <t>101104</t>
  </si>
  <si>
    <t>Mircha Kheri</t>
  </si>
  <si>
    <t>101105</t>
  </si>
  <si>
    <t>PALOD</t>
  </si>
  <si>
    <t>Padampura</t>
  </si>
  <si>
    <t>101106</t>
  </si>
  <si>
    <t>Daulaipura</t>
  </si>
  <si>
    <t>101107</t>
  </si>
  <si>
    <t>Lakhmipura</t>
  </si>
  <si>
    <t>101108</t>
  </si>
  <si>
    <t>BHATOLI BAGRIYAN</t>
  </si>
  <si>
    <t>Neemgaon</t>
  </si>
  <si>
    <t>101109</t>
  </si>
  <si>
    <t>Suja Khera</t>
  </si>
  <si>
    <t>101110</t>
  </si>
  <si>
    <t>Jhar Sadri</t>
  </si>
  <si>
    <t>101111</t>
  </si>
  <si>
    <t>101112</t>
  </si>
  <si>
    <t>CHIKARDA</t>
  </si>
  <si>
    <t>Chikarda</t>
  </si>
  <si>
    <t>101113</t>
  </si>
  <si>
    <t>NOGAWAN</t>
  </si>
  <si>
    <t>101114</t>
  </si>
  <si>
    <t>Nogawan</t>
  </si>
  <si>
    <t>101115</t>
  </si>
  <si>
    <t>ALOD</t>
  </si>
  <si>
    <t>Malook Das Ki Kheri</t>
  </si>
  <si>
    <t>101116</t>
  </si>
  <si>
    <t>Wazeerpura</t>
  </si>
  <si>
    <t>101117</t>
  </si>
  <si>
    <t>Parmeshwarpura</t>
  </si>
  <si>
    <t>101118</t>
  </si>
  <si>
    <t>101119</t>
  </si>
  <si>
    <t>Bhatoli Bagariyan</t>
  </si>
  <si>
    <t>101120</t>
  </si>
  <si>
    <t>Nanga Khera</t>
  </si>
  <si>
    <t>101121</t>
  </si>
  <si>
    <t>Teela Khera</t>
  </si>
  <si>
    <t>101122</t>
  </si>
  <si>
    <t>101123</t>
  </si>
  <si>
    <t>Wazeerabad</t>
  </si>
  <si>
    <t>101124</t>
  </si>
  <si>
    <t>Palod</t>
  </si>
  <si>
    <t>101125</t>
  </si>
  <si>
    <t>PIRANA</t>
  </si>
  <si>
    <t>Deoli</t>
  </si>
  <si>
    <t>101126</t>
  </si>
  <si>
    <t>DOONGLA</t>
  </si>
  <si>
    <t>Norangabad Kalan</t>
  </si>
  <si>
    <t>101127</t>
  </si>
  <si>
    <t>Garawala</t>
  </si>
  <si>
    <t>101128</t>
  </si>
  <si>
    <t>Bhana-Kheri</t>
  </si>
  <si>
    <t>101129</t>
  </si>
  <si>
    <t>KISHAN KARERI</t>
  </si>
  <si>
    <t>Devipura</t>
  </si>
  <si>
    <t>101130</t>
  </si>
  <si>
    <t>Semaliya Mal</t>
  </si>
  <si>
    <t>101131</t>
  </si>
  <si>
    <t>101132</t>
  </si>
  <si>
    <t>BADWAI</t>
  </si>
  <si>
    <t>101133</t>
  </si>
  <si>
    <t>101134</t>
  </si>
  <si>
    <t>101135</t>
  </si>
  <si>
    <t>Lambi Choti</t>
  </si>
  <si>
    <t>101136</t>
  </si>
  <si>
    <t>Ajeetpura</t>
  </si>
  <si>
    <t>101137</t>
  </si>
  <si>
    <t>Hamer Singh Ji Ka Khera</t>
  </si>
  <si>
    <t>101138</t>
  </si>
  <si>
    <t>Ghoronka Ka Khera</t>
  </si>
  <si>
    <t>101139</t>
  </si>
  <si>
    <t>Beeron Ka Khera</t>
  </si>
  <si>
    <t>101140</t>
  </si>
  <si>
    <t>Bhanpa</t>
  </si>
  <si>
    <t>101141</t>
  </si>
  <si>
    <t>101142</t>
  </si>
  <si>
    <t>Bhopji Ka Khera</t>
  </si>
  <si>
    <t>101143</t>
  </si>
  <si>
    <t>Kishan Kareri</t>
  </si>
  <si>
    <t>101144</t>
  </si>
  <si>
    <t>Nimodara</t>
  </si>
  <si>
    <t>101145</t>
  </si>
  <si>
    <t>Surera</t>
  </si>
  <si>
    <t>101146</t>
  </si>
  <si>
    <t>Fateh Chikarda</t>
  </si>
  <si>
    <t>101147</t>
  </si>
  <si>
    <t>Doongla</t>
  </si>
  <si>
    <t>101148</t>
  </si>
  <si>
    <t>KARSANA</t>
  </si>
  <si>
    <t>Karsana</t>
  </si>
  <si>
    <t>101149</t>
  </si>
  <si>
    <t>SEMALIYA PEELAKHERA</t>
  </si>
  <si>
    <t>Arthala</t>
  </si>
  <si>
    <t>101150</t>
  </si>
  <si>
    <t>Semaliya Peela Khera</t>
  </si>
  <si>
    <t>101151</t>
  </si>
  <si>
    <t>Mata Khera</t>
  </si>
  <si>
    <t>101152</t>
  </si>
  <si>
    <t>Khera Aheeran</t>
  </si>
  <si>
    <t>101153</t>
  </si>
  <si>
    <t>Pirana</t>
  </si>
  <si>
    <t>101154</t>
  </si>
  <si>
    <t>101155</t>
  </si>
  <si>
    <t>Alod</t>
  </si>
  <si>
    <t>101156</t>
  </si>
  <si>
    <t>Ala Kheri</t>
  </si>
  <si>
    <t>101157</t>
  </si>
  <si>
    <t>Talau</t>
  </si>
  <si>
    <t>101158</t>
  </si>
  <si>
    <t>PHALODRA</t>
  </si>
  <si>
    <t>Phalodra</t>
  </si>
  <si>
    <t>101159</t>
  </si>
  <si>
    <t>Gumanpura</t>
  </si>
  <si>
    <t>101160</t>
  </si>
  <si>
    <t>BILOT</t>
  </si>
  <si>
    <t>Bhurkiya Khurd</t>
  </si>
  <si>
    <t>101161</t>
  </si>
  <si>
    <t>Bilot</t>
  </si>
  <si>
    <t>101162</t>
  </si>
  <si>
    <t>Talawada</t>
  </si>
  <si>
    <t>101163</t>
  </si>
  <si>
    <t>Mahuri Khera</t>
  </si>
  <si>
    <t>101164</t>
  </si>
  <si>
    <t>DELWAS</t>
  </si>
  <si>
    <t>101165</t>
  </si>
  <si>
    <t>Durga Khera</t>
  </si>
  <si>
    <t>101166</t>
  </si>
  <si>
    <t>Katera</t>
  </si>
  <si>
    <t>101167</t>
  </si>
  <si>
    <t>101168</t>
  </si>
  <si>
    <t>Jhanjhalwas</t>
  </si>
  <si>
    <t>101169</t>
  </si>
  <si>
    <t>Chhajvi</t>
  </si>
  <si>
    <t>101170</t>
  </si>
  <si>
    <t>Parana</t>
  </si>
  <si>
    <t>101171</t>
  </si>
  <si>
    <t>101172</t>
  </si>
  <si>
    <t>Gurjaniya</t>
  </si>
  <si>
    <t>101173</t>
  </si>
  <si>
    <t>Sethwana</t>
  </si>
  <si>
    <t>101174</t>
  </si>
  <si>
    <t>Gangrar</t>
  </si>
  <si>
    <t>UNDWA</t>
  </si>
  <si>
    <t>Kasedi</t>
  </si>
  <si>
    <t>100036</t>
  </si>
  <si>
    <t>Undawa</t>
  </si>
  <si>
    <t>100037</t>
  </si>
  <si>
    <t>Nagon Ka Khera</t>
  </si>
  <si>
    <t>100038</t>
  </si>
  <si>
    <t>Moti Bukan Ka Khera</t>
  </si>
  <si>
    <t>100039</t>
  </si>
  <si>
    <t>Bhuwanipura</t>
  </si>
  <si>
    <t>100040</t>
  </si>
  <si>
    <t>JOJRONKAKHERA</t>
  </si>
  <si>
    <t>100041</t>
  </si>
  <si>
    <t>Naksanpura</t>
  </si>
  <si>
    <t>100042</t>
  </si>
  <si>
    <t>Danta Ka Khera</t>
  </si>
  <si>
    <t>100043</t>
  </si>
  <si>
    <t>SONIYANA</t>
  </si>
  <si>
    <t>100044</t>
  </si>
  <si>
    <t>Gejra</t>
  </si>
  <si>
    <t>100045</t>
  </si>
  <si>
    <t>SHADI</t>
  </si>
  <si>
    <t>Rooppura @ Mal Ka Khera</t>
  </si>
  <si>
    <t>100046</t>
  </si>
  <si>
    <t>100047</t>
  </si>
  <si>
    <t>Naya Talab</t>
  </si>
  <si>
    <t>100048</t>
  </si>
  <si>
    <t>Mehtab Singhji Ka Khera</t>
  </si>
  <si>
    <t>100049</t>
  </si>
  <si>
    <t>Lalsinghji Ka Khera</t>
  </si>
  <si>
    <t>100050</t>
  </si>
  <si>
    <t>Kojoonda</t>
  </si>
  <si>
    <t>100051</t>
  </si>
  <si>
    <t>Bhatkhera</t>
  </si>
  <si>
    <t>100052</t>
  </si>
  <si>
    <t>MANDPIYA</t>
  </si>
  <si>
    <t>Motliyas</t>
  </si>
  <si>
    <t>100053</t>
  </si>
  <si>
    <t>RUGHNATHPURA</t>
  </si>
  <si>
    <t>Moon Ka Khera</t>
  </si>
  <si>
    <t>100054</t>
  </si>
  <si>
    <t>Chandanpura</t>
  </si>
  <si>
    <t>100055</t>
  </si>
  <si>
    <t>Kartiyas</t>
  </si>
  <si>
    <t>100056</t>
  </si>
  <si>
    <t>100057</t>
  </si>
  <si>
    <t>Bandanwara</t>
  </si>
  <si>
    <t>100058</t>
  </si>
  <si>
    <t>100059</t>
  </si>
  <si>
    <t>Phalodi</t>
  </si>
  <si>
    <t>100060</t>
  </si>
  <si>
    <t>Jawalion Ka Khera</t>
  </si>
  <si>
    <t>100061</t>
  </si>
  <si>
    <t>Rajyas</t>
  </si>
  <si>
    <t>100062</t>
  </si>
  <si>
    <t>SADAS</t>
  </si>
  <si>
    <t>Leerdi Khera</t>
  </si>
  <si>
    <t>100063</t>
  </si>
  <si>
    <t>Surajniyas</t>
  </si>
  <si>
    <t>100064</t>
  </si>
  <si>
    <t>Sadas</t>
  </si>
  <si>
    <t>100065</t>
  </si>
  <si>
    <t>Bhanpi</t>
  </si>
  <si>
    <t>100066</t>
  </si>
  <si>
    <t>Mandpiya</t>
  </si>
  <si>
    <t>100067</t>
  </si>
  <si>
    <t>Badliya</t>
  </si>
  <si>
    <t>100068</t>
  </si>
  <si>
    <t>Trestha</t>
  </si>
  <si>
    <t>100069</t>
  </si>
  <si>
    <t>100070</t>
  </si>
  <si>
    <t>GOWLIYA</t>
  </si>
  <si>
    <t>Mataji Ka Khera</t>
  </si>
  <si>
    <t>100071</t>
  </si>
  <si>
    <t>Nangpura @ Rathoron Ka Khera</t>
  </si>
  <si>
    <t>100072</t>
  </si>
  <si>
    <t>Shambhupura @ Kala Ka Khera</t>
  </si>
  <si>
    <t>100073</t>
  </si>
  <si>
    <t>Suratsingh Ji Ka Khera</t>
  </si>
  <si>
    <t>100074</t>
  </si>
  <si>
    <t>100075</t>
  </si>
  <si>
    <t>Jojron Ka Khera</t>
  </si>
  <si>
    <t>100076</t>
  </si>
  <si>
    <t>Nimbahera</t>
  </si>
  <si>
    <t>100077</t>
  </si>
  <si>
    <t>Bindoliya</t>
  </si>
  <si>
    <t>100078</t>
  </si>
  <si>
    <t>SUDRI</t>
  </si>
  <si>
    <t>Raipuria</t>
  </si>
  <si>
    <t>100079</t>
  </si>
  <si>
    <t>Deoda</t>
  </si>
  <si>
    <t>100080</t>
  </si>
  <si>
    <t>BOODH</t>
  </si>
  <si>
    <t>100081</t>
  </si>
  <si>
    <t>Garwarsingh Ka Khera</t>
  </si>
  <si>
    <t>100082</t>
  </si>
  <si>
    <t>100083</t>
  </si>
  <si>
    <t>Boodh</t>
  </si>
  <si>
    <t>100084</t>
  </si>
  <si>
    <t>Hamerpura</t>
  </si>
  <si>
    <t>100085</t>
  </si>
  <si>
    <t>KHARKHANDA</t>
  </si>
  <si>
    <t>100086</t>
  </si>
  <si>
    <t>Kharkhanda</t>
  </si>
  <si>
    <t>100087</t>
  </si>
  <si>
    <t>Indora</t>
  </si>
  <si>
    <t>100088</t>
  </si>
  <si>
    <t>100089</t>
  </si>
  <si>
    <t>100090</t>
  </si>
  <si>
    <t>Sudri</t>
  </si>
  <si>
    <t>100091</t>
  </si>
  <si>
    <t>Solankion Ka Khera</t>
  </si>
  <si>
    <t>100092</t>
  </si>
  <si>
    <t>100093</t>
  </si>
  <si>
    <t>Mokhamsingh Ji Ka Khera</t>
  </si>
  <si>
    <t>100094</t>
  </si>
  <si>
    <t>100095</t>
  </si>
  <si>
    <t>GANGRAR</t>
  </si>
  <si>
    <t>Jalki Ka Khera</t>
  </si>
  <si>
    <t>100096</t>
  </si>
  <si>
    <t>100097</t>
  </si>
  <si>
    <t>Sadapura</t>
  </si>
  <si>
    <t>100098</t>
  </si>
  <si>
    <t>Dadiya</t>
  </si>
  <si>
    <t>100099</t>
  </si>
  <si>
    <t>Jeewanayak Ka Khera</t>
  </si>
  <si>
    <t>100100</t>
  </si>
  <si>
    <t>100101</t>
  </si>
  <si>
    <t>100102</t>
  </si>
  <si>
    <t>Gowaliya</t>
  </si>
  <si>
    <t>100103</t>
  </si>
  <si>
    <t>LALAS</t>
  </si>
  <si>
    <t>Lalas</t>
  </si>
  <si>
    <t>100104</t>
  </si>
  <si>
    <t>CHOGAWARI</t>
  </si>
  <si>
    <t>Mansingh Ji Ka Khera</t>
  </si>
  <si>
    <t>100105</t>
  </si>
  <si>
    <t>Neemari Khera</t>
  </si>
  <si>
    <t>100106</t>
  </si>
  <si>
    <t>Peepalya Kalan</t>
  </si>
  <si>
    <t>100107</t>
  </si>
  <si>
    <t>KUNWALIYA</t>
  </si>
  <si>
    <t>Kunwaliya</t>
  </si>
  <si>
    <t>100108</t>
  </si>
  <si>
    <t>Lakhan Ka Khera</t>
  </si>
  <si>
    <t>100109</t>
  </si>
  <si>
    <t>Lala Ka Khera</t>
  </si>
  <si>
    <t>100110</t>
  </si>
  <si>
    <t>Jityas</t>
  </si>
  <si>
    <t>100111</t>
  </si>
  <si>
    <t>100112</t>
  </si>
  <si>
    <t>Akodiya</t>
  </si>
  <si>
    <t>100113</t>
  </si>
  <si>
    <t>TUMBADIYA</t>
  </si>
  <si>
    <t>Phaganiya</t>
  </si>
  <si>
    <t>100114</t>
  </si>
  <si>
    <t>Dhunwaliya</t>
  </si>
  <si>
    <t>100115</t>
  </si>
  <si>
    <t>Dhantol</t>
  </si>
  <si>
    <t>100116</t>
  </si>
  <si>
    <t>Dholi</t>
  </si>
  <si>
    <t>100117</t>
  </si>
  <si>
    <t>Roopa Khera</t>
  </si>
  <si>
    <t>100118</t>
  </si>
  <si>
    <t>100119</t>
  </si>
  <si>
    <t>Sandiya</t>
  </si>
  <si>
    <t>100120</t>
  </si>
  <si>
    <t>Tumbadiya</t>
  </si>
  <si>
    <t>100121</t>
  </si>
  <si>
    <t>Lalooduda Ka Khera @ Sultanpura</t>
  </si>
  <si>
    <t>100122</t>
  </si>
  <si>
    <t>100123</t>
  </si>
  <si>
    <t>Rada Ki Balad</t>
  </si>
  <si>
    <t>100124</t>
  </si>
  <si>
    <t>100125</t>
  </si>
  <si>
    <t>Khuntiya</t>
  </si>
  <si>
    <t>100126</t>
  </si>
  <si>
    <t>100127</t>
  </si>
  <si>
    <t>Chongawari</t>
  </si>
  <si>
    <t>100128</t>
  </si>
  <si>
    <t>Jodhsingh Ka Khera</t>
  </si>
  <si>
    <t>100129</t>
  </si>
  <si>
    <t>Moorliya</t>
  </si>
  <si>
    <t>100130</t>
  </si>
  <si>
    <t>Dhuwaliya</t>
  </si>
  <si>
    <t>100131</t>
  </si>
  <si>
    <t>Nolagadri Ka Khera</t>
  </si>
  <si>
    <t>100132</t>
  </si>
  <si>
    <t>100133</t>
  </si>
  <si>
    <t>100134</t>
  </si>
  <si>
    <t>Det</t>
  </si>
  <si>
    <t>100135</t>
  </si>
  <si>
    <t>BOLO KA SANWATA</t>
  </si>
  <si>
    <t>Laxmansingh Ji Ka Khera</t>
  </si>
  <si>
    <t>100136</t>
  </si>
  <si>
    <t>Modsingh Ki Chawki</t>
  </si>
  <si>
    <t>100137</t>
  </si>
  <si>
    <t>Amragadri Khera</t>
  </si>
  <si>
    <t>100138</t>
  </si>
  <si>
    <t>100139</t>
  </si>
  <si>
    <t>100140</t>
  </si>
  <si>
    <t>Dhoda</t>
  </si>
  <si>
    <t>100141</t>
  </si>
  <si>
    <t>Lambiya</t>
  </si>
  <si>
    <t>100142</t>
  </si>
  <si>
    <t>Era</t>
  </si>
  <si>
    <t>100143</t>
  </si>
  <si>
    <t>Sokriya</t>
  </si>
  <si>
    <t>100144</t>
  </si>
  <si>
    <t>100145</t>
  </si>
  <si>
    <t>100146</t>
  </si>
  <si>
    <t>KATI</t>
  </si>
  <si>
    <t>Sankaron Ka Khera</t>
  </si>
  <si>
    <t>100147</t>
  </si>
  <si>
    <t>Singola</t>
  </si>
  <si>
    <t>100148</t>
  </si>
  <si>
    <t>Kachnariya</t>
  </si>
  <si>
    <t>100149</t>
  </si>
  <si>
    <t>Banina</t>
  </si>
  <si>
    <t>100150</t>
  </si>
  <si>
    <t>Bhatwara Khurd</t>
  </si>
  <si>
    <t>100151</t>
  </si>
  <si>
    <t>BORDA</t>
  </si>
  <si>
    <t>Bhatwara Kalan</t>
  </si>
  <si>
    <t>100152</t>
  </si>
  <si>
    <t>Nathi Ka Khera</t>
  </si>
  <si>
    <t>100153</t>
  </si>
  <si>
    <t>100154</t>
  </si>
  <si>
    <t>100155</t>
  </si>
  <si>
    <t>Taleri</t>
  </si>
  <si>
    <t>100156</t>
  </si>
  <si>
    <t>Bolo Ka Sanwata</t>
  </si>
  <si>
    <t>100157</t>
  </si>
  <si>
    <t>Geniya</t>
  </si>
  <si>
    <t>100158</t>
  </si>
  <si>
    <t>AJOLION KA KHERA</t>
  </si>
  <si>
    <t>Ladupura</t>
  </si>
  <si>
    <t>100159</t>
  </si>
  <si>
    <t>100160</t>
  </si>
  <si>
    <t>100161</t>
  </si>
  <si>
    <t>100162</t>
  </si>
  <si>
    <t>Meri Khera</t>
  </si>
  <si>
    <t>100163</t>
  </si>
  <si>
    <t>Ajolion Ka Khera</t>
  </si>
  <si>
    <t>100164</t>
  </si>
  <si>
    <t>POOTHOLI</t>
  </si>
  <si>
    <t>Pootholi</t>
  </si>
  <si>
    <t>100165</t>
  </si>
  <si>
    <t>Monga Ka Khera</t>
  </si>
  <si>
    <t>100166</t>
  </si>
  <si>
    <t>Kapasan</t>
  </si>
  <si>
    <t>DHAMANA</t>
  </si>
  <si>
    <t>Dhobi Khera</t>
  </si>
  <si>
    <t>100876</t>
  </si>
  <si>
    <t>Dhamana</t>
  </si>
  <si>
    <t>100877</t>
  </si>
  <si>
    <t>Karookariya</t>
  </si>
  <si>
    <t>100878</t>
  </si>
  <si>
    <t>Mewada</t>
  </si>
  <si>
    <t>100891</t>
  </si>
  <si>
    <t>Mewada Colony</t>
  </si>
  <si>
    <t>100892</t>
  </si>
  <si>
    <t>Binoda Khera</t>
  </si>
  <si>
    <t>100893</t>
  </si>
  <si>
    <t>100894</t>
  </si>
  <si>
    <t>Dowani</t>
  </si>
  <si>
    <t>100895</t>
  </si>
  <si>
    <t>BHATTON KA BAMNIYA</t>
  </si>
  <si>
    <t>Tasvariya</t>
  </si>
  <si>
    <t>100896</t>
  </si>
  <si>
    <t>Chaukha Khera</t>
  </si>
  <si>
    <t>100897</t>
  </si>
  <si>
    <t>NIMBAHERA</t>
  </si>
  <si>
    <t>100898</t>
  </si>
  <si>
    <t>Bhatton Ka Bamniya</t>
  </si>
  <si>
    <t>100899</t>
  </si>
  <si>
    <t>100900</t>
  </si>
  <si>
    <t>TURKIYA KHURD</t>
  </si>
  <si>
    <t>100901</t>
  </si>
  <si>
    <t>Chatarbhujpura</t>
  </si>
  <si>
    <t>100902</t>
  </si>
  <si>
    <t>Turkiya Khurd</t>
  </si>
  <si>
    <t>100903</t>
  </si>
  <si>
    <t>HINGORIYA</t>
  </si>
  <si>
    <t>Moti Khera</t>
  </si>
  <si>
    <t>100904</t>
  </si>
  <si>
    <t>Hingoriya</t>
  </si>
  <si>
    <t>100905</t>
  </si>
  <si>
    <t>Turkiya Kalan</t>
  </si>
  <si>
    <t>100906</t>
  </si>
  <si>
    <t>LANGACH</t>
  </si>
  <si>
    <t>Langach</t>
  </si>
  <si>
    <t>100907</t>
  </si>
  <si>
    <t>100908</t>
  </si>
  <si>
    <t>Saropa</t>
  </si>
  <si>
    <t>100909</t>
  </si>
  <si>
    <t>Kodiya Kheri</t>
  </si>
  <si>
    <t>100910</t>
  </si>
  <si>
    <t>BANAKIYA KALAN</t>
  </si>
  <si>
    <t>Banakiya Kalan</t>
  </si>
  <si>
    <t>100911</t>
  </si>
  <si>
    <t>Bhanwarkiya</t>
  </si>
  <si>
    <t>100912</t>
  </si>
  <si>
    <t>SINGH PUR</t>
  </si>
  <si>
    <t>Kharolon Ki Jhunpariya</t>
  </si>
  <si>
    <t>100913</t>
  </si>
  <si>
    <t>100914</t>
  </si>
  <si>
    <t>Banakiyakhurd</t>
  </si>
  <si>
    <t>100915</t>
  </si>
  <si>
    <t>CHHAPARI</t>
  </si>
  <si>
    <t>Samrathpura</t>
  </si>
  <si>
    <t>100916</t>
  </si>
  <si>
    <t>Chhapari</t>
  </si>
  <si>
    <t>100917</t>
  </si>
  <si>
    <t>Moda Khera</t>
  </si>
  <si>
    <t>100918</t>
  </si>
  <si>
    <t>Dolji Ka Khera</t>
  </si>
  <si>
    <t>100919</t>
  </si>
  <si>
    <t>100920</t>
  </si>
  <si>
    <t>Kankariya</t>
  </si>
  <si>
    <t>100921</t>
  </si>
  <si>
    <t>Benipuriya</t>
  </si>
  <si>
    <t>100922</t>
  </si>
  <si>
    <t>100923</t>
  </si>
  <si>
    <t>Parsa Khera</t>
  </si>
  <si>
    <t>100924</t>
  </si>
  <si>
    <t>100925</t>
  </si>
  <si>
    <t>100926</t>
  </si>
  <si>
    <t>Ranchhor Pura</t>
  </si>
  <si>
    <t>100927</t>
  </si>
  <si>
    <t>BALARDA</t>
  </si>
  <si>
    <t>Govind Pura</t>
  </si>
  <si>
    <t>100928</t>
  </si>
  <si>
    <t>100929</t>
  </si>
  <si>
    <t>Indrapura</t>
  </si>
  <si>
    <t>100930</t>
  </si>
  <si>
    <t>Balarada</t>
  </si>
  <si>
    <t>100931</t>
  </si>
  <si>
    <t>Ren Ka Khera</t>
  </si>
  <si>
    <t>100932</t>
  </si>
  <si>
    <t>Khatya Kheri</t>
  </si>
  <si>
    <t>100933</t>
  </si>
  <si>
    <t>Kachhiya Kheri</t>
  </si>
  <si>
    <t>100934</t>
  </si>
  <si>
    <t>ROOPA HERI</t>
  </si>
  <si>
    <t>Pawatiya</t>
  </si>
  <si>
    <t>100935</t>
  </si>
  <si>
    <t>DAMA KHERA</t>
  </si>
  <si>
    <t>Dama Khera</t>
  </si>
  <si>
    <t>100936</t>
  </si>
  <si>
    <t>Randiyardi</t>
  </si>
  <si>
    <t>100937</t>
  </si>
  <si>
    <t>Tara Kheri</t>
  </si>
  <si>
    <t>100938</t>
  </si>
  <si>
    <t>ROLIYA</t>
  </si>
  <si>
    <t>Kishaniyakheri</t>
  </si>
  <si>
    <t>100939</t>
  </si>
  <si>
    <t>Sandiyarda</t>
  </si>
  <si>
    <t>100940</t>
  </si>
  <si>
    <t>100944</t>
  </si>
  <si>
    <t>Mugana</t>
  </si>
  <si>
    <t>100945</t>
  </si>
  <si>
    <t>Danta</t>
  </si>
  <si>
    <t>100975</t>
  </si>
  <si>
    <t>Jakar Khera</t>
  </si>
  <si>
    <t>100976</t>
  </si>
  <si>
    <t>Roliya</t>
  </si>
  <si>
    <t>100977</t>
  </si>
  <si>
    <t>100978</t>
  </si>
  <si>
    <t>Talab Panchmoja</t>
  </si>
  <si>
    <t>100979</t>
  </si>
  <si>
    <t>Joonakeer Khera</t>
  </si>
  <si>
    <t>100980</t>
  </si>
  <si>
    <t>100981</t>
  </si>
  <si>
    <t>100982</t>
  </si>
  <si>
    <t>Hapha Kheri</t>
  </si>
  <si>
    <t>100983</t>
  </si>
  <si>
    <t>100984</t>
  </si>
  <si>
    <t>Jelwalon Ka Khera</t>
  </si>
  <si>
    <t>100985</t>
  </si>
  <si>
    <t>Nariya</t>
  </si>
  <si>
    <t>100986</t>
  </si>
  <si>
    <t>100987</t>
  </si>
  <si>
    <t>100988</t>
  </si>
  <si>
    <t>Jeetiya</t>
  </si>
  <si>
    <t>100989</t>
  </si>
  <si>
    <t>100990</t>
  </si>
  <si>
    <t>100991</t>
  </si>
  <si>
    <t>SURPUR</t>
  </si>
  <si>
    <t>Tarmawon Ka Khera</t>
  </si>
  <si>
    <t>100992</t>
  </si>
  <si>
    <t>Godiyana</t>
  </si>
  <si>
    <t>100993</t>
  </si>
  <si>
    <t>HATHIYANA</t>
  </si>
  <si>
    <t>100994</t>
  </si>
  <si>
    <t>Surpur</t>
  </si>
  <si>
    <t>100995</t>
  </si>
  <si>
    <t>Surpuri</t>
  </si>
  <si>
    <t>100996</t>
  </si>
  <si>
    <t>Khanji Ka Khera</t>
  </si>
  <si>
    <t>100997</t>
  </si>
  <si>
    <t>Jaipura</t>
  </si>
  <si>
    <t>100998</t>
  </si>
  <si>
    <t>Undayala</t>
  </si>
  <si>
    <t>100999</t>
  </si>
  <si>
    <t>Ramthali</t>
  </si>
  <si>
    <t>101000</t>
  </si>
  <si>
    <t>Ali</t>
  </si>
  <si>
    <t>101001</t>
  </si>
  <si>
    <t>Hathiyana</t>
  </si>
  <si>
    <t>101002</t>
  </si>
  <si>
    <t>Roodri</t>
  </si>
  <si>
    <t>101003</t>
  </si>
  <si>
    <t>101004</t>
  </si>
  <si>
    <t>Uchnar Khurd</t>
  </si>
  <si>
    <t>101005</t>
  </si>
  <si>
    <t>101006</t>
  </si>
  <si>
    <t>Jawanpura</t>
  </si>
  <si>
    <t>101007</t>
  </si>
  <si>
    <t>UMAND</t>
  </si>
  <si>
    <t>101008</t>
  </si>
  <si>
    <t>101009</t>
  </si>
  <si>
    <t>Kanrookara</t>
  </si>
  <si>
    <t>101010</t>
  </si>
  <si>
    <t>101011</t>
  </si>
  <si>
    <t>CHAKURD</t>
  </si>
  <si>
    <t>Chakura</t>
  </si>
  <si>
    <t>101045</t>
  </si>
  <si>
    <t>KARJALI</t>
  </si>
  <si>
    <t>101047</t>
  </si>
  <si>
    <t>Karjali</t>
  </si>
  <si>
    <t>101049</t>
  </si>
  <si>
    <t>Goverdhanpura</t>
  </si>
  <si>
    <t>101050</t>
  </si>
  <si>
    <t>Viroli</t>
  </si>
  <si>
    <t>101051</t>
  </si>
  <si>
    <t>Ghaslon Ka Khera</t>
  </si>
  <si>
    <t>101052</t>
  </si>
  <si>
    <t>Heeraji Ka Khera</t>
  </si>
  <si>
    <t>101053</t>
  </si>
  <si>
    <t>Ranwon Ka Khera</t>
  </si>
  <si>
    <t>101054</t>
  </si>
  <si>
    <t>Kiron Ka Khera</t>
  </si>
  <si>
    <t>101055</t>
  </si>
  <si>
    <t>Khera Kiran</t>
  </si>
  <si>
    <t>101056</t>
  </si>
  <si>
    <t>Jeewa Khera</t>
  </si>
  <si>
    <t>101057</t>
  </si>
  <si>
    <t>Theparion Ka Khera</t>
  </si>
  <si>
    <t>101058</t>
  </si>
  <si>
    <t>Dantoli</t>
  </si>
  <si>
    <t>101059</t>
  </si>
  <si>
    <t>Bheemkhand</t>
  </si>
  <si>
    <t>101060</t>
  </si>
  <si>
    <t>101061</t>
  </si>
  <si>
    <t>Umand</t>
  </si>
  <si>
    <t>101062</t>
  </si>
  <si>
    <t>Teja Khera</t>
  </si>
  <si>
    <t>101063</t>
  </si>
  <si>
    <t>101064</t>
  </si>
  <si>
    <t>Uchnar Kalan</t>
  </si>
  <si>
    <t>101065</t>
  </si>
  <si>
    <t>SATKHANDA</t>
  </si>
  <si>
    <t>Hasanpura</t>
  </si>
  <si>
    <t>101343</t>
  </si>
  <si>
    <t>Nazeerpura</t>
  </si>
  <si>
    <t>101344</t>
  </si>
  <si>
    <t>UKHALIYA</t>
  </si>
  <si>
    <t>Phachar Solanki</t>
  </si>
  <si>
    <t>101345</t>
  </si>
  <si>
    <t>Unkhaliya</t>
  </si>
  <si>
    <t>101346</t>
  </si>
  <si>
    <t>TAI</t>
  </si>
  <si>
    <t>Sarthal</t>
  </si>
  <si>
    <t>101347</t>
  </si>
  <si>
    <t>101348</t>
  </si>
  <si>
    <t>Mohammadpura</t>
  </si>
  <si>
    <t>101349</t>
  </si>
  <si>
    <t>Tai</t>
  </si>
  <si>
    <t>101350</t>
  </si>
  <si>
    <t>ARNIYA JOSHI</t>
  </si>
  <si>
    <t>Bhoojiya Kheri</t>
  </si>
  <si>
    <t>101351</t>
  </si>
  <si>
    <t>101352</t>
  </si>
  <si>
    <t>BHAWALIYA</t>
  </si>
  <si>
    <t>Rampura</t>
  </si>
  <si>
    <t>101353</t>
  </si>
  <si>
    <t>101354</t>
  </si>
  <si>
    <t>Satkhanda</t>
  </si>
  <si>
    <t>101355</t>
  </si>
  <si>
    <t>Mahmood Ganj</t>
  </si>
  <si>
    <t>101356</t>
  </si>
  <si>
    <t>Rawaliya</t>
  </si>
  <si>
    <t>101357</t>
  </si>
  <si>
    <t>Charliya Gadia</t>
  </si>
  <si>
    <t>101358</t>
  </si>
  <si>
    <t>KAROONDA</t>
  </si>
  <si>
    <t>Karoonda</t>
  </si>
  <si>
    <t>101359</t>
  </si>
  <si>
    <t>Shergarh</t>
  </si>
  <si>
    <t>101360</t>
  </si>
  <si>
    <t>Payari</t>
  </si>
  <si>
    <t>101361</t>
  </si>
  <si>
    <t>Sand</t>
  </si>
  <si>
    <t>101362</t>
  </si>
  <si>
    <t>PHALWA</t>
  </si>
  <si>
    <t>Alsigarh</t>
  </si>
  <si>
    <t>101363</t>
  </si>
  <si>
    <t>Palri</t>
  </si>
  <si>
    <t>101364</t>
  </si>
  <si>
    <t>101365</t>
  </si>
  <si>
    <t>Maliya Kheri</t>
  </si>
  <si>
    <t>101366</t>
  </si>
  <si>
    <t>Peepliya Gadiya</t>
  </si>
  <si>
    <t>101367</t>
  </si>
  <si>
    <t>PHACHAR AHEERAN</t>
  </si>
  <si>
    <t>Bansa</t>
  </si>
  <si>
    <t>101368</t>
  </si>
  <si>
    <t>MANGROL</t>
  </si>
  <si>
    <t>101369</t>
  </si>
  <si>
    <t>Bhopali</t>
  </si>
  <si>
    <t>101370</t>
  </si>
  <si>
    <t>Bhawaliya</t>
  </si>
  <si>
    <t>101371</t>
  </si>
  <si>
    <t>Mangrol</t>
  </si>
  <si>
    <t>101372</t>
  </si>
  <si>
    <t>BAROLI GHATA</t>
  </si>
  <si>
    <t>Sankhlon Ka Khera</t>
  </si>
  <si>
    <t>101373</t>
  </si>
  <si>
    <t>Shahbad</t>
  </si>
  <si>
    <t>101374</t>
  </si>
  <si>
    <t>Ramgarh</t>
  </si>
  <si>
    <t>101375</t>
  </si>
  <si>
    <t>Motha</t>
  </si>
  <si>
    <t>101376</t>
  </si>
  <si>
    <t>Arniya Joshi</t>
  </si>
  <si>
    <t>101377</t>
  </si>
  <si>
    <t>Kriparam Kheri</t>
  </si>
  <si>
    <t>101378</t>
  </si>
  <si>
    <t>Pemandiya Khera</t>
  </si>
  <si>
    <t>101379</t>
  </si>
  <si>
    <t>ARNODA</t>
  </si>
  <si>
    <t>101380</t>
  </si>
  <si>
    <t>101381</t>
  </si>
  <si>
    <t>101382</t>
  </si>
  <si>
    <t>101383</t>
  </si>
  <si>
    <t>Phootwal</t>
  </si>
  <si>
    <t>101384</t>
  </si>
  <si>
    <t>101385</t>
  </si>
  <si>
    <t>Khara</t>
  </si>
  <si>
    <t>101386</t>
  </si>
  <si>
    <t>101387</t>
  </si>
  <si>
    <t>Kuri Khera</t>
  </si>
  <si>
    <t>101388</t>
  </si>
  <si>
    <t>101389</t>
  </si>
  <si>
    <t>Ahmadpura</t>
  </si>
  <si>
    <t>101390</t>
  </si>
  <si>
    <t>BARDA</t>
  </si>
  <si>
    <t>Gothra</t>
  </si>
  <si>
    <t>101391</t>
  </si>
  <si>
    <t>KELI</t>
  </si>
  <si>
    <t>Rathanjana</t>
  </si>
  <si>
    <t>101392</t>
  </si>
  <si>
    <t>Madhya Kheri</t>
  </si>
  <si>
    <t>101393</t>
  </si>
  <si>
    <t>Bor Kheri</t>
  </si>
  <si>
    <t>101394</t>
  </si>
  <si>
    <t>Baroli Ghata</t>
  </si>
  <si>
    <t>101395</t>
  </si>
  <si>
    <t>Karthana</t>
  </si>
  <si>
    <t>101396</t>
  </si>
  <si>
    <t>Aheerpura</t>
  </si>
  <si>
    <t>101397</t>
  </si>
  <si>
    <t>101398</t>
  </si>
  <si>
    <t>Phachar Aheeran</t>
  </si>
  <si>
    <t>101399</t>
  </si>
  <si>
    <t>Peer Khera</t>
  </si>
  <si>
    <t>101400</t>
  </si>
  <si>
    <t>Rasoolpur</t>
  </si>
  <si>
    <t>101401</t>
  </si>
  <si>
    <t>101402</t>
  </si>
  <si>
    <t>Bhat Kotri</t>
  </si>
  <si>
    <t>101403</t>
  </si>
  <si>
    <t>Phalwa</t>
  </si>
  <si>
    <t>101404</t>
  </si>
  <si>
    <t>LASRAWAN</t>
  </si>
  <si>
    <t>Lasrawan</t>
  </si>
  <si>
    <t>101405</t>
  </si>
  <si>
    <t>101406</t>
  </si>
  <si>
    <t>Jharsadri</t>
  </si>
  <si>
    <t>101407</t>
  </si>
  <si>
    <t>DHORIYA</t>
  </si>
  <si>
    <t>Mandawali</t>
  </si>
  <si>
    <t>101408</t>
  </si>
  <si>
    <t>Changeri</t>
  </si>
  <si>
    <t>101409</t>
  </si>
  <si>
    <t>101410</t>
  </si>
  <si>
    <t>Dhoriya</t>
  </si>
  <si>
    <t>101411</t>
  </si>
  <si>
    <t>Kachariya Kheri</t>
  </si>
  <si>
    <t>101412</t>
  </si>
  <si>
    <t>101413</t>
  </si>
  <si>
    <t>Badoli Madhosingh</t>
  </si>
  <si>
    <t>101414</t>
  </si>
  <si>
    <t>Bora Kheri</t>
  </si>
  <si>
    <t>101415</t>
  </si>
  <si>
    <t>RANI KHERA</t>
  </si>
  <si>
    <t>Sakariya</t>
  </si>
  <si>
    <t>101416</t>
  </si>
  <si>
    <t>Dheenwa</t>
  </si>
  <si>
    <t>101417</t>
  </si>
  <si>
    <t>Bhemli</t>
  </si>
  <si>
    <t>101418</t>
  </si>
  <si>
    <t>Uncha</t>
  </si>
  <si>
    <t>101419</t>
  </si>
  <si>
    <t>MANDLA CHARAN</t>
  </si>
  <si>
    <t>101420</t>
  </si>
  <si>
    <t>Veeriya Kheri</t>
  </si>
  <si>
    <t>101421</t>
  </si>
  <si>
    <t>Bahadurpura</t>
  </si>
  <si>
    <t>101422</t>
  </si>
  <si>
    <t>Nardiya</t>
  </si>
  <si>
    <t>101423</t>
  </si>
  <si>
    <t>Bamaniya</t>
  </si>
  <si>
    <t>101424</t>
  </si>
  <si>
    <t>Kalandar Garh</t>
  </si>
  <si>
    <t>101425</t>
  </si>
  <si>
    <t>Solatpura</t>
  </si>
  <si>
    <t>101426</t>
  </si>
  <si>
    <t>Rani Khera</t>
  </si>
  <si>
    <t>101427</t>
  </si>
  <si>
    <t>Sanpaliya</t>
  </si>
  <si>
    <t>101428</t>
  </si>
  <si>
    <t>NARSINGH GARH</t>
  </si>
  <si>
    <t>Sanpaliya Kheri</t>
  </si>
  <si>
    <t>101429</t>
  </si>
  <si>
    <t>Manda Gulfaroshan</t>
  </si>
  <si>
    <t>101430</t>
  </si>
  <si>
    <t>DALA KISHANPURA</t>
  </si>
  <si>
    <t>Chand Khera</t>
  </si>
  <si>
    <t>101431</t>
  </si>
  <si>
    <t>JALIYA</t>
  </si>
  <si>
    <t>Sigri</t>
  </si>
  <si>
    <t>101432</t>
  </si>
  <si>
    <t>Peepaliya Kalan</t>
  </si>
  <si>
    <t>101433</t>
  </si>
  <si>
    <t>101434</t>
  </si>
  <si>
    <t>GADOLA</t>
  </si>
  <si>
    <t>101435</t>
  </si>
  <si>
    <t>Arniya Mali</t>
  </si>
  <si>
    <t>101436</t>
  </si>
  <si>
    <t>Barda</t>
  </si>
  <si>
    <t>101437</t>
  </si>
  <si>
    <t>Gadola</t>
  </si>
  <si>
    <t>101438</t>
  </si>
  <si>
    <t>Jaliya</t>
  </si>
  <si>
    <t>101439</t>
  </si>
  <si>
    <t>BANGRERA</t>
  </si>
  <si>
    <t>Charliya Brahmanan</t>
  </si>
  <si>
    <t>101440</t>
  </si>
  <si>
    <t>101441</t>
  </si>
  <si>
    <t>101442</t>
  </si>
  <si>
    <t>Kherabad</t>
  </si>
  <si>
    <t>101443</t>
  </si>
  <si>
    <t>MARJEEVI</t>
  </si>
  <si>
    <t>Khera Jadeed</t>
  </si>
  <si>
    <t>101444</t>
  </si>
  <si>
    <t>Khanra</t>
  </si>
  <si>
    <t>101445</t>
  </si>
  <si>
    <t>BARI</t>
  </si>
  <si>
    <t>Ameenpura</t>
  </si>
  <si>
    <t>101446</t>
  </si>
  <si>
    <t>101447</t>
  </si>
  <si>
    <t>Jamal Khera</t>
  </si>
  <si>
    <t>101448</t>
  </si>
  <si>
    <t>GUDA KHERA</t>
  </si>
  <si>
    <t>Bhanda Magra</t>
  </si>
  <si>
    <t>101449</t>
  </si>
  <si>
    <t>Mandla Charan</t>
  </si>
  <si>
    <t>101450</t>
  </si>
  <si>
    <t>MINDANA</t>
  </si>
  <si>
    <t>Tatarmala</t>
  </si>
  <si>
    <t>101451</t>
  </si>
  <si>
    <t>Indra Nagar</t>
  </si>
  <si>
    <t>101452</t>
  </si>
  <si>
    <t>Mindana</t>
  </si>
  <si>
    <t>101453</t>
  </si>
  <si>
    <t>BINOTA</t>
  </si>
  <si>
    <t>101454</t>
  </si>
  <si>
    <t>Binota</t>
  </si>
  <si>
    <t>101455</t>
  </si>
  <si>
    <t>BHAGWAN PURA</t>
  </si>
  <si>
    <t>101456</t>
  </si>
  <si>
    <t>101457</t>
  </si>
  <si>
    <t>Benpuri Khurd</t>
  </si>
  <si>
    <t>101458</t>
  </si>
  <si>
    <t>Benpuri Kalan</t>
  </si>
  <si>
    <t>101459</t>
  </si>
  <si>
    <t>Vijaypura</t>
  </si>
  <si>
    <t>101460</t>
  </si>
  <si>
    <t>Sajanpur</t>
  </si>
  <si>
    <t>101461</t>
  </si>
  <si>
    <t>Barwara</t>
  </si>
  <si>
    <t>101462</t>
  </si>
  <si>
    <t>Guda Khera</t>
  </si>
  <si>
    <t>101463</t>
  </si>
  <si>
    <t>101464</t>
  </si>
  <si>
    <t>Makan Pura</t>
  </si>
  <si>
    <t>101465</t>
  </si>
  <si>
    <t>Narsingh Garh</t>
  </si>
  <si>
    <t>101466</t>
  </si>
  <si>
    <t>101467</t>
  </si>
  <si>
    <t>Narsa Kheri</t>
  </si>
  <si>
    <t>101468</t>
  </si>
  <si>
    <t>Malakpura</t>
  </si>
  <si>
    <t>101469</t>
  </si>
  <si>
    <t>Ghatera</t>
  </si>
  <si>
    <t>101470</t>
  </si>
  <si>
    <t>101471</t>
  </si>
  <si>
    <t>Marjeevi</t>
  </si>
  <si>
    <t>101472</t>
  </si>
  <si>
    <t>KOTRI KALAN</t>
  </si>
  <si>
    <t>101473</t>
  </si>
  <si>
    <t>Kotri Khurd</t>
  </si>
  <si>
    <t>101474</t>
  </si>
  <si>
    <t>Kotri Kalan</t>
  </si>
  <si>
    <t>101475</t>
  </si>
  <si>
    <t>Shobhawali</t>
  </si>
  <si>
    <t>101476</t>
  </si>
  <si>
    <t>Ahmadnagar</t>
  </si>
  <si>
    <t>101477</t>
  </si>
  <si>
    <t>Dala @ Kishanpura</t>
  </si>
  <si>
    <t>101478</t>
  </si>
  <si>
    <t>Kamlahera</t>
  </si>
  <si>
    <t>101479</t>
  </si>
  <si>
    <t>101480</t>
  </si>
  <si>
    <t>Bangrera</t>
  </si>
  <si>
    <t>101481</t>
  </si>
  <si>
    <t>Keli</t>
  </si>
  <si>
    <t>101482</t>
  </si>
  <si>
    <t>MAILANA</t>
  </si>
  <si>
    <t>101483</t>
  </si>
  <si>
    <t>BARAWALI</t>
  </si>
  <si>
    <t>101484</t>
  </si>
  <si>
    <t>Kochwa</t>
  </si>
  <si>
    <t>101485</t>
  </si>
  <si>
    <t>Barawali</t>
  </si>
  <si>
    <t>101486</t>
  </si>
  <si>
    <t>Pangarh</t>
  </si>
  <si>
    <t>101487</t>
  </si>
  <si>
    <t>101488</t>
  </si>
  <si>
    <t>BANGERA GHATA</t>
  </si>
  <si>
    <t>Bordi</t>
  </si>
  <si>
    <t>101489</t>
  </si>
  <si>
    <t>101490</t>
  </si>
  <si>
    <t>Ghatatop</t>
  </si>
  <si>
    <t>101491</t>
  </si>
  <si>
    <t>101492</t>
  </si>
  <si>
    <t>Gujar Kheri</t>
  </si>
  <si>
    <t>101493</t>
  </si>
  <si>
    <t>Bangera Ghata</t>
  </si>
  <si>
    <t>101494</t>
  </si>
  <si>
    <t>Bhuwaniya Kheri</t>
  </si>
  <si>
    <t>101495</t>
  </si>
  <si>
    <t>Loonkhanda</t>
  </si>
  <si>
    <t>101496</t>
  </si>
  <si>
    <t>SARSI</t>
  </si>
  <si>
    <t>Peelkheri</t>
  </si>
  <si>
    <t>101497</t>
  </si>
  <si>
    <t>KANERA</t>
  </si>
  <si>
    <t>Kanera</t>
  </si>
  <si>
    <t>101498</t>
  </si>
  <si>
    <t>Patiyar</t>
  </si>
  <si>
    <t>101499</t>
  </si>
  <si>
    <t>101500</t>
  </si>
  <si>
    <t>101501</t>
  </si>
  <si>
    <t>101502</t>
  </si>
  <si>
    <t>Mardpura</t>
  </si>
  <si>
    <t>101503</t>
  </si>
  <si>
    <t>NIMBODA</t>
  </si>
  <si>
    <t>101504</t>
  </si>
  <si>
    <t>Ajota</t>
  </si>
  <si>
    <t>101505</t>
  </si>
  <si>
    <t>101506</t>
  </si>
  <si>
    <t>Dhareshwar</t>
  </si>
  <si>
    <t>101507</t>
  </si>
  <si>
    <t>101508</t>
  </si>
  <si>
    <t>101509</t>
  </si>
  <si>
    <t>101510</t>
  </si>
  <si>
    <t>101511</t>
  </si>
  <si>
    <t>101512</t>
  </si>
  <si>
    <t>Sarsi</t>
  </si>
  <si>
    <t>101513</t>
  </si>
  <si>
    <t>Mailana</t>
  </si>
  <si>
    <t>101514</t>
  </si>
  <si>
    <t>Cholni</t>
  </si>
  <si>
    <t>101515</t>
  </si>
  <si>
    <t>Nimboda</t>
  </si>
  <si>
    <t>101516</t>
  </si>
  <si>
    <t>Gunda Rel</t>
  </si>
  <si>
    <t>101517</t>
  </si>
  <si>
    <t>Rashmi</t>
  </si>
  <si>
    <t>LASADIYA KALAN</t>
  </si>
  <si>
    <t>Balwantpura</t>
  </si>
  <si>
    <t>099942</t>
  </si>
  <si>
    <t>REWARA</t>
  </si>
  <si>
    <t>Rewara</t>
  </si>
  <si>
    <t>099943</t>
  </si>
  <si>
    <t>SANKHLI</t>
  </si>
  <si>
    <t>Karjiya</t>
  </si>
  <si>
    <t>099944</t>
  </si>
  <si>
    <t>099945</t>
  </si>
  <si>
    <t>Lasadiya Kalan</t>
  </si>
  <si>
    <t>099946</t>
  </si>
  <si>
    <t>Shambhupura</t>
  </si>
  <si>
    <t>099947</t>
  </si>
  <si>
    <t>SOMI</t>
  </si>
  <si>
    <t>Devpuri</t>
  </si>
  <si>
    <t>099948</t>
  </si>
  <si>
    <t>099949</t>
  </si>
  <si>
    <t>099950</t>
  </si>
  <si>
    <t>UNCHA</t>
  </si>
  <si>
    <t>Heera Kheri</t>
  </si>
  <si>
    <t>099951</t>
  </si>
  <si>
    <t>Ratan Kheri</t>
  </si>
  <si>
    <t>099952</t>
  </si>
  <si>
    <t>099953</t>
  </si>
  <si>
    <t>SIHANA</t>
  </si>
  <si>
    <t>Sihana</t>
  </si>
  <si>
    <t>099954</t>
  </si>
  <si>
    <t>Meda Kheri</t>
  </si>
  <si>
    <t>099955</t>
  </si>
  <si>
    <t>NEWARIYA</t>
  </si>
  <si>
    <t>Newariya</t>
  </si>
  <si>
    <t>099956</t>
  </si>
  <si>
    <t>Soliya</t>
  </si>
  <si>
    <t>099957</t>
  </si>
  <si>
    <t>Mandpiya Mataji Ka</t>
  </si>
  <si>
    <t>099958</t>
  </si>
  <si>
    <t>Lookdi</t>
  </si>
  <si>
    <t>099959</t>
  </si>
  <si>
    <t>DINDOLI</t>
  </si>
  <si>
    <t>099960</t>
  </si>
  <si>
    <t>BHALOTAN KI KHERI</t>
  </si>
  <si>
    <t>Indanpura</t>
  </si>
  <si>
    <t>099961</t>
  </si>
  <si>
    <t>Bhalotan Ki Kheri</t>
  </si>
  <si>
    <t>099962</t>
  </si>
  <si>
    <t>Darba</t>
  </si>
  <si>
    <t>099963</t>
  </si>
  <si>
    <t>BAWLAS</t>
  </si>
  <si>
    <t>Bawlas</t>
  </si>
  <si>
    <t>099964</t>
  </si>
  <si>
    <t>Mirchiya Kheri</t>
  </si>
  <si>
    <t>099965</t>
  </si>
  <si>
    <t>Pahoona</t>
  </si>
  <si>
    <t>099966</t>
  </si>
  <si>
    <t>099967</t>
  </si>
  <si>
    <t>Nandpura</t>
  </si>
  <si>
    <t>099968</t>
  </si>
  <si>
    <t>099969</t>
  </si>
  <si>
    <t>Sankhli</t>
  </si>
  <si>
    <t>099970</t>
  </si>
  <si>
    <t>Manyas</t>
  </si>
  <si>
    <t>099971</t>
  </si>
  <si>
    <t>SOMARWALON KA KHERA</t>
  </si>
  <si>
    <t>099972</t>
  </si>
  <si>
    <t>Devipura ' B'</t>
  </si>
  <si>
    <t>099973</t>
  </si>
  <si>
    <t>Gudaliya</t>
  </si>
  <si>
    <t>099974</t>
  </si>
  <si>
    <t>Pahooni</t>
  </si>
  <si>
    <t>099975</t>
  </si>
  <si>
    <t>ARNI</t>
  </si>
  <si>
    <t>Gopalpura Kalan</t>
  </si>
  <si>
    <t>099976</t>
  </si>
  <si>
    <t>Gopalpura Khurd</t>
  </si>
  <si>
    <t>099977</t>
  </si>
  <si>
    <t>HARNATHPURA</t>
  </si>
  <si>
    <t>099978</t>
  </si>
  <si>
    <t>Matrikundiya</t>
  </si>
  <si>
    <t>099979</t>
  </si>
  <si>
    <t>Arni</t>
  </si>
  <si>
    <t>099980</t>
  </si>
  <si>
    <t>Bhopalpura</t>
  </si>
  <si>
    <t>099981</t>
  </si>
  <si>
    <t>Uttampura</t>
  </si>
  <si>
    <t>099982</t>
  </si>
  <si>
    <t>Karas</t>
  </si>
  <si>
    <t>099983</t>
  </si>
  <si>
    <t>Bakhatawar Pura</t>
  </si>
  <si>
    <t>099984</t>
  </si>
  <si>
    <t>Somi</t>
  </si>
  <si>
    <t>099985</t>
  </si>
  <si>
    <t>UPREDA</t>
  </si>
  <si>
    <t>099986</t>
  </si>
  <si>
    <t>099987</t>
  </si>
  <si>
    <t>MARMI</t>
  </si>
  <si>
    <t>Marmi</t>
  </si>
  <si>
    <t>099988</t>
  </si>
  <si>
    <t>Gokalpura</t>
  </si>
  <si>
    <t>099989</t>
  </si>
  <si>
    <t>099990</t>
  </si>
  <si>
    <t>099991</t>
  </si>
  <si>
    <t>Punawta</t>
  </si>
  <si>
    <t>099992</t>
  </si>
  <si>
    <t>Ratna Ka Khera</t>
  </si>
  <si>
    <t>099993</t>
  </si>
  <si>
    <t>ROOD</t>
  </si>
  <si>
    <t>099994</t>
  </si>
  <si>
    <t>Rood</t>
  </si>
  <si>
    <t>099995</t>
  </si>
  <si>
    <t>JADANA</t>
  </si>
  <si>
    <t>Lasadiya Khurd</t>
  </si>
  <si>
    <t>099996</t>
  </si>
  <si>
    <t>Jadana</t>
  </si>
  <si>
    <t>099997</t>
  </si>
  <si>
    <t>Panna Khera</t>
  </si>
  <si>
    <t>099998</t>
  </si>
  <si>
    <t>Puthwadia</t>
  </si>
  <si>
    <t>099999</t>
  </si>
  <si>
    <t>RASHMI</t>
  </si>
  <si>
    <t>100000</t>
  </si>
  <si>
    <t>Keeron Ka Khera</t>
  </si>
  <si>
    <t>100001</t>
  </si>
  <si>
    <t>Gegpura</t>
  </si>
  <si>
    <t>100002</t>
  </si>
  <si>
    <t>Depura</t>
  </si>
  <si>
    <t>100003</t>
  </si>
  <si>
    <t>Harnathpura</t>
  </si>
  <si>
    <t>100004</t>
  </si>
  <si>
    <t>Gandraf</t>
  </si>
  <si>
    <t>100005</t>
  </si>
  <si>
    <t>PAVLI</t>
  </si>
  <si>
    <t>Bhoplai</t>
  </si>
  <si>
    <t>100006</t>
  </si>
  <si>
    <t>ADANA</t>
  </si>
  <si>
    <t>Sanwalpura</t>
  </si>
  <si>
    <t>100007</t>
  </si>
  <si>
    <t>100008</t>
  </si>
  <si>
    <t>100009</t>
  </si>
  <si>
    <t>Parmeshwar Pura</t>
  </si>
  <si>
    <t>100010</t>
  </si>
  <si>
    <t>Somarwalon Ka Khera</t>
  </si>
  <si>
    <t>100011</t>
  </si>
  <si>
    <t>100012</t>
  </si>
  <si>
    <t>Devpuriya</t>
  </si>
  <si>
    <t>100013</t>
  </si>
  <si>
    <t>100014</t>
  </si>
  <si>
    <t>Dindoli</t>
  </si>
  <si>
    <t>100015</t>
  </si>
  <si>
    <t>100016</t>
  </si>
  <si>
    <t>100017</t>
  </si>
  <si>
    <t>100018</t>
  </si>
  <si>
    <t>100019</t>
  </si>
  <si>
    <t>Adana</t>
  </si>
  <si>
    <t>100020</t>
  </si>
  <si>
    <t>Chak Adana No. A</t>
  </si>
  <si>
    <t>100021</t>
  </si>
  <si>
    <t>100022</t>
  </si>
  <si>
    <t>Chak Adana No. B</t>
  </si>
  <si>
    <t>100023</t>
  </si>
  <si>
    <t>Jawaharpura</t>
  </si>
  <si>
    <t>100024</t>
  </si>
  <si>
    <t>100025</t>
  </si>
  <si>
    <t>Chatawati</t>
  </si>
  <si>
    <t>100026</t>
  </si>
  <si>
    <t>Kareethara</t>
  </si>
  <si>
    <t>100027</t>
  </si>
  <si>
    <t>BHEEMGARH</t>
  </si>
  <si>
    <t>Bheemgarh</t>
  </si>
  <si>
    <t>100028</t>
  </si>
  <si>
    <t>100029</t>
  </si>
  <si>
    <t>Pavli</t>
  </si>
  <si>
    <t>100030</t>
  </si>
  <si>
    <t>100031</t>
  </si>
  <si>
    <t>BAROO</t>
  </si>
  <si>
    <t>Baroo</t>
  </si>
  <si>
    <t>100032</t>
  </si>
  <si>
    <t>Dhangaliya Khera</t>
  </si>
  <si>
    <t>100033</t>
  </si>
  <si>
    <t>Bhat Kheri</t>
  </si>
  <si>
    <t>100034</t>
  </si>
  <si>
    <t>100035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</si>
</sst>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rgb="FF000000"/>
      <name val="Calibri"/>
      <family val="2"/>
      <charset val="1"/>
    </font>
    <font>
      <sz val="10"/>
      <name val="MS Sans Serif"/>
      <family val="2"/>
      <charset val="1"/>
    </font>
    <font>
      <b/>
      <sz val="11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/>
      <sz val="10"/>
      <color rgb="FFFF0000"/>
      <name val="Times New Roman"/>
      <family val="1"/>
      <charset val="1"/>
    </font>
    <font>
      <b/>
      <sz val="11"/>
      <color rgb="FFFF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92D050"/>
      <name val="Calibri"/>
      <family val="2"/>
      <charset val="1"/>
    </font>
    <font>
      <b/>
      <sz val="10"/>
      <color rgb="FF00A933"/>
      <name val="Times New Roman"/>
      <family val="1"/>
      <charset val="1"/>
    </font>
    <font>
      <sz val="10"/>
      <name val="Times New Roman"/>
      <family val="1"/>
      <charset val="1"/>
    </font>
    <font>
      <sz val="10"/>
      <color rgb="FF333333"/>
      <name val="Times New Roman"/>
      <family val="1"/>
      <charset val="1"/>
    </font>
    <font>
      <sz val="10"/>
      <color rgb="FF593408"/>
      <name val="Times New Roman"/>
      <family val="1"/>
      <charset val="1"/>
    </font>
    <font>
      <sz val="10"/>
      <name val="MS Sans Serif"/>
      <charset val="1"/>
    </font>
    <font>
      <sz val="12"/>
      <color rgb="FFBF0000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8EB4E3"/>
        <bgColor rgb="FF9999FF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17" fillId="0" borderId="0"/>
    <xf numFmtId="0" fontId="17" fillId="0" borderId="0"/>
    <xf numFmtId="0" fontId="17" fillId="0" borderId="0" applyBorder="0" applyProtection="0">
      <alignment horizontal="left"/>
    </xf>
    <xf numFmtId="0" fontId="17" fillId="0" borderId="0" applyBorder="0" applyProtection="0"/>
    <xf numFmtId="0" fontId="17" fillId="0" borderId="0" applyBorder="0" applyProtection="0"/>
    <xf numFmtId="0" fontId="2" fillId="0" borderId="0" applyBorder="0" applyProtection="0"/>
    <xf numFmtId="0" fontId="2" fillId="0" borderId="0" applyBorder="0" applyProtection="0">
      <alignment horizontal="left"/>
    </xf>
    <xf numFmtId="0" fontId="17" fillId="0" borderId="0" applyBorder="0" applyProtection="0"/>
  </cellStyleXfs>
  <cellXfs count="6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wrapText="1"/>
    </xf>
    <xf numFmtId="0" fontId="6" fillId="2" borderId="2" xfId="0" applyFont="1" applyFill="1" applyBorder="1" applyAlignment="1">
      <alignment wrapText="1"/>
    </xf>
    <xf numFmtId="0" fontId="5" fillId="0" borderId="2" xfId="0" applyFont="1" applyBorder="1"/>
    <xf numFmtId="0" fontId="6" fillId="0" borderId="2" xfId="0" applyFont="1" applyBorder="1"/>
    <xf numFmtId="0" fontId="6" fillId="2" borderId="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49" fontId="9" fillId="0" borderId="1" xfId="0" applyNumberFormat="1" applyFont="1" applyBorder="1"/>
    <xf numFmtId="0" fontId="10" fillId="0" borderId="1" xfId="1" applyFont="1" applyBorder="1" applyAlignment="1"/>
    <xf numFmtId="49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9" fontId="9" fillId="0" borderId="1" xfId="0" applyNumberFormat="1" applyFont="1" applyBorder="1" applyAlignment="1">
      <alignment horizontal="right"/>
    </xf>
    <xf numFmtId="10" fontId="3" fillId="0" borderId="1" xfId="0" applyNumberFormat="1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11" fillId="0" borderId="0" xfId="0" applyFont="1"/>
    <xf numFmtId="14" fontId="3" fillId="0" borderId="1" xfId="0" applyNumberFormat="1" applyFont="1" applyBorder="1" applyAlignment="1">
      <alignment horizontal="right"/>
    </xf>
    <xf numFmtId="17" fontId="3" fillId="0" borderId="1" xfId="0" applyNumberFormat="1" applyFont="1" applyBorder="1" applyAlignment="1">
      <alignment horizontal="right"/>
    </xf>
    <xf numFmtId="0" fontId="9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9" fillId="2" borderId="3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9" fillId="4" borderId="3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left" vertical="center" wrapText="1" indent="15"/>
    </xf>
    <xf numFmtId="0" fontId="3" fillId="0" borderId="0" xfId="0" applyFont="1" applyAlignment="1">
      <alignment horizontal="right"/>
    </xf>
    <xf numFmtId="0" fontId="5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5" fillId="0" borderId="1" xfId="0" applyFont="1" applyBorder="1"/>
    <xf numFmtId="0" fontId="6" fillId="0" borderId="1" xfId="0" applyFont="1" applyBorder="1"/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6" fillId="2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right"/>
    </xf>
    <xf numFmtId="0" fontId="12" fillId="0" borderId="1" xfId="0" applyFont="1" applyBorder="1"/>
    <xf numFmtId="0" fontId="9" fillId="5" borderId="1" xfId="0" applyFont="1" applyFill="1" applyBorder="1"/>
    <xf numFmtId="49" fontId="13" fillId="0" borderId="2" xfId="2" applyNumberFormat="1" applyFont="1" applyBorder="1" applyAlignment="1">
      <alignment vertical="center" wrapText="1"/>
    </xf>
    <xf numFmtId="0" fontId="17" fillId="0" borderId="0" xfId="2" applyBorder="1" applyAlignment="1">
      <alignment vertical="center"/>
    </xf>
    <xf numFmtId="49" fontId="14" fillId="0" borderId="2" xfId="2" applyNumberFormat="1" applyFont="1" applyBorder="1" applyAlignment="1">
      <alignment vertical="center" wrapText="1"/>
    </xf>
    <xf numFmtId="0" fontId="17" fillId="0" borderId="2" xfId="2" applyBorder="1" applyAlignment="1">
      <alignment vertical="center"/>
    </xf>
    <xf numFmtId="0" fontId="0" fillId="0" borderId="0" xfId="0" applyFont="1"/>
    <xf numFmtId="0" fontId="5" fillId="0" borderId="0" xfId="0" applyFont="1"/>
    <xf numFmtId="0" fontId="15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10" fontId="9" fillId="0" borderId="1" xfId="0" applyNumberFormat="1" applyFont="1" applyBorder="1" applyAlignment="1">
      <alignment horizontal="right"/>
    </xf>
    <xf numFmtId="0" fontId="0" fillId="0" borderId="1" xfId="0" applyFont="1" applyBorder="1"/>
    <xf numFmtId="0" fontId="0" fillId="0" borderId="1" xfId="0" applyBorder="1" applyAlignment="1">
      <alignment horizontal="right"/>
    </xf>
    <xf numFmtId="49" fontId="14" fillId="0" borderId="2" xfId="0" applyNumberFormat="1" applyFont="1" applyBorder="1" applyAlignment="1">
      <alignment horizontal="right" vertical="center" wrapText="1"/>
    </xf>
    <xf numFmtId="0" fontId="0" fillId="0" borderId="4" xfId="0" applyFont="1" applyBorder="1"/>
    <xf numFmtId="0" fontId="0" fillId="0" borderId="2" xfId="0" applyFont="1" applyBorder="1"/>
    <xf numFmtId="49" fontId="9" fillId="0" borderId="0" xfId="0" applyNumberFormat="1" applyFont="1"/>
    <xf numFmtId="0" fontId="9" fillId="0" borderId="0" xfId="0" applyFont="1"/>
    <xf numFmtId="49" fontId="14" fillId="0" borderId="1" xfId="0" applyNumberFormat="1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49" fontId="14" fillId="0" borderId="1" xfId="0" applyNumberFormat="1" applyFont="1" applyBorder="1" applyAlignment="1">
      <alignment horizontal="right" vertical="center" wrapText="1"/>
    </xf>
  </cellXfs>
  <cellStyles count="10">
    <cellStyle name="Normal" xfId="0" builtinId="0"/>
    <cellStyle name="Normal 2" xfId="1"/>
    <cellStyle name="Normal 3" xfId="2"/>
    <cellStyle name="Normal 5" xfId="3"/>
    <cellStyle name="Pivot Table Category" xfId="4"/>
    <cellStyle name="Pivot Table Corner" xfId="5"/>
    <cellStyle name="Pivot Table Field" xfId="6"/>
    <cellStyle name="Pivot Table Result" xfId="7"/>
    <cellStyle name="Pivot Table Title" xfId="8"/>
    <cellStyle name="Pivot Table Value" xfId="9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F0000"/>
      <rgbColor rgb="FF00A9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593408"/>
      <rgbColor rgb="FF993300"/>
      <rgbColor rgb="FF993366"/>
      <rgbColor rgb="FF3D3D3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Y260"/>
  <sheetViews>
    <sheetView tabSelected="1" zoomScale="75" zoomScaleNormal="75" workbookViewId="0">
      <pane xSplit="6" ySplit="2" topLeftCell="Q3" activePane="bottomRight" state="frozen"/>
      <selection pane="topRight" activeCell="Y1" sqref="Y1"/>
      <selection pane="bottomLeft" activeCell="A3" sqref="A3"/>
      <selection pane="bottomRight" activeCell="U11" sqref="U11"/>
    </sheetView>
  </sheetViews>
  <sheetFormatPr defaultColWidth="9.1796875" defaultRowHeight="14.5" x14ac:dyDescent="0.35"/>
  <cols>
    <col min="1" max="2" width="9.08984375" style="3"/>
    <col min="3" max="3" width="10.81640625" style="3" customWidth="1"/>
    <col min="4" max="4" width="14" style="3" customWidth="1"/>
    <col min="5" max="5" width="9.08984375" style="3"/>
    <col min="6" max="6" width="10.54296875" style="3" customWidth="1"/>
    <col min="7" max="11" width="9.08984375" style="3"/>
    <col min="12" max="12" width="10.7265625" style="3" customWidth="1"/>
    <col min="13" max="14" width="9.08984375" style="3"/>
    <col min="15" max="15" width="12.453125" style="3" customWidth="1"/>
    <col min="16" max="16" width="9.08984375" style="3"/>
    <col min="17" max="17" width="10.453125" style="3" customWidth="1"/>
    <col min="18" max="18" width="9.54296875" style="3" customWidth="1"/>
    <col min="19" max="19" width="12.7265625" style="3" customWidth="1"/>
    <col min="20" max="22" width="12.26953125" style="3" customWidth="1"/>
    <col min="23" max="23" width="11.81640625" style="3" customWidth="1"/>
    <col min="24" max="24" width="12.453125" style="3" customWidth="1"/>
    <col min="25" max="25" width="11.7265625" style="3" customWidth="1"/>
    <col min="26" max="26" width="12" style="3" customWidth="1"/>
    <col min="27" max="27" width="16.26953125" style="3" customWidth="1"/>
    <col min="28" max="32" width="9.08984375" style="3"/>
    <col min="33" max="33" width="15.453125" style="3" customWidth="1"/>
    <col min="34" max="34" width="9.08984375" style="3"/>
    <col min="35" max="35" width="10.08984375" style="3" customWidth="1"/>
    <col min="36" max="977" width="9.08984375" style="3"/>
    <col min="978" max="1013" width="9.1796875" style="3"/>
  </cols>
  <sheetData>
    <row r="1" spans="1:36" ht="12.75" customHeight="1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4"/>
      <c r="P1" s="4"/>
      <c r="Q1" s="6" t="s">
        <v>0</v>
      </c>
      <c r="R1" s="6" t="s">
        <v>0</v>
      </c>
      <c r="S1" s="6" t="s">
        <v>0</v>
      </c>
      <c r="T1" s="7" t="s">
        <v>0</v>
      </c>
      <c r="U1" s="7" t="s">
        <v>0</v>
      </c>
      <c r="V1" s="6" t="s">
        <v>1</v>
      </c>
      <c r="W1" s="6" t="s">
        <v>1</v>
      </c>
      <c r="X1" s="6" t="s">
        <v>1</v>
      </c>
      <c r="Y1" s="6" t="s">
        <v>1</v>
      </c>
      <c r="Z1" s="6" t="s">
        <v>1</v>
      </c>
      <c r="AA1" s="6" t="s">
        <v>1</v>
      </c>
      <c r="AB1" s="6" t="s">
        <v>2</v>
      </c>
      <c r="AC1" s="8" t="s">
        <v>3</v>
      </c>
      <c r="AD1" s="9" t="s">
        <v>3</v>
      </c>
      <c r="AE1" s="8" t="s">
        <v>3</v>
      </c>
      <c r="AF1" s="8" t="s">
        <v>3</v>
      </c>
      <c r="AG1" s="8" t="s">
        <v>3</v>
      </c>
      <c r="AH1" s="8" t="s">
        <v>3</v>
      </c>
      <c r="AI1" s="8" t="s">
        <v>3</v>
      </c>
      <c r="AJ1" s="8"/>
    </row>
    <row r="2" spans="1:36" ht="107.25" customHeight="1" x14ac:dyDescent="0.3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5" t="s">
        <v>14</v>
      </c>
      <c r="L2" s="5"/>
      <c r="M2" s="5" t="s">
        <v>15</v>
      </c>
      <c r="N2" s="5"/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10" t="s">
        <v>21</v>
      </c>
      <c r="U2" s="10" t="s">
        <v>22</v>
      </c>
      <c r="V2" s="11" t="s">
        <v>23</v>
      </c>
      <c r="W2" s="4" t="s">
        <v>24</v>
      </c>
      <c r="X2" s="11" t="s">
        <v>25</v>
      </c>
      <c r="Y2" s="4" t="s">
        <v>26</v>
      </c>
      <c r="Z2" s="4" t="s">
        <v>27</v>
      </c>
      <c r="AA2" s="11" t="s">
        <v>28</v>
      </c>
      <c r="AB2" s="12" t="s">
        <v>29</v>
      </c>
      <c r="AC2" s="13" t="s">
        <v>30</v>
      </c>
      <c r="AD2" s="12" t="s">
        <v>31</v>
      </c>
      <c r="AE2" s="13" t="s">
        <v>32</v>
      </c>
      <c r="AF2" s="13" t="s">
        <v>33</v>
      </c>
      <c r="AG2" s="13" t="s">
        <v>34</v>
      </c>
      <c r="AH2" s="2" t="s">
        <v>35</v>
      </c>
      <c r="AI2" s="2"/>
      <c r="AJ2" s="15" t="s">
        <v>36</v>
      </c>
    </row>
    <row r="3" spans="1:36" ht="26.15" customHeight="1" x14ac:dyDescent="0.35">
      <c r="A3" s="5"/>
      <c r="B3" s="5"/>
      <c r="C3" s="5"/>
      <c r="D3" s="5"/>
      <c r="E3" s="5"/>
      <c r="F3" s="5" t="s">
        <v>37</v>
      </c>
      <c r="G3" s="5" t="s">
        <v>38</v>
      </c>
      <c r="H3" s="5" t="s">
        <v>38</v>
      </c>
      <c r="I3" s="5" t="s">
        <v>38</v>
      </c>
      <c r="J3" s="5" t="s">
        <v>38</v>
      </c>
      <c r="K3" s="5" t="s">
        <v>38</v>
      </c>
      <c r="L3" s="5" t="s">
        <v>39</v>
      </c>
      <c r="M3" s="5"/>
      <c r="N3" s="5" t="s">
        <v>39</v>
      </c>
      <c r="O3" s="5" t="s">
        <v>37</v>
      </c>
      <c r="P3" s="5" t="s">
        <v>37</v>
      </c>
      <c r="Q3" s="5" t="s">
        <v>40</v>
      </c>
      <c r="R3" s="5" t="s">
        <v>41</v>
      </c>
      <c r="S3" s="5" t="s">
        <v>37</v>
      </c>
      <c r="T3"/>
      <c r="U3"/>
      <c r="V3" s="5" t="s">
        <v>37</v>
      </c>
      <c r="W3" s="5" t="s">
        <v>37</v>
      </c>
      <c r="X3" s="5" t="s">
        <v>40</v>
      </c>
      <c r="Y3" s="5" t="s">
        <v>40</v>
      </c>
      <c r="Z3" s="5" t="s">
        <v>40</v>
      </c>
      <c r="AA3" s="5" t="s">
        <v>37</v>
      </c>
      <c r="AB3" s="16" t="s">
        <v>42</v>
      </c>
      <c r="AC3" s="14" t="s">
        <v>40</v>
      </c>
      <c r="AD3" s="16" t="s">
        <v>40</v>
      </c>
      <c r="AE3" s="14" t="s">
        <v>40</v>
      </c>
      <c r="AF3" s="14" t="s">
        <v>37</v>
      </c>
      <c r="AG3" s="14" t="s">
        <v>43</v>
      </c>
      <c r="AH3" s="14" t="s">
        <v>44</v>
      </c>
      <c r="AI3" s="14" t="s">
        <v>45</v>
      </c>
      <c r="AJ3" s="14" t="s">
        <v>40</v>
      </c>
    </row>
    <row r="4" spans="1:36" x14ac:dyDescent="0.35">
      <c r="A4" s="17" t="s">
        <v>46</v>
      </c>
      <c r="B4" s="17" t="s">
        <v>47</v>
      </c>
      <c r="C4" s="18" t="s">
        <v>48</v>
      </c>
      <c r="D4" s="17" t="s">
        <v>49</v>
      </c>
      <c r="E4" s="19" t="s">
        <v>50</v>
      </c>
      <c r="F4" s="20">
        <v>249</v>
      </c>
      <c r="G4" s="20">
        <v>65</v>
      </c>
      <c r="H4" s="19">
        <v>287</v>
      </c>
      <c r="I4" s="20">
        <v>166</v>
      </c>
      <c r="J4" s="20">
        <v>121</v>
      </c>
      <c r="K4" s="20">
        <v>5</v>
      </c>
      <c r="L4" s="21">
        <f t="shared" ref="L4:L46" si="0">K4/H4</f>
        <v>1.7421602787456445E-2</v>
      </c>
      <c r="M4" s="20">
        <v>247</v>
      </c>
      <c r="N4" s="22">
        <f t="shared" ref="N4:N46" si="1">M4/H4</f>
        <v>0.86062717770034847</v>
      </c>
      <c r="O4" s="20">
        <v>58</v>
      </c>
      <c r="P4" s="20">
        <v>0</v>
      </c>
      <c r="Q4" s="23"/>
      <c r="R4" s="23"/>
      <c r="S4" s="24"/>
      <c r="T4" s="24"/>
      <c r="U4" s="24"/>
      <c r="V4" s="24"/>
      <c r="W4" s="20"/>
      <c r="X4" s="24" t="s">
        <v>51</v>
      </c>
      <c r="Y4" s="20"/>
      <c r="Z4" s="24"/>
      <c r="AA4" s="24"/>
      <c r="AB4" s="24"/>
      <c r="AC4" s="24" t="s">
        <v>51</v>
      </c>
      <c r="AD4" s="24"/>
      <c r="AE4" s="24" t="s">
        <v>51</v>
      </c>
      <c r="AF4" s="24">
        <v>4.3600000000000003</v>
      </c>
      <c r="AG4" s="24"/>
      <c r="AH4" s="25">
        <v>25.1808917</v>
      </c>
      <c r="AI4" s="25">
        <v>74.851736900000006</v>
      </c>
      <c r="AJ4" s="25" t="s">
        <v>51</v>
      </c>
    </row>
    <row r="5" spans="1:36" x14ac:dyDescent="0.35">
      <c r="A5" s="17" t="s">
        <v>46</v>
      </c>
      <c r="B5" s="17" t="s">
        <v>47</v>
      </c>
      <c r="C5" s="18" t="s">
        <v>48</v>
      </c>
      <c r="D5" s="17" t="s">
        <v>52</v>
      </c>
      <c r="E5" s="19" t="s">
        <v>53</v>
      </c>
      <c r="F5" s="20">
        <v>508</v>
      </c>
      <c r="G5" s="20">
        <v>182</v>
      </c>
      <c r="H5" s="19">
        <v>695</v>
      </c>
      <c r="I5" s="20">
        <v>373</v>
      </c>
      <c r="J5" s="20">
        <v>322</v>
      </c>
      <c r="K5" s="20">
        <v>131</v>
      </c>
      <c r="L5" s="21">
        <f t="shared" si="0"/>
        <v>0.18848920863309351</v>
      </c>
      <c r="M5" s="20">
        <v>93</v>
      </c>
      <c r="N5" s="22">
        <f t="shared" si="1"/>
        <v>0.13381294964028778</v>
      </c>
      <c r="O5" s="20">
        <v>178</v>
      </c>
      <c r="P5" s="20">
        <v>0</v>
      </c>
      <c r="Q5" s="23"/>
      <c r="R5" s="23"/>
      <c r="S5" s="24"/>
      <c r="T5" s="24"/>
      <c r="U5" s="24"/>
      <c r="V5" s="24"/>
      <c r="W5" s="20"/>
      <c r="X5" s="24" t="s">
        <v>51</v>
      </c>
      <c r="Y5" s="20"/>
      <c r="Z5" s="24"/>
      <c r="AA5" s="24"/>
      <c r="AB5" s="24"/>
      <c r="AC5" s="24" t="s">
        <v>51</v>
      </c>
      <c r="AD5" s="24"/>
      <c r="AE5" s="24" t="s">
        <v>51</v>
      </c>
      <c r="AF5" s="24">
        <v>13.65</v>
      </c>
      <c r="AG5" s="24" t="s">
        <v>54</v>
      </c>
      <c r="AH5" s="25" t="s">
        <v>55</v>
      </c>
      <c r="AI5" s="25">
        <v>74.860793900000004</v>
      </c>
      <c r="AJ5" s="25" t="s">
        <v>51</v>
      </c>
    </row>
    <row r="6" spans="1:36" x14ac:dyDescent="0.35">
      <c r="A6" s="17" t="s">
        <v>46</v>
      </c>
      <c r="B6" s="17" t="s">
        <v>47</v>
      </c>
      <c r="C6" s="18" t="s">
        <v>48</v>
      </c>
      <c r="D6" s="17" t="s">
        <v>56</v>
      </c>
      <c r="E6" s="19" t="s">
        <v>57</v>
      </c>
      <c r="F6" s="20">
        <v>69</v>
      </c>
      <c r="G6" s="20">
        <v>46</v>
      </c>
      <c r="H6" s="19">
        <v>229</v>
      </c>
      <c r="I6" s="20">
        <v>124</v>
      </c>
      <c r="J6" s="20">
        <v>105</v>
      </c>
      <c r="K6" s="20">
        <v>74</v>
      </c>
      <c r="L6" s="21">
        <f t="shared" si="0"/>
        <v>0.32314410480349343</v>
      </c>
      <c r="M6" s="20">
        <v>0</v>
      </c>
      <c r="N6" s="22">
        <f t="shared" si="1"/>
        <v>0</v>
      </c>
      <c r="O6" s="20">
        <v>0</v>
      </c>
      <c r="P6" s="20">
        <v>1</v>
      </c>
      <c r="Q6" s="23"/>
      <c r="R6" s="23"/>
      <c r="S6" s="24"/>
      <c r="T6" s="24"/>
      <c r="U6" s="24"/>
      <c r="V6" s="24"/>
      <c r="W6" s="20"/>
      <c r="X6" s="24" t="s">
        <v>51</v>
      </c>
      <c r="Y6" s="20"/>
      <c r="Z6" s="24"/>
      <c r="AA6" s="24"/>
      <c r="AB6" s="24"/>
      <c r="AC6" s="24" t="s">
        <v>51</v>
      </c>
      <c r="AD6" s="24"/>
      <c r="AE6" s="24" t="s">
        <v>51</v>
      </c>
      <c r="AF6" s="24"/>
      <c r="AG6" s="24"/>
      <c r="AH6" s="24"/>
      <c r="AI6" s="24"/>
      <c r="AJ6" s="25" t="s">
        <v>51</v>
      </c>
    </row>
    <row r="7" spans="1:36" x14ac:dyDescent="0.35">
      <c r="A7" s="17" t="s">
        <v>46</v>
      </c>
      <c r="B7" s="17" t="s">
        <v>47</v>
      </c>
      <c r="C7" s="18" t="s">
        <v>48</v>
      </c>
      <c r="D7" s="17" t="s">
        <v>58</v>
      </c>
      <c r="E7" s="19" t="s">
        <v>59</v>
      </c>
      <c r="F7" s="20">
        <v>376</v>
      </c>
      <c r="G7" s="20">
        <v>132</v>
      </c>
      <c r="H7" s="19">
        <v>619</v>
      </c>
      <c r="I7" s="20">
        <v>296</v>
      </c>
      <c r="J7" s="20">
        <v>323</v>
      </c>
      <c r="K7" s="20">
        <v>50</v>
      </c>
      <c r="L7" s="21">
        <f t="shared" si="0"/>
        <v>8.0775444264943458E-2</v>
      </c>
      <c r="M7" s="20">
        <v>0</v>
      </c>
      <c r="N7" s="22">
        <f t="shared" si="1"/>
        <v>0</v>
      </c>
      <c r="O7" s="20">
        <v>122</v>
      </c>
      <c r="P7" s="20">
        <v>53</v>
      </c>
      <c r="Q7" s="23"/>
      <c r="R7" s="26"/>
      <c r="S7" s="24"/>
      <c r="T7" s="24"/>
      <c r="U7" s="24"/>
      <c r="V7" s="24"/>
      <c r="W7" s="20"/>
      <c r="X7" s="24" t="s">
        <v>51</v>
      </c>
      <c r="Y7" s="20"/>
      <c r="Z7" s="24"/>
      <c r="AA7" s="24"/>
      <c r="AB7" s="24"/>
      <c r="AC7" s="24" t="s">
        <v>51</v>
      </c>
      <c r="AD7" s="24"/>
      <c r="AE7" s="24" t="s">
        <v>51</v>
      </c>
      <c r="AF7" s="24">
        <v>35.840000000000003</v>
      </c>
      <c r="AG7" s="24" t="s">
        <v>60</v>
      </c>
      <c r="AH7" s="24">
        <v>25.167313</v>
      </c>
      <c r="AI7" s="24">
        <v>74.897309000000007</v>
      </c>
      <c r="AJ7" s="25" t="s">
        <v>51</v>
      </c>
    </row>
    <row r="8" spans="1:36" x14ac:dyDescent="0.35">
      <c r="A8" s="17" t="s">
        <v>46</v>
      </c>
      <c r="B8" s="17" t="s">
        <v>47</v>
      </c>
      <c r="C8" s="18" t="s">
        <v>48</v>
      </c>
      <c r="D8" s="17" t="s">
        <v>48</v>
      </c>
      <c r="E8" s="19" t="s">
        <v>61</v>
      </c>
      <c r="F8" s="20">
        <v>542</v>
      </c>
      <c r="G8" s="20">
        <v>215</v>
      </c>
      <c r="H8" s="19">
        <v>1007</v>
      </c>
      <c r="I8" s="20">
        <v>510</v>
      </c>
      <c r="J8" s="20">
        <v>497</v>
      </c>
      <c r="K8" s="20">
        <v>512</v>
      </c>
      <c r="L8" s="21">
        <f t="shared" si="0"/>
        <v>0.50844091360476662</v>
      </c>
      <c r="M8" s="20">
        <v>31</v>
      </c>
      <c r="N8" s="22">
        <f t="shared" si="1"/>
        <v>3.0784508440913606E-2</v>
      </c>
      <c r="O8" s="20">
        <v>109</v>
      </c>
      <c r="P8" s="20">
        <v>6</v>
      </c>
      <c r="Q8" s="23"/>
      <c r="R8" s="23"/>
      <c r="S8" s="24"/>
      <c r="T8" s="24"/>
      <c r="U8" s="24"/>
      <c r="V8" s="24"/>
      <c r="W8" s="20"/>
      <c r="X8" s="24" t="s">
        <v>51</v>
      </c>
      <c r="Y8" s="20"/>
      <c r="Z8" s="24"/>
      <c r="AA8" s="24"/>
      <c r="AB8" s="24"/>
      <c r="AC8" s="24" t="s">
        <v>51</v>
      </c>
      <c r="AD8" s="24"/>
      <c r="AE8" s="24" t="s">
        <v>51</v>
      </c>
      <c r="AF8" s="24">
        <v>15</v>
      </c>
      <c r="AG8" s="24" t="s">
        <v>60</v>
      </c>
      <c r="AH8" s="24">
        <v>25.168963999999999</v>
      </c>
      <c r="AI8" s="24">
        <v>74.874934999999994</v>
      </c>
      <c r="AJ8" s="25" t="s">
        <v>51</v>
      </c>
    </row>
    <row r="9" spans="1:36" x14ac:dyDescent="0.35">
      <c r="A9" s="17" t="s">
        <v>46</v>
      </c>
      <c r="B9" s="17" t="s">
        <v>47</v>
      </c>
      <c r="C9" s="18" t="s">
        <v>48</v>
      </c>
      <c r="D9" s="17" t="s">
        <v>62</v>
      </c>
      <c r="E9" s="19" t="s">
        <v>63</v>
      </c>
      <c r="F9" s="20">
        <v>49</v>
      </c>
      <c r="G9" s="20">
        <v>85</v>
      </c>
      <c r="H9" s="19">
        <v>363</v>
      </c>
      <c r="I9" s="20">
        <v>181</v>
      </c>
      <c r="J9" s="20">
        <v>182</v>
      </c>
      <c r="K9" s="20">
        <v>0</v>
      </c>
      <c r="L9" s="21">
        <f t="shared" si="0"/>
        <v>0</v>
      </c>
      <c r="M9" s="20">
        <v>87</v>
      </c>
      <c r="N9" s="22">
        <f t="shared" si="1"/>
        <v>0.23966942148760331</v>
      </c>
      <c r="O9" s="20">
        <v>0</v>
      </c>
      <c r="P9" s="20">
        <v>0</v>
      </c>
      <c r="Q9" s="23"/>
      <c r="R9" s="23"/>
      <c r="S9" s="24"/>
      <c r="T9" s="24"/>
      <c r="U9" s="24"/>
      <c r="V9" s="24"/>
      <c r="W9" s="20"/>
      <c r="X9" s="24" t="s">
        <v>51</v>
      </c>
      <c r="Y9" s="20"/>
      <c r="Z9" s="24"/>
      <c r="AA9" s="24"/>
      <c r="AB9" s="24"/>
      <c r="AC9" s="24" t="s">
        <v>51</v>
      </c>
      <c r="AD9" s="24"/>
      <c r="AE9" s="24" t="s">
        <v>51</v>
      </c>
      <c r="AF9" s="24"/>
      <c r="AG9" s="24"/>
      <c r="AH9" s="24"/>
      <c r="AI9" s="24"/>
      <c r="AJ9" s="25" t="s">
        <v>51</v>
      </c>
    </row>
    <row r="10" spans="1:36" x14ac:dyDescent="0.35">
      <c r="A10" s="17" t="s">
        <v>46</v>
      </c>
      <c r="B10" s="17" t="s">
        <v>47</v>
      </c>
      <c r="C10" s="18" t="s">
        <v>48</v>
      </c>
      <c r="D10" s="17" t="s">
        <v>64</v>
      </c>
      <c r="E10" s="19" t="s">
        <v>65</v>
      </c>
      <c r="F10" s="20">
        <v>280</v>
      </c>
      <c r="G10" s="20">
        <v>147</v>
      </c>
      <c r="H10" s="19">
        <v>642</v>
      </c>
      <c r="I10" s="20">
        <v>329</v>
      </c>
      <c r="J10" s="20">
        <v>313</v>
      </c>
      <c r="K10" s="20">
        <v>116</v>
      </c>
      <c r="L10" s="21">
        <f t="shared" si="0"/>
        <v>0.18068535825545171</v>
      </c>
      <c r="M10" s="20">
        <v>0</v>
      </c>
      <c r="N10" s="22">
        <f t="shared" si="1"/>
        <v>0</v>
      </c>
      <c r="O10" s="20">
        <v>49</v>
      </c>
      <c r="P10" s="20">
        <v>0</v>
      </c>
      <c r="Q10" s="23"/>
      <c r="R10" s="23"/>
      <c r="S10" s="24"/>
      <c r="T10" s="24"/>
      <c r="U10" s="24"/>
      <c r="V10" s="24"/>
      <c r="W10" s="20"/>
      <c r="X10" s="24" t="s">
        <v>51</v>
      </c>
      <c r="Y10" s="20"/>
      <c r="Z10" s="24"/>
      <c r="AA10" s="24"/>
      <c r="AB10" s="24"/>
      <c r="AC10" s="24" t="s">
        <v>51</v>
      </c>
      <c r="AD10" s="24"/>
      <c r="AE10" s="24" t="s">
        <v>51</v>
      </c>
      <c r="AF10" s="24"/>
      <c r="AG10" s="24"/>
      <c r="AH10" s="24"/>
      <c r="AI10" s="24"/>
      <c r="AJ10" s="25" t="s">
        <v>51</v>
      </c>
    </row>
    <row r="11" spans="1:36" x14ac:dyDescent="0.35">
      <c r="A11" s="17" t="s">
        <v>46</v>
      </c>
      <c r="B11" s="17" t="s">
        <v>47</v>
      </c>
      <c r="C11" s="18" t="s">
        <v>66</v>
      </c>
      <c r="D11" s="17" t="s">
        <v>67</v>
      </c>
      <c r="E11" s="19" t="s">
        <v>68</v>
      </c>
      <c r="F11" s="20">
        <v>257</v>
      </c>
      <c r="G11" s="20">
        <v>109</v>
      </c>
      <c r="H11" s="19">
        <v>479</v>
      </c>
      <c r="I11" s="20">
        <v>246</v>
      </c>
      <c r="J11" s="20">
        <v>233</v>
      </c>
      <c r="K11" s="20">
        <v>74</v>
      </c>
      <c r="L11" s="21">
        <f t="shared" si="0"/>
        <v>0.1544885177453027</v>
      </c>
      <c r="M11" s="20">
        <v>0</v>
      </c>
      <c r="N11" s="22">
        <f t="shared" si="1"/>
        <v>0</v>
      </c>
      <c r="O11" s="20">
        <v>6</v>
      </c>
      <c r="P11" s="20">
        <v>0</v>
      </c>
      <c r="Q11" s="23"/>
      <c r="R11" s="23"/>
      <c r="S11" s="24"/>
      <c r="T11" s="24"/>
      <c r="U11" s="24"/>
      <c r="V11" s="24"/>
      <c r="W11" s="20"/>
      <c r="X11" s="24" t="s">
        <v>51</v>
      </c>
      <c r="Y11" s="20"/>
      <c r="Z11" s="24"/>
      <c r="AA11" s="24"/>
      <c r="AB11" s="24"/>
      <c r="AC11" s="24" t="s">
        <v>51</v>
      </c>
      <c r="AD11" s="24"/>
      <c r="AE11" s="24" t="s">
        <v>51</v>
      </c>
      <c r="AF11" s="24"/>
      <c r="AG11" s="24"/>
      <c r="AH11" s="24"/>
      <c r="AI11" s="24"/>
      <c r="AJ11" s="25" t="s">
        <v>51</v>
      </c>
    </row>
    <row r="12" spans="1:36" x14ac:dyDescent="0.35">
      <c r="A12" s="17" t="s">
        <v>46</v>
      </c>
      <c r="B12" s="17" t="s">
        <v>47</v>
      </c>
      <c r="C12" s="18" t="s">
        <v>66</v>
      </c>
      <c r="D12" s="17" t="s">
        <v>69</v>
      </c>
      <c r="E12" s="19" t="s">
        <v>70</v>
      </c>
      <c r="F12" s="20">
        <v>37</v>
      </c>
      <c r="G12" s="20">
        <v>32</v>
      </c>
      <c r="H12" s="19">
        <v>152</v>
      </c>
      <c r="I12" s="20">
        <v>80</v>
      </c>
      <c r="J12" s="20">
        <v>72</v>
      </c>
      <c r="K12" s="20">
        <v>0</v>
      </c>
      <c r="L12" s="21">
        <f t="shared" si="0"/>
        <v>0</v>
      </c>
      <c r="M12" s="20">
        <v>0</v>
      </c>
      <c r="N12" s="22">
        <f t="shared" si="1"/>
        <v>0</v>
      </c>
      <c r="O12" s="20">
        <v>0</v>
      </c>
      <c r="P12" s="20">
        <v>0</v>
      </c>
      <c r="Q12" s="23"/>
      <c r="R12" s="23"/>
      <c r="S12" s="24"/>
      <c r="T12" s="24"/>
      <c r="U12" s="24"/>
      <c r="V12" s="24"/>
      <c r="W12" s="20"/>
      <c r="X12" s="24" t="s">
        <v>51</v>
      </c>
      <c r="Y12" s="20"/>
      <c r="Z12" s="24"/>
      <c r="AA12" s="24"/>
      <c r="AB12" s="24"/>
      <c r="AC12" s="24" t="s">
        <v>51</v>
      </c>
      <c r="AD12" s="24"/>
      <c r="AE12" s="24" t="s">
        <v>51</v>
      </c>
      <c r="AF12" s="24"/>
      <c r="AG12" s="24"/>
      <c r="AH12" s="24"/>
      <c r="AI12" s="24"/>
      <c r="AJ12" s="25" t="s">
        <v>51</v>
      </c>
    </row>
    <row r="13" spans="1:36" x14ac:dyDescent="0.35">
      <c r="A13" s="17" t="s">
        <v>46</v>
      </c>
      <c r="B13" s="17" t="s">
        <v>47</v>
      </c>
      <c r="C13" s="18" t="s">
        <v>66</v>
      </c>
      <c r="D13" s="17" t="s">
        <v>71</v>
      </c>
      <c r="E13" s="19" t="s">
        <v>72</v>
      </c>
      <c r="F13" s="20">
        <v>165</v>
      </c>
      <c r="G13" s="20">
        <v>89</v>
      </c>
      <c r="H13" s="19">
        <v>452</v>
      </c>
      <c r="I13" s="20">
        <v>241</v>
      </c>
      <c r="J13" s="20">
        <v>211</v>
      </c>
      <c r="K13" s="20">
        <v>53</v>
      </c>
      <c r="L13" s="21">
        <f t="shared" si="0"/>
        <v>0.11725663716814159</v>
      </c>
      <c r="M13" s="20">
        <v>0</v>
      </c>
      <c r="N13" s="22">
        <f t="shared" si="1"/>
        <v>0</v>
      </c>
      <c r="O13" s="20">
        <v>10</v>
      </c>
      <c r="P13" s="20">
        <v>0</v>
      </c>
      <c r="Q13" s="23"/>
      <c r="R13" s="23"/>
      <c r="S13" s="24"/>
      <c r="T13" s="24"/>
      <c r="U13" s="24"/>
      <c r="V13" s="24"/>
      <c r="W13" s="20"/>
      <c r="X13" s="24" t="s">
        <v>51</v>
      </c>
      <c r="Y13" s="20"/>
      <c r="Z13" s="24"/>
      <c r="AA13" s="24"/>
      <c r="AB13" s="24"/>
      <c r="AC13" s="24" t="s">
        <v>51</v>
      </c>
      <c r="AD13" s="24"/>
      <c r="AE13" s="24" t="s">
        <v>51</v>
      </c>
      <c r="AF13" s="24"/>
      <c r="AG13" s="24"/>
      <c r="AH13" s="24"/>
      <c r="AI13" s="24"/>
      <c r="AJ13" s="25" t="s">
        <v>51</v>
      </c>
    </row>
    <row r="14" spans="1:36" x14ac:dyDescent="0.35">
      <c r="A14" s="17" t="s">
        <v>46</v>
      </c>
      <c r="B14" s="17" t="s">
        <v>47</v>
      </c>
      <c r="C14" s="18" t="s">
        <v>73</v>
      </c>
      <c r="D14" s="17" t="s">
        <v>74</v>
      </c>
      <c r="E14" s="19" t="s">
        <v>75</v>
      </c>
      <c r="F14" s="20">
        <v>352</v>
      </c>
      <c r="G14" s="20">
        <v>76</v>
      </c>
      <c r="H14" s="19">
        <v>343</v>
      </c>
      <c r="I14" s="20">
        <v>169</v>
      </c>
      <c r="J14" s="20">
        <v>174</v>
      </c>
      <c r="K14" s="20">
        <v>50</v>
      </c>
      <c r="L14" s="21">
        <f t="shared" si="0"/>
        <v>0.1457725947521866</v>
      </c>
      <c r="M14" s="20">
        <v>0</v>
      </c>
      <c r="N14" s="22">
        <f t="shared" si="1"/>
        <v>0</v>
      </c>
      <c r="O14" s="20">
        <v>42</v>
      </c>
      <c r="P14" s="20">
        <v>0</v>
      </c>
      <c r="Q14" s="23"/>
      <c r="R14" s="23"/>
      <c r="S14" s="24"/>
      <c r="T14" s="24"/>
      <c r="U14" s="24"/>
      <c r="V14" s="24"/>
      <c r="W14" s="20"/>
      <c r="X14" s="24" t="s">
        <v>51</v>
      </c>
      <c r="Y14" s="20"/>
      <c r="Z14" s="24"/>
      <c r="AA14" s="24"/>
      <c r="AB14" s="24"/>
      <c r="AC14" s="24" t="s">
        <v>51</v>
      </c>
      <c r="AD14" s="24"/>
      <c r="AE14" s="24" t="s">
        <v>51</v>
      </c>
      <c r="AF14" s="24"/>
      <c r="AG14" s="24"/>
      <c r="AH14" s="24"/>
      <c r="AI14" s="24"/>
      <c r="AJ14" s="25" t="s">
        <v>51</v>
      </c>
    </row>
    <row r="15" spans="1:36" x14ac:dyDescent="0.35">
      <c r="A15" s="17" t="s">
        <v>46</v>
      </c>
      <c r="B15" s="17" t="s">
        <v>47</v>
      </c>
      <c r="C15" s="18" t="s">
        <v>73</v>
      </c>
      <c r="D15" s="17" t="s">
        <v>76</v>
      </c>
      <c r="E15" s="19" t="s">
        <v>77</v>
      </c>
      <c r="F15" s="20">
        <v>113</v>
      </c>
      <c r="G15" s="20">
        <v>65</v>
      </c>
      <c r="H15" s="19">
        <v>253</v>
      </c>
      <c r="I15" s="20">
        <v>134</v>
      </c>
      <c r="J15" s="20">
        <v>119</v>
      </c>
      <c r="K15" s="20">
        <v>65</v>
      </c>
      <c r="L15" s="21">
        <f t="shared" si="0"/>
        <v>0.25691699604743085</v>
      </c>
      <c r="M15" s="20">
        <v>0</v>
      </c>
      <c r="N15" s="22">
        <f t="shared" si="1"/>
        <v>0</v>
      </c>
      <c r="O15" s="20">
        <v>11</v>
      </c>
      <c r="P15" s="20">
        <v>0</v>
      </c>
      <c r="Q15" s="23"/>
      <c r="R15" s="23"/>
      <c r="S15" s="24"/>
      <c r="T15" s="24"/>
      <c r="U15" s="24"/>
      <c r="V15" s="24"/>
      <c r="W15" s="20"/>
      <c r="X15" s="24" t="s">
        <v>51</v>
      </c>
      <c r="Y15" s="20"/>
      <c r="Z15" s="24"/>
      <c r="AA15" s="24"/>
      <c r="AB15" s="24"/>
      <c r="AC15" s="24" t="s">
        <v>51</v>
      </c>
      <c r="AD15" s="24"/>
      <c r="AE15" s="24" t="s">
        <v>51</v>
      </c>
      <c r="AF15" s="24"/>
      <c r="AG15" s="24"/>
      <c r="AH15" s="24"/>
      <c r="AI15" s="24"/>
      <c r="AJ15" s="25" t="s">
        <v>51</v>
      </c>
    </row>
    <row r="16" spans="1:36" x14ac:dyDescent="0.35">
      <c r="A16" s="17" t="s">
        <v>46</v>
      </c>
      <c r="B16" s="17" t="s">
        <v>47</v>
      </c>
      <c r="C16" s="18" t="s">
        <v>73</v>
      </c>
      <c r="D16" s="17" t="s">
        <v>78</v>
      </c>
      <c r="E16" s="19" t="s">
        <v>79</v>
      </c>
      <c r="F16" s="20">
        <v>381</v>
      </c>
      <c r="G16" s="20">
        <v>145</v>
      </c>
      <c r="H16" s="19">
        <v>568</v>
      </c>
      <c r="I16" s="20">
        <v>298</v>
      </c>
      <c r="J16" s="20">
        <v>270</v>
      </c>
      <c r="K16" s="20">
        <v>37</v>
      </c>
      <c r="L16" s="21">
        <f t="shared" si="0"/>
        <v>6.5140845070422532E-2</v>
      </c>
      <c r="M16" s="20">
        <v>51</v>
      </c>
      <c r="N16" s="22">
        <f t="shared" si="1"/>
        <v>8.9788732394366202E-2</v>
      </c>
      <c r="O16" s="20">
        <v>116</v>
      </c>
      <c r="P16" s="20">
        <v>0</v>
      </c>
      <c r="Q16" s="23"/>
      <c r="R16" s="23"/>
      <c r="S16" s="24"/>
      <c r="T16" s="24"/>
      <c r="U16" s="24"/>
      <c r="V16" s="24"/>
      <c r="W16" s="20"/>
      <c r="X16" s="24" t="s">
        <v>51</v>
      </c>
      <c r="Y16" s="20"/>
      <c r="Z16" s="24"/>
      <c r="AA16" s="24"/>
      <c r="AB16" s="24"/>
      <c r="AC16" s="24" t="s">
        <v>51</v>
      </c>
      <c r="AD16" s="24"/>
      <c r="AE16" s="24" t="s">
        <v>51</v>
      </c>
      <c r="AF16" s="24">
        <v>40</v>
      </c>
      <c r="AG16" s="24" t="s">
        <v>80</v>
      </c>
      <c r="AH16" s="24">
        <v>25.1432313</v>
      </c>
      <c r="AI16" s="24">
        <v>74.833844200000001</v>
      </c>
      <c r="AJ16" s="25" t="s">
        <v>51</v>
      </c>
    </row>
    <row r="17" spans="1:36" x14ac:dyDescent="0.35">
      <c r="A17" s="17" t="s">
        <v>46</v>
      </c>
      <c r="B17" s="17" t="s">
        <v>47</v>
      </c>
      <c r="C17" s="18" t="s">
        <v>73</v>
      </c>
      <c r="D17" s="17" t="s">
        <v>81</v>
      </c>
      <c r="E17" s="19" t="s">
        <v>82</v>
      </c>
      <c r="F17" s="20">
        <v>547</v>
      </c>
      <c r="G17" s="20">
        <v>120</v>
      </c>
      <c r="H17" s="19">
        <v>656</v>
      </c>
      <c r="I17" s="20">
        <v>330</v>
      </c>
      <c r="J17" s="20">
        <v>326</v>
      </c>
      <c r="K17" s="20">
        <v>115</v>
      </c>
      <c r="L17" s="21">
        <f t="shared" si="0"/>
        <v>0.17530487804878048</v>
      </c>
      <c r="M17" s="20">
        <v>6</v>
      </c>
      <c r="N17" s="22">
        <f t="shared" si="1"/>
        <v>9.1463414634146336E-3</v>
      </c>
      <c r="O17" s="20">
        <v>97</v>
      </c>
      <c r="P17" s="20">
        <v>0</v>
      </c>
      <c r="Q17" s="23"/>
      <c r="R17" s="23"/>
      <c r="S17" s="24"/>
      <c r="T17" s="24"/>
      <c r="U17" s="24"/>
      <c r="V17" s="24"/>
      <c r="W17" s="20"/>
      <c r="X17" s="24" t="s">
        <v>51</v>
      </c>
      <c r="Y17" s="20"/>
      <c r="Z17" s="24"/>
      <c r="AA17" s="24"/>
      <c r="AB17" s="24"/>
      <c r="AC17" s="24" t="s">
        <v>51</v>
      </c>
      <c r="AD17" s="24"/>
      <c r="AE17" s="24" t="s">
        <v>51</v>
      </c>
      <c r="AF17" s="24">
        <v>66</v>
      </c>
      <c r="AG17" s="24" t="s">
        <v>60</v>
      </c>
      <c r="AH17" s="24">
        <v>25.142676999999999</v>
      </c>
      <c r="AI17" s="24">
        <v>74.794034999999994</v>
      </c>
      <c r="AJ17" s="25" t="s">
        <v>51</v>
      </c>
    </row>
    <row r="18" spans="1:36" x14ac:dyDescent="0.35">
      <c r="A18" s="17" t="s">
        <v>46</v>
      </c>
      <c r="B18" s="17" t="s">
        <v>47</v>
      </c>
      <c r="C18" s="18" t="s">
        <v>83</v>
      </c>
      <c r="D18" s="17" t="s">
        <v>84</v>
      </c>
      <c r="E18" s="19" t="s">
        <v>85</v>
      </c>
      <c r="F18" s="20">
        <v>182</v>
      </c>
      <c r="G18" s="20">
        <v>136</v>
      </c>
      <c r="H18" s="19">
        <v>659</v>
      </c>
      <c r="I18" s="20">
        <v>328</v>
      </c>
      <c r="J18" s="20">
        <v>331</v>
      </c>
      <c r="K18" s="20">
        <v>55</v>
      </c>
      <c r="L18" s="21">
        <f t="shared" si="0"/>
        <v>8.3459787556904405E-2</v>
      </c>
      <c r="M18" s="20">
        <v>63</v>
      </c>
      <c r="N18" s="22">
        <f t="shared" si="1"/>
        <v>9.5599393019726864E-2</v>
      </c>
      <c r="O18" s="20">
        <v>5</v>
      </c>
      <c r="P18" s="20">
        <v>0</v>
      </c>
      <c r="Q18" s="23"/>
      <c r="R18" s="23"/>
      <c r="S18" s="24"/>
      <c r="T18" s="24"/>
      <c r="U18" s="24"/>
      <c r="V18" s="24"/>
      <c r="W18" s="20"/>
      <c r="X18" s="24" t="s">
        <v>51</v>
      </c>
      <c r="Y18" s="20"/>
      <c r="Z18" s="24"/>
      <c r="AA18" s="24"/>
      <c r="AB18" s="24"/>
      <c r="AC18" s="24" t="s">
        <v>51</v>
      </c>
      <c r="AD18" s="24"/>
      <c r="AE18" s="24" t="s">
        <v>51</v>
      </c>
      <c r="AF18" s="24">
        <v>25</v>
      </c>
      <c r="AG18" s="24" t="s">
        <v>60</v>
      </c>
      <c r="AH18" s="24">
        <v>25.126964999999998</v>
      </c>
      <c r="AI18" s="24">
        <v>74.800231999999994</v>
      </c>
      <c r="AJ18" s="25" t="s">
        <v>51</v>
      </c>
    </row>
    <row r="19" spans="1:36" x14ac:dyDescent="0.35">
      <c r="A19" s="17" t="s">
        <v>46</v>
      </c>
      <c r="B19" s="17" t="s">
        <v>47</v>
      </c>
      <c r="C19" s="18" t="s">
        <v>83</v>
      </c>
      <c r="D19" s="17" t="s">
        <v>86</v>
      </c>
      <c r="E19" s="19" t="s">
        <v>87</v>
      </c>
      <c r="F19" s="20">
        <v>479</v>
      </c>
      <c r="G19" s="20">
        <v>154</v>
      </c>
      <c r="H19" s="19">
        <v>696</v>
      </c>
      <c r="I19" s="20">
        <v>350</v>
      </c>
      <c r="J19" s="20">
        <v>346</v>
      </c>
      <c r="K19" s="20">
        <v>48</v>
      </c>
      <c r="L19" s="21">
        <f t="shared" si="0"/>
        <v>6.8965517241379309E-2</v>
      </c>
      <c r="M19" s="20">
        <v>43</v>
      </c>
      <c r="N19" s="22">
        <f t="shared" si="1"/>
        <v>6.17816091954023E-2</v>
      </c>
      <c r="O19" s="20">
        <v>77</v>
      </c>
      <c r="P19" s="20">
        <v>0</v>
      </c>
      <c r="Q19" s="23" t="s">
        <v>51</v>
      </c>
      <c r="R19" s="27">
        <v>45100</v>
      </c>
      <c r="S19" s="24"/>
      <c r="T19" s="24"/>
      <c r="U19" s="24"/>
      <c r="V19" s="24"/>
      <c r="W19" s="20"/>
      <c r="X19" s="24" t="s">
        <v>51</v>
      </c>
      <c r="Y19" s="20"/>
      <c r="Z19" s="24"/>
      <c r="AA19" s="24"/>
      <c r="AB19" s="24"/>
      <c r="AC19" s="24" t="s">
        <v>51</v>
      </c>
      <c r="AD19" s="24"/>
      <c r="AE19" s="24" t="s">
        <v>51</v>
      </c>
      <c r="AF19" s="24">
        <v>5.58</v>
      </c>
      <c r="AG19" s="24" t="s">
        <v>54</v>
      </c>
      <c r="AH19" s="25">
        <v>25.101563599999999</v>
      </c>
      <c r="AI19" s="25" t="s">
        <v>88</v>
      </c>
      <c r="AJ19" s="25" t="s">
        <v>51</v>
      </c>
    </row>
    <row r="20" spans="1:36" x14ac:dyDescent="0.35">
      <c r="A20" s="17" t="s">
        <v>46</v>
      </c>
      <c r="B20" s="17" t="s">
        <v>47</v>
      </c>
      <c r="C20" s="18" t="s">
        <v>83</v>
      </c>
      <c r="D20" s="17" t="s">
        <v>89</v>
      </c>
      <c r="E20" s="19" t="s">
        <v>90</v>
      </c>
      <c r="F20" s="20">
        <v>177</v>
      </c>
      <c r="G20" s="20">
        <v>35</v>
      </c>
      <c r="H20" s="19">
        <v>168</v>
      </c>
      <c r="I20" s="20">
        <v>79</v>
      </c>
      <c r="J20" s="20">
        <v>89</v>
      </c>
      <c r="K20" s="20">
        <v>0</v>
      </c>
      <c r="L20" s="21">
        <f t="shared" si="0"/>
        <v>0</v>
      </c>
      <c r="M20" s="20">
        <v>0</v>
      </c>
      <c r="N20" s="22">
        <f t="shared" si="1"/>
        <v>0</v>
      </c>
      <c r="O20" s="20">
        <v>18</v>
      </c>
      <c r="P20" s="20">
        <v>0</v>
      </c>
      <c r="Q20" s="23"/>
      <c r="R20" s="23"/>
      <c r="S20" s="24"/>
      <c r="T20" s="24"/>
      <c r="U20" s="24"/>
      <c r="V20" s="24"/>
      <c r="W20" s="20"/>
      <c r="X20" s="24" t="s">
        <v>51</v>
      </c>
      <c r="Y20" s="20"/>
      <c r="Z20" s="24"/>
      <c r="AA20" s="24"/>
      <c r="AB20" s="24"/>
      <c r="AC20" s="24" t="s">
        <v>51</v>
      </c>
      <c r="AD20" s="24"/>
      <c r="AE20" s="24" t="s">
        <v>51</v>
      </c>
      <c r="AF20" s="24"/>
      <c r="AG20" s="24"/>
      <c r="AH20" s="24"/>
      <c r="AI20" s="24"/>
      <c r="AJ20" s="25" t="s">
        <v>51</v>
      </c>
    </row>
    <row r="21" spans="1:36" x14ac:dyDescent="0.35">
      <c r="A21" s="17" t="s">
        <v>46</v>
      </c>
      <c r="B21" s="17" t="s">
        <v>47</v>
      </c>
      <c r="C21" s="18" t="s">
        <v>83</v>
      </c>
      <c r="D21" s="17" t="s">
        <v>91</v>
      </c>
      <c r="E21" s="19" t="s">
        <v>92</v>
      </c>
      <c r="F21" s="20">
        <v>49</v>
      </c>
      <c r="G21" s="20">
        <v>77</v>
      </c>
      <c r="H21" s="19">
        <v>326</v>
      </c>
      <c r="I21" s="20">
        <v>171</v>
      </c>
      <c r="J21" s="20">
        <v>155</v>
      </c>
      <c r="K21" s="20">
        <v>47</v>
      </c>
      <c r="L21" s="21">
        <f t="shared" si="0"/>
        <v>0.14417177914110429</v>
      </c>
      <c r="M21" s="20">
        <v>0</v>
      </c>
      <c r="N21" s="22">
        <f t="shared" si="1"/>
        <v>0</v>
      </c>
      <c r="O21" s="20">
        <v>0</v>
      </c>
      <c r="P21" s="20">
        <v>0</v>
      </c>
      <c r="Q21" s="23"/>
      <c r="R21" s="23"/>
      <c r="S21" s="24"/>
      <c r="T21" s="24"/>
      <c r="U21" s="24"/>
      <c r="V21" s="24"/>
      <c r="W21" s="20"/>
      <c r="X21" s="24" t="s">
        <v>51</v>
      </c>
      <c r="Y21" s="20"/>
      <c r="Z21" s="24"/>
      <c r="AA21" s="24"/>
      <c r="AB21" s="24"/>
      <c r="AC21" s="24" t="s">
        <v>51</v>
      </c>
      <c r="AD21" s="24"/>
      <c r="AE21" s="24" t="s">
        <v>51</v>
      </c>
      <c r="AF21" s="24"/>
      <c r="AG21" s="24"/>
      <c r="AH21" s="24"/>
      <c r="AI21" s="24"/>
      <c r="AJ21" s="25" t="s">
        <v>51</v>
      </c>
    </row>
    <row r="22" spans="1:36" x14ac:dyDescent="0.35">
      <c r="A22" s="17" t="s">
        <v>46</v>
      </c>
      <c r="B22" s="17" t="s">
        <v>47</v>
      </c>
      <c r="C22" s="18" t="s">
        <v>73</v>
      </c>
      <c r="D22" s="17" t="s">
        <v>73</v>
      </c>
      <c r="E22" s="19" t="s">
        <v>93</v>
      </c>
      <c r="F22" s="20">
        <v>1078</v>
      </c>
      <c r="G22" s="20">
        <v>466</v>
      </c>
      <c r="H22" s="19">
        <v>2103</v>
      </c>
      <c r="I22" s="20">
        <v>1076</v>
      </c>
      <c r="J22" s="20">
        <v>1027</v>
      </c>
      <c r="K22" s="20">
        <v>598</v>
      </c>
      <c r="L22" s="21">
        <f t="shared" si="0"/>
        <v>0.28435568235853542</v>
      </c>
      <c r="M22" s="20">
        <v>191</v>
      </c>
      <c r="N22" s="22">
        <f t="shared" si="1"/>
        <v>9.0822634331906793E-2</v>
      </c>
      <c r="O22" s="20">
        <v>99</v>
      </c>
      <c r="P22" s="20">
        <v>0</v>
      </c>
      <c r="Q22" s="23"/>
      <c r="R22" s="23"/>
      <c r="S22" s="24"/>
      <c r="T22" s="24"/>
      <c r="U22" s="24"/>
      <c r="V22" s="24"/>
      <c r="W22" s="20"/>
      <c r="X22" s="24" t="s">
        <v>51</v>
      </c>
      <c r="Y22" s="20"/>
      <c r="Z22" s="24"/>
      <c r="AA22" s="24"/>
      <c r="AB22" s="24"/>
      <c r="AC22" s="24" t="s">
        <v>51</v>
      </c>
      <c r="AD22" s="24"/>
      <c r="AE22" s="24" t="s">
        <v>51</v>
      </c>
      <c r="AF22" s="24">
        <v>41</v>
      </c>
      <c r="AG22" s="24" t="s">
        <v>54</v>
      </c>
      <c r="AH22" s="25">
        <v>25.140673100000001</v>
      </c>
      <c r="AI22" s="25" t="s">
        <v>94</v>
      </c>
      <c r="AJ22" s="25" t="s">
        <v>51</v>
      </c>
    </row>
    <row r="23" spans="1:36" x14ac:dyDescent="0.35">
      <c r="A23" s="17" t="s">
        <v>46</v>
      </c>
      <c r="B23" s="17" t="s">
        <v>47</v>
      </c>
      <c r="C23" s="18" t="s">
        <v>66</v>
      </c>
      <c r="D23" s="17" t="s">
        <v>95</v>
      </c>
      <c r="E23" s="19" t="s">
        <v>96</v>
      </c>
      <c r="F23" s="20">
        <v>64</v>
      </c>
      <c r="G23" s="20">
        <v>70</v>
      </c>
      <c r="H23" s="19">
        <v>343</v>
      </c>
      <c r="I23" s="20">
        <v>181</v>
      </c>
      <c r="J23" s="20">
        <v>162</v>
      </c>
      <c r="K23" s="20">
        <v>102</v>
      </c>
      <c r="L23" s="21">
        <f t="shared" si="0"/>
        <v>0.29737609329446063</v>
      </c>
      <c r="M23" s="20">
        <v>34</v>
      </c>
      <c r="N23" s="22">
        <f t="shared" si="1"/>
        <v>9.9125364431486881E-2</v>
      </c>
      <c r="O23" s="20">
        <v>0</v>
      </c>
      <c r="P23" s="20">
        <v>0</v>
      </c>
      <c r="Q23" s="23"/>
      <c r="R23" s="23"/>
      <c r="S23" s="24"/>
      <c r="T23" s="24"/>
      <c r="U23" s="24"/>
      <c r="V23" s="24"/>
      <c r="W23" s="20"/>
      <c r="X23" s="24" t="s">
        <v>51</v>
      </c>
      <c r="Y23" s="20"/>
      <c r="Z23" s="24"/>
      <c r="AA23" s="24"/>
      <c r="AB23" s="24"/>
      <c r="AC23" s="24" t="s">
        <v>51</v>
      </c>
      <c r="AD23" s="24"/>
      <c r="AE23" s="24" t="s">
        <v>51</v>
      </c>
      <c r="AF23" s="24"/>
      <c r="AG23" s="24"/>
      <c r="AH23" s="24"/>
      <c r="AI23" s="24"/>
      <c r="AJ23" s="25" t="s">
        <v>51</v>
      </c>
    </row>
    <row r="24" spans="1:36" x14ac:dyDescent="0.35">
      <c r="A24" s="17" t="s">
        <v>46</v>
      </c>
      <c r="B24" s="17" t="s">
        <v>47</v>
      </c>
      <c r="C24" s="18" t="s">
        <v>66</v>
      </c>
      <c r="D24" s="17" t="s">
        <v>97</v>
      </c>
      <c r="E24" s="19" t="s">
        <v>98</v>
      </c>
      <c r="F24" s="20">
        <v>175</v>
      </c>
      <c r="G24" s="20">
        <v>87</v>
      </c>
      <c r="H24" s="19">
        <v>362</v>
      </c>
      <c r="I24" s="20">
        <v>181</v>
      </c>
      <c r="J24" s="20">
        <v>181</v>
      </c>
      <c r="K24" s="20">
        <v>0</v>
      </c>
      <c r="L24" s="21">
        <f t="shared" si="0"/>
        <v>0</v>
      </c>
      <c r="M24" s="20">
        <v>0</v>
      </c>
      <c r="N24" s="22">
        <f t="shared" si="1"/>
        <v>0</v>
      </c>
      <c r="O24" s="20">
        <v>0</v>
      </c>
      <c r="P24" s="20">
        <v>0</v>
      </c>
      <c r="Q24" s="23"/>
      <c r="R24" s="23"/>
      <c r="S24" s="24"/>
      <c r="T24" s="24"/>
      <c r="U24" s="24"/>
      <c r="V24" s="24"/>
      <c r="W24" s="20"/>
      <c r="X24" s="24" t="s">
        <v>51</v>
      </c>
      <c r="Y24" s="20"/>
      <c r="Z24" s="24"/>
      <c r="AA24" s="24"/>
      <c r="AB24" s="24"/>
      <c r="AC24" s="24" t="s">
        <v>51</v>
      </c>
      <c r="AD24" s="24"/>
      <c r="AE24" s="24" t="s">
        <v>51</v>
      </c>
      <c r="AF24" s="24"/>
      <c r="AG24" s="24"/>
      <c r="AH24" s="24"/>
      <c r="AI24" s="24"/>
      <c r="AJ24" s="25" t="s">
        <v>51</v>
      </c>
    </row>
    <row r="25" spans="1:36" x14ac:dyDescent="0.35">
      <c r="A25" s="17" t="s">
        <v>46</v>
      </c>
      <c r="B25" s="17" t="s">
        <v>47</v>
      </c>
      <c r="C25" s="18" t="s">
        <v>66</v>
      </c>
      <c r="D25" s="17" t="s">
        <v>99</v>
      </c>
      <c r="E25" s="19" t="s">
        <v>100</v>
      </c>
      <c r="F25" s="20">
        <v>359</v>
      </c>
      <c r="G25" s="20">
        <v>133</v>
      </c>
      <c r="H25" s="19">
        <v>631</v>
      </c>
      <c r="I25" s="20">
        <v>321</v>
      </c>
      <c r="J25" s="20">
        <v>310</v>
      </c>
      <c r="K25" s="20">
        <v>47</v>
      </c>
      <c r="L25" s="21">
        <f t="shared" si="0"/>
        <v>7.448494453248812E-2</v>
      </c>
      <c r="M25" s="20">
        <v>116</v>
      </c>
      <c r="N25" s="22">
        <f t="shared" si="1"/>
        <v>0.18383518225039619</v>
      </c>
      <c r="O25" s="20">
        <v>62</v>
      </c>
      <c r="P25" s="20">
        <v>89</v>
      </c>
      <c r="Q25" s="23"/>
      <c r="R25" s="23"/>
      <c r="S25" s="24"/>
      <c r="T25" s="24"/>
      <c r="U25" s="24"/>
      <c r="V25" s="24"/>
      <c r="W25" s="20"/>
      <c r="X25" s="24" t="s">
        <v>51</v>
      </c>
      <c r="Y25" s="20"/>
      <c r="Z25" s="24"/>
      <c r="AA25" s="24"/>
      <c r="AB25" s="24"/>
      <c r="AC25" s="24" t="s">
        <v>51</v>
      </c>
      <c r="AD25" s="24"/>
      <c r="AE25" s="24" t="s">
        <v>51</v>
      </c>
      <c r="AF25" s="24">
        <v>5</v>
      </c>
      <c r="AG25" s="24" t="s">
        <v>54</v>
      </c>
      <c r="AH25" s="3">
        <v>25.120640000000002</v>
      </c>
      <c r="AI25" s="3">
        <v>74.867980000000003</v>
      </c>
      <c r="AJ25" s="25" t="s">
        <v>51</v>
      </c>
    </row>
    <row r="26" spans="1:36" x14ac:dyDescent="0.35">
      <c r="A26" s="17" t="s">
        <v>46</v>
      </c>
      <c r="B26" s="17" t="s">
        <v>47</v>
      </c>
      <c r="C26" s="18" t="s">
        <v>66</v>
      </c>
      <c r="D26" s="17" t="s">
        <v>66</v>
      </c>
      <c r="E26" s="19" t="s">
        <v>101</v>
      </c>
      <c r="F26" s="20">
        <v>227</v>
      </c>
      <c r="G26" s="20">
        <v>140</v>
      </c>
      <c r="H26" s="19">
        <v>727</v>
      </c>
      <c r="I26" s="20">
        <v>349</v>
      </c>
      <c r="J26" s="20">
        <v>378</v>
      </c>
      <c r="K26" s="20">
        <v>106</v>
      </c>
      <c r="L26" s="21">
        <f t="shared" si="0"/>
        <v>0.14580467675378267</v>
      </c>
      <c r="M26" s="20">
        <v>5</v>
      </c>
      <c r="N26" s="22">
        <f t="shared" si="1"/>
        <v>6.8775790921595595E-3</v>
      </c>
      <c r="O26" s="20">
        <v>0</v>
      </c>
      <c r="P26" s="20">
        <v>18</v>
      </c>
      <c r="Q26" s="23"/>
      <c r="R26" s="23"/>
      <c r="S26" s="24"/>
      <c r="T26" s="24"/>
      <c r="U26" s="24"/>
      <c r="V26" s="24"/>
      <c r="W26" s="20"/>
      <c r="X26" s="24" t="s">
        <v>51</v>
      </c>
      <c r="Y26" s="20"/>
      <c r="Z26" s="24"/>
      <c r="AA26" s="24"/>
      <c r="AB26" s="24"/>
      <c r="AC26" s="24" t="s">
        <v>51</v>
      </c>
      <c r="AD26" s="24"/>
      <c r="AE26" s="24" t="s">
        <v>51</v>
      </c>
      <c r="AF26" s="24"/>
      <c r="AG26" s="24"/>
      <c r="AH26" s="24"/>
      <c r="AI26" s="24"/>
      <c r="AJ26" s="25" t="s">
        <v>51</v>
      </c>
    </row>
    <row r="27" spans="1:36" x14ac:dyDescent="0.35">
      <c r="A27" s="17" t="s">
        <v>46</v>
      </c>
      <c r="B27" s="17" t="s">
        <v>47</v>
      </c>
      <c r="C27" s="18" t="s">
        <v>66</v>
      </c>
      <c r="D27" s="17" t="s">
        <v>102</v>
      </c>
      <c r="E27" s="19" t="s">
        <v>103</v>
      </c>
      <c r="F27" s="20">
        <v>38</v>
      </c>
      <c r="G27" s="20">
        <v>61</v>
      </c>
      <c r="H27" s="19">
        <v>273</v>
      </c>
      <c r="I27" s="20">
        <v>135</v>
      </c>
      <c r="J27" s="20">
        <v>138</v>
      </c>
      <c r="K27" s="20">
        <v>4</v>
      </c>
      <c r="L27" s="21">
        <f t="shared" si="0"/>
        <v>1.4652014652014652E-2</v>
      </c>
      <c r="M27" s="20">
        <v>0</v>
      </c>
      <c r="N27" s="22">
        <f t="shared" si="1"/>
        <v>0</v>
      </c>
      <c r="O27" s="20">
        <v>0</v>
      </c>
      <c r="P27" s="20">
        <v>0</v>
      </c>
      <c r="Q27" s="23"/>
      <c r="R27" s="23"/>
      <c r="S27" s="24"/>
      <c r="T27" s="24"/>
      <c r="U27" s="24"/>
      <c r="V27" s="24"/>
      <c r="W27" s="20"/>
      <c r="X27" s="24" t="s">
        <v>51</v>
      </c>
      <c r="Y27" s="20"/>
      <c r="Z27" s="24"/>
      <c r="AA27" s="24"/>
      <c r="AB27" s="24"/>
      <c r="AC27" s="24" t="s">
        <v>51</v>
      </c>
      <c r="AD27" s="24"/>
      <c r="AE27" s="24" t="s">
        <v>51</v>
      </c>
      <c r="AF27" s="24"/>
      <c r="AG27" s="24"/>
      <c r="AH27" s="24"/>
      <c r="AI27" s="24"/>
      <c r="AJ27" s="25" t="s">
        <v>51</v>
      </c>
    </row>
    <row r="28" spans="1:36" x14ac:dyDescent="0.35">
      <c r="A28" s="17" t="s">
        <v>46</v>
      </c>
      <c r="B28" s="17" t="s">
        <v>47</v>
      </c>
      <c r="C28" s="18" t="s">
        <v>48</v>
      </c>
      <c r="D28" s="17" t="s">
        <v>104</v>
      </c>
      <c r="E28" s="19" t="s">
        <v>105</v>
      </c>
      <c r="F28" s="20">
        <v>186</v>
      </c>
      <c r="G28" s="20">
        <v>57</v>
      </c>
      <c r="H28" s="19">
        <v>303</v>
      </c>
      <c r="I28" s="20">
        <v>153</v>
      </c>
      <c r="J28" s="20">
        <v>150</v>
      </c>
      <c r="K28" s="20">
        <v>0</v>
      </c>
      <c r="L28" s="21">
        <f t="shared" si="0"/>
        <v>0</v>
      </c>
      <c r="M28" s="20">
        <v>0</v>
      </c>
      <c r="N28" s="22">
        <f t="shared" si="1"/>
        <v>0</v>
      </c>
      <c r="O28" s="20">
        <v>3</v>
      </c>
      <c r="P28" s="20">
        <v>17</v>
      </c>
      <c r="Q28" s="23"/>
      <c r="R28" s="23"/>
      <c r="S28" s="24"/>
      <c r="T28" s="24"/>
      <c r="U28" s="24"/>
      <c r="V28" s="24"/>
      <c r="W28" s="20"/>
      <c r="X28" s="24" t="s">
        <v>51</v>
      </c>
      <c r="Y28" s="20"/>
      <c r="Z28" s="24"/>
      <c r="AA28" s="24"/>
      <c r="AB28" s="24"/>
      <c r="AC28" s="24" t="s">
        <v>51</v>
      </c>
      <c r="AD28" s="24"/>
      <c r="AE28" s="24" t="s">
        <v>51</v>
      </c>
      <c r="AF28" s="24"/>
      <c r="AG28" s="24"/>
      <c r="AH28" s="24"/>
      <c r="AI28" s="24"/>
      <c r="AJ28" s="25" t="s">
        <v>51</v>
      </c>
    </row>
    <row r="29" spans="1:36" x14ac:dyDescent="0.35">
      <c r="A29" s="17" t="s">
        <v>46</v>
      </c>
      <c r="B29" s="17" t="s">
        <v>47</v>
      </c>
      <c r="C29" s="18" t="s">
        <v>106</v>
      </c>
      <c r="D29" s="17" t="s">
        <v>106</v>
      </c>
      <c r="E29" s="19" t="s">
        <v>107</v>
      </c>
      <c r="F29" s="20">
        <v>1474</v>
      </c>
      <c r="G29" s="20">
        <v>829</v>
      </c>
      <c r="H29" s="19">
        <v>3984</v>
      </c>
      <c r="I29" s="20">
        <v>1978</v>
      </c>
      <c r="J29" s="20">
        <v>2006</v>
      </c>
      <c r="K29" s="20">
        <v>1110</v>
      </c>
      <c r="L29" s="21">
        <f t="shared" si="0"/>
        <v>0.27861445783132532</v>
      </c>
      <c r="M29" s="20">
        <v>226</v>
      </c>
      <c r="N29" s="22">
        <f t="shared" si="1"/>
        <v>5.6726907630522086E-2</v>
      </c>
      <c r="O29" s="20">
        <v>27</v>
      </c>
      <c r="P29" s="20">
        <v>770</v>
      </c>
      <c r="Q29" s="23"/>
      <c r="R29" s="23"/>
      <c r="S29" s="24"/>
      <c r="T29" s="24"/>
      <c r="U29" s="24"/>
      <c r="V29" s="24"/>
      <c r="W29" s="20"/>
      <c r="X29" s="24" t="s">
        <v>51</v>
      </c>
      <c r="Y29" s="20"/>
      <c r="Z29" s="24"/>
      <c r="AA29" s="24"/>
      <c r="AB29" s="24"/>
      <c r="AC29" s="24" t="s">
        <v>51</v>
      </c>
      <c r="AD29" s="24"/>
      <c r="AE29" s="24" t="s">
        <v>51</v>
      </c>
      <c r="AF29" s="24"/>
      <c r="AG29" s="24"/>
      <c r="AH29" s="24"/>
      <c r="AI29" s="24"/>
      <c r="AJ29" s="25" t="s">
        <v>51</v>
      </c>
    </row>
    <row r="30" spans="1:36" x14ac:dyDescent="0.35">
      <c r="A30" s="17" t="s">
        <v>46</v>
      </c>
      <c r="B30" s="17" t="s">
        <v>47</v>
      </c>
      <c r="C30" s="18" t="s">
        <v>106</v>
      </c>
      <c r="D30" s="17" t="s">
        <v>108</v>
      </c>
      <c r="E30" s="19" t="s">
        <v>109</v>
      </c>
      <c r="F30" s="20">
        <v>63</v>
      </c>
      <c r="G30" s="20">
        <v>66</v>
      </c>
      <c r="H30" s="19">
        <v>306</v>
      </c>
      <c r="I30" s="20">
        <v>156</v>
      </c>
      <c r="J30" s="20">
        <v>150</v>
      </c>
      <c r="K30" s="20">
        <v>58</v>
      </c>
      <c r="L30" s="21">
        <f t="shared" si="0"/>
        <v>0.18954248366013071</v>
      </c>
      <c r="M30" s="20">
        <v>83</v>
      </c>
      <c r="N30" s="22">
        <f t="shared" si="1"/>
        <v>0.27124183006535946</v>
      </c>
      <c r="O30" s="20">
        <v>4</v>
      </c>
      <c r="P30" s="20">
        <v>0</v>
      </c>
      <c r="Q30" s="23"/>
      <c r="R30" s="23"/>
      <c r="S30" s="24"/>
      <c r="T30" s="24"/>
      <c r="U30" s="24"/>
      <c r="V30" s="24"/>
      <c r="W30" s="20"/>
      <c r="X30" s="24" t="s">
        <v>51</v>
      </c>
      <c r="Y30" s="20"/>
      <c r="Z30" s="24"/>
      <c r="AA30" s="24"/>
      <c r="AB30" s="24"/>
      <c r="AC30" s="24" t="s">
        <v>51</v>
      </c>
      <c r="AD30" s="24"/>
      <c r="AE30" s="24" t="s">
        <v>51</v>
      </c>
      <c r="AF30" s="24"/>
      <c r="AG30" s="24"/>
      <c r="AH30" s="24"/>
      <c r="AI30" s="24"/>
      <c r="AJ30" s="25" t="s">
        <v>51</v>
      </c>
    </row>
    <row r="31" spans="1:36" x14ac:dyDescent="0.35">
      <c r="A31" s="17" t="s">
        <v>46</v>
      </c>
      <c r="B31" s="17" t="s">
        <v>47</v>
      </c>
      <c r="C31" s="18" t="s">
        <v>106</v>
      </c>
      <c r="D31" s="17" t="s">
        <v>110</v>
      </c>
      <c r="E31" s="19" t="s">
        <v>111</v>
      </c>
      <c r="F31" s="20">
        <v>32</v>
      </c>
      <c r="G31" s="20">
        <v>4</v>
      </c>
      <c r="H31" s="19">
        <v>23</v>
      </c>
      <c r="I31" s="20">
        <v>11</v>
      </c>
      <c r="J31" s="20">
        <v>12</v>
      </c>
      <c r="K31" s="20">
        <v>0</v>
      </c>
      <c r="L31" s="21">
        <f t="shared" si="0"/>
        <v>0</v>
      </c>
      <c r="M31" s="20">
        <v>0</v>
      </c>
      <c r="N31" s="22">
        <f t="shared" si="1"/>
        <v>0</v>
      </c>
      <c r="O31" s="20">
        <v>2</v>
      </c>
      <c r="P31" s="20">
        <v>0</v>
      </c>
      <c r="Q31" s="23"/>
      <c r="R31" s="23"/>
      <c r="S31" s="24"/>
      <c r="T31" s="24"/>
      <c r="U31" s="24"/>
      <c r="V31" s="24"/>
      <c r="W31" s="20"/>
      <c r="X31" s="24"/>
      <c r="Y31" s="20"/>
      <c r="Z31" s="24"/>
      <c r="AA31" s="24"/>
      <c r="AB31" s="24"/>
      <c r="AC31" s="24" t="s">
        <v>51</v>
      </c>
      <c r="AD31" s="24"/>
      <c r="AE31" s="24" t="s">
        <v>51</v>
      </c>
      <c r="AF31" s="24"/>
      <c r="AG31" s="24"/>
      <c r="AH31" s="24"/>
      <c r="AI31" s="24"/>
      <c r="AJ31" s="24" t="s">
        <v>112</v>
      </c>
    </row>
    <row r="32" spans="1:36" x14ac:dyDescent="0.35">
      <c r="A32" s="17" t="s">
        <v>46</v>
      </c>
      <c r="B32" s="17" t="s">
        <v>47</v>
      </c>
      <c r="C32" s="18" t="s">
        <v>113</v>
      </c>
      <c r="D32" s="17" t="s">
        <v>113</v>
      </c>
      <c r="E32" s="19" t="s">
        <v>114</v>
      </c>
      <c r="F32" s="20">
        <v>759.5</v>
      </c>
      <c r="G32" s="20">
        <v>401</v>
      </c>
      <c r="H32" s="19">
        <v>1752</v>
      </c>
      <c r="I32" s="20">
        <v>886</v>
      </c>
      <c r="J32" s="20">
        <v>866</v>
      </c>
      <c r="K32" s="20">
        <v>386</v>
      </c>
      <c r="L32" s="21">
        <f t="shared" si="0"/>
        <v>0.22031963470319635</v>
      </c>
      <c r="M32" s="20">
        <v>43</v>
      </c>
      <c r="N32" s="22">
        <f t="shared" si="1"/>
        <v>2.4543378995433789E-2</v>
      </c>
      <c r="O32" s="20">
        <v>0</v>
      </c>
      <c r="P32" s="20">
        <v>194.48</v>
      </c>
      <c r="Q32" s="23"/>
      <c r="R32" s="23"/>
      <c r="S32" s="24"/>
      <c r="T32" s="24"/>
      <c r="U32" s="24"/>
      <c r="V32" s="24"/>
      <c r="W32" s="20"/>
      <c r="X32" s="24" t="s">
        <v>51</v>
      </c>
      <c r="Y32" s="20"/>
      <c r="Z32" s="24"/>
      <c r="AA32" s="24"/>
      <c r="AB32" s="24"/>
      <c r="AC32" s="24" t="s">
        <v>51</v>
      </c>
      <c r="AD32" s="24"/>
      <c r="AE32" s="24" t="s">
        <v>51</v>
      </c>
      <c r="AF32" s="24">
        <v>15.56</v>
      </c>
      <c r="AG32" s="24" t="s">
        <v>60</v>
      </c>
      <c r="AH32" s="25" t="s">
        <v>115</v>
      </c>
      <c r="AI32" s="25">
        <v>74.859618699999999</v>
      </c>
      <c r="AJ32" s="25" t="s">
        <v>51</v>
      </c>
    </row>
    <row r="33" spans="1:36" x14ac:dyDescent="0.35">
      <c r="A33" s="17" t="s">
        <v>46</v>
      </c>
      <c r="B33" s="17" t="s">
        <v>47</v>
      </c>
      <c r="C33" s="18" t="s">
        <v>113</v>
      </c>
      <c r="D33" s="17" t="s">
        <v>116</v>
      </c>
      <c r="E33" s="19" t="s">
        <v>117</v>
      </c>
      <c r="F33" s="20">
        <v>128.56</v>
      </c>
      <c r="G33" s="20">
        <v>98</v>
      </c>
      <c r="H33" s="19">
        <v>472</v>
      </c>
      <c r="I33" s="20">
        <v>231</v>
      </c>
      <c r="J33" s="20">
        <v>241</v>
      </c>
      <c r="K33" s="20">
        <v>0</v>
      </c>
      <c r="L33" s="21">
        <f t="shared" si="0"/>
        <v>0</v>
      </c>
      <c r="M33" s="20">
        <v>0</v>
      </c>
      <c r="N33" s="22">
        <f t="shared" si="1"/>
        <v>0</v>
      </c>
      <c r="O33" s="20">
        <v>0</v>
      </c>
      <c r="P33" s="20">
        <v>22.41</v>
      </c>
      <c r="Q33" s="23"/>
      <c r="R33" s="23"/>
      <c r="S33" s="24"/>
      <c r="T33" s="24"/>
      <c r="U33" s="24"/>
      <c r="V33" s="24"/>
      <c r="W33" s="20"/>
      <c r="X33" s="24" t="s">
        <v>51</v>
      </c>
      <c r="Y33" s="20"/>
      <c r="Z33" s="24"/>
      <c r="AA33" s="24"/>
      <c r="AB33" s="24"/>
      <c r="AC33" s="24" t="s">
        <v>51</v>
      </c>
      <c r="AD33" s="24"/>
      <c r="AE33" s="24" t="s">
        <v>51</v>
      </c>
      <c r="AF33" s="24">
        <v>15</v>
      </c>
      <c r="AG33" s="24" t="s">
        <v>54</v>
      </c>
      <c r="AH33" s="25">
        <v>25.098379999999999</v>
      </c>
      <c r="AI33" s="25">
        <v>74.859511800000007</v>
      </c>
      <c r="AJ33" s="25" t="s">
        <v>51</v>
      </c>
    </row>
    <row r="34" spans="1:36" x14ac:dyDescent="0.35">
      <c r="A34" s="17" t="s">
        <v>46</v>
      </c>
      <c r="B34" s="17" t="s">
        <v>47</v>
      </c>
      <c r="C34" s="18" t="s">
        <v>83</v>
      </c>
      <c r="D34" s="17" t="s">
        <v>118</v>
      </c>
      <c r="E34" s="19" t="s">
        <v>119</v>
      </c>
      <c r="F34" s="20">
        <v>115</v>
      </c>
      <c r="G34" s="20">
        <v>63</v>
      </c>
      <c r="H34" s="19">
        <v>287</v>
      </c>
      <c r="I34" s="20">
        <v>146</v>
      </c>
      <c r="J34" s="20">
        <v>141</v>
      </c>
      <c r="K34" s="20">
        <v>0</v>
      </c>
      <c r="L34" s="21">
        <f t="shared" si="0"/>
        <v>0</v>
      </c>
      <c r="M34" s="20">
        <v>0</v>
      </c>
      <c r="N34" s="22">
        <f t="shared" si="1"/>
        <v>0</v>
      </c>
      <c r="O34" s="20">
        <v>11</v>
      </c>
      <c r="P34" s="20">
        <v>0</v>
      </c>
      <c r="Q34" s="23"/>
      <c r="R34" s="23"/>
      <c r="S34" s="24"/>
      <c r="T34" s="24"/>
      <c r="U34" s="24"/>
      <c r="V34" s="24"/>
      <c r="W34" s="20"/>
      <c r="X34" s="24" t="s">
        <v>51</v>
      </c>
      <c r="Y34" s="20"/>
      <c r="Z34" s="24"/>
      <c r="AA34" s="24"/>
      <c r="AB34" s="24"/>
      <c r="AC34" s="24" t="s">
        <v>51</v>
      </c>
      <c r="AD34" s="24"/>
      <c r="AE34" s="24" t="s">
        <v>51</v>
      </c>
      <c r="AF34" s="24"/>
      <c r="AG34" s="24"/>
      <c r="AH34" s="24"/>
      <c r="AI34" s="24"/>
      <c r="AJ34" s="25" t="s">
        <v>51</v>
      </c>
    </row>
    <row r="35" spans="1:36" x14ac:dyDescent="0.35">
      <c r="A35" s="17" t="s">
        <v>46</v>
      </c>
      <c r="B35" s="17" t="s">
        <v>47</v>
      </c>
      <c r="C35" s="18" t="s">
        <v>83</v>
      </c>
      <c r="D35" s="17" t="s">
        <v>83</v>
      </c>
      <c r="E35" s="19" t="s">
        <v>120</v>
      </c>
      <c r="F35" s="20">
        <v>422</v>
      </c>
      <c r="G35" s="20">
        <v>199</v>
      </c>
      <c r="H35" s="19">
        <v>932</v>
      </c>
      <c r="I35" s="20">
        <v>477</v>
      </c>
      <c r="J35" s="20">
        <v>455</v>
      </c>
      <c r="K35" s="20">
        <v>14</v>
      </c>
      <c r="L35" s="21">
        <f t="shared" si="0"/>
        <v>1.5021459227467811E-2</v>
      </c>
      <c r="M35" s="20">
        <v>94</v>
      </c>
      <c r="N35" s="22">
        <f t="shared" si="1"/>
        <v>0.10085836909871244</v>
      </c>
      <c r="O35" s="20">
        <v>56</v>
      </c>
      <c r="P35" s="20">
        <v>0</v>
      </c>
      <c r="Q35" s="23"/>
      <c r="R35" s="23"/>
      <c r="S35" s="24"/>
      <c r="T35" s="24"/>
      <c r="U35" s="24"/>
      <c r="V35" s="24"/>
      <c r="W35" s="20"/>
      <c r="X35" s="24" t="s">
        <v>51</v>
      </c>
      <c r="Y35" s="20"/>
      <c r="Z35" s="24"/>
      <c r="AA35" s="24"/>
      <c r="AB35" s="24"/>
      <c r="AC35" s="24" t="s">
        <v>51</v>
      </c>
      <c r="AD35" s="24"/>
      <c r="AE35" s="24" t="s">
        <v>51</v>
      </c>
      <c r="AF35" s="24"/>
      <c r="AG35" s="24"/>
      <c r="AH35" s="24"/>
      <c r="AI35" s="24"/>
      <c r="AJ35" s="25" t="s">
        <v>51</v>
      </c>
    </row>
    <row r="36" spans="1:36" x14ac:dyDescent="0.35">
      <c r="A36" s="17" t="s">
        <v>46</v>
      </c>
      <c r="B36" s="17" t="s">
        <v>47</v>
      </c>
      <c r="C36" s="18" t="s">
        <v>83</v>
      </c>
      <c r="D36" s="17" t="s">
        <v>121</v>
      </c>
      <c r="E36" s="19" t="s">
        <v>122</v>
      </c>
      <c r="F36" s="20">
        <v>267</v>
      </c>
      <c r="G36" s="20">
        <v>177</v>
      </c>
      <c r="H36" s="19">
        <v>784</v>
      </c>
      <c r="I36" s="20">
        <v>394</v>
      </c>
      <c r="J36" s="20">
        <v>390</v>
      </c>
      <c r="K36" s="20">
        <v>133</v>
      </c>
      <c r="L36" s="21">
        <f t="shared" si="0"/>
        <v>0.16964285714285715</v>
      </c>
      <c r="M36" s="20">
        <v>40</v>
      </c>
      <c r="N36" s="22">
        <f t="shared" si="1"/>
        <v>5.1020408163265307E-2</v>
      </c>
      <c r="O36" s="20">
        <v>14</v>
      </c>
      <c r="P36" s="20">
        <v>0</v>
      </c>
      <c r="Q36" s="23"/>
      <c r="R36" s="23"/>
      <c r="S36" s="24"/>
      <c r="T36" s="24"/>
      <c r="U36" s="24"/>
      <c r="V36" s="24"/>
      <c r="W36" s="20"/>
      <c r="X36" s="24" t="s">
        <v>51</v>
      </c>
      <c r="Y36" s="20"/>
      <c r="Z36" s="24"/>
      <c r="AA36" s="24"/>
      <c r="AB36" s="24"/>
      <c r="AC36" s="24" t="s">
        <v>51</v>
      </c>
      <c r="AD36" s="24"/>
      <c r="AE36" s="24" t="s">
        <v>51</v>
      </c>
      <c r="AF36" s="24"/>
      <c r="AG36" s="24"/>
      <c r="AH36" s="24"/>
      <c r="AI36" s="24"/>
      <c r="AJ36" s="25" t="s">
        <v>51</v>
      </c>
    </row>
    <row r="37" spans="1:36" x14ac:dyDescent="0.35">
      <c r="A37" s="17" t="s">
        <v>46</v>
      </c>
      <c r="B37" s="17" t="s">
        <v>47</v>
      </c>
      <c r="C37" s="18" t="s">
        <v>123</v>
      </c>
      <c r="D37" s="17" t="s">
        <v>124</v>
      </c>
      <c r="E37" s="19" t="s">
        <v>125</v>
      </c>
      <c r="F37" s="20">
        <v>313</v>
      </c>
      <c r="G37" s="20">
        <v>100</v>
      </c>
      <c r="H37" s="19">
        <v>450</v>
      </c>
      <c r="I37" s="20">
        <v>243</v>
      </c>
      <c r="J37" s="20">
        <v>207</v>
      </c>
      <c r="K37" s="20">
        <v>10</v>
      </c>
      <c r="L37" s="21">
        <f t="shared" si="0"/>
        <v>2.2222222222222223E-2</v>
      </c>
      <c r="M37" s="20">
        <v>0</v>
      </c>
      <c r="N37" s="22">
        <f t="shared" si="1"/>
        <v>0</v>
      </c>
      <c r="O37" s="20">
        <v>36</v>
      </c>
      <c r="P37" s="20">
        <v>0</v>
      </c>
      <c r="Q37" s="23"/>
      <c r="R37" s="23"/>
      <c r="S37" s="24"/>
      <c r="T37" s="24"/>
      <c r="U37" s="24"/>
      <c r="V37" s="24"/>
      <c r="W37" s="20"/>
      <c r="X37" s="24" t="s">
        <v>51</v>
      </c>
      <c r="Y37" s="20"/>
      <c r="Z37" s="24"/>
      <c r="AA37" s="24"/>
      <c r="AB37" s="24"/>
      <c r="AC37" s="24" t="s">
        <v>51</v>
      </c>
      <c r="AD37" s="24"/>
      <c r="AE37" s="24" t="s">
        <v>51</v>
      </c>
      <c r="AF37" s="24">
        <v>9</v>
      </c>
      <c r="AG37" s="24" t="s">
        <v>54</v>
      </c>
      <c r="AH37" s="3">
        <v>25.064599999999999</v>
      </c>
      <c r="AI37" s="3">
        <v>74.820499999999996</v>
      </c>
      <c r="AJ37" s="25" t="s">
        <v>51</v>
      </c>
    </row>
    <row r="38" spans="1:36" x14ac:dyDescent="0.35">
      <c r="A38" s="17" t="s">
        <v>46</v>
      </c>
      <c r="B38" s="17" t="s">
        <v>47</v>
      </c>
      <c r="C38" s="18" t="s">
        <v>123</v>
      </c>
      <c r="D38" s="17" t="s">
        <v>126</v>
      </c>
      <c r="E38" s="19" t="s">
        <v>127</v>
      </c>
      <c r="F38" s="20">
        <v>180</v>
      </c>
      <c r="G38" s="20">
        <v>87</v>
      </c>
      <c r="H38" s="19">
        <v>444</v>
      </c>
      <c r="I38" s="20">
        <v>218</v>
      </c>
      <c r="J38" s="20">
        <v>226</v>
      </c>
      <c r="K38" s="20">
        <v>57</v>
      </c>
      <c r="L38" s="21">
        <f t="shared" si="0"/>
        <v>0.12837837837837837</v>
      </c>
      <c r="M38" s="20">
        <v>0</v>
      </c>
      <c r="N38" s="22">
        <f t="shared" si="1"/>
        <v>0</v>
      </c>
      <c r="O38" s="20">
        <v>9</v>
      </c>
      <c r="P38" s="20">
        <v>0</v>
      </c>
      <c r="Q38" s="23"/>
      <c r="R38" s="23"/>
      <c r="S38" s="24"/>
      <c r="T38" s="24"/>
      <c r="U38" s="24"/>
      <c r="V38" s="24"/>
      <c r="W38" s="20"/>
      <c r="X38" s="24" t="s">
        <v>51</v>
      </c>
      <c r="Y38" s="20"/>
      <c r="Z38" s="24"/>
      <c r="AA38" s="24"/>
      <c r="AB38" s="24"/>
      <c r="AC38" s="24" t="s">
        <v>51</v>
      </c>
      <c r="AD38" s="24"/>
      <c r="AE38" s="24" t="s">
        <v>51</v>
      </c>
      <c r="AF38" s="24"/>
      <c r="AG38" s="24"/>
      <c r="AH38" s="24"/>
      <c r="AI38" s="24"/>
      <c r="AJ38" s="25" t="s">
        <v>51</v>
      </c>
    </row>
    <row r="39" spans="1:36" x14ac:dyDescent="0.35">
      <c r="A39" s="17" t="s">
        <v>46</v>
      </c>
      <c r="B39" s="17" t="s">
        <v>47</v>
      </c>
      <c r="C39" s="18" t="s">
        <v>123</v>
      </c>
      <c r="D39" s="17" t="s">
        <v>128</v>
      </c>
      <c r="E39" s="19" t="s">
        <v>129</v>
      </c>
      <c r="F39" s="20">
        <v>83</v>
      </c>
      <c r="G39" s="20">
        <v>18</v>
      </c>
      <c r="H39" s="19">
        <v>66</v>
      </c>
      <c r="I39" s="20">
        <v>31</v>
      </c>
      <c r="J39" s="20">
        <v>35</v>
      </c>
      <c r="K39" s="20">
        <v>2</v>
      </c>
      <c r="L39" s="21">
        <f t="shared" si="0"/>
        <v>3.0303030303030304E-2</v>
      </c>
      <c r="M39" s="20">
        <v>3</v>
      </c>
      <c r="N39" s="22">
        <f t="shared" si="1"/>
        <v>4.5454545454545456E-2</v>
      </c>
      <c r="O39" s="20">
        <v>0</v>
      </c>
      <c r="P39" s="20">
        <v>16</v>
      </c>
      <c r="Q39" s="23"/>
      <c r="R39" s="23"/>
      <c r="S39" s="24"/>
      <c r="T39" s="24"/>
      <c r="U39" s="24"/>
      <c r="V39" s="24"/>
      <c r="W39" s="20"/>
      <c r="X39" s="24" t="s">
        <v>51</v>
      </c>
      <c r="Y39" s="20"/>
      <c r="Z39" s="24"/>
      <c r="AA39" s="24"/>
      <c r="AB39" s="24"/>
      <c r="AC39" s="24" t="s">
        <v>51</v>
      </c>
      <c r="AD39" s="24"/>
      <c r="AE39" s="24" t="s">
        <v>51</v>
      </c>
      <c r="AF39" s="24"/>
      <c r="AG39" s="24"/>
      <c r="AH39" s="24"/>
      <c r="AI39" s="24"/>
      <c r="AJ39" s="25" t="s">
        <v>51</v>
      </c>
    </row>
    <row r="40" spans="1:36" x14ac:dyDescent="0.35">
      <c r="A40" s="17" t="s">
        <v>46</v>
      </c>
      <c r="B40" s="17" t="s">
        <v>47</v>
      </c>
      <c r="C40" s="18" t="s">
        <v>123</v>
      </c>
      <c r="D40" s="17" t="s">
        <v>130</v>
      </c>
      <c r="E40" s="19" t="s">
        <v>131</v>
      </c>
      <c r="F40" s="20">
        <v>550</v>
      </c>
      <c r="G40" s="20">
        <v>209</v>
      </c>
      <c r="H40" s="19">
        <v>951</v>
      </c>
      <c r="I40" s="20">
        <v>491</v>
      </c>
      <c r="J40" s="20">
        <v>460</v>
      </c>
      <c r="K40" s="20">
        <v>263</v>
      </c>
      <c r="L40" s="21">
        <f t="shared" si="0"/>
        <v>0.27655099894847529</v>
      </c>
      <c r="M40" s="20">
        <v>6</v>
      </c>
      <c r="N40" s="22">
        <f t="shared" si="1"/>
        <v>6.3091482649842269E-3</v>
      </c>
      <c r="O40" s="20">
        <v>156</v>
      </c>
      <c r="P40" s="20">
        <v>0</v>
      </c>
      <c r="Q40" s="23"/>
      <c r="R40" s="23"/>
      <c r="S40" s="24"/>
      <c r="T40" s="24"/>
      <c r="U40" s="24"/>
      <c r="V40" s="24"/>
      <c r="W40" s="20"/>
      <c r="X40" s="24" t="s">
        <v>51</v>
      </c>
      <c r="Y40" s="20"/>
      <c r="Z40" s="24"/>
      <c r="AA40" s="24"/>
      <c r="AB40" s="24"/>
      <c r="AC40" s="24" t="s">
        <v>51</v>
      </c>
      <c r="AD40" s="24"/>
      <c r="AE40" s="24" t="s">
        <v>51</v>
      </c>
      <c r="AF40" s="24">
        <v>34</v>
      </c>
      <c r="AG40" s="24" t="s">
        <v>54</v>
      </c>
      <c r="AH40" s="24">
        <v>25.072047000000001</v>
      </c>
      <c r="AI40" s="24">
        <v>74.822869999999995</v>
      </c>
      <c r="AJ40" s="25" t="s">
        <v>51</v>
      </c>
    </row>
    <row r="41" spans="1:36" x14ac:dyDescent="0.35">
      <c r="A41" s="17" t="s">
        <v>46</v>
      </c>
      <c r="B41" s="17" t="s">
        <v>47</v>
      </c>
      <c r="C41" s="18" t="s">
        <v>123</v>
      </c>
      <c r="D41" s="17" t="s">
        <v>132</v>
      </c>
      <c r="E41" s="19" t="s">
        <v>133</v>
      </c>
      <c r="F41" s="20">
        <v>50</v>
      </c>
      <c r="G41" s="20">
        <v>73</v>
      </c>
      <c r="H41" s="19">
        <v>330</v>
      </c>
      <c r="I41" s="20">
        <v>173</v>
      </c>
      <c r="J41" s="20">
        <v>157</v>
      </c>
      <c r="K41" s="20">
        <v>0</v>
      </c>
      <c r="L41" s="21">
        <f t="shared" si="0"/>
        <v>0</v>
      </c>
      <c r="M41" s="20">
        <v>31</v>
      </c>
      <c r="N41" s="22">
        <f t="shared" si="1"/>
        <v>9.3939393939393934E-2</v>
      </c>
      <c r="O41" s="20">
        <v>3</v>
      </c>
      <c r="P41" s="20">
        <v>6</v>
      </c>
      <c r="Q41" s="23"/>
      <c r="R41" s="23"/>
      <c r="S41" s="24"/>
      <c r="T41" s="24"/>
      <c r="U41" s="24"/>
      <c r="V41" s="24"/>
      <c r="W41" s="20"/>
      <c r="X41" s="24" t="s">
        <v>51</v>
      </c>
      <c r="Y41" s="20"/>
      <c r="Z41" s="24"/>
      <c r="AA41" s="24"/>
      <c r="AB41" s="24"/>
      <c r="AC41" s="24" t="s">
        <v>51</v>
      </c>
      <c r="AD41" s="24"/>
      <c r="AE41" s="24" t="s">
        <v>51</v>
      </c>
      <c r="AF41" s="24"/>
      <c r="AG41" s="24"/>
      <c r="AH41" s="24"/>
      <c r="AI41" s="24"/>
      <c r="AJ41" s="25" t="s">
        <v>51</v>
      </c>
    </row>
    <row r="42" spans="1:36" x14ac:dyDescent="0.35">
      <c r="A42" s="17" t="s">
        <v>46</v>
      </c>
      <c r="B42" s="17" t="s">
        <v>47</v>
      </c>
      <c r="C42" s="18" t="s">
        <v>113</v>
      </c>
      <c r="D42" s="17" t="s">
        <v>134</v>
      </c>
      <c r="E42" s="19" t="s">
        <v>135</v>
      </c>
      <c r="F42" s="20">
        <v>238.38</v>
      </c>
      <c r="G42" s="20">
        <v>76</v>
      </c>
      <c r="H42" s="19">
        <v>298</v>
      </c>
      <c r="I42" s="20">
        <v>153</v>
      </c>
      <c r="J42" s="20">
        <v>145</v>
      </c>
      <c r="K42" s="20">
        <v>40</v>
      </c>
      <c r="L42" s="21">
        <f t="shared" si="0"/>
        <v>0.13422818791946309</v>
      </c>
      <c r="M42" s="20">
        <v>0</v>
      </c>
      <c r="N42" s="22">
        <f t="shared" si="1"/>
        <v>0</v>
      </c>
      <c r="O42" s="20">
        <v>20.260000000000002</v>
      </c>
      <c r="P42" s="20">
        <v>97.78</v>
      </c>
      <c r="Q42" s="23"/>
      <c r="R42" s="23"/>
      <c r="S42" s="24"/>
      <c r="T42" s="24"/>
      <c r="U42" s="24"/>
      <c r="V42" s="24"/>
      <c r="W42" s="20"/>
      <c r="X42" s="24" t="s">
        <v>51</v>
      </c>
      <c r="Y42" s="20"/>
      <c r="Z42" s="24"/>
      <c r="AA42" s="24"/>
      <c r="AB42" s="24"/>
      <c r="AC42" s="24" t="s">
        <v>51</v>
      </c>
      <c r="AD42" s="24"/>
      <c r="AE42" s="24" t="s">
        <v>51</v>
      </c>
      <c r="AF42" s="24"/>
      <c r="AG42" s="24"/>
      <c r="AH42" s="24"/>
      <c r="AI42" s="24"/>
      <c r="AJ42" s="25" t="s">
        <v>51</v>
      </c>
    </row>
    <row r="43" spans="1:36" x14ac:dyDescent="0.35">
      <c r="A43" s="17" t="s">
        <v>46</v>
      </c>
      <c r="B43" s="17" t="s">
        <v>47</v>
      </c>
      <c r="C43" s="18" t="s">
        <v>113</v>
      </c>
      <c r="D43" s="17" t="s">
        <v>136</v>
      </c>
      <c r="E43" s="19" t="s">
        <v>137</v>
      </c>
      <c r="F43" s="20">
        <v>47</v>
      </c>
      <c r="G43" s="20">
        <v>39</v>
      </c>
      <c r="H43" s="19">
        <v>169</v>
      </c>
      <c r="I43" s="20">
        <v>86</v>
      </c>
      <c r="J43" s="20">
        <v>83</v>
      </c>
      <c r="K43" s="20">
        <v>0</v>
      </c>
      <c r="L43" s="21">
        <f t="shared" si="0"/>
        <v>0</v>
      </c>
      <c r="M43" s="20">
        <v>0</v>
      </c>
      <c r="N43" s="22">
        <f t="shared" si="1"/>
        <v>0</v>
      </c>
      <c r="O43" s="20">
        <v>0</v>
      </c>
      <c r="P43" s="20">
        <v>13</v>
      </c>
      <c r="Q43" s="23"/>
      <c r="R43" s="23"/>
      <c r="S43" s="24"/>
      <c r="T43" s="24"/>
      <c r="U43" s="24"/>
      <c r="V43" s="24"/>
      <c r="W43" s="20"/>
      <c r="X43" s="24" t="s">
        <v>51</v>
      </c>
      <c r="Y43" s="20"/>
      <c r="Z43" s="24"/>
      <c r="AA43" s="24"/>
      <c r="AB43" s="24"/>
      <c r="AC43" s="24" t="s">
        <v>51</v>
      </c>
      <c r="AD43" s="24"/>
      <c r="AE43" s="24" t="s">
        <v>51</v>
      </c>
      <c r="AF43" s="24"/>
      <c r="AG43" s="24"/>
      <c r="AH43" s="24"/>
      <c r="AI43" s="24"/>
      <c r="AJ43" s="25" t="s">
        <v>51</v>
      </c>
    </row>
    <row r="44" spans="1:36" x14ac:dyDescent="0.35">
      <c r="A44" s="17" t="s">
        <v>46</v>
      </c>
      <c r="B44" s="17" t="s">
        <v>47</v>
      </c>
      <c r="C44" s="18" t="s">
        <v>113</v>
      </c>
      <c r="D44" s="17" t="s">
        <v>138</v>
      </c>
      <c r="E44" s="19" t="s">
        <v>139</v>
      </c>
      <c r="F44" s="20">
        <v>409</v>
      </c>
      <c r="G44" s="20">
        <v>223</v>
      </c>
      <c r="H44" s="19">
        <v>1022</v>
      </c>
      <c r="I44" s="20">
        <v>528</v>
      </c>
      <c r="J44" s="20">
        <v>494</v>
      </c>
      <c r="K44" s="20">
        <v>120</v>
      </c>
      <c r="L44" s="21">
        <f t="shared" si="0"/>
        <v>0.11741682974559686</v>
      </c>
      <c r="M44" s="20">
        <v>247</v>
      </c>
      <c r="N44" s="22">
        <f t="shared" si="1"/>
        <v>0.24168297455968688</v>
      </c>
      <c r="O44" s="20">
        <v>0</v>
      </c>
      <c r="P44" s="20">
        <v>143</v>
      </c>
      <c r="Q44" s="23"/>
      <c r="R44" s="23"/>
      <c r="S44" s="24"/>
      <c r="T44" s="24"/>
      <c r="U44" s="24"/>
      <c r="V44" s="24"/>
      <c r="W44" s="20"/>
      <c r="X44" s="24" t="s">
        <v>51</v>
      </c>
      <c r="Y44" s="20"/>
      <c r="Z44" s="24"/>
      <c r="AA44" s="24"/>
      <c r="AB44" s="24"/>
      <c r="AC44" s="24" t="s">
        <v>51</v>
      </c>
      <c r="AD44" s="24"/>
      <c r="AE44" s="24" t="s">
        <v>51</v>
      </c>
      <c r="AF44" s="24"/>
      <c r="AG44" s="24"/>
      <c r="AH44" s="24"/>
      <c r="AI44" s="24"/>
      <c r="AJ44" s="25" t="s">
        <v>51</v>
      </c>
    </row>
    <row r="45" spans="1:36" x14ac:dyDescent="0.35">
      <c r="A45" s="17" t="s">
        <v>46</v>
      </c>
      <c r="B45" s="17" t="s">
        <v>47</v>
      </c>
      <c r="C45" s="18" t="s">
        <v>123</v>
      </c>
      <c r="D45" s="17" t="s">
        <v>123</v>
      </c>
      <c r="E45" s="19" t="s">
        <v>140</v>
      </c>
      <c r="F45" s="20">
        <v>248</v>
      </c>
      <c r="G45" s="20">
        <v>220</v>
      </c>
      <c r="H45" s="19">
        <v>1044</v>
      </c>
      <c r="I45" s="20">
        <v>520</v>
      </c>
      <c r="J45" s="20">
        <v>524</v>
      </c>
      <c r="K45" s="20">
        <v>4</v>
      </c>
      <c r="L45" s="21">
        <f t="shared" si="0"/>
        <v>3.8314176245210726E-3</v>
      </c>
      <c r="M45" s="20">
        <v>109</v>
      </c>
      <c r="N45" s="22">
        <f t="shared" si="1"/>
        <v>0.10440613026819924</v>
      </c>
      <c r="O45" s="20">
        <v>4</v>
      </c>
      <c r="P45" s="20">
        <v>26</v>
      </c>
      <c r="Q45" s="23"/>
      <c r="R45" s="23"/>
      <c r="S45" s="24"/>
      <c r="T45" s="24"/>
      <c r="U45" s="24"/>
      <c r="V45" s="24"/>
      <c r="W45" s="20"/>
      <c r="X45" s="24" t="s">
        <v>51</v>
      </c>
      <c r="Y45" s="20"/>
      <c r="Z45" s="24"/>
      <c r="AA45" s="24"/>
      <c r="AB45" s="24"/>
      <c r="AC45" s="24" t="s">
        <v>51</v>
      </c>
      <c r="AD45" s="24"/>
      <c r="AE45" s="24" t="s">
        <v>51</v>
      </c>
      <c r="AF45" s="24">
        <v>5</v>
      </c>
      <c r="AG45" s="24" t="s">
        <v>54</v>
      </c>
      <c r="AH45" s="25">
        <v>25.0431727</v>
      </c>
      <c r="AI45" s="25">
        <v>74.832951300000005</v>
      </c>
      <c r="AJ45" s="25" t="s">
        <v>51</v>
      </c>
    </row>
    <row r="46" spans="1:36" x14ac:dyDescent="0.35">
      <c r="A46" s="17" t="s">
        <v>46</v>
      </c>
      <c r="B46" s="17" t="s">
        <v>47</v>
      </c>
      <c r="C46" s="18" t="s">
        <v>123</v>
      </c>
      <c r="D46" s="17" t="s">
        <v>141</v>
      </c>
      <c r="E46" s="19" t="s">
        <v>142</v>
      </c>
      <c r="F46" s="20">
        <v>31</v>
      </c>
      <c r="G46" s="20">
        <v>19</v>
      </c>
      <c r="H46" s="19">
        <v>82</v>
      </c>
      <c r="I46" s="20">
        <v>42</v>
      </c>
      <c r="J46" s="20">
        <v>40</v>
      </c>
      <c r="K46" s="20">
        <v>0</v>
      </c>
      <c r="L46" s="21">
        <f t="shared" si="0"/>
        <v>0</v>
      </c>
      <c r="M46" s="20">
        <v>21</v>
      </c>
      <c r="N46" s="22">
        <f t="shared" si="1"/>
        <v>0.25609756097560976</v>
      </c>
      <c r="O46" s="20">
        <v>0</v>
      </c>
      <c r="P46" s="20">
        <v>0</v>
      </c>
      <c r="Q46" s="23"/>
      <c r="R46" s="23"/>
      <c r="S46" s="24"/>
      <c r="T46" s="24"/>
      <c r="U46" s="24"/>
      <c r="V46" s="24"/>
      <c r="W46" s="20"/>
      <c r="X46" s="24" t="s">
        <v>51</v>
      </c>
      <c r="Y46" s="20"/>
      <c r="Z46" s="24"/>
      <c r="AA46" s="24"/>
      <c r="AB46" s="24"/>
      <c r="AC46" s="24" t="s">
        <v>51</v>
      </c>
      <c r="AD46" s="24"/>
      <c r="AE46" s="24" t="s">
        <v>51</v>
      </c>
      <c r="AF46" s="24"/>
      <c r="AG46" s="24"/>
      <c r="AH46" s="24"/>
      <c r="AI46" s="24"/>
      <c r="AJ46" s="25" t="s">
        <v>51</v>
      </c>
    </row>
    <row r="47" spans="1:36" x14ac:dyDescent="0.35">
      <c r="A47" s="17" t="s">
        <v>46</v>
      </c>
      <c r="B47" s="17" t="s">
        <v>47</v>
      </c>
      <c r="C47" s="18" t="s">
        <v>123</v>
      </c>
      <c r="D47" s="17" t="s">
        <v>143</v>
      </c>
      <c r="E47" s="19" t="s">
        <v>144</v>
      </c>
      <c r="F47" s="28">
        <v>563</v>
      </c>
      <c r="G47" s="28"/>
      <c r="H47" s="19">
        <v>0</v>
      </c>
      <c r="I47" s="28"/>
      <c r="J47" s="28"/>
      <c r="K47" s="28"/>
      <c r="L47" s="21"/>
      <c r="M47" s="28"/>
      <c r="N47" s="22"/>
      <c r="O47" s="28">
        <v>39</v>
      </c>
      <c r="P47" s="28">
        <v>323</v>
      </c>
      <c r="Q47" s="23"/>
      <c r="R47" s="23"/>
      <c r="S47" s="24"/>
      <c r="T47" s="24"/>
      <c r="U47" s="24"/>
      <c r="V47" s="24"/>
      <c r="W47" s="28"/>
      <c r="X47" s="24"/>
      <c r="Y47" s="28"/>
      <c r="Z47" s="24"/>
      <c r="AA47" s="24"/>
      <c r="AB47" s="24"/>
      <c r="AC47" s="24" t="s">
        <v>51</v>
      </c>
      <c r="AD47" s="24"/>
      <c r="AE47" s="24" t="s">
        <v>51</v>
      </c>
      <c r="AF47" s="24"/>
      <c r="AG47" s="24"/>
      <c r="AH47" s="24"/>
      <c r="AI47" s="24"/>
      <c r="AJ47" s="24"/>
    </row>
    <row r="48" spans="1:36" x14ac:dyDescent="0.35">
      <c r="A48" s="17" t="s">
        <v>46</v>
      </c>
      <c r="B48" s="17" t="s">
        <v>47</v>
      </c>
      <c r="C48" s="18" t="s">
        <v>123</v>
      </c>
      <c r="D48" s="17" t="s">
        <v>145</v>
      </c>
      <c r="E48" s="19" t="s">
        <v>146</v>
      </c>
      <c r="F48" s="20">
        <v>400</v>
      </c>
      <c r="G48" s="20">
        <v>55</v>
      </c>
      <c r="H48" s="19">
        <v>241</v>
      </c>
      <c r="I48" s="20">
        <v>121</v>
      </c>
      <c r="J48" s="20">
        <v>120</v>
      </c>
      <c r="K48" s="20">
        <v>5</v>
      </c>
      <c r="L48" s="21">
        <f>K48/H48</f>
        <v>2.0746887966804978E-2</v>
      </c>
      <c r="M48" s="20">
        <v>236</v>
      </c>
      <c r="N48" s="22">
        <f>M48/H48</f>
        <v>0.97925311203319498</v>
      </c>
      <c r="O48" s="20">
        <v>160</v>
      </c>
      <c r="P48" s="20">
        <v>0</v>
      </c>
      <c r="Q48" s="23"/>
      <c r="R48" s="23"/>
      <c r="S48" s="24"/>
      <c r="T48" s="24"/>
      <c r="U48" s="24"/>
      <c r="V48" s="24"/>
      <c r="W48" s="20"/>
      <c r="X48" s="24" t="s">
        <v>51</v>
      </c>
      <c r="Y48" s="20"/>
      <c r="Z48" s="24"/>
      <c r="AA48" s="24"/>
      <c r="AB48" s="24"/>
      <c r="AC48" s="24" t="s">
        <v>51</v>
      </c>
      <c r="AD48" s="24"/>
      <c r="AE48" s="24" t="s">
        <v>51</v>
      </c>
      <c r="AF48" s="24"/>
      <c r="AG48" s="24"/>
      <c r="AH48" s="24"/>
      <c r="AI48" s="24"/>
      <c r="AJ48" s="25" t="s">
        <v>51</v>
      </c>
    </row>
    <row r="49" spans="1:36" x14ac:dyDescent="0.35">
      <c r="A49" s="17" t="s">
        <v>46</v>
      </c>
      <c r="B49" s="17" t="s">
        <v>47</v>
      </c>
      <c r="C49" s="18" t="s">
        <v>113</v>
      </c>
      <c r="D49" s="17" t="s">
        <v>147</v>
      </c>
      <c r="E49" s="19" t="s">
        <v>148</v>
      </c>
      <c r="F49" s="28">
        <v>165</v>
      </c>
      <c r="G49" s="28"/>
      <c r="H49" s="19">
        <v>0</v>
      </c>
      <c r="I49" s="28"/>
      <c r="J49" s="28"/>
      <c r="K49" s="28"/>
      <c r="L49" s="21"/>
      <c r="M49" s="28"/>
      <c r="N49" s="22"/>
      <c r="O49" s="28">
        <v>0</v>
      </c>
      <c r="P49" s="28">
        <v>106</v>
      </c>
      <c r="Q49" s="23"/>
      <c r="R49" s="23"/>
      <c r="S49" s="24"/>
      <c r="T49" s="24"/>
      <c r="U49" s="24"/>
      <c r="V49" s="24"/>
      <c r="W49" s="28"/>
      <c r="X49" s="24"/>
      <c r="Y49" s="28"/>
      <c r="Z49" s="24"/>
      <c r="AA49" s="24"/>
      <c r="AB49" s="24"/>
      <c r="AC49" s="24" t="s">
        <v>51</v>
      </c>
      <c r="AD49" s="24"/>
      <c r="AE49" s="24" t="s">
        <v>51</v>
      </c>
      <c r="AF49" s="24"/>
      <c r="AG49" s="24"/>
      <c r="AH49" s="24"/>
      <c r="AI49" s="24"/>
      <c r="AJ49" s="24"/>
    </row>
    <row r="50" spans="1:36" x14ac:dyDescent="0.35">
      <c r="A50" s="17" t="s">
        <v>46</v>
      </c>
      <c r="B50" s="17" t="s">
        <v>47</v>
      </c>
      <c r="C50" s="18" t="s">
        <v>123</v>
      </c>
      <c r="D50" s="17" t="s">
        <v>149</v>
      </c>
      <c r="E50" s="19" t="s">
        <v>150</v>
      </c>
      <c r="F50" s="20">
        <v>133</v>
      </c>
      <c r="G50" s="20">
        <v>22</v>
      </c>
      <c r="H50" s="19">
        <v>104</v>
      </c>
      <c r="I50" s="20">
        <v>52</v>
      </c>
      <c r="J50" s="20">
        <v>52</v>
      </c>
      <c r="K50" s="20">
        <v>0</v>
      </c>
      <c r="L50" s="21">
        <f t="shared" ref="L50:L56" si="2">K50/H50</f>
        <v>0</v>
      </c>
      <c r="M50" s="20">
        <v>102</v>
      </c>
      <c r="N50" s="22">
        <f t="shared" ref="N50:N56" si="3">M50/H50</f>
        <v>0.98076923076923073</v>
      </c>
      <c r="O50" s="20">
        <v>57</v>
      </c>
      <c r="P50" s="20">
        <v>0</v>
      </c>
      <c r="Q50" s="23"/>
      <c r="R50" s="23"/>
      <c r="S50" s="24"/>
      <c r="T50" s="24"/>
      <c r="U50" s="24"/>
      <c r="V50" s="24"/>
      <c r="W50" s="20"/>
      <c r="X50" s="24" t="s">
        <v>51</v>
      </c>
      <c r="Y50" s="20"/>
      <c r="Z50" s="24"/>
      <c r="AA50" s="24"/>
      <c r="AB50" s="24"/>
      <c r="AC50" s="24" t="s">
        <v>51</v>
      </c>
      <c r="AD50" s="24"/>
      <c r="AE50" s="24" t="s">
        <v>51</v>
      </c>
      <c r="AF50" s="24"/>
      <c r="AG50" s="24"/>
      <c r="AH50" s="24"/>
      <c r="AI50" s="24"/>
      <c r="AJ50" s="25" t="s">
        <v>51</v>
      </c>
    </row>
    <row r="51" spans="1:36" x14ac:dyDescent="0.35">
      <c r="A51" s="17" t="s">
        <v>46</v>
      </c>
      <c r="B51" s="17" t="s">
        <v>47</v>
      </c>
      <c r="C51" s="18" t="s">
        <v>123</v>
      </c>
      <c r="D51" s="17" t="s">
        <v>151</v>
      </c>
      <c r="E51" s="19" t="s">
        <v>152</v>
      </c>
      <c r="F51" s="20">
        <v>63</v>
      </c>
      <c r="G51" s="20">
        <v>18</v>
      </c>
      <c r="H51" s="19">
        <v>96</v>
      </c>
      <c r="I51" s="20">
        <v>50</v>
      </c>
      <c r="J51" s="20">
        <v>46</v>
      </c>
      <c r="K51" s="20">
        <v>0</v>
      </c>
      <c r="L51" s="21">
        <f t="shared" si="2"/>
        <v>0</v>
      </c>
      <c r="M51" s="20">
        <v>96</v>
      </c>
      <c r="N51" s="22">
        <f t="shared" si="3"/>
        <v>1</v>
      </c>
      <c r="O51" s="20">
        <v>4</v>
      </c>
      <c r="P51" s="20">
        <v>7</v>
      </c>
      <c r="Q51" s="23"/>
      <c r="R51" s="23"/>
      <c r="S51" s="24"/>
      <c r="T51" s="24"/>
      <c r="U51" s="24"/>
      <c r="V51" s="24"/>
      <c r="W51" s="20"/>
      <c r="X51" s="24" t="s">
        <v>51</v>
      </c>
      <c r="Y51" s="20"/>
      <c r="Z51" s="24"/>
      <c r="AA51" s="24"/>
      <c r="AB51" s="24"/>
      <c r="AC51" s="24" t="s">
        <v>51</v>
      </c>
      <c r="AD51" s="24"/>
      <c r="AE51" s="24" t="s">
        <v>51</v>
      </c>
      <c r="AF51" s="24"/>
      <c r="AG51" s="24"/>
      <c r="AH51" s="24"/>
      <c r="AI51" s="24"/>
      <c r="AJ51" s="25" t="s">
        <v>51</v>
      </c>
    </row>
    <row r="52" spans="1:36" x14ac:dyDescent="0.35">
      <c r="A52" s="17" t="s">
        <v>46</v>
      </c>
      <c r="B52" s="17" t="s">
        <v>47</v>
      </c>
      <c r="C52" s="18" t="s">
        <v>123</v>
      </c>
      <c r="D52" s="17" t="s">
        <v>153</v>
      </c>
      <c r="E52" s="19" t="s">
        <v>154</v>
      </c>
      <c r="F52" s="20">
        <v>439</v>
      </c>
      <c r="G52" s="20">
        <v>20</v>
      </c>
      <c r="H52" s="19">
        <v>81</v>
      </c>
      <c r="I52" s="20">
        <v>39</v>
      </c>
      <c r="J52" s="20">
        <v>42</v>
      </c>
      <c r="K52" s="20">
        <v>0</v>
      </c>
      <c r="L52" s="21">
        <f t="shared" si="2"/>
        <v>0</v>
      </c>
      <c r="M52" s="20">
        <v>81</v>
      </c>
      <c r="N52" s="22">
        <f t="shared" si="3"/>
        <v>1</v>
      </c>
      <c r="O52" s="20">
        <v>6</v>
      </c>
      <c r="P52" s="20">
        <v>340</v>
      </c>
      <c r="Q52" s="23"/>
      <c r="R52" s="23"/>
      <c r="S52" s="24"/>
      <c r="T52" s="24"/>
      <c r="U52" s="24"/>
      <c r="V52" s="24"/>
      <c r="W52" s="20"/>
      <c r="X52" s="24" t="s">
        <v>51</v>
      </c>
      <c r="Y52" s="20"/>
      <c r="Z52" s="24"/>
      <c r="AA52" s="24"/>
      <c r="AB52" s="24"/>
      <c r="AC52" s="24" t="s">
        <v>51</v>
      </c>
      <c r="AD52" s="24"/>
      <c r="AE52" s="24" t="s">
        <v>51</v>
      </c>
      <c r="AF52" s="24"/>
      <c r="AG52" s="24"/>
      <c r="AH52" s="24"/>
      <c r="AI52" s="24"/>
      <c r="AJ52" s="25" t="s">
        <v>51</v>
      </c>
    </row>
    <row r="53" spans="1:36" x14ac:dyDescent="0.35">
      <c r="A53" s="17" t="s">
        <v>46</v>
      </c>
      <c r="B53" s="17" t="s">
        <v>47</v>
      </c>
      <c r="C53" s="18" t="s">
        <v>113</v>
      </c>
      <c r="D53" s="17" t="s">
        <v>155</v>
      </c>
      <c r="E53" s="19" t="s">
        <v>156</v>
      </c>
      <c r="F53" s="20">
        <v>1076</v>
      </c>
      <c r="G53" s="20">
        <v>205</v>
      </c>
      <c r="H53" s="19">
        <v>971</v>
      </c>
      <c r="I53" s="20">
        <v>482</v>
      </c>
      <c r="J53" s="20">
        <v>489</v>
      </c>
      <c r="K53" s="20">
        <v>151</v>
      </c>
      <c r="L53" s="21">
        <f t="shared" si="2"/>
        <v>0.15550978372811536</v>
      </c>
      <c r="M53" s="20">
        <v>138</v>
      </c>
      <c r="N53" s="22">
        <f t="shared" si="3"/>
        <v>0.14212152420185376</v>
      </c>
      <c r="O53" s="20">
        <v>53</v>
      </c>
      <c r="P53" s="20">
        <v>694</v>
      </c>
      <c r="Q53" s="23"/>
      <c r="R53" s="23"/>
      <c r="S53" s="24"/>
      <c r="T53" s="24"/>
      <c r="U53" s="24"/>
      <c r="V53" s="24"/>
      <c r="W53" s="20"/>
      <c r="X53" s="24" t="s">
        <v>51</v>
      </c>
      <c r="Y53" s="20"/>
      <c r="Z53" s="24"/>
      <c r="AA53" s="24"/>
      <c r="AB53" s="24"/>
      <c r="AC53" s="24" t="s">
        <v>51</v>
      </c>
      <c r="AD53" s="24"/>
      <c r="AE53" s="24" t="s">
        <v>51</v>
      </c>
      <c r="AF53" s="24">
        <v>8.1999999999999993</v>
      </c>
      <c r="AG53" s="24" t="s">
        <v>54</v>
      </c>
      <c r="AH53" s="25">
        <v>25.058376899999999</v>
      </c>
      <c r="AI53" s="24">
        <v>74.883763299999998</v>
      </c>
      <c r="AJ53" s="25" t="s">
        <v>51</v>
      </c>
    </row>
    <row r="54" spans="1:36" x14ac:dyDescent="0.35">
      <c r="A54" s="17" t="s">
        <v>46</v>
      </c>
      <c r="B54" s="17" t="s">
        <v>47</v>
      </c>
      <c r="C54" s="18" t="s">
        <v>157</v>
      </c>
      <c r="D54" s="17" t="s">
        <v>158</v>
      </c>
      <c r="E54" s="19" t="s">
        <v>159</v>
      </c>
      <c r="F54" s="20">
        <v>527</v>
      </c>
      <c r="G54" s="20">
        <v>136</v>
      </c>
      <c r="H54" s="19">
        <v>580</v>
      </c>
      <c r="I54" s="20">
        <v>292</v>
      </c>
      <c r="J54" s="20">
        <v>288</v>
      </c>
      <c r="K54" s="20">
        <v>3</v>
      </c>
      <c r="L54" s="21">
        <f t="shared" si="2"/>
        <v>5.1724137931034482E-3</v>
      </c>
      <c r="M54" s="20">
        <v>508</v>
      </c>
      <c r="N54" s="22">
        <f t="shared" si="3"/>
        <v>0.87586206896551722</v>
      </c>
      <c r="O54" s="20">
        <v>21</v>
      </c>
      <c r="P54" s="20">
        <v>252</v>
      </c>
      <c r="Q54" s="23"/>
      <c r="R54" s="23"/>
      <c r="S54" s="24"/>
      <c r="T54" s="24"/>
      <c r="U54" s="24"/>
      <c r="V54" s="24"/>
      <c r="W54" s="20"/>
      <c r="X54" s="24" t="s">
        <v>51</v>
      </c>
      <c r="Y54" s="20"/>
      <c r="Z54" s="24"/>
      <c r="AA54" s="24"/>
      <c r="AB54" s="24"/>
      <c r="AC54" s="24" t="s">
        <v>51</v>
      </c>
      <c r="AD54" s="24"/>
      <c r="AE54" s="24" t="s">
        <v>51</v>
      </c>
      <c r="AF54" s="24">
        <v>10.82</v>
      </c>
      <c r="AG54" s="24" t="s">
        <v>54</v>
      </c>
      <c r="AH54" s="29">
        <v>25.084285099999999</v>
      </c>
      <c r="AI54" s="29">
        <v>74.894767299999998</v>
      </c>
      <c r="AJ54" s="25" t="s">
        <v>51</v>
      </c>
    </row>
    <row r="55" spans="1:36" x14ac:dyDescent="0.35">
      <c r="A55" s="17" t="s">
        <v>46</v>
      </c>
      <c r="B55" s="17" t="s">
        <v>47</v>
      </c>
      <c r="C55" s="18" t="s">
        <v>157</v>
      </c>
      <c r="D55" s="17" t="s">
        <v>160</v>
      </c>
      <c r="E55" s="19" t="s">
        <v>161</v>
      </c>
      <c r="F55" s="20">
        <v>291</v>
      </c>
      <c r="G55" s="20">
        <v>80</v>
      </c>
      <c r="H55" s="19">
        <v>390</v>
      </c>
      <c r="I55" s="20">
        <v>198</v>
      </c>
      <c r="J55" s="20">
        <v>192</v>
      </c>
      <c r="K55" s="20">
        <v>68</v>
      </c>
      <c r="L55" s="21">
        <f t="shared" si="2"/>
        <v>0.17435897435897435</v>
      </c>
      <c r="M55" s="20">
        <v>78</v>
      </c>
      <c r="N55" s="22">
        <f t="shared" si="3"/>
        <v>0.2</v>
      </c>
      <c r="O55" s="20">
        <v>44</v>
      </c>
      <c r="P55" s="20">
        <v>120</v>
      </c>
      <c r="Q55" s="23"/>
      <c r="R55" s="23"/>
      <c r="S55" s="24"/>
      <c r="T55" s="24"/>
      <c r="U55" s="24"/>
      <c r="V55" s="24"/>
      <c r="W55" s="20"/>
      <c r="X55" s="24" t="s">
        <v>51</v>
      </c>
      <c r="Y55" s="20"/>
      <c r="Z55" s="24"/>
      <c r="AA55" s="24"/>
      <c r="AB55" s="24"/>
      <c r="AC55" s="24" t="s">
        <v>51</v>
      </c>
      <c r="AD55" s="24"/>
      <c r="AE55" s="24" t="s">
        <v>51</v>
      </c>
      <c r="AF55" s="24">
        <v>21</v>
      </c>
      <c r="AG55" s="24" t="s">
        <v>54</v>
      </c>
      <c r="AH55" s="25">
        <v>25.084785499999999</v>
      </c>
      <c r="AI55" s="25">
        <v>74.898358900000005</v>
      </c>
      <c r="AJ55" s="25" t="s">
        <v>51</v>
      </c>
    </row>
    <row r="56" spans="1:36" x14ac:dyDescent="0.35">
      <c r="A56" s="17" t="s">
        <v>46</v>
      </c>
      <c r="B56" s="17" t="s">
        <v>47</v>
      </c>
      <c r="C56" s="18" t="s">
        <v>157</v>
      </c>
      <c r="D56" s="17" t="s">
        <v>162</v>
      </c>
      <c r="E56" s="19" t="s">
        <v>163</v>
      </c>
      <c r="F56" s="20">
        <v>234</v>
      </c>
      <c r="G56" s="20">
        <v>58</v>
      </c>
      <c r="H56" s="19">
        <v>293</v>
      </c>
      <c r="I56" s="20">
        <v>143</v>
      </c>
      <c r="J56" s="20">
        <v>150</v>
      </c>
      <c r="K56" s="20">
        <v>97</v>
      </c>
      <c r="L56" s="21">
        <f t="shared" si="2"/>
        <v>0.33105802047781568</v>
      </c>
      <c r="M56" s="20">
        <v>0</v>
      </c>
      <c r="N56" s="22">
        <f t="shared" si="3"/>
        <v>0</v>
      </c>
      <c r="O56" s="20">
        <v>31</v>
      </c>
      <c r="P56" s="20">
        <v>106</v>
      </c>
      <c r="Q56" s="23"/>
      <c r="R56" s="23"/>
      <c r="S56" s="24"/>
      <c r="T56" s="24"/>
      <c r="U56" s="24"/>
      <c r="V56" s="24"/>
      <c r="W56" s="20"/>
      <c r="X56" s="24" t="s">
        <v>51</v>
      </c>
      <c r="Y56" s="20"/>
      <c r="Z56" s="24"/>
      <c r="AA56" s="24"/>
      <c r="AB56" s="24"/>
      <c r="AC56" s="24" t="s">
        <v>51</v>
      </c>
      <c r="AD56" s="24"/>
      <c r="AE56" s="24" t="s">
        <v>51</v>
      </c>
      <c r="AF56" s="24">
        <v>19</v>
      </c>
      <c r="AG56" s="24" t="s">
        <v>54</v>
      </c>
      <c r="AH56" s="25">
        <v>25.086056299999999</v>
      </c>
      <c r="AI56" s="25">
        <v>74.9069705</v>
      </c>
      <c r="AJ56" s="25" t="s">
        <v>51</v>
      </c>
    </row>
    <row r="57" spans="1:36" x14ac:dyDescent="0.35">
      <c r="A57" s="17" t="s">
        <v>46</v>
      </c>
      <c r="B57" s="17" t="s">
        <v>47</v>
      </c>
      <c r="C57" s="18" t="s">
        <v>157</v>
      </c>
      <c r="D57" s="17" t="s">
        <v>164</v>
      </c>
      <c r="E57" s="19" t="s">
        <v>165</v>
      </c>
      <c r="F57" s="28">
        <v>95</v>
      </c>
      <c r="G57" s="28"/>
      <c r="H57" s="19">
        <v>0</v>
      </c>
      <c r="I57" s="28"/>
      <c r="J57" s="28"/>
      <c r="K57" s="28"/>
      <c r="L57" s="21"/>
      <c r="M57" s="28"/>
      <c r="N57" s="22"/>
      <c r="O57" s="28">
        <v>6</v>
      </c>
      <c r="P57" s="28">
        <v>0</v>
      </c>
      <c r="Q57" s="23"/>
      <c r="R57" s="23"/>
      <c r="S57" s="24"/>
      <c r="T57" s="24"/>
      <c r="U57" s="24"/>
      <c r="V57" s="24"/>
      <c r="W57" s="28"/>
      <c r="X57" s="24"/>
      <c r="Y57" s="28"/>
      <c r="Z57" s="24"/>
      <c r="AA57" s="24"/>
      <c r="AB57" s="24"/>
      <c r="AC57" s="24" t="s">
        <v>51</v>
      </c>
      <c r="AD57" s="24"/>
      <c r="AE57" s="24" t="s">
        <v>51</v>
      </c>
      <c r="AF57" s="24"/>
      <c r="AG57" s="24"/>
      <c r="AH57" s="24"/>
      <c r="AI57" s="24"/>
      <c r="AJ57" s="24"/>
    </row>
    <row r="58" spans="1:36" x14ac:dyDescent="0.35">
      <c r="A58" s="17" t="s">
        <v>46</v>
      </c>
      <c r="B58" s="17" t="s">
        <v>47</v>
      </c>
      <c r="C58" s="18" t="s">
        <v>157</v>
      </c>
      <c r="D58" s="17" t="s">
        <v>157</v>
      </c>
      <c r="E58" s="19" t="s">
        <v>166</v>
      </c>
      <c r="F58" s="20">
        <v>332</v>
      </c>
      <c r="G58" s="20">
        <v>229</v>
      </c>
      <c r="H58" s="19">
        <v>1145</v>
      </c>
      <c r="I58" s="20">
        <v>594</v>
      </c>
      <c r="J58" s="20">
        <v>551</v>
      </c>
      <c r="K58" s="20">
        <v>374</v>
      </c>
      <c r="L58" s="21">
        <f>K58/H58</f>
        <v>0.32663755458515281</v>
      </c>
      <c r="M58" s="20">
        <v>46</v>
      </c>
      <c r="N58" s="22">
        <f>M58/H58</f>
        <v>4.017467248908297E-2</v>
      </c>
      <c r="O58" s="20">
        <v>95</v>
      </c>
      <c r="P58" s="20">
        <v>43</v>
      </c>
      <c r="Q58" s="23"/>
      <c r="R58" s="23"/>
      <c r="S58" s="24"/>
      <c r="T58" s="24"/>
      <c r="U58" s="24"/>
      <c r="V58" s="24"/>
      <c r="W58" s="20"/>
      <c r="X58" s="24" t="s">
        <v>51</v>
      </c>
      <c r="Y58" s="20"/>
      <c r="Z58" s="24"/>
      <c r="AA58" s="24"/>
      <c r="AB58" s="24"/>
      <c r="AC58" s="24" t="s">
        <v>51</v>
      </c>
      <c r="AD58" s="24"/>
      <c r="AE58" s="24" t="s">
        <v>51</v>
      </c>
      <c r="AF58" s="24"/>
      <c r="AG58" s="24"/>
      <c r="AH58" s="24"/>
      <c r="AI58" s="24"/>
      <c r="AJ58" s="25" t="s">
        <v>51</v>
      </c>
    </row>
    <row r="59" spans="1:36" x14ac:dyDescent="0.35">
      <c r="A59" s="17" t="s">
        <v>46</v>
      </c>
      <c r="B59" s="17" t="s">
        <v>47</v>
      </c>
      <c r="C59" s="18" t="s">
        <v>157</v>
      </c>
      <c r="D59" s="17" t="s">
        <v>167</v>
      </c>
      <c r="E59" s="19" t="s">
        <v>168</v>
      </c>
      <c r="F59" s="20">
        <v>227</v>
      </c>
      <c r="G59" s="20">
        <v>100</v>
      </c>
      <c r="H59" s="19">
        <v>440</v>
      </c>
      <c r="I59" s="20">
        <v>226</v>
      </c>
      <c r="J59" s="20">
        <v>214</v>
      </c>
      <c r="K59" s="20">
        <v>200</v>
      </c>
      <c r="L59" s="21">
        <f>K59/H59</f>
        <v>0.45454545454545453</v>
      </c>
      <c r="M59" s="20">
        <v>95</v>
      </c>
      <c r="N59" s="22">
        <f>M59/H59</f>
        <v>0.21590909090909091</v>
      </c>
      <c r="O59" s="20">
        <v>21</v>
      </c>
      <c r="P59" s="20">
        <v>54</v>
      </c>
      <c r="Q59" s="23"/>
      <c r="R59" s="23"/>
      <c r="S59" s="24"/>
      <c r="T59" s="24"/>
      <c r="U59" s="24"/>
      <c r="V59" s="24"/>
      <c r="W59" s="20"/>
      <c r="X59" s="24" t="s">
        <v>51</v>
      </c>
      <c r="Y59" s="20"/>
      <c r="Z59" s="24"/>
      <c r="AA59" s="24"/>
      <c r="AB59" s="24"/>
      <c r="AC59" s="24" t="s">
        <v>51</v>
      </c>
      <c r="AD59" s="24"/>
      <c r="AE59" s="24" t="s">
        <v>51</v>
      </c>
      <c r="AF59" s="24">
        <v>14</v>
      </c>
      <c r="AG59" s="24" t="s">
        <v>60</v>
      </c>
      <c r="AH59" s="24">
        <v>25.093164247733998</v>
      </c>
      <c r="AI59" s="24">
        <v>74.916241199395998</v>
      </c>
      <c r="AJ59" s="25" t="s">
        <v>51</v>
      </c>
    </row>
    <row r="60" spans="1:36" x14ac:dyDescent="0.35">
      <c r="A60" s="17" t="s">
        <v>46</v>
      </c>
      <c r="B60" s="17" t="s">
        <v>47</v>
      </c>
      <c r="C60" s="18" t="s">
        <v>157</v>
      </c>
      <c r="D60" s="17" t="s">
        <v>169</v>
      </c>
      <c r="E60" s="19" t="s">
        <v>170</v>
      </c>
      <c r="F60" s="28">
        <v>131</v>
      </c>
      <c r="G60" s="28"/>
      <c r="H60" s="19">
        <v>0</v>
      </c>
      <c r="I60" s="28"/>
      <c r="J60" s="28"/>
      <c r="K60" s="28"/>
      <c r="L60" s="21"/>
      <c r="M60" s="28"/>
      <c r="N60" s="22"/>
      <c r="O60" s="28">
        <v>0</v>
      </c>
      <c r="P60" s="28">
        <v>52</v>
      </c>
      <c r="Q60" s="23"/>
      <c r="R60" s="23"/>
      <c r="S60" s="24"/>
      <c r="T60" s="24"/>
      <c r="U60" s="24"/>
      <c r="V60" s="24"/>
      <c r="W60" s="28"/>
      <c r="X60" s="24"/>
      <c r="Y60" s="28"/>
      <c r="Z60" s="24"/>
      <c r="AA60" s="24"/>
      <c r="AB60" s="24"/>
      <c r="AC60" s="24" t="s">
        <v>51</v>
      </c>
      <c r="AD60" s="24"/>
      <c r="AE60" s="24" t="s">
        <v>51</v>
      </c>
      <c r="AF60" s="24"/>
      <c r="AG60" s="24"/>
      <c r="AH60" s="24"/>
      <c r="AI60" s="24"/>
      <c r="AJ60" s="24"/>
    </row>
    <row r="61" spans="1:36" x14ac:dyDescent="0.35">
      <c r="A61" s="17" t="s">
        <v>46</v>
      </c>
      <c r="B61" s="17" t="s">
        <v>47</v>
      </c>
      <c r="C61" s="18" t="s">
        <v>171</v>
      </c>
      <c r="D61" s="17" t="s">
        <v>172</v>
      </c>
      <c r="E61" s="19" t="s">
        <v>173</v>
      </c>
      <c r="F61" s="20">
        <v>273.52</v>
      </c>
      <c r="G61" s="20">
        <v>58</v>
      </c>
      <c r="H61" s="19">
        <v>241</v>
      </c>
      <c r="I61" s="20">
        <v>126</v>
      </c>
      <c r="J61" s="20">
        <v>115</v>
      </c>
      <c r="K61" s="20">
        <v>4</v>
      </c>
      <c r="L61" s="21">
        <f t="shared" ref="L61:L68" si="4">K61/H61</f>
        <v>1.6597510373443983E-2</v>
      </c>
      <c r="M61" s="20">
        <v>53</v>
      </c>
      <c r="N61" s="22">
        <f t="shared" ref="N61:N68" si="5">M61/H61</f>
        <v>0.21991701244813278</v>
      </c>
      <c r="O61" s="20">
        <v>11.35</v>
      </c>
      <c r="P61" s="20">
        <v>0</v>
      </c>
      <c r="Q61" s="23"/>
      <c r="R61" s="23"/>
      <c r="S61" s="24"/>
      <c r="T61" s="24"/>
      <c r="U61" s="24"/>
      <c r="V61" s="24"/>
      <c r="W61" s="20"/>
      <c r="X61" s="24" t="s">
        <v>51</v>
      </c>
      <c r="Y61" s="20"/>
      <c r="Z61" s="24"/>
      <c r="AA61" s="24"/>
      <c r="AB61" s="24"/>
      <c r="AC61" s="24" t="s">
        <v>51</v>
      </c>
      <c r="AD61" s="24"/>
      <c r="AE61" s="24" t="s">
        <v>51</v>
      </c>
      <c r="AF61" s="24"/>
      <c r="AG61" s="24"/>
      <c r="AH61" s="24"/>
      <c r="AI61" s="24"/>
      <c r="AJ61" s="25" t="s">
        <v>51</v>
      </c>
    </row>
    <row r="62" spans="1:36" x14ac:dyDescent="0.35">
      <c r="A62" s="17" t="s">
        <v>46</v>
      </c>
      <c r="B62" s="17" t="s">
        <v>47</v>
      </c>
      <c r="C62" s="18" t="s">
        <v>157</v>
      </c>
      <c r="D62" s="17" t="s">
        <v>174</v>
      </c>
      <c r="E62" s="19" t="s">
        <v>175</v>
      </c>
      <c r="F62" s="20">
        <v>737</v>
      </c>
      <c r="G62" s="20">
        <v>155</v>
      </c>
      <c r="H62" s="19">
        <v>715</v>
      </c>
      <c r="I62" s="20">
        <v>367</v>
      </c>
      <c r="J62" s="20">
        <v>348</v>
      </c>
      <c r="K62" s="20">
        <v>156</v>
      </c>
      <c r="L62" s="21">
        <f t="shared" si="4"/>
        <v>0.21818181818181817</v>
      </c>
      <c r="M62" s="20">
        <v>167</v>
      </c>
      <c r="N62" s="22">
        <f t="shared" si="5"/>
        <v>0.23356643356643356</v>
      </c>
      <c r="O62" s="20">
        <v>28</v>
      </c>
      <c r="P62" s="20">
        <v>352</v>
      </c>
      <c r="Q62" s="23"/>
      <c r="R62" s="23"/>
      <c r="S62" s="24"/>
      <c r="T62" s="24"/>
      <c r="U62" s="24"/>
      <c r="V62" s="24"/>
      <c r="W62" s="20"/>
      <c r="X62" s="24" t="s">
        <v>51</v>
      </c>
      <c r="Y62" s="20"/>
      <c r="Z62" s="24"/>
      <c r="AA62" s="24"/>
      <c r="AB62" s="24"/>
      <c r="AC62" s="24" t="s">
        <v>51</v>
      </c>
      <c r="AD62" s="24"/>
      <c r="AE62" s="24" t="s">
        <v>51</v>
      </c>
      <c r="AF62" s="24"/>
      <c r="AG62" s="24"/>
      <c r="AH62" s="24"/>
      <c r="AI62" s="24"/>
      <c r="AJ62" s="25" t="s">
        <v>51</v>
      </c>
    </row>
    <row r="63" spans="1:36" x14ac:dyDescent="0.35">
      <c r="A63" s="17" t="s">
        <v>46</v>
      </c>
      <c r="B63" s="17" t="s">
        <v>47</v>
      </c>
      <c r="C63" s="18" t="s">
        <v>106</v>
      </c>
      <c r="D63" s="17" t="s">
        <v>176</v>
      </c>
      <c r="E63" s="19" t="s">
        <v>177</v>
      </c>
      <c r="F63" s="20">
        <v>125</v>
      </c>
      <c r="G63" s="20">
        <v>1</v>
      </c>
      <c r="H63" s="19">
        <v>3</v>
      </c>
      <c r="I63" s="20">
        <v>2</v>
      </c>
      <c r="J63" s="20">
        <v>1</v>
      </c>
      <c r="K63" s="20">
        <v>3</v>
      </c>
      <c r="L63" s="21">
        <f t="shared" si="4"/>
        <v>1</v>
      </c>
      <c r="M63" s="20">
        <v>0</v>
      </c>
      <c r="N63" s="22">
        <f t="shared" si="5"/>
        <v>0</v>
      </c>
      <c r="O63" s="20">
        <v>0</v>
      </c>
      <c r="P63" s="20">
        <v>17</v>
      </c>
      <c r="Q63" s="23"/>
      <c r="R63" s="23"/>
      <c r="S63" s="24"/>
      <c r="T63" s="24"/>
      <c r="U63" s="24"/>
      <c r="V63" s="24"/>
      <c r="W63" s="20"/>
      <c r="X63" s="24"/>
      <c r="Y63" s="20"/>
      <c r="Z63" s="24"/>
      <c r="AA63" s="24"/>
      <c r="AB63" s="24"/>
      <c r="AC63" s="24" t="s">
        <v>51</v>
      </c>
      <c r="AD63" s="24"/>
      <c r="AE63" s="24" t="s">
        <v>51</v>
      </c>
      <c r="AF63" s="24"/>
      <c r="AG63" s="24"/>
      <c r="AH63" s="24"/>
      <c r="AI63" s="24"/>
      <c r="AJ63" s="24"/>
    </row>
    <row r="64" spans="1:36" x14ac:dyDescent="0.35">
      <c r="A64" s="17" t="s">
        <v>46</v>
      </c>
      <c r="B64" s="17" t="s">
        <v>47</v>
      </c>
      <c r="C64" s="18" t="s">
        <v>171</v>
      </c>
      <c r="D64" s="17" t="s">
        <v>178</v>
      </c>
      <c r="E64" s="19" t="s">
        <v>179</v>
      </c>
      <c r="F64" s="20">
        <v>187.82</v>
      </c>
      <c r="G64" s="20">
        <v>59</v>
      </c>
      <c r="H64" s="19">
        <v>272</v>
      </c>
      <c r="I64" s="20">
        <v>135</v>
      </c>
      <c r="J64" s="20">
        <v>137</v>
      </c>
      <c r="K64" s="20">
        <v>0</v>
      </c>
      <c r="L64" s="21">
        <f t="shared" si="4"/>
        <v>0</v>
      </c>
      <c r="M64" s="20">
        <v>238</v>
      </c>
      <c r="N64" s="22">
        <f t="shared" si="5"/>
        <v>0.875</v>
      </c>
      <c r="O64" s="20">
        <v>15.17</v>
      </c>
      <c r="P64" s="20">
        <v>15.91</v>
      </c>
      <c r="Q64" s="23"/>
      <c r="R64" s="23"/>
      <c r="S64" s="24"/>
      <c r="T64" s="24"/>
      <c r="U64" s="24"/>
      <c r="V64" s="24"/>
      <c r="W64" s="20"/>
      <c r="X64" s="24" t="s">
        <v>51</v>
      </c>
      <c r="Y64" s="20"/>
      <c r="Z64" s="24"/>
      <c r="AA64" s="24"/>
      <c r="AB64" s="24"/>
      <c r="AC64" s="24" t="s">
        <v>51</v>
      </c>
      <c r="AD64" s="24"/>
      <c r="AE64" s="24" t="s">
        <v>51</v>
      </c>
      <c r="AF64" s="24">
        <v>12</v>
      </c>
      <c r="AG64" s="24" t="s">
        <v>54</v>
      </c>
      <c r="AH64" s="3">
        <v>25.13701</v>
      </c>
      <c r="AI64" s="3">
        <v>74.94614</v>
      </c>
      <c r="AJ64" s="25" t="s">
        <v>51</v>
      </c>
    </row>
    <row r="65" spans="1:36" x14ac:dyDescent="0.35">
      <c r="A65" s="17" t="s">
        <v>46</v>
      </c>
      <c r="B65" s="17" t="s">
        <v>47</v>
      </c>
      <c r="C65" s="18" t="s">
        <v>171</v>
      </c>
      <c r="D65" s="17" t="s">
        <v>180</v>
      </c>
      <c r="E65" s="19" t="s">
        <v>181</v>
      </c>
      <c r="F65" s="20">
        <v>417.62</v>
      </c>
      <c r="G65" s="20">
        <v>90</v>
      </c>
      <c r="H65" s="19">
        <v>405</v>
      </c>
      <c r="I65" s="20">
        <v>203</v>
      </c>
      <c r="J65" s="20">
        <v>202</v>
      </c>
      <c r="K65" s="20">
        <v>399</v>
      </c>
      <c r="L65" s="21">
        <f t="shared" si="4"/>
        <v>0.98518518518518516</v>
      </c>
      <c r="M65" s="20">
        <v>0</v>
      </c>
      <c r="N65" s="22">
        <f t="shared" si="5"/>
        <v>0</v>
      </c>
      <c r="O65" s="20">
        <v>166.68</v>
      </c>
      <c r="P65" s="20">
        <v>0</v>
      </c>
      <c r="Q65" s="23"/>
      <c r="R65" s="23"/>
      <c r="S65" s="24"/>
      <c r="T65" s="24"/>
      <c r="U65" s="24"/>
      <c r="V65" s="24"/>
      <c r="W65" s="20"/>
      <c r="X65" s="24" t="s">
        <v>51</v>
      </c>
      <c r="Y65" s="20"/>
      <c r="Z65" s="24"/>
      <c r="AA65" s="24"/>
      <c r="AB65" s="24"/>
      <c r="AC65" s="24" t="s">
        <v>51</v>
      </c>
      <c r="AD65" s="24"/>
      <c r="AE65" s="24" t="s">
        <v>51</v>
      </c>
      <c r="AF65" s="24"/>
      <c r="AG65" s="24"/>
      <c r="AH65" s="24"/>
      <c r="AI65" s="24"/>
      <c r="AJ65" s="25" t="s">
        <v>51</v>
      </c>
    </row>
    <row r="66" spans="1:36" x14ac:dyDescent="0.35">
      <c r="A66" s="17" t="s">
        <v>46</v>
      </c>
      <c r="B66" s="17" t="s">
        <v>47</v>
      </c>
      <c r="C66" s="18" t="s">
        <v>171</v>
      </c>
      <c r="D66" s="17" t="s">
        <v>171</v>
      </c>
      <c r="E66" s="19" t="s">
        <v>182</v>
      </c>
      <c r="F66" s="20">
        <v>1244.22</v>
      </c>
      <c r="G66" s="20">
        <v>727</v>
      </c>
      <c r="H66" s="19">
        <v>3442</v>
      </c>
      <c r="I66" s="20">
        <v>1744</v>
      </c>
      <c r="J66" s="20">
        <v>1698</v>
      </c>
      <c r="K66" s="20">
        <v>294</v>
      </c>
      <c r="L66" s="21">
        <f t="shared" si="4"/>
        <v>8.5415456130156886E-2</v>
      </c>
      <c r="M66" s="20">
        <v>283</v>
      </c>
      <c r="N66" s="22">
        <f t="shared" si="5"/>
        <v>8.2219639744334688E-2</v>
      </c>
      <c r="O66" s="20">
        <v>101.65</v>
      </c>
      <c r="P66" s="20">
        <v>257.63</v>
      </c>
      <c r="Q66" s="23"/>
      <c r="R66" s="23"/>
      <c r="S66" s="24"/>
      <c r="T66" s="24"/>
      <c r="U66" s="24"/>
      <c r="V66" s="24"/>
      <c r="W66" s="20"/>
      <c r="X66" s="24" t="s">
        <v>51</v>
      </c>
      <c r="Y66" s="20"/>
      <c r="Z66" s="24"/>
      <c r="AA66" s="24"/>
      <c r="AB66" s="24"/>
      <c r="AC66" s="24" t="s">
        <v>51</v>
      </c>
      <c r="AD66" s="24"/>
      <c r="AE66" s="24" t="s">
        <v>51</v>
      </c>
      <c r="AF66" s="24"/>
      <c r="AG66" s="24"/>
      <c r="AH66" s="24"/>
      <c r="AI66" s="24"/>
      <c r="AJ66" s="25" t="s">
        <v>51</v>
      </c>
    </row>
    <row r="67" spans="1:36" x14ac:dyDescent="0.35">
      <c r="A67" s="17" t="s">
        <v>46</v>
      </c>
      <c r="B67" s="17" t="s">
        <v>47</v>
      </c>
      <c r="C67" s="18" t="s">
        <v>183</v>
      </c>
      <c r="D67" s="17" t="s">
        <v>184</v>
      </c>
      <c r="E67" s="19" t="s">
        <v>185</v>
      </c>
      <c r="F67" s="20">
        <v>1769.5</v>
      </c>
      <c r="G67" s="20">
        <v>224</v>
      </c>
      <c r="H67" s="19">
        <v>1037</v>
      </c>
      <c r="I67" s="20">
        <v>509</v>
      </c>
      <c r="J67" s="20">
        <v>528</v>
      </c>
      <c r="K67" s="20">
        <v>67</v>
      </c>
      <c r="L67" s="21">
        <f t="shared" si="4"/>
        <v>6.4609450337512059E-2</v>
      </c>
      <c r="M67" s="20">
        <v>183</v>
      </c>
      <c r="N67" s="22">
        <f t="shared" si="5"/>
        <v>0.17647058823529413</v>
      </c>
      <c r="O67" s="20">
        <v>204</v>
      </c>
      <c r="P67" s="20">
        <v>1181</v>
      </c>
      <c r="Q67" s="23"/>
      <c r="R67" s="23"/>
      <c r="S67" s="24"/>
      <c r="T67" s="24"/>
      <c r="U67" s="24"/>
      <c r="V67" s="24"/>
      <c r="W67" s="20"/>
      <c r="X67" s="24" t="s">
        <v>51</v>
      </c>
      <c r="Y67" s="20"/>
      <c r="Z67" s="24"/>
      <c r="AA67" s="24"/>
      <c r="AB67" s="24"/>
      <c r="AC67" s="24" t="s">
        <v>51</v>
      </c>
      <c r="AD67" s="24"/>
      <c r="AE67" s="24" t="s">
        <v>51</v>
      </c>
      <c r="AF67" s="24">
        <v>27</v>
      </c>
      <c r="AG67" s="24" t="s">
        <v>80</v>
      </c>
      <c r="AH67" s="30">
        <v>25.073517800000001</v>
      </c>
      <c r="AI67" s="30">
        <v>74.943737400000003</v>
      </c>
      <c r="AJ67" s="25" t="s">
        <v>51</v>
      </c>
    </row>
    <row r="68" spans="1:36" x14ac:dyDescent="0.35">
      <c r="A68" s="17" t="s">
        <v>46</v>
      </c>
      <c r="B68" s="17" t="s">
        <v>47</v>
      </c>
      <c r="C68" s="18" t="s">
        <v>113</v>
      </c>
      <c r="D68" s="17" t="s">
        <v>186</v>
      </c>
      <c r="E68" s="19" t="s">
        <v>187</v>
      </c>
      <c r="F68" s="20">
        <v>422</v>
      </c>
      <c r="G68" s="20">
        <v>60</v>
      </c>
      <c r="H68" s="19">
        <v>239</v>
      </c>
      <c r="I68" s="20">
        <v>125</v>
      </c>
      <c r="J68" s="20">
        <v>114</v>
      </c>
      <c r="K68" s="20">
        <v>0</v>
      </c>
      <c r="L68" s="21">
        <f t="shared" si="4"/>
        <v>0</v>
      </c>
      <c r="M68" s="20">
        <v>227</v>
      </c>
      <c r="N68" s="22">
        <f t="shared" si="5"/>
        <v>0.94979079497907948</v>
      </c>
      <c r="O68" s="20">
        <v>9</v>
      </c>
      <c r="P68" s="20">
        <v>241</v>
      </c>
      <c r="Q68" s="23"/>
      <c r="R68" s="23"/>
      <c r="S68" s="24"/>
      <c r="T68" s="24"/>
      <c r="U68" s="24"/>
      <c r="V68" s="24"/>
      <c r="W68" s="20"/>
      <c r="X68" s="24" t="s">
        <v>51</v>
      </c>
      <c r="Y68" s="20"/>
      <c r="Z68" s="24"/>
      <c r="AA68" s="24"/>
      <c r="AB68" s="24"/>
      <c r="AC68" s="24" t="s">
        <v>51</v>
      </c>
      <c r="AD68" s="24"/>
      <c r="AE68" s="24" t="s">
        <v>51</v>
      </c>
      <c r="AF68" s="24"/>
      <c r="AG68" s="24"/>
      <c r="AH68" s="24"/>
      <c r="AI68" s="24"/>
      <c r="AJ68" s="25" t="s">
        <v>51</v>
      </c>
    </row>
    <row r="69" spans="1:36" x14ac:dyDescent="0.35">
      <c r="A69" s="17" t="s">
        <v>46</v>
      </c>
      <c r="B69" s="17" t="s">
        <v>47</v>
      </c>
      <c r="C69" s="18" t="s">
        <v>157</v>
      </c>
      <c r="D69" s="17" t="s">
        <v>188</v>
      </c>
      <c r="E69" s="19" t="s">
        <v>189</v>
      </c>
      <c r="F69" s="28">
        <v>215</v>
      </c>
      <c r="G69" s="28"/>
      <c r="H69" s="19">
        <v>0</v>
      </c>
      <c r="I69" s="28"/>
      <c r="J69" s="28"/>
      <c r="K69" s="28"/>
      <c r="L69" s="21"/>
      <c r="M69" s="28"/>
      <c r="N69" s="22"/>
      <c r="O69" s="28">
        <v>0</v>
      </c>
      <c r="P69" s="28">
        <v>149</v>
      </c>
      <c r="Q69" s="23"/>
      <c r="R69" s="23"/>
      <c r="S69" s="24"/>
      <c r="T69" s="24"/>
      <c r="U69" s="24"/>
      <c r="V69" s="24"/>
      <c r="W69" s="28"/>
      <c r="X69" s="24"/>
      <c r="Y69" s="28"/>
      <c r="Z69" s="24"/>
      <c r="AA69" s="24"/>
      <c r="AB69" s="24"/>
      <c r="AC69" s="24" t="s">
        <v>51</v>
      </c>
      <c r="AD69" s="24"/>
      <c r="AE69" s="24" t="s">
        <v>51</v>
      </c>
      <c r="AF69" s="24"/>
      <c r="AG69" s="24"/>
      <c r="AH69" s="24"/>
      <c r="AI69" s="24"/>
      <c r="AJ69" s="24"/>
    </row>
    <row r="70" spans="1:36" x14ac:dyDescent="0.35">
      <c r="A70" s="17" t="s">
        <v>46</v>
      </c>
      <c r="B70" s="17" t="s">
        <v>47</v>
      </c>
      <c r="C70" s="18" t="s">
        <v>190</v>
      </c>
      <c r="D70" s="17" t="s">
        <v>191</v>
      </c>
      <c r="E70" s="19" t="s">
        <v>192</v>
      </c>
      <c r="F70" s="20">
        <v>702</v>
      </c>
      <c r="G70" s="20">
        <v>140</v>
      </c>
      <c r="H70" s="19">
        <v>649</v>
      </c>
      <c r="I70" s="20">
        <v>320</v>
      </c>
      <c r="J70" s="20">
        <v>329</v>
      </c>
      <c r="K70" s="20">
        <v>40</v>
      </c>
      <c r="L70" s="21">
        <f t="shared" ref="L70:L90" si="6">K70/H70</f>
        <v>6.1633281972265024E-2</v>
      </c>
      <c r="M70" s="20">
        <v>335</v>
      </c>
      <c r="N70" s="22">
        <f t="shared" ref="N70:N90" si="7">M70/H70</f>
        <v>0.51617873651771962</v>
      </c>
      <c r="O70" s="20">
        <v>20</v>
      </c>
      <c r="P70" s="20">
        <v>167</v>
      </c>
      <c r="Q70" s="23"/>
      <c r="R70" s="23"/>
      <c r="S70" s="24"/>
      <c r="T70" s="24"/>
      <c r="U70" s="24"/>
      <c r="V70" s="24"/>
      <c r="W70" s="20" t="s">
        <v>51</v>
      </c>
      <c r="X70" s="24" t="s">
        <v>51</v>
      </c>
      <c r="Y70" s="20"/>
      <c r="Z70" s="24"/>
      <c r="AA70" s="24"/>
      <c r="AB70" s="24"/>
      <c r="AC70" s="24" t="s">
        <v>51</v>
      </c>
      <c r="AD70" s="24"/>
      <c r="AE70" s="24" t="s">
        <v>51</v>
      </c>
      <c r="AF70" s="24">
        <v>130.66</v>
      </c>
      <c r="AG70" s="24" t="s">
        <v>54</v>
      </c>
      <c r="AH70" s="3">
        <v>255.0214</v>
      </c>
      <c r="AI70" s="3">
        <v>74.898099999999999</v>
      </c>
      <c r="AJ70" s="25" t="s">
        <v>51</v>
      </c>
    </row>
    <row r="71" spans="1:36" x14ac:dyDescent="0.35">
      <c r="A71" s="17" t="s">
        <v>46</v>
      </c>
      <c r="B71" s="17" t="s">
        <v>47</v>
      </c>
      <c r="C71" s="18" t="s">
        <v>190</v>
      </c>
      <c r="D71" s="17" t="s">
        <v>193</v>
      </c>
      <c r="E71" s="19" t="s">
        <v>194</v>
      </c>
      <c r="F71" s="20">
        <v>223</v>
      </c>
      <c r="G71" s="20">
        <v>87</v>
      </c>
      <c r="H71" s="19">
        <v>378</v>
      </c>
      <c r="I71" s="20">
        <v>198</v>
      </c>
      <c r="J71" s="20">
        <v>180</v>
      </c>
      <c r="K71" s="20">
        <v>25</v>
      </c>
      <c r="L71" s="21">
        <f t="shared" si="6"/>
        <v>6.6137566137566134E-2</v>
      </c>
      <c r="M71" s="20">
        <v>102</v>
      </c>
      <c r="N71" s="22">
        <f t="shared" si="7"/>
        <v>0.26984126984126983</v>
      </c>
      <c r="O71" s="20">
        <v>0</v>
      </c>
      <c r="P71" s="20">
        <v>69</v>
      </c>
      <c r="Q71" s="23"/>
      <c r="R71" s="23"/>
      <c r="S71" s="24"/>
      <c r="T71" s="24"/>
      <c r="U71" s="24"/>
      <c r="V71" s="24"/>
      <c r="W71" s="20" t="s">
        <v>51</v>
      </c>
      <c r="X71" s="24" t="s">
        <v>51</v>
      </c>
      <c r="Y71" s="20"/>
      <c r="Z71" s="24"/>
      <c r="AA71" s="24"/>
      <c r="AB71" s="24"/>
      <c r="AC71" s="24" t="s">
        <v>51</v>
      </c>
      <c r="AD71" s="24"/>
      <c r="AE71" s="24" t="s">
        <v>51</v>
      </c>
      <c r="AF71" s="24"/>
      <c r="AG71" s="24"/>
      <c r="AH71" s="24"/>
      <c r="AI71" s="24"/>
      <c r="AJ71" s="25" t="s">
        <v>51</v>
      </c>
    </row>
    <row r="72" spans="1:36" x14ac:dyDescent="0.35">
      <c r="A72" s="17" t="s">
        <v>46</v>
      </c>
      <c r="B72" s="17" t="s">
        <v>47</v>
      </c>
      <c r="C72" s="18" t="s">
        <v>195</v>
      </c>
      <c r="D72" s="17" t="s">
        <v>196</v>
      </c>
      <c r="E72" s="19" t="s">
        <v>197</v>
      </c>
      <c r="F72" s="20">
        <v>162</v>
      </c>
      <c r="G72" s="20">
        <v>15</v>
      </c>
      <c r="H72" s="19">
        <v>72</v>
      </c>
      <c r="I72" s="20">
        <v>36</v>
      </c>
      <c r="J72" s="20">
        <v>36</v>
      </c>
      <c r="K72" s="20">
        <v>23</v>
      </c>
      <c r="L72" s="21">
        <f t="shared" si="6"/>
        <v>0.31944444444444442</v>
      </c>
      <c r="M72" s="20">
        <v>0</v>
      </c>
      <c r="N72" s="22">
        <f t="shared" si="7"/>
        <v>0</v>
      </c>
      <c r="O72" s="20">
        <v>25</v>
      </c>
      <c r="P72" s="20">
        <v>91</v>
      </c>
      <c r="Q72" s="23"/>
      <c r="R72" s="23"/>
      <c r="S72" s="24"/>
      <c r="T72" s="24"/>
      <c r="U72" s="24"/>
      <c r="V72" s="24"/>
      <c r="W72" s="20" t="s">
        <v>51</v>
      </c>
      <c r="X72" s="24" t="s">
        <v>51</v>
      </c>
      <c r="Y72" s="20"/>
      <c r="Z72" s="24"/>
      <c r="AA72" s="24"/>
      <c r="AB72" s="24"/>
      <c r="AC72" s="24" t="s">
        <v>51</v>
      </c>
      <c r="AD72" s="24"/>
      <c r="AE72" s="24" t="s">
        <v>51</v>
      </c>
      <c r="AF72" s="24">
        <v>35</v>
      </c>
      <c r="AG72" s="24" t="s">
        <v>80</v>
      </c>
      <c r="AH72" s="30">
        <v>24.993983</v>
      </c>
      <c r="AI72" s="30">
        <v>74.924992000000003</v>
      </c>
      <c r="AJ72" s="25" t="s">
        <v>51</v>
      </c>
    </row>
    <row r="73" spans="1:36" x14ac:dyDescent="0.35">
      <c r="A73" s="17" t="s">
        <v>46</v>
      </c>
      <c r="B73" s="17" t="s">
        <v>47</v>
      </c>
      <c r="C73" s="18" t="s">
        <v>195</v>
      </c>
      <c r="D73" s="17" t="s">
        <v>198</v>
      </c>
      <c r="E73" s="19" t="s">
        <v>199</v>
      </c>
      <c r="F73" s="20">
        <v>148</v>
      </c>
      <c r="G73" s="20">
        <v>43</v>
      </c>
      <c r="H73" s="19">
        <v>217</v>
      </c>
      <c r="I73" s="20">
        <v>110</v>
      </c>
      <c r="J73" s="20">
        <v>107</v>
      </c>
      <c r="K73" s="20">
        <v>22</v>
      </c>
      <c r="L73" s="21">
        <f t="shared" si="6"/>
        <v>0.10138248847926268</v>
      </c>
      <c r="M73" s="20">
        <v>22</v>
      </c>
      <c r="N73" s="22">
        <f t="shared" si="7"/>
        <v>0.10138248847926268</v>
      </c>
      <c r="O73" s="20">
        <v>0</v>
      </c>
      <c r="P73" s="20">
        <v>67</v>
      </c>
      <c r="Q73" s="23"/>
      <c r="R73" s="23"/>
      <c r="S73" s="24"/>
      <c r="T73" s="24"/>
      <c r="U73" s="24"/>
      <c r="V73" s="24"/>
      <c r="W73" s="20" t="s">
        <v>51</v>
      </c>
      <c r="X73" s="24" t="s">
        <v>51</v>
      </c>
      <c r="Y73" s="20"/>
      <c r="Z73" s="24"/>
      <c r="AA73" s="24"/>
      <c r="AB73" s="24"/>
      <c r="AC73" s="24" t="s">
        <v>51</v>
      </c>
      <c r="AD73" s="24"/>
      <c r="AE73" s="24" t="s">
        <v>51</v>
      </c>
      <c r="AF73" s="24"/>
      <c r="AG73" s="24"/>
      <c r="AH73" s="24"/>
      <c r="AI73" s="24"/>
      <c r="AJ73" s="25" t="s">
        <v>51</v>
      </c>
    </row>
    <row r="74" spans="1:36" x14ac:dyDescent="0.35">
      <c r="A74" s="17" t="s">
        <v>46</v>
      </c>
      <c r="B74" s="17" t="s">
        <v>47</v>
      </c>
      <c r="C74" s="18" t="s">
        <v>195</v>
      </c>
      <c r="D74" s="17" t="s">
        <v>195</v>
      </c>
      <c r="E74" s="19" t="s">
        <v>200</v>
      </c>
      <c r="F74" s="20">
        <v>1062</v>
      </c>
      <c r="G74" s="20">
        <v>452</v>
      </c>
      <c r="H74" s="19">
        <v>2113</v>
      </c>
      <c r="I74" s="20">
        <v>1059</v>
      </c>
      <c r="J74" s="20">
        <v>1054</v>
      </c>
      <c r="K74" s="20">
        <v>467</v>
      </c>
      <c r="L74" s="21">
        <f t="shared" si="6"/>
        <v>0.22101277804070044</v>
      </c>
      <c r="M74" s="20">
        <v>53</v>
      </c>
      <c r="N74" s="22">
        <f t="shared" si="7"/>
        <v>2.5082820634169428E-2</v>
      </c>
      <c r="O74" s="20">
        <v>200</v>
      </c>
      <c r="P74" s="20">
        <v>292</v>
      </c>
      <c r="Q74" s="23"/>
      <c r="R74" s="23"/>
      <c r="S74" s="24"/>
      <c r="T74" s="24"/>
      <c r="U74" s="24"/>
      <c r="V74" s="24"/>
      <c r="W74" s="20" t="s">
        <v>51</v>
      </c>
      <c r="X74" s="24" t="s">
        <v>51</v>
      </c>
      <c r="Y74" s="20"/>
      <c r="Z74" s="24"/>
      <c r="AA74" s="24"/>
      <c r="AB74" s="24"/>
      <c r="AC74" s="24" t="s">
        <v>51</v>
      </c>
      <c r="AD74" s="24"/>
      <c r="AE74" s="24" t="s">
        <v>51</v>
      </c>
      <c r="AF74" s="24">
        <v>51.6</v>
      </c>
      <c r="AG74" s="24" t="s">
        <v>60</v>
      </c>
      <c r="AH74" s="3">
        <v>25.007660000000001</v>
      </c>
      <c r="AI74" s="3">
        <v>74.948030000000003</v>
      </c>
      <c r="AJ74" s="25" t="s">
        <v>51</v>
      </c>
    </row>
    <row r="75" spans="1:36" x14ac:dyDescent="0.35">
      <c r="A75" s="17" t="s">
        <v>46</v>
      </c>
      <c r="B75" s="17" t="s">
        <v>47</v>
      </c>
      <c r="C75" s="18" t="s">
        <v>190</v>
      </c>
      <c r="D75" s="17" t="s">
        <v>201</v>
      </c>
      <c r="E75" s="19" t="s">
        <v>202</v>
      </c>
      <c r="F75" s="20">
        <v>908</v>
      </c>
      <c r="G75" s="20">
        <v>122</v>
      </c>
      <c r="H75" s="19">
        <v>561</v>
      </c>
      <c r="I75" s="20">
        <v>284</v>
      </c>
      <c r="J75" s="20">
        <v>277</v>
      </c>
      <c r="K75" s="20">
        <v>1</v>
      </c>
      <c r="L75" s="21">
        <f t="shared" si="6"/>
        <v>1.7825311942959001E-3</v>
      </c>
      <c r="M75" s="20">
        <v>180</v>
      </c>
      <c r="N75" s="22">
        <f t="shared" si="7"/>
        <v>0.32085561497326204</v>
      </c>
      <c r="O75" s="20">
        <v>0</v>
      </c>
      <c r="P75" s="20">
        <v>551</v>
      </c>
      <c r="Q75" s="23"/>
      <c r="R75" s="23"/>
      <c r="S75" s="24"/>
      <c r="T75" s="24"/>
      <c r="U75" s="24"/>
      <c r="V75" s="24"/>
      <c r="W75" s="20" t="s">
        <v>51</v>
      </c>
      <c r="X75" s="24" t="s">
        <v>51</v>
      </c>
      <c r="Y75" s="20"/>
      <c r="Z75" s="24"/>
      <c r="AA75" s="24"/>
      <c r="AB75" s="24"/>
      <c r="AC75" s="24" t="s">
        <v>51</v>
      </c>
      <c r="AD75" s="24"/>
      <c r="AE75" s="24" t="s">
        <v>51</v>
      </c>
      <c r="AF75" s="24">
        <v>39</v>
      </c>
      <c r="AG75" s="24" t="s">
        <v>60</v>
      </c>
      <c r="AH75" s="3">
        <v>25.03088</v>
      </c>
      <c r="AI75" s="3">
        <v>74.927191660000005</v>
      </c>
      <c r="AJ75" s="25" t="s">
        <v>51</v>
      </c>
    </row>
    <row r="76" spans="1:36" x14ac:dyDescent="0.35">
      <c r="A76" s="17" t="s">
        <v>46</v>
      </c>
      <c r="B76" s="17" t="s">
        <v>47</v>
      </c>
      <c r="C76" s="18" t="s">
        <v>190</v>
      </c>
      <c r="D76" s="17" t="s">
        <v>203</v>
      </c>
      <c r="E76" s="19" t="s">
        <v>204</v>
      </c>
      <c r="F76" s="20">
        <v>364</v>
      </c>
      <c r="G76" s="20">
        <v>97</v>
      </c>
      <c r="H76" s="19">
        <v>440</v>
      </c>
      <c r="I76" s="20">
        <v>226</v>
      </c>
      <c r="J76" s="20">
        <v>214</v>
      </c>
      <c r="K76" s="20">
        <v>76</v>
      </c>
      <c r="L76" s="21">
        <f t="shared" si="6"/>
        <v>0.17272727272727273</v>
      </c>
      <c r="M76" s="20">
        <v>41</v>
      </c>
      <c r="N76" s="22">
        <f t="shared" si="7"/>
        <v>9.3181818181818185E-2</v>
      </c>
      <c r="O76" s="20">
        <v>0</v>
      </c>
      <c r="P76" s="20">
        <v>177</v>
      </c>
      <c r="Q76" s="23"/>
      <c r="R76" s="23"/>
      <c r="S76" s="24"/>
      <c r="T76" s="24"/>
      <c r="U76" s="24"/>
      <c r="V76" s="24"/>
      <c r="W76" s="20" t="s">
        <v>51</v>
      </c>
      <c r="X76" s="24" t="s">
        <v>51</v>
      </c>
      <c r="Y76" s="20"/>
      <c r="Z76" s="24"/>
      <c r="AA76" s="24"/>
      <c r="AB76" s="24"/>
      <c r="AC76" s="24" t="s">
        <v>51</v>
      </c>
      <c r="AD76" s="24"/>
      <c r="AE76" s="24" t="s">
        <v>51</v>
      </c>
      <c r="AF76" s="24">
        <v>30</v>
      </c>
      <c r="AG76" s="24" t="s">
        <v>80</v>
      </c>
      <c r="AH76" s="30">
        <v>25.044048</v>
      </c>
      <c r="AI76" s="30">
        <v>74.924861000000007</v>
      </c>
      <c r="AJ76" s="25" t="s">
        <v>51</v>
      </c>
    </row>
    <row r="77" spans="1:36" x14ac:dyDescent="0.35">
      <c r="A77" s="17" t="s">
        <v>46</v>
      </c>
      <c r="B77" s="17" t="s">
        <v>47</v>
      </c>
      <c r="C77" s="18" t="s">
        <v>190</v>
      </c>
      <c r="D77" s="17" t="s">
        <v>205</v>
      </c>
      <c r="E77" s="19" t="s">
        <v>206</v>
      </c>
      <c r="F77" s="20">
        <v>166</v>
      </c>
      <c r="G77" s="20">
        <v>4</v>
      </c>
      <c r="H77" s="19">
        <v>15</v>
      </c>
      <c r="I77" s="20">
        <v>10</v>
      </c>
      <c r="J77" s="20">
        <v>5</v>
      </c>
      <c r="K77" s="20">
        <v>0</v>
      </c>
      <c r="L77" s="21">
        <f t="shared" si="6"/>
        <v>0</v>
      </c>
      <c r="M77" s="20">
        <v>0</v>
      </c>
      <c r="N77" s="22">
        <f t="shared" si="7"/>
        <v>0</v>
      </c>
      <c r="O77" s="20">
        <v>28</v>
      </c>
      <c r="P77" s="20">
        <v>0</v>
      </c>
      <c r="Q77" s="23"/>
      <c r="R77" s="23"/>
      <c r="S77" s="24"/>
      <c r="T77" s="24"/>
      <c r="U77" s="24"/>
      <c r="V77" s="24"/>
      <c r="W77" s="20" t="s">
        <v>51</v>
      </c>
      <c r="X77" s="24"/>
      <c r="Y77" s="20"/>
      <c r="Z77" s="24"/>
      <c r="AA77" s="24"/>
      <c r="AB77" s="24"/>
      <c r="AC77" s="24" t="s">
        <v>51</v>
      </c>
      <c r="AD77" s="24"/>
      <c r="AE77" s="24" t="s">
        <v>51</v>
      </c>
      <c r="AF77" s="24"/>
      <c r="AG77" s="24"/>
      <c r="AH77" s="24"/>
      <c r="AI77" s="24"/>
      <c r="AJ77" s="24"/>
    </row>
    <row r="78" spans="1:36" x14ac:dyDescent="0.35">
      <c r="A78" s="17" t="s">
        <v>46</v>
      </c>
      <c r="B78" s="17" t="s">
        <v>47</v>
      </c>
      <c r="C78" s="18" t="s">
        <v>190</v>
      </c>
      <c r="D78" s="17" t="s">
        <v>190</v>
      </c>
      <c r="E78" s="19" t="s">
        <v>207</v>
      </c>
      <c r="F78" s="20">
        <v>331</v>
      </c>
      <c r="G78" s="20">
        <v>84</v>
      </c>
      <c r="H78" s="19">
        <v>431</v>
      </c>
      <c r="I78" s="20">
        <v>212</v>
      </c>
      <c r="J78" s="20">
        <v>219</v>
      </c>
      <c r="K78" s="20">
        <v>12</v>
      </c>
      <c r="L78" s="21">
        <f t="shared" si="6"/>
        <v>2.7842227378190254E-2</v>
      </c>
      <c r="M78" s="20">
        <v>30</v>
      </c>
      <c r="N78" s="22">
        <f t="shared" si="7"/>
        <v>6.9605568445475635E-2</v>
      </c>
      <c r="O78" s="20">
        <v>57</v>
      </c>
      <c r="P78" s="20">
        <v>0</v>
      </c>
      <c r="Q78" s="23"/>
      <c r="R78" s="23"/>
      <c r="S78" s="24"/>
      <c r="T78" s="24"/>
      <c r="U78" s="24"/>
      <c r="V78" s="24"/>
      <c r="W78" s="20" t="s">
        <v>51</v>
      </c>
      <c r="X78" s="24" t="s">
        <v>51</v>
      </c>
      <c r="Y78" s="20"/>
      <c r="Z78" s="24"/>
      <c r="AA78" s="24"/>
      <c r="AB78" s="24"/>
      <c r="AC78" s="24" t="s">
        <v>51</v>
      </c>
      <c r="AD78" s="24"/>
      <c r="AE78" s="24" t="s">
        <v>51</v>
      </c>
      <c r="AF78" s="24">
        <v>114</v>
      </c>
      <c r="AG78" s="24" t="s">
        <v>60</v>
      </c>
      <c r="AH78" s="3">
        <v>25.025086000000002</v>
      </c>
      <c r="AI78" s="3">
        <v>74.943656000000004</v>
      </c>
      <c r="AJ78" s="25" t="s">
        <v>51</v>
      </c>
    </row>
    <row r="79" spans="1:36" x14ac:dyDescent="0.35">
      <c r="A79" s="17" t="s">
        <v>46</v>
      </c>
      <c r="B79" s="17" t="s">
        <v>47</v>
      </c>
      <c r="C79" s="18" t="s">
        <v>190</v>
      </c>
      <c r="D79" s="17" t="s">
        <v>208</v>
      </c>
      <c r="E79" s="19" t="s">
        <v>209</v>
      </c>
      <c r="F79" s="20">
        <v>312</v>
      </c>
      <c r="G79" s="20">
        <v>123</v>
      </c>
      <c r="H79" s="19">
        <v>555</v>
      </c>
      <c r="I79" s="20">
        <v>272</v>
      </c>
      <c r="J79" s="20">
        <v>283</v>
      </c>
      <c r="K79" s="20">
        <v>12</v>
      </c>
      <c r="L79" s="21">
        <f t="shared" si="6"/>
        <v>2.1621621621621623E-2</v>
      </c>
      <c r="M79" s="20">
        <v>84</v>
      </c>
      <c r="N79" s="22">
        <f t="shared" si="7"/>
        <v>0.15135135135135136</v>
      </c>
      <c r="O79" s="20">
        <v>0</v>
      </c>
      <c r="P79" s="20">
        <v>0</v>
      </c>
      <c r="Q79" s="23"/>
      <c r="R79" s="23"/>
      <c r="S79" s="24"/>
      <c r="T79" s="24"/>
      <c r="U79" s="24"/>
      <c r="V79" s="24"/>
      <c r="W79" s="20" t="s">
        <v>51</v>
      </c>
      <c r="X79" s="24" t="s">
        <v>51</v>
      </c>
      <c r="Y79" s="20"/>
      <c r="Z79" s="24"/>
      <c r="AA79" s="24"/>
      <c r="AB79" s="24"/>
      <c r="AC79" s="24" t="s">
        <v>51</v>
      </c>
      <c r="AD79" s="24"/>
      <c r="AE79" s="24" t="s">
        <v>51</v>
      </c>
      <c r="AF79" s="24">
        <v>146</v>
      </c>
      <c r="AG79" s="24" t="s">
        <v>60</v>
      </c>
      <c r="AH79" s="3">
        <v>25.025945</v>
      </c>
      <c r="AI79" s="3">
        <v>74.951868300000001</v>
      </c>
      <c r="AJ79" s="25" t="s">
        <v>51</v>
      </c>
    </row>
    <row r="80" spans="1:36" x14ac:dyDescent="0.35">
      <c r="A80" s="17" t="s">
        <v>46</v>
      </c>
      <c r="B80" s="17" t="s">
        <v>47</v>
      </c>
      <c r="C80" s="18" t="s">
        <v>210</v>
      </c>
      <c r="D80" s="17" t="s">
        <v>211</v>
      </c>
      <c r="E80" s="19" t="s">
        <v>212</v>
      </c>
      <c r="F80" s="20">
        <v>590.72</v>
      </c>
      <c r="G80" s="20">
        <v>199</v>
      </c>
      <c r="H80" s="19">
        <v>1004</v>
      </c>
      <c r="I80" s="20">
        <v>497</v>
      </c>
      <c r="J80" s="20">
        <v>507</v>
      </c>
      <c r="K80" s="20">
        <v>169</v>
      </c>
      <c r="L80" s="21">
        <f t="shared" si="6"/>
        <v>0.16832669322709162</v>
      </c>
      <c r="M80" s="20">
        <v>36</v>
      </c>
      <c r="N80" s="22">
        <f t="shared" si="7"/>
        <v>3.5856573705179286E-2</v>
      </c>
      <c r="O80" s="20">
        <v>277.26</v>
      </c>
      <c r="P80" s="20">
        <v>0</v>
      </c>
      <c r="Q80" s="23"/>
      <c r="R80" s="23"/>
      <c r="S80" s="24"/>
      <c r="T80" s="24"/>
      <c r="U80" s="24"/>
      <c r="V80" s="24"/>
      <c r="W80" s="20" t="s">
        <v>51</v>
      </c>
      <c r="X80" s="24" t="s">
        <v>51</v>
      </c>
      <c r="Y80" s="20"/>
      <c r="Z80" s="24"/>
      <c r="AA80" s="24"/>
      <c r="AB80" s="24"/>
      <c r="AC80" s="24" t="s">
        <v>51</v>
      </c>
      <c r="AD80" s="24"/>
      <c r="AE80" s="24" t="s">
        <v>51</v>
      </c>
      <c r="AF80" s="31">
        <v>128.31</v>
      </c>
      <c r="AG80" s="24" t="s">
        <v>60</v>
      </c>
      <c r="AH80" s="3">
        <v>25.04288</v>
      </c>
      <c r="AI80" s="3">
        <v>74.966311000000005</v>
      </c>
      <c r="AJ80" s="25" t="s">
        <v>51</v>
      </c>
    </row>
    <row r="81" spans="1:36" x14ac:dyDescent="0.35">
      <c r="A81" s="17" t="s">
        <v>46</v>
      </c>
      <c r="B81" s="17" t="s">
        <v>47</v>
      </c>
      <c r="C81" s="18" t="s">
        <v>183</v>
      </c>
      <c r="D81" s="17" t="s">
        <v>213</v>
      </c>
      <c r="E81" s="19" t="s">
        <v>214</v>
      </c>
      <c r="F81" s="20">
        <v>143</v>
      </c>
      <c r="G81" s="20">
        <v>21</v>
      </c>
      <c r="H81" s="19">
        <v>94</v>
      </c>
      <c r="I81" s="20">
        <v>47</v>
      </c>
      <c r="J81" s="20">
        <v>47</v>
      </c>
      <c r="K81" s="20">
        <v>4</v>
      </c>
      <c r="L81" s="21">
        <f t="shared" si="6"/>
        <v>4.2553191489361701E-2</v>
      </c>
      <c r="M81" s="20">
        <v>0</v>
      </c>
      <c r="N81" s="22">
        <f t="shared" si="7"/>
        <v>0</v>
      </c>
      <c r="O81" s="20">
        <v>43</v>
      </c>
      <c r="P81" s="20">
        <v>0</v>
      </c>
      <c r="Q81" s="23"/>
      <c r="R81" s="23"/>
      <c r="S81" s="24"/>
      <c r="T81" s="24"/>
      <c r="U81" s="24"/>
      <c r="V81" s="24"/>
      <c r="W81" s="20"/>
      <c r="X81" s="24" t="s">
        <v>51</v>
      </c>
      <c r="Y81" s="20"/>
      <c r="Z81" s="24"/>
      <c r="AA81" s="24"/>
      <c r="AB81" s="24"/>
      <c r="AC81" s="24" t="s">
        <v>51</v>
      </c>
      <c r="AD81" s="24"/>
      <c r="AE81" s="24" t="s">
        <v>51</v>
      </c>
      <c r="AF81" s="24">
        <v>35</v>
      </c>
      <c r="AG81" s="24" t="s">
        <v>60</v>
      </c>
      <c r="AH81" s="3">
        <v>25.051634199999999</v>
      </c>
      <c r="AI81" s="3">
        <v>74.963948099999996</v>
      </c>
      <c r="AJ81" s="25" t="s">
        <v>51</v>
      </c>
    </row>
    <row r="82" spans="1:36" x14ac:dyDescent="0.35">
      <c r="A82" s="17" t="s">
        <v>46</v>
      </c>
      <c r="B82" s="17" t="s">
        <v>47</v>
      </c>
      <c r="C82" s="18" t="s">
        <v>183</v>
      </c>
      <c r="D82" s="17" t="s">
        <v>215</v>
      </c>
      <c r="E82" s="19" t="s">
        <v>216</v>
      </c>
      <c r="F82" s="20">
        <v>169.1</v>
      </c>
      <c r="G82" s="20">
        <v>72</v>
      </c>
      <c r="H82" s="19">
        <v>297</v>
      </c>
      <c r="I82" s="20">
        <v>146</v>
      </c>
      <c r="J82" s="20">
        <v>151</v>
      </c>
      <c r="K82" s="20">
        <v>0</v>
      </c>
      <c r="L82" s="21">
        <f t="shared" si="6"/>
        <v>0</v>
      </c>
      <c r="M82" s="20">
        <v>0</v>
      </c>
      <c r="N82" s="22">
        <f t="shared" si="7"/>
        <v>0</v>
      </c>
      <c r="O82" s="20">
        <v>77</v>
      </c>
      <c r="P82" s="20">
        <v>0</v>
      </c>
      <c r="Q82" s="23"/>
      <c r="R82" s="23"/>
      <c r="S82" s="24"/>
      <c r="T82" s="24"/>
      <c r="U82" s="24"/>
      <c r="V82" s="24"/>
      <c r="W82" s="20"/>
      <c r="X82" s="24" t="s">
        <v>51</v>
      </c>
      <c r="Y82" s="20"/>
      <c r="Z82" s="24"/>
      <c r="AA82" s="24"/>
      <c r="AB82" s="24"/>
      <c r="AC82" s="24" t="s">
        <v>51</v>
      </c>
      <c r="AD82" s="24"/>
      <c r="AE82" s="24" t="s">
        <v>51</v>
      </c>
      <c r="AF82" s="24">
        <v>60</v>
      </c>
      <c r="AG82" s="24" t="s">
        <v>60</v>
      </c>
      <c r="AH82" s="30">
        <v>25.062460000000002</v>
      </c>
      <c r="AI82" s="30">
        <v>74.960179999999994</v>
      </c>
      <c r="AJ82" s="25" t="s">
        <v>51</v>
      </c>
    </row>
    <row r="83" spans="1:36" x14ac:dyDescent="0.35">
      <c r="A83" s="17" t="s">
        <v>46</v>
      </c>
      <c r="B83" s="17" t="s">
        <v>47</v>
      </c>
      <c r="C83" s="18" t="s">
        <v>183</v>
      </c>
      <c r="D83" s="17" t="s">
        <v>183</v>
      </c>
      <c r="E83" s="19" t="s">
        <v>217</v>
      </c>
      <c r="F83" s="20">
        <v>236</v>
      </c>
      <c r="G83" s="20">
        <v>121</v>
      </c>
      <c r="H83" s="19">
        <v>552</v>
      </c>
      <c r="I83" s="20">
        <v>279</v>
      </c>
      <c r="J83" s="20">
        <v>273</v>
      </c>
      <c r="K83" s="20">
        <v>21</v>
      </c>
      <c r="L83" s="21">
        <f t="shared" si="6"/>
        <v>3.8043478260869568E-2</v>
      </c>
      <c r="M83" s="20">
        <v>0</v>
      </c>
      <c r="N83" s="22">
        <f t="shared" si="7"/>
        <v>0</v>
      </c>
      <c r="O83" s="20">
        <v>29</v>
      </c>
      <c r="P83" s="20">
        <v>0</v>
      </c>
      <c r="Q83" s="23"/>
      <c r="R83" s="23"/>
      <c r="S83" s="24"/>
      <c r="T83" s="24"/>
      <c r="U83" s="24"/>
      <c r="V83" s="24"/>
      <c r="W83" s="20"/>
      <c r="X83" s="24" t="s">
        <v>51</v>
      </c>
      <c r="Y83" s="20"/>
      <c r="Z83" s="24"/>
      <c r="AA83" s="24"/>
      <c r="AB83" s="24"/>
      <c r="AC83" s="24" t="s">
        <v>51</v>
      </c>
      <c r="AD83" s="24"/>
      <c r="AE83" s="24" t="s">
        <v>51</v>
      </c>
      <c r="AF83" s="24">
        <v>46.35</v>
      </c>
      <c r="AG83" s="24" t="s">
        <v>54</v>
      </c>
      <c r="AH83" s="29">
        <v>25.070411100000001</v>
      </c>
      <c r="AI83" s="29">
        <v>74.956186299999999</v>
      </c>
      <c r="AJ83" s="25" t="s">
        <v>51</v>
      </c>
    </row>
    <row r="84" spans="1:36" x14ac:dyDescent="0.35">
      <c r="A84" s="17" t="s">
        <v>46</v>
      </c>
      <c r="B84" s="17" t="s">
        <v>47</v>
      </c>
      <c r="C84" s="18" t="s">
        <v>171</v>
      </c>
      <c r="D84" s="17" t="s">
        <v>123</v>
      </c>
      <c r="E84" s="19" t="s">
        <v>218</v>
      </c>
      <c r="F84" s="20">
        <v>219.98</v>
      </c>
      <c r="G84" s="20">
        <v>56</v>
      </c>
      <c r="H84" s="19">
        <v>210</v>
      </c>
      <c r="I84" s="20">
        <v>105</v>
      </c>
      <c r="J84" s="20">
        <v>105</v>
      </c>
      <c r="K84" s="20">
        <v>0</v>
      </c>
      <c r="L84" s="21">
        <f t="shared" si="6"/>
        <v>0</v>
      </c>
      <c r="M84" s="20">
        <v>0</v>
      </c>
      <c r="N84" s="22">
        <f t="shared" si="7"/>
        <v>0</v>
      </c>
      <c r="O84" s="20">
        <v>26.63</v>
      </c>
      <c r="P84" s="20">
        <v>16.2</v>
      </c>
      <c r="Q84" s="23"/>
      <c r="R84" s="23"/>
      <c r="S84" s="24"/>
      <c r="T84" s="24"/>
      <c r="U84" s="24"/>
      <c r="V84" s="24"/>
      <c r="W84" s="20"/>
      <c r="X84" s="24" t="s">
        <v>51</v>
      </c>
      <c r="Y84" s="20"/>
      <c r="Z84" s="24"/>
      <c r="AA84" s="24"/>
      <c r="AB84" s="24"/>
      <c r="AC84" s="24" t="s">
        <v>51</v>
      </c>
      <c r="AD84" s="24"/>
      <c r="AE84" s="24" t="s">
        <v>51</v>
      </c>
      <c r="AF84" s="24"/>
      <c r="AG84" s="24"/>
      <c r="AH84" s="24"/>
      <c r="AI84" s="24"/>
      <c r="AJ84" s="25" t="s">
        <v>51</v>
      </c>
    </row>
    <row r="85" spans="1:36" x14ac:dyDescent="0.35">
      <c r="A85" s="17" t="s">
        <v>46</v>
      </c>
      <c r="B85" s="17" t="s">
        <v>47</v>
      </c>
      <c r="C85" s="18" t="s">
        <v>183</v>
      </c>
      <c r="D85" s="17" t="s">
        <v>219</v>
      </c>
      <c r="E85" s="19" t="s">
        <v>220</v>
      </c>
      <c r="F85" s="20">
        <v>303</v>
      </c>
      <c r="G85" s="20">
        <v>136</v>
      </c>
      <c r="H85" s="19">
        <v>596</v>
      </c>
      <c r="I85" s="20">
        <v>311</v>
      </c>
      <c r="J85" s="20">
        <v>285</v>
      </c>
      <c r="K85" s="20">
        <v>179</v>
      </c>
      <c r="L85" s="21">
        <f t="shared" si="6"/>
        <v>0.30033557046979864</v>
      </c>
      <c r="M85" s="20">
        <v>65</v>
      </c>
      <c r="N85" s="22">
        <f t="shared" si="7"/>
        <v>0.10906040268456375</v>
      </c>
      <c r="O85" s="20">
        <v>31</v>
      </c>
      <c r="P85" s="20">
        <v>124</v>
      </c>
      <c r="Q85" s="23"/>
      <c r="R85" s="23"/>
      <c r="S85" s="24"/>
      <c r="T85" s="24"/>
      <c r="U85" s="24"/>
      <c r="V85" s="24"/>
      <c r="W85" s="20"/>
      <c r="X85" s="24" t="s">
        <v>51</v>
      </c>
      <c r="Y85" s="20"/>
      <c r="Z85" s="24"/>
      <c r="AA85" s="24"/>
      <c r="AB85" s="24"/>
      <c r="AC85" s="24" t="s">
        <v>51</v>
      </c>
      <c r="AD85" s="24"/>
      <c r="AE85" s="24" t="s">
        <v>51</v>
      </c>
      <c r="AF85" s="24"/>
      <c r="AG85" s="24"/>
      <c r="AH85" s="24"/>
      <c r="AI85" s="24"/>
      <c r="AJ85" s="25" t="s">
        <v>51</v>
      </c>
    </row>
    <row r="86" spans="1:36" x14ac:dyDescent="0.35">
      <c r="A86" s="17" t="s">
        <v>46</v>
      </c>
      <c r="B86" s="17" t="s">
        <v>47</v>
      </c>
      <c r="C86" s="18" t="s">
        <v>171</v>
      </c>
      <c r="D86" s="17" t="s">
        <v>221</v>
      </c>
      <c r="E86" s="19" t="s">
        <v>222</v>
      </c>
      <c r="F86" s="20">
        <v>513.69000000000005</v>
      </c>
      <c r="G86" s="20">
        <v>57</v>
      </c>
      <c r="H86" s="19">
        <v>200</v>
      </c>
      <c r="I86" s="20">
        <v>101</v>
      </c>
      <c r="J86" s="20">
        <v>99</v>
      </c>
      <c r="K86" s="20">
        <v>3</v>
      </c>
      <c r="L86" s="21">
        <f t="shared" si="6"/>
        <v>1.4999999999999999E-2</v>
      </c>
      <c r="M86" s="20">
        <v>0</v>
      </c>
      <c r="N86" s="22">
        <f t="shared" si="7"/>
        <v>0</v>
      </c>
      <c r="O86" s="20">
        <v>24.31</v>
      </c>
      <c r="P86" s="20">
        <v>418.83</v>
      </c>
      <c r="Q86" s="23"/>
      <c r="R86" s="23"/>
      <c r="S86" s="24"/>
      <c r="T86" s="24"/>
      <c r="U86" s="24"/>
      <c r="V86" s="24"/>
      <c r="W86" s="20"/>
      <c r="X86" s="24" t="s">
        <v>51</v>
      </c>
      <c r="Y86" s="20"/>
      <c r="Z86" s="24"/>
      <c r="AA86" s="24"/>
      <c r="AB86" s="24"/>
      <c r="AC86" s="24" t="s">
        <v>51</v>
      </c>
      <c r="AD86" s="24"/>
      <c r="AE86" s="24" t="s">
        <v>51</v>
      </c>
      <c r="AF86" s="24">
        <v>5.67</v>
      </c>
      <c r="AG86" s="24" t="s">
        <v>54</v>
      </c>
      <c r="AH86" s="29">
        <v>25.091948299999999</v>
      </c>
      <c r="AI86" s="29">
        <v>74.9677358</v>
      </c>
      <c r="AJ86" s="25" t="s">
        <v>51</v>
      </c>
    </row>
    <row r="87" spans="1:36" x14ac:dyDescent="0.35">
      <c r="A87" s="17" t="s">
        <v>46</v>
      </c>
      <c r="B87" s="17" t="s">
        <v>47</v>
      </c>
      <c r="C87" s="18" t="s">
        <v>183</v>
      </c>
      <c r="D87" s="17" t="s">
        <v>81</v>
      </c>
      <c r="E87" s="19" t="s">
        <v>223</v>
      </c>
      <c r="F87" s="20">
        <v>353</v>
      </c>
      <c r="G87" s="20">
        <v>123</v>
      </c>
      <c r="H87" s="19">
        <v>577</v>
      </c>
      <c r="I87" s="20">
        <v>297</v>
      </c>
      <c r="J87" s="20">
        <v>280</v>
      </c>
      <c r="K87" s="20">
        <v>70</v>
      </c>
      <c r="L87" s="21">
        <f t="shared" si="6"/>
        <v>0.12131715771230503</v>
      </c>
      <c r="M87" s="20">
        <v>17</v>
      </c>
      <c r="N87" s="22">
        <f t="shared" si="7"/>
        <v>2.9462738301559793E-2</v>
      </c>
      <c r="O87" s="20">
        <v>31</v>
      </c>
      <c r="P87" s="20">
        <v>198</v>
      </c>
      <c r="Q87" s="23"/>
      <c r="R87" s="23"/>
      <c r="S87" s="24"/>
      <c r="T87" s="24"/>
      <c r="U87" s="24"/>
      <c r="V87" s="24"/>
      <c r="W87" s="20"/>
      <c r="X87" s="24" t="s">
        <v>51</v>
      </c>
      <c r="Y87" s="20"/>
      <c r="Z87" s="24"/>
      <c r="AA87" s="24"/>
      <c r="AB87" s="24"/>
      <c r="AC87" s="24" t="s">
        <v>51</v>
      </c>
      <c r="AD87" s="24"/>
      <c r="AE87" s="24" t="s">
        <v>51</v>
      </c>
      <c r="AF87" s="24"/>
      <c r="AG87" s="24"/>
      <c r="AH87" s="24"/>
      <c r="AI87" s="24"/>
      <c r="AJ87" s="25" t="s">
        <v>51</v>
      </c>
    </row>
    <row r="88" spans="1:36" x14ac:dyDescent="0.35">
      <c r="A88" s="17" t="s">
        <v>46</v>
      </c>
      <c r="B88" s="17" t="s">
        <v>47</v>
      </c>
      <c r="C88" s="18" t="s">
        <v>224</v>
      </c>
      <c r="D88" s="17" t="s">
        <v>225</v>
      </c>
      <c r="E88" s="19" t="s">
        <v>226</v>
      </c>
      <c r="F88" s="20">
        <v>228</v>
      </c>
      <c r="G88" s="20">
        <v>74</v>
      </c>
      <c r="H88" s="19">
        <v>373</v>
      </c>
      <c r="I88" s="20">
        <v>194</v>
      </c>
      <c r="J88" s="20">
        <v>179</v>
      </c>
      <c r="K88" s="20">
        <v>67</v>
      </c>
      <c r="L88" s="21">
        <f t="shared" si="6"/>
        <v>0.17962466487935658</v>
      </c>
      <c r="M88" s="20">
        <v>0</v>
      </c>
      <c r="N88" s="22">
        <f t="shared" si="7"/>
        <v>0</v>
      </c>
      <c r="O88" s="20">
        <v>66</v>
      </c>
      <c r="P88" s="20">
        <v>4</v>
      </c>
      <c r="Q88" s="23"/>
      <c r="R88" s="23"/>
      <c r="S88" s="24"/>
      <c r="T88" s="24"/>
      <c r="U88" s="24"/>
      <c r="V88" s="24"/>
      <c r="W88" s="20"/>
      <c r="X88" s="24" t="s">
        <v>51</v>
      </c>
      <c r="Y88" s="20"/>
      <c r="Z88" s="24"/>
      <c r="AA88" s="24"/>
      <c r="AB88" s="24"/>
      <c r="AC88" s="24" t="s">
        <v>51</v>
      </c>
      <c r="AD88" s="24"/>
      <c r="AE88" s="24" t="s">
        <v>51</v>
      </c>
      <c r="AF88" s="24"/>
      <c r="AG88" s="24"/>
      <c r="AH88" s="24"/>
      <c r="AI88" s="24"/>
      <c r="AJ88" s="25" t="s">
        <v>51</v>
      </c>
    </row>
    <row r="89" spans="1:36" x14ac:dyDescent="0.35">
      <c r="A89" s="17" t="s">
        <v>46</v>
      </c>
      <c r="B89" s="17" t="s">
        <v>47</v>
      </c>
      <c r="C89" s="18" t="s">
        <v>224</v>
      </c>
      <c r="D89" s="17" t="s">
        <v>227</v>
      </c>
      <c r="E89" s="19" t="s">
        <v>228</v>
      </c>
      <c r="F89" s="20">
        <v>128</v>
      </c>
      <c r="G89" s="20">
        <v>37</v>
      </c>
      <c r="H89" s="19">
        <v>150</v>
      </c>
      <c r="I89" s="20">
        <v>79</v>
      </c>
      <c r="J89" s="20">
        <v>71</v>
      </c>
      <c r="K89" s="20">
        <v>0</v>
      </c>
      <c r="L89" s="21">
        <f t="shared" si="6"/>
        <v>0</v>
      </c>
      <c r="M89" s="20">
        <v>0</v>
      </c>
      <c r="N89" s="22">
        <f t="shared" si="7"/>
        <v>0</v>
      </c>
      <c r="O89" s="20">
        <v>47</v>
      </c>
      <c r="P89" s="20">
        <v>0</v>
      </c>
      <c r="Q89" s="23"/>
      <c r="R89" s="23"/>
      <c r="S89" s="24"/>
      <c r="T89" s="24"/>
      <c r="U89" s="24"/>
      <c r="V89" s="24"/>
      <c r="W89" s="20"/>
      <c r="X89" s="24" t="s">
        <v>51</v>
      </c>
      <c r="Y89" s="20"/>
      <c r="Z89" s="24"/>
      <c r="AA89" s="24"/>
      <c r="AB89" s="24"/>
      <c r="AC89" s="24" t="s">
        <v>51</v>
      </c>
      <c r="AD89" s="24"/>
      <c r="AE89" s="24" t="s">
        <v>51</v>
      </c>
      <c r="AF89" s="24"/>
      <c r="AG89" s="24"/>
      <c r="AH89" s="24"/>
      <c r="AI89" s="24"/>
      <c r="AJ89" s="25" t="s">
        <v>51</v>
      </c>
    </row>
    <row r="90" spans="1:36" x14ac:dyDescent="0.35">
      <c r="A90" s="17" t="s">
        <v>46</v>
      </c>
      <c r="B90" s="17" t="s">
        <v>47</v>
      </c>
      <c r="C90" s="18" t="s">
        <v>229</v>
      </c>
      <c r="D90" s="17" t="s">
        <v>230</v>
      </c>
      <c r="E90" s="19" t="s">
        <v>231</v>
      </c>
      <c r="F90" s="20">
        <v>99</v>
      </c>
      <c r="G90" s="20">
        <v>106</v>
      </c>
      <c r="H90" s="19">
        <v>481</v>
      </c>
      <c r="I90" s="20">
        <v>250</v>
      </c>
      <c r="J90" s="20">
        <v>231</v>
      </c>
      <c r="K90" s="20">
        <v>100</v>
      </c>
      <c r="L90" s="21">
        <f t="shared" si="6"/>
        <v>0.20790020790020791</v>
      </c>
      <c r="M90" s="20">
        <v>124</v>
      </c>
      <c r="N90" s="22">
        <f t="shared" si="7"/>
        <v>0.25779625779625781</v>
      </c>
      <c r="O90" s="20">
        <v>37</v>
      </c>
      <c r="P90" s="20">
        <v>0</v>
      </c>
      <c r="Q90" s="23"/>
      <c r="R90" s="23"/>
      <c r="S90" s="24"/>
      <c r="T90" s="24"/>
      <c r="U90" s="24"/>
      <c r="V90" s="24"/>
      <c r="W90" s="20"/>
      <c r="X90" s="24" t="s">
        <v>51</v>
      </c>
      <c r="Y90" s="20"/>
      <c r="Z90" s="24"/>
      <c r="AA90" s="24"/>
      <c r="AB90" s="24"/>
      <c r="AC90" s="24" t="s">
        <v>51</v>
      </c>
      <c r="AD90" s="24"/>
      <c r="AE90" s="24" t="s">
        <v>51</v>
      </c>
      <c r="AF90" s="24">
        <v>49.93</v>
      </c>
      <c r="AG90" s="24" t="s">
        <v>60</v>
      </c>
      <c r="AH90" s="29">
        <v>25.091081599999999</v>
      </c>
      <c r="AI90" s="29">
        <v>75.003727400000002</v>
      </c>
      <c r="AJ90" s="25" t="s">
        <v>51</v>
      </c>
    </row>
    <row r="91" spans="1:36" x14ac:dyDescent="0.35">
      <c r="A91" s="17" t="s">
        <v>46</v>
      </c>
      <c r="B91" s="17" t="s">
        <v>47</v>
      </c>
      <c r="C91" s="18" t="s">
        <v>229</v>
      </c>
      <c r="D91" s="17" t="s">
        <v>232</v>
      </c>
      <c r="E91" s="19" t="s">
        <v>233</v>
      </c>
      <c r="F91" s="28">
        <v>174</v>
      </c>
      <c r="G91" s="28"/>
      <c r="H91" s="19">
        <v>0</v>
      </c>
      <c r="I91" s="28"/>
      <c r="J91" s="28"/>
      <c r="K91" s="28"/>
      <c r="L91" s="21"/>
      <c r="M91" s="28"/>
      <c r="N91" s="22"/>
      <c r="O91" s="28">
        <v>76</v>
      </c>
      <c r="P91" s="28">
        <v>0</v>
      </c>
      <c r="Q91" s="23"/>
      <c r="R91" s="23"/>
      <c r="S91" s="24"/>
      <c r="T91" s="24"/>
      <c r="U91" s="24"/>
      <c r="V91" s="24"/>
      <c r="W91" s="28"/>
      <c r="X91" s="24"/>
      <c r="Y91" s="28"/>
      <c r="Z91" s="24"/>
      <c r="AA91" s="24"/>
      <c r="AB91" s="24"/>
      <c r="AC91" s="24" t="s">
        <v>51</v>
      </c>
      <c r="AD91" s="24"/>
      <c r="AE91" s="24" t="s">
        <v>51</v>
      </c>
      <c r="AF91" s="24">
        <v>67</v>
      </c>
      <c r="AG91" s="24" t="s">
        <v>60</v>
      </c>
      <c r="AH91" s="3">
        <v>25.085698529999998</v>
      </c>
      <c r="AI91" s="3">
        <v>75.001592830000007</v>
      </c>
      <c r="AJ91" s="3" t="s">
        <v>51</v>
      </c>
    </row>
    <row r="92" spans="1:36" x14ac:dyDescent="0.35">
      <c r="A92" s="17" t="s">
        <v>46</v>
      </c>
      <c r="B92" s="17" t="s">
        <v>47</v>
      </c>
      <c r="C92" s="18" t="s">
        <v>224</v>
      </c>
      <c r="D92" s="17" t="s">
        <v>234</v>
      </c>
      <c r="E92" s="19" t="s">
        <v>235</v>
      </c>
      <c r="F92" s="20">
        <v>141</v>
      </c>
      <c r="G92" s="20">
        <v>69</v>
      </c>
      <c r="H92" s="19">
        <v>263</v>
      </c>
      <c r="I92" s="20">
        <v>140</v>
      </c>
      <c r="J92" s="20">
        <v>123</v>
      </c>
      <c r="K92" s="20">
        <v>22</v>
      </c>
      <c r="L92" s="21">
        <f>K92/H92</f>
        <v>8.3650190114068435E-2</v>
      </c>
      <c r="M92" s="20">
        <v>0</v>
      </c>
      <c r="N92" s="22">
        <f>M92/H92</f>
        <v>0</v>
      </c>
      <c r="O92" s="20">
        <v>32</v>
      </c>
      <c r="P92" s="20">
        <v>0</v>
      </c>
      <c r="Q92" s="23"/>
      <c r="R92" s="23"/>
      <c r="S92" s="24"/>
      <c r="T92" s="24"/>
      <c r="U92" s="24"/>
      <c r="V92" s="24"/>
      <c r="W92" s="20"/>
      <c r="X92" s="24" t="s">
        <v>51</v>
      </c>
      <c r="Y92" s="20"/>
      <c r="Z92" s="24"/>
      <c r="AA92" s="24"/>
      <c r="AB92" s="24"/>
      <c r="AC92" s="24" t="s">
        <v>51</v>
      </c>
      <c r="AD92" s="24"/>
      <c r="AE92" s="24" t="s">
        <v>51</v>
      </c>
      <c r="AF92" s="24">
        <v>69</v>
      </c>
      <c r="AG92" s="24" t="s">
        <v>60</v>
      </c>
      <c r="AH92" s="32">
        <v>25.072389999999999</v>
      </c>
      <c r="AI92" s="32">
        <v>74.990620000000007</v>
      </c>
      <c r="AJ92" s="25" t="s">
        <v>51</v>
      </c>
    </row>
    <row r="93" spans="1:36" x14ac:dyDescent="0.35">
      <c r="A93" s="17" t="s">
        <v>46</v>
      </c>
      <c r="B93" s="17" t="s">
        <v>47</v>
      </c>
      <c r="C93" s="18" t="s">
        <v>183</v>
      </c>
      <c r="D93" s="17" t="s">
        <v>236</v>
      </c>
      <c r="E93" s="19" t="s">
        <v>237</v>
      </c>
      <c r="F93" s="20">
        <v>289</v>
      </c>
      <c r="G93" s="20">
        <v>150</v>
      </c>
      <c r="H93" s="19">
        <v>705</v>
      </c>
      <c r="I93" s="20">
        <v>365</v>
      </c>
      <c r="J93" s="20">
        <v>340</v>
      </c>
      <c r="K93" s="20">
        <v>205</v>
      </c>
      <c r="L93" s="21">
        <f>K93/H93</f>
        <v>0.29078014184397161</v>
      </c>
      <c r="M93" s="20">
        <v>103</v>
      </c>
      <c r="N93" s="22">
        <f>M93/H93</f>
        <v>0.14609929078014183</v>
      </c>
      <c r="O93" s="20">
        <v>129</v>
      </c>
      <c r="P93" s="20">
        <v>0</v>
      </c>
      <c r="Q93" s="23"/>
      <c r="R93" s="23"/>
      <c r="S93" s="24"/>
      <c r="T93" s="24"/>
      <c r="U93" s="24"/>
      <c r="V93" s="24"/>
      <c r="W93" s="20"/>
      <c r="X93" s="24" t="s">
        <v>51</v>
      </c>
      <c r="Y93" s="20"/>
      <c r="Z93" s="24"/>
      <c r="AA93" s="24"/>
      <c r="AB93" s="24"/>
      <c r="AC93" s="24" t="s">
        <v>51</v>
      </c>
      <c r="AD93" s="24"/>
      <c r="AE93" s="24" t="s">
        <v>51</v>
      </c>
      <c r="AF93" s="24"/>
      <c r="AG93" s="24"/>
      <c r="AH93" s="33"/>
      <c r="AI93" s="33"/>
      <c r="AJ93" s="25" t="s">
        <v>51</v>
      </c>
    </row>
    <row r="94" spans="1:36" x14ac:dyDescent="0.35">
      <c r="A94" s="17" t="s">
        <v>46</v>
      </c>
      <c r="B94" s="17" t="s">
        <v>47</v>
      </c>
      <c r="C94" s="18" t="s">
        <v>224</v>
      </c>
      <c r="D94" s="17" t="s">
        <v>238</v>
      </c>
      <c r="E94" s="19" t="s">
        <v>239</v>
      </c>
      <c r="F94" s="28">
        <v>99</v>
      </c>
      <c r="G94" s="28"/>
      <c r="H94" s="19">
        <v>0</v>
      </c>
      <c r="I94" s="28"/>
      <c r="J94" s="28"/>
      <c r="K94" s="28"/>
      <c r="L94" s="21"/>
      <c r="M94" s="28"/>
      <c r="N94" s="22"/>
      <c r="O94" s="28">
        <v>0</v>
      </c>
      <c r="P94" s="28">
        <v>0</v>
      </c>
      <c r="Q94" s="23"/>
      <c r="R94" s="23"/>
      <c r="S94" s="24"/>
      <c r="T94" s="24"/>
      <c r="U94" s="24"/>
      <c r="V94" s="24"/>
      <c r="W94" s="28"/>
      <c r="X94" s="24"/>
      <c r="Y94" s="28"/>
      <c r="Z94" s="24"/>
      <c r="AA94" s="24"/>
      <c r="AB94" s="24"/>
      <c r="AC94" s="24" t="s">
        <v>51</v>
      </c>
      <c r="AD94" s="24"/>
      <c r="AE94" s="24" t="s">
        <v>51</v>
      </c>
      <c r="AF94" s="24">
        <v>102</v>
      </c>
      <c r="AG94" s="24" t="s">
        <v>60</v>
      </c>
      <c r="AH94" s="30">
        <v>25.057179999999999</v>
      </c>
      <c r="AI94" s="30">
        <v>74.969170000000005</v>
      </c>
      <c r="AJ94" s="30"/>
    </row>
    <row r="95" spans="1:36" x14ac:dyDescent="0.35">
      <c r="A95" s="17" t="s">
        <v>46</v>
      </c>
      <c r="B95" s="17" t="s">
        <v>47</v>
      </c>
      <c r="C95" s="18" t="s">
        <v>224</v>
      </c>
      <c r="D95" s="17" t="s">
        <v>240</v>
      </c>
      <c r="E95" s="19" t="s">
        <v>241</v>
      </c>
      <c r="F95" s="20">
        <v>144</v>
      </c>
      <c r="G95" s="20">
        <v>38</v>
      </c>
      <c r="H95" s="19">
        <v>225</v>
      </c>
      <c r="I95" s="20">
        <v>113</v>
      </c>
      <c r="J95" s="20">
        <v>112</v>
      </c>
      <c r="K95" s="20">
        <v>16</v>
      </c>
      <c r="L95" s="21">
        <f t="shared" ref="L95:L124" si="8">K95/H95</f>
        <v>7.1111111111111111E-2</v>
      </c>
      <c r="M95" s="20">
        <v>0</v>
      </c>
      <c r="N95" s="22">
        <f t="shared" ref="N95:N124" si="9">M95/H95</f>
        <v>0</v>
      </c>
      <c r="O95" s="20">
        <v>31</v>
      </c>
      <c r="P95" s="20">
        <v>0</v>
      </c>
      <c r="Q95" s="23"/>
      <c r="R95" s="23"/>
      <c r="S95" s="24"/>
      <c r="T95" s="24"/>
      <c r="U95" s="24"/>
      <c r="V95" s="24"/>
      <c r="W95" s="20"/>
      <c r="X95" s="24" t="s">
        <v>51</v>
      </c>
      <c r="Y95" s="20"/>
      <c r="Z95" s="24"/>
      <c r="AA95" s="24"/>
      <c r="AB95" s="24"/>
      <c r="AC95" s="24" t="s">
        <v>51</v>
      </c>
      <c r="AD95" s="24"/>
      <c r="AE95" s="24" t="s">
        <v>51</v>
      </c>
      <c r="AF95" s="24"/>
      <c r="AG95" s="24"/>
      <c r="AH95" s="24"/>
      <c r="AI95" s="24"/>
      <c r="AJ95" s="25" t="s">
        <v>51</v>
      </c>
    </row>
    <row r="96" spans="1:36" x14ac:dyDescent="0.35">
      <c r="A96" s="17" t="s">
        <v>46</v>
      </c>
      <c r="B96" s="17" t="s">
        <v>47</v>
      </c>
      <c r="C96" s="18" t="s">
        <v>224</v>
      </c>
      <c r="D96" s="17" t="s">
        <v>126</v>
      </c>
      <c r="E96" s="19" t="s">
        <v>242</v>
      </c>
      <c r="F96" s="20">
        <v>64</v>
      </c>
      <c r="G96" s="20">
        <v>15</v>
      </c>
      <c r="H96" s="19">
        <v>69</v>
      </c>
      <c r="I96" s="20">
        <v>38</v>
      </c>
      <c r="J96" s="20">
        <v>31</v>
      </c>
      <c r="K96" s="20">
        <v>0</v>
      </c>
      <c r="L96" s="21">
        <f t="shared" si="8"/>
        <v>0</v>
      </c>
      <c r="M96" s="20">
        <v>0</v>
      </c>
      <c r="N96" s="22">
        <f t="shared" si="9"/>
        <v>0</v>
      </c>
      <c r="O96" s="20">
        <v>26</v>
      </c>
      <c r="P96" s="20">
        <v>0</v>
      </c>
      <c r="Q96" s="23"/>
      <c r="R96" s="23"/>
      <c r="S96" s="24"/>
      <c r="T96" s="24"/>
      <c r="U96" s="24"/>
      <c r="V96" s="24"/>
      <c r="W96" s="20"/>
      <c r="X96" s="24" t="s">
        <v>51</v>
      </c>
      <c r="Y96" s="20"/>
      <c r="Z96" s="24"/>
      <c r="AA96" s="24"/>
      <c r="AB96" s="24"/>
      <c r="AC96" s="24" t="s">
        <v>51</v>
      </c>
      <c r="AD96" s="24"/>
      <c r="AE96" s="24" t="s">
        <v>51</v>
      </c>
      <c r="AF96" s="24">
        <v>38.11</v>
      </c>
      <c r="AG96" s="24" t="s">
        <v>60</v>
      </c>
      <c r="AH96" s="29">
        <v>25.058690299999999</v>
      </c>
      <c r="AI96" s="29">
        <v>74.986322000000001</v>
      </c>
      <c r="AJ96" s="25" t="s">
        <v>51</v>
      </c>
    </row>
    <row r="97" spans="1:36" x14ac:dyDescent="0.35">
      <c r="A97" s="17" t="s">
        <v>46</v>
      </c>
      <c r="B97" s="17" t="s">
        <v>47</v>
      </c>
      <c r="C97" s="18" t="s">
        <v>224</v>
      </c>
      <c r="D97" s="17" t="s">
        <v>243</v>
      </c>
      <c r="E97" s="19" t="s">
        <v>244</v>
      </c>
      <c r="F97" s="20">
        <v>126</v>
      </c>
      <c r="G97" s="20">
        <v>58</v>
      </c>
      <c r="H97" s="19">
        <v>258</v>
      </c>
      <c r="I97" s="20">
        <v>130</v>
      </c>
      <c r="J97" s="20">
        <v>128</v>
      </c>
      <c r="K97" s="20">
        <v>10</v>
      </c>
      <c r="L97" s="21">
        <f t="shared" si="8"/>
        <v>3.875968992248062E-2</v>
      </c>
      <c r="M97" s="20">
        <v>0</v>
      </c>
      <c r="N97" s="22">
        <f t="shared" si="9"/>
        <v>0</v>
      </c>
      <c r="O97" s="20">
        <v>82</v>
      </c>
      <c r="P97" s="20">
        <v>0</v>
      </c>
      <c r="Q97" s="23"/>
      <c r="R97" s="23"/>
      <c r="S97" s="24"/>
      <c r="T97" s="24"/>
      <c r="U97" s="24"/>
      <c r="V97" s="24"/>
      <c r="W97" s="20"/>
      <c r="X97" s="24" t="s">
        <v>51</v>
      </c>
      <c r="Y97" s="20"/>
      <c r="Z97" s="24"/>
      <c r="AA97" s="24"/>
      <c r="AB97" s="24"/>
      <c r="AC97" s="24" t="s">
        <v>51</v>
      </c>
      <c r="AD97" s="24"/>
      <c r="AE97" s="24" t="s">
        <v>51</v>
      </c>
      <c r="AF97" s="24">
        <v>20.420000000000002</v>
      </c>
      <c r="AG97" s="24" t="s">
        <v>60</v>
      </c>
      <c r="AH97" s="29">
        <v>25.063132400000001</v>
      </c>
      <c r="AI97" s="29">
        <v>74.995033899999996</v>
      </c>
      <c r="AJ97" s="25" t="s">
        <v>51</v>
      </c>
    </row>
    <row r="98" spans="1:36" x14ac:dyDescent="0.35">
      <c r="A98" s="17" t="s">
        <v>46</v>
      </c>
      <c r="B98" s="17" t="s">
        <v>47</v>
      </c>
      <c r="C98" s="18" t="s">
        <v>224</v>
      </c>
      <c r="D98" s="17" t="s">
        <v>224</v>
      </c>
      <c r="E98" s="19" t="s">
        <v>245</v>
      </c>
      <c r="F98" s="20">
        <v>2458</v>
      </c>
      <c r="G98" s="20">
        <v>546</v>
      </c>
      <c r="H98" s="19">
        <v>2658</v>
      </c>
      <c r="I98" s="20">
        <v>1341</v>
      </c>
      <c r="J98" s="20">
        <v>1317</v>
      </c>
      <c r="K98" s="20">
        <v>295</v>
      </c>
      <c r="L98" s="21">
        <f t="shared" si="8"/>
        <v>0.1109857035364936</v>
      </c>
      <c r="M98" s="20">
        <v>31</v>
      </c>
      <c r="N98" s="22">
        <f t="shared" si="9"/>
        <v>1.1662904439428141E-2</v>
      </c>
      <c r="O98" s="20">
        <v>433</v>
      </c>
      <c r="P98" s="20">
        <v>600</v>
      </c>
      <c r="Q98" s="23"/>
      <c r="R98" s="23"/>
      <c r="S98" s="24"/>
      <c r="T98" s="24"/>
      <c r="U98" s="24"/>
      <c r="V98" s="24"/>
      <c r="W98" s="20"/>
      <c r="X98" s="24" t="s">
        <v>51</v>
      </c>
      <c r="Y98" s="20"/>
      <c r="Z98" s="24"/>
      <c r="AA98" s="24"/>
      <c r="AB98" s="24"/>
      <c r="AC98" s="24" t="s">
        <v>51</v>
      </c>
      <c r="AD98" s="24"/>
      <c r="AE98" s="24" t="s">
        <v>51</v>
      </c>
      <c r="AF98" s="24">
        <v>166</v>
      </c>
      <c r="AG98" s="24" t="s">
        <v>60</v>
      </c>
      <c r="AH98" s="24">
        <v>25.079543999999999</v>
      </c>
      <c r="AI98" s="24">
        <v>75.007917000000006</v>
      </c>
      <c r="AJ98" s="25" t="s">
        <v>51</v>
      </c>
    </row>
    <row r="99" spans="1:36" x14ac:dyDescent="0.35">
      <c r="A99" s="17" t="s">
        <v>46</v>
      </c>
      <c r="B99" s="17" t="s">
        <v>47</v>
      </c>
      <c r="C99" s="18" t="s">
        <v>224</v>
      </c>
      <c r="D99" s="17" t="s">
        <v>246</v>
      </c>
      <c r="E99" s="19" t="s">
        <v>247</v>
      </c>
      <c r="F99" s="20">
        <v>164</v>
      </c>
      <c r="G99" s="20">
        <v>95</v>
      </c>
      <c r="H99" s="19">
        <v>498</v>
      </c>
      <c r="I99" s="20">
        <v>245</v>
      </c>
      <c r="J99" s="20">
        <v>253</v>
      </c>
      <c r="K99" s="20">
        <v>27</v>
      </c>
      <c r="L99" s="21">
        <f t="shared" si="8"/>
        <v>5.4216867469879519E-2</v>
      </c>
      <c r="M99" s="20">
        <v>33</v>
      </c>
      <c r="N99" s="22">
        <f t="shared" si="9"/>
        <v>6.6265060240963861E-2</v>
      </c>
      <c r="O99" s="20">
        <v>0</v>
      </c>
      <c r="P99" s="20">
        <v>0</v>
      </c>
      <c r="Q99" s="23"/>
      <c r="R99" s="23"/>
      <c r="S99" s="24"/>
      <c r="T99" s="24"/>
      <c r="U99" s="24"/>
      <c r="V99" s="24"/>
      <c r="W99" s="20"/>
      <c r="X99" s="24" t="s">
        <v>51</v>
      </c>
      <c r="Y99" s="20"/>
      <c r="Z99" s="24"/>
      <c r="AA99" s="24"/>
      <c r="AB99" s="24"/>
      <c r="AC99" s="24" t="s">
        <v>51</v>
      </c>
      <c r="AD99" s="24"/>
      <c r="AE99" s="24" t="s">
        <v>51</v>
      </c>
      <c r="AF99" s="24"/>
      <c r="AG99" s="24"/>
      <c r="AH99" s="24"/>
      <c r="AI99" s="24"/>
      <c r="AJ99" s="25" t="s">
        <v>51</v>
      </c>
    </row>
    <row r="100" spans="1:36" x14ac:dyDescent="0.35">
      <c r="A100" s="17" t="s">
        <v>46</v>
      </c>
      <c r="B100" s="17" t="s">
        <v>47</v>
      </c>
      <c r="C100" s="18" t="s">
        <v>229</v>
      </c>
      <c r="D100" s="17" t="s">
        <v>248</v>
      </c>
      <c r="E100" s="19" t="s">
        <v>249</v>
      </c>
      <c r="F100" s="20">
        <v>260</v>
      </c>
      <c r="G100" s="20">
        <v>98</v>
      </c>
      <c r="H100" s="19">
        <v>503</v>
      </c>
      <c r="I100" s="20">
        <v>249</v>
      </c>
      <c r="J100" s="20">
        <v>254</v>
      </c>
      <c r="K100" s="20">
        <v>73</v>
      </c>
      <c r="L100" s="21">
        <f t="shared" si="8"/>
        <v>0.14512922465208747</v>
      </c>
      <c r="M100" s="20">
        <v>16</v>
      </c>
      <c r="N100" s="22">
        <f t="shared" si="9"/>
        <v>3.1809145129224649E-2</v>
      </c>
      <c r="O100" s="20">
        <v>105</v>
      </c>
      <c r="P100" s="20">
        <v>2</v>
      </c>
      <c r="Q100" s="23"/>
      <c r="R100" s="23"/>
      <c r="S100" s="24"/>
      <c r="T100" s="24"/>
      <c r="U100" s="24"/>
      <c r="V100" s="24"/>
      <c r="W100" s="20"/>
      <c r="X100" s="24" t="s">
        <v>51</v>
      </c>
      <c r="Y100" s="20"/>
      <c r="Z100" s="24"/>
      <c r="AA100" s="24"/>
      <c r="AB100" s="24"/>
      <c r="AC100" s="24" t="s">
        <v>51</v>
      </c>
      <c r="AD100" s="24"/>
      <c r="AE100" s="24" t="s">
        <v>51</v>
      </c>
      <c r="AF100" s="24">
        <v>10</v>
      </c>
      <c r="AG100" s="24" t="s">
        <v>60</v>
      </c>
      <c r="AH100" s="24">
        <v>25.085065</v>
      </c>
      <c r="AI100" s="24">
        <v>75.020491000000007</v>
      </c>
      <c r="AJ100" s="25" t="s">
        <v>51</v>
      </c>
    </row>
    <row r="101" spans="1:36" x14ac:dyDescent="0.35">
      <c r="A101" s="17" t="s">
        <v>46</v>
      </c>
      <c r="B101" s="17" t="s">
        <v>47</v>
      </c>
      <c r="C101" s="18" t="s">
        <v>229</v>
      </c>
      <c r="D101" s="17" t="s">
        <v>229</v>
      </c>
      <c r="E101" s="19" t="s">
        <v>250</v>
      </c>
      <c r="F101" s="20">
        <v>239</v>
      </c>
      <c r="G101" s="20">
        <v>268</v>
      </c>
      <c r="H101" s="19">
        <v>1273</v>
      </c>
      <c r="I101" s="20">
        <v>657</v>
      </c>
      <c r="J101" s="20">
        <v>616</v>
      </c>
      <c r="K101" s="20">
        <v>110</v>
      </c>
      <c r="L101" s="21">
        <f t="shared" si="8"/>
        <v>8.6410054988216814E-2</v>
      </c>
      <c r="M101" s="20">
        <v>20</v>
      </c>
      <c r="N101" s="22">
        <f t="shared" si="9"/>
        <v>1.5710919088766692E-2</v>
      </c>
      <c r="O101" s="20">
        <v>58</v>
      </c>
      <c r="P101" s="20">
        <v>14</v>
      </c>
      <c r="Q101" s="23"/>
      <c r="R101" s="23"/>
      <c r="S101" s="24"/>
      <c r="T101" s="24"/>
      <c r="U101" s="24"/>
      <c r="V101" s="24"/>
      <c r="W101" s="20"/>
      <c r="X101" s="24" t="s">
        <v>51</v>
      </c>
      <c r="Y101" s="20"/>
      <c r="Z101" s="24"/>
      <c r="AA101" s="24"/>
      <c r="AB101" s="24"/>
      <c r="AC101" s="24" t="s">
        <v>51</v>
      </c>
      <c r="AD101" s="24"/>
      <c r="AE101" s="24" t="s">
        <v>51</v>
      </c>
      <c r="AF101" s="24">
        <v>15</v>
      </c>
      <c r="AG101" s="24" t="s">
        <v>60</v>
      </c>
      <c r="AH101" s="24">
        <v>25.106009</v>
      </c>
      <c r="AI101" s="24">
        <v>75.025931999999997</v>
      </c>
      <c r="AJ101" s="25" t="s">
        <v>51</v>
      </c>
    </row>
    <row r="102" spans="1:36" x14ac:dyDescent="0.35">
      <c r="A102" s="17" t="s">
        <v>46</v>
      </c>
      <c r="B102" s="17" t="s">
        <v>47</v>
      </c>
      <c r="C102" s="18" t="s">
        <v>229</v>
      </c>
      <c r="D102" s="17" t="s">
        <v>251</v>
      </c>
      <c r="E102" s="19" t="s">
        <v>252</v>
      </c>
      <c r="F102" s="20">
        <v>500</v>
      </c>
      <c r="G102" s="20">
        <v>67</v>
      </c>
      <c r="H102" s="19">
        <v>329</v>
      </c>
      <c r="I102" s="20">
        <v>164</v>
      </c>
      <c r="J102" s="20">
        <v>165</v>
      </c>
      <c r="K102" s="20">
        <v>11</v>
      </c>
      <c r="L102" s="21">
        <f t="shared" si="8"/>
        <v>3.3434650455927049E-2</v>
      </c>
      <c r="M102" s="20">
        <v>41</v>
      </c>
      <c r="N102" s="22">
        <f t="shared" si="9"/>
        <v>0.12462006079027356</v>
      </c>
      <c r="O102" s="20">
        <v>178</v>
      </c>
      <c r="P102" s="20">
        <v>139</v>
      </c>
      <c r="Q102" s="23"/>
      <c r="R102" s="23"/>
      <c r="S102" s="24"/>
      <c r="T102" s="24"/>
      <c r="U102" s="24"/>
      <c r="V102" s="24"/>
      <c r="W102" s="20"/>
      <c r="X102" s="24" t="s">
        <v>51</v>
      </c>
      <c r="Y102" s="20"/>
      <c r="Z102" s="24"/>
      <c r="AA102" s="24"/>
      <c r="AB102" s="24"/>
      <c r="AC102" s="24" t="s">
        <v>51</v>
      </c>
      <c r="AD102" s="24"/>
      <c r="AE102" s="24" t="s">
        <v>51</v>
      </c>
      <c r="AF102" s="24">
        <v>23.26</v>
      </c>
      <c r="AG102" s="24" t="s">
        <v>60</v>
      </c>
      <c r="AH102" s="24">
        <v>25.108385899999998</v>
      </c>
      <c r="AI102" s="24">
        <v>75.030100200000007</v>
      </c>
      <c r="AJ102" s="25" t="s">
        <v>51</v>
      </c>
    </row>
    <row r="103" spans="1:36" x14ac:dyDescent="0.35">
      <c r="A103" s="17" t="s">
        <v>46</v>
      </c>
      <c r="B103" s="17" t="s">
        <v>47</v>
      </c>
      <c r="C103" s="18" t="s">
        <v>253</v>
      </c>
      <c r="D103" s="17" t="s">
        <v>254</v>
      </c>
      <c r="E103" s="19" t="s">
        <v>255</v>
      </c>
      <c r="F103" s="20">
        <v>193.63</v>
      </c>
      <c r="G103" s="20">
        <v>21</v>
      </c>
      <c r="H103" s="19">
        <v>93</v>
      </c>
      <c r="I103" s="20">
        <v>46</v>
      </c>
      <c r="J103" s="20">
        <v>47</v>
      </c>
      <c r="K103" s="20">
        <v>0</v>
      </c>
      <c r="L103" s="21">
        <f t="shared" si="8"/>
        <v>0</v>
      </c>
      <c r="M103" s="20">
        <v>0</v>
      </c>
      <c r="N103" s="22">
        <f t="shared" si="9"/>
        <v>0</v>
      </c>
      <c r="O103" s="20">
        <v>9.86</v>
      </c>
      <c r="P103" s="20">
        <v>0</v>
      </c>
      <c r="Q103" s="23"/>
      <c r="R103" s="23"/>
      <c r="S103" s="24"/>
      <c r="T103" s="24"/>
      <c r="U103" s="24"/>
      <c r="V103" s="24"/>
      <c r="W103" s="20"/>
      <c r="X103" s="24" t="s">
        <v>51</v>
      </c>
      <c r="Y103" s="20"/>
      <c r="Z103" s="24"/>
      <c r="AA103" s="24"/>
      <c r="AB103" s="24"/>
      <c r="AC103" s="24" t="s">
        <v>51</v>
      </c>
      <c r="AD103" s="24"/>
      <c r="AE103" s="24" t="s">
        <v>51</v>
      </c>
      <c r="AF103" s="24"/>
      <c r="AG103" s="24"/>
      <c r="AH103" s="24"/>
      <c r="AI103" s="24"/>
      <c r="AJ103" s="25" t="s">
        <v>51</v>
      </c>
    </row>
    <row r="104" spans="1:36" x14ac:dyDescent="0.35">
      <c r="A104" s="17" t="s">
        <v>46</v>
      </c>
      <c r="B104" s="17" t="s">
        <v>47</v>
      </c>
      <c r="C104" s="18" t="s">
        <v>253</v>
      </c>
      <c r="D104" s="17" t="s">
        <v>256</v>
      </c>
      <c r="E104" s="19" t="s">
        <v>257</v>
      </c>
      <c r="F104" s="20">
        <v>398.51</v>
      </c>
      <c r="G104" s="20">
        <v>97</v>
      </c>
      <c r="H104" s="19">
        <v>401</v>
      </c>
      <c r="I104" s="20">
        <v>203</v>
      </c>
      <c r="J104" s="20">
        <v>198</v>
      </c>
      <c r="K104" s="20">
        <v>47</v>
      </c>
      <c r="L104" s="21">
        <f t="shared" si="8"/>
        <v>0.1172069825436409</v>
      </c>
      <c r="M104" s="20">
        <v>0</v>
      </c>
      <c r="N104" s="22">
        <f t="shared" si="9"/>
        <v>0</v>
      </c>
      <c r="O104" s="20">
        <v>65.459999999999994</v>
      </c>
      <c r="P104" s="20">
        <v>130.65</v>
      </c>
      <c r="Q104" s="23"/>
      <c r="R104" s="23"/>
      <c r="S104" s="24"/>
      <c r="T104" s="24"/>
      <c r="U104" s="24"/>
      <c r="V104" s="24"/>
      <c r="W104" s="20"/>
      <c r="X104" s="24" t="s">
        <v>51</v>
      </c>
      <c r="Y104" s="20"/>
      <c r="Z104" s="24"/>
      <c r="AA104" s="24"/>
      <c r="AB104" s="24"/>
      <c r="AC104" s="24" t="s">
        <v>51</v>
      </c>
      <c r="AD104" s="24"/>
      <c r="AE104" s="24" t="s">
        <v>51</v>
      </c>
      <c r="AF104" s="24">
        <v>35.18</v>
      </c>
      <c r="AG104" s="24" t="s">
        <v>60</v>
      </c>
      <c r="AH104" s="3">
        <v>25.115383000000001</v>
      </c>
      <c r="AI104" s="3">
        <v>75.078474999999997</v>
      </c>
      <c r="AJ104" s="25" t="s">
        <v>51</v>
      </c>
    </row>
    <row r="105" spans="1:36" x14ac:dyDescent="0.35">
      <c r="A105" s="17" t="s">
        <v>46</v>
      </c>
      <c r="B105" s="17" t="s">
        <v>47</v>
      </c>
      <c r="C105" s="18" t="s">
        <v>253</v>
      </c>
      <c r="D105" s="17" t="s">
        <v>258</v>
      </c>
      <c r="E105" s="19" t="s">
        <v>259</v>
      </c>
      <c r="F105" s="20">
        <v>165.37</v>
      </c>
      <c r="G105" s="20">
        <v>6</v>
      </c>
      <c r="H105" s="19">
        <v>23</v>
      </c>
      <c r="I105" s="20">
        <v>11</v>
      </c>
      <c r="J105" s="20">
        <v>12</v>
      </c>
      <c r="K105" s="20">
        <v>0</v>
      </c>
      <c r="L105" s="21">
        <f t="shared" si="8"/>
        <v>0</v>
      </c>
      <c r="M105" s="20">
        <v>0</v>
      </c>
      <c r="N105" s="22">
        <f t="shared" si="9"/>
        <v>0</v>
      </c>
      <c r="O105" s="20">
        <v>0</v>
      </c>
      <c r="P105" s="20">
        <v>76.67</v>
      </c>
      <c r="Q105" s="23"/>
      <c r="R105" s="23"/>
      <c r="S105" s="24"/>
      <c r="T105" s="24"/>
      <c r="U105" s="24"/>
      <c r="V105" s="24"/>
      <c r="W105" s="20"/>
      <c r="X105" s="24"/>
      <c r="Y105" s="20"/>
      <c r="Z105" s="24"/>
      <c r="AA105" s="24"/>
      <c r="AB105" s="24"/>
      <c r="AC105" s="24" t="s">
        <v>51</v>
      </c>
      <c r="AD105" s="24"/>
      <c r="AE105" s="24" t="s">
        <v>51</v>
      </c>
      <c r="AF105" s="24"/>
      <c r="AG105" s="24"/>
      <c r="AH105" s="24"/>
      <c r="AI105" s="24"/>
      <c r="AJ105" s="24"/>
    </row>
    <row r="106" spans="1:36" x14ac:dyDescent="0.35">
      <c r="A106" s="17" t="s">
        <v>46</v>
      </c>
      <c r="B106" s="17" t="s">
        <v>47</v>
      </c>
      <c r="C106" s="18" t="s">
        <v>253</v>
      </c>
      <c r="D106" s="17" t="s">
        <v>260</v>
      </c>
      <c r="E106" s="19" t="s">
        <v>261</v>
      </c>
      <c r="F106" s="20">
        <v>144.84</v>
      </c>
      <c r="G106" s="20">
        <v>80</v>
      </c>
      <c r="H106" s="19">
        <v>371</v>
      </c>
      <c r="I106" s="20">
        <v>190</v>
      </c>
      <c r="J106" s="20">
        <v>181</v>
      </c>
      <c r="K106" s="20">
        <v>17</v>
      </c>
      <c r="L106" s="21">
        <f t="shared" si="8"/>
        <v>4.5822102425876012E-2</v>
      </c>
      <c r="M106" s="20">
        <v>0</v>
      </c>
      <c r="N106" s="22">
        <f t="shared" si="9"/>
        <v>0</v>
      </c>
      <c r="O106" s="20">
        <v>43.36</v>
      </c>
      <c r="P106" s="20">
        <v>0.38</v>
      </c>
      <c r="Q106" s="23"/>
      <c r="R106" s="23"/>
      <c r="S106" s="24"/>
      <c r="T106" s="24"/>
      <c r="U106" s="24"/>
      <c r="V106" s="24"/>
      <c r="W106" s="20"/>
      <c r="X106" s="24" t="s">
        <v>51</v>
      </c>
      <c r="Y106" s="20"/>
      <c r="Z106" s="24"/>
      <c r="AA106" s="24"/>
      <c r="AB106" s="24"/>
      <c r="AC106" s="24" t="s">
        <v>51</v>
      </c>
      <c r="AD106" s="24"/>
      <c r="AE106" s="24" t="s">
        <v>51</v>
      </c>
      <c r="AF106" s="24">
        <v>15</v>
      </c>
      <c r="AG106" s="24" t="s">
        <v>60</v>
      </c>
      <c r="AH106" s="24">
        <v>25.109771599999998</v>
      </c>
      <c r="AI106" s="24">
        <v>75.087358499999993</v>
      </c>
      <c r="AJ106" s="25" t="s">
        <v>51</v>
      </c>
    </row>
    <row r="107" spans="1:36" x14ac:dyDescent="0.35">
      <c r="A107" s="17" t="s">
        <v>46</v>
      </c>
      <c r="B107" s="17" t="s">
        <v>47</v>
      </c>
      <c r="C107" s="18" t="s">
        <v>253</v>
      </c>
      <c r="D107" s="17" t="s">
        <v>262</v>
      </c>
      <c r="E107" s="19" t="s">
        <v>263</v>
      </c>
      <c r="F107" s="20">
        <v>417.32</v>
      </c>
      <c r="G107" s="20">
        <v>51</v>
      </c>
      <c r="H107" s="19">
        <v>217</v>
      </c>
      <c r="I107" s="20">
        <v>120</v>
      </c>
      <c r="J107" s="20">
        <v>97</v>
      </c>
      <c r="K107" s="20">
        <v>7</v>
      </c>
      <c r="L107" s="21">
        <f t="shared" si="8"/>
        <v>3.2258064516129031E-2</v>
      </c>
      <c r="M107" s="20">
        <v>100</v>
      </c>
      <c r="N107" s="22">
        <f t="shared" si="9"/>
        <v>0.46082949308755761</v>
      </c>
      <c r="O107" s="20">
        <v>21.76</v>
      </c>
      <c r="P107" s="20">
        <v>265.27999999999997</v>
      </c>
      <c r="Q107" s="23"/>
      <c r="R107" s="23"/>
      <c r="S107" s="24"/>
      <c r="T107" s="24"/>
      <c r="U107" s="24"/>
      <c r="V107" s="24"/>
      <c r="W107" s="20"/>
      <c r="X107" s="24" t="s">
        <v>51</v>
      </c>
      <c r="Y107" s="20"/>
      <c r="Z107" s="24"/>
      <c r="AA107" s="24"/>
      <c r="AB107" s="24"/>
      <c r="AC107" s="24" t="s">
        <v>51</v>
      </c>
      <c r="AD107" s="24"/>
      <c r="AE107" s="24" t="s">
        <v>51</v>
      </c>
      <c r="AF107" s="24"/>
      <c r="AG107" s="24"/>
      <c r="AH107" s="24"/>
      <c r="AI107" s="24"/>
      <c r="AJ107" s="25" t="s">
        <v>51</v>
      </c>
    </row>
    <row r="108" spans="1:36" x14ac:dyDescent="0.35">
      <c r="A108" s="17" t="s">
        <v>46</v>
      </c>
      <c r="B108" s="17" t="s">
        <v>47</v>
      </c>
      <c r="C108" s="18" t="s">
        <v>253</v>
      </c>
      <c r="D108" s="17" t="s">
        <v>264</v>
      </c>
      <c r="E108" s="19" t="s">
        <v>265</v>
      </c>
      <c r="F108" s="20">
        <v>1360.96</v>
      </c>
      <c r="G108" s="20">
        <v>159</v>
      </c>
      <c r="H108" s="19">
        <v>732</v>
      </c>
      <c r="I108" s="20">
        <v>362</v>
      </c>
      <c r="J108" s="20">
        <v>370</v>
      </c>
      <c r="K108" s="20">
        <v>52</v>
      </c>
      <c r="L108" s="21">
        <f t="shared" si="8"/>
        <v>7.1038251366120214E-2</v>
      </c>
      <c r="M108" s="20">
        <v>52</v>
      </c>
      <c r="N108" s="22">
        <f t="shared" si="9"/>
        <v>7.1038251366120214E-2</v>
      </c>
      <c r="O108" s="20">
        <v>16.37</v>
      </c>
      <c r="P108" s="20">
        <v>1117.81</v>
      </c>
      <c r="Q108" s="23" t="s">
        <v>51</v>
      </c>
      <c r="R108" s="27">
        <v>45100</v>
      </c>
      <c r="S108" s="24"/>
      <c r="T108" s="24"/>
      <c r="U108" s="24"/>
      <c r="V108" s="24"/>
      <c r="W108" s="20"/>
      <c r="X108" s="24" t="s">
        <v>51</v>
      </c>
      <c r="Y108" s="20"/>
      <c r="Z108" s="24"/>
      <c r="AA108" s="24"/>
      <c r="AB108" s="24"/>
      <c r="AC108" s="24" t="s">
        <v>51</v>
      </c>
      <c r="AD108" s="24"/>
      <c r="AE108" s="24" t="s">
        <v>51</v>
      </c>
      <c r="AF108" s="24"/>
      <c r="AG108" s="24"/>
      <c r="AH108" s="24">
        <v>25.097238900000001</v>
      </c>
      <c r="AI108" s="24">
        <v>75.102278299999995</v>
      </c>
      <c r="AJ108" s="25" t="s">
        <v>51</v>
      </c>
    </row>
    <row r="109" spans="1:36" x14ac:dyDescent="0.35">
      <c r="A109" s="17" t="s">
        <v>46</v>
      </c>
      <c r="B109" s="17" t="s">
        <v>47</v>
      </c>
      <c r="C109" s="18" t="s">
        <v>253</v>
      </c>
      <c r="D109" s="17" t="s">
        <v>266</v>
      </c>
      <c r="E109" s="19" t="s">
        <v>267</v>
      </c>
      <c r="F109" s="20">
        <v>947.31</v>
      </c>
      <c r="G109" s="20">
        <v>67</v>
      </c>
      <c r="H109" s="19">
        <v>287</v>
      </c>
      <c r="I109" s="20">
        <v>148</v>
      </c>
      <c r="J109" s="20">
        <v>139</v>
      </c>
      <c r="K109" s="20">
        <v>8</v>
      </c>
      <c r="L109" s="21">
        <f t="shared" si="8"/>
        <v>2.7874564459930314E-2</v>
      </c>
      <c r="M109" s="20">
        <v>114</v>
      </c>
      <c r="N109" s="22">
        <f t="shared" si="9"/>
        <v>0.39721254355400698</v>
      </c>
      <c r="O109" s="20">
        <v>20.420000000000002</v>
      </c>
      <c r="P109" s="20">
        <v>790.7</v>
      </c>
      <c r="Q109" s="23"/>
      <c r="R109" s="23"/>
      <c r="S109" s="24"/>
      <c r="T109" s="24"/>
      <c r="U109" s="24"/>
      <c r="V109" s="24"/>
      <c r="W109" s="20"/>
      <c r="X109" s="24" t="s">
        <v>51</v>
      </c>
      <c r="Y109" s="20"/>
      <c r="Z109" s="24"/>
      <c r="AA109" s="24"/>
      <c r="AB109" s="24"/>
      <c r="AC109" s="24" t="s">
        <v>51</v>
      </c>
      <c r="AD109" s="24"/>
      <c r="AE109" s="24" t="s">
        <v>51</v>
      </c>
      <c r="AF109" s="24">
        <v>18</v>
      </c>
      <c r="AG109" s="24" t="s">
        <v>60</v>
      </c>
      <c r="AH109" s="24">
        <v>25.098706</v>
      </c>
      <c r="AI109" s="24">
        <v>75.103998000000004</v>
      </c>
      <c r="AJ109" s="25" t="s">
        <v>51</v>
      </c>
    </row>
    <row r="110" spans="1:36" x14ac:dyDescent="0.35">
      <c r="A110" s="17" t="s">
        <v>46</v>
      </c>
      <c r="B110" s="17" t="s">
        <v>47</v>
      </c>
      <c r="C110" s="18" t="s">
        <v>253</v>
      </c>
      <c r="D110" s="17" t="s">
        <v>253</v>
      </c>
      <c r="E110" s="19" t="s">
        <v>268</v>
      </c>
      <c r="F110" s="20">
        <v>566.48</v>
      </c>
      <c r="G110" s="20">
        <v>141</v>
      </c>
      <c r="H110" s="19">
        <v>634</v>
      </c>
      <c r="I110" s="20">
        <v>324</v>
      </c>
      <c r="J110" s="20">
        <v>310</v>
      </c>
      <c r="K110" s="20">
        <v>142</v>
      </c>
      <c r="L110" s="21">
        <f t="shared" si="8"/>
        <v>0.22397476340694006</v>
      </c>
      <c r="M110" s="20">
        <v>58</v>
      </c>
      <c r="N110" s="22">
        <f t="shared" si="9"/>
        <v>9.1482649842271294E-2</v>
      </c>
      <c r="O110" s="20">
        <v>59.34</v>
      </c>
      <c r="P110" s="20">
        <v>101.04</v>
      </c>
      <c r="Q110" s="23"/>
      <c r="R110" s="23"/>
      <c r="S110" s="24"/>
      <c r="T110" s="24"/>
      <c r="U110" s="24"/>
      <c r="V110" s="24"/>
      <c r="W110" s="20"/>
      <c r="X110" s="24" t="s">
        <v>51</v>
      </c>
      <c r="Y110" s="20"/>
      <c r="Z110" s="24"/>
      <c r="AA110" s="24"/>
      <c r="AB110" s="24"/>
      <c r="AC110" s="24" t="s">
        <v>51</v>
      </c>
      <c r="AD110" s="24"/>
      <c r="AE110" s="24" t="s">
        <v>51</v>
      </c>
      <c r="AF110" s="24">
        <v>6.32</v>
      </c>
      <c r="AG110" s="24" t="s">
        <v>60</v>
      </c>
      <c r="AH110" s="29">
        <v>25.0884581</v>
      </c>
      <c r="AI110" s="29">
        <v>75.085544600000006</v>
      </c>
      <c r="AJ110" s="25" t="s">
        <v>51</v>
      </c>
    </row>
    <row r="111" spans="1:36" x14ac:dyDescent="0.35">
      <c r="A111" s="17" t="s">
        <v>46</v>
      </c>
      <c r="B111" s="17" t="s">
        <v>47</v>
      </c>
      <c r="C111" s="18" t="s">
        <v>253</v>
      </c>
      <c r="D111" s="17" t="s">
        <v>269</v>
      </c>
      <c r="E111" s="19" t="s">
        <v>270</v>
      </c>
      <c r="F111" s="20">
        <v>182.08</v>
      </c>
      <c r="G111" s="20">
        <v>76</v>
      </c>
      <c r="H111" s="19">
        <v>369</v>
      </c>
      <c r="I111" s="20">
        <v>189</v>
      </c>
      <c r="J111" s="20">
        <v>180</v>
      </c>
      <c r="K111" s="20">
        <v>104</v>
      </c>
      <c r="L111" s="21">
        <f t="shared" si="8"/>
        <v>0.28184281842818426</v>
      </c>
      <c r="M111" s="20">
        <v>0</v>
      </c>
      <c r="N111" s="22">
        <f t="shared" si="9"/>
        <v>0</v>
      </c>
      <c r="O111" s="20">
        <v>12.15</v>
      </c>
      <c r="P111" s="20">
        <v>76.48</v>
      </c>
      <c r="Q111" s="23" t="s">
        <v>51</v>
      </c>
      <c r="R111" s="27">
        <v>45100</v>
      </c>
      <c r="S111" s="24"/>
      <c r="T111" s="24"/>
      <c r="U111" s="24"/>
      <c r="V111" s="24"/>
      <c r="W111" s="20"/>
      <c r="X111" s="24" t="s">
        <v>51</v>
      </c>
      <c r="Y111" s="20"/>
      <c r="Z111" s="24"/>
      <c r="AA111" s="24"/>
      <c r="AB111" s="24"/>
      <c r="AC111" s="24" t="s">
        <v>51</v>
      </c>
      <c r="AD111" s="24"/>
      <c r="AE111" s="24" t="s">
        <v>51</v>
      </c>
      <c r="AF111" s="24">
        <v>9.9</v>
      </c>
      <c r="AG111" s="24" t="s">
        <v>60</v>
      </c>
      <c r="AH111" s="24">
        <v>25.0797952</v>
      </c>
      <c r="AI111" s="24">
        <v>75.104249999999993</v>
      </c>
      <c r="AJ111" s="25" t="s">
        <v>51</v>
      </c>
    </row>
    <row r="112" spans="1:36" x14ac:dyDescent="0.35">
      <c r="A112" s="17" t="s">
        <v>46</v>
      </c>
      <c r="B112" s="17" t="s">
        <v>47</v>
      </c>
      <c r="C112" s="18" t="s">
        <v>253</v>
      </c>
      <c r="D112" s="17" t="s">
        <v>271</v>
      </c>
      <c r="E112" s="19" t="s">
        <v>272</v>
      </c>
      <c r="F112" s="20">
        <v>216.33</v>
      </c>
      <c r="G112" s="20">
        <v>40</v>
      </c>
      <c r="H112" s="19">
        <v>165</v>
      </c>
      <c r="I112" s="20">
        <v>82</v>
      </c>
      <c r="J112" s="20">
        <v>83</v>
      </c>
      <c r="K112" s="20">
        <v>34</v>
      </c>
      <c r="L112" s="21">
        <f t="shared" si="8"/>
        <v>0.20606060606060606</v>
      </c>
      <c r="M112" s="20">
        <v>0</v>
      </c>
      <c r="N112" s="22">
        <f t="shared" si="9"/>
        <v>0</v>
      </c>
      <c r="O112" s="20">
        <v>0</v>
      </c>
      <c r="P112" s="20">
        <v>0</v>
      </c>
      <c r="Q112" s="23"/>
      <c r="R112" s="23"/>
      <c r="S112" s="24"/>
      <c r="T112" s="24"/>
      <c r="U112" s="24"/>
      <c r="V112" s="24"/>
      <c r="W112" s="20"/>
      <c r="X112" s="24" t="s">
        <v>51</v>
      </c>
      <c r="Y112" s="20"/>
      <c r="Z112" s="24"/>
      <c r="AA112" s="24"/>
      <c r="AB112" s="24"/>
      <c r="AC112" s="24" t="s">
        <v>51</v>
      </c>
      <c r="AD112" s="24"/>
      <c r="AE112" s="24" t="s">
        <v>51</v>
      </c>
      <c r="AF112" s="24">
        <v>30</v>
      </c>
      <c r="AG112" s="24"/>
      <c r="AH112" s="24">
        <v>25.087960299999999</v>
      </c>
      <c r="AI112" s="24">
        <v>75.084981999999997</v>
      </c>
      <c r="AJ112" s="25" t="s">
        <v>51</v>
      </c>
    </row>
    <row r="113" spans="1:36" x14ac:dyDescent="0.35">
      <c r="A113" s="17" t="s">
        <v>46</v>
      </c>
      <c r="B113" s="17" t="s">
        <v>47</v>
      </c>
      <c r="C113" s="18" t="s">
        <v>273</v>
      </c>
      <c r="D113" s="17" t="s">
        <v>274</v>
      </c>
      <c r="E113" s="19" t="s">
        <v>275</v>
      </c>
      <c r="F113" s="20">
        <v>638</v>
      </c>
      <c r="G113" s="20">
        <v>127</v>
      </c>
      <c r="H113" s="19">
        <v>654</v>
      </c>
      <c r="I113" s="20">
        <v>315</v>
      </c>
      <c r="J113" s="20">
        <v>339</v>
      </c>
      <c r="K113" s="20">
        <v>176</v>
      </c>
      <c r="L113" s="21">
        <f t="shared" si="8"/>
        <v>0.26911314984709478</v>
      </c>
      <c r="M113" s="20">
        <v>18</v>
      </c>
      <c r="N113" s="22">
        <f t="shared" si="9"/>
        <v>2.7522935779816515E-2</v>
      </c>
      <c r="O113" s="20">
        <v>0</v>
      </c>
      <c r="P113" s="20">
        <v>290</v>
      </c>
      <c r="Q113" s="23"/>
      <c r="R113" s="23"/>
      <c r="S113" s="24"/>
      <c r="T113" s="24"/>
      <c r="U113" s="24"/>
      <c r="V113" s="24"/>
      <c r="W113" s="20"/>
      <c r="X113" s="24" t="s">
        <v>51</v>
      </c>
      <c r="Y113" s="20"/>
      <c r="Z113" s="24"/>
      <c r="AA113" s="24"/>
      <c r="AB113" s="24"/>
      <c r="AC113" s="24" t="s">
        <v>51</v>
      </c>
      <c r="AD113" s="24"/>
      <c r="AE113" s="24" t="s">
        <v>51</v>
      </c>
      <c r="AF113" s="24"/>
      <c r="AG113" s="24"/>
      <c r="AH113" s="24"/>
      <c r="AI113" s="24"/>
      <c r="AJ113" s="25" t="s">
        <v>51</v>
      </c>
    </row>
    <row r="114" spans="1:36" x14ac:dyDescent="0.35">
      <c r="A114" s="17" t="s">
        <v>46</v>
      </c>
      <c r="B114" s="17" t="s">
        <v>47</v>
      </c>
      <c r="C114" s="18" t="s">
        <v>273</v>
      </c>
      <c r="D114" s="17" t="s">
        <v>276</v>
      </c>
      <c r="E114" s="19" t="s">
        <v>277</v>
      </c>
      <c r="F114" s="20">
        <v>96</v>
      </c>
      <c r="G114" s="20">
        <v>111</v>
      </c>
      <c r="H114" s="19">
        <v>552</v>
      </c>
      <c r="I114" s="20">
        <v>273</v>
      </c>
      <c r="J114" s="20">
        <v>279</v>
      </c>
      <c r="K114" s="20">
        <v>71</v>
      </c>
      <c r="L114" s="21">
        <f t="shared" si="8"/>
        <v>0.12862318840579709</v>
      </c>
      <c r="M114" s="20">
        <v>87</v>
      </c>
      <c r="N114" s="22">
        <f t="shared" si="9"/>
        <v>0.15760869565217392</v>
      </c>
      <c r="O114" s="20">
        <v>0</v>
      </c>
      <c r="P114" s="20">
        <v>0</v>
      </c>
      <c r="Q114" s="23"/>
      <c r="R114" s="23"/>
      <c r="S114" s="24"/>
      <c r="T114" s="24"/>
      <c r="U114" s="24"/>
      <c r="V114" s="24"/>
      <c r="W114" s="20"/>
      <c r="X114" s="24" t="s">
        <v>51</v>
      </c>
      <c r="Y114" s="20"/>
      <c r="Z114" s="24"/>
      <c r="AA114" s="24"/>
      <c r="AB114" s="24"/>
      <c r="AC114" s="24" t="s">
        <v>51</v>
      </c>
      <c r="AD114" s="24"/>
      <c r="AE114" s="24" t="s">
        <v>51</v>
      </c>
      <c r="AF114" s="24"/>
      <c r="AG114" s="24"/>
      <c r="AH114" s="24"/>
      <c r="AI114" s="24"/>
      <c r="AJ114" s="25" t="s">
        <v>51</v>
      </c>
    </row>
    <row r="115" spans="1:36" x14ac:dyDescent="0.35">
      <c r="A115" s="17" t="s">
        <v>46</v>
      </c>
      <c r="B115" s="17" t="s">
        <v>47</v>
      </c>
      <c r="C115" s="18" t="s">
        <v>273</v>
      </c>
      <c r="D115" s="17" t="s">
        <v>278</v>
      </c>
      <c r="E115" s="19" t="s">
        <v>279</v>
      </c>
      <c r="F115" s="20">
        <v>737</v>
      </c>
      <c r="G115" s="20">
        <v>104</v>
      </c>
      <c r="H115" s="19">
        <v>437</v>
      </c>
      <c r="I115" s="20">
        <v>222</v>
      </c>
      <c r="J115" s="20">
        <v>215</v>
      </c>
      <c r="K115" s="20">
        <v>155</v>
      </c>
      <c r="L115" s="21">
        <f t="shared" si="8"/>
        <v>0.35469107551487417</v>
      </c>
      <c r="M115" s="20">
        <v>109</v>
      </c>
      <c r="N115" s="22">
        <f t="shared" si="9"/>
        <v>0.2494279176201373</v>
      </c>
      <c r="O115" s="20">
        <v>0</v>
      </c>
      <c r="P115" s="20">
        <v>418</v>
      </c>
      <c r="Q115" s="23"/>
      <c r="R115" s="23"/>
      <c r="S115" s="24"/>
      <c r="T115" s="24"/>
      <c r="U115" s="24"/>
      <c r="V115" s="24"/>
      <c r="W115" s="20"/>
      <c r="X115" s="24" t="s">
        <v>51</v>
      </c>
      <c r="Y115" s="20"/>
      <c r="Z115" s="24"/>
      <c r="AA115" s="24"/>
      <c r="AB115" s="24"/>
      <c r="AC115" s="24" t="s">
        <v>51</v>
      </c>
      <c r="AD115" s="24"/>
      <c r="AE115" s="24" t="s">
        <v>51</v>
      </c>
      <c r="AF115" s="24">
        <v>14.46</v>
      </c>
      <c r="AG115" s="24"/>
      <c r="AH115" s="29">
        <v>25.078608599999999</v>
      </c>
      <c r="AI115" s="29">
        <v>75.072846999999996</v>
      </c>
      <c r="AJ115" s="25" t="s">
        <v>51</v>
      </c>
    </row>
    <row r="116" spans="1:36" x14ac:dyDescent="0.35">
      <c r="A116" s="17" t="s">
        <v>46</v>
      </c>
      <c r="B116" s="17" t="s">
        <v>47</v>
      </c>
      <c r="C116" s="18" t="s">
        <v>280</v>
      </c>
      <c r="D116" s="17" t="s">
        <v>281</v>
      </c>
      <c r="E116" s="19" t="s">
        <v>282</v>
      </c>
      <c r="F116" s="20">
        <v>790</v>
      </c>
      <c r="G116" s="20">
        <v>2</v>
      </c>
      <c r="H116" s="19">
        <v>9</v>
      </c>
      <c r="I116" s="20">
        <v>6</v>
      </c>
      <c r="J116" s="20">
        <v>3</v>
      </c>
      <c r="K116" s="20">
        <v>2</v>
      </c>
      <c r="L116" s="21">
        <f t="shared" si="8"/>
        <v>0.22222222222222221</v>
      </c>
      <c r="M116" s="20">
        <v>0</v>
      </c>
      <c r="N116" s="22">
        <f t="shared" si="9"/>
        <v>0</v>
      </c>
      <c r="O116" s="20">
        <v>68</v>
      </c>
      <c r="P116" s="20">
        <v>511</v>
      </c>
      <c r="Q116" s="23"/>
      <c r="R116" s="23"/>
      <c r="S116" s="24"/>
      <c r="T116" s="24"/>
      <c r="U116" s="24"/>
      <c r="V116" s="24"/>
      <c r="W116" s="20"/>
      <c r="X116" s="24"/>
      <c r="Y116" s="20"/>
      <c r="Z116" s="24"/>
      <c r="AA116" s="24"/>
      <c r="AB116" s="24"/>
      <c r="AC116" s="24" t="s">
        <v>51</v>
      </c>
      <c r="AD116" s="24"/>
      <c r="AE116" s="24" t="s">
        <v>51</v>
      </c>
      <c r="AF116" s="24"/>
      <c r="AG116" s="24"/>
      <c r="AH116" s="24"/>
      <c r="AI116" s="24"/>
      <c r="AJ116" s="24"/>
    </row>
    <row r="117" spans="1:36" x14ac:dyDescent="0.35">
      <c r="A117" s="17" t="s">
        <v>46</v>
      </c>
      <c r="B117" s="17" t="s">
        <v>47</v>
      </c>
      <c r="C117" s="18" t="s">
        <v>229</v>
      </c>
      <c r="D117" s="17" t="s">
        <v>283</v>
      </c>
      <c r="E117" s="19" t="s">
        <v>284</v>
      </c>
      <c r="F117" s="20">
        <v>1383</v>
      </c>
      <c r="G117" s="20">
        <v>177</v>
      </c>
      <c r="H117" s="19">
        <v>786</v>
      </c>
      <c r="I117" s="20">
        <v>390</v>
      </c>
      <c r="J117" s="20">
        <v>396</v>
      </c>
      <c r="K117" s="20">
        <v>128</v>
      </c>
      <c r="L117" s="21">
        <f t="shared" si="8"/>
        <v>0.16284987277353691</v>
      </c>
      <c r="M117" s="20">
        <v>0</v>
      </c>
      <c r="N117" s="22">
        <f t="shared" si="9"/>
        <v>0</v>
      </c>
      <c r="O117" s="20">
        <v>531</v>
      </c>
      <c r="P117" s="20">
        <v>341</v>
      </c>
      <c r="Q117" s="23"/>
      <c r="R117" s="23"/>
      <c r="S117" s="24"/>
      <c r="T117" s="24"/>
      <c r="U117" s="24"/>
      <c r="V117" s="24"/>
      <c r="W117" s="20"/>
      <c r="X117" s="24" t="s">
        <v>51</v>
      </c>
      <c r="Y117" s="20"/>
      <c r="Z117" s="24"/>
      <c r="AA117" s="24"/>
      <c r="AB117" s="24"/>
      <c r="AC117" s="24" t="s">
        <v>51</v>
      </c>
      <c r="AD117" s="24"/>
      <c r="AE117" s="24" t="s">
        <v>51</v>
      </c>
      <c r="AF117" s="24">
        <v>52</v>
      </c>
      <c r="AG117" s="24" t="s">
        <v>60</v>
      </c>
      <c r="AH117" s="24">
        <v>25.062885000000001</v>
      </c>
      <c r="AI117" s="24">
        <v>75.024252000000004</v>
      </c>
      <c r="AJ117" s="25" t="s">
        <v>51</v>
      </c>
    </row>
    <row r="118" spans="1:36" x14ac:dyDescent="0.35">
      <c r="A118" s="17" t="s">
        <v>46</v>
      </c>
      <c r="B118" s="17" t="s">
        <v>47</v>
      </c>
      <c r="C118" s="18" t="s">
        <v>229</v>
      </c>
      <c r="D118" s="17" t="s">
        <v>285</v>
      </c>
      <c r="E118" s="19" t="s">
        <v>286</v>
      </c>
      <c r="F118" s="20">
        <v>291</v>
      </c>
      <c r="G118" s="20">
        <v>119</v>
      </c>
      <c r="H118" s="19">
        <v>602</v>
      </c>
      <c r="I118" s="20">
        <v>296</v>
      </c>
      <c r="J118" s="20">
        <v>306</v>
      </c>
      <c r="K118" s="20">
        <v>109</v>
      </c>
      <c r="L118" s="21">
        <f t="shared" si="8"/>
        <v>0.18106312292358803</v>
      </c>
      <c r="M118" s="20">
        <v>0</v>
      </c>
      <c r="N118" s="22">
        <f t="shared" si="9"/>
        <v>0</v>
      </c>
      <c r="O118" s="20">
        <v>56</v>
      </c>
      <c r="P118" s="20">
        <v>0</v>
      </c>
      <c r="Q118" s="23" t="s">
        <v>51</v>
      </c>
      <c r="R118" s="27">
        <v>45100</v>
      </c>
      <c r="S118" s="24"/>
      <c r="T118" s="24"/>
      <c r="U118" s="24"/>
      <c r="V118" s="24"/>
      <c r="W118" s="20"/>
      <c r="X118" s="24" t="s">
        <v>51</v>
      </c>
      <c r="Y118" s="20"/>
      <c r="Z118" s="24"/>
      <c r="AA118" s="24"/>
      <c r="AB118" s="24"/>
      <c r="AC118" s="24" t="s">
        <v>51</v>
      </c>
      <c r="AD118" s="24"/>
      <c r="AE118" s="24" t="s">
        <v>51</v>
      </c>
      <c r="AF118" s="24"/>
      <c r="AG118" s="24"/>
      <c r="AH118" s="24"/>
      <c r="AI118" s="24"/>
      <c r="AJ118" s="25" t="s">
        <v>51</v>
      </c>
    </row>
    <row r="119" spans="1:36" x14ac:dyDescent="0.35">
      <c r="A119" s="17" t="s">
        <v>46</v>
      </c>
      <c r="B119" s="17" t="s">
        <v>47</v>
      </c>
      <c r="C119" s="18" t="s">
        <v>280</v>
      </c>
      <c r="D119" s="17" t="s">
        <v>287</v>
      </c>
      <c r="E119" s="19" t="s">
        <v>288</v>
      </c>
      <c r="F119" s="20">
        <v>626</v>
      </c>
      <c r="G119" s="20">
        <v>244</v>
      </c>
      <c r="H119" s="19">
        <v>1172</v>
      </c>
      <c r="I119" s="20">
        <v>592</v>
      </c>
      <c r="J119" s="20">
        <v>580</v>
      </c>
      <c r="K119" s="20">
        <v>169</v>
      </c>
      <c r="L119" s="21">
        <f t="shared" si="8"/>
        <v>0.14419795221843004</v>
      </c>
      <c r="M119" s="20">
        <v>23</v>
      </c>
      <c r="N119" s="22">
        <f t="shared" si="9"/>
        <v>1.9624573378839591E-2</v>
      </c>
      <c r="O119" s="20">
        <v>190</v>
      </c>
      <c r="P119" s="20">
        <v>16</v>
      </c>
      <c r="Q119" s="23"/>
      <c r="R119" s="23"/>
      <c r="S119" s="24"/>
      <c r="T119" s="24"/>
      <c r="U119" s="24"/>
      <c r="V119" s="24"/>
      <c r="W119" s="20"/>
      <c r="X119" s="24" t="s">
        <v>51</v>
      </c>
      <c r="Y119" s="20"/>
      <c r="Z119" s="24"/>
      <c r="AA119" s="24"/>
      <c r="AB119" s="24"/>
      <c r="AC119" s="24" t="s">
        <v>51</v>
      </c>
      <c r="AD119" s="24"/>
      <c r="AE119" s="24" t="s">
        <v>51</v>
      </c>
      <c r="AF119" s="24">
        <v>20</v>
      </c>
      <c r="AG119" s="24" t="s">
        <v>60</v>
      </c>
      <c r="AH119" s="24">
        <v>25.056312999999999</v>
      </c>
      <c r="AI119" s="24">
        <v>75.056405999999996</v>
      </c>
      <c r="AJ119" s="25" t="s">
        <v>51</v>
      </c>
    </row>
    <row r="120" spans="1:36" x14ac:dyDescent="0.35">
      <c r="A120" s="17" t="s">
        <v>46</v>
      </c>
      <c r="B120" s="17" t="s">
        <v>47</v>
      </c>
      <c r="C120" s="18" t="s">
        <v>280</v>
      </c>
      <c r="D120" s="17" t="s">
        <v>280</v>
      </c>
      <c r="E120" s="19" t="s">
        <v>289</v>
      </c>
      <c r="F120" s="20">
        <v>1175</v>
      </c>
      <c r="G120" s="20">
        <v>423</v>
      </c>
      <c r="H120" s="19">
        <v>1964</v>
      </c>
      <c r="I120" s="20">
        <v>1027</v>
      </c>
      <c r="J120" s="20">
        <v>937</v>
      </c>
      <c r="K120" s="20">
        <v>248</v>
      </c>
      <c r="L120" s="21">
        <f t="shared" si="8"/>
        <v>0.12627291242362526</v>
      </c>
      <c r="M120" s="20">
        <v>31</v>
      </c>
      <c r="N120" s="22">
        <f t="shared" si="9"/>
        <v>1.5784114052953158E-2</v>
      </c>
      <c r="O120" s="20">
        <v>303</v>
      </c>
      <c r="P120" s="20">
        <v>0</v>
      </c>
      <c r="Q120" s="23"/>
      <c r="R120" s="23"/>
      <c r="S120" s="24"/>
      <c r="T120" s="24"/>
      <c r="U120" s="24"/>
      <c r="V120" s="24"/>
      <c r="W120" s="20"/>
      <c r="X120" s="24" t="s">
        <v>51</v>
      </c>
      <c r="Y120" s="20"/>
      <c r="Z120" s="24"/>
      <c r="AA120" s="24"/>
      <c r="AB120" s="24"/>
      <c r="AC120" s="24" t="s">
        <v>51</v>
      </c>
      <c r="AD120" s="24"/>
      <c r="AE120" s="24" t="s">
        <v>51</v>
      </c>
      <c r="AF120" s="24">
        <v>25</v>
      </c>
      <c r="AG120" s="24" t="s">
        <v>60</v>
      </c>
      <c r="AH120" s="24">
        <v>25.0525299</v>
      </c>
      <c r="AI120" s="24">
        <v>75.081223699999995</v>
      </c>
      <c r="AJ120" s="25" t="s">
        <v>51</v>
      </c>
    </row>
    <row r="121" spans="1:36" x14ac:dyDescent="0.35">
      <c r="A121" s="17" t="s">
        <v>46</v>
      </c>
      <c r="B121" s="17" t="s">
        <v>47</v>
      </c>
      <c r="C121" s="18" t="s">
        <v>280</v>
      </c>
      <c r="D121" s="17" t="s">
        <v>290</v>
      </c>
      <c r="E121" s="19" t="s">
        <v>291</v>
      </c>
      <c r="F121" s="20">
        <v>217</v>
      </c>
      <c r="G121" s="20">
        <v>96</v>
      </c>
      <c r="H121" s="19">
        <v>443</v>
      </c>
      <c r="I121" s="20">
        <v>238</v>
      </c>
      <c r="J121" s="20">
        <v>205</v>
      </c>
      <c r="K121" s="20">
        <v>12</v>
      </c>
      <c r="L121" s="21">
        <f t="shared" si="8"/>
        <v>2.7088036117381489E-2</v>
      </c>
      <c r="M121" s="20">
        <v>0</v>
      </c>
      <c r="N121" s="22">
        <f t="shared" si="9"/>
        <v>0</v>
      </c>
      <c r="O121" s="20">
        <v>32</v>
      </c>
      <c r="P121" s="20">
        <v>0</v>
      </c>
      <c r="Q121" s="23"/>
      <c r="R121" s="23"/>
      <c r="S121" s="24"/>
      <c r="T121" s="24"/>
      <c r="U121" s="24"/>
      <c r="V121" s="24"/>
      <c r="W121" s="20"/>
      <c r="X121" s="24" t="s">
        <v>51</v>
      </c>
      <c r="Y121" s="20"/>
      <c r="Z121" s="24"/>
      <c r="AA121" s="24"/>
      <c r="AB121" s="24"/>
      <c r="AC121" s="24" t="s">
        <v>51</v>
      </c>
      <c r="AD121" s="24"/>
      <c r="AE121" s="24" t="s">
        <v>51</v>
      </c>
      <c r="AF121" s="24">
        <v>20</v>
      </c>
      <c r="AG121" s="24" t="s">
        <v>80</v>
      </c>
      <c r="AH121" s="24">
        <v>25.022396000000001</v>
      </c>
      <c r="AI121" s="24">
        <v>75.040293000000005</v>
      </c>
      <c r="AJ121" s="25" t="s">
        <v>51</v>
      </c>
    </row>
    <row r="122" spans="1:36" x14ac:dyDescent="0.35">
      <c r="A122" s="17" t="s">
        <v>46</v>
      </c>
      <c r="B122" s="17" t="s">
        <v>47</v>
      </c>
      <c r="C122" s="18" t="s">
        <v>210</v>
      </c>
      <c r="D122" s="17" t="s">
        <v>292</v>
      </c>
      <c r="E122" s="19" t="s">
        <v>293</v>
      </c>
      <c r="F122" s="20">
        <v>384.48</v>
      </c>
      <c r="G122" s="20">
        <v>136</v>
      </c>
      <c r="H122" s="19">
        <v>659</v>
      </c>
      <c r="I122" s="20">
        <v>317</v>
      </c>
      <c r="J122" s="20">
        <v>342</v>
      </c>
      <c r="K122" s="20">
        <v>298</v>
      </c>
      <c r="L122" s="21">
        <f t="shared" si="8"/>
        <v>0.45220030349013657</v>
      </c>
      <c r="M122" s="20">
        <v>4</v>
      </c>
      <c r="N122" s="22">
        <f t="shared" si="9"/>
        <v>6.0698027314112293E-3</v>
      </c>
      <c r="O122" s="20">
        <v>80.150000000000006</v>
      </c>
      <c r="P122" s="20">
        <v>46.36</v>
      </c>
      <c r="Q122" s="23"/>
      <c r="R122" s="23"/>
      <c r="S122" s="24"/>
      <c r="T122" s="24"/>
      <c r="U122" s="24"/>
      <c r="V122" s="24"/>
      <c r="W122" s="20" t="s">
        <v>51</v>
      </c>
      <c r="X122" s="24" t="s">
        <v>51</v>
      </c>
      <c r="Y122" s="20"/>
      <c r="Z122" s="24"/>
      <c r="AA122" s="24"/>
      <c r="AB122" s="24"/>
      <c r="AC122" s="24" t="s">
        <v>51</v>
      </c>
      <c r="AD122" s="24"/>
      <c r="AE122" s="24" t="s">
        <v>51</v>
      </c>
      <c r="AF122" s="24"/>
      <c r="AG122" s="24"/>
      <c r="AH122" s="24"/>
      <c r="AI122" s="24"/>
      <c r="AJ122" s="25" t="s">
        <v>51</v>
      </c>
    </row>
    <row r="123" spans="1:36" x14ac:dyDescent="0.35">
      <c r="A123" s="17" t="s">
        <v>46</v>
      </c>
      <c r="B123" s="17" t="s">
        <v>47</v>
      </c>
      <c r="C123" s="18" t="s">
        <v>210</v>
      </c>
      <c r="D123" s="17" t="s">
        <v>294</v>
      </c>
      <c r="E123" s="19" t="s">
        <v>295</v>
      </c>
      <c r="F123" s="20">
        <v>250.46</v>
      </c>
      <c r="G123" s="20">
        <v>81</v>
      </c>
      <c r="H123" s="19">
        <v>424</v>
      </c>
      <c r="I123" s="20">
        <v>198</v>
      </c>
      <c r="J123" s="20">
        <v>226</v>
      </c>
      <c r="K123" s="20">
        <v>61</v>
      </c>
      <c r="L123" s="21">
        <f t="shared" si="8"/>
        <v>0.14386792452830188</v>
      </c>
      <c r="M123" s="20">
        <v>0</v>
      </c>
      <c r="N123" s="22">
        <f t="shared" si="9"/>
        <v>0</v>
      </c>
      <c r="O123" s="20">
        <v>79.709999999999994</v>
      </c>
      <c r="P123" s="20">
        <v>0</v>
      </c>
      <c r="Q123" s="23"/>
      <c r="R123" s="23"/>
      <c r="S123" s="24"/>
      <c r="T123" s="24"/>
      <c r="U123" s="24"/>
      <c r="V123" s="24"/>
      <c r="W123" s="20" t="s">
        <v>51</v>
      </c>
      <c r="X123" s="24" t="s">
        <v>51</v>
      </c>
      <c r="Y123" s="20"/>
      <c r="Z123" s="24"/>
      <c r="AA123" s="24"/>
      <c r="AB123" s="24"/>
      <c r="AC123" s="24" t="s">
        <v>51</v>
      </c>
      <c r="AD123" s="24"/>
      <c r="AE123" s="24" t="s">
        <v>51</v>
      </c>
      <c r="AF123" s="24">
        <v>69</v>
      </c>
      <c r="AG123" s="24" t="s">
        <v>60</v>
      </c>
      <c r="AH123" s="34">
        <v>25.0290052</v>
      </c>
      <c r="AI123" s="34">
        <v>74.996990699999998</v>
      </c>
      <c r="AJ123" s="25" t="s">
        <v>51</v>
      </c>
    </row>
    <row r="124" spans="1:36" x14ac:dyDescent="0.35">
      <c r="A124" s="17" t="s">
        <v>46</v>
      </c>
      <c r="B124" s="17" t="s">
        <v>47</v>
      </c>
      <c r="C124" s="18" t="s">
        <v>210</v>
      </c>
      <c r="D124" s="17" t="s">
        <v>296</v>
      </c>
      <c r="E124" s="19" t="s">
        <v>297</v>
      </c>
      <c r="F124" s="20">
        <v>60.1</v>
      </c>
      <c r="G124" s="20">
        <v>5</v>
      </c>
      <c r="H124" s="19">
        <v>26</v>
      </c>
      <c r="I124" s="20">
        <v>15</v>
      </c>
      <c r="J124" s="20">
        <v>11</v>
      </c>
      <c r="K124" s="20">
        <v>0</v>
      </c>
      <c r="L124" s="21">
        <f t="shared" si="8"/>
        <v>0</v>
      </c>
      <c r="M124" s="20">
        <v>25</v>
      </c>
      <c r="N124" s="22">
        <f t="shared" si="9"/>
        <v>0.96153846153846156</v>
      </c>
      <c r="O124" s="20">
        <v>0</v>
      </c>
      <c r="P124" s="20">
        <v>0</v>
      </c>
      <c r="Q124" s="23"/>
      <c r="R124" s="23"/>
      <c r="S124" s="24"/>
      <c r="T124" s="24"/>
      <c r="U124" s="24"/>
      <c r="V124" s="24"/>
      <c r="W124" s="20" t="s">
        <v>51</v>
      </c>
      <c r="X124" s="24"/>
      <c r="Y124" s="20"/>
      <c r="Z124" s="24"/>
      <c r="AA124" s="24"/>
      <c r="AB124" s="24"/>
      <c r="AC124" s="24" t="s">
        <v>51</v>
      </c>
      <c r="AD124" s="24"/>
      <c r="AE124" s="24" t="s">
        <v>51</v>
      </c>
      <c r="AF124" s="24"/>
      <c r="AG124" s="24"/>
      <c r="AH124" s="24"/>
      <c r="AI124" s="24"/>
      <c r="AJ124" s="24"/>
    </row>
    <row r="125" spans="1:36" x14ac:dyDescent="0.35">
      <c r="A125" s="17" t="s">
        <v>46</v>
      </c>
      <c r="B125" s="17" t="s">
        <v>47</v>
      </c>
      <c r="C125" s="18" t="s">
        <v>210</v>
      </c>
      <c r="D125" s="17" t="s">
        <v>298</v>
      </c>
      <c r="E125" s="19" t="s">
        <v>299</v>
      </c>
      <c r="F125" s="28">
        <v>48.38</v>
      </c>
      <c r="G125" s="28"/>
      <c r="H125" s="19">
        <v>0</v>
      </c>
      <c r="I125" s="28"/>
      <c r="J125" s="28"/>
      <c r="K125" s="28"/>
      <c r="L125" s="21"/>
      <c r="M125" s="28"/>
      <c r="N125" s="22"/>
      <c r="O125" s="28">
        <v>17.37</v>
      </c>
      <c r="P125" s="28">
        <v>0</v>
      </c>
      <c r="Q125" s="23"/>
      <c r="R125" s="23"/>
      <c r="S125" s="24"/>
      <c r="T125" s="24"/>
      <c r="U125" s="24"/>
      <c r="V125" s="24"/>
      <c r="W125" s="20" t="s">
        <v>51</v>
      </c>
      <c r="X125" s="24"/>
      <c r="Y125" s="28"/>
      <c r="Z125" s="24"/>
      <c r="AA125" s="24"/>
      <c r="AB125" s="24"/>
      <c r="AC125" s="24" t="s">
        <v>51</v>
      </c>
      <c r="AD125" s="24"/>
      <c r="AE125" s="24" t="s">
        <v>51</v>
      </c>
      <c r="AF125" s="24"/>
      <c r="AG125" s="24"/>
      <c r="AH125" s="24"/>
      <c r="AI125" s="24"/>
      <c r="AJ125" s="24"/>
    </row>
    <row r="126" spans="1:36" x14ac:dyDescent="0.35">
      <c r="A126" s="17" t="s">
        <v>46</v>
      </c>
      <c r="B126" s="17" t="s">
        <v>47</v>
      </c>
      <c r="C126" s="18" t="s">
        <v>210</v>
      </c>
      <c r="D126" s="17" t="s">
        <v>300</v>
      </c>
      <c r="E126" s="19" t="s">
        <v>301</v>
      </c>
      <c r="F126" s="20">
        <v>211.08</v>
      </c>
      <c r="G126" s="20">
        <v>90</v>
      </c>
      <c r="H126" s="19">
        <v>423</v>
      </c>
      <c r="I126" s="20">
        <v>203</v>
      </c>
      <c r="J126" s="20">
        <v>220</v>
      </c>
      <c r="K126" s="20">
        <v>84</v>
      </c>
      <c r="L126" s="21">
        <f t="shared" ref="L126:L133" si="10">K126/H126</f>
        <v>0.19858156028368795</v>
      </c>
      <c r="M126" s="20">
        <v>84</v>
      </c>
      <c r="N126" s="22">
        <f t="shared" ref="N126:N133" si="11">M126/H126</f>
        <v>0.19858156028368795</v>
      </c>
      <c r="O126" s="20">
        <v>40.58</v>
      </c>
      <c r="P126" s="20">
        <v>0</v>
      </c>
      <c r="Q126" s="23"/>
      <c r="R126" s="23"/>
      <c r="S126" s="24"/>
      <c r="T126" s="24"/>
      <c r="U126" s="24"/>
      <c r="V126" s="24"/>
      <c r="W126" s="20" t="s">
        <v>51</v>
      </c>
      <c r="X126" s="24" t="s">
        <v>51</v>
      </c>
      <c r="Y126" s="20"/>
      <c r="Z126" s="24"/>
      <c r="AA126" s="24"/>
      <c r="AB126" s="24"/>
      <c r="AC126" s="24" t="s">
        <v>51</v>
      </c>
      <c r="AD126" s="24"/>
      <c r="AE126" s="24" t="s">
        <v>51</v>
      </c>
      <c r="AF126" s="24">
        <v>93.46</v>
      </c>
      <c r="AG126" s="24" t="s">
        <v>60</v>
      </c>
      <c r="AH126" s="24">
        <v>25.029561000000001</v>
      </c>
      <c r="AI126" s="24">
        <v>74.969682000000006</v>
      </c>
      <c r="AJ126" s="25" t="s">
        <v>51</v>
      </c>
    </row>
    <row r="127" spans="1:36" x14ac:dyDescent="0.35">
      <c r="A127" s="17" t="s">
        <v>46</v>
      </c>
      <c r="B127" s="17" t="s">
        <v>47</v>
      </c>
      <c r="C127" s="18" t="s">
        <v>210</v>
      </c>
      <c r="D127" s="17" t="s">
        <v>210</v>
      </c>
      <c r="E127" s="19" t="s">
        <v>302</v>
      </c>
      <c r="F127" s="20">
        <v>439.42</v>
      </c>
      <c r="G127" s="20">
        <v>109</v>
      </c>
      <c r="H127" s="19">
        <v>601</v>
      </c>
      <c r="I127" s="20">
        <v>291</v>
      </c>
      <c r="J127" s="20">
        <v>310</v>
      </c>
      <c r="K127" s="20">
        <v>14</v>
      </c>
      <c r="L127" s="21">
        <f t="shared" si="10"/>
        <v>2.329450915141431E-2</v>
      </c>
      <c r="M127" s="20">
        <v>92</v>
      </c>
      <c r="N127" s="22">
        <f t="shared" si="11"/>
        <v>0.15307820299500832</v>
      </c>
      <c r="O127" s="20">
        <v>140.4</v>
      </c>
      <c r="P127" s="20">
        <v>0</v>
      </c>
      <c r="Q127" s="23"/>
      <c r="R127" s="23"/>
      <c r="S127" s="24"/>
      <c r="T127" s="24"/>
      <c r="U127" s="24"/>
      <c r="V127" s="24"/>
      <c r="W127" s="20" t="s">
        <v>51</v>
      </c>
      <c r="X127" s="24" t="s">
        <v>51</v>
      </c>
      <c r="Y127" s="20"/>
      <c r="Z127" s="24"/>
      <c r="AA127" s="24"/>
      <c r="AB127" s="24"/>
      <c r="AC127" s="24" t="s">
        <v>51</v>
      </c>
      <c r="AD127" s="24"/>
      <c r="AE127" s="24" t="s">
        <v>51</v>
      </c>
      <c r="AF127" s="24">
        <v>37.71</v>
      </c>
      <c r="AG127" s="24" t="s">
        <v>60</v>
      </c>
      <c r="AH127" s="30">
        <v>25.039919999999999</v>
      </c>
      <c r="AI127" s="30">
        <v>74.958020000000005</v>
      </c>
      <c r="AJ127" s="25" t="s">
        <v>51</v>
      </c>
    </row>
    <row r="128" spans="1:36" x14ac:dyDescent="0.35">
      <c r="A128" s="17" t="s">
        <v>46</v>
      </c>
      <c r="B128" s="17" t="s">
        <v>47</v>
      </c>
      <c r="C128" s="18" t="s">
        <v>210</v>
      </c>
      <c r="D128" s="17" t="s">
        <v>303</v>
      </c>
      <c r="E128" s="19" t="s">
        <v>304</v>
      </c>
      <c r="F128" s="20">
        <v>266.24</v>
      </c>
      <c r="G128" s="20">
        <v>178</v>
      </c>
      <c r="H128" s="19">
        <v>801</v>
      </c>
      <c r="I128" s="20">
        <v>395</v>
      </c>
      <c r="J128" s="20">
        <v>406</v>
      </c>
      <c r="K128" s="20">
        <v>163</v>
      </c>
      <c r="L128" s="21">
        <f t="shared" si="10"/>
        <v>0.20349563046192259</v>
      </c>
      <c r="M128" s="20">
        <v>45</v>
      </c>
      <c r="N128" s="22">
        <f t="shared" si="11"/>
        <v>5.6179775280898875E-2</v>
      </c>
      <c r="O128" s="20">
        <v>58.52</v>
      </c>
      <c r="P128" s="20">
        <v>0</v>
      </c>
      <c r="Q128" s="23"/>
      <c r="R128" s="23"/>
      <c r="S128" s="24"/>
      <c r="T128" s="24"/>
      <c r="U128" s="24"/>
      <c r="V128" s="24"/>
      <c r="W128" s="20" t="s">
        <v>51</v>
      </c>
      <c r="X128" s="24" t="s">
        <v>51</v>
      </c>
      <c r="Y128" s="20"/>
      <c r="Z128" s="24"/>
      <c r="AA128" s="24"/>
      <c r="AB128" s="24"/>
      <c r="AC128" s="24" t="s">
        <v>51</v>
      </c>
      <c r="AD128" s="24"/>
      <c r="AE128" s="24" t="s">
        <v>51</v>
      </c>
      <c r="AF128" s="24">
        <v>60</v>
      </c>
      <c r="AG128" s="24" t="s">
        <v>60</v>
      </c>
      <c r="AH128" s="24">
        <v>25.017741000000001</v>
      </c>
      <c r="AI128" s="24">
        <v>74.963876999999997</v>
      </c>
      <c r="AJ128" s="25" t="s">
        <v>51</v>
      </c>
    </row>
    <row r="129" spans="1:36" x14ac:dyDescent="0.35">
      <c r="A129" s="17" t="s">
        <v>46</v>
      </c>
      <c r="B129" s="17" t="s">
        <v>47</v>
      </c>
      <c r="C129" s="18" t="s">
        <v>210</v>
      </c>
      <c r="D129" s="17" t="s">
        <v>305</v>
      </c>
      <c r="E129" s="19" t="s">
        <v>306</v>
      </c>
      <c r="F129" s="20">
        <v>63.57</v>
      </c>
      <c r="G129" s="20">
        <v>33</v>
      </c>
      <c r="H129" s="19">
        <v>152</v>
      </c>
      <c r="I129" s="20">
        <v>71</v>
      </c>
      <c r="J129" s="20">
        <v>81</v>
      </c>
      <c r="K129" s="20">
        <v>0</v>
      </c>
      <c r="L129" s="21">
        <f t="shared" si="10"/>
        <v>0</v>
      </c>
      <c r="M129" s="20">
        <v>152</v>
      </c>
      <c r="N129" s="22">
        <f t="shared" si="11"/>
        <v>1</v>
      </c>
      <c r="O129" s="20">
        <v>1.53</v>
      </c>
      <c r="P129" s="20">
        <v>0</v>
      </c>
      <c r="Q129" s="23"/>
      <c r="R129" s="23"/>
      <c r="S129" s="24"/>
      <c r="T129" s="24"/>
      <c r="U129" s="24"/>
      <c r="V129" s="24"/>
      <c r="W129" s="20" t="s">
        <v>51</v>
      </c>
      <c r="X129" s="24" t="s">
        <v>51</v>
      </c>
      <c r="Y129" s="20"/>
      <c r="Z129" s="24"/>
      <c r="AA129" s="24"/>
      <c r="AB129" s="24"/>
      <c r="AC129" s="24" t="s">
        <v>51</v>
      </c>
      <c r="AD129" s="24"/>
      <c r="AE129" s="24" t="s">
        <v>51</v>
      </c>
      <c r="AF129" s="24">
        <v>54</v>
      </c>
      <c r="AG129" s="24" t="s">
        <v>60</v>
      </c>
      <c r="AH129" s="30">
        <v>25.007574000000002</v>
      </c>
      <c r="AI129" s="30">
        <v>74.963200000000001</v>
      </c>
      <c r="AJ129" s="25" t="s">
        <v>51</v>
      </c>
    </row>
    <row r="130" spans="1:36" x14ac:dyDescent="0.35">
      <c r="A130" s="17" t="s">
        <v>46</v>
      </c>
      <c r="B130" s="17" t="s">
        <v>47</v>
      </c>
      <c r="C130" s="18" t="s">
        <v>164</v>
      </c>
      <c r="D130" s="17" t="s">
        <v>164</v>
      </c>
      <c r="E130" s="19" t="s">
        <v>307</v>
      </c>
      <c r="F130" s="20">
        <v>1381</v>
      </c>
      <c r="G130" s="20">
        <v>420</v>
      </c>
      <c r="H130" s="19">
        <v>2110</v>
      </c>
      <c r="I130" s="20">
        <v>1080</v>
      </c>
      <c r="J130" s="20">
        <v>1030</v>
      </c>
      <c r="K130" s="20">
        <v>665</v>
      </c>
      <c r="L130" s="21">
        <f t="shared" si="10"/>
        <v>0.31516587677725116</v>
      </c>
      <c r="M130" s="20">
        <v>100</v>
      </c>
      <c r="N130" s="22">
        <f t="shared" si="11"/>
        <v>4.7393364928909949E-2</v>
      </c>
      <c r="O130" s="20">
        <v>117</v>
      </c>
      <c r="P130" s="20">
        <v>0</v>
      </c>
      <c r="Q130" s="23"/>
      <c r="R130" s="23"/>
      <c r="S130" s="24"/>
      <c r="T130" s="24"/>
      <c r="U130" s="24"/>
      <c r="V130" s="24"/>
      <c r="W130" s="20"/>
      <c r="X130" s="24" t="s">
        <v>51</v>
      </c>
      <c r="Y130" s="20"/>
      <c r="Z130" s="24"/>
      <c r="AA130" s="24"/>
      <c r="AB130" s="24"/>
      <c r="AC130" s="24" t="s">
        <v>51</v>
      </c>
      <c r="AD130" s="24"/>
      <c r="AE130" s="24" t="s">
        <v>51</v>
      </c>
      <c r="AF130" s="24">
        <v>63</v>
      </c>
      <c r="AG130" s="24" t="s">
        <v>60</v>
      </c>
      <c r="AH130" s="35">
        <v>24.991718299999999</v>
      </c>
      <c r="AI130" s="36">
        <v>74.9787733</v>
      </c>
      <c r="AJ130" s="25" t="s">
        <v>51</v>
      </c>
    </row>
    <row r="131" spans="1:36" x14ac:dyDescent="0.35">
      <c r="A131" s="17" t="s">
        <v>46</v>
      </c>
      <c r="B131" s="17" t="s">
        <v>47</v>
      </c>
      <c r="C131" s="18" t="s">
        <v>195</v>
      </c>
      <c r="D131" s="17" t="s">
        <v>308</v>
      </c>
      <c r="E131" s="19" t="s">
        <v>309</v>
      </c>
      <c r="F131" s="20">
        <v>578</v>
      </c>
      <c r="G131" s="20">
        <v>193</v>
      </c>
      <c r="H131" s="19">
        <v>797</v>
      </c>
      <c r="I131" s="20">
        <v>405</v>
      </c>
      <c r="J131" s="20">
        <v>392</v>
      </c>
      <c r="K131" s="20">
        <v>282</v>
      </c>
      <c r="L131" s="21">
        <f t="shared" si="10"/>
        <v>0.35382685069008785</v>
      </c>
      <c r="M131" s="20">
        <v>54</v>
      </c>
      <c r="N131" s="22">
        <f t="shared" si="11"/>
        <v>6.775407779171895E-2</v>
      </c>
      <c r="O131" s="20">
        <v>100</v>
      </c>
      <c r="P131" s="20">
        <v>74</v>
      </c>
      <c r="Q131" s="23"/>
      <c r="R131" s="23"/>
      <c r="S131" s="24"/>
      <c r="T131" s="24"/>
      <c r="U131" s="24"/>
      <c r="V131" s="24"/>
      <c r="W131" s="20" t="s">
        <v>51</v>
      </c>
      <c r="X131" s="24" t="s">
        <v>51</v>
      </c>
      <c r="Y131" s="20"/>
      <c r="Z131" s="24"/>
      <c r="AA131" s="24"/>
      <c r="AB131" s="24"/>
      <c r="AC131" s="24" t="s">
        <v>51</v>
      </c>
      <c r="AD131" s="24"/>
      <c r="AE131" s="24" t="s">
        <v>51</v>
      </c>
      <c r="AF131" s="24">
        <v>49</v>
      </c>
      <c r="AG131" s="24" t="s">
        <v>80</v>
      </c>
      <c r="AH131" s="32">
        <v>24.982279999999999</v>
      </c>
      <c r="AI131" s="32">
        <v>74.935042999999993</v>
      </c>
      <c r="AJ131" s="25" t="s">
        <v>51</v>
      </c>
    </row>
    <row r="132" spans="1:36" x14ac:dyDescent="0.35">
      <c r="A132" s="17" t="s">
        <v>46</v>
      </c>
      <c r="B132" s="17" t="s">
        <v>47</v>
      </c>
      <c r="C132" s="18" t="s">
        <v>164</v>
      </c>
      <c r="D132" s="17" t="s">
        <v>310</v>
      </c>
      <c r="E132" s="19" t="s">
        <v>311</v>
      </c>
      <c r="F132" s="20">
        <v>248</v>
      </c>
      <c r="G132" s="20">
        <v>149</v>
      </c>
      <c r="H132" s="19">
        <v>716</v>
      </c>
      <c r="I132" s="20">
        <v>373</v>
      </c>
      <c r="J132" s="20">
        <v>343</v>
      </c>
      <c r="K132" s="20">
        <v>24</v>
      </c>
      <c r="L132" s="21">
        <f t="shared" si="10"/>
        <v>3.3519553072625698E-2</v>
      </c>
      <c r="M132" s="20">
        <v>84</v>
      </c>
      <c r="N132" s="22">
        <f t="shared" si="11"/>
        <v>0.11731843575418995</v>
      </c>
      <c r="O132" s="20">
        <v>38</v>
      </c>
      <c r="P132" s="20">
        <v>23</v>
      </c>
      <c r="Q132" s="23"/>
      <c r="R132" s="23"/>
      <c r="S132" s="24"/>
      <c r="T132" s="24"/>
      <c r="U132" s="24"/>
      <c r="V132" s="24"/>
      <c r="W132" s="20"/>
      <c r="X132" s="24" t="s">
        <v>51</v>
      </c>
      <c r="Y132" s="20"/>
      <c r="Z132" s="24"/>
      <c r="AA132" s="24"/>
      <c r="AB132" s="24"/>
      <c r="AC132" s="24" t="s">
        <v>51</v>
      </c>
      <c r="AD132" s="24"/>
      <c r="AE132" s="24" t="s">
        <v>51</v>
      </c>
      <c r="AF132" s="24">
        <v>10</v>
      </c>
      <c r="AG132" s="24" t="s">
        <v>80</v>
      </c>
      <c r="AH132" s="30">
        <v>24.972605000000001</v>
      </c>
      <c r="AI132" s="30">
        <v>74.926779999999994</v>
      </c>
      <c r="AJ132" s="25" t="s">
        <v>51</v>
      </c>
    </row>
    <row r="133" spans="1:36" x14ac:dyDescent="0.35">
      <c r="A133" s="17" t="s">
        <v>46</v>
      </c>
      <c r="B133" s="17" t="s">
        <v>47</v>
      </c>
      <c r="C133" s="18" t="s">
        <v>312</v>
      </c>
      <c r="D133" s="17" t="s">
        <v>312</v>
      </c>
      <c r="E133" s="19" t="s">
        <v>313</v>
      </c>
      <c r="F133" s="20">
        <v>1220</v>
      </c>
      <c r="G133" s="20">
        <v>144</v>
      </c>
      <c r="H133" s="19">
        <v>729</v>
      </c>
      <c r="I133" s="20">
        <v>362</v>
      </c>
      <c r="J133" s="20">
        <v>367</v>
      </c>
      <c r="K133" s="20">
        <v>65</v>
      </c>
      <c r="L133" s="21">
        <f t="shared" si="10"/>
        <v>8.9163237311385465E-2</v>
      </c>
      <c r="M133" s="20">
        <v>144</v>
      </c>
      <c r="N133" s="22">
        <f t="shared" si="11"/>
        <v>0.19753086419753085</v>
      </c>
      <c r="O133" s="20">
        <v>113</v>
      </c>
      <c r="P133" s="20">
        <v>790</v>
      </c>
      <c r="Q133" s="23"/>
      <c r="R133" s="23"/>
      <c r="S133" s="24"/>
      <c r="T133" s="24"/>
      <c r="U133" s="24"/>
      <c r="V133" s="24"/>
      <c r="W133" s="20"/>
      <c r="X133" s="24" t="s">
        <v>51</v>
      </c>
      <c r="Y133" s="20"/>
      <c r="Z133" s="24"/>
      <c r="AA133" s="24"/>
      <c r="AB133" s="24"/>
      <c r="AC133" s="24" t="s">
        <v>51</v>
      </c>
      <c r="AD133" s="24"/>
      <c r="AE133" s="24" t="s">
        <v>51</v>
      </c>
      <c r="AF133" s="24">
        <v>119</v>
      </c>
      <c r="AG133" s="24" t="s">
        <v>60</v>
      </c>
      <c r="AH133" s="30">
        <v>24.949048000000001</v>
      </c>
      <c r="AI133" s="30">
        <v>74.903668100000004</v>
      </c>
      <c r="AJ133" s="25" t="s">
        <v>51</v>
      </c>
    </row>
    <row r="134" spans="1:36" x14ac:dyDescent="0.35">
      <c r="A134" s="17" t="s">
        <v>46</v>
      </c>
      <c r="B134" s="17" t="s">
        <v>47</v>
      </c>
      <c r="C134" s="18" t="s">
        <v>312</v>
      </c>
      <c r="D134" s="17" t="s">
        <v>314</v>
      </c>
      <c r="E134" s="19" t="s">
        <v>315</v>
      </c>
      <c r="F134" s="28">
        <v>19</v>
      </c>
      <c r="G134" s="28"/>
      <c r="H134" s="19">
        <v>0</v>
      </c>
      <c r="I134" s="28"/>
      <c r="J134" s="28"/>
      <c r="K134" s="28"/>
      <c r="L134" s="21"/>
      <c r="M134" s="28"/>
      <c r="N134" s="22"/>
      <c r="O134" s="28">
        <v>0</v>
      </c>
      <c r="P134" s="28">
        <v>0</v>
      </c>
      <c r="Q134" s="23"/>
      <c r="R134" s="23"/>
      <c r="S134" s="24"/>
      <c r="T134" s="24"/>
      <c r="U134" s="24"/>
      <c r="V134" s="24"/>
      <c r="W134" s="28"/>
      <c r="X134" s="24"/>
      <c r="Y134" s="28"/>
      <c r="Z134" s="24"/>
      <c r="AA134" s="24"/>
      <c r="AB134" s="24"/>
      <c r="AC134" s="24" t="s">
        <v>51</v>
      </c>
      <c r="AD134" s="24"/>
      <c r="AE134" s="24" t="s">
        <v>51</v>
      </c>
      <c r="AF134" s="24"/>
      <c r="AG134" s="24"/>
      <c r="AH134" s="24"/>
      <c r="AI134" s="24"/>
      <c r="AJ134" s="24"/>
    </row>
    <row r="135" spans="1:36" x14ac:dyDescent="0.35">
      <c r="A135" s="17" t="s">
        <v>46</v>
      </c>
      <c r="B135" s="17" t="s">
        <v>47</v>
      </c>
      <c r="C135" s="18" t="s">
        <v>312</v>
      </c>
      <c r="D135" s="17" t="s">
        <v>316</v>
      </c>
      <c r="E135" s="19" t="s">
        <v>317</v>
      </c>
      <c r="F135" s="20">
        <v>121</v>
      </c>
      <c r="G135" s="20">
        <v>35</v>
      </c>
      <c r="H135" s="19">
        <v>140</v>
      </c>
      <c r="I135" s="20">
        <v>75</v>
      </c>
      <c r="J135" s="20">
        <v>65</v>
      </c>
      <c r="K135" s="20">
        <v>0</v>
      </c>
      <c r="L135" s="21">
        <f>K135/H135</f>
        <v>0</v>
      </c>
      <c r="M135" s="20">
        <v>28</v>
      </c>
      <c r="N135" s="22">
        <f>M135/H135</f>
        <v>0.2</v>
      </c>
      <c r="O135" s="20">
        <v>33</v>
      </c>
      <c r="P135" s="20">
        <v>21</v>
      </c>
      <c r="Q135" s="23"/>
      <c r="R135" s="23"/>
      <c r="S135" s="24"/>
      <c r="T135" s="24"/>
      <c r="U135" s="24"/>
      <c r="V135" s="24"/>
      <c r="W135" s="20"/>
      <c r="X135" s="24" t="s">
        <v>51</v>
      </c>
      <c r="Y135" s="20"/>
      <c r="Z135" s="24"/>
      <c r="AA135" s="24"/>
      <c r="AB135" s="24"/>
      <c r="AC135" s="24" t="s">
        <v>51</v>
      </c>
      <c r="AD135" s="24"/>
      <c r="AE135" s="24" t="s">
        <v>51</v>
      </c>
      <c r="AF135" s="24"/>
      <c r="AG135" s="24"/>
      <c r="AH135" s="24"/>
      <c r="AI135" s="24"/>
      <c r="AJ135" s="25" t="s">
        <v>51</v>
      </c>
    </row>
    <row r="136" spans="1:36" x14ac:dyDescent="0.35">
      <c r="A136" s="17" t="s">
        <v>46</v>
      </c>
      <c r="B136" s="17" t="s">
        <v>47</v>
      </c>
      <c r="C136" s="18" t="s">
        <v>312</v>
      </c>
      <c r="D136" s="17" t="s">
        <v>318</v>
      </c>
      <c r="E136" s="19" t="s">
        <v>319</v>
      </c>
      <c r="F136" s="20">
        <v>91</v>
      </c>
      <c r="G136" s="20">
        <v>10</v>
      </c>
      <c r="H136" s="19">
        <v>40</v>
      </c>
      <c r="I136" s="20">
        <v>21</v>
      </c>
      <c r="J136" s="20">
        <v>19</v>
      </c>
      <c r="K136" s="20">
        <v>0</v>
      </c>
      <c r="L136" s="21">
        <f>K136/H136</f>
        <v>0</v>
      </c>
      <c r="M136" s="20">
        <v>39</v>
      </c>
      <c r="N136" s="22">
        <f>M136/H136</f>
        <v>0.97499999999999998</v>
      </c>
      <c r="O136" s="20">
        <v>7</v>
      </c>
      <c r="P136" s="20">
        <v>7</v>
      </c>
      <c r="Q136" s="23"/>
      <c r="R136" s="23"/>
      <c r="S136" s="24"/>
      <c r="T136" s="24"/>
      <c r="U136" s="24"/>
      <c r="V136" s="24"/>
      <c r="W136" s="20"/>
      <c r="X136" s="24"/>
      <c r="Y136" s="20"/>
      <c r="Z136" s="24"/>
      <c r="AA136" s="24"/>
      <c r="AB136" s="24"/>
      <c r="AC136" s="24" t="s">
        <v>51</v>
      </c>
      <c r="AD136" s="24"/>
      <c r="AE136" s="24" t="s">
        <v>51</v>
      </c>
      <c r="AF136" s="24"/>
      <c r="AG136" s="24"/>
      <c r="AH136" s="24"/>
      <c r="AI136" s="24"/>
      <c r="AJ136" s="24" t="s">
        <v>51</v>
      </c>
    </row>
    <row r="137" spans="1:36" x14ac:dyDescent="0.35">
      <c r="A137" s="17" t="s">
        <v>46</v>
      </c>
      <c r="B137" s="17" t="s">
        <v>47</v>
      </c>
      <c r="C137" s="18" t="s">
        <v>195</v>
      </c>
      <c r="D137" s="17" t="s">
        <v>320</v>
      </c>
      <c r="E137" s="19" t="s">
        <v>321</v>
      </c>
      <c r="F137" s="28">
        <v>30</v>
      </c>
      <c r="G137" s="28"/>
      <c r="H137" s="19">
        <v>0</v>
      </c>
      <c r="I137" s="28"/>
      <c r="J137" s="28"/>
      <c r="K137" s="28"/>
      <c r="L137" s="21"/>
      <c r="M137" s="28"/>
      <c r="N137" s="22"/>
      <c r="O137" s="28">
        <v>0</v>
      </c>
      <c r="P137" s="28">
        <v>0</v>
      </c>
      <c r="Q137" s="23"/>
      <c r="R137" s="23"/>
      <c r="S137" s="24"/>
      <c r="T137" s="24"/>
      <c r="U137" s="24"/>
      <c r="V137" s="24"/>
      <c r="W137" s="20" t="s">
        <v>51</v>
      </c>
      <c r="X137" s="24"/>
      <c r="Y137" s="28"/>
      <c r="Z137" s="24"/>
      <c r="AA137" s="24"/>
      <c r="AB137" s="24"/>
      <c r="AC137" s="24" t="s">
        <v>51</v>
      </c>
      <c r="AD137" s="24"/>
      <c r="AE137" s="24" t="s">
        <v>51</v>
      </c>
      <c r="AF137" s="24"/>
      <c r="AG137" s="24"/>
      <c r="AH137" s="24"/>
      <c r="AI137" s="24"/>
      <c r="AJ137" s="24"/>
    </row>
    <row r="138" spans="1:36" x14ac:dyDescent="0.35">
      <c r="A138" s="17" t="s">
        <v>46</v>
      </c>
      <c r="B138" s="17" t="s">
        <v>47</v>
      </c>
      <c r="C138" s="18" t="s">
        <v>312</v>
      </c>
      <c r="D138" s="17" t="s">
        <v>322</v>
      </c>
      <c r="E138" s="19" t="s">
        <v>323</v>
      </c>
      <c r="F138" s="20">
        <v>558</v>
      </c>
      <c r="G138" s="20">
        <v>27</v>
      </c>
      <c r="H138" s="19">
        <v>101</v>
      </c>
      <c r="I138" s="20">
        <v>52</v>
      </c>
      <c r="J138" s="20">
        <v>49</v>
      </c>
      <c r="K138" s="20">
        <v>0</v>
      </c>
      <c r="L138" s="21">
        <f>K138/H138</f>
        <v>0</v>
      </c>
      <c r="M138" s="20">
        <v>97</v>
      </c>
      <c r="N138" s="22">
        <f>M138/H138</f>
        <v>0.96039603960396036</v>
      </c>
      <c r="O138" s="20">
        <v>0</v>
      </c>
      <c r="P138" s="20">
        <v>326</v>
      </c>
      <c r="Q138" s="23"/>
      <c r="R138" s="23"/>
      <c r="S138" s="24"/>
      <c r="T138" s="24"/>
      <c r="U138" s="24"/>
      <c r="V138" s="24"/>
      <c r="W138" s="20"/>
      <c r="X138" s="24" t="s">
        <v>51</v>
      </c>
      <c r="Y138" s="20"/>
      <c r="Z138" s="24"/>
      <c r="AA138" s="24"/>
      <c r="AB138" s="24"/>
      <c r="AC138" s="24" t="s">
        <v>51</v>
      </c>
      <c r="AD138" s="24"/>
      <c r="AE138" s="24" t="s">
        <v>51</v>
      </c>
      <c r="AF138" s="24"/>
      <c r="AG138" s="24"/>
      <c r="AH138" s="24"/>
      <c r="AI138" s="24"/>
      <c r="AJ138" s="25" t="s">
        <v>51</v>
      </c>
    </row>
    <row r="139" spans="1:36" x14ac:dyDescent="0.35">
      <c r="A139" s="17" t="s">
        <v>46</v>
      </c>
      <c r="B139" s="17" t="s">
        <v>47</v>
      </c>
      <c r="C139" s="18" t="s">
        <v>113</v>
      </c>
      <c r="D139" s="17" t="s">
        <v>324</v>
      </c>
      <c r="E139" s="19" t="s">
        <v>325</v>
      </c>
      <c r="F139" s="28">
        <v>130</v>
      </c>
      <c r="G139" s="28"/>
      <c r="H139" s="19">
        <v>0</v>
      </c>
      <c r="I139" s="28"/>
      <c r="J139" s="28"/>
      <c r="K139" s="28"/>
      <c r="L139" s="21"/>
      <c r="M139" s="28"/>
      <c r="N139" s="22"/>
      <c r="O139" s="28">
        <v>0</v>
      </c>
      <c r="P139" s="28">
        <v>130</v>
      </c>
      <c r="Q139" s="23"/>
      <c r="R139" s="23"/>
      <c r="S139" s="24"/>
      <c r="T139" s="24"/>
      <c r="U139" s="24"/>
      <c r="V139" s="24"/>
      <c r="W139" s="28"/>
      <c r="X139" s="24"/>
      <c r="Y139" s="28"/>
      <c r="Z139" s="24"/>
      <c r="AA139" s="24"/>
      <c r="AB139" s="24"/>
      <c r="AC139" s="24" t="s">
        <v>51</v>
      </c>
      <c r="AD139" s="24"/>
      <c r="AE139" s="24" t="s">
        <v>51</v>
      </c>
      <c r="AF139" s="24"/>
      <c r="AG139" s="24"/>
      <c r="AH139" s="24"/>
      <c r="AI139" s="24"/>
      <c r="AJ139" s="24"/>
    </row>
    <row r="140" spans="1:36" x14ac:dyDescent="0.35">
      <c r="A140" s="17" t="s">
        <v>46</v>
      </c>
      <c r="B140" s="17" t="s">
        <v>47</v>
      </c>
      <c r="C140" s="18" t="s">
        <v>195</v>
      </c>
      <c r="D140" s="17" t="s">
        <v>326</v>
      </c>
      <c r="E140" s="19" t="s">
        <v>327</v>
      </c>
      <c r="F140" s="28">
        <v>40</v>
      </c>
      <c r="G140" s="28"/>
      <c r="H140" s="19">
        <v>0</v>
      </c>
      <c r="I140" s="28"/>
      <c r="J140" s="28"/>
      <c r="K140" s="28"/>
      <c r="L140" s="21"/>
      <c r="M140" s="28"/>
      <c r="N140" s="22"/>
      <c r="O140" s="28">
        <v>0</v>
      </c>
      <c r="P140" s="28">
        <v>40</v>
      </c>
      <c r="Q140" s="23"/>
      <c r="R140" s="23"/>
      <c r="S140" s="24"/>
      <c r="T140" s="24"/>
      <c r="U140" s="24"/>
      <c r="V140" s="24"/>
      <c r="W140" s="20" t="s">
        <v>51</v>
      </c>
      <c r="X140" s="24"/>
      <c r="Y140" s="28"/>
      <c r="Z140" s="24"/>
      <c r="AA140" s="24"/>
      <c r="AB140" s="24"/>
      <c r="AC140" s="24" t="s">
        <v>51</v>
      </c>
      <c r="AD140" s="24"/>
      <c r="AE140" s="24" t="s">
        <v>51</v>
      </c>
      <c r="AF140" s="24"/>
      <c r="AG140" s="24"/>
      <c r="AH140" s="24"/>
      <c r="AI140" s="24"/>
      <c r="AJ140" s="24"/>
    </row>
    <row r="141" spans="1:36" x14ac:dyDescent="0.35">
      <c r="A141" s="17" t="s">
        <v>46</v>
      </c>
      <c r="B141" s="17" t="s">
        <v>47</v>
      </c>
      <c r="C141" s="18" t="s">
        <v>312</v>
      </c>
      <c r="D141" s="17" t="s">
        <v>328</v>
      </c>
      <c r="E141" s="19" t="s">
        <v>329</v>
      </c>
      <c r="F141" s="28">
        <v>75</v>
      </c>
      <c r="G141" s="28"/>
      <c r="H141" s="19">
        <v>0</v>
      </c>
      <c r="I141" s="28"/>
      <c r="J141" s="28"/>
      <c r="K141" s="28"/>
      <c r="L141" s="21"/>
      <c r="M141" s="28"/>
      <c r="N141" s="22"/>
      <c r="O141" s="28">
        <v>0</v>
      </c>
      <c r="P141" s="28">
        <v>75</v>
      </c>
      <c r="Q141" s="23"/>
      <c r="R141" s="23"/>
      <c r="S141" s="24"/>
      <c r="T141" s="24"/>
      <c r="U141" s="24"/>
      <c r="V141" s="24"/>
      <c r="W141" s="28"/>
      <c r="X141" s="24"/>
      <c r="Y141" s="28"/>
      <c r="Z141" s="24"/>
      <c r="AA141" s="24"/>
      <c r="AB141" s="24"/>
      <c r="AC141" s="24" t="s">
        <v>51</v>
      </c>
      <c r="AD141" s="24"/>
      <c r="AE141" s="24" t="s">
        <v>51</v>
      </c>
      <c r="AF141" s="24"/>
      <c r="AG141" s="24"/>
      <c r="AH141" s="24"/>
      <c r="AI141" s="24"/>
      <c r="AJ141" s="24"/>
    </row>
    <row r="142" spans="1:36" x14ac:dyDescent="0.35">
      <c r="A142" s="17" t="s">
        <v>46</v>
      </c>
      <c r="B142" s="17" t="s">
        <v>47</v>
      </c>
      <c r="C142" s="18" t="s">
        <v>195</v>
      </c>
      <c r="D142" s="17" t="s">
        <v>330</v>
      </c>
      <c r="E142" s="19" t="s">
        <v>331</v>
      </c>
      <c r="F142" s="28">
        <v>60</v>
      </c>
      <c r="G142" s="28"/>
      <c r="H142" s="19">
        <v>0</v>
      </c>
      <c r="I142" s="28"/>
      <c r="J142" s="28"/>
      <c r="K142" s="28"/>
      <c r="L142" s="21"/>
      <c r="M142" s="28"/>
      <c r="N142" s="22"/>
      <c r="O142" s="28">
        <v>0</v>
      </c>
      <c r="P142" s="28">
        <v>60</v>
      </c>
      <c r="Q142" s="23"/>
      <c r="R142" s="23"/>
      <c r="S142" s="24"/>
      <c r="T142" s="24"/>
      <c r="U142" s="24"/>
      <c r="V142" s="24"/>
      <c r="W142" s="20" t="s">
        <v>51</v>
      </c>
      <c r="X142" s="24"/>
      <c r="Y142" s="28"/>
      <c r="Z142" s="24"/>
      <c r="AA142" s="24"/>
      <c r="AB142" s="24"/>
      <c r="AC142" s="24" t="s">
        <v>51</v>
      </c>
      <c r="AD142" s="24"/>
      <c r="AE142" s="24" t="s">
        <v>51</v>
      </c>
      <c r="AF142" s="24"/>
      <c r="AG142" s="24"/>
      <c r="AH142" s="24"/>
      <c r="AI142" s="24"/>
      <c r="AJ142" s="24"/>
    </row>
    <row r="143" spans="1:36" x14ac:dyDescent="0.35">
      <c r="A143" s="17" t="s">
        <v>46</v>
      </c>
      <c r="B143" s="17" t="s">
        <v>47</v>
      </c>
      <c r="C143" s="18" t="s">
        <v>312</v>
      </c>
      <c r="D143" s="17" t="s">
        <v>332</v>
      </c>
      <c r="E143" s="19" t="s">
        <v>333</v>
      </c>
      <c r="F143" s="20">
        <v>288</v>
      </c>
      <c r="G143" s="20">
        <v>87</v>
      </c>
      <c r="H143" s="19">
        <v>340</v>
      </c>
      <c r="I143" s="20">
        <v>170</v>
      </c>
      <c r="J143" s="20">
        <v>170</v>
      </c>
      <c r="K143" s="20">
        <v>0</v>
      </c>
      <c r="L143" s="21">
        <f>K143/H143</f>
        <v>0</v>
      </c>
      <c r="M143" s="20">
        <v>31</v>
      </c>
      <c r="N143" s="22">
        <f>M143/H143</f>
        <v>9.1176470588235289E-2</v>
      </c>
      <c r="O143" s="20">
        <v>16</v>
      </c>
      <c r="P143" s="20">
        <v>163</v>
      </c>
      <c r="Q143" s="23"/>
      <c r="R143" s="23"/>
      <c r="S143" s="24"/>
      <c r="T143" s="24"/>
      <c r="U143" s="24"/>
      <c r="V143" s="24"/>
      <c r="W143" s="20"/>
      <c r="X143" s="24" t="s">
        <v>51</v>
      </c>
      <c r="Y143" s="20"/>
      <c r="Z143" s="24"/>
      <c r="AA143" s="24"/>
      <c r="AB143" s="24"/>
      <c r="AC143" s="24" t="s">
        <v>51</v>
      </c>
      <c r="AD143" s="24"/>
      <c r="AE143" s="24" t="s">
        <v>51</v>
      </c>
      <c r="AF143" s="24">
        <v>16</v>
      </c>
      <c r="AG143" s="24" t="s">
        <v>54</v>
      </c>
      <c r="AH143" s="3">
        <v>24.944279999999999</v>
      </c>
      <c r="AI143" s="3" t="s">
        <v>334</v>
      </c>
      <c r="AJ143" s="25" t="s">
        <v>51</v>
      </c>
    </row>
    <row r="144" spans="1:36" x14ac:dyDescent="0.35">
      <c r="A144" s="17" t="s">
        <v>46</v>
      </c>
      <c r="B144" s="17" t="s">
        <v>47</v>
      </c>
      <c r="C144" s="18" t="s">
        <v>312</v>
      </c>
      <c r="D144" s="17" t="s">
        <v>335</v>
      </c>
      <c r="E144" s="19" t="s">
        <v>336</v>
      </c>
      <c r="F144" s="20">
        <v>303</v>
      </c>
      <c r="G144" s="20">
        <v>30</v>
      </c>
      <c r="H144" s="19">
        <v>124</v>
      </c>
      <c r="I144" s="20">
        <v>55</v>
      </c>
      <c r="J144" s="20">
        <v>69</v>
      </c>
      <c r="K144" s="20">
        <v>0</v>
      </c>
      <c r="L144" s="21">
        <f>K144/H144</f>
        <v>0</v>
      </c>
      <c r="M144" s="20">
        <v>95</v>
      </c>
      <c r="N144" s="22">
        <f>M144/H144</f>
        <v>0.7661290322580645</v>
      </c>
      <c r="O144" s="20">
        <v>0</v>
      </c>
      <c r="P144" s="20">
        <v>205</v>
      </c>
      <c r="Q144" s="23"/>
      <c r="R144" s="23"/>
      <c r="S144" s="24"/>
      <c r="T144" s="24"/>
      <c r="U144" s="24"/>
      <c r="V144" s="24"/>
      <c r="W144" s="20"/>
      <c r="X144" s="24" t="s">
        <v>51</v>
      </c>
      <c r="Y144" s="20"/>
      <c r="Z144" s="24"/>
      <c r="AA144" s="24"/>
      <c r="AB144" s="24"/>
      <c r="AC144" s="24" t="s">
        <v>51</v>
      </c>
      <c r="AD144" s="24"/>
      <c r="AE144" s="24" t="s">
        <v>51</v>
      </c>
      <c r="AF144" s="24">
        <v>25</v>
      </c>
      <c r="AG144" s="24" t="s">
        <v>80</v>
      </c>
      <c r="AH144" s="30">
        <v>24.943989999999999</v>
      </c>
      <c r="AI144" s="30">
        <v>74.917851999999996</v>
      </c>
      <c r="AJ144" s="25" t="s">
        <v>51</v>
      </c>
    </row>
    <row r="145" spans="1:36" x14ac:dyDescent="0.35">
      <c r="A145" s="17" t="s">
        <v>46</v>
      </c>
      <c r="B145" s="17" t="s">
        <v>47</v>
      </c>
      <c r="C145" s="18" t="s">
        <v>312</v>
      </c>
      <c r="D145" s="17" t="s">
        <v>337</v>
      </c>
      <c r="E145" s="19" t="s">
        <v>338</v>
      </c>
      <c r="F145" s="28">
        <v>15</v>
      </c>
      <c r="G145" s="28"/>
      <c r="H145" s="19">
        <v>0</v>
      </c>
      <c r="I145" s="28"/>
      <c r="J145" s="28"/>
      <c r="K145" s="28"/>
      <c r="L145" s="21"/>
      <c r="M145" s="28"/>
      <c r="N145" s="22"/>
      <c r="O145" s="28">
        <v>0</v>
      </c>
      <c r="P145" s="28">
        <v>14</v>
      </c>
      <c r="Q145" s="23"/>
      <c r="R145" s="23"/>
      <c r="S145" s="24"/>
      <c r="T145" s="24"/>
      <c r="U145" s="24"/>
      <c r="V145" s="24"/>
      <c r="W145" s="28"/>
      <c r="X145" s="24"/>
      <c r="Y145" s="28"/>
      <c r="Z145" s="24"/>
      <c r="AA145" s="24"/>
      <c r="AB145" s="24"/>
      <c r="AC145" s="24" t="s">
        <v>51</v>
      </c>
      <c r="AD145" s="24"/>
      <c r="AE145" s="24" t="s">
        <v>51</v>
      </c>
      <c r="AF145" s="24"/>
      <c r="AG145" s="24"/>
      <c r="AH145" s="24"/>
      <c r="AI145" s="24"/>
      <c r="AJ145" s="24"/>
    </row>
    <row r="146" spans="1:36" x14ac:dyDescent="0.35">
      <c r="A146" s="17" t="s">
        <v>46</v>
      </c>
      <c r="B146" s="17" t="s">
        <v>47</v>
      </c>
      <c r="C146" s="18" t="s">
        <v>339</v>
      </c>
      <c r="D146" s="17" t="s">
        <v>340</v>
      </c>
      <c r="E146" s="19" t="s">
        <v>341</v>
      </c>
      <c r="F146" s="28">
        <v>288</v>
      </c>
      <c r="G146" s="28"/>
      <c r="H146" s="19">
        <v>0</v>
      </c>
      <c r="I146" s="28"/>
      <c r="J146" s="28"/>
      <c r="K146" s="28"/>
      <c r="L146" s="21"/>
      <c r="M146" s="28"/>
      <c r="N146" s="22"/>
      <c r="O146" s="28">
        <v>0</v>
      </c>
      <c r="P146" s="28">
        <v>209</v>
      </c>
      <c r="Q146" s="23"/>
      <c r="R146" s="23"/>
      <c r="S146" s="24"/>
      <c r="T146" s="24"/>
      <c r="U146" s="24"/>
      <c r="V146" s="24"/>
      <c r="W146" s="28"/>
      <c r="X146" s="24"/>
      <c r="Y146" s="28"/>
      <c r="Z146" s="24"/>
      <c r="AA146" s="24"/>
      <c r="AB146" s="24"/>
      <c r="AC146" s="24" t="s">
        <v>51</v>
      </c>
      <c r="AD146" s="24"/>
      <c r="AE146" s="24" t="s">
        <v>51</v>
      </c>
      <c r="AF146" s="24"/>
      <c r="AG146" s="24"/>
      <c r="AH146" s="24"/>
      <c r="AI146" s="24"/>
      <c r="AJ146" s="24"/>
    </row>
    <row r="147" spans="1:36" x14ac:dyDescent="0.35">
      <c r="A147" s="17" t="s">
        <v>46</v>
      </c>
      <c r="B147" s="17" t="s">
        <v>47</v>
      </c>
      <c r="C147" s="18" t="s">
        <v>195</v>
      </c>
      <c r="D147" s="17" t="s">
        <v>342</v>
      </c>
      <c r="E147" s="19" t="s">
        <v>343</v>
      </c>
      <c r="F147" s="20">
        <v>380</v>
      </c>
      <c r="G147" s="20">
        <v>6</v>
      </c>
      <c r="H147" s="19">
        <v>33</v>
      </c>
      <c r="I147" s="20">
        <v>18</v>
      </c>
      <c r="J147" s="20">
        <v>15</v>
      </c>
      <c r="K147" s="20">
        <v>33</v>
      </c>
      <c r="L147" s="21">
        <f>K147/H147</f>
        <v>1</v>
      </c>
      <c r="M147" s="20">
        <v>0</v>
      </c>
      <c r="N147" s="22">
        <f>M147/H147</f>
        <v>0</v>
      </c>
      <c r="O147" s="20">
        <v>63</v>
      </c>
      <c r="P147" s="20">
        <v>115</v>
      </c>
      <c r="Q147" s="23"/>
      <c r="R147" s="23"/>
      <c r="S147" s="24"/>
      <c r="T147" s="24"/>
      <c r="U147" s="24"/>
      <c r="V147" s="24"/>
      <c r="W147" s="20" t="s">
        <v>51</v>
      </c>
      <c r="X147" s="24"/>
      <c r="Y147" s="20"/>
      <c r="Z147" s="24"/>
      <c r="AA147" s="24"/>
      <c r="AB147" s="24"/>
      <c r="AC147" s="24" t="s">
        <v>51</v>
      </c>
      <c r="AD147" s="24"/>
      <c r="AE147" s="24" t="s">
        <v>51</v>
      </c>
      <c r="AF147" s="24">
        <v>24</v>
      </c>
      <c r="AG147" s="24"/>
      <c r="AH147" s="30">
        <v>24.964490000000001</v>
      </c>
      <c r="AI147" s="30">
        <v>74.940867999999995</v>
      </c>
      <c r="AJ147" s="30"/>
    </row>
    <row r="148" spans="1:36" x14ac:dyDescent="0.35">
      <c r="A148" s="17" t="s">
        <v>46</v>
      </c>
      <c r="B148" s="17" t="s">
        <v>47</v>
      </c>
      <c r="C148" s="18" t="s">
        <v>164</v>
      </c>
      <c r="D148" s="17" t="s">
        <v>344</v>
      </c>
      <c r="E148" s="19" t="s">
        <v>345</v>
      </c>
      <c r="F148" s="28">
        <v>166</v>
      </c>
      <c r="G148" s="28"/>
      <c r="H148" s="19">
        <v>0</v>
      </c>
      <c r="I148" s="28"/>
      <c r="J148" s="28"/>
      <c r="K148" s="28"/>
      <c r="L148" s="21"/>
      <c r="M148" s="28"/>
      <c r="N148" s="22"/>
      <c r="O148" s="28">
        <v>0</v>
      </c>
      <c r="P148" s="28">
        <v>0</v>
      </c>
      <c r="Q148" s="23"/>
      <c r="R148" s="23"/>
      <c r="S148" s="24"/>
      <c r="T148" s="24"/>
      <c r="U148" s="24"/>
      <c r="V148" s="24"/>
      <c r="W148" s="28"/>
      <c r="X148" s="24"/>
      <c r="Y148" s="28"/>
      <c r="Z148" s="24"/>
      <c r="AA148" s="24"/>
      <c r="AB148" s="24"/>
      <c r="AC148" s="24" t="s">
        <v>51</v>
      </c>
      <c r="AD148" s="24"/>
      <c r="AE148" s="24" t="s">
        <v>51</v>
      </c>
      <c r="AF148" s="24"/>
      <c r="AG148" s="24"/>
      <c r="AH148" s="24"/>
      <c r="AI148" s="24"/>
      <c r="AJ148" s="24"/>
    </row>
    <row r="149" spans="1:36" x14ac:dyDescent="0.35">
      <c r="A149" s="17" t="s">
        <v>46</v>
      </c>
      <c r="B149" s="17" t="s">
        <v>47</v>
      </c>
      <c r="C149" s="18" t="s">
        <v>346</v>
      </c>
      <c r="D149" s="17" t="s">
        <v>347</v>
      </c>
      <c r="E149" s="19" t="s">
        <v>348</v>
      </c>
      <c r="F149" s="20">
        <v>175.1</v>
      </c>
      <c r="G149" s="20">
        <v>145</v>
      </c>
      <c r="H149" s="19">
        <v>689</v>
      </c>
      <c r="I149" s="20">
        <v>341</v>
      </c>
      <c r="J149" s="20">
        <v>348</v>
      </c>
      <c r="K149" s="20">
        <v>205</v>
      </c>
      <c r="L149" s="21">
        <f>K149/H149</f>
        <v>0.29753265602322204</v>
      </c>
      <c r="M149" s="20">
        <v>0</v>
      </c>
      <c r="N149" s="22">
        <f>M149/H149</f>
        <v>0</v>
      </c>
      <c r="O149" s="20">
        <v>39.15</v>
      </c>
      <c r="P149" s="20">
        <v>0</v>
      </c>
      <c r="Q149" s="23"/>
      <c r="R149" s="23"/>
      <c r="S149" s="24"/>
      <c r="T149" s="24"/>
      <c r="U149" s="24"/>
      <c r="V149" s="24"/>
      <c r="W149" s="20"/>
      <c r="X149" s="24" t="s">
        <v>51</v>
      </c>
      <c r="Y149" s="20"/>
      <c r="Z149" s="24"/>
      <c r="AA149" s="24"/>
      <c r="AB149" s="24"/>
      <c r="AC149" s="24" t="s">
        <v>51</v>
      </c>
      <c r="AD149" s="24"/>
      <c r="AE149" s="24" t="s">
        <v>51</v>
      </c>
      <c r="AF149" s="24"/>
      <c r="AG149" s="24"/>
      <c r="AH149" s="24"/>
      <c r="AI149" s="24"/>
      <c r="AJ149" s="25" t="s">
        <v>51</v>
      </c>
    </row>
    <row r="150" spans="1:36" x14ac:dyDescent="0.35">
      <c r="A150" s="17" t="s">
        <v>46</v>
      </c>
      <c r="B150" s="17" t="s">
        <v>47</v>
      </c>
      <c r="C150" s="18" t="s">
        <v>346</v>
      </c>
      <c r="D150" s="17" t="s">
        <v>349</v>
      </c>
      <c r="E150" s="19" t="s">
        <v>350</v>
      </c>
      <c r="F150" s="20">
        <v>125.2</v>
      </c>
      <c r="G150" s="20">
        <v>74</v>
      </c>
      <c r="H150" s="19">
        <v>380</v>
      </c>
      <c r="I150" s="20">
        <v>202</v>
      </c>
      <c r="J150" s="20">
        <v>178</v>
      </c>
      <c r="K150" s="20">
        <v>145</v>
      </c>
      <c r="L150" s="21">
        <f>K150/H150</f>
        <v>0.38157894736842107</v>
      </c>
      <c r="M150" s="20">
        <v>0</v>
      </c>
      <c r="N150" s="22">
        <f>M150/H150</f>
        <v>0</v>
      </c>
      <c r="O150" s="20">
        <v>21.5</v>
      </c>
      <c r="P150" s="20">
        <v>0</v>
      </c>
      <c r="Q150" s="23"/>
      <c r="R150" s="23"/>
      <c r="S150" s="24"/>
      <c r="T150" s="24"/>
      <c r="U150" s="24"/>
      <c r="V150" s="24"/>
      <c r="W150" s="20"/>
      <c r="X150" s="24" t="s">
        <v>51</v>
      </c>
      <c r="Y150" s="20"/>
      <c r="Z150" s="24"/>
      <c r="AA150" s="24"/>
      <c r="AB150" s="24"/>
      <c r="AC150" s="24" t="s">
        <v>51</v>
      </c>
      <c r="AD150" s="24"/>
      <c r="AE150" s="24" t="s">
        <v>51</v>
      </c>
      <c r="AF150" s="24"/>
      <c r="AG150" s="24"/>
      <c r="AH150" s="24"/>
      <c r="AI150" s="24"/>
      <c r="AJ150" s="25" t="s">
        <v>51</v>
      </c>
    </row>
    <row r="151" spans="1:36" x14ac:dyDescent="0.35">
      <c r="A151" s="17" t="s">
        <v>46</v>
      </c>
      <c r="B151" s="17" t="s">
        <v>47</v>
      </c>
      <c r="C151" s="18" t="s">
        <v>164</v>
      </c>
      <c r="D151" s="17" t="s">
        <v>351</v>
      </c>
      <c r="E151" s="19" t="s">
        <v>352</v>
      </c>
      <c r="F151" s="20">
        <v>89</v>
      </c>
      <c r="G151" s="20">
        <v>114</v>
      </c>
      <c r="H151" s="19">
        <v>494</v>
      </c>
      <c r="I151" s="20">
        <v>263</v>
      </c>
      <c r="J151" s="20">
        <v>231</v>
      </c>
      <c r="K151" s="20">
        <v>39</v>
      </c>
      <c r="L151" s="21">
        <f>K151/H151</f>
        <v>7.8947368421052627E-2</v>
      </c>
      <c r="M151" s="20">
        <v>0</v>
      </c>
      <c r="N151" s="22">
        <f>M151/H151</f>
        <v>0</v>
      </c>
      <c r="O151" s="20">
        <v>0</v>
      </c>
      <c r="P151" s="20">
        <v>0</v>
      </c>
      <c r="Q151" s="23"/>
      <c r="R151" s="23"/>
      <c r="S151" s="24"/>
      <c r="T151" s="24"/>
      <c r="U151" s="24"/>
      <c r="V151" s="24"/>
      <c r="W151" s="20"/>
      <c r="X151" s="24" t="s">
        <v>51</v>
      </c>
      <c r="Y151" s="20"/>
      <c r="Z151" s="24"/>
      <c r="AA151" s="24"/>
      <c r="AB151" s="24"/>
      <c r="AC151" s="24" t="s">
        <v>51</v>
      </c>
      <c r="AD151" s="24"/>
      <c r="AE151" s="24" t="s">
        <v>51</v>
      </c>
      <c r="AF151" s="24"/>
      <c r="AG151" s="24"/>
      <c r="AH151" s="24"/>
      <c r="AI151" s="24"/>
      <c r="AJ151" s="25" t="s">
        <v>51</v>
      </c>
    </row>
    <row r="152" spans="1:36" x14ac:dyDescent="0.35">
      <c r="A152" s="17" t="s">
        <v>46</v>
      </c>
      <c r="B152" s="17" t="s">
        <v>47</v>
      </c>
      <c r="C152" s="18" t="s">
        <v>164</v>
      </c>
      <c r="D152" s="17" t="s">
        <v>353</v>
      </c>
      <c r="E152" s="19" t="s">
        <v>354</v>
      </c>
      <c r="F152" s="20">
        <v>201</v>
      </c>
      <c r="G152" s="20">
        <v>102</v>
      </c>
      <c r="H152" s="19">
        <v>577</v>
      </c>
      <c r="I152" s="20">
        <v>319</v>
      </c>
      <c r="J152" s="20">
        <v>258</v>
      </c>
      <c r="K152" s="20">
        <v>95</v>
      </c>
      <c r="L152" s="21">
        <f>K152/H152</f>
        <v>0.16464471403812825</v>
      </c>
      <c r="M152" s="20">
        <v>17</v>
      </c>
      <c r="N152" s="22">
        <f>M152/H152</f>
        <v>2.9462738301559793E-2</v>
      </c>
      <c r="O152" s="20">
        <v>0</v>
      </c>
      <c r="P152" s="20">
        <v>0</v>
      </c>
      <c r="Q152" s="23"/>
      <c r="R152" s="23"/>
      <c r="S152" s="24"/>
      <c r="T152" s="24"/>
      <c r="U152" s="24"/>
      <c r="V152" s="24"/>
      <c r="W152" s="20"/>
      <c r="X152" s="24" t="s">
        <v>51</v>
      </c>
      <c r="Y152" s="20"/>
      <c r="Z152" s="24"/>
      <c r="AA152" s="24"/>
      <c r="AB152" s="24"/>
      <c r="AC152" s="24" t="s">
        <v>51</v>
      </c>
      <c r="AD152" s="24"/>
      <c r="AE152" s="24" t="s">
        <v>51</v>
      </c>
      <c r="AF152" s="24"/>
      <c r="AG152" s="24"/>
      <c r="AH152" s="24"/>
      <c r="AI152" s="24"/>
      <c r="AJ152" s="25" t="s">
        <v>51</v>
      </c>
    </row>
    <row r="153" spans="1:36" x14ac:dyDescent="0.35">
      <c r="A153" s="17" t="s">
        <v>46</v>
      </c>
      <c r="B153" s="17" t="s">
        <v>47</v>
      </c>
      <c r="C153" s="18" t="s">
        <v>210</v>
      </c>
      <c r="D153" s="17" t="s">
        <v>355</v>
      </c>
      <c r="E153" s="19" t="s">
        <v>356</v>
      </c>
      <c r="F153" s="28">
        <v>108.38</v>
      </c>
      <c r="G153" s="28"/>
      <c r="H153" s="19">
        <v>0</v>
      </c>
      <c r="I153" s="28"/>
      <c r="J153" s="28"/>
      <c r="K153" s="28"/>
      <c r="L153" s="21"/>
      <c r="M153" s="28"/>
      <c r="N153" s="22"/>
      <c r="O153" s="28">
        <v>0</v>
      </c>
      <c r="P153" s="28">
        <v>0</v>
      </c>
      <c r="Q153" s="23"/>
      <c r="R153" s="23"/>
      <c r="S153" s="24"/>
      <c r="T153" s="24"/>
      <c r="U153" s="24"/>
      <c r="V153" s="24"/>
      <c r="W153" s="20" t="s">
        <v>51</v>
      </c>
      <c r="X153" s="24"/>
      <c r="Y153" s="28"/>
      <c r="Z153" s="24"/>
      <c r="AA153" s="24"/>
      <c r="AB153" s="24"/>
      <c r="AC153" s="24" t="s">
        <v>51</v>
      </c>
      <c r="AD153" s="24"/>
      <c r="AE153" s="24" t="s">
        <v>51</v>
      </c>
      <c r="AF153" s="24"/>
      <c r="AG153" s="24"/>
      <c r="AH153" s="24"/>
      <c r="AI153" s="24"/>
      <c r="AJ153" s="24"/>
    </row>
    <row r="154" spans="1:36" x14ac:dyDescent="0.35">
      <c r="A154" s="17" t="s">
        <v>46</v>
      </c>
      <c r="B154" s="17" t="s">
        <v>47</v>
      </c>
      <c r="C154" s="18" t="s">
        <v>210</v>
      </c>
      <c r="D154" s="17" t="s">
        <v>357</v>
      </c>
      <c r="E154" s="19" t="s">
        <v>358</v>
      </c>
      <c r="F154" s="20">
        <v>118.77</v>
      </c>
      <c r="G154" s="20">
        <v>100</v>
      </c>
      <c r="H154" s="19">
        <v>536</v>
      </c>
      <c r="I154" s="20">
        <v>270</v>
      </c>
      <c r="J154" s="20">
        <v>266</v>
      </c>
      <c r="K154" s="20">
        <v>71</v>
      </c>
      <c r="L154" s="21">
        <f t="shared" ref="L154:L181" si="12">K154/H154</f>
        <v>0.13246268656716417</v>
      </c>
      <c r="M154" s="20">
        <v>46</v>
      </c>
      <c r="N154" s="22">
        <f t="shared" ref="N154:N181" si="13">M154/H154</f>
        <v>8.5820895522388058E-2</v>
      </c>
      <c r="O154" s="20">
        <v>14.88</v>
      </c>
      <c r="P154" s="20">
        <v>0</v>
      </c>
      <c r="Q154" s="23"/>
      <c r="R154" s="23"/>
      <c r="S154" s="24"/>
      <c r="T154" s="24"/>
      <c r="U154" s="24"/>
      <c r="V154" s="24"/>
      <c r="W154" s="20" t="s">
        <v>51</v>
      </c>
      <c r="X154" s="24" t="s">
        <v>51</v>
      </c>
      <c r="Y154" s="20"/>
      <c r="Z154" s="24"/>
      <c r="AA154" s="24"/>
      <c r="AB154" s="24"/>
      <c r="AC154" s="24" t="s">
        <v>51</v>
      </c>
      <c r="AD154" s="24"/>
      <c r="AE154" s="24" t="s">
        <v>51</v>
      </c>
      <c r="AF154" s="24"/>
      <c r="AG154" s="24"/>
      <c r="AH154" s="24"/>
      <c r="AI154" s="24"/>
      <c r="AJ154" s="25" t="s">
        <v>51</v>
      </c>
    </row>
    <row r="155" spans="1:36" x14ac:dyDescent="0.35">
      <c r="A155" s="17" t="s">
        <v>46</v>
      </c>
      <c r="B155" s="17" t="s">
        <v>47</v>
      </c>
      <c r="C155" s="18" t="s">
        <v>210</v>
      </c>
      <c r="D155" s="17" t="s">
        <v>359</v>
      </c>
      <c r="E155" s="19" t="s">
        <v>360</v>
      </c>
      <c r="F155" s="20">
        <v>179.77</v>
      </c>
      <c r="G155" s="20">
        <v>81</v>
      </c>
      <c r="H155" s="19">
        <v>428</v>
      </c>
      <c r="I155" s="20">
        <v>216</v>
      </c>
      <c r="J155" s="20">
        <v>212</v>
      </c>
      <c r="K155" s="20">
        <v>10</v>
      </c>
      <c r="L155" s="21">
        <f t="shared" si="12"/>
        <v>2.336448598130841E-2</v>
      </c>
      <c r="M155" s="20">
        <v>54</v>
      </c>
      <c r="N155" s="22">
        <f t="shared" si="13"/>
        <v>0.12616822429906541</v>
      </c>
      <c r="O155" s="20">
        <v>0</v>
      </c>
      <c r="P155" s="20">
        <v>0</v>
      </c>
      <c r="Q155" s="23"/>
      <c r="R155" s="23"/>
      <c r="S155" s="24"/>
      <c r="T155" s="24"/>
      <c r="U155" s="24"/>
      <c r="V155" s="24"/>
      <c r="W155" s="20" t="s">
        <v>51</v>
      </c>
      <c r="X155" s="24" t="s">
        <v>51</v>
      </c>
      <c r="Y155" s="20"/>
      <c r="Z155" s="24"/>
      <c r="AA155" s="24"/>
      <c r="AB155" s="24"/>
      <c r="AC155" s="24" t="s">
        <v>51</v>
      </c>
      <c r="AD155" s="24"/>
      <c r="AE155" s="24" t="s">
        <v>51</v>
      </c>
      <c r="AF155" s="24"/>
      <c r="AG155" s="24"/>
      <c r="AH155" s="24"/>
      <c r="AI155" s="24"/>
      <c r="AJ155" s="25" t="s">
        <v>51</v>
      </c>
    </row>
    <row r="156" spans="1:36" x14ac:dyDescent="0.35">
      <c r="A156" s="17" t="s">
        <v>46</v>
      </c>
      <c r="B156" s="17" t="s">
        <v>47</v>
      </c>
      <c r="C156" s="18" t="s">
        <v>361</v>
      </c>
      <c r="D156" s="17" t="s">
        <v>362</v>
      </c>
      <c r="E156" s="19" t="s">
        <v>363</v>
      </c>
      <c r="F156" s="20">
        <v>286</v>
      </c>
      <c r="G156" s="20">
        <v>144</v>
      </c>
      <c r="H156" s="19">
        <v>742</v>
      </c>
      <c r="I156" s="20">
        <v>383</v>
      </c>
      <c r="J156" s="20">
        <v>359</v>
      </c>
      <c r="K156" s="20">
        <v>0</v>
      </c>
      <c r="L156" s="21">
        <f t="shared" si="12"/>
        <v>0</v>
      </c>
      <c r="M156" s="20">
        <v>2</v>
      </c>
      <c r="N156" s="22">
        <f t="shared" si="13"/>
        <v>2.6954177897574125E-3</v>
      </c>
      <c r="O156" s="20">
        <v>44</v>
      </c>
      <c r="P156" s="20">
        <v>0</v>
      </c>
      <c r="Q156" s="23"/>
      <c r="R156" s="23"/>
      <c r="S156" s="24"/>
      <c r="T156" s="24"/>
      <c r="U156" s="24"/>
      <c r="V156" s="24"/>
      <c r="W156" s="20"/>
      <c r="X156" s="24" t="s">
        <v>51</v>
      </c>
      <c r="Y156" s="20"/>
      <c r="Z156" s="24"/>
      <c r="AA156" s="24"/>
      <c r="AB156" s="24"/>
      <c r="AC156" s="24" t="s">
        <v>51</v>
      </c>
      <c r="AD156" s="24"/>
      <c r="AE156" s="24" t="s">
        <v>51</v>
      </c>
      <c r="AF156" s="24"/>
      <c r="AG156" s="24"/>
      <c r="AH156" s="24"/>
      <c r="AI156" s="24"/>
      <c r="AJ156" s="25" t="s">
        <v>51</v>
      </c>
    </row>
    <row r="157" spans="1:36" x14ac:dyDescent="0.35">
      <c r="A157" s="17" t="s">
        <v>46</v>
      </c>
      <c r="B157" s="17" t="s">
        <v>47</v>
      </c>
      <c r="C157" s="18" t="s">
        <v>361</v>
      </c>
      <c r="D157" s="17" t="s">
        <v>364</v>
      </c>
      <c r="E157" s="19" t="s">
        <v>365</v>
      </c>
      <c r="F157" s="20">
        <v>230</v>
      </c>
      <c r="G157" s="20">
        <v>57</v>
      </c>
      <c r="H157" s="19">
        <v>275</v>
      </c>
      <c r="I157" s="20">
        <v>130</v>
      </c>
      <c r="J157" s="20">
        <v>145</v>
      </c>
      <c r="K157" s="20">
        <v>0</v>
      </c>
      <c r="L157" s="21">
        <f t="shared" si="12"/>
        <v>0</v>
      </c>
      <c r="M157" s="20">
        <v>44</v>
      </c>
      <c r="N157" s="22">
        <f t="shared" si="13"/>
        <v>0.16</v>
      </c>
      <c r="O157" s="20">
        <v>22</v>
      </c>
      <c r="P157" s="20">
        <v>0</v>
      </c>
      <c r="Q157" s="23"/>
      <c r="R157" s="23"/>
      <c r="S157" s="24"/>
      <c r="T157" s="24"/>
      <c r="U157" s="24"/>
      <c r="V157" s="24"/>
      <c r="W157" s="20"/>
      <c r="X157" s="24" t="s">
        <v>51</v>
      </c>
      <c r="Y157" s="20"/>
      <c r="Z157" s="24"/>
      <c r="AA157" s="24"/>
      <c r="AB157" s="24"/>
      <c r="AC157" s="24" t="s">
        <v>51</v>
      </c>
      <c r="AD157" s="24"/>
      <c r="AE157" s="24" t="s">
        <v>51</v>
      </c>
      <c r="AF157" s="24">
        <v>8</v>
      </c>
      <c r="AG157" s="24" t="s">
        <v>80</v>
      </c>
      <c r="AH157" s="24">
        <v>25.019316</v>
      </c>
      <c r="AI157" s="24">
        <v>75.048940000000002</v>
      </c>
      <c r="AJ157" s="25" t="s">
        <v>51</v>
      </c>
    </row>
    <row r="158" spans="1:36" x14ac:dyDescent="0.35">
      <c r="A158" s="17" t="s">
        <v>46</v>
      </c>
      <c r="B158" s="17" t="s">
        <v>47</v>
      </c>
      <c r="C158" s="18" t="s">
        <v>361</v>
      </c>
      <c r="D158" s="17" t="s">
        <v>89</v>
      </c>
      <c r="E158" s="19" t="s">
        <v>366</v>
      </c>
      <c r="F158" s="20">
        <v>162</v>
      </c>
      <c r="G158" s="20">
        <v>86</v>
      </c>
      <c r="H158" s="19">
        <v>450</v>
      </c>
      <c r="I158" s="20">
        <v>223</v>
      </c>
      <c r="J158" s="20">
        <v>227</v>
      </c>
      <c r="K158" s="20">
        <v>0</v>
      </c>
      <c r="L158" s="21">
        <f t="shared" si="12"/>
        <v>0</v>
      </c>
      <c r="M158" s="20">
        <v>87</v>
      </c>
      <c r="N158" s="22">
        <f t="shared" si="13"/>
        <v>0.19333333333333333</v>
      </c>
      <c r="O158" s="20">
        <v>4</v>
      </c>
      <c r="P158" s="20">
        <v>0</v>
      </c>
      <c r="Q158" s="23"/>
      <c r="R158" s="23"/>
      <c r="S158" s="24"/>
      <c r="T158" s="24"/>
      <c r="U158" s="24"/>
      <c r="V158" s="24"/>
      <c r="W158" s="20"/>
      <c r="X158" s="24" t="s">
        <v>51</v>
      </c>
      <c r="Y158" s="20"/>
      <c r="Z158" s="24"/>
      <c r="AA158" s="24"/>
      <c r="AB158" s="24"/>
      <c r="AC158" s="24" t="s">
        <v>51</v>
      </c>
      <c r="AD158" s="24"/>
      <c r="AE158" s="24" t="s">
        <v>51</v>
      </c>
      <c r="AF158" s="24"/>
      <c r="AG158" s="24"/>
      <c r="AH158" s="24"/>
      <c r="AI158" s="24"/>
      <c r="AJ158" s="25" t="s">
        <v>51</v>
      </c>
    </row>
    <row r="159" spans="1:36" x14ac:dyDescent="0.35">
      <c r="A159" s="17" t="s">
        <v>46</v>
      </c>
      <c r="B159" s="17" t="s">
        <v>47</v>
      </c>
      <c r="C159" s="18" t="s">
        <v>361</v>
      </c>
      <c r="D159" s="17" t="s">
        <v>367</v>
      </c>
      <c r="E159" s="19" t="s">
        <v>368</v>
      </c>
      <c r="F159" s="20">
        <v>494</v>
      </c>
      <c r="G159" s="20">
        <v>178</v>
      </c>
      <c r="H159" s="19">
        <v>911</v>
      </c>
      <c r="I159" s="20">
        <v>456</v>
      </c>
      <c r="J159" s="20">
        <v>455</v>
      </c>
      <c r="K159" s="20">
        <v>172</v>
      </c>
      <c r="L159" s="21">
        <f t="shared" si="12"/>
        <v>0.18880351262349068</v>
      </c>
      <c r="M159" s="20">
        <v>1</v>
      </c>
      <c r="N159" s="22">
        <f t="shared" si="13"/>
        <v>1.0976948408342481E-3</v>
      </c>
      <c r="O159" s="20">
        <v>95</v>
      </c>
      <c r="P159" s="20">
        <v>0</v>
      </c>
      <c r="Q159" s="23"/>
      <c r="R159" s="23"/>
      <c r="S159" s="24"/>
      <c r="T159" s="24"/>
      <c r="U159" s="24"/>
      <c r="V159" s="24"/>
      <c r="W159" s="20"/>
      <c r="X159" s="24" t="s">
        <v>51</v>
      </c>
      <c r="Y159" s="20"/>
      <c r="Z159" s="24"/>
      <c r="AA159" s="24"/>
      <c r="AB159" s="24"/>
      <c r="AC159" s="24" t="s">
        <v>51</v>
      </c>
      <c r="AD159" s="24"/>
      <c r="AE159" s="24" t="s">
        <v>51</v>
      </c>
      <c r="AF159" s="24"/>
      <c r="AG159" s="24"/>
      <c r="AH159" s="24"/>
      <c r="AI159" s="24"/>
      <c r="AJ159" s="25" t="s">
        <v>51</v>
      </c>
    </row>
    <row r="160" spans="1:36" x14ac:dyDescent="0.35">
      <c r="A160" s="17" t="s">
        <v>46</v>
      </c>
      <c r="B160" s="17" t="s">
        <v>47</v>
      </c>
      <c r="C160" s="18" t="s">
        <v>361</v>
      </c>
      <c r="D160" s="17" t="s">
        <v>361</v>
      </c>
      <c r="E160" s="19" t="s">
        <v>369</v>
      </c>
      <c r="F160" s="20">
        <v>615</v>
      </c>
      <c r="G160" s="20">
        <v>224</v>
      </c>
      <c r="H160" s="19">
        <v>1130</v>
      </c>
      <c r="I160" s="20">
        <v>565</v>
      </c>
      <c r="J160" s="20">
        <v>565</v>
      </c>
      <c r="K160" s="20">
        <v>369</v>
      </c>
      <c r="L160" s="21">
        <f t="shared" si="12"/>
        <v>0.32654867256637166</v>
      </c>
      <c r="M160" s="20">
        <v>145</v>
      </c>
      <c r="N160" s="22">
        <f t="shared" si="13"/>
        <v>0.12831858407079647</v>
      </c>
      <c r="O160" s="20">
        <v>100</v>
      </c>
      <c r="P160" s="20">
        <v>0</v>
      </c>
      <c r="Q160" s="23"/>
      <c r="R160" s="23"/>
      <c r="S160" s="24"/>
      <c r="T160" s="24"/>
      <c r="U160" s="24"/>
      <c r="V160" s="24"/>
      <c r="W160" s="20"/>
      <c r="X160" s="24" t="s">
        <v>51</v>
      </c>
      <c r="Y160" s="20"/>
      <c r="Z160" s="24"/>
      <c r="AA160" s="24"/>
      <c r="AB160" s="24"/>
      <c r="AC160" s="24" t="s">
        <v>51</v>
      </c>
      <c r="AD160" s="24"/>
      <c r="AE160" s="24" t="s">
        <v>51</v>
      </c>
      <c r="AF160" s="24">
        <v>12</v>
      </c>
      <c r="AG160" s="24" t="s">
        <v>80</v>
      </c>
      <c r="AH160" s="24">
        <v>24.998525000000001</v>
      </c>
      <c r="AI160" s="24">
        <v>75.084091000000001</v>
      </c>
      <c r="AJ160" s="25" t="s">
        <v>51</v>
      </c>
    </row>
    <row r="161" spans="1:36" x14ac:dyDescent="0.35">
      <c r="A161" s="17" t="s">
        <v>46</v>
      </c>
      <c r="B161" s="17" t="s">
        <v>47</v>
      </c>
      <c r="C161" s="18" t="s">
        <v>361</v>
      </c>
      <c r="D161" s="17" t="s">
        <v>370</v>
      </c>
      <c r="E161" s="19" t="s">
        <v>371</v>
      </c>
      <c r="F161" s="20">
        <v>36</v>
      </c>
      <c r="G161" s="20">
        <v>13</v>
      </c>
      <c r="H161" s="19">
        <v>64</v>
      </c>
      <c r="I161" s="20">
        <v>34</v>
      </c>
      <c r="J161" s="20">
        <v>30</v>
      </c>
      <c r="K161" s="20">
        <v>0</v>
      </c>
      <c r="L161" s="21">
        <f t="shared" si="12"/>
        <v>0</v>
      </c>
      <c r="M161" s="20">
        <v>0</v>
      </c>
      <c r="N161" s="22">
        <f t="shared" si="13"/>
        <v>0</v>
      </c>
      <c r="O161" s="20">
        <v>0</v>
      </c>
      <c r="P161" s="20">
        <v>0</v>
      </c>
      <c r="Q161" s="23"/>
      <c r="R161" s="23"/>
      <c r="S161" s="24"/>
      <c r="T161" s="24"/>
      <c r="U161" s="24"/>
      <c r="V161" s="24"/>
      <c r="W161" s="20"/>
      <c r="X161" s="24" t="s">
        <v>51</v>
      </c>
      <c r="Y161" s="20"/>
      <c r="Z161" s="24"/>
      <c r="AA161" s="24"/>
      <c r="AB161" s="24"/>
      <c r="AC161" s="24" t="s">
        <v>51</v>
      </c>
      <c r="AD161" s="24"/>
      <c r="AE161" s="24" t="s">
        <v>51</v>
      </c>
      <c r="AF161" s="24"/>
      <c r="AG161" s="24"/>
      <c r="AH161" s="24"/>
      <c r="AI161" s="24"/>
      <c r="AJ161" s="25" t="s">
        <v>51</v>
      </c>
    </row>
    <row r="162" spans="1:36" x14ac:dyDescent="0.35">
      <c r="A162" s="17" t="s">
        <v>46</v>
      </c>
      <c r="B162" s="17" t="s">
        <v>47</v>
      </c>
      <c r="C162" s="18" t="s">
        <v>273</v>
      </c>
      <c r="D162" s="17" t="s">
        <v>273</v>
      </c>
      <c r="E162" s="19" t="s">
        <v>372</v>
      </c>
      <c r="F162" s="20">
        <v>295</v>
      </c>
      <c r="G162" s="20">
        <v>169</v>
      </c>
      <c r="H162" s="19">
        <v>833</v>
      </c>
      <c r="I162" s="20">
        <v>424</v>
      </c>
      <c r="J162" s="20">
        <v>409</v>
      </c>
      <c r="K162" s="20">
        <v>57</v>
      </c>
      <c r="L162" s="21">
        <f t="shared" si="12"/>
        <v>6.8427370948379349E-2</v>
      </c>
      <c r="M162" s="20">
        <v>72</v>
      </c>
      <c r="N162" s="22">
        <f t="shared" si="13"/>
        <v>8.6434573829531819E-2</v>
      </c>
      <c r="O162" s="20">
        <v>33</v>
      </c>
      <c r="P162" s="20">
        <v>0</v>
      </c>
      <c r="Q162" s="23"/>
      <c r="R162" s="23"/>
      <c r="S162" s="24"/>
      <c r="T162" s="24"/>
      <c r="U162" s="24"/>
      <c r="V162" s="24"/>
      <c r="W162" s="20"/>
      <c r="X162" s="24" t="s">
        <v>51</v>
      </c>
      <c r="Y162" s="20"/>
      <c r="Z162" s="24"/>
      <c r="AA162" s="24"/>
      <c r="AB162" s="24"/>
      <c r="AC162" s="24" t="s">
        <v>51</v>
      </c>
      <c r="AD162" s="24"/>
      <c r="AE162" s="24" t="s">
        <v>51</v>
      </c>
      <c r="AF162" s="24">
        <v>13.35</v>
      </c>
      <c r="AG162" s="24" t="s">
        <v>54</v>
      </c>
      <c r="AH162" s="25">
        <v>25.031566999999999</v>
      </c>
      <c r="AI162" s="25">
        <v>75.100262499999999</v>
      </c>
      <c r="AJ162" s="25" t="s">
        <v>51</v>
      </c>
    </row>
    <row r="163" spans="1:36" x14ac:dyDescent="0.35">
      <c r="A163" s="17" t="s">
        <v>46</v>
      </c>
      <c r="B163" s="17" t="s">
        <v>47</v>
      </c>
      <c r="C163" s="18" t="s">
        <v>273</v>
      </c>
      <c r="D163" s="17" t="s">
        <v>373</v>
      </c>
      <c r="E163" s="19" t="s">
        <v>374</v>
      </c>
      <c r="F163" s="20">
        <v>191</v>
      </c>
      <c r="G163" s="20">
        <v>64</v>
      </c>
      <c r="H163" s="19">
        <v>308</v>
      </c>
      <c r="I163" s="20">
        <v>148</v>
      </c>
      <c r="J163" s="20">
        <v>160</v>
      </c>
      <c r="K163" s="20">
        <v>122</v>
      </c>
      <c r="L163" s="21">
        <f t="shared" si="12"/>
        <v>0.39610389610389612</v>
      </c>
      <c r="M163" s="20">
        <v>93</v>
      </c>
      <c r="N163" s="22">
        <f t="shared" si="13"/>
        <v>0.30194805194805197</v>
      </c>
      <c r="O163" s="20">
        <v>5</v>
      </c>
      <c r="P163" s="20">
        <v>31</v>
      </c>
      <c r="Q163" s="23"/>
      <c r="R163" s="23"/>
      <c r="S163" s="24"/>
      <c r="T163" s="24"/>
      <c r="U163" s="24"/>
      <c r="V163" s="24"/>
      <c r="W163" s="20"/>
      <c r="X163" s="24" t="s">
        <v>51</v>
      </c>
      <c r="Y163" s="20"/>
      <c r="Z163" s="24"/>
      <c r="AA163" s="24"/>
      <c r="AB163" s="24"/>
      <c r="AC163" s="24" t="s">
        <v>51</v>
      </c>
      <c r="AD163" s="24"/>
      <c r="AE163" s="24" t="s">
        <v>51</v>
      </c>
      <c r="AF163" s="24"/>
      <c r="AG163" s="24"/>
      <c r="AH163" s="24"/>
      <c r="AI163" s="24"/>
      <c r="AJ163" s="25" t="s">
        <v>51</v>
      </c>
    </row>
    <row r="164" spans="1:36" x14ac:dyDescent="0.35">
      <c r="A164" s="17" t="s">
        <v>46</v>
      </c>
      <c r="B164" s="17" t="s">
        <v>47</v>
      </c>
      <c r="C164" s="18" t="s">
        <v>375</v>
      </c>
      <c r="D164" s="17" t="s">
        <v>376</v>
      </c>
      <c r="E164" s="19" t="s">
        <v>377</v>
      </c>
      <c r="F164" s="20">
        <v>1203.3399999999999</v>
      </c>
      <c r="G164" s="20">
        <v>198</v>
      </c>
      <c r="H164" s="19">
        <v>870</v>
      </c>
      <c r="I164" s="20">
        <v>448</v>
      </c>
      <c r="J164" s="20">
        <v>422</v>
      </c>
      <c r="K164" s="20">
        <v>67</v>
      </c>
      <c r="L164" s="21">
        <f t="shared" si="12"/>
        <v>7.7011494252873569E-2</v>
      </c>
      <c r="M164" s="20">
        <v>237</v>
      </c>
      <c r="N164" s="22">
        <f t="shared" si="13"/>
        <v>0.27241379310344827</v>
      </c>
      <c r="O164" s="20">
        <v>0</v>
      </c>
      <c r="P164" s="20">
        <v>908.12</v>
      </c>
      <c r="Q164" s="23"/>
      <c r="R164" s="23"/>
      <c r="S164" s="24"/>
      <c r="T164" s="24"/>
      <c r="U164" s="24"/>
      <c r="V164" s="24"/>
      <c r="W164" s="20"/>
      <c r="X164" s="24" t="s">
        <v>51</v>
      </c>
      <c r="Y164" s="20"/>
      <c r="Z164" s="24"/>
      <c r="AA164" s="24"/>
      <c r="AB164" s="24"/>
      <c r="AC164" s="24" t="s">
        <v>51</v>
      </c>
      <c r="AD164" s="24"/>
      <c r="AE164" s="24" t="s">
        <v>51</v>
      </c>
      <c r="AF164" s="24"/>
      <c r="AG164" s="24"/>
      <c r="AH164" s="24"/>
      <c r="AI164" s="24"/>
      <c r="AJ164" s="25" t="s">
        <v>51</v>
      </c>
    </row>
    <row r="165" spans="1:36" x14ac:dyDescent="0.35">
      <c r="A165" s="17" t="s">
        <v>46</v>
      </c>
      <c r="B165" s="17" t="s">
        <v>47</v>
      </c>
      <c r="C165" s="18" t="s">
        <v>375</v>
      </c>
      <c r="D165" s="17" t="s">
        <v>378</v>
      </c>
      <c r="E165" s="19" t="s">
        <v>379</v>
      </c>
      <c r="F165" s="20">
        <v>377.24</v>
      </c>
      <c r="G165" s="20">
        <v>71</v>
      </c>
      <c r="H165" s="19">
        <v>346</v>
      </c>
      <c r="I165" s="20">
        <v>168</v>
      </c>
      <c r="J165" s="20">
        <v>178</v>
      </c>
      <c r="K165" s="20">
        <v>0</v>
      </c>
      <c r="L165" s="21">
        <f t="shared" si="12"/>
        <v>0</v>
      </c>
      <c r="M165" s="20">
        <v>2</v>
      </c>
      <c r="N165" s="22">
        <f t="shared" si="13"/>
        <v>5.7803468208092483E-3</v>
      </c>
      <c r="O165" s="20">
        <v>0</v>
      </c>
      <c r="P165" s="20">
        <v>2.1800000000000002</v>
      </c>
      <c r="Q165" s="23"/>
      <c r="R165" s="23"/>
      <c r="S165" s="24"/>
      <c r="T165" s="24"/>
      <c r="U165" s="24"/>
      <c r="V165" s="24"/>
      <c r="W165" s="20"/>
      <c r="X165" s="24" t="s">
        <v>51</v>
      </c>
      <c r="Y165" s="20"/>
      <c r="Z165" s="24"/>
      <c r="AA165" s="24"/>
      <c r="AB165" s="24"/>
      <c r="AC165" s="24" t="s">
        <v>51</v>
      </c>
      <c r="AD165" s="24"/>
      <c r="AE165" s="24" t="s">
        <v>51</v>
      </c>
      <c r="AF165" s="24"/>
      <c r="AG165" s="24"/>
      <c r="AH165" s="24"/>
      <c r="AI165" s="24"/>
      <c r="AJ165" s="25" t="s">
        <v>51</v>
      </c>
    </row>
    <row r="166" spans="1:36" x14ac:dyDescent="0.35">
      <c r="A166" s="17" t="s">
        <v>46</v>
      </c>
      <c r="B166" s="17" t="s">
        <v>47</v>
      </c>
      <c r="C166" s="18" t="s">
        <v>375</v>
      </c>
      <c r="D166" s="17" t="s">
        <v>380</v>
      </c>
      <c r="E166" s="19" t="s">
        <v>381</v>
      </c>
      <c r="F166" s="20">
        <v>2314</v>
      </c>
      <c r="G166" s="20">
        <v>84</v>
      </c>
      <c r="H166" s="19">
        <v>356</v>
      </c>
      <c r="I166" s="20">
        <v>194</v>
      </c>
      <c r="J166" s="20">
        <v>162</v>
      </c>
      <c r="K166" s="20">
        <v>15</v>
      </c>
      <c r="L166" s="21">
        <f t="shared" si="12"/>
        <v>4.2134831460674156E-2</v>
      </c>
      <c r="M166" s="20">
        <v>287</v>
      </c>
      <c r="N166" s="22">
        <f t="shared" si="13"/>
        <v>0.8061797752808989</v>
      </c>
      <c r="O166" s="20">
        <v>0</v>
      </c>
      <c r="P166" s="20">
        <v>1899</v>
      </c>
      <c r="Q166" s="23"/>
      <c r="R166" s="23"/>
      <c r="S166" s="24"/>
      <c r="T166" s="24"/>
      <c r="U166" s="24"/>
      <c r="V166" s="24"/>
      <c r="W166" s="20"/>
      <c r="X166" s="24" t="s">
        <v>51</v>
      </c>
      <c r="Y166" s="20"/>
      <c r="Z166" s="24"/>
      <c r="AA166" s="24"/>
      <c r="AB166" s="24"/>
      <c r="AC166" s="24" t="s">
        <v>51</v>
      </c>
      <c r="AD166" s="24"/>
      <c r="AE166" s="24" t="s">
        <v>51</v>
      </c>
      <c r="AF166" s="24"/>
      <c r="AG166" s="24"/>
      <c r="AH166" s="24"/>
      <c r="AI166" s="24"/>
      <c r="AJ166" s="25" t="s">
        <v>51</v>
      </c>
    </row>
    <row r="167" spans="1:36" x14ac:dyDescent="0.35">
      <c r="A167" s="17" t="s">
        <v>46</v>
      </c>
      <c r="B167" s="17" t="s">
        <v>47</v>
      </c>
      <c r="C167" s="18" t="s">
        <v>375</v>
      </c>
      <c r="D167" s="17" t="s">
        <v>375</v>
      </c>
      <c r="E167" s="19" t="s">
        <v>382</v>
      </c>
      <c r="F167" s="20">
        <v>2081.0500000000002</v>
      </c>
      <c r="G167" s="20">
        <v>336</v>
      </c>
      <c r="H167" s="19">
        <v>1495</v>
      </c>
      <c r="I167" s="20">
        <v>722</v>
      </c>
      <c r="J167" s="20">
        <v>773</v>
      </c>
      <c r="K167" s="20">
        <v>276</v>
      </c>
      <c r="L167" s="21">
        <f t="shared" si="12"/>
        <v>0.18461538461538463</v>
      </c>
      <c r="M167" s="20">
        <v>442</v>
      </c>
      <c r="N167" s="22">
        <f t="shared" si="13"/>
        <v>0.29565217391304349</v>
      </c>
      <c r="O167" s="20">
        <v>0</v>
      </c>
      <c r="P167" s="20">
        <v>1078.47</v>
      </c>
      <c r="Q167" s="23"/>
      <c r="R167" s="23"/>
      <c r="S167" s="24"/>
      <c r="T167" s="24"/>
      <c r="U167" s="24"/>
      <c r="V167" s="24"/>
      <c r="W167" s="20"/>
      <c r="X167" s="24" t="s">
        <v>51</v>
      </c>
      <c r="Y167" s="20"/>
      <c r="Z167" s="24"/>
      <c r="AA167" s="24"/>
      <c r="AB167" s="24"/>
      <c r="AC167" s="24" t="s">
        <v>51</v>
      </c>
      <c r="AD167" s="24"/>
      <c r="AE167" s="24" t="s">
        <v>51</v>
      </c>
      <c r="AF167" s="24">
        <v>40</v>
      </c>
      <c r="AG167" s="24" t="s">
        <v>60</v>
      </c>
      <c r="AH167" s="25">
        <v>25.046906199999999</v>
      </c>
      <c r="AI167" s="25">
        <v>75.160734399999996</v>
      </c>
      <c r="AJ167" s="25" t="s">
        <v>51</v>
      </c>
    </row>
    <row r="168" spans="1:36" x14ac:dyDescent="0.35">
      <c r="A168" s="17" t="s">
        <v>46</v>
      </c>
      <c r="B168" s="17" t="s">
        <v>47</v>
      </c>
      <c r="C168" s="18" t="s">
        <v>375</v>
      </c>
      <c r="D168" s="17" t="s">
        <v>123</v>
      </c>
      <c r="E168" s="19" t="s">
        <v>383</v>
      </c>
      <c r="F168" s="20">
        <v>460.17</v>
      </c>
      <c r="G168" s="20">
        <v>40</v>
      </c>
      <c r="H168" s="19">
        <v>220</v>
      </c>
      <c r="I168" s="20">
        <v>107</v>
      </c>
      <c r="J168" s="20">
        <v>113</v>
      </c>
      <c r="K168" s="20">
        <v>6</v>
      </c>
      <c r="L168" s="21">
        <f t="shared" si="12"/>
        <v>2.7272727272727271E-2</v>
      </c>
      <c r="M168" s="20">
        <v>10</v>
      </c>
      <c r="N168" s="22">
        <f t="shared" si="13"/>
        <v>4.5454545454545456E-2</v>
      </c>
      <c r="O168" s="20">
        <v>0</v>
      </c>
      <c r="P168" s="20">
        <v>238.44</v>
      </c>
      <c r="Q168" s="23"/>
      <c r="R168" s="23"/>
      <c r="S168" s="24"/>
      <c r="T168" s="24"/>
      <c r="U168" s="24"/>
      <c r="V168" s="24"/>
      <c r="W168" s="20"/>
      <c r="X168" s="24" t="s">
        <v>51</v>
      </c>
      <c r="Y168" s="20"/>
      <c r="Z168" s="24"/>
      <c r="AA168" s="24"/>
      <c r="AB168" s="24"/>
      <c r="AC168" s="24" t="s">
        <v>51</v>
      </c>
      <c r="AD168" s="24"/>
      <c r="AE168" s="24" t="s">
        <v>51</v>
      </c>
      <c r="AF168" s="24"/>
      <c r="AG168" s="24"/>
      <c r="AH168" s="24"/>
      <c r="AI168" s="24"/>
      <c r="AJ168" s="25" t="s">
        <v>51</v>
      </c>
    </row>
    <row r="169" spans="1:36" x14ac:dyDescent="0.35">
      <c r="A169" s="17" t="s">
        <v>46</v>
      </c>
      <c r="B169" s="17" t="s">
        <v>47</v>
      </c>
      <c r="C169" s="18" t="s">
        <v>384</v>
      </c>
      <c r="D169" s="17" t="s">
        <v>384</v>
      </c>
      <c r="E169" s="19" t="s">
        <v>385</v>
      </c>
      <c r="F169" s="20">
        <v>979</v>
      </c>
      <c r="G169" s="20">
        <v>289</v>
      </c>
      <c r="H169" s="19">
        <v>1400</v>
      </c>
      <c r="I169" s="20">
        <v>686</v>
      </c>
      <c r="J169" s="20">
        <v>714</v>
      </c>
      <c r="K169" s="20">
        <v>223</v>
      </c>
      <c r="L169" s="21">
        <f t="shared" si="12"/>
        <v>0.15928571428571428</v>
      </c>
      <c r="M169" s="20">
        <v>140</v>
      </c>
      <c r="N169" s="22">
        <f t="shared" si="13"/>
        <v>0.1</v>
      </c>
      <c r="O169" s="20">
        <v>92</v>
      </c>
      <c r="P169" s="20">
        <v>520</v>
      </c>
      <c r="Q169" s="23"/>
      <c r="R169" s="23"/>
      <c r="S169" s="24"/>
      <c r="T169" s="24"/>
      <c r="U169" s="24"/>
      <c r="V169" s="24"/>
      <c r="W169" s="20"/>
      <c r="X169" s="24" t="s">
        <v>51</v>
      </c>
      <c r="Y169" s="20"/>
      <c r="Z169" s="24"/>
      <c r="AA169" s="24"/>
      <c r="AB169" s="24"/>
      <c r="AC169" s="24" t="s">
        <v>51</v>
      </c>
      <c r="AD169" s="24"/>
      <c r="AE169" s="24" t="s">
        <v>51</v>
      </c>
      <c r="AF169" s="24">
        <v>9</v>
      </c>
      <c r="AG169" s="24" t="s">
        <v>60</v>
      </c>
      <c r="AH169" s="24">
        <v>25.939731999999999</v>
      </c>
      <c r="AI169" s="24">
        <v>75.077753000000001</v>
      </c>
      <c r="AJ169" s="25" t="s">
        <v>51</v>
      </c>
    </row>
    <row r="170" spans="1:36" x14ac:dyDescent="0.35">
      <c r="A170" s="17" t="s">
        <v>46</v>
      </c>
      <c r="B170" s="17" t="s">
        <v>47</v>
      </c>
      <c r="C170" s="18" t="s">
        <v>384</v>
      </c>
      <c r="D170" s="17" t="s">
        <v>386</v>
      </c>
      <c r="E170" s="19" t="s">
        <v>387</v>
      </c>
      <c r="F170" s="20">
        <v>129</v>
      </c>
      <c r="G170" s="20">
        <v>51</v>
      </c>
      <c r="H170" s="19">
        <v>240</v>
      </c>
      <c r="I170" s="20">
        <v>131</v>
      </c>
      <c r="J170" s="20">
        <v>109</v>
      </c>
      <c r="K170" s="20">
        <v>0</v>
      </c>
      <c r="L170" s="21">
        <f t="shared" si="12"/>
        <v>0</v>
      </c>
      <c r="M170" s="20">
        <v>6</v>
      </c>
      <c r="N170" s="22">
        <f t="shared" si="13"/>
        <v>2.5000000000000001E-2</v>
      </c>
      <c r="O170" s="20">
        <v>0</v>
      </c>
      <c r="P170" s="20">
        <v>0</v>
      </c>
      <c r="Q170" s="23"/>
      <c r="R170" s="23"/>
      <c r="S170" s="24"/>
      <c r="T170" s="24"/>
      <c r="U170" s="24"/>
      <c r="V170" s="24"/>
      <c r="W170" s="20"/>
      <c r="X170" s="24" t="s">
        <v>51</v>
      </c>
      <c r="Y170" s="20"/>
      <c r="Z170" s="24"/>
      <c r="AA170" s="24"/>
      <c r="AB170" s="24"/>
      <c r="AC170" s="24" t="s">
        <v>51</v>
      </c>
      <c r="AD170" s="24"/>
      <c r="AE170" s="24" t="s">
        <v>51</v>
      </c>
      <c r="AF170" s="24"/>
      <c r="AG170" s="24"/>
      <c r="AH170" s="24"/>
      <c r="AI170" s="24"/>
      <c r="AJ170" s="25" t="s">
        <v>51</v>
      </c>
    </row>
    <row r="171" spans="1:36" x14ac:dyDescent="0.35">
      <c r="A171" s="17" t="s">
        <v>46</v>
      </c>
      <c r="B171" s="17" t="s">
        <v>47</v>
      </c>
      <c r="C171" s="18" t="s">
        <v>384</v>
      </c>
      <c r="D171" s="17" t="s">
        <v>388</v>
      </c>
      <c r="E171" s="19" t="s">
        <v>389</v>
      </c>
      <c r="F171" s="20">
        <v>267</v>
      </c>
      <c r="G171" s="20">
        <v>148</v>
      </c>
      <c r="H171" s="19">
        <v>606</v>
      </c>
      <c r="I171" s="20">
        <v>330</v>
      </c>
      <c r="J171" s="20">
        <v>276</v>
      </c>
      <c r="K171" s="20">
        <v>155</v>
      </c>
      <c r="L171" s="21">
        <f t="shared" si="12"/>
        <v>0.25577557755775576</v>
      </c>
      <c r="M171" s="20">
        <v>0</v>
      </c>
      <c r="N171" s="22">
        <f t="shared" si="13"/>
        <v>0</v>
      </c>
      <c r="O171" s="20">
        <v>27</v>
      </c>
      <c r="P171" s="20">
        <v>2</v>
      </c>
      <c r="Q171" s="23"/>
      <c r="R171" s="23"/>
      <c r="S171" s="24"/>
      <c r="T171" s="24"/>
      <c r="U171" s="24"/>
      <c r="V171" s="24"/>
      <c r="W171" s="20"/>
      <c r="X171" s="24" t="s">
        <v>51</v>
      </c>
      <c r="Y171" s="20"/>
      <c r="Z171" s="24"/>
      <c r="AA171" s="24"/>
      <c r="AB171" s="24"/>
      <c r="AC171" s="24" t="s">
        <v>51</v>
      </c>
      <c r="AD171" s="24"/>
      <c r="AE171" s="24" t="s">
        <v>51</v>
      </c>
      <c r="AF171" s="24">
        <v>25</v>
      </c>
      <c r="AG171" s="24" t="s">
        <v>80</v>
      </c>
      <c r="AH171" s="24">
        <v>25.026530999999999</v>
      </c>
      <c r="AI171" s="24">
        <v>75.118444999999994</v>
      </c>
      <c r="AJ171" s="25" t="s">
        <v>51</v>
      </c>
    </row>
    <row r="172" spans="1:36" x14ac:dyDescent="0.35">
      <c r="A172" s="17" t="s">
        <v>46</v>
      </c>
      <c r="B172" s="17" t="s">
        <v>47</v>
      </c>
      <c r="C172" s="18" t="s">
        <v>273</v>
      </c>
      <c r="D172" s="17" t="s">
        <v>390</v>
      </c>
      <c r="E172" s="19" t="s">
        <v>391</v>
      </c>
      <c r="F172" s="20">
        <v>64</v>
      </c>
      <c r="G172" s="20">
        <v>26</v>
      </c>
      <c r="H172" s="19">
        <v>97</v>
      </c>
      <c r="I172" s="20">
        <v>48</v>
      </c>
      <c r="J172" s="20">
        <v>49</v>
      </c>
      <c r="K172" s="20">
        <v>6</v>
      </c>
      <c r="L172" s="21">
        <f t="shared" si="12"/>
        <v>6.1855670103092786E-2</v>
      </c>
      <c r="M172" s="20">
        <v>0</v>
      </c>
      <c r="N172" s="22">
        <f t="shared" si="13"/>
        <v>0</v>
      </c>
      <c r="O172" s="20">
        <v>0</v>
      </c>
      <c r="P172" s="20">
        <v>1</v>
      </c>
      <c r="Q172" s="23"/>
      <c r="R172" s="23"/>
      <c r="S172" s="24"/>
      <c r="T172" s="24"/>
      <c r="U172" s="24"/>
      <c r="V172" s="24"/>
      <c r="W172" s="20"/>
      <c r="X172" s="24" t="s">
        <v>51</v>
      </c>
      <c r="Y172" s="20"/>
      <c r="Z172" s="24"/>
      <c r="AA172" s="24"/>
      <c r="AB172" s="24"/>
      <c r="AC172" s="24" t="s">
        <v>51</v>
      </c>
      <c r="AD172" s="24"/>
      <c r="AE172" s="24" t="s">
        <v>51</v>
      </c>
      <c r="AF172" s="24"/>
      <c r="AG172" s="24"/>
      <c r="AH172" s="24"/>
      <c r="AI172" s="24"/>
      <c r="AJ172" s="25" t="s">
        <v>51</v>
      </c>
    </row>
    <row r="173" spans="1:36" x14ac:dyDescent="0.35">
      <c r="A173" s="17" t="s">
        <v>46</v>
      </c>
      <c r="B173" s="17" t="s">
        <v>47</v>
      </c>
      <c r="C173" s="18" t="s">
        <v>273</v>
      </c>
      <c r="D173" s="17" t="s">
        <v>392</v>
      </c>
      <c r="E173" s="19" t="s">
        <v>393</v>
      </c>
      <c r="F173" s="20">
        <v>115</v>
      </c>
      <c r="G173" s="20">
        <v>37</v>
      </c>
      <c r="H173" s="19">
        <v>185</v>
      </c>
      <c r="I173" s="20">
        <v>95</v>
      </c>
      <c r="J173" s="20">
        <v>90</v>
      </c>
      <c r="K173" s="20">
        <v>110</v>
      </c>
      <c r="L173" s="21">
        <f t="shared" si="12"/>
        <v>0.59459459459459463</v>
      </c>
      <c r="M173" s="20">
        <v>2</v>
      </c>
      <c r="N173" s="22">
        <f t="shared" si="13"/>
        <v>1.0810810810810811E-2</v>
      </c>
      <c r="O173" s="20">
        <v>4</v>
      </c>
      <c r="P173" s="20">
        <v>0</v>
      </c>
      <c r="Q173" s="23"/>
      <c r="R173" s="23"/>
      <c r="S173" s="24"/>
      <c r="T173" s="24"/>
      <c r="U173" s="24"/>
      <c r="V173" s="24"/>
      <c r="W173" s="20"/>
      <c r="X173" s="24" t="s">
        <v>51</v>
      </c>
      <c r="Y173" s="20"/>
      <c r="Z173" s="24"/>
      <c r="AA173" s="24"/>
      <c r="AB173" s="24"/>
      <c r="AC173" s="24" t="s">
        <v>51</v>
      </c>
      <c r="AD173" s="24"/>
      <c r="AE173" s="24" t="s">
        <v>51</v>
      </c>
      <c r="AF173" s="24"/>
      <c r="AG173" s="24"/>
      <c r="AH173" s="24"/>
      <c r="AI173" s="24"/>
      <c r="AJ173" s="25" t="s">
        <v>51</v>
      </c>
    </row>
    <row r="174" spans="1:36" x14ac:dyDescent="0.35">
      <c r="A174" s="17" t="s">
        <v>46</v>
      </c>
      <c r="B174" s="17" t="s">
        <v>47</v>
      </c>
      <c r="C174" s="18" t="s">
        <v>384</v>
      </c>
      <c r="D174" s="17" t="s">
        <v>394</v>
      </c>
      <c r="E174" s="19" t="s">
        <v>395</v>
      </c>
      <c r="F174" s="20">
        <v>321</v>
      </c>
      <c r="G174" s="20">
        <v>177</v>
      </c>
      <c r="H174" s="19">
        <v>933</v>
      </c>
      <c r="I174" s="20">
        <v>464</v>
      </c>
      <c r="J174" s="20">
        <v>469</v>
      </c>
      <c r="K174" s="20">
        <v>87</v>
      </c>
      <c r="L174" s="21">
        <f t="shared" si="12"/>
        <v>9.3247588424437297E-2</v>
      </c>
      <c r="M174" s="20">
        <v>78</v>
      </c>
      <c r="N174" s="22">
        <f t="shared" si="13"/>
        <v>8.3601286173633438E-2</v>
      </c>
      <c r="O174" s="20">
        <v>26</v>
      </c>
      <c r="P174" s="20">
        <v>0</v>
      </c>
      <c r="Q174" s="23"/>
      <c r="R174" s="23"/>
      <c r="S174" s="24"/>
      <c r="T174" s="24"/>
      <c r="U174" s="24"/>
      <c r="V174" s="24"/>
      <c r="W174" s="20"/>
      <c r="X174" s="24" t="s">
        <v>51</v>
      </c>
      <c r="Y174" s="20"/>
      <c r="Z174" s="24"/>
      <c r="AA174" s="24"/>
      <c r="AB174" s="24"/>
      <c r="AC174" s="24" t="s">
        <v>51</v>
      </c>
      <c r="AD174" s="24"/>
      <c r="AE174" s="24" t="s">
        <v>51</v>
      </c>
      <c r="AF174" s="24">
        <v>11</v>
      </c>
      <c r="AG174" s="24" t="s">
        <v>80</v>
      </c>
      <c r="AH174" s="24">
        <v>25.010377999999999</v>
      </c>
      <c r="AI174" s="24">
        <v>75.110545400000007</v>
      </c>
      <c r="AJ174" s="25" t="s">
        <v>51</v>
      </c>
    </row>
    <row r="175" spans="1:36" x14ac:dyDescent="0.35">
      <c r="A175" s="17" t="s">
        <v>46</v>
      </c>
      <c r="B175" s="17" t="s">
        <v>47</v>
      </c>
      <c r="C175" s="18" t="s">
        <v>396</v>
      </c>
      <c r="D175" s="17" t="s">
        <v>397</v>
      </c>
      <c r="E175" s="19" t="s">
        <v>398</v>
      </c>
      <c r="F175" s="20">
        <v>410</v>
      </c>
      <c r="G175" s="20">
        <v>94</v>
      </c>
      <c r="H175" s="19">
        <v>414</v>
      </c>
      <c r="I175" s="20">
        <v>222</v>
      </c>
      <c r="J175" s="20">
        <v>192</v>
      </c>
      <c r="K175" s="20">
        <v>26</v>
      </c>
      <c r="L175" s="21">
        <f t="shared" si="12"/>
        <v>6.280193236714976E-2</v>
      </c>
      <c r="M175" s="20">
        <v>12</v>
      </c>
      <c r="N175" s="22">
        <f t="shared" si="13"/>
        <v>2.8985507246376812E-2</v>
      </c>
      <c r="O175" s="20">
        <v>73</v>
      </c>
      <c r="P175" s="20">
        <v>0</v>
      </c>
      <c r="Q175" s="23"/>
      <c r="R175" s="23"/>
      <c r="S175" s="24"/>
      <c r="T175" s="24"/>
      <c r="U175" s="24"/>
      <c r="V175" s="24"/>
      <c r="W175" s="20" t="s">
        <v>51</v>
      </c>
      <c r="X175" s="24" t="s">
        <v>51</v>
      </c>
      <c r="Y175" s="20"/>
      <c r="Z175" s="24"/>
      <c r="AA175" s="24"/>
      <c r="AB175" s="24"/>
      <c r="AC175" s="24" t="s">
        <v>51</v>
      </c>
      <c r="AD175" s="24"/>
      <c r="AE175" s="24" t="s">
        <v>51</v>
      </c>
      <c r="AF175" s="24">
        <v>25</v>
      </c>
      <c r="AG175" s="24" t="s">
        <v>80</v>
      </c>
      <c r="AH175" s="24">
        <v>24.996765499999999</v>
      </c>
      <c r="AI175" s="24">
        <v>75.091160799999997</v>
      </c>
      <c r="AJ175" s="25" t="s">
        <v>51</v>
      </c>
    </row>
    <row r="176" spans="1:36" x14ac:dyDescent="0.35">
      <c r="A176" s="17" t="s">
        <v>46</v>
      </c>
      <c r="B176" s="17" t="s">
        <v>47</v>
      </c>
      <c r="C176" s="18" t="s">
        <v>396</v>
      </c>
      <c r="D176" s="17" t="s">
        <v>399</v>
      </c>
      <c r="E176" s="19" t="s">
        <v>400</v>
      </c>
      <c r="F176" s="20">
        <v>412</v>
      </c>
      <c r="G176" s="20">
        <v>181</v>
      </c>
      <c r="H176" s="19">
        <v>821</v>
      </c>
      <c r="I176" s="20">
        <v>424</v>
      </c>
      <c r="J176" s="20">
        <v>397</v>
      </c>
      <c r="K176" s="20">
        <v>130</v>
      </c>
      <c r="L176" s="21">
        <f t="shared" si="12"/>
        <v>0.15834348355663824</v>
      </c>
      <c r="M176" s="20">
        <v>49</v>
      </c>
      <c r="N176" s="22">
        <f t="shared" si="13"/>
        <v>5.9683313032886723E-2</v>
      </c>
      <c r="O176" s="20">
        <v>27</v>
      </c>
      <c r="P176" s="20">
        <v>0</v>
      </c>
      <c r="Q176" s="23"/>
      <c r="R176" s="23"/>
      <c r="S176" s="24"/>
      <c r="T176" s="24"/>
      <c r="U176" s="24"/>
      <c r="V176" s="24"/>
      <c r="W176" s="20" t="s">
        <v>51</v>
      </c>
      <c r="X176" s="24" t="s">
        <v>51</v>
      </c>
      <c r="Y176" s="20"/>
      <c r="Z176" s="24"/>
      <c r="AA176" s="24"/>
      <c r="AB176" s="24"/>
      <c r="AC176" s="24" t="s">
        <v>51</v>
      </c>
      <c r="AD176" s="24"/>
      <c r="AE176" s="24" t="s">
        <v>51</v>
      </c>
      <c r="AF176" s="24">
        <v>15</v>
      </c>
      <c r="AG176" s="24" t="s">
        <v>60</v>
      </c>
      <c r="AH176" s="24">
        <v>24.980235100000002</v>
      </c>
      <c r="AI176" s="24">
        <v>75.062753599999994</v>
      </c>
      <c r="AJ176" s="25" t="s">
        <v>51</v>
      </c>
    </row>
    <row r="177" spans="1:36" x14ac:dyDescent="0.35">
      <c r="A177" s="17" t="s">
        <v>46</v>
      </c>
      <c r="B177" s="17" t="s">
        <v>47</v>
      </c>
      <c r="C177" s="18" t="s">
        <v>396</v>
      </c>
      <c r="D177" s="17" t="s">
        <v>401</v>
      </c>
      <c r="E177" s="19" t="s">
        <v>402</v>
      </c>
      <c r="F177" s="20">
        <v>288</v>
      </c>
      <c r="G177" s="20">
        <v>103</v>
      </c>
      <c r="H177" s="19">
        <v>539</v>
      </c>
      <c r="I177" s="20">
        <v>265</v>
      </c>
      <c r="J177" s="20">
        <v>274</v>
      </c>
      <c r="K177" s="20">
        <v>30</v>
      </c>
      <c r="L177" s="21">
        <f t="shared" si="12"/>
        <v>5.5658627087198514E-2</v>
      </c>
      <c r="M177" s="20">
        <v>34</v>
      </c>
      <c r="N177" s="22">
        <f t="shared" si="13"/>
        <v>6.3079777365491654E-2</v>
      </c>
      <c r="O177" s="20">
        <v>37</v>
      </c>
      <c r="P177" s="20">
        <v>0</v>
      </c>
      <c r="Q177" s="23"/>
      <c r="R177" s="23"/>
      <c r="S177" s="24"/>
      <c r="T177" s="24"/>
      <c r="U177" s="24"/>
      <c r="V177" s="24"/>
      <c r="W177" s="20" t="s">
        <v>51</v>
      </c>
      <c r="X177" s="24" t="s">
        <v>51</v>
      </c>
      <c r="Y177" s="20"/>
      <c r="Z177" s="24"/>
      <c r="AA177" s="24"/>
      <c r="AB177" s="24"/>
      <c r="AC177" s="24" t="s">
        <v>51</v>
      </c>
      <c r="AD177" s="24"/>
      <c r="AE177" s="24" t="s">
        <v>51</v>
      </c>
      <c r="AF177" s="24"/>
      <c r="AG177" s="24"/>
      <c r="AH177" s="24"/>
      <c r="AI177" s="24"/>
      <c r="AJ177" s="25" t="s">
        <v>51</v>
      </c>
    </row>
    <row r="178" spans="1:36" x14ac:dyDescent="0.35">
      <c r="A178" s="17" t="s">
        <v>46</v>
      </c>
      <c r="B178" s="17" t="s">
        <v>47</v>
      </c>
      <c r="C178" s="18" t="s">
        <v>403</v>
      </c>
      <c r="D178" s="17" t="s">
        <v>404</v>
      </c>
      <c r="E178" s="19" t="s">
        <v>405</v>
      </c>
      <c r="F178" s="20">
        <v>88.24</v>
      </c>
      <c r="G178" s="20">
        <v>54</v>
      </c>
      <c r="H178" s="19">
        <v>245</v>
      </c>
      <c r="I178" s="20">
        <v>121</v>
      </c>
      <c r="J178" s="20">
        <v>124</v>
      </c>
      <c r="K178" s="20">
        <v>4</v>
      </c>
      <c r="L178" s="21">
        <f t="shared" si="12"/>
        <v>1.6326530612244899E-2</v>
      </c>
      <c r="M178" s="20">
        <v>0</v>
      </c>
      <c r="N178" s="22">
        <f t="shared" si="13"/>
        <v>0</v>
      </c>
      <c r="O178" s="20">
        <v>2.35</v>
      </c>
      <c r="P178" s="20">
        <v>0</v>
      </c>
      <c r="Q178" s="23"/>
      <c r="R178" s="23"/>
      <c r="S178" s="24"/>
      <c r="T178" s="24"/>
      <c r="U178" s="24"/>
      <c r="V178" s="24"/>
      <c r="W178" s="20"/>
      <c r="X178" s="24" t="s">
        <v>51</v>
      </c>
      <c r="Y178" s="20"/>
      <c r="Z178" s="24"/>
      <c r="AA178" s="24"/>
      <c r="AB178" s="24"/>
      <c r="AC178" s="24" t="s">
        <v>51</v>
      </c>
      <c r="AD178" s="24"/>
      <c r="AE178" s="24" t="s">
        <v>51</v>
      </c>
      <c r="AF178" s="24"/>
      <c r="AG178" s="24"/>
      <c r="AH178" s="24"/>
      <c r="AI178" s="24"/>
      <c r="AJ178" s="25" t="s">
        <v>51</v>
      </c>
    </row>
    <row r="179" spans="1:36" x14ac:dyDescent="0.35">
      <c r="A179" s="17" t="s">
        <v>46</v>
      </c>
      <c r="B179" s="17" t="s">
        <v>47</v>
      </c>
      <c r="C179" s="18" t="s">
        <v>403</v>
      </c>
      <c r="D179" s="17" t="s">
        <v>190</v>
      </c>
      <c r="E179" s="19" t="s">
        <v>406</v>
      </c>
      <c r="F179" s="20">
        <v>134.85</v>
      </c>
      <c r="G179" s="20">
        <v>86</v>
      </c>
      <c r="H179" s="19">
        <v>373</v>
      </c>
      <c r="I179" s="20">
        <v>193</v>
      </c>
      <c r="J179" s="20">
        <v>180</v>
      </c>
      <c r="K179" s="20">
        <v>0</v>
      </c>
      <c r="L179" s="21">
        <f t="shared" si="12"/>
        <v>0</v>
      </c>
      <c r="M179" s="20">
        <v>53</v>
      </c>
      <c r="N179" s="22">
        <f t="shared" si="13"/>
        <v>0.14209115281501342</v>
      </c>
      <c r="O179" s="20">
        <v>8.15</v>
      </c>
      <c r="P179" s="20">
        <v>0</v>
      </c>
      <c r="Q179" s="23"/>
      <c r="R179" s="23"/>
      <c r="S179" s="24"/>
      <c r="T179" s="24"/>
      <c r="U179" s="24"/>
      <c r="V179" s="24"/>
      <c r="W179" s="20"/>
      <c r="X179" s="24" t="s">
        <v>51</v>
      </c>
      <c r="Y179" s="20"/>
      <c r="Z179" s="24"/>
      <c r="AA179" s="24"/>
      <c r="AB179" s="24"/>
      <c r="AC179" s="24" t="s">
        <v>51</v>
      </c>
      <c r="AD179" s="24"/>
      <c r="AE179" s="24" t="s">
        <v>51</v>
      </c>
      <c r="AF179" s="24"/>
      <c r="AG179" s="24"/>
      <c r="AH179" s="24"/>
      <c r="AI179" s="24"/>
      <c r="AJ179" s="25" t="s">
        <v>51</v>
      </c>
    </row>
    <row r="180" spans="1:36" x14ac:dyDescent="0.35">
      <c r="A180" s="17" t="s">
        <v>46</v>
      </c>
      <c r="B180" s="17" t="s">
        <v>47</v>
      </c>
      <c r="C180" s="18" t="s">
        <v>403</v>
      </c>
      <c r="D180" s="17" t="s">
        <v>403</v>
      </c>
      <c r="E180" s="19" t="s">
        <v>407</v>
      </c>
      <c r="F180" s="20">
        <v>67.39</v>
      </c>
      <c r="G180" s="20">
        <v>49</v>
      </c>
      <c r="H180" s="19">
        <v>242</v>
      </c>
      <c r="I180" s="20">
        <v>122</v>
      </c>
      <c r="J180" s="20">
        <v>120</v>
      </c>
      <c r="K180" s="20">
        <v>4</v>
      </c>
      <c r="L180" s="21">
        <f t="shared" si="12"/>
        <v>1.6528925619834711E-2</v>
      </c>
      <c r="M180" s="20">
        <v>0</v>
      </c>
      <c r="N180" s="22">
        <f t="shared" si="13"/>
        <v>0</v>
      </c>
      <c r="O180" s="20">
        <v>0</v>
      </c>
      <c r="P180" s="20">
        <v>0</v>
      </c>
      <c r="Q180" s="23"/>
      <c r="R180" s="23"/>
      <c r="S180" s="24"/>
      <c r="T180" s="24"/>
      <c r="U180" s="24"/>
      <c r="V180" s="24"/>
      <c r="W180" s="20"/>
      <c r="X180" s="24" t="s">
        <v>51</v>
      </c>
      <c r="Y180" s="20"/>
      <c r="Z180" s="24"/>
      <c r="AA180" s="24"/>
      <c r="AB180" s="24"/>
      <c r="AC180" s="24" t="s">
        <v>51</v>
      </c>
      <c r="AD180" s="24"/>
      <c r="AE180" s="24" t="s">
        <v>51</v>
      </c>
      <c r="AF180" s="24"/>
      <c r="AG180" s="24"/>
      <c r="AH180" s="24"/>
      <c r="AI180" s="24"/>
      <c r="AJ180" s="25" t="s">
        <v>51</v>
      </c>
    </row>
    <row r="181" spans="1:36" x14ac:dyDescent="0.35">
      <c r="A181" s="17" t="s">
        <v>46</v>
      </c>
      <c r="B181" s="17" t="s">
        <v>47</v>
      </c>
      <c r="C181" s="18" t="s">
        <v>403</v>
      </c>
      <c r="D181" s="17" t="s">
        <v>123</v>
      </c>
      <c r="E181" s="19" t="s">
        <v>408</v>
      </c>
      <c r="F181" s="20">
        <v>195.16</v>
      </c>
      <c r="G181" s="20">
        <v>94</v>
      </c>
      <c r="H181" s="19">
        <v>474</v>
      </c>
      <c r="I181" s="20">
        <v>229</v>
      </c>
      <c r="J181" s="20">
        <v>245</v>
      </c>
      <c r="K181" s="20">
        <v>0</v>
      </c>
      <c r="L181" s="21">
        <f t="shared" si="12"/>
        <v>0</v>
      </c>
      <c r="M181" s="20">
        <v>13</v>
      </c>
      <c r="N181" s="22">
        <f t="shared" si="13"/>
        <v>2.7426160337552744E-2</v>
      </c>
      <c r="O181" s="20">
        <v>0</v>
      </c>
      <c r="P181" s="20">
        <v>0</v>
      </c>
      <c r="Q181" s="23"/>
      <c r="R181" s="23"/>
      <c r="S181" s="24"/>
      <c r="T181" s="24"/>
      <c r="U181" s="24"/>
      <c r="V181" s="24"/>
      <c r="W181" s="20"/>
      <c r="X181" s="24" t="s">
        <v>51</v>
      </c>
      <c r="Y181" s="20"/>
      <c r="Z181" s="24"/>
      <c r="AA181" s="24"/>
      <c r="AB181" s="24"/>
      <c r="AC181" s="24" t="s">
        <v>51</v>
      </c>
      <c r="AD181" s="24"/>
      <c r="AE181" s="24" t="s">
        <v>51</v>
      </c>
      <c r="AF181" s="24"/>
      <c r="AG181" s="24"/>
      <c r="AH181" s="24"/>
      <c r="AI181" s="24"/>
      <c r="AJ181" s="25" t="s">
        <v>51</v>
      </c>
    </row>
    <row r="182" spans="1:36" x14ac:dyDescent="0.35">
      <c r="A182" s="17" t="s">
        <v>46</v>
      </c>
      <c r="B182" s="17" t="s">
        <v>47</v>
      </c>
      <c r="C182" s="18" t="s">
        <v>403</v>
      </c>
      <c r="D182" s="17" t="s">
        <v>409</v>
      </c>
      <c r="E182" s="19" t="s">
        <v>410</v>
      </c>
      <c r="F182" s="28">
        <v>177.36</v>
      </c>
      <c r="G182" s="28"/>
      <c r="H182" s="19">
        <v>0</v>
      </c>
      <c r="I182" s="28"/>
      <c r="J182" s="28"/>
      <c r="K182" s="28"/>
      <c r="L182" s="21"/>
      <c r="M182" s="28"/>
      <c r="N182" s="22"/>
      <c r="O182" s="28">
        <v>100.86</v>
      </c>
      <c r="P182" s="28">
        <v>0</v>
      </c>
      <c r="Q182" s="23"/>
      <c r="R182" s="23"/>
      <c r="S182" s="24"/>
      <c r="T182" s="24"/>
      <c r="U182" s="24"/>
      <c r="V182" s="24"/>
      <c r="W182" s="28"/>
      <c r="X182" s="24"/>
      <c r="Y182" s="28"/>
      <c r="Z182" s="24"/>
      <c r="AA182" s="24"/>
      <c r="AB182" s="24"/>
      <c r="AC182" s="24" t="s">
        <v>51</v>
      </c>
      <c r="AD182" s="24"/>
      <c r="AE182" s="24" t="s">
        <v>51</v>
      </c>
      <c r="AF182" s="24"/>
      <c r="AG182" s="24"/>
      <c r="AH182" s="24"/>
      <c r="AI182" s="24"/>
      <c r="AJ182" s="24"/>
    </row>
    <row r="183" spans="1:36" x14ac:dyDescent="0.35">
      <c r="A183" s="17" t="s">
        <v>46</v>
      </c>
      <c r="B183" s="17" t="s">
        <v>47</v>
      </c>
      <c r="C183" s="18" t="s">
        <v>346</v>
      </c>
      <c r="D183" s="17" t="s">
        <v>411</v>
      </c>
      <c r="E183" s="19" t="s">
        <v>412</v>
      </c>
      <c r="F183" s="20">
        <v>96.1</v>
      </c>
      <c r="G183" s="20">
        <v>35</v>
      </c>
      <c r="H183" s="19">
        <v>214</v>
      </c>
      <c r="I183" s="20">
        <v>102</v>
      </c>
      <c r="J183" s="20">
        <v>112</v>
      </c>
      <c r="K183" s="20">
        <v>0</v>
      </c>
      <c r="L183" s="21">
        <f>K183/H183</f>
        <v>0</v>
      </c>
      <c r="M183" s="20">
        <v>0</v>
      </c>
      <c r="N183" s="22">
        <f>M183/H183</f>
        <v>0</v>
      </c>
      <c r="O183" s="20">
        <v>17.100000000000001</v>
      </c>
      <c r="P183" s="20">
        <v>0</v>
      </c>
      <c r="Q183" s="23"/>
      <c r="R183" s="23"/>
      <c r="S183" s="24"/>
      <c r="T183" s="24"/>
      <c r="U183" s="24"/>
      <c r="V183" s="24"/>
      <c r="W183" s="20"/>
      <c r="X183" s="24" t="s">
        <v>51</v>
      </c>
      <c r="Y183" s="20"/>
      <c r="Z183" s="24"/>
      <c r="AA183" s="24"/>
      <c r="AB183" s="24"/>
      <c r="AC183" s="24" t="s">
        <v>51</v>
      </c>
      <c r="AD183" s="24"/>
      <c r="AE183" s="24" t="s">
        <v>51</v>
      </c>
      <c r="AF183" s="24"/>
      <c r="AG183" s="24"/>
      <c r="AH183" s="24"/>
      <c r="AI183" s="24"/>
      <c r="AJ183" s="25" t="s">
        <v>51</v>
      </c>
    </row>
    <row r="184" spans="1:36" x14ac:dyDescent="0.35">
      <c r="A184" s="17" t="s">
        <v>46</v>
      </c>
      <c r="B184" s="17" t="s">
        <v>47</v>
      </c>
      <c r="C184" s="18" t="s">
        <v>346</v>
      </c>
      <c r="D184" s="17" t="s">
        <v>346</v>
      </c>
      <c r="E184" s="19" t="s">
        <v>413</v>
      </c>
      <c r="F184" s="20">
        <v>742.1</v>
      </c>
      <c r="G184" s="20">
        <v>171</v>
      </c>
      <c r="H184" s="19">
        <v>833</v>
      </c>
      <c r="I184" s="20">
        <v>421</v>
      </c>
      <c r="J184" s="20">
        <v>412</v>
      </c>
      <c r="K184" s="20">
        <v>120</v>
      </c>
      <c r="L184" s="21">
        <f>K184/H184</f>
        <v>0.14405762304921968</v>
      </c>
      <c r="M184" s="20">
        <v>6</v>
      </c>
      <c r="N184" s="22">
        <f>M184/H184</f>
        <v>7.2028811524609843E-3</v>
      </c>
      <c r="O184" s="20">
        <v>332.5</v>
      </c>
      <c r="P184" s="20">
        <v>3.1</v>
      </c>
      <c r="Q184" s="23"/>
      <c r="R184" s="23"/>
      <c r="S184" s="24"/>
      <c r="T184" s="24"/>
      <c r="U184" s="24"/>
      <c r="V184" s="24"/>
      <c r="W184" s="20"/>
      <c r="X184" s="24" t="s">
        <v>51</v>
      </c>
      <c r="Y184" s="20"/>
      <c r="Z184" s="24"/>
      <c r="AA184" s="24"/>
      <c r="AB184" s="24"/>
      <c r="AC184" s="24" t="s">
        <v>51</v>
      </c>
      <c r="AD184" s="24"/>
      <c r="AE184" s="24" t="s">
        <v>51</v>
      </c>
      <c r="AF184" s="24"/>
      <c r="AG184" s="24"/>
      <c r="AH184" s="24"/>
      <c r="AI184" s="24"/>
      <c r="AJ184" s="25" t="s">
        <v>51</v>
      </c>
    </row>
    <row r="185" spans="1:36" x14ac:dyDescent="0.35">
      <c r="A185" s="17" t="s">
        <v>46</v>
      </c>
      <c r="B185" s="17" t="s">
        <v>47</v>
      </c>
      <c r="C185" s="18" t="s">
        <v>339</v>
      </c>
      <c r="D185" s="17" t="s">
        <v>414</v>
      </c>
      <c r="E185" s="19" t="s">
        <v>415</v>
      </c>
      <c r="F185" s="20">
        <v>149</v>
      </c>
      <c r="G185" s="20">
        <v>111</v>
      </c>
      <c r="H185" s="19">
        <v>544</v>
      </c>
      <c r="I185" s="20">
        <v>293</v>
      </c>
      <c r="J185" s="20">
        <v>251</v>
      </c>
      <c r="K185" s="20">
        <v>157</v>
      </c>
      <c r="L185" s="21">
        <f>K185/H185</f>
        <v>0.28860294117647056</v>
      </c>
      <c r="M185" s="20">
        <v>292</v>
      </c>
      <c r="N185" s="22">
        <f>M185/H185</f>
        <v>0.53676470588235292</v>
      </c>
      <c r="O185" s="20">
        <v>19</v>
      </c>
      <c r="P185" s="20">
        <v>0</v>
      </c>
      <c r="Q185" s="23"/>
      <c r="R185" s="23"/>
      <c r="S185" s="24"/>
      <c r="T185" s="24"/>
      <c r="U185" s="24"/>
      <c r="V185" s="24"/>
      <c r="W185" s="20"/>
      <c r="X185" s="24" t="s">
        <v>51</v>
      </c>
      <c r="Y185" s="20"/>
      <c r="Z185" s="24"/>
      <c r="AA185" s="24"/>
      <c r="AB185" s="24"/>
      <c r="AC185" s="24" t="s">
        <v>51</v>
      </c>
      <c r="AD185" s="24"/>
      <c r="AE185" s="24" t="s">
        <v>51</v>
      </c>
      <c r="AF185" s="24"/>
      <c r="AG185" s="24"/>
      <c r="AH185" s="24"/>
      <c r="AI185" s="24"/>
      <c r="AJ185" s="25" t="s">
        <v>51</v>
      </c>
    </row>
    <row r="186" spans="1:36" x14ac:dyDescent="0.35">
      <c r="A186" s="17" t="s">
        <v>46</v>
      </c>
      <c r="B186" s="17" t="s">
        <v>47</v>
      </c>
      <c r="C186" s="18" t="s">
        <v>339</v>
      </c>
      <c r="D186" s="17" t="s">
        <v>416</v>
      </c>
      <c r="E186" s="19" t="s">
        <v>417</v>
      </c>
      <c r="F186" s="28">
        <v>75</v>
      </c>
      <c r="G186" s="28"/>
      <c r="H186" s="19">
        <v>0</v>
      </c>
      <c r="I186" s="28"/>
      <c r="J186" s="28"/>
      <c r="K186" s="28"/>
      <c r="L186" s="21"/>
      <c r="M186" s="28"/>
      <c r="N186" s="22"/>
      <c r="O186" s="28">
        <v>0</v>
      </c>
      <c r="P186" s="28">
        <v>0</v>
      </c>
      <c r="Q186" s="23"/>
      <c r="R186" s="23"/>
      <c r="S186" s="24"/>
      <c r="T186" s="24"/>
      <c r="U186" s="24"/>
      <c r="V186" s="24"/>
      <c r="W186" s="28"/>
      <c r="X186" s="24"/>
      <c r="Y186" s="28"/>
      <c r="Z186" s="24"/>
      <c r="AA186" s="24"/>
      <c r="AB186" s="24"/>
      <c r="AC186" s="24" t="s">
        <v>51</v>
      </c>
      <c r="AD186" s="24"/>
      <c r="AE186" s="24" t="s">
        <v>51</v>
      </c>
      <c r="AF186" s="24"/>
      <c r="AG186" s="24"/>
      <c r="AH186" s="24"/>
      <c r="AI186" s="24"/>
      <c r="AJ186" s="24"/>
    </row>
    <row r="187" spans="1:36" x14ac:dyDescent="0.35">
      <c r="A187" s="17" t="s">
        <v>46</v>
      </c>
      <c r="B187" s="17" t="s">
        <v>47</v>
      </c>
      <c r="C187" s="18" t="s">
        <v>312</v>
      </c>
      <c r="D187" s="17" t="s">
        <v>126</v>
      </c>
      <c r="E187" s="19" t="s">
        <v>418</v>
      </c>
      <c r="F187" s="20">
        <v>123</v>
      </c>
      <c r="G187" s="20">
        <v>10</v>
      </c>
      <c r="H187" s="19">
        <v>42</v>
      </c>
      <c r="I187" s="20">
        <v>19</v>
      </c>
      <c r="J187" s="20">
        <v>23</v>
      </c>
      <c r="K187" s="20">
        <v>0</v>
      </c>
      <c r="L187" s="21">
        <f>K187/H187</f>
        <v>0</v>
      </c>
      <c r="M187" s="20">
        <v>0</v>
      </c>
      <c r="N187" s="22">
        <f>M187/H187</f>
        <v>0</v>
      </c>
      <c r="O187" s="20">
        <v>27</v>
      </c>
      <c r="P187" s="20">
        <v>65</v>
      </c>
      <c r="Q187" s="23"/>
      <c r="R187" s="23"/>
      <c r="S187" s="24"/>
      <c r="T187" s="24"/>
      <c r="U187" s="24"/>
      <c r="V187" s="24"/>
      <c r="W187" s="20"/>
      <c r="X187" s="24"/>
      <c r="Y187" s="20"/>
      <c r="Z187" s="24"/>
      <c r="AA187" s="24"/>
      <c r="AB187" s="24"/>
      <c r="AC187" s="24" t="s">
        <v>51</v>
      </c>
      <c r="AD187" s="24"/>
      <c r="AE187" s="24" t="s">
        <v>51</v>
      </c>
      <c r="AF187" s="24"/>
      <c r="AG187" s="24"/>
      <c r="AH187" s="24"/>
      <c r="AI187" s="24"/>
      <c r="AJ187" s="24"/>
    </row>
    <row r="188" spans="1:36" x14ac:dyDescent="0.35">
      <c r="A188" s="17" t="s">
        <v>46</v>
      </c>
      <c r="B188" s="17" t="s">
        <v>47</v>
      </c>
      <c r="C188" s="18" t="s">
        <v>339</v>
      </c>
      <c r="D188" s="17" t="s">
        <v>419</v>
      </c>
      <c r="E188" s="19" t="s">
        <v>420</v>
      </c>
      <c r="F188" s="28">
        <v>108</v>
      </c>
      <c r="G188" s="28"/>
      <c r="H188" s="19">
        <v>0</v>
      </c>
      <c r="I188" s="28"/>
      <c r="J188" s="28"/>
      <c r="K188" s="28"/>
      <c r="L188" s="21"/>
      <c r="M188" s="28"/>
      <c r="N188" s="22"/>
      <c r="O188" s="28">
        <v>0</v>
      </c>
      <c r="P188" s="28">
        <v>20</v>
      </c>
      <c r="Q188" s="23"/>
      <c r="R188" s="23"/>
      <c r="S188" s="24"/>
      <c r="T188" s="24"/>
      <c r="U188" s="24"/>
      <c r="V188" s="24"/>
      <c r="W188" s="28"/>
      <c r="X188" s="24"/>
      <c r="Y188" s="28"/>
      <c r="Z188" s="24"/>
      <c r="AA188" s="24"/>
      <c r="AB188" s="24"/>
      <c r="AC188" s="24" t="s">
        <v>51</v>
      </c>
      <c r="AD188" s="24"/>
      <c r="AE188" s="24" t="s">
        <v>51</v>
      </c>
      <c r="AF188" s="24"/>
      <c r="AG188" s="24"/>
      <c r="AH188" s="24"/>
      <c r="AI188" s="24"/>
      <c r="AJ188" s="24"/>
    </row>
    <row r="189" spans="1:36" x14ac:dyDescent="0.35">
      <c r="A189" s="17" t="s">
        <v>46</v>
      </c>
      <c r="B189" s="17" t="s">
        <v>47</v>
      </c>
      <c r="C189" s="18" t="s">
        <v>312</v>
      </c>
      <c r="D189" s="17" t="s">
        <v>324</v>
      </c>
      <c r="E189" s="19" t="s">
        <v>421</v>
      </c>
      <c r="F189" s="20">
        <v>131</v>
      </c>
      <c r="G189" s="20">
        <v>29</v>
      </c>
      <c r="H189" s="19">
        <v>125</v>
      </c>
      <c r="I189" s="20">
        <v>67</v>
      </c>
      <c r="J189" s="20">
        <v>58</v>
      </c>
      <c r="K189" s="20">
        <v>0</v>
      </c>
      <c r="L189" s="21">
        <f>K189/H189</f>
        <v>0</v>
      </c>
      <c r="M189" s="20">
        <v>0</v>
      </c>
      <c r="N189" s="22">
        <f>M189/H189</f>
        <v>0</v>
      </c>
      <c r="O189" s="20">
        <v>9</v>
      </c>
      <c r="P189" s="20">
        <v>90</v>
      </c>
      <c r="Q189" s="23"/>
      <c r="R189" s="23"/>
      <c r="S189" s="24"/>
      <c r="T189" s="24"/>
      <c r="U189" s="24"/>
      <c r="V189" s="24"/>
      <c r="W189" s="20"/>
      <c r="X189" s="24" t="s">
        <v>51</v>
      </c>
      <c r="Y189" s="20"/>
      <c r="Z189" s="24"/>
      <c r="AA189" s="24"/>
      <c r="AB189" s="24"/>
      <c r="AC189" s="24" t="s">
        <v>51</v>
      </c>
      <c r="AD189" s="24"/>
      <c r="AE189" s="24" t="s">
        <v>51</v>
      </c>
      <c r="AF189" s="24"/>
      <c r="AG189" s="24"/>
      <c r="AH189" s="24"/>
      <c r="AI189" s="24"/>
      <c r="AJ189" s="25" t="s">
        <v>51</v>
      </c>
    </row>
    <row r="190" spans="1:36" x14ac:dyDescent="0.35">
      <c r="A190" s="17" t="s">
        <v>46</v>
      </c>
      <c r="B190" s="17" t="s">
        <v>47</v>
      </c>
      <c r="C190" s="18" t="s">
        <v>312</v>
      </c>
      <c r="D190" s="17" t="s">
        <v>422</v>
      </c>
      <c r="E190" s="19" t="s">
        <v>423</v>
      </c>
      <c r="F190" s="20">
        <v>1514</v>
      </c>
      <c r="G190" s="20">
        <v>114</v>
      </c>
      <c r="H190" s="19">
        <v>639</v>
      </c>
      <c r="I190" s="20">
        <v>307</v>
      </c>
      <c r="J190" s="20">
        <v>332</v>
      </c>
      <c r="K190" s="20">
        <v>95</v>
      </c>
      <c r="L190" s="21">
        <f>K190/H190</f>
        <v>0.14866979655712051</v>
      </c>
      <c r="M190" s="20">
        <v>127</v>
      </c>
      <c r="N190" s="22">
        <f>M190/H190</f>
        <v>0.19874804381846636</v>
      </c>
      <c r="O190" s="20">
        <v>134</v>
      </c>
      <c r="P190" s="20">
        <v>1210</v>
      </c>
      <c r="Q190" s="23"/>
      <c r="R190" s="23"/>
      <c r="S190" s="24"/>
      <c r="T190" s="24"/>
      <c r="U190" s="24"/>
      <c r="V190" s="24"/>
      <c r="W190" s="20"/>
      <c r="X190" s="24" t="s">
        <v>51</v>
      </c>
      <c r="Y190" s="20"/>
      <c r="Z190" s="24"/>
      <c r="AA190" s="24"/>
      <c r="AB190" s="24"/>
      <c r="AC190" s="24" t="s">
        <v>51</v>
      </c>
      <c r="AD190" s="24"/>
      <c r="AE190" s="24" t="s">
        <v>51</v>
      </c>
      <c r="AF190" s="24"/>
      <c r="AG190" s="24"/>
      <c r="AH190" s="24"/>
      <c r="AI190" s="24"/>
      <c r="AJ190" s="25" t="s">
        <v>51</v>
      </c>
    </row>
    <row r="191" spans="1:36" x14ac:dyDescent="0.35">
      <c r="A191" s="17" t="s">
        <v>46</v>
      </c>
      <c r="B191" s="17" t="s">
        <v>47</v>
      </c>
      <c r="C191" s="18" t="s">
        <v>339</v>
      </c>
      <c r="D191" s="17" t="s">
        <v>424</v>
      </c>
      <c r="E191" s="19" t="s">
        <v>425</v>
      </c>
      <c r="F191" s="28">
        <v>48</v>
      </c>
      <c r="G191" s="28"/>
      <c r="H191" s="19">
        <v>0</v>
      </c>
      <c r="I191" s="28"/>
      <c r="J191" s="28"/>
      <c r="K191" s="28"/>
      <c r="L191" s="21"/>
      <c r="M191" s="28"/>
      <c r="N191" s="22"/>
      <c r="O191" s="28">
        <v>0</v>
      </c>
      <c r="P191" s="28">
        <v>24</v>
      </c>
      <c r="Q191" s="23"/>
      <c r="R191" s="23"/>
      <c r="S191" s="24"/>
      <c r="T191" s="24"/>
      <c r="U191" s="24"/>
      <c r="V191" s="24"/>
      <c r="W191" s="28"/>
      <c r="X191" s="24"/>
      <c r="Y191" s="28"/>
      <c r="Z191" s="24"/>
      <c r="AA191" s="24"/>
      <c r="AB191" s="24"/>
      <c r="AC191" s="24" t="s">
        <v>51</v>
      </c>
      <c r="AD191" s="24"/>
      <c r="AE191" s="24" t="s">
        <v>51</v>
      </c>
      <c r="AF191" s="24"/>
      <c r="AG191" s="24"/>
      <c r="AH191" s="24"/>
      <c r="AI191" s="24"/>
      <c r="AJ191" s="24"/>
    </row>
    <row r="192" spans="1:36" x14ac:dyDescent="0.35">
      <c r="A192" s="17" t="s">
        <v>46</v>
      </c>
      <c r="B192" s="17" t="s">
        <v>47</v>
      </c>
      <c r="C192" s="18" t="s">
        <v>312</v>
      </c>
      <c r="D192" s="17" t="s">
        <v>426</v>
      </c>
      <c r="E192" s="19" t="s">
        <v>427</v>
      </c>
      <c r="F192" s="20">
        <v>379</v>
      </c>
      <c r="G192" s="20">
        <v>107</v>
      </c>
      <c r="H192" s="19">
        <v>497</v>
      </c>
      <c r="I192" s="20">
        <v>242</v>
      </c>
      <c r="J192" s="20">
        <v>255</v>
      </c>
      <c r="K192" s="20">
        <v>40</v>
      </c>
      <c r="L192" s="21">
        <f>K192/H192</f>
        <v>8.0482897384305835E-2</v>
      </c>
      <c r="M192" s="20">
        <v>17</v>
      </c>
      <c r="N192" s="22">
        <f>M192/H192</f>
        <v>3.4205231388329982E-2</v>
      </c>
      <c r="O192" s="20">
        <v>0</v>
      </c>
      <c r="P192" s="20">
        <v>279</v>
      </c>
      <c r="Q192" s="23"/>
      <c r="R192" s="23"/>
      <c r="S192" s="24"/>
      <c r="T192" s="24"/>
      <c r="U192" s="24"/>
      <c r="V192" s="24"/>
      <c r="W192" s="20"/>
      <c r="X192" s="24" t="s">
        <v>51</v>
      </c>
      <c r="Y192" s="20"/>
      <c r="Z192" s="24"/>
      <c r="AA192" s="24"/>
      <c r="AB192" s="24"/>
      <c r="AC192" s="24" t="s">
        <v>51</v>
      </c>
      <c r="AD192" s="24"/>
      <c r="AE192" s="24" t="s">
        <v>51</v>
      </c>
      <c r="AF192" s="24"/>
      <c r="AG192" s="24"/>
      <c r="AH192" s="24"/>
      <c r="AI192" s="24"/>
      <c r="AJ192" s="25" t="s">
        <v>51</v>
      </c>
    </row>
    <row r="193" spans="1:36" x14ac:dyDescent="0.35">
      <c r="A193" s="17" t="s">
        <v>46</v>
      </c>
      <c r="B193" s="17" t="s">
        <v>47</v>
      </c>
      <c r="C193" s="18" t="s">
        <v>312</v>
      </c>
      <c r="D193" s="17" t="s">
        <v>428</v>
      </c>
      <c r="E193" s="19" t="s">
        <v>429</v>
      </c>
      <c r="F193" s="20">
        <v>23</v>
      </c>
      <c r="G193" s="20">
        <v>6</v>
      </c>
      <c r="H193" s="19">
        <v>28</v>
      </c>
      <c r="I193" s="20">
        <v>10</v>
      </c>
      <c r="J193" s="20">
        <v>18</v>
      </c>
      <c r="K193" s="20">
        <v>0</v>
      </c>
      <c r="L193" s="21">
        <f>K193/H193</f>
        <v>0</v>
      </c>
      <c r="M193" s="20">
        <v>0</v>
      </c>
      <c r="N193" s="22">
        <f>M193/H193</f>
        <v>0</v>
      </c>
      <c r="O193" s="20">
        <v>0</v>
      </c>
      <c r="P193" s="20">
        <v>1</v>
      </c>
      <c r="Q193" s="23"/>
      <c r="R193" s="23"/>
      <c r="S193" s="24"/>
      <c r="T193" s="24"/>
      <c r="U193" s="24"/>
      <c r="V193" s="24"/>
      <c r="W193" s="20"/>
      <c r="X193" s="24"/>
      <c r="Y193" s="20"/>
      <c r="Z193" s="24"/>
      <c r="AA193" s="24"/>
      <c r="AB193" s="24"/>
      <c r="AC193" s="24" t="s">
        <v>51</v>
      </c>
      <c r="AD193" s="24"/>
      <c r="AE193" s="24" t="s">
        <v>51</v>
      </c>
      <c r="AF193" s="24"/>
      <c r="AG193" s="24"/>
      <c r="AH193" s="24"/>
      <c r="AI193" s="24"/>
      <c r="AJ193" s="24"/>
    </row>
    <row r="194" spans="1:36" x14ac:dyDescent="0.35">
      <c r="A194" s="17" t="s">
        <v>46</v>
      </c>
      <c r="B194" s="17" t="s">
        <v>47</v>
      </c>
      <c r="C194" s="18" t="s">
        <v>339</v>
      </c>
      <c r="D194" s="17" t="s">
        <v>430</v>
      </c>
      <c r="E194" s="19" t="s">
        <v>431</v>
      </c>
      <c r="F194" s="28">
        <v>283</v>
      </c>
      <c r="G194" s="28"/>
      <c r="H194" s="19">
        <v>0</v>
      </c>
      <c r="I194" s="28"/>
      <c r="J194" s="28"/>
      <c r="K194" s="28"/>
      <c r="L194" s="21"/>
      <c r="M194" s="28"/>
      <c r="N194" s="22"/>
      <c r="O194" s="28">
        <v>0</v>
      </c>
      <c r="P194" s="28">
        <v>264</v>
      </c>
      <c r="Q194" s="23"/>
      <c r="R194" s="23"/>
      <c r="S194" s="24"/>
      <c r="T194" s="24"/>
      <c r="U194" s="24"/>
      <c r="V194" s="24"/>
      <c r="W194" s="28"/>
      <c r="X194" s="24"/>
      <c r="Y194" s="28"/>
      <c r="Z194" s="24"/>
      <c r="AA194" s="24"/>
      <c r="AB194" s="24"/>
      <c r="AC194" s="24" t="s">
        <v>51</v>
      </c>
      <c r="AD194" s="24"/>
      <c r="AE194" s="24" t="s">
        <v>51</v>
      </c>
      <c r="AF194" s="24"/>
      <c r="AG194" s="24"/>
      <c r="AH194" s="24"/>
      <c r="AI194" s="24"/>
      <c r="AJ194" s="24"/>
    </row>
    <row r="195" spans="1:36" x14ac:dyDescent="0.35">
      <c r="A195" s="17" t="s">
        <v>46</v>
      </c>
      <c r="B195" s="17" t="s">
        <v>47</v>
      </c>
      <c r="C195" s="18" t="s">
        <v>339</v>
      </c>
      <c r="D195" s="17" t="s">
        <v>432</v>
      </c>
      <c r="E195" s="19" t="s">
        <v>433</v>
      </c>
      <c r="F195" s="20">
        <v>199</v>
      </c>
      <c r="G195" s="20">
        <v>11</v>
      </c>
      <c r="H195" s="19">
        <v>51</v>
      </c>
      <c r="I195" s="20">
        <v>31</v>
      </c>
      <c r="J195" s="20">
        <v>20</v>
      </c>
      <c r="K195" s="20">
        <v>0</v>
      </c>
      <c r="L195" s="21">
        <f>K195/H195</f>
        <v>0</v>
      </c>
      <c r="M195" s="20">
        <v>0</v>
      </c>
      <c r="N195" s="22">
        <f>M195/H195</f>
        <v>0</v>
      </c>
      <c r="O195" s="20">
        <v>6</v>
      </c>
      <c r="P195" s="20">
        <v>130</v>
      </c>
      <c r="Q195" s="23"/>
      <c r="R195" s="23"/>
      <c r="S195" s="24"/>
      <c r="T195" s="24"/>
      <c r="U195" s="24"/>
      <c r="V195" s="24"/>
      <c r="W195" s="20"/>
      <c r="X195" s="24"/>
      <c r="Y195" s="20"/>
      <c r="Z195" s="24"/>
      <c r="AA195" s="24"/>
      <c r="AB195" s="24"/>
      <c r="AC195" s="24" t="s">
        <v>51</v>
      </c>
      <c r="AD195" s="24"/>
      <c r="AE195" s="24" t="s">
        <v>51</v>
      </c>
      <c r="AF195" s="24"/>
      <c r="AG195" s="24"/>
      <c r="AH195" s="24"/>
      <c r="AI195" s="24"/>
      <c r="AJ195" s="24" t="s">
        <v>51</v>
      </c>
    </row>
    <row r="196" spans="1:36" x14ac:dyDescent="0.35">
      <c r="A196" s="17" t="s">
        <v>46</v>
      </c>
      <c r="B196" s="17" t="s">
        <v>47</v>
      </c>
      <c r="C196" s="18" t="s">
        <v>339</v>
      </c>
      <c r="D196" s="17" t="s">
        <v>434</v>
      </c>
      <c r="E196" s="19" t="s">
        <v>435</v>
      </c>
      <c r="F196" s="20">
        <v>336</v>
      </c>
      <c r="G196" s="20">
        <v>34</v>
      </c>
      <c r="H196" s="19">
        <v>121</v>
      </c>
      <c r="I196" s="20">
        <v>67</v>
      </c>
      <c r="J196" s="20">
        <v>54</v>
      </c>
      <c r="K196" s="20">
        <v>0</v>
      </c>
      <c r="L196" s="21">
        <f>K196/H196</f>
        <v>0</v>
      </c>
      <c r="M196" s="20">
        <v>2</v>
      </c>
      <c r="N196" s="22">
        <f>M196/H196</f>
        <v>1.6528925619834711E-2</v>
      </c>
      <c r="O196" s="20">
        <v>37</v>
      </c>
      <c r="P196" s="20">
        <v>215</v>
      </c>
      <c r="Q196" s="23"/>
      <c r="R196" s="23"/>
      <c r="S196" s="24"/>
      <c r="T196" s="24"/>
      <c r="U196" s="24"/>
      <c r="V196" s="24"/>
      <c r="W196" s="20"/>
      <c r="X196" s="24" t="s">
        <v>51</v>
      </c>
      <c r="Y196" s="20"/>
      <c r="Z196" s="24"/>
      <c r="AA196" s="24"/>
      <c r="AB196" s="24"/>
      <c r="AC196" s="24" t="s">
        <v>51</v>
      </c>
      <c r="AD196" s="24"/>
      <c r="AE196" s="24" t="s">
        <v>51</v>
      </c>
      <c r="AF196" s="24"/>
      <c r="AG196" s="24"/>
      <c r="AH196" s="24"/>
      <c r="AI196" s="24"/>
      <c r="AJ196" s="25" t="s">
        <v>51</v>
      </c>
    </row>
    <row r="197" spans="1:36" x14ac:dyDescent="0.35">
      <c r="A197" s="17" t="s">
        <v>46</v>
      </c>
      <c r="B197" s="17" t="s">
        <v>47</v>
      </c>
      <c r="C197" s="18" t="s">
        <v>339</v>
      </c>
      <c r="D197" s="17" t="s">
        <v>339</v>
      </c>
      <c r="E197" s="19" t="s">
        <v>436</v>
      </c>
      <c r="F197" s="20">
        <v>874</v>
      </c>
      <c r="G197" s="20">
        <v>375</v>
      </c>
      <c r="H197" s="19">
        <v>1699</v>
      </c>
      <c r="I197" s="20">
        <v>878</v>
      </c>
      <c r="J197" s="20">
        <v>821</v>
      </c>
      <c r="K197" s="20">
        <v>241</v>
      </c>
      <c r="L197" s="21">
        <f>K197/H197</f>
        <v>0.1418481459682166</v>
      </c>
      <c r="M197" s="20">
        <v>97</v>
      </c>
      <c r="N197" s="22">
        <f>M197/H197</f>
        <v>5.7092407298410829E-2</v>
      </c>
      <c r="O197" s="20">
        <v>241</v>
      </c>
      <c r="P197" s="20">
        <v>284</v>
      </c>
      <c r="Q197" s="23"/>
      <c r="R197" s="23"/>
      <c r="S197" s="24"/>
      <c r="T197" s="24"/>
      <c r="U197" s="24"/>
      <c r="V197" s="24"/>
      <c r="W197" s="20"/>
      <c r="X197" s="24" t="s">
        <v>51</v>
      </c>
      <c r="Y197" s="20"/>
      <c r="Z197" s="24"/>
      <c r="AA197" s="24"/>
      <c r="AB197" s="24"/>
      <c r="AC197" s="24" t="s">
        <v>51</v>
      </c>
      <c r="AD197" s="24"/>
      <c r="AE197" s="24" t="s">
        <v>51</v>
      </c>
      <c r="AF197" s="24"/>
      <c r="AG197" s="24"/>
      <c r="AH197" s="24"/>
      <c r="AI197" s="24"/>
      <c r="AJ197" s="25" t="s">
        <v>51</v>
      </c>
    </row>
    <row r="198" spans="1:36" x14ac:dyDescent="0.35">
      <c r="A198" s="17" t="s">
        <v>46</v>
      </c>
      <c r="B198" s="17" t="s">
        <v>47</v>
      </c>
      <c r="C198" s="18" t="s">
        <v>339</v>
      </c>
      <c r="D198" s="17" t="s">
        <v>437</v>
      </c>
      <c r="E198" s="19" t="s">
        <v>438</v>
      </c>
      <c r="F198" s="20">
        <v>2447</v>
      </c>
      <c r="G198" s="20">
        <v>124</v>
      </c>
      <c r="H198" s="19">
        <v>559</v>
      </c>
      <c r="I198" s="20">
        <v>281</v>
      </c>
      <c r="J198" s="20">
        <v>278</v>
      </c>
      <c r="K198" s="20">
        <v>57</v>
      </c>
      <c r="L198" s="21">
        <f>K198/H198</f>
        <v>0.10196779964221825</v>
      </c>
      <c r="M198" s="20">
        <v>460</v>
      </c>
      <c r="N198" s="22">
        <f>M198/H198</f>
        <v>0.82289803220035773</v>
      </c>
      <c r="O198" s="20">
        <v>0</v>
      </c>
      <c r="P198" s="20">
        <v>2190</v>
      </c>
      <c r="Q198" s="23"/>
      <c r="R198" s="23"/>
      <c r="S198" s="24"/>
      <c r="T198" s="24"/>
      <c r="U198" s="24"/>
      <c r="V198" s="24"/>
      <c r="W198" s="20"/>
      <c r="X198" s="24" t="s">
        <v>51</v>
      </c>
      <c r="Y198" s="20"/>
      <c r="Z198" s="24"/>
      <c r="AA198" s="24"/>
      <c r="AB198" s="24"/>
      <c r="AC198" s="24" t="s">
        <v>51</v>
      </c>
      <c r="AD198" s="24"/>
      <c r="AE198" s="24" t="s">
        <v>51</v>
      </c>
      <c r="AF198" s="24"/>
      <c r="AG198" s="24"/>
      <c r="AH198" s="24"/>
      <c r="AI198" s="24"/>
      <c r="AJ198" s="25" t="s">
        <v>51</v>
      </c>
    </row>
    <row r="199" spans="1:36" x14ac:dyDescent="0.35">
      <c r="A199" s="17" t="s">
        <v>46</v>
      </c>
      <c r="B199" s="17" t="s">
        <v>47</v>
      </c>
      <c r="C199" s="18" t="s">
        <v>339</v>
      </c>
      <c r="D199" s="17" t="s">
        <v>439</v>
      </c>
      <c r="E199" s="19" t="s">
        <v>440</v>
      </c>
      <c r="F199" s="20">
        <v>279</v>
      </c>
      <c r="G199" s="20">
        <v>43</v>
      </c>
      <c r="H199" s="19">
        <v>168</v>
      </c>
      <c r="I199" s="20">
        <v>87</v>
      </c>
      <c r="J199" s="20">
        <v>81</v>
      </c>
      <c r="K199" s="20">
        <v>0</v>
      </c>
      <c r="L199" s="21">
        <f>K199/H199</f>
        <v>0</v>
      </c>
      <c r="M199" s="20">
        <v>156</v>
      </c>
      <c r="N199" s="22">
        <f>M199/H199</f>
        <v>0.9285714285714286</v>
      </c>
      <c r="O199" s="20">
        <v>2</v>
      </c>
      <c r="P199" s="20">
        <v>185</v>
      </c>
      <c r="Q199" s="23"/>
      <c r="R199" s="23"/>
      <c r="S199" s="24"/>
      <c r="T199" s="24"/>
      <c r="U199" s="24"/>
      <c r="V199" s="24"/>
      <c r="W199" s="20"/>
      <c r="X199" s="24" t="s">
        <v>51</v>
      </c>
      <c r="Y199" s="20"/>
      <c r="Z199" s="24"/>
      <c r="AA199" s="24"/>
      <c r="AB199" s="24"/>
      <c r="AC199" s="24" t="s">
        <v>51</v>
      </c>
      <c r="AD199" s="24"/>
      <c r="AE199" s="24" t="s">
        <v>51</v>
      </c>
      <c r="AF199" s="24"/>
      <c r="AG199" s="24"/>
      <c r="AH199" s="24"/>
      <c r="AI199" s="24"/>
      <c r="AJ199" s="25" t="s">
        <v>51</v>
      </c>
    </row>
    <row r="200" spans="1:36" x14ac:dyDescent="0.35">
      <c r="A200" s="17" t="s">
        <v>46</v>
      </c>
      <c r="B200" s="17" t="s">
        <v>47</v>
      </c>
      <c r="C200" s="18" t="s">
        <v>339</v>
      </c>
      <c r="D200" s="17" t="s">
        <v>441</v>
      </c>
      <c r="E200" s="19" t="s">
        <v>442</v>
      </c>
      <c r="F200" s="28">
        <v>145</v>
      </c>
      <c r="G200" s="28"/>
      <c r="H200" s="19">
        <v>0</v>
      </c>
      <c r="I200" s="28"/>
      <c r="J200" s="28"/>
      <c r="K200" s="28"/>
      <c r="L200" s="21"/>
      <c r="M200" s="28"/>
      <c r="N200" s="22"/>
      <c r="O200" s="28">
        <v>0</v>
      </c>
      <c r="P200" s="28">
        <v>3</v>
      </c>
      <c r="Q200" s="23"/>
      <c r="R200" s="23"/>
      <c r="S200" s="24"/>
      <c r="T200" s="24"/>
      <c r="U200" s="24"/>
      <c r="V200" s="24"/>
      <c r="W200" s="28"/>
      <c r="X200" s="24"/>
      <c r="Y200" s="28"/>
      <c r="Z200" s="24"/>
      <c r="AA200" s="24"/>
      <c r="AB200" s="24"/>
      <c r="AC200" s="24" t="s">
        <v>51</v>
      </c>
      <c r="AD200" s="24"/>
      <c r="AE200" s="24" t="s">
        <v>51</v>
      </c>
      <c r="AF200" s="24"/>
      <c r="AG200" s="24"/>
      <c r="AH200" s="24"/>
      <c r="AI200" s="24"/>
      <c r="AJ200" s="24"/>
    </row>
    <row r="201" spans="1:36" x14ac:dyDescent="0.35">
      <c r="A201" s="17" t="s">
        <v>46</v>
      </c>
      <c r="B201" s="17" t="s">
        <v>47</v>
      </c>
      <c r="C201" s="18" t="s">
        <v>346</v>
      </c>
      <c r="D201" s="17" t="s">
        <v>443</v>
      </c>
      <c r="E201" s="19" t="s">
        <v>444</v>
      </c>
      <c r="F201" s="20">
        <v>209.2</v>
      </c>
      <c r="G201" s="20">
        <v>69</v>
      </c>
      <c r="H201" s="19">
        <v>302</v>
      </c>
      <c r="I201" s="20">
        <v>158</v>
      </c>
      <c r="J201" s="20">
        <v>144</v>
      </c>
      <c r="K201" s="20">
        <v>73</v>
      </c>
      <c r="L201" s="21">
        <f>K201/H201</f>
        <v>0.24172185430463577</v>
      </c>
      <c r="M201" s="20">
        <v>0</v>
      </c>
      <c r="N201" s="22">
        <f>M201/H201</f>
        <v>0</v>
      </c>
      <c r="O201" s="20">
        <v>77.5</v>
      </c>
      <c r="P201" s="20">
        <v>0</v>
      </c>
      <c r="Q201" s="23"/>
      <c r="R201" s="23"/>
      <c r="S201" s="24"/>
      <c r="T201" s="24"/>
      <c r="U201" s="24"/>
      <c r="V201" s="24"/>
      <c r="W201" s="20"/>
      <c r="X201" s="24" t="s">
        <v>51</v>
      </c>
      <c r="Y201" s="20"/>
      <c r="Z201" s="24"/>
      <c r="AA201" s="24"/>
      <c r="AB201" s="24"/>
      <c r="AC201" s="24" t="s">
        <v>51</v>
      </c>
      <c r="AD201" s="24"/>
      <c r="AE201" s="24" t="s">
        <v>51</v>
      </c>
      <c r="AF201" s="24">
        <v>24.62</v>
      </c>
      <c r="AG201" s="24" t="s">
        <v>54</v>
      </c>
      <c r="AH201" s="25">
        <v>24.937153899999998</v>
      </c>
      <c r="AI201" s="25">
        <v>74.995149799999993</v>
      </c>
      <c r="AJ201" s="25" t="s">
        <v>51</v>
      </c>
    </row>
    <row r="202" spans="1:36" x14ac:dyDescent="0.35">
      <c r="A202" s="17" t="s">
        <v>46</v>
      </c>
      <c r="B202" s="17" t="s">
        <v>47</v>
      </c>
      <c r="C202" s="18" t="s">
        <v>403</v>
      </c>
      <c r="D202" s="17" t="s">
        <v>126</v>
      </c>
      <c r="E202" s="19" t="s">
        <v>445</v>
      </c>
      <c r="F202" s="20">
        <v>573.08000000000004</v>
      </c>
      <c r="G202" s="20">
        <v>175</v>
      </c>
      <c r="H202" s="19">
        <v>753</v>
      </c>
      <c r="I202" s="20">
        <v>380</v>
      </c>
      <c r="J202" s="20">
        <v>373</v>
      </c>
      <c r="K202" s="20">
        <v>151</v>
      </c>
      <c r="L202" s="21">
        <f>K202/H202</f>
        <v>0.20053120849933598</v>
      </c>
      <c r="M202" s="20">
        <v>100</v>
      </c>
      <c r="N202" s="22">
        <f>M202/H202</f>
        <v>0.13280212483399734</v>
      </c>
      <c r="O202" s="20">
        <v>5.99</v>
      </c>
      <c r="P202" s="20">
        <v>239.82</v>
      </c>
      <c r="Q202" s="23"/>
      <c r="R202" s="23"/>
      <c r="S202" s="24"/>
      <c r="T202" s="24"/>
      <c r="U202" s="24"/>
      <c r="V202" s="24"/>
      <c r="W202" s="20"/>
      <c r="X202" s="24" t="s">
        <v>51</v>
      </c>
      <c r="Y202" s="20"/>
      <c r="Z202" s="24"/>
      <c r="AA202" s="24"/>
      <c r="AB202" s="24"/>
      <c r="AC202" s="24" t="s">
        <v>51</v>
      </c>
      <c r="AD202" s="24"/>
      <c r="AE202" s="24" t="s">
        <v>51</v>
      </c>
      <c r="AF202" s="24"/>
      <c r="AG202" s="24"/>
      <c r="AH202" s="24"/>
      <c r="AI202" s="24"/>
      <c r="AJ202" s="25" t="s">
        <v>51</v>
      </c>
    </row>
    <row r="203" spans="1:36" x14ac:dyDescent="0.35">
      <c r="A203" s="17" t="s">
        <v>46</v>
      </c>
      <c r="B203" s="17" t="s">
        <v>47</v>
      </c>
      <c r="C203" s="18" t="s">
        <v>346</v>
      </c>
      <c r="D203" s="17" t="s">
        <v>113</v>
      </c>
      <c r="E203" s="19" t="s">
        <v>446</v>
      </c>
      <c r="F203" s="20">
        <v>408.4</v>
      </c>
      <c r="G203" s="20">
        <v>152</v>
      </c>
      <c r="H203" s="19">
        <v>798</v>
      </c>
      <c r="I203" s="20">
        <v>383</v>
      </c>
      <c r="J203" s="20">
        <v>415</v>
      </c>
      <c r="K203" s="20">
        <v>12</v>
      </c>
      <c r="L203" s="21">
        <f>K203/H203</f>
        <v>1.5037593984962405E-2</v>
      </c>
      <c r="M203" s="20">
        <v>141</v>
      </c>
      <c r="N203" s="22">
        <f>M203/H203</f>
        <v>0.17669172932330826</v>
      </c>
      <c r="O203" s="20">
        <v>3.5</v>
      </c>
      <c r="P203" s="20">
        <v>50.5</v>
      </c>
      <c r="Q203" s="23"/>
      <c r="R203" s="23"/>
      <c r="S203" s="24"/>
      <c r="T203" s="24"/>
      <c r="U203" s="24"/>
      <c r="V203" s="24"/>
      <c r="W203" s="20"/>
      <c r="X203" s="24" t="s">
        <v>51</v>
      </c>
      <c r="Y203" s="20"/>
      <c r="Z203" s="24"/>
      <c r="AA203" s="24"/>
      <c r="AB203" s="24"/>
      <c r="AC203" s="24" t="s">
        <v>51</v>
      </c>
      <c r="AD203" s="24"/>
      <c r="AE203" s="24" t="s">
        <v>51</v>
      </c>
      <c r="AF203" s="24"/>
      <c r="AG203" s="24"/>
      <c r="AH203" s="24"/>
      <c r="AI203" s="24"/>
      <c r="AJ203" s="25" t="s">
        <v>51</v>
      </c>
    </row>
    <row r="204" spans="1:36" x14ac:dyDescent="0.35">
      <c r="A204" s="17" t="s">
        <v>46</v>
      </c>
      <c r="B204" s="17" t="s">
        <v>47</v>
      </c>
      <c r="C204" s="18" t="s">
        <v>339</v>
      </c>
      <c r="D204" s="17" t="s">
        <v>447</v>
      </c>
      <c r="E204" s="19" t="s">
        <v>448</v>
      </c>
      <c r="F204" s="20">
        <v>286</v>
      </c>
      <c r="G204" s="20">
        <v>83</v>
      </c>
      <c r="H204" s="19">
        <v>364</v>
      </c>
      <c r="I204" s="20">
        <v>196</v>
      </c>
      <c r="J204" s="20">
        <v>168</v>
      </c>
      <c r="K204" s="20">
        <v>22</v>
      </c>
      <c r="L204" s="21">
        <f>K204/H204</f>
        <v>6.043956043956044E-2</v>
      </c>
      <c r="M204" s="20">
        <v>106</v>
      </c>
      <c r="N204" s="22">
        <f>M204/H204</f>
        <v>0.29120879120879123</v>
      </c>
      <c r="O204" s="20">
        <v>17</v>
      </c>
      <c r="P204" s="20">
        <v>99</v>
      </c>
      <c r="Q204" s="23"/>
      <c r="R204" s="23"/>
      <c r="S204" s="24"/>
      <c r="T204" s="24"/>
      <c r="U204" s="24"/>
      <c r="V204" s="24"/>
      <c r="W204" s="20"/>
      <c r="X204" s="24" t="s">
        <v>51</v>
      </c>
      <c r="Y204" s="20"/>
      <c r="Z204" s="24"/>
      <c r="AA204" s="24"/>
      <c r="AB204" s="24"/>
      <c r="AC204" s="24" t="s">
        <v>51</v>
      </c>
      <c r="AD204" s="24"/>
      <c r="AE204" s="24" t="s">
        <v>51</v>
      </c>
      <c r="AF204" s="24"/>
      <c r="AG204" s="24"/>
      <c r="AH204" s="24"/>
      <c r="AI204" s="24"/>
      <c r="AJ204" s="25" t="s">
        <v>51</v>
      </c>
    </row>
    <row r="205" spans="1:36" x14ac:dyDescent="0.35">
      <c r="A205" s="17" t="s">
        <v>46</v>
      </c>
      <c r="B205" s="17" t="s">
        <v>47</v>
      </c>
      <c r="C205" s="18" t="s">
        <v>346</v>
      </c>
      <c r="D205" s="17" t="s">
        <v>449</v>
      </c>
      <c r="E205" s="19" t="s">
        <v>450</v>
      </c>
      <c r="F205" s="20">
        <v>279.39999999999998</v>
      </c>
      <c r="G205" s="20">
        <v>7</v>
      </c>
      <c r="H205" s="19">
        <v>36</v>
      </c>
      <c r="I205" s="20">
        <v>16</v>
      </c>
      <c r="J205" s="20">
        <v>20</v>
      </c>
      <c r="K205" s="20">
        <v>0</v>
      </c>
      <c r="L205" s="21">
        <f>K205/H205</f>
        <v>0</v>
      </c>
      <c r="M205" s="20">
        <v>21</v>
      </c>
      <c r="N205" s="22">
        <f>M205/H205</f>
        <v>0.58333333333333337</v>
      </c>
      <c r="O205" s="20">
        <v>0</v>
      </c>
      <c r="P205" s="20">
        <v>164.25</v>
      </c>
      <c r="Q205" s="23"/>
      <c r="R205" s="23"/>
      <c r="S205" s="24"/>
      <c r="T205" s="24"/>
      <c r="U205" s="24"/>
      <c r="V205" s="24"/>
      <c r="W205" s="20"/>
      <c r="X205" s="24"/>
      <c r="Y205" s="20"/>
      <c r="Z205" s="24"/>
      <c r="AA205" s="24"/>
      <c r="AB205" s="24"/>
      <c r="AC205" s="24" t="s">
        <v>51</v>
      </c>
      <c r="AD205" s="24"/>
      <c r="AE205" s="24" t="s">
        <v>51</v>
      </c>
      <c r="AF205" s="24"/>
      <c r="AG205" s="24"/>
      <c r="AH205" s="24"/>
      <c r="AI205" s="24"/>
      <c r="AJ205" s="24" t="s">
        <v>51</v>
      </c>
    </row>
    <row r="206" spans="1:36" x14ac:dyDescent="0.35">
      <c r="A206" s="17" t="s">
        <v>46</v>
      </c>
      <c r="B206" s="17" t="s">
        <v>47</v>
      </c>
      <c r="C206" s="18" t="s">
        <v>451</v>
      </c>
      <c r="D206" s="17" t="s">
        <v>452</v>
      </c>
      <c r="E206" s="19" t="s">
        <v>453</v>
      </c>
      <c r="F206" s="28">
        <v>214.86</v>
      </c>
      <c r="G206" s="28"/>
      <c r="H206" s="19">
        <v>0</v>
      </c>
      <c r="I206" s="28"/>
      <c r="J206" s="28"/>
      <c r="K206" s="28"/>
      <c r="L206" s="21"/>
      <c r="M206" s="28"/>
      <c r="N206" s="22"/>
      <c r="O206" s="28">
        <v>0</v>
      </c>
      <c r="P206" s="28">
        <v>214.86</v>
      </c>
      <c r="Q206" s="23"/>
      <c r="R206" s="23"/>
      <c r="S206" s="24"/>
      <c r="T206" s="24"/>
      <c r="U206" s="24"/>
      <c r="V206" s="24"/>
      <c r="W206" s="28"/>
      <c r="X206" s="24"/>
      <c r="Y206" s="28"/>
      <c r="Z206" s="24"/>
      <c r="AA206" s="24"/>
      <c r="AB206" s="24"/>
      <c r="AC206" s="24" t="s">
        <v>51</v>
      </c>
      <c r="AD206" s="24"/>
      <c r="AE206" s="24" t="s">
        <v>51</v>
      </c>
      <c r="AF206" s="24"/>
      <c r="AG206" s="24"/>
      <c r="AH206" s="24"/>
      <c r="AI206" s="24"/>
      <c r="AJ206" s="24"/>
    </row>
    <row r="207" spans="1:36" x14ac:dyDescent="0.35">
      <c r="A207" s="17" t="s">
        <v>46</v>
      </c>
      <c r="B207" s="17" t="s">
        <v>47</v>
      </c>
      <c r="C207" s="18" t="s">
        <v>403</v>
      </c>
      <c r="D207" s="17" t="s">
        <v>312</v>
      </c>
      <c r="E207" s="19" t="s">
        <v>454</v>
      </c>
      <c r="F207" s="20">
        <v>753.12</v>
      </c>
      <c r="G207" s="20">
        <v>139</v>
      </c>
      <c r="H207" s="19">
        <v>647</v>
      </c>
      <c r="I207" s="20">
        <v>320</v>
      </c>
      <c r="J207" s="20">
        <v>327</v>
      </c>
      <c r="K207" s="20">
        <v>150</v>
      </c>
      <c r="L207" s="21">
        <f t="shared" ref="L207:L233" si="14">K207/H207</f>
        <v>0.23183925811437403</v>
      </c>
      <c r="M207" s="20">
        <v>2</v>
      </c>
      <c r="N207" s="22">
        <f t="shared" ref="N207:N233" si="15">M207/H207</f>
        <v>3.0911901081916537E-3</v>
      </c>
      <c r="O207" s="20">
        <v>0</v>
      </c>
      <c r="P207" s="20">
        <v>313.12</v>
      </c>
      <c r="Q207" s="23"/>
      <c r="R207" s="23"/>
      <c r="S207" s="24"/>
      <c r="T207" s="24"/>
      <c r="U207" s="24"/>
      <c r="V207" s="24"/>
      <c r="W207" s="20"/>
      <c r="X207" s="24" t="s">
        <v>51</v>
      </c>
      <c r="Y207" s="20"/>
      <c r="Z207" s="24"/>
      <c r="AA207" s="24"/>
      <c r="AB207" s="24"/>
      <c r="AC207" s="24" t="s">
        <v>51</v>
      </c>
      <c r="AD207" s="24"/>
      <c r="AE207" s="24" t="s">
        <v>51</v>
      </c>
      <c r="AF207" s="24"/>
      <c r="AG207" s="24"/>
      <c r="AH207" s="24"/>
      <c r="AI207" s="24"/>
      <c r="AJ207" s="25" t="s">
        <v>51</v>
      </c>
    </row>
    <row r="208" spans="1:36" x14ac:dyDescent="0.35">
      <c r="A208" s="17" t="s">
        <v>46</v>
      </c>
      <c r="B208" s="17" t="s">
        <v>47</v>
      </c>
      <c r="C208" s="18" t="s">
        <v>451</v>
      </c>
      <c r="D208" s="17" t="s">
        <v>455</v>
      </c>
      <c r="E208" s="19" t="s">
        <v>456</v>
      </c>
      <c r="F208" s="20">
        <v>107.22</v>
      </c>
      <c r="G208" s="20">
        <v>27</v>
      </c>
      <c r="H208" s="19">
        <v>145</v>
      </c>
      <c r="I208" s="20">
        <v>72</v>
      </c>
      <c r="J208" s="20">
        <v>73</v>
      </c>
      <c r="K208" s="20">
        <v>0</v>
      </c>
      <c r="L208" s="21">
        <f t="shared" si="14"/>
        <v>0</v>
      </c>
      <c r="M208" s="20">
        <v>23</v>
      </c>
      <c r="N208" s="22">
        <f t="shared" si="15"/>
        <v>0.15862068965517243</v>
      </c>
      <c r="O208" s="20">
        <v>9.68</v>
      </c>
      <c r="P208" s="20">
        <v>38.31</v>
      </c>
      <c r="Q208" s="23"/>
      <c r="R208" s="23"/>
      <c r="S208" s="24"/>
      <c r="T208" s="24"/>
      <c r="U208" s="24"/>
      <c r="V208" s="24"/>
      <c r="W208" s="20"/>
      <c r="X208" s="24" t="s">
        <v>51</v>
      </c>
      <c r="Y208" s="20"/>
      <c r="Z208" s="24"/>
      <c r="AA208" s="24"/>
      <c r="AB208" s="24"/>
      <c r="AC208" s="24" t="s">
        <v>51</v>
      </c>
      <c r="AD208" s="24"/>
      <c r="AE208" s="24" t="s">
        <v>51</v>
      </c>
      <c r="AF208" s="24">
        <v>10</v>
      </c>
      <c r="AG208" s="24" t="s">
        <v>80</v>
      </c>
      <c r="AH208" s="24">
        <v>24.945467000000001</v>
      </c>
      <c r="AI208" s="24">
        <v>75.036514999999994</v>
      </c>
      <c r="AJ208" s="25" t="s">
        <v>51</v>
      </c>
    </row>
    <row r="209" spans="1:36" x14ac:dyDescent="0.35">
      <c r="A209" s="17" t="s">
        <v>46</v>
      </c>
      <c r="B209" s="17" t="s">
        <v>47</v>
      </c>
      <c r="C209" s="18" t="s">
        <v>403</v>
      </c>
      <c r="D209" s="17" t="s">
        <v>457</v>
      </c>
      <c r="E209" s="19" t="s">
        <v>458</v>
      </c>
      <c r="F209" s="20">
        <v>710.8</v>
      </c>
      <c r="G209" s="20">
        <v>103</v>
      </c>
      <c r="H209" s="19">
        <v>489</v>
      </c>
      <c r="I209" s="20">
        <v>237</v>
      </c>
      <c r="J209" s="20">
        <v>252</v>
      </c>
      <c r="K209" s="20">
        <v>32</v>
      </c>
      <c r="L209" s="21">
        <f t="shared" si="14"/>
        <v>6.5439672801635998E-2</v>
      </c>
      <c r="M209" s="20">
        <v>4</v>
      </c>
      <c r="N209" s="22">
        <f t="shared" si="15"/>
        <v>8.1799591002044997E-3</v>
      </c>
      <c r="O209" s="20">
        <v>34.409999999999997</v>
      </c>
      <c r="P209" s="20">
        <v>490.43</v>
      </c>
      <c r="Q209" s="23"/>
      <c r="R209" s="23"/>
      <c r="S209" s="24"/>
      <c r="T209" s="24"/>
      <c r="U209" s="24"/>
      <c r="V209" s="24"/>
      <c r="W209" s="20"/>
      <c r="X209" s="24" t="s">
        <v>51</v>
      </c>
      <c r="Y209" s="20"/>
      <c r="Z209" s="24"/>
      <c r="AA209" s="24"/>
      <c r="AB209" s="24"/>
      <c r="AC209" s="24" t="s">
        <v>51</v>
      </c>
      <c r="AD209" s="24"/>
      <c r="AE209" s="24" t="s">
        <v>51</v>
      </c>
      <c r="AF209" s="24">
        <v>23</v>
      </c>
      <c r="AG209" s="24" t="s">
        <v>60</v>
      </c>
      <c r="AH209" s="24">
        <v>24.944496999999998</v>
      </c>
      <c r="AI209" s="24">
        <v>75.042524999999998</v>
      </c>
      <c r="AJ209" s="25" t="s">
        <v>51</v>
      </c>
    </row>
    <row r="210" spans="1:36" x14ac:dyDescent="0.35">
      <c r="A210" s="17" t="s">
        <v>46</v>
      </c>
      <c r="B210" s="17" t="s">
        <v>47</v>
      </c>
      <c r="C210" s="18" t="s">
        <v>451</v>
      </c>
      <c r="D210" s="17" t="s">
        <v>459</v>
      </c>
      <c r="E210" s="19" t="s">
        <v>460</v>
      </c>
      <c r="F210" s="20">
        <v>297.36</v>
      </c>
      <c r="G210" s="20">
        <v>112</v>
      </c>
      <c r="H210" s="19">
        <v>531</v>
      </c>
      <c r="I210" s="20">
        <v>283</v>
      </c>
      <c r="J210" s="20">
        <v>248</v>
      </c>
      <c r="K210" s="20">
        <v>154</v>
      </c>
      <c r="L210" s="21">
        <f t="shared" si="14"/>
        <v>0.29001883239171372</v>
      </c>
      <c r="M210" s="20">
        <v>59</v>
      </c>
      <c r="N210" s="22">
        <f t="shared" si="15"/>
        <v>0.1111111111111111</v>
      </c>
      <c r="O210" s="20">
        <v>0</v>
      </c>
      <c r="P210" s="20">
        <v>87.36</v>
      </c>
      <c r="Q210" s="23"/>
      <c r="R210" s="23"/>
      <c r="S210" s="24"/>
      <c r="T210" s="24"/>
      <c r="U210" s="24"/>
      <c r="V210" s="24"/>
      <c r="W210" s="20"/>
      <c r="X210" s="24" t="s">
        <v>51</v>
      </c>
      <c r="Y210" s="20"/>
      <c r="Z210" s="24"/>
      <c r="AA210" s="24"/>
      <c r="AB210" s="24"/>
      <c r="AC210" s="24" t="s">
        <v>51</v>
      </c>
      <c r="AD210" s="24"/>
      <c r="AE210" s="24" t="s">
        <v>51</v>
      </c>
      <c r="AF210" s="24"/>
      <c r="AG210" s="24"/>
      <c r="AH210" s="24"/>
      <c r="AI210" s="24"/>
      <c r="AJ210" s="25" t="s">
        <v>51</v>
      </c>
    </row>
    <row r="211" spans="1:36" x14ac:dyDescent="0.35">
      <c r="A211" s="17" t="s">
        <v>46</v>
      </c>
      <c r="B211" s="17" t="s">
        <v>47</v>
      </c>
      <c r="C211" s="18" t="s">
        <v>403</v>
      </c>
      <c r="D211" s="17" t="s">
        <v>461</v>
      </c>
      <c r="E211" s="19" t="s">
        <v>462</v>
      </c>
      <c r="F211" s="20">
        <v>781.34</v>
      </c>
      <c r="G211" s="20">
        <v>158</v>
      </c>
      <c r="H211" s="19">
        <v>711</v>
      </c>
      <c r="I211" s="20">
        <v>370</v>
      </c>
      <c r="J211" s="20">
        <v>341</v>
      </c>
      <c r="K211" s="20">
        <v>99</v>
      </c>
      <c r="L211" s="21">
        <f t="shared" si="14"/>
        <v>0.13924050632911392</v>
      </c>
      <c r="M211" s="20">
        <v>16</v>
      </c>
      <c r="N211" s="22">
        <f t="shared" si="15"/>
        <v>2.2503516174402251E-2</v>
      </c>
      <c r="O211" s="20">
        <v>91.99</v>
      </c>
      <c r="P211" s="20">
        <v>426.26</v>
      </c>
      <c r="Q211" s="23"/>
      <c r="R211" s="23"/>
      <c r="S211" s="24"/>
      <c r="T211" s="24"/>
      <c r="U211" s="24"/>
      <c r="V211" s="24"/>
      <c r="W211" s="20"/>
      <c r="X211" s="24" t="s">
        <v>51</v>
      </c>
      <c r="Y211" s="20"/>
      <c r="Z211" s="24"/>
      <c r="AA211" s="24"/>
      <c r="AB211" s="24"/>
      <c r="AC211" s="24" t="s">
        <v>51</v>
      </c>
      <c r="AD211" s="24"/>
      <c r="AE211" s="24" t="s">
        <v>51</v>
      </c>
      <c r="AF211" s="24">
        <v>8</v>
      </c>
      <c r="AG211" s="24" t="s">
        <v>60</v>
      </c>
      <c r="AH211" s="24">
        <v>24.952819000000002</v>
      </c>
      <c r="AI211" s="24">
        <v>75.060264000000004</v>
      </c>
      <c r="AJ211" s="25" t="s">
        <v>51</v>
      </c>
    </row>
    <row r="212" spans="1:36" x14ac:dyDescent="0.35">
      <c r="A212" s="17" t="s">
        <v>46</v>
      </c>
      <c r="B212" s="17" t="s">
        <v>47</v>
      </c>
      <c r="C212" s="18" t="s">
        <v>451</v>
      </c>
      <c r="D212" s="17" t="s">
        <v>463</v>
      </c>
      <c r="E212" s="19" t="s">
        <v>464</v>
      </c>
      <c r="F212" s="20">
        <v>267.39</v>
      </c>
      <c r="G212" s="20">
        <v>20</v>
      </c>
      <c r="H212" s="19">
        <v>76</v>
      </c>
      <c r="I212" s="20">
        <v>40</v>
      </c>
      <c r="J212" s="20">
        <v>36</v>
      </c>
      <c r="K212" s="20">
        <v>0</v>
      </c>
      <c r="L212" s="21">
        <f t="shared" si="14"/>
        <v>0</v>
      </c>
      <c r="M212" s="20">
        <v>61</v>
      </c>
      <c r="N212" s="22">
        <f t="shared" si="15"/>
        <v>0.80263157894736847</v>
      </c>
      <c r="O212" s="20">
        <v>1.8</v>
      </c>
      <c r="P212" s="20">
        <v>192.42</v>
      </c>
      <c r="Q212" s="23"/>
      <c r="R212" s="23"/>
      <c r="S212" s="24"/>
      <c r="T212" s="24"/>
      <c r="U212" s="24"/>
      <c r="V212" s="24"/>
      <c r="W212" s="20"/>
      <c r="X212" s="24" t="s">
        <v>51</v>
      </c>
      <c r="Y212" s="20"/>
      <c r="Z212" s="24"/>
      <c r="AA212" s="24"/>
      <c r="AB212" s="24"/>
      <c r="AC212" s="24" t="s">
        <v>51</v>
      </c>
      <c r="AD212" s="24"/>
      <c r="AE212" s="24" t="s">
        <v>51</v>
      </c>
      <c r="AF212" s="24"/>
      <c r="AG212" s="24"/>
      <c r="AH212" s="24"/>
      <c r="AI212" s="24"/>
      <c r="AJ212" s="25" t="s">
        <v>51</v>
      </c>
    </row>
    <row r="213" spans="1:36" x14ac:dyDescent="0.35">
      <c r="A213" s="17" t="s">
        <v>46</v>
      </c>
      <c r="B213" s="17" t="s">
        <v>47</v>
      </c>
      <c r="C213" s="18" t="s">
        <v>451</v>
      </c>
      <c r="D213" s="17" t="s">
        <v>465</v>
      </c>
      <c r="E213" s="19" t="s">
        <v>466</v>
      </c>
      <c r="F213" s="20">
        <v>207.22</v>
      </c>
      <c r="G213" s="20">
        <v>105</v>
      </c>
      <c r="H213" s="19">
        <v>649</v>
      </c>
      <c r="I213" s="20">
        <v>327</v>
      </c>
      <c r="J213" s="20">
        <v>322</v>
      </c>
      <c r="K213" s="20">
        <v>52</v>
      </c>
      <c r="L213" s="21">
        <f t="shared" si="14"/>
        <v>8.0123266563944529E-2</v>
      </c>
      <c r="M213" s="20">
        <v>0</v>
      </c>
      <c r="N213" s="22">
        <f t="shared" si="15"/>
        <v>0</v>
      </c>
      <c r="O213" s="20">
        <v>68.14</v>
      </c>
      <c r="P213" s="20">
        <v>14.03</v>
      </c>
      <c r="Q213" s="23"/>
      <c r="R213" s="23"/>
      <c r="S213" s="24"/>
      <c r="T213" s="24"/>
      <c r="U213" s="24"/>
      <c r="V213" s="24"/>
      <c r="W213" s="20"/>
      <c r="X213" s="24" t="s">
        <v>51</v>
      </c>
      <c r="Y213" s="20"/>
      <c r="Z213" s="24"/>
      <c r="AA213" s="24"/>
      <c r="AB213" s="24"/>
      <c r="AC213" s="24" t="s">
        <v>51</v>
      </c>
      <c r="AD213" s="24"/>
      <c r="AE213" s="24" t="s">
        <v>51</v>
      </c>
      <c r="AF213" s="24">
        <v>50</v>
      </c>
      <c r="AG213" s="24" t="s">
        <v>60</v>
      </c>
      <c r="AH213" s="24">
        <v>24.5473</v>
      </c>
      <c r="AI213" s="24">
        <v>75.066587999999996</v>
      </c>
      <c r="AJ213" s="25" t="s">
        <v>51</v>
      </c>
    </row>
    <row r="214" spans="1:36" x14ac:dyDescent="0.35">
      <c r="A214" s="17" t="s">
        <v>46</v>
      </c>
      <c r="B214" s="17" t="s">
        <v>47</v>
      </c>
      <c r="C214" s="18" t="s">
        <v>467</v>
      </c>
      <c r="D214" s="17" t="s">
        <v>468</v>
      </c>
      <c r="E214" s="19" t="s">
        <v>469</v>
      </c>
      <c r="F214" s="20">
        <v>124</v>
      </c>
      <c r="G214" s="20">
        <v>64</v>
      </c>
      <c r="H214" s="19">
        <v>309</v>
      </c>
      <c r="I214" s="20">
        <v>154</v>
      </c>
      <c r="J214" s="20">
        <v>155</v>
      </c>
      <c r="K214" s="20">
        <v>7</v>
      </c>
      <c r="L214" s="21">
        <f t="shared" si="14"/>
        <v>2.2653721682847898E-2</v>
      </c>
      <c r="M214" s="20">
        <v>97</v>
      </c>
      <c r="N214" s="22">
        <f t="shared" si="15"/>
        <v>0.31391585760517798</v>
      </c>
      <c r="O214" s="20">
        <v>0</v>
      </c>
      <c r="P214" s="20">
        <v>2</v>
      </c>
      <c r="Q214" s="23"/>
      <c r="R214" s="23"/>
      <c r="S214" s="24"/>
      <c r="T214" s="24"/>
      <c r="U214" s="24"/>
      <c r="V214" s="24"/>
      <c r="W214" s="20"/>
      <c r="X214" s="24" t="s">
        <v>51</v>
      </c>
      <c r="Y214" s="20"/>
      <c r="Z214" s="24"/>
      <c r="AA214" s="24"/>
      <c r="AB214" s="24"/>
      <c r="AC214" s="24" t="s">
        <v>51</v>
      </c>
      <c r="AD214" s="24"/>
      <c r="AE214" s="24" t="s">
        <v>51</v>
      </c>
      <c r="AF214" s="24"/>
      <c r="AG214" s="24"/>
      <c r="AH214" s="24"/>
      <c r="AI214" s="24"/>
      <c r="AJ214" s="25" t="s">
        <v>51</v>
      </c>
    </row>
    <row r="215" spans="1:36" x14ac:dyDescent="0.35">
      <c r="A215" s="17" t="s">
        <v>46</v>
      </c>
      <c r="B215" s="17" t="s">
        <v>47</v>
      </c>
      <c r="C215" s="18" t="s">
        <v>396</v>
      </c>
      <c r="D215" s="17" t="s">
        <v>470</v>
      </c>
      <c r="E215" s="19" t="s">
        <v>471</v>
      </c>
      <c r="F215" s="20">
        <v>62</v>
      </c>
      <c r="G215" s="20">
        <v>31</v>
      </c>
      <c r="H215" s="19">
        <v>169</v>
      </c>
      <c r="I215" s="20">
        <v>90</v>
      </c>
      <c r="J215" s="20">
        <v>79</v>
      </c>
      <c r="K215" s="20">
        <v>21</v>
      </c>
      <c r="L215" s="21">
        <f t="shared" si="14"/>
        <v>0.1242603550295858</v>
      </c>
      <c r="M215" s="20">
        <v>1</v>
      </c>
      <c r="N215" s="22">
        <f t="shared" si="15"/>
        <v>5.9171597633136093E-3</v>
      </c>
      <c r="O215" s="20">
        <v>0</v>
      </c>
      <c r="P215" s="20">
        <v>0</v>
      </c>
      <c r="Q215" s="23"/>
      <c r="R215" s="23"/>
      <c r="S215" s="24"/>
      <c r="T215" s="24"/>
      <c r="U215" s="24"/>
      <c r="V215" s="24"/>
      <c r="W215" s="20" t="s">
        <v>51</v>
      </c>
      <c r="X215" s="24" t="s">
        <v>51</v>
      </c>
      <c r="Y215" s="20"/>
      <c r="Z215" s="24"/>
      <c r="AA215" s="24"/>
      <c r="AB215" s="24"/>
      <c r="AC215" s="24" t="s">
        <v>51</v>
      </c>
      <c r="AD215" s="24"/>
      <c r="AE215" s="24" t="s">
        <v>51</v>
      </c>
      <c r="AF215" s="24"/>
      <c r="AG215" s="24"/>
      <c r="AH215" s="24"/>
      <c r="AI215" s="24"/>
      <c r="AJ215" s="25" t="s">
        <v>51</v>
      </c>
    </row>
    <row r="216" spans="1:36" x14ac:dyDescent="0.35">
      <c r="A216" s="17" t="s">
        <v>46</v>
      </c>
      <c r="B216" s="17" t="s">
        <v>47</v>
      </c>
      <c r="C216" s="18" t="s">
        <v>396</v>
      </c>
      <c r="D216" s="17" t="s">
        <v>396</v>
      </c>
      <c r="E216" s="19" t="s">
        <v>472</v>
      </c>
      <c r="F216" s="20">
        <v>313</v>
      </c>
      <c r="G216" s="20">
        <v>150</v>
      </c>
      <c r="H216" s="19">
        <v>696</v>
      </c>
      <c r="I216" s="20">
        <v>358</v>
      </c>
      <c r="J216" s="20">
        <v>338</v>
      </c>
      <c r="K216" s="20">
        <v>2</v>
      </c>
      <c r="L216" s="21">
        <f t="shared" si="14"/>
        <v>2.8735632183908046E-3</v>
      </c>
      <c r="M216" s="20">
        <v>2</v>
      </c>
      <c r="N216" s="22">
        <f t="shared" si="15"/>
        <v>2.8735632183908046E-3</v>
      </c>
      <c r="O216" s="20">
        <v>50</v>
      </c>
      <c r="P216" s="20">
        <v>0</v>
      </c>
      <c r="Q216" s="23"/>
      <c r="R216" s="23"/>
      <c r="S216" s="24"/>
      <c r="T216" s="24"/>
      <c r="U216" s="24"/>
      <c r="V216" s="24"/>
      <c r="W216" s="20" t="s">
        <v>51</v>
      </c>
      <c r="X216" s="24" t="s">
        <v>51</v>
      </c>
      <c r="Y216" s="20"/>
      <c r="Z216" s="24"/>
      <c r="AA216" s="24"/>
      <c r="AB216" s="24"/>
      <c r="AC216" s="24" t="s">
        <v>51</v>
      </c>
      <c r="AD216" s="24"/>
      <c r="AE216" s="24" t="s">
        <v>51</v>
      </c>
      <c r="AF216" s="24"/>
      <c r="AG216" s="24"/>
      <c r="AH216" s="24"/>
      <c r="AI216" s="24"/>
      <c r="AJ216" s="25" t="s">
        <v>51</v>
      </c>
    </row>
    <row r="217" spans="1:36" x14ac:dyDescent="0.35">
      <c r="A217" s="17" t="s">
        <v>46</v>
      </c>
      <c r="B217" s="17" t="s">
        <v>47</v>
      </c>
      <c r="C217" s="18" t="s">
        <v>396</v>
      </c>
      <c r="D217" s="17" t="s">
        <v>473</v>
      </c>
      <c r="E217" s="19" t="s">
        <v>474</v>
      </c>
      <c r="F217" s="20">
        <v>239</v>
      </c>
      <c r="G217" s="20">
        <v>116</v>
      </c>
      <c r="H217" s="19">
        <v>585</v>
      </c>
      <c r="I217" s="20">
        <v>282</v>
      </c>
      <c r="J217" s="20">
        <v>303</v>
      </c>
      <c r="K217" s="20">
        <v>35</v>
      </c>
      <c r="L217" s="21">
        <f t="shared" si="14"/>
        <v>5.9829059829059832E-2</v>
      </c>
      <c r="M217" s="20">
        <v>8</v>
      </c>
      <c r="N217" s="22">
        <f t="shared" si="15"/>
        <v>1.3675213675213675E-2</v>
      </c>
      <c r="O217" s="20">
        <v>9</v>
      </c>
      <c r="P217" s="20">
        <v>0</v>
      </c>
      <c r="Q217" s="23"/>
      <c r="R217" s="23"/>
      <c r="S217" s="24"/>
      <c r="T217" s="24"/>
      <c r="U217" s="24"/>
      <c r="V217" s="24"/>
      <c r="W217" s="20" t="s">
        <v>51</v>
      </c>
      <c r="X217" s="24" t="s">
        <v>51</v>
      </c>
      <c r="Y217" s="20"/>
      <c r="Z217" s="24"/>
      <c r="AA217" s="24"/>
      <c r="AB217" s="24"/>
      <c r="AC217" s="24" t="s">
        <v>51</v>
      </c>
      <c r="AD217" s="24"/>
      <c r="AE217" s="24" t="s">
        <v>51</v>
      </c>
      <c r="AF217" s="24"/>
      <c r="AG217" s="24"/>
      <c r="AH217" s="24"/>
      <c r="AI217" s="24"/>
      <c r="AJ217" s="25" t="s">
        <v>51</v>
      </c>
    </row>
    <row r="218" spans="1:36" x14ac:dyDescent="0.35">
      <c r="A218" s="17" t="s">
        <v>46</v>
      </c>
      <c r="B218" s="17" t="s">
        <v>47</v>
      </c>
      <c r="C218" s="18" t="s">
        <v>384</v>
      </c>
      <c r="D218" s="17" t="s">
        <v>475</v>
      </c>
      <c r="E218" s="19" t="s">
        <v>476</v>
      </c>
      <c r="F218" s="20">
        <v>121</v>
      </c>
      <c r="G218" s="20">
        <v>26</v>
      </c>
      <c r="H218" s="19">
        <v>139</v>
      </c>
      <c r="I218" s="20">
        <v>73</v>
      </c>
      <c r="J218" s="20">
        <v>66</v>
      </c>
      <c r="K218" s="20">
        <v>2</v>
      </c>
      <c r="L218" s="21">
        <f t="shared" si="14"/>
        <v>1.4388489208633094E-2</v>
      </c>
      <c r="M218" s="20">
        <v>0</v>
      </c>
      <c r="N218" s="22">
        <f t="shared" si="15"/>
        <v>0</v>
      </c>
      <c r="O218" s="20">
        <v>0</v>
      </c>
      <c r="P218" s="20">
        <v>0</v>
      </c>
      <c r="Q218" s="23"/>
      <c r="R218" s="23"/>
      <c r="S218" s="24"/>
      <c r="T218" s="24"/>
      <c r="U218" s="24"/>
      <c r="V218" s="24"/>
      <c r="W218" s="20"/>
      <c r="X218" s="24" t="s">
        <v>51</v>
      </c>
      <c r="Y218" s="20"/>
      <c r="Z218" s="24"/>
      <c r="AA218" s="24"/>
      <c r="AB218" s="24"/>
      <c r="AC218" s="24" t="s">
        <v>51</v>
      </c>
      <c r="AD218" s="24"/>
      <c r="AE218" s="24" t="s">
        <v>51</v>
      </c>
      <c r="AF218" s="24"/>
      <c r="AG218" s="24"/>
      <c r="AH218" s="24"/>
      <c r="AI218" s="24"/>
      <c r="AJ218" s="25" t="s">
        <v>51</v>
      </c>
    </row>
    <row r="219" spans="1:36" x14ac:dyDescent="0.35">
      <c r="A219" s="17" t="s">
        <v>46</v>
      </c>
      <c r="B219" s="17" t="s">
        <v>47</v>
      </c>
      <c r="C219" s="18" t="s">
        <v>384</v>
      </c>
      <c r="D219" s="17" t="s">
        <v>477</v>
      </c>
      <c r="E219" s="19" t="s">
        <v>478</v>
      </c>
      <c r="F219" s="20">
        <v>443</v>
      </c>
      <c r="G219" s="20">
        <v>125</v>
      </c>
      <c r="H219" s="19">
        <v>664</v>
      </c>
      <c r="I219" s="20">
        <v>324</v>
      </c>
      <c r="J219" s="20">
        <v>340</v>
      </c>
      <c r="K219" s="20">
        <v>23</v>
      </c>
      <c r="L219" s="21">
        <f t="shared" si="14"/>
        <v>3.463855421686747E-2</v>
      </c>
      <c r="M219" s="20">
        <v>47</v>
      </c>
      <c r="N219" s="22">
        <f t="shared" si="15"/>
        <v>7.0783132530120488E-2</v>
      </c>
      <c r="O219" s="20">
        <v>17</v>
      </c>
      <c r="P219" s="20">
        <v>62</v>
      </c>
      <c r="Q219" s="23"/>
      <c r="R219" s="23"/>
      <c r="S219" s="24"/>
      <c r="T219" s="24"/>
      <c r="U219" s="24"/>
      <c r="V219" s="24"/>
      <c r="W219" s="20"/>
      <c r="X219" s="24" t="s">
        <v>51</v>
      </c>
      <c r="Y219" s="20"/>
      <c r="Z219" s="24"/>
      <c r="AA219" s="24"/>
      <c r="AB219" s="24"/>
      <c r="AC219" s="24" t="s">
        <v>51</v>
      </c>
      <c r="AD219" s="24"/>
      <c r="AE219" s="24" t="s">
        <v>51</v>
      </c>
      <c r="AF219" s="24">
        <v>64</v>
      </c>
      <c r="AG219" s="24" t="s">
        <v>54</v>
      </c>
      <c r="AH219" s="29">
        <v>25.005002300000001</v>
      </c>
      <c r="AI219" s="29">
        <v>75.135424599999993</v>
      </c>
      <c r="AJ219" s="25" t="s">
        <v>51</v>
      </c>
    </row>
    <row r="220" spans="1:36" x14ac:dyDescent="0.35">
      <c r="A220" s="17" t="s">
        <v>46</v>
      </c>
      <c r="B220" s="17" t="s">
        <v>47</v>
      </c>
      <c r="C220" s="18" t="s">
        <v>384</v>
      </c>
      <c r="D220" s="17" t="s">
        <v>479</v>
      </c>
      <c r="E220" s="19" t="s">
        <v>480</v>
      </c>
      <c r="F220" s="20">
        <v>490</v>
      </c>
      <c r="G220" s="20">
        <v>49</v>
      </c>
      <c r="H220" s="19">
        <v>210</v>
      </c>
      <c r="I220" s="20">
        <v>105</v>
      </c>
      <c r="J220" s="20">
        <v>105</v>
      </c>
      <c r="K220" s="20">
        <v>4</v>
      </c>
      <c r="L220" s="21">
        <f t="shared" si="14"/>
        <v>1.9047619047619049E-2</v>
      </c>
      <c r="M220" s="20">
        <v>206</v>
      </c>
      <c r="N220" s="22">
        <f t="shared" si="15"/>
        <v>0.98095238095238091</v>
      </c>
      <c r="O220" s="20">
        <v>37</v>
      </c>
      <c r="P220" s="20">
        <v>112</v>
      </c>
      <c r="Q220" s="23"/>
      <c r="R220" s="23"/>
      <c r="S220" s="24"/>
      <c r="T220" s="24"/>
      <c r="U220" s="24"/>
      <c r="V220" s="24"/>
      <c r="W220" s="20"/>
      <c r="X220" s="24" t="s">
        <v>51</v>
      </c>
      <c r="Y220" s="20"/>
      <c r="Z220" s="24"/>
      <c r="AA220" s="24"/>
      <c r="AB220" s="24"/>
      <c r="AC220" s="24" t="s">
        <v>51</v>
      </c>
      <c r="AD220" s="24"/>
      <c r="AE220" s="24" t="s">
        <v>51</v>
      </c>
      <c r="AF220" s="24"/>
      <c r="AG220" s="24"/>
      <c r="AH220" s="24"/>
      <c r="AI220" s="24"/>
      <c r="AJ220" s="25" t="s">
        <v>51</v>
      </c>
    </row>
    <row r="221" spans="1:36" x14ac:dyDescent="0.35">
      <c r="A221" s="17" t="s">
        <v>46</v>
      </c>
      <c r="B221" s="17" t="s">
        <v>47</v>
      </c>
      <c r="C221" s="18" t="s">
        <v>384</v>
      </c>
      <c r="D221" s="17" t="s">
        <v>481</v>
      </c>
      <c r="E221" s="19" t="s">
        <v>482</v>
      </c>
      <c r="F221" s="20">
        <v>255</v>
      </c>
      <c r="G221" s="20">
        <v>58</v>
      </c>
      <c r="H221" s="19">
        <v>283</v>
      </c>
      <c r="I221" s="20">
        <v>148</v>
      </c>
      <c r="J221" s="20">
        <v>135</v>
      </c>
      <c r="K221" s="20">
        <v>55</v>
      </c>
      <c r="L221" s="21">
        <f t="shared" si="14"/>
        <v>0.19434628975265017</v>
      </c>
      <c r="M221" s="20">
        <v>50</v>
      </c>
      <c r="N221" s="22">
        <f t="shared" si="15"/>
        <v>0.17667844522968199</v>
      </c>
      <c r="O221" s="20">
        <v>20</v>
      </c>
      <c r="P221" s="20">
        <v>0</v>
      </c>
      <c r="Q221" s="23"/>
      <c r="R221" s="23"/>
      <c r="S221" s="24"/>
      <c r="T221" s="24"/>
      <c r="U221" s="24"/>
      <c r="V221" s="24"/>
      <c r="W221" s="20"/>
      <c r="X221" s="24" t="s">
        <v>51</v>
      </c>
      <c r="Y221" s="20"/>
      <c r="Z221" s="24"/>
      <c r="AA221" s="24"/>
      <c r="AB221" s="24"/>
      <c r="AC221" s="24" t="s">
        <v>51</v>
      </c>
      <c r="AD221" s="24"/>
      <c r="AE221" s="24" t="s">
        <v>51</v>
      </c>
      <c r="AF221" s="24">
        <v>15</v>
      </c>
      <c r="AG221" s="24" t="s">
        <v>60</v>
      </c>
      <c r="AH221" s="24">
        <v>25.004439999999999</v>
      </c>
      <c r="AI221" s="24">
        <v>75.16028</v>
      </c>
      <c r="AJ221" s="25" t="s">
        <v>51</v>
      </c>
    </row>
    <row r="222" spans="1:36" x14ac:dyDescent="0.35">
      <c r="A222" s="17" t="s">
        <v>46</v>
      </c>
      <c r="B222" s="17" t="s">
        <v>47</v>
      </c>
      <c r="C222" s="18" t="s">
        <v>384</v>
      </c>
      <c r="D222" s="17" t="s">
        <v>483</v>
      </c>
      <c r="E222" s="19" t="s">
        <v>484</v>
      </c>
      <c r="F222" s="20">
        <v>147</v>
      </c>
      <c r="G222" s="20">
        <v>67</v>
      </c>
      <c r="H222" s="19">
        <v>326</v>
      </c>
      <c r="I222" s="20">
        <v>162</v>
      </c>
      <c r="J222" s="20">
        <v>164</v>
      </c>
      <c r="K222" s="20">
        <v>66</v>
      </c>
      <c r="L222" s="21">
        <f t="shared" si="14"/>
        <v>0.20245398773006135</v>
      </c>
      <c r="M222" s="20">
        <v>62</v>
      </c>
      <c r="N222" s="22">
        <f t="shared" si="15"/>
        <v>0.19018404907975461</v>
      </c>
      <c r="O222" s="20">
        <v>0</v>
      </c>
      <c r="P222" s="20">
        <v>0</v>
      </c>
      <c r="Q222" s="23"/>
      <c r="R222" s="23"/>
      <c r="S222" s="24"/>
      <c r="T222" s="24"/>
      <c r="U222" s="24"/>
      <c r="V222" s="24"/>
      <c r="W222" s="20"/>
      <c r="X222" s="24" t="s">
        <v>51</v>
      </c>
      <c r="Y222" s="20"/>
      <c r="Z222" s="24"/>
      <c r="AA222" s="24"/>
      <c r="AB222" s="24"/>
      <c r="AC222" s="24" t="s">
        <v>51</v>
      </c>
      <c r="AD222" s="24"/>
      <c r="AE222" s="24" t="s">
        <v>51</v>
      </c>
      <c r="AF222" s="24"/>
      <c r="AG222" s="24"/>
      <c r="AH222" s="24"/>
      <c r="AI222" s="24"/>
      <c r="AJ222" s="25" t="s">
        <v>51</v>
      </c>
    </row>
    <row r="223" spans="1:36" x14ac:dyDescent="0.35">
      <c r="A223" s="17" t="s">
        <v>46</v>
      </c>
      <c r="B223" s="17" t="s">
        <v>47</v>
      </c>
      <c r="C223" s="18" t="s">
        <v>151</v>
      </c>
      <c r="D223" s="17" t="s">
        <v>160</v>
      </c>
      <c r="E223" s="19" t="s">
        <v>485</v>
      </c>
      <c r="F223" s="20">
        <v>133</v>
      </c>
      <c r="G223" s="20">
        <v>94</v>
      </c>
      <c r="H223" s="19">
        <v>456</v>
      </c>
      <c r="I223" s="20">
        <v>225</v>
      </c>
      <c r="J223" s="20">
        <v>231</v>
      </c>
      <c r="K223" s="20">
        <v>10</v>
      </c>
      <c r="L223" s="21">
        <f t="shared" si="14"/>
        <v>2.1929824561403508E-2</v>
      </c>
      <c r="M223" s="20">
        <v>36</v>
      </c>
      <c r="N223" s="22">
        <f t="shared" si="15"/>
        <v>7.8947368421052627E-2</v>
      </c>
      <c r="O223" s="20">
        <v>12</v>
      </c>
      <c r="P223" s="20">
        <v>0</v>
      </c>
      <c r="Q223" s="23"/>
      <c r="R223" s="23"/>
      <c r="S223" s="24"/>
      <c r="T223" s="24"/>
      <c r="U223" s="24"/>
      <c r="V223" s="24"/>
      <c r="W223" s="20"/>
      <c r="X223" s="24" t="s">
        <v>51</v>
      </c>
      <c r="Y223" s="20"/>
      <c r="Z223" s="24"/>
      <c r="AA223" s="24"/>
      <c r="AB223" s="24"/>
      <c r="AC223" s="24" t="s">
        <v>51</v>
      </c>
      <c r="AD223" s="24"/>
      <c r="AE223" s="24" t="s">
        <v>51</v>
      </c>
      <c r="AF223" s="24">
        <v>8.2899999999999991</v>
      </c>
      <c r="AG223" s="24" t="s">
        <v>60</v>
      </c>
      <c r="AH223" s="25" t="s">
        <v>486</v>
      </c>
      <c r="AI223" s="25" t="s">
        <v>487</v>
      </c>
      <c r="AJ223" s="25" t="s">
        <v>51</v>
      </c>
    </row>
    <row r="224" spans="1:36" x14ac:dyDescent="0.35">
      <c r="A224" s="17" t="s">
        <v>46</v>
      </c>
      <c r="B224" s="17" t="s">
        <v>47</v>
      </c>
      <c r="C224" s="18" t="s">
        <v>151</v>
      </c>
      <c r="D224" s="17" t="s">
        <v>488</v>
      </c>
      <c r="E224" s="19" t="s">
        <v>489</v>
      </c>
      <c r="F224" s="20">
        <v>115</v>
      </c>
      <c r="G224" s="20">
        <v>37</v>
      </c>
      <c r="H224" s="19">
        <v>190</v>
      </c>
      <c r="I224" s="20">
        <v>89</v>
      </c>
      <c r="J224" s="20">
        <v>101</v>
      </c>
      <c r="K224" s="20">
        <v>0</v>
      </c>
      <c r="L224" s="21">
        <f t="shared" si="14"/>
        <v>0</v>
      </c>
      <c r="M224" s="20">
        <v>0</v>
      </c>
      <c r="N224" s="22">
        <f t="shared" si="15"/>
        <v>0</v>
      </c>
      <c r="O224" s="20">
        <v>15</v>
      </c>
      <c r="P224" s="20">
        <v>0</v>
      </c>
      <c r="Q224" s="23"/>
      <c r="R224" s="23"/>
      <c r="S224" s="24"/>
      <c r="T224" s="24"/>
      <c r="U224" s="24"/>
      <c r="V224" s="24"/>
      <c r="W224" s="20"/>
      <c r="X224" s="24" t="s">
        <v>51</v>
      </c>
      <c r="Y224" s="20"/>
      <c r="Z224" s="24"/>
      <c r="AA224" s="24"/>
      <c r="AB224" s="24"/>
      <c r="AC224" s="24" t="s">
        <v>51</v>
      </c>
      <c r="AD224" s="24"/>
      <c r="AE224" s="24" t="s">
        <v>51</v>
      </c>
      <c r="AF224" s="24"/>
      <c r="AG224" s="24"/>
      <c r="AH224" s="24"/>
      <c r="AI224" s="24"/>
      <c r="AJ224" s="25" t="s">
        <v>51</v>
      </c>
    </row>
    <row r="225" spans="1:36" x14ac:dyDescent="0.35">
      <c r="A225" s="17" t="s">
        <v>46</v>
      </c>
      <c r="B225" s="17" t="s">
        <v>47</v>
      </c>
      <c r="C225" s="18" t="s">
        <v>151</v>
      </c>
      <c r="D225" s="17" t="s">
        <v>151</v>
      </c>
      <c r="E225" s="19" t="s">
        <v>490</v>
      </c>
      <c r="F225" s="20">
        <v>395</v>
      </c>
      <c r="G225" s="20">
        <v>279</v>
      </c>
      <c r="H225" s="19">
        <v>1429</v>
      </c>
      <c r="I225" s="20">
        <v>733</v>
      </c>
      <c r="J225" s="20">
        <v>696</v>
      </c>
      <c r="K225" s="20">
        <v>574</v>
      </c>
      <c r="L225" s="21">
        <f t="shared" si="14"/>
        <v>0.40167949615115467</v>
      </c>
      <c r="M225" s="20">
        <v>0</v>
      </c>
      <c r="N225" s="22">
        <f t="shared" si="15"/>
        <v>0</v>
      </c>
      <c r="O225" s="20">
        <v>23</v>
      </c>
      <c r="P225" s="20">
        <v>0</v>
      </c>
      <c r="Q225" s="23"/>
      <c r="R225" s="23"/>
      <c r="S225" s="24"/>
      <c r="T225" s="24"/>
      <c r="U225" s="24"/>
      <c r="V225" s="24"/>
      <c r="W225" s="20"/>
      <c r="X225" s="24" t="s">
        <v>51</v>
      </c>
      <c r="Y225" s="20"/>
      <c r="Z225" s="24"/>
      <c r="AA225" s="24"/>
      <c r="AB225" s="24"/>
      <c r="AC225" s="24" t="s">
        <v>51</v>
      </c>
      <c r="AD225" s="24"/>
      <c r="AE225" s="24" t="s">
        <v>51</v>
      </c>
      <c r="AF225" s="24"/>
      <c r="AG225" s="24"/>
      <c r="AH225" s="24"/>
      <c r="AI225" s="24"/>
      <c r="AJ225" s="25" t="s">
        <v>51</v>
      </c>
    </row>
    <row r="226" spans="1:36" x14ac:dyDescent="0.35">
      <c r="A226" s="17" t="s">
        <v>46</v>
      </c>
      <c r="B226" s="17" t="s">
        <v>47</v>
      </c>
      <c r="C226" s="18" t="s">
        <v>467</v>
      </c>
      <c r="D226" s="17" t="s">
        <v>467</v>
      </c>
      <c r="E226" s="19" t="s">
        <v>491</v>
      </c>
      <c r="F226" s="20">
        <v>420</v>
      </c>
      <c r="G226" s="20">
        <v>731</v>
      </c>
      <c r="H226" s="19">
        <v>3032</v>
      </c>
      <c r="I226" s="20">
        <v>1557</v>
      </c>
      <c r="J226" s="20">
        <v>1475</v>
      </c>
      <c r="K226" s="20">
        <v>1538</v>
      </c>
      <c r="L226" s="21">
        <f t="shared" si="14"/>
        <v>0.50725593667546176</v>
      </c>
      <c r="M226" s="20">
        <v>11</v>
      </c>
      <c r="N226" s="22">
        <f t="shared" si="15"/>
        <v>3.6279683377308707E-3</v>
      </c>
      <c r="O226" s="20">
        <v>33</v>
      </c>
      <c r="P226" s="20">
        <v>0</v>
      </c>
      <c r="Q226" s="23"/>
      <c r="R226" s="23"/>
      <c r="S226" s="24"/>
      <c r="T226" s="24"/>
      <c r="U226" s="24"/>
      <c r="V226" s="24"/>
      <c r="W226" s="20"/>
      <c r="X226" s="24" t="s">
        <v>51</v>
      </c>
      <c r="Y226" s="20"/>
      <c r="Z226" s="24"/>
      <c r="AA226" s="24"/>
      <c r="AB226" s="24"/>
      <c r="AC226" s="24" t="s">
        <v>51</v>
      </c>
      <c r="AD226" s="24"/>
      <c r="AE226" s="24" t="s">
        <v>51</v>
      </c>
      <c r="AF226" s="24"/>
      <c r="AG226" s="24"/>
      <c r="AH226" s="24"/>
      <c r="AI226" s="24"/>
      <c r="AJ226" s="25" t="s">
        <v>51</v>
      </c>
    </row>
    <row r="227" spans="1:36" x14ac:dyDescent="0.35">
      <c r="A227" s="17" t="s">
        <v>46</v>
      </c>
      <c r="B227" s="17" t="s">
        <v>47</v>
      </c>
      <c r="C227" s="18" t="s">
        <v>467</v>
      </c>
      <c r="D227" s="17" t="s">
        <v>492</v>
      </c>
      <c r="E227" s="19" t="s">
        <v>493</v>
      </c>
      <c r="F227" s="20">
        <v>267</v>
      </c>
      <c r="G227" s="20">
        <v>65</v>
      </c>
      <c r="H227" s="19">
        <v>466</v>
      </c>
      <c r="I227" s="20">
        <v>191</v>
      </c>
      <c r="J227" s="20">
        <v>275</v>
      </c>
      <c r="K227" s="20">
        <v>97</v>
      </c>
      <c r="L227" s="21">
        <f t="shared" si="14"/>
        <v>0.20815450643776823</v>
      </c>
      <c r="M227" s="20">
        <v>18</v>
      </c>
      <c r="N227" s="22">
        <f t="shared" si="15"/>
        <v>3.8626609442060089E-2</v>
      </c>
      <c r="O227" s="20">
        <v>30</v>
      </c>
      <c r="P227" s="20">
        <v>0</v>
      </c>
      <c r="Q227" s="23"/>
      <c r="R227" s="23"/>
      <c r="S227" s="24"/>
      <c r="T227" s="24"/>
      <c r="U227" s="24"/>
      <c r="V227" s="24"/>
      <c r="W227" s="20"/>
      <c r="X227" s="24" t="s">
        <v>51</v>
      </c>
      <c r="Y227" s="20"/>
      <c r="Z227" s="24"/>
      <c r="AA227" s="24"/>
      <c r="AB227" s="24"/>
      <c r="AC227" s="24" t="s">
        <v>51</v>
      </c>
      <c r="AD227" s="24"/>
      <c r="AE227" s="24" t="s">
        <v>51</v>
      </c>
      <c r="AF227" s="24"/>
      <c r="AG227" s="24"/>
      <c r="AH227" s="24"/>
      <c r="AI227" s="24"/>
      <c r="AJ227" s="25" t="s">
        <v>51</v>
      </c>
    </row>
    <row r="228" spans="1:36" x14ac:dyDescent="0.35">
      <c r="A228" s="17" t="s">
        <v>46</v>
      </c>
      <c r="B228" s="17" t="s">
        <v>47</v>
      </c>
      <c r="C228" s="18" t="s">
        <v>467</v>
      </c>
      <c r="D228" s="17" t="s">
        <v>494</v>
      </c>
      <c r="E228" s="19" t="s">
        <v>495</v>
      </c>
      <c r="F228" s="20">
        <v>143</v>
      </c>
      <c r="G228" s="20">
        <v>20</v>
      </c>
      <c r="H228" s="19">
        <v>111</v>
      </c>
      <c r="I228" s="20">
        <v>64</v>
      </c>
      <c r="J228" s="20">
        <v>47</v>
      </c>
      <c r="K228" s="20">
        <v>17</v>
      </c>
      <c r="L228" s="21">
        <f t="shared" si="14"/>
        <v>0.15315315315315314</v>
      </c>
      <c r="M228" s="20">
        <v>57</v>
      </c>
      <c r="N228" s="22">
        <f t="shared" si="15"/>
        <v>0.51351351351351349</v>
      </c>
      <c r="O228" s="20">
        <v>0</v>
      </c>
      <c r="P228" s="20">
        <v>57</v>
      </c>
      <c r="Q228" s="23"/>
      <c r="R228" s="23"/>
      <c r="S228" s="24"/>
      <c r="T228" s="24"/>
      <c r="U228" s="24"/>
      <c r="V228" s="24"/>
      <c r="W228" s="20"/>
      <c r="X228" s="24" t="s">
        <v>51</v>
      </c>
      <c r="Y228" s="20"/>
      <c r="Z228" s="24"/>
      <c r="AA228" s="24"/>
      <c r="AB228" s="24"/>
      <c r="AC228" s="24" t="s">
        <v>51</v>
      </c>
      <c r="AD228" s="24"/>
      <c r="AE228" s="24" t="s">
        <v>51</v>
      </c>
      <c r="AF228" s="24"/>
      <c r="AG228" s="24"/>
      <c r="AH228" s="24"/>
      <c r="AI228" s="24"/>
      <c r="AJ228" s="25" t="s">
        <v>51</v>
      </c>
    </row>
    <row r="229" spans="1:36" x14ac:dyDescent="0.35">
      <c r="A229" s="17" t="s">
        <v>46</v>
      </c>
      <c r="B229" s="17" t="s">
        <v>47</v>
      </c>
      <c r="C229" s="18" t="s">
        <v>467</v>
      </c>
      <c r="D229" s="17" t="s">
        <v>496</v>
      </c>
      <c r="E229" s="19" t="s">
        <v>497</v>
      </c>
      <c r="F229" s="20">
        <v>263</v>
      </c>
      <c r="G229" s="20">
        <v>6</v>
      </c>
      <c r="H229" s="19">
        <v>43</v>
      </c>
      <c r="I229" s="20">
        <v>24</v>
      </c>
      <c r="J229" s="20">
        <v>19</v>
      </c>
      <c r="K229" s="20">
        <v>43</v>
      </c>
      <c r="L229" s="21">
        <f t="shared" si="14"/>
        <v>1</v>
      </c>
      <c r="M229" s="20">
        <v>0</v>
      </c>
      <c r="N229" s="22">
        <f t="shared" si="15"/>
        <v>0</v>
      </c>
      <c r="O229" s="20">
        <v>0</v>
      </c>
      <c r="P229" s="20">
        <v>43</v>
      </c>
      <c r="Q229" s="23"/>
      <c r="R229" s="23"/>
      <c r="S229" s="24"/>
      <c r="T229" s="24"/>
      <c r="U229" s="24"/>
      <c r="V229" s="24"/>
      <c r="W229" s="20"/>
      <c r="X229" s="24"/>
      <c r="Y229" s="20"/>
      <c r="Z229" s="24"/>
      <c r="AA229" s="24"/>
      <c r="AB229" s="24"/>
      <c r="AC229" s="24" t="s">
        <v>51</v>
      </c>
      <c r="AD229" s="24"/>
      <c r="AE229" s="24" t="s">
        <v>51</v>
      </c>
      <c r="AF229" s="24"/>
      <c r="AG229" s="24"/>
      <c r="AH229" s="24"/>
      <c r="AI229" s="24"/>
      <c r="AJ229" s="24"/>
    </row>
    <row r="230" spans="1:36" x14ac:dyDescent="0.35">
      <c r="A230" s="17" t="s">
        <v>46</v>
      </c>
      <c r="B230" s="17" t="s">
        <v>47</v>
      </c>
      <c r="C230" s="18" t="s">
        <v>451</v>
      </c>
      <c r="D230" s="17" t="s">
        <v>498</v>
      </c>
      <c r="E230" s="19" t="s">
        <v>499</v>
      </c>
      <c r="F230" s="20">
        <v>190.9</v>
      </c>
      <c r="G230" s="20">
        <v>56</v>
      </c>
      <c r="H230" s="19">
        <v>213</v>
      </c>
      <c r="I230" s="20">
        <v>100</v>
      </c>
      <c r="J230" s="20">
        <v>113</v>
      </c>
      <c r="K230" s="20">
        <v>0</v>
      </c>
      <c r="L230" s="21">
        <f t="shared" si="14"/>
        <v>0</v>
      </c>
      <c r="M230" s="20">
        <v>213</v>
      </c>
      <c r="N230" s="22">
        <f t="shared" si="15"/>
        <v>1</v>
      </c>
      <c r="O230" s="20">
        <v>13.57</v>
      </c>
      <c r="P230" s="20">
        <v>89.11</v>
      </c>
      <c r="Q230" s="23"/>
      <c r="R230" s="23"/>
      <c r="S230" s="24"/>
      <c r="T230" s="24"/>
      <c r="U230" s="24"/>
      <c r="V230" s="24"/>
      <c r="W230" s="20"/>
      <c r="X230" s="24" t="s">
        <v>51</v>
      </c>
      <c r="Y230" s="20"/>
      <c r="Z230" s="24"/>
      <c r="AA230" s="24"/>
      <c r="AB230" s="24"/>
      <c r="AC230" s="24" t="s">
        <v>51</v>
      </c>
      <c r="AD230" s="24"/>
      <c r="AE230" s="24" t="s">
        <v>51</v>
      </c>
      <c r="AF230" s="24">
        <v>7.66</v>
      </c>
      <c r="AG230" s="24" t="s">
        <v>54</v>
      </c>
      <c r="AH230" s="25" t="s">
        <v>500</v>
      </c>
      <c r="AI230" s="25">
        <v>75.067616999999998</v>
      </c>
      <c r="AJ230" s="25" t="s">
        <v>51</v>
      </c>
    </row>
    <row r="231" spans="1:36" x14ac:dyDescent="0.35">
      <c r="A231" s="17" t="s">
        <v>46</v>
      </c>
      <c r="B231" s="17" t="s">
        <v>47</v>
      </c>
      <c r="C231" s="18" t="s">
        <v>151</v>
      </c>
      <c r="D231" s="17" t="s">
        <v>501</v>
      </c>
      <c r="E231" s="19" t="s">
        <v>502</v>
      </c>
      <c r="F231" s="20">
        <v>307</v>
      </c>
      <c r="G231" s="20">
        <v>56</v>
      </c>
      <c r="H231" s="19">
        <v>245</v>
      </c>
      <c r="I231" s="20">
        <v>128</v>
      </c>
      <c r="J231" s="20">
        <v>117</v>
      </c>
      <c r="K231" s="20">
        <v>6</v>
      </c>
      <c r="L231" s="21">
        <f t="shared" si="14"/>
        <v>2.4489795918367346E-2</v>
      </c>
      <c r="M231" s="20">
        <v>0</v>
      </c>
      <c r="N231" s="22">
        <f t="shared" si="15"/>
        <v>0</v>
      </c>
      <c r="O231" s="20">
        <v>0</v>
      </c>
      <c r="P231" s="20">
        <v>52</v>
      </c>
      <c r="Q231" s="23"/>
      <c r="R231" s="23"/>
      <c r="S231" s="24"/>
      <c r="T231" s="24"/>
      <c r="U231" s="24"/>
      <c r="V231" s="24"/>
      <c r="W231" s="20"/>
      <c r="X231" s="24" t="s">
        <v>51</v>
      </c>
      <c r="Y231" s="20"/>
      <c r="Z231" s="24"/>
      <c r="AA231" s="24"/>
      <c r="AB231" s="24"/>
      <c r="AC231" s="24" t="s">
        <v>51</v>
      </c>
      <c r="AD231" s="24"/>
      <c r="AE231" s="24" t="s">
        <v>51</v>
      </c>
      <c r="AF231" s="24">
        <v>3.21</v>
      </c>
      <c r="AG231" s="24" t="s">
        <v>54</v>
      </c>
      <c r="AH231" s="25">
        <v>24.9463559</v>
      </c>
      <c r="AI231" s="25" t="s">
        <v>503</v>
      </c>
      <c r="AJ231" s="25" t="s">
        <v>51</v>
      </c>
    </row>
    <row r="232" spans="1:36" x14ac:dyDescent="0.35">
      <c r="A232" s="17" t="s">
        <v>46</v>
      </c>
      <c r="B232" s="17" t="s">
        <v>47</v>
      </c>
      <c r="C232" s="18" t="s">
        <v>151</v>
      </c>
      <c r="D232" s="17" t="s">
        <v>504</v>
      </c>
      <c r="E232" s="19" t="s">
        <v>505</v>
      </c>
      <c r="F232" s="20">
        <v>612</v>
      </c>
      <c r="G232" s="20">
        <v>99</v>
      </c>
      <c r="H232" s="19">
        <v>469</v>
      </c>
      <c r="I232" s="20">
        <v>235</v>
      </c>
      <c r="J232" s="20">
        <v>234</v>
      </c>
      <c r="K232" s="20">
        <v>169</v>
      </c>
      <c r="L232" s="21">
        <f t="shared" si="14"/>
        <v>0.36034115138592748</v>
      </c>
      <c r="M232" s="20">
        <v>91</v>
      </c>
      <c r="N232" s="22">
        <f t="shared" si="15"/>
        <v>0.19402985074626866</v>
      </c>
      <c r="O232" s="20">
        <v>0</v>
      </c>
      <c r="P232" s="20">
        <v>304</v>
      </c>
      <c r="Q232" s="23"/>
      <c r="R232" s="23"/>
      <c r="S232" s="24"/>
      <c r="T232" s="24"/>
      <c r="U232" s="24"/>
      <c r="V232" s="24"/>
      <c r="W232" s="20"/>
      <c r="X232" s="24" t="s">
        <v>51</v>
      </c>
      <c r="Y232" s="20"/>
      <c r="Z232" s="24"/>
      <c r="AA232" s="24"/>
      <c r="AB232" s="24"/>
      <c r="AC232" s="24" t="s">
        <v>51</v>
      </c>
      <c r="AD232" s="24"/>
      <c r="AE232" s="24" t="s">
        <v>51</v>
      </c>
      <c r="AF232" s="24">
        <v>2.17</v>
      </c>
      <c r="AG232" s="24" t="s">
        <v>80</v>
      </c>
      <c r="AH232" s="29">
        <v>24.9248166</v>
      </c>
      <c r="AI232" s="29">
        <v>75.105390099999994</v>
      </c>
      <c r="AJ232" s="25" t="s">
        <v>51</v>
      </c>
    </row>
    <row r="233" spans="1:36" x14ac:dyDescent="0.35">
      <c r="A233" s="17" t="s">
        <v>46</v>
      </c>
      <c r="B233" s="17" t="s">
        <v>47</v>
      </c>
      <c r="C233" s="18" t="s">
        <v>451</v>
      </c>
      <c r="D233" s="17" t="s">
        <v>506</v>
      </c>
      <c r="E233" s="19" t="s">
        <v>507</v>
      </c>
      <c r="F233" s="20">
        <v>453.89</v>
      </c>
      <c r="G233" s="20">
        <v>55</v>
      </c>
      <c r="H233" s="19">
        <v>218</v>
      </c>
      <c r="I233" s="20">
        <v>110</v>
      </c>
      <c r="J233" s="20">
        <v>108</v>
      </c>
      <c r="K233" s="20">
        <v>0</v>
      </c>
      <c r="L233" s="21">
        <f t="shared" si="14"/>
        <v>0</v>
      </c>
      <c r="M233" s="20">
        <v>218</v>
      </c>
      <c r="N233" s="22">
        <f t="shared" si="15"/>
        <v>1</v>
      </c>
      <c r="O233" s="20">
        <v>5.66</v>
      </c>
      <c r="P233" s="20">
        <v>294.42</v>
      </c>
      <c r="Q233" s="23"/>
      <c r="R233" s="23"/>
      <c r="S233" s="24"/>
      <c r="T233" s="24"/>
      <c r="U233" s="24"/>
      <c r="V233" s="24"/>
      <c r="W233" s="20"/>
      <c r="X233" s="24" t="s">
        <v>51</v>
      </c>
      <c r="Y233" s="20"/>
      <c r="Z233" s="24"/>
      <c r="AA233" s="24"/>
      <c r="AB233" s="24"/>
      <c r="AC233" s="24" t="s">
        <v>51</v>
      </c>
      <c r="AD233" s="24"/>
      <c r="AE233" s="24" t="s">
        <v>51</v>
      </c>
      <c r="AF233" s="24"/>
      <c r="AG233" s="24"/>
      <c r="AH233" s="24"/>
      <c r="AI233" s="24"/>
      <c r="AJ233" s="25" t="s">
        <v>51</v>
      </c>
    </row>
    <row r="234" spans="1:36" x14ac:dyDescent="0.35">
      <c r="A234" s="17" t="s">
        <v>46</v>
      </c>
      <c r="B234" s="17" t="s">
        <v>47</v>
      </c>
      <c r="C234" s="18" t="s">
        <v>451</v>
      </c>
      <c r="D234" s="17" t="s">
        <v>508</v>
      </c>
      <c r="E234" s="19" t="s">
        <v>509</v>
      </c>
      <c r="F234" s="28">
        <v>165.32</v>
      </c>
      <c r="G234" s="28"/>
      <c r="H234" s="19">
        <v>0</v>
      </c>
      <c r="I234" s="28"/>
      <c r="J234" s="28"/>
      <c r="K234" s="28"/>
      <c r="L234" s="21"/>
      <c r="M234" s="28"/>
      <c r="N234" s="22"/>
      <c r="O234" s="28">
        <v>0</v>
      </c>
      <c r="P234" s="28">
        <v>91.91</v>
      </c>
      <c r="Q234" s="23"/>
      <c r="R234" s="23"/>
      <c r="S234" s="24"/>
      <c r="T234" s="24"/>
      <c r="U234" s="24"/>
      <c r="V234" s="24"/>
      <c r="W234" s="28"/>
      <c r="X234" s="24"/>
      <c r="Y234" s="28"/>
      <c r="Z234" s="24"/>
      <c r="AA234" s="24"/>
      <c r="AB234" s="24"/>
      <c r="AC234" s="24" t="s">
        <v>51</v>
      </c>
      <c r="AD234" s="24"/>
      <c r="AE234" s="24" t="s">
        <v>51</v>
      </c>
      <c r="AF234" s="24"/>
      <c r="AG234" s="24"/>
      <c r="AH234" s="24"/>
      <c r="AI234" s="24"/>
      <c r="AJ234" s="24"/>
    </row>
    <row r="235" spans="1:36" x14ac:dyDescent="0.35">
      <c r="A235" s="17" t="s">
        <v>46</v>
      </c>
      <c r="B235" s="17" t="s">
        <v>47</v>
      </c>
      <c r="C235" s="18" t="s">
        <v>451</v>
      </c>
      <c r="D235" s="17" t="s">
        <v>451</v>
      </c>
      <c r="E235" s="19" t="s">
        <v>510</v>
      </c>
      <c r="F235" s="20">
        <v>804.87</v>
      </c>
      <c r="G235" s="20">
        <v>251</v>
      </c>
      <c r="H235" s="19">
        <v>1198</v>
      </c>
      <c r="I235" s="20">
        <v>611</v>
      </c>
      <c r="J235" s="20">
        <v>587</v>
      </c>
      <c r="K235" s="20">
        <v>148</v>
      </c>
      <c r="L235" s="21">
        <f t="shared" ref="L235:L246" si="16">K235/H235</f>
        <v>0.12353923205342238</v>
      </c>
      <c r="M235" s="20">
        <v>175</v>
      </c>
      <c r="N235" s="22">
        <f t="shared" ref="N235:N246" si="17">M235/H235</f>
        <v>0.14607679465776294</v>
      </c>
      <c r="O235" s="20">
        <v>25.24</v>
      </c>
      <c r="P235" s="20">
        <v>308.02</v>
      </c>
      <c r="Q235" s="23"/>
      <c r="R235" s="23"/>
      <c r="S235" s="24"/>
      <c r="T235" s="24"/>
      <c r="U235" s="24"/>
      <c r="V235" s="24"/>
      <c r="W235" s="20"/>
      <c r="X235" s="24" t="s">
        <v>51</v>
      </c>
      <c r="Y235" s="20"/>
      <c r="Z235" s="24"/>
      <c r="AA235" s="24"/>
      <c r="AB235" s="24"/>
      <c r="AC235" s="24" t="s">
        <v>51</v>
      </c>
      <c r="AD235" s="24"/>
      <c r="AE235" s="24" t="s">
        <v>51</v>
      </c>
      <c r="AF235" s="24"/>
      <c r="AG235" s="24"/>
      <c r="AH235" s="24"/>
      <c r="AI235" s="24"/>
      <c r="AJ235" s="25" t="s">
        <v>51</v>
      </c>
    </row>
    <row r="236" spans="1:36" x14ac:dyDescent="0.35">
      <c r="A236" s="17" t="s">
        <v>46</v>
      </c>
      <c r="B236" s="17" t="s">
        <v>47</v>
      </c>
      <c r="C236" s="18" t="s">
        <v>346</v>
      </c>
      <c r="D236" s="17" t="s">
        <v>511</v>
      </c>
      <c r="E236" s="19" t="s">
        <v>512</v>
      </c>
      <c r="F236" s="20">
        <v>99</v>
      </c>
      <c r="G236" s="20">
        <v>36</v>
      </c>
      <c r="H236" s="19">
        <v>164</v>
      </c>
      <c r="I236" s="20">
        <v>79</v>
      </c>
      <c r="J236" s="20">
        <v>85</v>
      </c>
      <c r="K236" s="20">
        <v>8</v>
      </c>
      <c r="L236" s="21">
        <f t="shared" si="16"/>
        <v>4.878048780487805E-2</v>
      </c>
      <c r="M236" s="20">
        <v>0</v>
      </c>
      <c r="N236" s="22">
        <f t="shared" si="17"/>
        <v>0</v>
      </c>
      <c r="O236" s="20">
        <v>9</v>
      </c>
      <c r="P236" s="20">
        <v>0</v>
      </c>
      <c r="Q236" s="23"/>
      <c r="R236" s="23"/>
      <c r="S236" s="24"/>
      <c r="T236" s="24"/>
      <c r="U236" s="24"/>
      <c r="V236" s="24"/>
      <c r="W236" s="20"/>
      <c r="X236" s="24" t="s">
        <v>51</v>
      </c>
      <c r="Y236" s="20"/>
      <c r="Z236" s="24"/>
      <c r="AA236" s="24"/>
      <c r="AB236" s="24"/>
      <c r="AC236" s="24" t="s">
        <v>51</v>
      </c>
      <c r="AD236" s="24"/>
      <c r="AE236" s="24" t="s">
        <v>51</v>
      </c>
      <c r="AF236" s="24"/>
      <c r="AG236" s="24"/>
      <c r="AH236" s="24"/>
      <c r="AI236" s="24"/>
      <c r="AJ236" s="25" t="s">
        <v>51</v>
      </c>
    </row>
    <row r="237" spans="1:36" x14ac:dyDescent="0.35">
      <c r="A237" s="17" t="s">
        <v>46</v>
      </c>
      <c r="B237" s="17" t="s">
        <v>47</v>
      </c>
      <c r="C237" s="18" t="s">
        <v>451</v>
      </c>
      <c r="D237" s="17" t="s">
        <v>513</v>
      </c>
      <c r="E237" s="19" t="s">
        <v>514</v>
      </c>
      <c r="F237" s="20">
        <v>152.65</v>
      </c>
      <c r="G237" s="20">
        <v>3</v>
      </c>
      <c r="H237" s="19">
        <v>8</v>
      </c>
      <c r="I237" s="20">
        <v>4</v>
      </c>
      <c r="J237" s="20">
        <v>4</v>
      </c>
      <c r="K237" s="20">
        <v>0</v>
      </c>
      <c r="L237" s="21">
        <f t="shared" si="16"/>
        <v>0</v>
      </c>
      <c r="M237" s="20">
        <v>0</v>
      </c>
      <c r="N237" s="22">
        <f t="shared" si="17"/>
        <v>0</v>
      </c>
      <c r="O237" s="20">
        <v>10.86</v>
      </c>
      <c r="P237" s="20">
        <v>71.72</v>
      </c>
      <c r="Q237" s="23"/>
      <c r="R237" s="23"/>
      <c r="S237" s="24"/>
      <c r="T237" s="24"/>
      <c r="U237" s="24"/>
      <c r="V237" s="24"/>
      <c r="W237" s="20"/>
      <c r="X237" s="24"/>
      <c r="Y237" s="20"/>
      <c r="Z237" s="24"/>
      <c r="AA237" s="24"/>
      <c r="AB237" s="24"/>
      <c r="AC237" s="24" t="s">
        <v>51</v>
      </c>
      <c r="AD237" s="24"/>
      <c r="AE237" s="24" t="s">
        <v>51</v>
      </c>
      <c r="AF237" s="24"/>
      <c r="AG237" s="24"/>
      <c r="AH237" s="24"/>
      <c r="AI237" s="24"/>
      <c r="AJ237" s="24"/>
    </row>
    <row r="238" spans="1:36" x14ac:dyDescent="0.35">
      <c r="A238" s="17" t="s">
        <v>46</v>
      </c>
      <c r="B238" s="17" t="s">
        <v>47</v>
      </c>
      <c r="C238" s="18" t="s">
        <v>451</v>
      </c>
      <c r="D238" s="17" t="s">
        <v>515</v>
      </c>
      <c r="E238" s="19" t="s">
        <v>516</v>
      </c>
      <c r="F238" s="20">
        <v>744.46</v>
      </c>
      <c r="G238" s="20">
        <v>149</v>
      </c>
      <c r="H238" s="19">
        <v>705</v>
      </c>
      <c r="I238" s="20">
        <v>342</v>
      </c>
      <c r="J238" s="20">
        <v>363</v>
      </c>
      <c r="K238" s="20">
        <v>67</v>
      </c>
      <c r="L238" s="21">
        <f t="shared" si="16"/>
        <v>9.50354609929078E-2</v>
      </c>
      <c r="M238" s="20">
        <v>215</v>
      </c>
      <c r="N238" s="22">
        <f t="shared" si="17"/>
        <v>0.30496453900709219</v>
      </c>
      <c r="O238" s="20">
        <v>12.8</v>
      </c>
      <c r="P238" s="20">
        <v>442.01</v>
      </c>
      <c r="Q238" s="23"/>
      <c r="R238" s="23"/>
      <c r="S238" s="24"/>
      <c r="T238" s="24"/>
      <c r="U238" s="24"/>
      <c r="V238" s="24"/>
      <c r="W238" s="20"/>
      <c r="X238" s="24" t="s">
        <v>51</v>
      </c>
      <c r="Y238" s="20"/>
      <c r="Z238" s="24"/>
      <c r="AA238" s="24"/>
      <c r="AB238" s="24"/>
      <c r="AC238" s="24" t="s">
        <v>51</v>
      </c>
      <c r="AD238" s="24"/>
      <c r="AE238" s="24" t="s">
        <v>51</v>
      </c>
      <c r="AF238" s="24"/>
      <c r="AG238" s="24"/>
      <c r="AH238" s="24"/>
      <c r="AI238" s="24"/>
      <c r="AJ238" s="25" t="s">
        <v>51</v>
      </c>
    </row>
    <row r="239" spans="1:36" x14ac:dyDescent="0.35">
      <c r="A239" s="17" t="s">
        <v>46</v>
      </c>
      <c r="B239" s="17" t="s">
        <v>47</v>
      </c>
      <c r="C239" s="18" t="s">
        <v>451</v>
      </c>
      <c r="D239" s="17" t="s">
        <v>517</v>
      </c>
      <c r="E239" s="19" t="s">
        <v>518</v>
      </c>
      <c r="F239" s="20">
        <v>458.87</v>
      </c>
      <c r="G239" s="20">
        <v>23</v>
      </c>
      <c r="H239" s="19">
        <v>96</v>
      </c>
      <c r="I239" s="20">
        <v>44</v>
      </c>
      <c r="J239" s="20">
        <v>52</v>
      </c>
      <c r="K239" s="20">
        <v>54</v>
      </c>
      <c r="L239" s="21">
        <f t="shared" si="16"/>
        <v>0.5625</v>
      </c>
      <c r="M239" s="20">
        <v>41</v>
      </c>
      <c r="N239" s="22">
        <f t="shared" si="17"/>
        <v>0.42708333333333331</v>
      </c>
      <c r="O239" s="20">
        <v>6</v>
      </c>
      <c r="P239" s="20">
        <v>248.44</v>
      </c>
      <c r="Q239" s="23"/>
      <c r="R239" s="23"/>
      <c r="S239" s="24"/>
      <c r="T239" s="24"/>
      <c r="U239" s="24"/>
      <c r="V239" s="24"/>
      <c r="W239" s="20"/>
      <c r="X239" s="24" t="s">
        <v>51</v>
      </c>
      <c r="Y239" s="20"/>
      <c r="Z239" s="24"/>
      <c r="AA239" s="24"/>
      <c r="AB239" s="24"/>
      <c r="AC239" s="24" t="s">
        <v>51</v>
      </c>
      <c r="AD239" s="24"/>
      <c r="AE239" s="24" t="s">
        <v>51</v>
      </c>
      <c r="AF239" s="24"/>
      <c r="AG239" s="24"/>
      <c r="AH239" s="24"/>
      <c r="AI239" s="24"/>
      <c r="AJ239" s="25" t="s">
        <v>51</v>
      </c>
    </row>
    <row r="240" spans="1:36" x14ac:dyDescent="0.35">
      <c r="A240" s="17" t="s">
        <v>46</v>
      </c>
      <c r="B240" s="17" t="s">
        <v>47</v>
      </c>
      <c r="C240" s="18" t="s">
        <v>451</v>
      </c>
      <c r="D240" s="17" t="s">
        <v>519</v>
      </c>
      <c r="E240" s="19" t="s">
        <v>520</v>
      </c>
      <c r="F240" s="20">
        <v>848.83</v>
      </c>
      <c r="G240" s="20">
        <v>87</v>
      </c>
      <c r="H240" s="19">
        <v>397</v>
      </c>
      <c r="I240" s="20">
        <v>201</v>
      </c>
      <c r="J240" s="20">
        <v>196</v>
      </c>
      <c r="K240" s="20">
        <v>3</v>
      </c>
      <c r="L240" s="21">
        <f t="shared" si="16"/>
        <v>7.556675062972292E-3</v>
      </c>
      <c r="M240" s="20">
        <v>192</v>
      </c>
      <c r="N240" s="22">
        <f t="shared" si="17"/>
        <v>0.48362720403022669</v>
      </c>
      <c r="O240" s="20">
        <v>41.1</v>
      </c>
      <c r="P240" s="20">
        <v>688.9</v>
      </c>
      <c r="Q240" s="23"/>
      <c r="R240" s="23"/>
      <c r="S240" s="24"/>
      <c r="T240" s="24"/>
      <c r="U240" s="24"/>
      <c r="V240" s="24"/>
      <c r="W240" s="20"/>
      <c r="X240" s="24" t="s">
        <v>51</v>
      </c>
      <c r="Y240" s="20"/>
      <c r="Z240" s="24"/>
      <c r="AA240" s="24"/>
      <c r="AB240" s="24"/>
      <c r="AC240" s="24" t="s">
        <v>51</v>
      </c>
      <c r="AD240" s="24"/>
      <c r="AE240" s="24" t="s">
        <v>51</v>
      </c>
      <c r="AF240" s="24"/>
      <c r="AG240" s="24"/>
      <c r="AH240" s="24"/>
      <c r="AI240" s="24"/>
      <c r="AJ240" s="25" t="s">
        <v>51</v>
      </c>
    </row>
    <row r="241" spans="1:36" x14ac:dyDescent="0.35">
      <c r="A241" s="17" t="s">
        <v>46</v>
      </c>
      <c r="B241" s="17" t="s">
        <v>47</v>
      </c>
      <c r="C241" s="18" t="s">
        <v>451</v>
      </c>
      <c r="D241" s="17" t="s">
        <v>521</v>
      </c>
      <c r="E241" s="19" t="s">
        <v>522</v>
      </c>
      <c r="F241" s="20">
        <v>259.04000000000002</v>
      </c>
      <c r="G241" s="20">
        <v>3</v>
      </c>
      <c r="H241" s="19">
        <v>10</v>
      </c>
      <c r="I241" s="20">
        <v>4</v>
      </c>
      <c r="J241" s="20">
        <v>6</v>
      </c>
      <c r="K241" s="20">
        <v>0</v>
      </c>
      <c r="L241" s="21">
        <f t="shared" si="16"/>
        <v>0</v>
      </c>
      <c r="M241" s="20">
        <v>0</v>
      </c>
      <c r="N241" s="22">
        <f t="shared" si="17"/>
        <v>0</v>
      </c>
      <c r="O241" s="20">
        <v>0</v>
      </c>
      <c r="P241" s="20">
        <v>225.87</v>
      </c>
      <c r="Q241" s="23"/>
      <c r="R241" s="23"/>
      <c r="S241" s="24"/>
      <c r="T241" s="24"/>
      <c r="U241" s="24"/>
      <c r="V241" s="24"/>
      <c r="W241" s="20"/>
      <c r="X241" s="24"/>
      <c r="Y241" s="20"/>
      <c r="Z241" s="24"/>
      <c r="AA241" s="24"/>
      <c r="AB241" s="24"/>
      <c r="AC241" s="24" t="s">
        <v>51</v>
      </c>
      <c r="AD241" s="24"/>
      <c r="AE241" s="24" t="s">
        <v>51</v>
      </c>
      <c r="AF241" s="24"/>
      <c r="AG241" s="24"/>
      <c r="AH241" s="24"/>
      <c r="AI241" s="24"/>
      <c r="AJ241" s="24"/>
    </row>
    <row r="242" spans="1:36" x14ac:dyDescent="0.35">
      <c r="A242" s="17" t="s">
        <v>46</v>
      </c>
      <c r="B242" s="17" t="s">
        <v>47</v>
      </c>
      <c r="C242" s="18" t="s">
        <v>451</v>
      </c>
      <c r="D242" s="17" t="s">
        <v>523</v>
      </c>
      <c r="E242" s="19" t="s">
        <v>524</v>
      </c>
      <c r="F242" s="20">
        <v>964.68</v>
      </c>
      <c r="G242" s="20">
        <v>59</v>
      </c>
      <c r="H242" s="19">
        <v>243</v>
      </c>
      <c r="I242" s="20">
        <v>123</v>
      </c>
      <c r="J242" s="20">
        <v>120</v>
      </c>
      <c r="K242" s="20">
        <v>13</v>
      </c>
      <c r="L242" s="21">
        <f t="shared" si="16"/>
        <v>5.3497942386831275E-2</v>
      </c>
      <c r="M242" s="20">
        <v>73</v>
      </c>
      <c r="N242" s="22">
        <f t="shared" si="17"/>
        <v>0.30041152263374488</v>
      </c>
      <c r="O242" s="20">
        <v>0</v>
      </c>
      <c r="P242" s="20">
        <v>763.57</v>
      </c>
      <c r="Q242" s="23"/>
      <c r="R242" s="23"/>
      <c r="S242" s="24"/>
      <c r="T242" s="24"/>
      <c r="U242" s="24"/>
      <c r="V242" s="24"/>
      <c r="W242" s="20"/>
      <c r="X242" s="24" t="s">
        <v>51</v>
      </c>
      <c r="Y242" s="20"/>
      <c r="Z242" s="24"/>
      <c r="AA242" s="24"/>
      <c r="AB242" s="24"/>
      <c r="AC242" s="24" t="s">
        <v>51</v>
      </c>
      <c r="AD242" s="24"/>
      <c r="AE242" s="24" t="s">
        <v>51</v>
      </c>
      <c r="AF242" s="24"/>
      <c r="AG242" s="24"/>
      <c r="AH242" s="24"/>
      <c r="AI242" s="24"/>
      <c r="AJ242" s="25" t="s">
        <v>51</v>
      </c>
    </row>
    <row r="243" spans="1:36" x14ac:dyDescent="0.35">
      <c r="A243" s="17" t="s">
        <v>46</v>
      </c>
      <c r="B243" s="17" t="s">
        <v>47</v>
      </c>
      <c r="C243" s="18" t="s">
        <v>451</v>
      </c>
      <c r="D243" s="17" t="s">
        <v>525</v>
      </c>
      <c r="E243" s="19" t="s">
        <v>526</v>
      </c>
      <c r="F243" s="20">
        <v>207.31</v>
      </c>
      <c r="G243" s="20">
        <v>10</v>
      </c>
      <c r="H243" s="19">
        <v>30</v>
      </c>
      <c r="I243" s="20">
        <v>12</v>
      </c>
      <c r="J243" s="20">
        <v>18</v>
      </c>
      <c r="K243" s="20">
        <v>0</v>
      </c>
      <c r="L243" s="21">
        <f t="shared" si="16"/>
        <v>0</v>
      </c>
      <c r="M243" s="20">
        <v>0</v>
      </c>
      <c r="N243" s="22">
        <f t="shared" si="17"/>
        <v>0</v>
      </c>
      <c r="O243" s="20">
        <v>0</v>
      </c>
      <c r="P243" s="20">
        <v>0</v>
      </c>
      <c r="Q243" s="23"/>
      <c r="R243" s="23"/>
      <c r="S243" s="24"/>
      <c r="T243" s="24"/>
      <c r="U243" s="24"/>
      <c r="V243" s="24"/>
      <c r="W243" s="20"/>
      <c r="X243" s="24"/>
      <c r="Y243" s="20"/>
      <c r="Z243" s="24"/>
      <c r="AA243" s="24"/>
      <c r="AB243" s="24"/>
      <c r="AC243" s="24" t="s">
        <v>51</v>
      </c>
      <c r="AD243" s="24"/>
      <c r="AE243" s="24" t="s">
        <v>51</v>
      </c>
      <c r="AF243" s="24"/>
      <c r="AG243" s="24"/>
      <c r="AH243" s="24"/>
      <c r="AI243" s="24"/>
      <c r="AJ243" s="24"/>
    </row>
    <row r="244" spans="1:36" x14ac:dyDescent="0.35">
      <c r="A244" s="17" t="s">
        <v>46</v>
      </c>
      <c r="B244" s="17" t="s">
        <v>47</v>
      </c>
      <c r="C244" s="18" t="s">
        <v>451</v>
      </c>
      <c r="D244" s="17" t="s">
        <v>527</v>
      </c>
      <c r="E244" s="19" t="s">
        <v>528</v>
      </c>
      <c r="F244" s="20">
        <v>615.28</v>
      </c>
      <c r="G244" s="20">
        <v>50</v>
      </c>
      <c r="H244" s="19">
        <v>194</v>
      </c>
      <c r="I244" s="20">
        <v>92</v>
      </c>
      <c r="J244" s="20">
        <v>102</v>
      </c>
      <c r="K244" s="20">
        <v>0</v>
      </c>
      <c r="L244" s="21">
        <f t="shared" si="16"/>
        <v>0</v>
      </c>
      <c r="M244" s="20">
        <v>176</v>
      </c>
      <c r="N244" s="22">
        <f t="shared" si="17"/>
        <v>0.90721649484536082</v>
      </c>
      <c r="O244" s="20">
        <v>0</v>
      </c>
      <c r="P244" s="20">
        <v>352.22</v>
      </c>
      <c r="Q244" s="23"/>
      <c r="R244" s="23"/>
      <c r="S244" s="24"/>
      <c r="T244" s="24"/>
      <c r="U244" s="24"/>
      <c r="V244" s="24"/>
      <c r="W244" s="20"/>
      <c r="X244" s="24" t="s">
        <v>51</v>
      </c>
      <c r="Y244" s="20"/>
      <c r="Z244" s="24"/>
      <c r="AA244" s="24"/>
      <c r="AB244" s="24"/>
      <c r="AC244" s="24" t="s">
        <v>51</v>
      </c>
      <c r="AD244" s="24"/>
      <c r="AE244" s="24" t="s">
        <v>51</v>
      </c>
      <c r="AF244" s="24"/>
      <c r="AG244" s="24"/>
      <c r="AH244" s="24"/>
      <c r="AI244" s="24"/>
      <c r="AJ244" s="25" t="s">
        <v>51</v>
      </c>
    </row>
    <row r="245" spans="1:36" x14ac:dyDescent="0.35">
      <c r="A245" s="17" t="s">
        <v>46</v>
      </c>
      <c r="B245" s="17" t="s">
        <v>47</v>
      </c>
      <c r="C245" s="18" t="s">
        <v>151</v>
      </c>
      <c r="D245" s="17" t="s">
        <v>529</v>
      </c>
      <c r="E245" s="19" t="s">
        <v>530</v>
      </c>
      <c r="F245" s="20">
        <v>463</v>
      </c>
      <c r="G245" s="20">
        <v>12</v>
      </c>
      <c r="H245" s="19">
        <v>41</v>
      </c>
      <c r="I245" s="20">
        <v>22</v>
      </c>
      <c r="J245" s="20">
        <v>19</v>
      </c>
      <c r="K245" s="20">
        <v>0</v>
      </c>
      <c r="L245" s="21">
        <f t="shared" si="16"/>
        <v>0</v>
      </c>
      <c r="M245" s="20">
        <v>41</v>
      </c>
      <c r="N245" s="22">
        <f t="shared" si="17"/>
        <v>1</v>
      </c>
      <c r="O245" s="20">
        <v>0</v>
      </c>
      <c r="P245" s="20">
        <v>360</v>
      </c>
      <c r="Q245" s="23"/>
      <c r="R245" s="23"/>
      <c r="S245" s="24"/>
      <c r="T245" s="24"/>
      <c r="U245" s="24"/>
      <c r="V245" s="24"/>
      <c r="W245" s="20"/>
      <c r="X245" s="24" t="s">
        <v>51</v>
      </c>
      <c r="Y245" s="20"/>
      <c r="Z245" s="24"/>
      <c r="AA245" s="24"/>
      <c r="AB245" s="24"/>
      <c r="AC245" s="24" t="s">
        <v>51</v>
      </c>
      <c r="AD245" s="24"/>
      <c r="AE245" s="24" t="s">
        <v>51</v>
      </c>
      <c r="AF245" s="24"/>
      <c r="AG245" s="24"/>
      <c r="AH245" s="24"/>
      <c r="AI245" s="24"/>
      <c r="AJ245" s="25" t="s">
        <v>51</v>
      </c>
    </row>
    <row r="246" spans="1:36" x14ac:dyDescent="0.35">
      <c r="A246" s="17" t="s">
        <v>46</v>
      </c>
      <c r="B246" s="17" t="s">
        <v>47</v>
      </c>
      <c r="C246" s="18" t="s">
        <v>151</v>
      </c>
      <c r="D246" s="17" t="s">
        <v>531</v>
      </c>
      <c r="E246" s="19" t="s">
        <v>532</v>
      </c>
      <c r="F246" s="20">
        <v>262</v>
      </c>
      <c r="G246" s="20">
        <v>64</v>
      </c>
      <c r="H246" s="19">
        <v>302</v>
      </c>
      <c r="I246" s="20">
        <v>153</v>
      </c>
      <c r="J246" s="20">
        <v>149</v>
      </c>
      <c r="K246" s="20">
        <v>16</v>
      </c>
      <c r="L246" s="21">
        <f t="shared" si="16"/>
        <v>5.2980132450331126E-2</v>
      </c>
      <c r="M246" s="20">
        <v>70</v>
      </c>
      <c r="N246" s="22">
        <f t="shared" si="17"/>
        <v>0.23178807947019867</v>
      </c>
      <c r="O246" s="20">
        <v>0</v>
      </c>
      <c r="P246" s="20">
        <v>158</v>
      </c>
      <c r="Q246" s="23"/>
      <c r="R246" s="23"/>
      <c r="S246" s="24"/>
      <c r="T246" s="24"/>
      <c r="U246" s="24"/>
      <c r="V246" s="24"/>
      <c r="W246" s="20"/>
      <c r="X246" s="24" t="s">
        <v>51</v>
      </c>
      <c r="Y246" s="20"/>
      <c r="Z246" s="24"/>
      <c r="AA246" s="24"/>
      <c r="AB246" s="24"/>
      <c r="AC246" s="24" t="s">
        <v>51</v>
      </c>
      <c r="AD246" s="24"/>
      <c r="AE246" s="24" t="s">
        <v>51</v>
      </c>
      <c r="AF246" s="24"/>
      <c r="AG246" s="24"/>
      <c r="AH246" s="24"/>
      <c r="AI246" s="24"/>
      <c r="AJ246" s="25" t="s">
        <v>51</v>
      </c>
    </row>
    <row r="247" spans="1:36" x14ac:dyDescent="0.35">
      <c r="A247" s="17" t="s">
        <v>46</v>
      </c>
      <c r="B247" s="17" t="s">
        <v>47</v>
      </c>
      <c r="C247" s="17" t="s">
        <v>533</v>
      </c>
      <c r="D247" s="17" t="s">
        <v>465</v>
      </c>
      <c r="E247" s="19" t="s">
        <v>534</v>
      </c>
      <c r="F247" s="28">
        <v>102.61</v>
      </c>
      <c r="G247" s="28"/>
      <c r="H247" s="19">
        <v>0</v>
      </c>
      <c r="I247" s="28"/>
      <c r="J247" s="28"/>
      <c r="K247" s="28"/>
      <c r="L247" s="21"/>
      <c r="M247" s="28"/>
      <c r="N247" s="22"/>
      <c r="O247" s="28">
        <v>0</v>
      </c>
      <c r="P247" s="28">
        <v>102.61</v>
      </c>
      <c r="Q247" s="23"/>
      <c r="R247" s="23"/>
      <c r="S247" s="24"/>
      <c r="T247" s="24"/>
      <c r="U247" s="24"/>
      <c r="V247" s="28"/>
      <c r="W247" s="28"/>
      <c r="X247" s="24"/>
      <c r="Y247" s="28"/>
      <c r="Z247" s="24"/>
      <c r="AA247" s="24"/>
      <c r="AB247" s="24"/>
      <c r="AC247" s="24"/>
      <c r="AD247" s="24"/>
      <c r="AE247" s="24" t="s">
        <v>51</v>
      </c>
      <c r="AF247" s="24"/>
      <c r="AG247" s="24"/>
      <c r="AH247" s="24"/>
      <c r="AI247" s="24"/>
      <c r="AJ247" s="24"/>
    </row>
    <row r="248" spans="1:36" x14ac:dyDescent="0.35">
      <c r="A248" s="17" t="s">
        <v>46</v>
      </c>
      <c r="B248" s="17" t="s">
        <v>47</v>
      </c>
      <c r="C248" s="17" t="s">
        <v>533</v>
      </c>
      <c r="D248" s="17" t="s">
        <v>535</v>
      </c>
      <c r="E248" s="19" t="s">
        <v>536</v>
      </c>
      <c r="F248" s="20">
        <v>514.24</v>
      </c>
      <c r="G248" s="20">
        <v>31</v>
      </c>
      <c r="H248" s="19">
        <v>133</v>
      </c>
      <c r="I248" s="20">
        <v>72</v>
      </c>
      <c r="J248" s="20">
        <v>61</v>
      </c>
      <c r="K248" s="20">
        <v>21</v>
      </c>
      <c r="L248" s="21">
        <f>K248/H248</f>
        <v>0.15789473684210525</v>
      </c>
      <c r="M248" s="20">
        <v>0</v>
      </c>
      <c r="N248" s="22">
        <f>M248/H248</f>
        <v>0</v>
      </c>
      <c r="O248" s="20">
        <v>0</v>
      </c>
      <c r="P248" s="20">
        <v>407.35</v>
      </c>
      <c r="Q248" s="23"/>
      <c r="R248" s="23"/>
      <c r="S248" s="24"/>
      <c r="T248" s="24"/>
      <c r="U248" s="24"/>
      <c r="V248" s="20"/>
      <c r="W248" s="20"/>
      <c r="X248" s="24" t="s">
        <v>51</v>
      </c>
      <c r="Y248" s="20"/>
      <c r="Z248" s="24"/>
      <c r="AA248" s="24"/>
      <c r="AB248" s="24"/>
      <c r="AC248" s="24"/>
      <c r="AD248" s="24"/>
      <c r="AE248" s="24" t="s">
        <v>51</v>
      </c>
      <c r="AF248" s="24"/>
      <c r="AG248" s="24"/>
      <c r="AH248" s="24"/>
      <c r="AI248" s="24"/>
      <c r="AJ248" s="25" t="s">
        <v>51</v>
      </c>
    </row>
    <row r="249" spans="1:36" x14ac:dyDescent="0.35">
      <c r="A249" s="17" t="s">
        <v>46</v>
      </c>
      <c r="B249" s="17" t="s">
        <v>47</v>
      </c>
      <c r="C249" s="17" t="s">
        <v>533</v>
      </c>
      <c r="D249" s="17" t="s">
        <v>310</v>
      </c>
      <c r="E249" s="19" t="s">
        <v>537</v>
      </c>
      <c r="F249" s="28">
        <v>86.12</v>
      </c>
      <c r="G249" s="28"/>
      <c r="H249" s="19">
        <v>0</v>
      </c>
      <c r="I249" s="28"/>
      <c r="J249" s="28"/>
      <c r="K249" s="28"/>
      <c r="L249" s="21"/>
      <c r="M249" s="28"/>
      <c r="N249" s="22"/>
      <c r="O249" s="28">
        <v>0</v>
      </c>
      <c r="P249" s="28">
        <v>86.12</v>
      </c>
      <c r="Q249" s="23"/>
      <c r="R249" s="23"/>
      <c r="S249" s="24"/>
      <c r="T249" s="24"/>
      <c r="U249" s="24"/>
      <c r="V249" s="28"/>
      <c r="W249" s="28"/>
      <c r="X249" s="24"/>
      <c r="Y249" s="28"/>
      <c r="Z249" s="24"/>
      <c r="AA249" s="24"/>
      <c r="AB249" s="24"/>
      <c r="AC249" s="24"/>
      <c r="AD249" s="24"/>
      <c r="AE249" s="24" t="s">
        <v>51</v>
      </c>
      <c r="AF249" s="24"/>
      <c r="AG249" s="24"/>
      <c r="AH249" s="24"/>
      <c r="AI249" s="24"/>
      <c r="AJ249" s="24"/>
    </row>
    <row r="250" spans="1:36" x14ac:dyDescent="0.35">
      <c r="A250" s="17" t="s">
        <v>46</v>
      </c>
      <c r="B250" s="17" t="s">
        <v>47</v>
      </c>
      <c r="C250" s="17" t="s">
        <v>533</v>
      </c>
      <c r="D250" s="17" t="s">
        <v>538</v>
      </c>
      <c r="E250" s="19" t="s">
        <v>539</v>
      </c>
      <c r="F250" s="28">
        <v>366.99</v>
      </c>
      <c r="G250" s="28"/>
      <c r="H250" s="19">
        <v>0</v>
      </c>
      <c r="I250" s="28"/>
      <c r="J250" s="28"/>
      <c r="K250" s="28"/>
      <c r="L250" s="21"/>
      <c r="M250" s="28"/>
      <c r="N250" s="22"/>
      <c r="O250" s="28">
        <v>0</v>
      </c>
      <c r="P250" s="28">
        <v>352.77</v>
      </c>
      <c r="Q250" s="23"/>
      <c r="R250" s="23"/>
      <c r="S250" s="24"/>
      <c r="T250" s="24"/>
      <c r="U250" s="24"/>
      <c r="V250" s="28"/>
      <c r="W250" s="28"/>
      <c r="X250" s="24"/>
      <c r="Y250" s="28"/>
      <c r="Z250" s="24"/>
      <c r="AA250" s="24"/>
      <c r="AB250" s="24"/>
      <c r="AC250" s="24"/>
      <c r="AD250" s="24"/>
      <c r="AE250" s="24" t="s">
        <v>51</v>
      </c>
      <c r="AF250" s="24"/>
      <c r="AG250" s="24"/>
      <c r="AH250" s="24"/>
      <c r="AI250" s="24"/>
      <c r="AJ250" s="24"/>
    </row>
    <row r="251" spans="1:36" x14ac:dyDescent="0.35">
      <c r="A251" s="17" t="s">
        <v>46</v>
      </c>
      <c r="B251" s="17" t="s">
        <v>47</v>
      </c>
      <c r="C251" s="17" t="s">
        <v>533</v>
      </c>
      <c r="D251" s="17" t="s">
        <v>540</v>
      </c>
      <c r="E251" s="19" t="s">
        <v>541</v>
      </c>
      <c r="F251" s="20">
        <v>614.23</v>
      </c>
      <c r="G251" s="20">
        <v>148</v>
      </c>
      <c r="H251" s="19">
        <v>679</v>
      </c>
      <c r="I251" s="20">
        <v>336</v>
      </c>
      <c r="J251" s="20">
        <v>343</v>
      </c>
      <c r="K251" s="20">
        <v>45</v>
      </c>
      <c r="L251" s="21">
        <f>K251/H251</f>
        <v>6.6273932253313697E-2</v>
      </c>
      <c r="M251" s="20">
        <v>630</v>
      </c>
      <c r="N251" s="22">
        <f>M251/H251</f>
        <v>0.92783505154639179</v>
      </c>
      <c r="O251" s="20">
        <v>25.19</v>
      </c>
      <c r="P251" s="20">
        <v>222.16</v>
      </c>
      <c r="Q251" s="23"/>
      <c r="R251" s="23"/>
      <c r="S251" s="24"/>
      <c r="T251" s="24"/>
      <c r="U251" s="24"/>
      <c r="V251" s="20"/>
      <c r="W251" s="20"/>
      <c r="X251" s="24" t="s">
        <v>51</v>
      </c>
      <c r="Y251" s="20"/>
      <c r="Z251" s="24"/>
      <c r="AA251" s="24"/>
      <c r="AB251" s="24"/>
      <c r="AC251" s="24"/>
      <c r="AD251" s="24"/>
      <c r="AE251" s="24" t="s">
        <v>51</v>
      </c>
      <c r="AF251" s="24"/>
      <c r="AG251" s="24"/>
      <c r="AH251" s="24"/>
      <c r="AI251" s="24"/>
      <c r="AJ251" s="25" t="s">
        <v>51</v>
      </c>
    </row>
    <row r="252" spans="1:36" x14ac:dyDescent="0.35">
      <c r="A252" s="17" t="s">
        <v>46</v>
      </c>
      <c r="B252" s="17" t="s">
        <v>47</v>
      </c>
      <c r="C252" s="17" t="s">
        <v>533</v>
      </c>
      <c r="D252" s="17" t="s">
        <v>542</v>
      </c>
      <c r="E252" s="19" t="s">
        <v>543</v>
      </c>
      <c r="F252" s="20">
        <v>457.45</v>
      </c>
      <c r="G252" s="20">
        <v>98</v>
      </c>
      <c r="H252" s="19">
        <v>429</v>
      </c>
      <c r="I252" s="20">
        <v>228</v>
      </c>
      <c r="J252" s="20">
        <v>201</v>
      </c>
      <c r="K252" s="20">
        <v>117</v>
      </c>
      <c r="L252" s="21">
        <f>K252/H252</f>
        <v>0.27272727272727271</v>
      </c>
      <c r="M252" s="20">
        <v>7</v>
      </c>
      <c r="N252" s="22">
        <f>M252/H252</f>
        <v>1.6317016317016316E-2</v>
      </c>
      <c r="O252" s="20">
        <v>33.06</v>
      </c>
      <c r="P252" s="20">
        <v>274</v>
      </c>
      <c r="Q252" s="23"/>
      <c r="R252" s="23"/>
      <c r="S252" s="24"/>
      <c r="T252" s="24"/>
      <c r="U252" s="24"/>
      <c r="V252" s="20"/>
      <c r="W252" s="20"/>
      <c r="X252" s="24" t="s">
        <v>51</v>
      </c>
      <c r="Y252" s="20"/>
      <c r="Z252" s="24"/>
      <c r="AA252" s="24"/>
      <c r="AB252" s="24"/>
      <c r="AC252" s="24"/>
      <c r="AD252" s="24"/>
      <c r="AE252" s="24" t="s">
        <v>51</v>
      </c>
      <c r="AF252" s="24"/>
      <c r="AG252" s="24"/>
      <c r="AH252" s="24"/>
      <c r="AI252" s="24"/>
      <c r="AJ252" s="25" t="s">
        <v>51</v>
      </c>
    </row>
    <row r="253" spans="1:36" x14ac:dyDescent="0.35">
      <c r="A253" s="17" t="s">
        <v>46</v>
      </c>
      <c r="B253" s="17" t="s">
        <v>47</v>
      </c>
      <c r="C253" s="17" t="s">
        <v>533</v>
      </c>
      <c r="D253" s="17" t="s">
        <v>544</v>
      </c>
      <c r="E253" s="19" t="s">
        <v>545</v>
      </c>
      <c r="F253" s="20">
        <v>81.36</v>
      </c>
      <c r="G253" s="20">
        <v>24</v>
      </c>
      <c r="H253" s="19">
        <v>101</v>
      </c>
      <c r="I253" s="20">
        <v>52</v>
      </c>
      <c r="J253" s="20">
        <v>49</v>
      </c>
      <c r="K253" s="20">
        <v>0</v>
      </c>
      <c r="L253" s="21">
        <f>K253/H253</f>
        <v>0</v>
      </c>
      <c r="M253" s="20">
        <v>0</v>
      </c>
      <c r="N253" s="22">
        <f>M253/H253</f>
        <v>0</v>
      </c>
      <c r="O253" s="20">
        <v>20.53</v>
      </c>
      <c r="P253" s="20">
        <v>0.24</v>
      </c>
      <c r="Q253" s="23"/>
      <c r="R253" s="23"/>
      <c r="S253" s="24"/>
      <c r="T253" s="24"/>
      <c r="U253" s="24"/>
      <c r="V253" s="20"/>
      <c r="W253" s="20"/>
      <c r="X253" s="24" t="s">
        <v>51</v>
      </c>
      <c r="Y253" s="20"/>
      <c r="Z253" s="24"/>
      <c r="AA253" s="24"/>
      <c r="AB253" s="24"/>
      <c r="AC253" s="24"/>
      <c r="AD253" s="24"/>
      <c r="AE253" s="24" t="s">
        <v>51</v>
      </c>
      <c r="AF253" s="24"/>
      <c r="AG253" s="24"/>
      <c r="AH253" s="24"/>
      <c r="AI253" s="24"/>
      <c r="AJ253" s="25" t="s">
        <v>51</v>
      </c>
    </row>
    <row r="254" spans="1:36" x14ac:dyDescent="0.35">
      <c r="A254" s="17" t="s">
        <v>46</v>
      </c>
      <c r="B254" s="17" t="s">
        <v>47</v>
      </c>
      <c r="C254" s="17" t="s">
        <v>533</v>
      </c>
      <c r="D254" s="17" t="s">
        <v>248</v>
      </c>
      <c r="E254" s="19" t="s">
        <v>546</v>
      </c>
      <c r="F254" s="20">
        <v>266.39999999999998</v>
      </c>
      <c r="G254" s="20">
        <v>184</v>
      </c>
      <c r="H254" s="19">
        <v>778</v>
      </c>
      <c r="I254" s="20">
        <v>403</v>
      </c>
      <c r="J254" s="20">
        <v>375</v>
      </c>
      <c r="K254" s="20">
        <v>150</v>
      </c>
      <c r="L254" s="21">
        <f>K254/H254</f>
        <v>0.19280205655526991</v>
      </c>
      <c r="M254" s="20">
        <v>102</v>
      </c>
      <c r="N254" s="22">
        <f>M254/H254</f>
        <v>0.13110539845758354</v>
      </c>
      <c r="O254" s="20">
        <v>27.72</v>
      </c>
      <c r="P254" s="20">
        <v>0</v>
      </c>
      <c r="Q254" s="23"/>
      <c r="R254" s="23"/>
      <c r="S254" s="24"/>
      <c r="T254" s="24"/>
      <c r="U254" s="24"/>
      <c r="V254" s="20"/>
      <c r="W254" s="20"/>
      <c r="X254" s="24" t="s">
        <v>51</v>
      </c>
      <c r="Y254" s="20"/>
      <c r="Z254" s="24"/>
      <c r="AA254" s="24"/>
      <c r="AB254" s="24"/>
      <c r="AC254" s="24"/>
      <c r="AD254" s="24"/>
      <c r="AE254" s="24" t="s">
        <v>51</v>
      </c>
      <c r="AF254" s="24"/>
      <c r="AG254" s="24"/>
      <c r="AH254" s="24"/>
      <c r="AI254" s="24"/>
      <c r="AJ254" s="25" t="s">
        <v>51</v>
      </c>
    </row>
    <row r="255" spans="1:36" x14ac:dyDescent="0.35">
      <c r="A255" s="17" t="s">
        <v>46</v>
      </c>
      <c r="B255" s="17" t="s">
        <v>47</v>
      </c>
      <c r="C255" s="17" t="s">
        <v>533</v>
      </c>
      <c r="D255" s="17" t="s">
        <v>547</v>
      </c>
      <c r="E255" s="19" t="s">
        <v>548</v>
      </c>
      <c r="F255" s="20">
        <v>168.1</v>
      </c>
      <c r="G255" s="20">
        <v>13</v>
      </c>
      <c r="H255" s="19">
        <v>80</v>
      </c>
      <c r="I255" s="20">
        <v>44</v>
      </c>
      <c r="J255" s="20">
        <v>36</v>
      </c>
      <c r="K255" s="20">
        <v>0</v>
      </c>
      <c r="L255" s="21">
        <f>K255/H255</f>
        <v>0</v>
      </c>
      <c r="M255" s="20">
        <v>63</v>
      </c>
      <c r="N255" s="22">
        <f>M255/H255</f>
        <v>0.78749999999999998</v>
      </c>
      <c r="O255" s="20">
        <v>0</v>
      </c>
      <c r="P255" s="20">
        <v>0</v>
      </c>
      <c r="Q255" s="23"/>
      <c r="R255" s="23"/>
      <c r="S255" s="24"/>
      <c r="T255" s="24"/>
      <c r="U255" s="24"/>
      <c r="V255" s="20"/>
      <c r="W255" s="20"/>
      <c r="X255" s="24" t="s">
        <v>51</v>
      </c>
      <c r="Y255" s="20"/>
      <c r="Z255" s="24"/>
      <c r="AA255" s="24"/>
      <c r="AB255" s="24"/>
      <c r="AC255" s="24"/>
      <c r="AD255" s="24"/>
      <c r="AE255" s="24" t="s">
        <v>51</v>
      </c>
      <c r="AF255" s="24"/>
      <c r="AG255" s="24"/>
      <c r="AH255" s="24"/>
      <c r="AI255" s="24"/>
      <c r="AJ255" s="25" t="s">
        <v>51</v>
      </c>
    </row>
    <row r="256" spans="1:36" x14ac:dyDescent="0.35">
      <c r="A256" s="17" t="s">
        <v>46</v>
      </c>
      <c r="B256" s="17" t="s">
        <v>47</v>
      </c>
      <c r="C256" s="17" t="s">
        <v>533</v>
      </c>
      <c r="D256" s="17" t="s">
        <v>126</v>
      </c>
      <c r="E256" s="19" t="s">
        <v>549</v>
      </c>
      <c r="F256" s="28">
        <v>154.59</v>
      </c>
      <c r="G256" s="28"/>
      <c r="H256" s="19">
        <v>0</v>
      </c>
      <c r="I256" s="28"/>
      <c r="J256" s="28"/>
      <c r="K256" s="28"/>
      <c r="L256" s="21"/>
      <c r="M256" s="28"/>
      <c r="N256" s="22"/>
      <c r="O256" s="28">
        <v>0</v>
      </c>
      <c r="P256" s="28">
        <v>154.59</v>
      </c>
      <c r="Q256" s="23"/>
      <c r="R256" s="23"/>
      <c r="S256" s="24"/>
      <c r="T256" s="24"/>
      <c r="U256" s="24"/>
      <c r="V256" s="28"/>
      <c r="W256" s="28"/>
      <c r="X256" s="24"/>
      <c r="Y256" s="28"/>
      <c r="Z256" s="24"/>
      <c r="AA256" s="24"/>
      <c r="AB256" s="24"/>
      <c r="AC256" s="24"/>
      <c r="AD256" s="24"/>
      <c r="AE256" s="24" t="s">
        <v>51</v>
      </c>
      <c r="AF256" s="24"/>
      <c r="AG256" s="24"/>
      <c r="AH256" s="24"/>
      <c r="AI256" s="24"/>
      <c r="AJ256" s="24"/>
    </row>
    <row r="257" spans="1:36" x14ac:dyDescent="0.35">
      <c r="A257" s="17" t="s">
        <v>46</v>
      </c>
      <c r="B257" s="17" t="s">
        <v>47</v>
      </c>
      <c r="C257" s="17" t="s">
        <v>533</v>
      </c>
      <c r="D257" s="17" t="s">
        <v>550</v>
      </c>
      <c r="E257" s="19" t="s">
        <v>551</v>
      </c>
      <c r="F257" s="20">
        <v>815</v>
      </c>
      <c r="G257" s="20">
        <v>15</v>
      </c>
      <c r="H257" s="19">
        <v>69</v>
      </c>
      <c r="I257" s="20">
        <v>39</v>
      </c>
      <c r="J257" s="20">
        <v>30</v>
      </c>
      <c r="K257" s="20">
        <v>0</v>
      </c>
      <c r="L257" s="21">
        <f>K257/H257</f>
        <v>0</v>
      </c>
      <c r="M257" s="20">
        <v>66</v>
      </c>
      <c r="N257" s="22">
        <f>M257/H257</f>
        <v>0.95652173913043481</v>
      </c>
      <c r="O257" s="20">
        <v>3.72</v>
      </c>
      <c r="P257" s="20">
        <v>787.1</v>
      </c>
      <c r="Q257" s="23"/>
      <c r="R257" s="23"/>
      <c r="S257" s="24"/>
      <c r="T257" s="24"/>
      <c r="U257" s="24"/>
      <c r="V257" s="20"/>
      <c r="W257" s="20"/>
      <c r="X257" s="24" t="s">
        <v>51</v>
      </c>
      <c r="Y257" s="20"/>
      <c r="Z257" s="24"/>
      <c r="AA257" s="24"/>
      <c r="AB257" s="24"/>
      <c r="AC257" s="24"/>
      <c r="AD257" s="24"/>
      <c r="AE257" s="24" t="s">
        <v>51</v>
      </c>
      <c r="AF257" s="24"/>
      <c r="AG257" s="24"/>
      <c r="AH257" s="24"/>
      <c r="AI257" s="24"/>
      <c r="AJ257" s="25" t="s">
        <v>51</v>
      </c>
    </row>
    <row r="258" spans="1:36" x14ac:dyDescent="0.35">
      <c r="A258" s="17" t="s">
        <v>46</v>
      </c>
      <c r="B258" s="17" t="s">
        <v>47</v>
      </c>
      <c r="C258" s="17" t="s">
        <v>533</v>
      </c>
      <c r="D258" s="17" t="s">
        <v>552</v>
      </c>
      <c r="E258" s="19" t="s">
        <v>553</v>
      </c>
      <c r="F258" s="20">
        <v>911.41</v>
      </c>
      <c r="G258" s="20">
        <v>8</v>
      </c>
      <c r="H258" s="19">
        <v>41</v>
      </c>
      <c r="I258" s="20">
        <v>22</v>
      </c>
      <c r="J258" s="20">
        <v>19</v>
      </c>
      <c r="K258" s="20">
        <v>0</v>
      </c>
      <c r="L258" s="21">
        <f>K258/H258</f>
        <v>0</v>
      </c>
      <c r="M258" s="20">
        <v>1</v>
      </c>
      <c r="N258" s="22">
        <f>M258/H258</f>
        <v>2.4390243902439025E-2</v>
      </c>
      <c r="O258" s="20">
        <v>9.7100000000000009</v>
      </c>
      <c r="P258" s="20">
        <v>717.09</v>
      </c>
      <c r="Q258" s="23"/>
      <c r="R258" s="23"/>
      <c r="S258" s="24"/>
      <c r="T258" s="24"/>
      <c r="U258" s="24"/>
      <c r="V258" s="20"/>
      <c r="W258" s="20"/>
      <c r="X258" s="24"/>
      <c r="Y258" s="20"/>
      <c r="Z258" s="24"/>
      <c r="AA258" s="24"/>
      <c r="AB258" s="24"/>
      <c r="AC258" s="24"/>
      <c r="AD258" s="24"/>
      <c r="AE258" s="24" t="s">
        <v>51</v>
      </c>
      <c r="AF258" s="24"/>
      <c r="AG258" s="24"/>
      <c r="AH258" s="24"/>
      <c r="AI258" s="24"/>
      <c r="AJ258" s="24"/>
    </row>
    <row r="259" spans="1:36" x14ac:dyDescent="0.35">
      <c r="A259" s="17" t="s">
        <v>46</v>
      </c>
      <c r="B259" s="17" t="s">
        <v>47</v>
      </c>
      <c r="C259" s="17" t="s">
        <v>533</v>
      </c>
      <c r="D259" s="17" t="s">
        <v>554</v>
      </c>
      <c r="E259" s="19" t="s">
        <v>555</v>
      </c>
      <c r="F259" s="20">
        <v>281.82</v>
      </c>
      <c r="G259" s="20">
        <v>103</v>
      </c>
      <c r="H259" s="19">
        <v>445</v>
      </c>
      <c r="I259" s="20">
        <v>250</v>
      </c>
      <c r="J259" s="20">
        <v>195</v>
      </c>
      <c r="K259" s="20">
        <v>0</v>
      </c>
      <c r="L259" s="21">
        <f>K259/H259</f>
        <v>0</v>
      </c>
      <c r="M259" s="20">
        <v>439</v>
      </c>
      <c r="N259" s="22">
        <f>M259/H259</f>
        <v>0.98651685393258426</v>
      </c>
      <c r="O259" s="20">
        <v>23.12</v>
      </c>
      <c r="P259" s="20">
        <v>17.3</v>
      </c>
      <c r="Q259" s="23"/>
      <c r="R259" s="23"/>
      <c r="S259" s="24"/>
      <c r="T259" s="24"/>
      <c r="U259" s="24"/>
      <c r="V259" s="20"/>
      <c r="W259" s="20"/>
      <c r="X259" s="24" t="s">
        <v>51</v>
      </c>
      <c r="Y259" s="20"/>
      <c r="Z259" s="24"/>
      <c r="AA259" s="24"/>
      <c r="AB259" s="24"/>
      <c r="AC259" s="24"/>
      <c r="AD259" s="24"/>
      <c r="AE259" s="24" t="s">
        <v>51</v>
      </c>
      <c r="AF259" s="24"/>
      <c r="AG259" s="24"/>
      <c r="AH259" s="24"/>
      <c r="AI259" s="24"/>
      <c r="AJ259" s="25" t="s">
        <v>51</v>
      </c>
    </row>
    <row r="260" spans="1:36" x14ac:dyDescent="0.35">
      <c r="A260" s="17" t="s">
        <v>46</v>
      </c>
      <c r="B260" s="17" t="s">
        <v>47</v>
      </c>
      <c r="C260" s="17" t="s">
        <v>533</v>
      </c>
      <c r="D260" s="17" t="s">
        <v>556</v>
      </c>
      <c r="E260" s="19" t="s">
        <v>557</v>
      </c>
      <c r="F260" s="28">
        <v>205.78</v>
      </c>
      <c r="G260" s="28"/>
      <c r="H260" s="19">
        <v>0</v>
      </c>
      <c r="I260" s="28"/>
      <c r="J260" s="28"/>
      <c r="K260" s="28"/>
      <c r="L260" s="21"/>
      <c r="M260" s="28"/>
      <c r="N260" s="22"/>
      <c r="O260" s="28">
        <v>0</v>
      </c>
      <c r="P260" s="28">
        <v>198.2</v>
      </c>
      <c r="Q260" s="23"/>
      <c r="R260" s="37"/>
      <c r="S260" s="24"/>
      <c r="T260" s="24"/>
      <c r="U260" s="24"/>
      <c r="V260" s="28"/>
      <c r="W260" s="28"/>
      <c r="X260" s="24"/>
      <c r="Y260" s="28"/>
      <c r="Z260" s="24"/>
      <c r="AA260" s="24"/>
      <c r="AB260" s="24"/>
      <c r="AC260" s="24"/>
      <c r="AD260" s="24"/>
      <c r="AE260" s="24" t="s">
        <v>51</v>
      </c>
      <c r="AF260" s="24"/>
      <c r="AG260" s="24"/>
      <c r="AH260" s="24"/>
      <c r="AI260" s="24"/>
      <c r="AJ260" s="24"/>
    </row>
  </sheetData>
  <autoFilter ref="A2:ALY260">
    <filterColumn colId="33" showButton="0"/>
  </autoFilter>
  <mergeCells count="1">
    <mergeCell ref="AH2:AI2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78"/>
  <sheetViews>
    <sheetView zoomScale="75" zoomScaleNormal="75" workbookViewId="0">
      <pane xSplit="5" ySplit="1" topLeftCell="M2" activePane="bottomRight" state="frozen"/>
      <selection pane="topRight" activeCell="O1" sqref="O1"/>
      <selection pane="bottomLeft" activeCell="A2" sqref="A2"/>
      <selection pane="bottomRight" activeCell="AC3" sqref="AC3"/>
    </sheetView>
  </sheetViews>
  <sheetFormatPr defaultColWidth="9.1796875" defaultRowHeight="14.5" x14ac:dyDescent="0.35"/>
  <cols>
    <col min="3" max="3" width="15.453125" customWidth="1"/>
    <col min="4" max="4" width="12.81640625" customWidth="1"/>
    <col min="19" max="19" width="11.90625" customWidth="1"/>
    <col min="20" max="20" width="12.54296875" customWidth="1"/>
    <col min="22" max="22" width="11.90625" customWidth="1"/>
  </cols>
  <sheetData>
    <row r="1" spans="1:35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4"/>
      <c r="P1" s="4"/>
      <c r="Q1" s="38" t="s">
        <v>0</v>
      </c>
      <c r="R1" s="38" t="s">
        <v>0</v>
      </c>
      <c r="S1" s="38" t="s">
        <v>0</v>
      </c>
      <c r="T1" s="39" t="s">
        <v>0</v>
      </c>
      <c r="U1" s="39" t="s">
        <v>0</v>
      </c>
      <c r="V1" s="38" t="s">
        <v>1</v>
      </c>
      <c r="W1" s="38" t="s">
        <v>1</v>
      </c>
      <c r="X1" s="38" t="s">
        <v>1</v>
      </c>
      <c r="Y1" s="38" t="s">
        <v>1</v>
      </c>
      <c r="Z1" s="38" t="s">
        <v>1</v>
      </c>
      <c r="AA1" s="38" t="s">
        <v>1</v>
      </c>
      <c r="AB1" s="38" t="s">
        <v>2</v>
      </c>
      <c r="AC1" s="40" t="s">
        <v>3</v>
      </c>
      <c r="AD1" s="41" t="s">
        <v>3</v>
      </c>
      <c r="AE1" s="40" t="s">
        <v>3</v>
      </c>
      <c r="AF1" s="40" t="s">
        <v>3</v>
      </c>
      <c r="AG1" s="40" t="s">
        <v>3</v>
      </c>
      <c r="AH1" s="40" t="s">
        <v>3</v>
      </c>
      <c r="AI1" s="40" t="s">
        <v>3</v>
      </c>
    </row>
    <row r="2" spans="1:35" ht="126.25" customHeight="1" x14ac:dyDescent="0.3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5" t="s">
        <v>14</v>
      </c>
      <c r="L2" s="5"/>
      <c r="M2" s="5" t="s">
        <v>15</v>
      </c>
      <c r="N2" s="5"/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2" t="s">
        <v>21</v>
      </c>
      <c r="U2" s="42" t="s">
        <v>22</v>
      </c>
      <c r="V2" s="11" t="s">
        <v>23</v>
      </c>
      <c r="W2" s="4" t="s">
        <v>24</v>
      </c>
      <c r="X2" s="11" t="s">
        <v>25</v>
      </c>
      <c r="Y2" s="4" t="s">
        <v>26</v>
      </c>
      <c r="Z2" s="4" t="s">
        <v>27</v>
      </c>
      <c r="AA2" s="11" t="s">
        <v>28</v>
      </c>
      <c r="AB2" s="43" t="s">
        <v>29</v>
      </c>
      <c r="AC2" s="11" t="s">
        <v>30</v>
      </c>
      <c r="AD2" s="43" t="s">
        <v>31</v>
      </c>
      <c r="AE2" s="11" t="s">
        <v>32</v>
      </c>
      <c r="AF2" s="11" t="s">
        <v>33</v>
      </c>
      <c r="AG2" s="11" t="s">
        <v>34</v>
      </c>
      <c r="AH2" s="1" t="s">
        <v>35</v>
      </c>
      <c r="AI2" s="1"/>
    </row>
    <row r="3" spans="1:35" ht="26" x14ac:dyDescent="0.35">
      <c r="A3" s="17"/>
      <c r="B3" s="17"/>
      <c r="C3" s="5"/>
      <c r="D3" s="5"/>
      <c r="E3" s="5"/>
      <c r="F3" s="5" t="s">
        <v>37</v>
      </c>
      <c r="G3" s="5" t="s">
        <v>38</v>
      </c>
      <c r="H3" s="5" t="s">
        <v>38</v>
      </c>
      <c r="I3" s="5" t="s">
        <v>38</v>
      </c>
      <c r="J3" s="5" t="s">
        <v>38</v>
      </c>
      <c r="K3" s="5" t="s">
        <v>38</v>
      </c>
      <c r="L3" s="5" t="s">
        <v>39</v>
      </c>
      <c r="M3" s="5"/>
      <c r="N3" s="5" t="s">
        <v>39</v>
      </c>
      <c r="O3" s="5" t="s">
        <v>37</v>
      </c>
      <c r="P3" s="5" t="s">
        <v>37</v>
      </c>
      <c r="Q3" s="5" t="s">
        <v>40</v>
      </c>
      <c r="R3" s="5" t="s">
        <v>41</v>
      </c>
      <c r="S3" s="5" t="s">
        <v>37</v>
      </c>
      <c r="T3" s="44"/>
      <c r="U3" s="44"/>
      <c r="V3" s="5" t="s">
        <v>37</v>
      </c>
      <c r="W3" s="5" t="s">
        <v>37</v>
      </c>
      <c r="X3" s="5" t="s">
        <v>40</v>
      </c>
      <c r="Y3" s="5" t="s">
        <v>40</v>
      </c>
      <c r="Z3" s="5" t="s">
        <v>40</v>
      </c>
      <c r="AA3" s="5" t="s">
        <v>37</v>
      </c>
      <c r="AB3" s="45" t="s">
        <v>42</v>
      </c>
      <c r="AC3" s="5" t="s">
        <v>40</v>
      </c>
      <c r="AD3" s="45" t="s">
        <v>40</v>
      </c>
      <c r="AE3" s="5" t="s">
        <v>40</v>
      </c>
      <c r="AF3" s="5" t="s">
        <v>37</v>
      </c>
      <c r="AG3" s="5" t="s">
        <v>43</v>
      </c>
      <c r="AH3" s="5" t="s">
        <v>44</v>
      </c>
      <c r="AI3" s="5" t="s">
        <v>45</v>
      </c>
    </row>
    <row r="4" spans="1:35" x14ac:dyDescent="0.35">
      <c r="A4" s="17" t="s">
        <v>46</v>
      </c>
      <c r="B4" s="17" t="s">
        <v>558</v>
      </c>
      <c r="C4" s="28" t="s">
        <v>559</v>
      </c>
      <c r="D4" s="17" t="s">
        <v>560</v>
      </c>
      <c r="E4" s="17" t="s">
        <v>561</v>
      </c>
      <c r="F4" s="20">
        <v>114.13</v>
      </c>
      <c r="G4" s="20">
        <v>40</v>
      </c>
      <c r="H4" s="19">
        <v>176</v>
      </c>
      <c r="I4" s="20">
        <v>100</v>
      </c>
      <c r="J4" s="20">
        <v>76</v>
      </c>
      <c r="K4" s="20">
        <v>0</v>
      </c>
      <c r="L4" s="44"/>
      <c r="M4" s="20">
        <v>0</v>
      </c>
      <c r="N4" s="44"/>
      <c r="O4" s="46">
        <v>10.31</v>
      </c>
      <c r="P4" s="46">
        <v>0</v>
      </c>
      <c r="Q4" s="44" t="s">
        <v>562</v>
      </c>
      <c r="R4" s="44"/>
      <c r="S4" s="44"/>
      <c r="T4" s="44"/>
      <c r="U4" s="44"/>
      <c r="V4" s="44"/>
      <c r="W4" s="44"/>
      <c r="X4" s="44" t="s">
        <v>562</v>
      </c>
      <c r="Y4" s="44"/>
      <c r="Z4" s="44"/>
      <c r="AA4" s="44"/>
      <c r="AB4" s="44"/>
      <c r="AC4" s="44" t="s">
        <v>562</v>
      </c>
      <c r="AD4" s="44"/>
      <c r="AE4" s="44"/>
      <c r="AF4" s="44"/>
      <c r="AG4" s="44"/>
      <c r="AH4" s="44"/>
      <c r="AI4" s="44"/>
    </row>
    <row r="5" spans="1:35" x14ac:dyDescent="0.35">
      <c r="A5" s="17" t="s">
        <v>46</v>
      </c>
      <c r="B5" s="17" t="s">
        <v>558</v>
      </c>
      <c r="C5" s="28" t="s">
        <v>559</v>
      </c>
      <c r="D5" s="17" t="s">
        <v>563</v>
      </c>
      <c r="E5" s="17" t="s">
        <v>564</v>
      </c>
      <c r="F5" s="20">
        <v>1019.8</v>
      </c>
      <c r="G5" s="20">
        <v>300</v>
      </c>
      <c r="H5" s="19">
        <v>1326</v>
      </c>
      <c r="I5" s="20">
        <v>664</v>
      </c>
      <c r="J5" s="20">
        <v>662</v>
      </c>
      <c r="K5" s="20">
        <v>293</v>
      </c>
      <c r="L5" s="44"/>
      <c r="M5" s="20">
        <v>46</v>
      </c>
      <c r="N5" s="44"/>
      <c r="O5" s="46">
        <v>87.1</v>
      </c>
      <c r="P5" s="46">
        <v>0</v>
      </c>
      <c r="Q5" s="44" t="s">
        <v>562</v>
      </c>
      <c r="R5" s="44"/>
      <c r="S5" s="44"/>
      <c r="T5" s="44"/>
      <c r="U5" s="44"/>
      <c r="V5" s="44"/>
      <c r="W5" s="44"/>
      <c r="X5" s="44" t="s">
        <v>562</v>
      </c>
      <c r="Y5" s="44"/>
      <c r="Z5" s="44"/>
      <c r="AA5" s="44"/>
      <c r="AB5" s="44"/>
      <c r="AC5" s="44" t="s">
        <v>562</v>
      </c>
      <c r="AD5" s="44"/>
      <c r="AE5" s="44"/>
      <c r="AF5" s="44"/>
      <c r="AG5" s="44"/>
      <c r="AH5" s="44"/>
      <c r="AI5" s="44"/>
    </row>
    <row r="6" spans="1:35" x14ac:dyDescent="0.35">
      <c r="A6" s="17" t="s">
        <v>46</v>
      </c>
      <c r="B6" s="17" t="s">
        <v>558</v>
      </c>
      <c r="C6" s="28" t="s">
        <v>559</v>
      </c>
      <c r="D6" s="17" t="s">
        <v>565</v>
      </c>
      <c r="E6" s="17" t="s">
        <v>566</v>
      </c>
      <c r="F6" s="20">
        <v>321.38</v>
      </c>
      <c r="G6" s="20">
        <v>100</v>
      </c>
      <c r="H6" s="19">
        <v>466</v>
      </c>
      <c r="I6" s="20">
        <v>236</v>
      </c>
      <c r="J6" s="20">
        <v>230</v>
      </c>
      <c r="K6" s="20">
        <v>226</v>
      </c>
      <c r="L6" s="44"/>
      <c r="M6" s="20">
        <v>0</v>
      </c>
      <c r="N6" s="44"/>
      <c r="O6" s="46">
        <v>25.04</v>
      </c>
      <c r="P6" s="46">
        <v>0</v>
      </c>
      <c r="Q6" s="44" t="s">
        <v>562</v>
      </c>
      <c r="R6" s="44"/>
      <c r="S6" s="44"/>
      <c r="T6" s="44"/>
      <c r="U6" s="44"/>
      <c r="V6" s="44"/>
      <c r="W6" s="44"/>
      <c r="X6" s="44" t="s">
        <v>562</v>
      </c>
      <c r="Y6" s="44"/>
      <c r="Z6" s="44"/>
      <c r="AA6" s="44"/>
      <c r="AB6" s="44"/>
      <c r="AC6" s="44" t="s">
        <v>562</v>
      </c>
      <c r="AD6" s="44"/>
      <c r="AE6" s="44"/>
      <c r="AF6" s="44"/>
      <c r="AG6" s="44"/>
      <c r="AH6" s="44"/>
      <c r="AI6" s="44"/>
    </row>
    <row r="7" spans="1:35" x14ac:dyDescent="0.35">
      <c r="A7" s="17" t="s">
        <v>46</v>
      </c>
      <c r="B7" s="17" t="s">
        <v>558</v>
      </c>
      <c r="C7" s="28" t="s">
        <v>559</v>
      </c>
      <c r="D7" s="17" t="s">
        <v>567</v>
      </c>
      <c r="E7" s="17" t="s">
        <v>568</v>
      </c>
      <c r="F7" s="20">
        <v>517.49</v>
      </c>
      <c r="G7" s="20">
        <v>178</v>
      </c>
      <c r="H7" s="19">
        <v>833</v>
      </c>
      <c r="I7" s="20">
        <v>435</v>
      </c>
      <c r="J7" s="20">
        <v>398</v>
      </c>
      <c r="K7" s="20">
        <v>191</v>
      </c>
      <c r="L7" s="44"/>
      <c r="M7" s="20">
        <v>0</v>
      </c>
      <c r="N7" s="44"/>
      <c r="O7" s="46">
        <v>101.67</v>
      </c>
      <c r="P7" s="46">
        <v>0</v>
      </c>
      <c r="Q7" s="44" t="s">
        <v>562</v>
      </c>
      <c r="R7" s="44"/>
      <c r="S7" s="44"/>
      <c r="T7" s="44"/>
      <c r="U7" s="44"/>
      <c r="V7" s="44"/>
      <c r="W7" s="44"/>
      <c r="X7" s="44" t="s">
        <v>562</v>
      </c>
      <c r="Y7" s="44"/>
      <c r="Z7" s="44"/>
      <c r="AA7" s="44"/>
      <c r="AB7" s="44"/>
      <c r="AC7" s="44" t="s">
        <v>562</v>
      </c>
      <c r="AD7" s="44"/>
      <c r="AE7" s="44"/>
      <c r="AF7" s="44"/>
      <c r="AG7" s="44"/>
      <c r="AH7" s="44"/>
      <c r="AI7" s="44"/>
    </row>
    <row r="8" spans="1:35" x14ac:dyDescent="0.35">
      <c r="A8" s="17" t="s">
        <v>46</v>
      </c>
      <c r="B8" s="17" t="s">
        <v>558</v>
      </c>
      <c r="C8" s="28" t="s">
        <v>559</v>
      </c>
      <c r="D8" s="17" t="s">
        <v>569</v>
      </c>
      <c r="E8" s="17" t="s">
        <v>570</v>
      </c>
      <c r="F8" s="20">
        <v>386.66</v>
      </c>
      <c r="G8" s="20">
        <v>102</v>
      </c>
      <c r="H8" s="19">
        <v>475</v>
      </c>
      <c r="I8" s="20">
        <v>226</v>
      </c>
      <c r="J8" s="20">
        <v>249</v>
      </c>
      <c r="K8" s="20">
        <v>316</v>
      </c>
      <c r="L8" s="44"/>
      <c r="M8" s="20">
        <v>0</v>
      </c>
      <c r="N8" s="44"/>
      <c r="O8" s="46">
        <v>40.549999999999997</v>
      </c>
      <c r="P8" s="46">
        <v>0</v>
      </c>
      <c r="Q8" s="44" t="s">
        <v>562</v>
      </c>
      <c r="R8" s="44"/>
      <c r="S8" s="44"/>
      <c r="T8" s="44"/>
      <c r="U8" s="44"/>
      <c r="V8" s="44"/>
      <c r="W8" s="44"/>
      <c r="X8" s="44" t="s">
        <v>562</v>
      </c>
      <c r="Y8" s="44"/>
      <c r="Z8" s="44"/>
      <c r="AA8" s="44"/>
      <c r="AB8" s="44"/>
      <c r="AC8" s="44" t="s">
        <v>562</v>
      </c>
      <c r="AD8" s="44"/>
      <c r="AE8" s="44"/>
      <c r="AF8" s="44"/>
      <c r="AG8" s="44"/>
      <c r="AH8" s="44"/>
      <c r="AI8" s="44"/>
    </row>
    <row r="9" spans="1:35" x14ac:dyDescent="0.35">
      <c r="A9" s="17" t="s">
        <v>46</v>
      </c>
      <c r="B9" s="17" t="s">
        <v>558</v>
      </c>
      <c r="C9" s="28" t="s">
        <v>571</v>
      </c>
      <c r="D9" s="17" t="s">
        <v>572</v>
      </c>
      <c r="E9" s="17" t="s">
        <v>573</v>
      </c>
      <c r="F9" s="20">
        <v>317.58999999999997</v>
      </c>
      <c r="G9" s="20">
        <v>186</v>
      </c>
      <c r="H9" s="19">
        <v>822</v>
      </c>
      <c r="I9" s="20">
        <v>435</v>
      </c>
      <c r="J9" s="20">
        <v>387</v>
      </c>
      <c r="K9" s="20">
        <v>299</v>
      </c>
      <c r="L9" s="44"/>
      <c r="M9" s="20">
        <v>12</v>
      </c>
      <c r="N9" s="44"/>
      <c r="O9" s="46">
        <v>32.76</v>
      </c>
      <c r="P9" s="46">
        <v>0</v>
      </c>
      <c r="Q9" s="44" t="s">
        <v>562</v>
      </c>
      <c r="R9" s="44"/>
      <c r="S9" s="44"/>
      <c r="T9" s="44"/>
      <c r="U9" s="44"/>
      <c r="V9" s="44"/>
      <c r="W9" s="44"/>
      <c r="X9" s="44" t="s">
        <v>562</v>
      </c>
      <c r="Y9" s="44"/>
      <c r="Z9" s="44"/>
      <c r="AA9" s="44"/>
      <c r="AB9" s="44"/>
      <c r="AC9" s="44" t="s">
        <v>562</v>
      </c>
      <c r="AD9" s="44"/>
      <c r="AE9" s="44"/>
      <c r="AF9" s="44"/>
      <c r="AG9" s="44"/>
      <c r="AH9" s="44"/>
      <c r="AI9" s="44"/>
    </row>
    <row r="10" spans="1:35" x14ac:dyDescent="0.35">
      <c r="A10" s="17" t="s">
        <v>46</v>
      </c>
      <c r="B10" s="17" t="s">
        <v>558</v>
      </c>
      <c r="C10" s="28" t="s">
        <v>574</v>
      </c>
      <c r="D10" s="17" t="s">
        <v>575</v>
      </c>
      <c r="E10" s="17" t="s">
        <v>576</v>
      </c>
      <c r="F10" s="28">
        <v>60.66</v>
      </c>
      <c r="G10" s="47"/>
      <c r="H10" s="19">
        <v>0</v>
      </c>
      <c r="I10" s="47"/>
      <c r="J10" s="47"/>
      <c r="K10" s="47"/>
      <c r="L10" s="44"/>
      <c r="M10" s="47"/>
      <c r="N10" s="44"/>
      <c r="O10" s="48">
        <v>0</v>
      </c>
      <c r="P10" s="48">
        <v>0</v>
      </c>
      <c r="Q10" s="44" t="s">
        <v>562</v>
      </c>
      <c r="R10" s="44"/>
      <c r="S10" s="44"/>
      <c r="T10" s="44"/>
      <c r="U10" s="44"/>
      <c r="V10" s="44"/>
      <c r="W10" s="44"/>
      <c r="X10" s="44" t="s">
        <v>562</v>
      </c>
      <c r="Y10" s="44"/>
      <c r="Z10" s="44"/>
      <c r="AA10" s="44"/>
      <c r="AB10" s="44"/>
      <c r="AC10" s="44" t="s">
        <v>562</v>
      </c>
      <c r="AD10" s="44"/>
      <c r="AE10" s="44"/>
      <c r="AF10" s="44"/>
      <c r="AG10" s="44"/>
      <c r="AH10" s="44"/>
      <c r="AI10" s="44"/>
    </row>
    <row r="11" spans="1:35" x14ac:dyDescent="0.35">
      <c r="A11" s="17" t="s">
        <v>46</v>
      </c>
      <c r="B11" s="17" t="s">
        <v>558</v>
      </c>
      <c r="C11" s="28" t="s">
        <v>574</v>
      </c>
      <c r="D11" s="17" t="s">
        <v>577</v>
      </c>
      <c r="E11" s="17" t="s">
        <v>578</v>
      </c>
      <c r="F11" s="20">
        <v>182.03</v>
      </c>
      <c r="G11" s="20">
        <v>28</v>
      </c>
      <c r="H11" s="19">
        <v>123</v>
      </c>
      <c r="I11" s="20">
        <v>65</v>
      </c>
      <c r="J11" s="20">
        <v>58</v>
      </c>
      <c r="K11" s="20">
        <v>8</v>
      </c>
      <c r="L11" s="44"/>
      <c r="M11" s="20">
        <v>50</v>
      </c>
      <c r="N11" s="44"/>
      <c r="O11" s="46">
        <v>46.32</v>
      </c>
      <c r="P11" s="46">
        <v>0</v>
      </c>
      <c r="Q11" s="44" t="s">
        <v>562</v>
      </c>
      <c r="R11" s="44"/>
      <c r="S11" s="44"/>
      <c r="T11" s="44"/>
      <c r="U11" s="44"/>
      <c r="V11" s="44"/>
      <c r="W11" s="44"/>
      <c r="X11" s="44" t="s">
        <v>562</v>
      </c>
      <c r="Y11" s="44"/>
      <c r="Z11" s="44"/>
      <c r="AA11" s="44"/>
      <c r="AB11" s="44"/>
      <c r="AC11" s="44" t="s">
        <v>562</v>
      </c>
      <c r="AD11" s="44"/>
      <c r="AE11" s="44"/>
      <c r="AF11" s="44"/>
      <c r="AG11" s="44"/>
      <c r="AH11" s="44"/>
      <c r="AI11" s="44"/>
    </row>
    <row r="12" spans="1:35" x14ac:dyDescent="0.35">
      <c r="A12" s="17" t="s">
        <v>46</v>
      </c>
      <c r="B12" s="17" t="s">
        <v>558</v>
      </c>
      <c r="C12" s="28" t="s">
        <v>574</v>
      </c>
      <c r="D12" s="17" t="s">
        <v>579</v>
      </c>
      <c r="E12" s="17" t="s">
        <v>580</v>
      </c>
      <c r="F12" s="20">
        <v>181.78</v>
      </c>
      <c r="G12" s="20">
        <v>43</v>
      </c>
      <c r="H12" s="19">
        <v>236</v>
      </c>
      <c r="I12" s="20">
        <v>119</v>
      </c>
      <c r="J12" s="20">
        <v>117</v>
      </c>
      <c r="K12" s="20">
        <v>71</v>
      </c>
      <c r="L12" s="44"/>
      <c r="M12" s="20">
        <v>52</v>
      </c>
      <c r="N12" s="44"/>
      <c r="O12" s="46">
        <v>15.85</v>
      </c>
      <c r="P12" s="46">
        <v>0</v>
      </c>
      <c r="Q12" s="44" t="s">
        <v>562</v>
      </c>
      <c r="R12" s="44"/>
      <c r="S12" s="44"/>
      <c r="T12" s="44"/>
      <c r="U12" s="44"/>
      <c r="V12" s="44"/>
      <c r="W12" s="44"/>
      <c r="X12" s="44" t="s">
        <v>562</v>
      </c>
      <c r="Y12" s="44"/>
      <c r="Z12" s="44"/>
      <c r="AA12" s="44"/>
      <c r="AB12" s="44"/>
      <c r="AC12" s="44" t="s">
        <v>562</v>
      </c>
      <c r="AD12" s="44"/>
      <c r="AE12" s="44"/>
      <c r="AF12" s="44"/>
      <c r="AG12" s="44"/>
      <c r="AH12" s="44"/>
      <c r="AI12" s="44"/>
    </row>
    <row r="13" spans="1:35" x14ac:dyDescent="0.35">
      <c r="A13" s="17" t="s">
        <v>46</v>
      </c>
      <c r="B13" s="17" t="s">
        <v>558</v>
      </c>
      <c r="C13" s="28" t="s">
        <v>574</v>
      </c>
      <c r="D13" s="17" t="s">
        <v>501</v>
      </c>
      <c r="E13" s="17" t="s">
        <v>581</v>
      </c>
      <c r="F13" s="20">
        <v>468.79</v>
      </c>
      <c r="G13" s="20">
        <v>231</v>
      </c>
      <c r="H13" s="19">
        <v>1102</v>
      </c>
      <c r="I13" s="20">
        <v>557</v>
      </c>
      <c r="J13" s="20">
        <v>545</v>
      </c>
      <c r="K13" s="20">
        <v>273</v>
      </c>
      <c r="L13" s="44"/>
      <c r="M13" s="20">
        <v>158</v>
      </c>
      <c r="N13" s="44"/>
      <c r="O13" s="46">
        <v>50.42</v>
      </c>
      <c r="P13" s="46">
        <v>0</v>
      </c>
      <c r="Q13" s="44" t="s">
        <v>562</v>
      </c>
      <c r="R13" s="44"/>
      <c r="S13" s="44"/>
      <c r="T13" s="44"/>
      <c r="U13" s="44"/>
      <c r="V13" s="44"/>
      <c r="W13" s="44"/>
      <c r="X13" s="44" t="s">
        <v>562</v>
      </c>
      <c r="Y13" s="44"/>
      <c r="Z13" s="44"/>
      <c r="AA13" s="44"/>
      <c r="AB13" s="44"/>
      <c r="AC13" s="44" t="s">
        <v>562</v>
      </c>
      <c r="AD13" s="44"/>
      <c r="AE13" s="44"/>
      <c r="AF13" s="44"/>
      <c r="AG13" s="44"/>
      <c r="AH13" s="44"/>
      <c r="AI13" s="44"/>
    </row>
    <row r="14" spans="1:35" x14ac:dyDescent="0.35">
      <c r="A14" s="17" t="s">
        <v>46</v>
      </c>
      <c r="B14" s="17" t="s">
        <v>558</v>
      </c>
      <c r="C14" s="28" t="s">
        <v>574</v>
      </c>
      <c r="D14" s="17" t="s">
        <v>582</v>
      </c>
      <c r="E14" s="17" t="s">
        <v>583</v>
      </c>
      <c r="F14" s="20">
        <v>509.41</v>
      </c>
      <c r="G14" s="20">
        <v>182</v>
      </c>
      <c r="H14" s="19">
        <v>894</v>
      </c>
      <c r="I14" s="20">
        <v>453</v>
      </c>
      <c r="J14" s="20">
        <v>441</v>
      </c>
      <c r="K14" s="20">
        <v>107</v>
      </c>
      <c r="L14" s="44"/>
      <c r="M14" s="20">
        <v>160</v>
      </c>
      <c r="N14" s="44"/>
      <c r="O14" s="46">
        <v>57.85</v>
      </c>
      <c r="P14" s="46">
        <v>0</v>
      </c>
      <c r="Q14" s="44" t="s">
        <v>562</v>
      </c>
      <c r="R14" s="44"/>
      <c r="S14" s="44"/>
      <c r="T14" s="44"/>
      <c r="U14" s="44"/>
      <c r="V14" s="44"/>
      <c r="W14" s="44"/>
      <c r="X14" s="44" t="s">
        <v>562</v>
      </c>
      <c r="Y14" s="44"/>
      <c r="Z14" s="44"/>
      <c r="AA14" s="44"/>
      <c r="AB14" s="44"/>
      <c r="AC14" s="44" t="s">
        <v>562</v>
      </c>
      <c r="AD14" s="44"/>
      <c r="AE14" s="44"/>
      <c r="AF14" s="44"/>
      <c r="AG14" s="44"/>
      <c r="AH14" s="44"/>
      <c r="AI14" s="44"/>
    </row>
    <row r="15" spans="1:35" x14ac:dyDescent="0.35">
      <c r="A15" s="17" t="s">
        <v>46</v>
      </c>
      <c r="B15" s="17" t="s">
        <v>558</v>
      </c>
      <c r="C15" s="28" t="s">
        <v>574</v>
      </c>
      <c r="D15" s="17" t="s">
        <v>584</v>
      </c>
      <c r="E15" s="17" t="s">
        <v>585</v>
      </c>
      <c r="F15" s="20">
        <v>720.68</v>
      </c>
      <c r="G15" s="20">
        <v>331</v>
      </c>
      <c r="H15" s="19">
        <v>1476</v>
      </c>
      <c r="I15" s="20">
        <v>752</v>
      </c>
      <c r="J15" s="20">
        <v>724</v>
      </c>
      <c r="K15" s="20">
        <v>254</v>
      </c>
      <c r="L15" s="44"/>
      <c r="M15" s="20">
        <v>117</v>
      </c>
      <c r="N15" s="44"/>
      <c r="O15" s="46">
        <v>89.53</v>
      </c>
      <c r="P15" s="46">
        <v>0</v>
      </c>
      <c r="Q15" s="44" t="s">
        <v>562</v>
      </c>
      <c r="R15" s="44"/>
      <c r="S15" s="44"/>
      <c r="T15" s="44"/>
      <c r="U15" s="44"/>
      <c r="V15" s="44"/>
      <c r="W15" s="44"/>
      <c r="X15" s="44" t="s">
        <v>562</v>
      </c>
      <c r="Y15" s="44"/>
      <c r="Z15" s="44"/>
      <c r="AA15" s="44"/>
      <c r="AB15" s="44"/>
      <c r="AC15" s="44" t="s">
        <v>562</v>
      </c>
      <c r="AD15" s="44"/>
      <c r="AE15" s="44"/>
      <c r="AF15" s="44"/>
      <c r="AG15" s="44"/>
      <c r="AH15" s="44"/>
      <c r="AI15" s="44"/>
    </row>
    <row r="16" spans="1:35" x14ac:dyDescent="0.35">
      <c r="A16" s="17" t="s">
        <v>46</v>
      </c>
      <c r="B16" s="17" t="s">
        <v>558</v>
      </c>
      <c r="C16" s="28" t="s">
        <v>574</v>
      </c>
      <c r="D16" s="17" t="s">
        <v>586</v>
      </c>
      <c r="E16" s="17" t="s">
        <v>587</v>
      </c>
      <c r="F16" s="20">
        <v>221.92</v>
      </c>
      <c r="G16" s="20">
        <v>80</v>
      </c>
      <c r="H16" s="19">
        <v>324</v>
      </c>
      <c r="I16" s="20">
        <v>148</v>
      </c>
      <c r="J16" s="20">
        <v>176</v>
      </c>
      <c r="K16" s="20">
        <v>16</v>
      </c>
      <c r="L16" s="44"/>
      <c r="M16" s="20">
        <v>73</v>
      </c>
      <c r="N16" s="44"/>
      <c r="O16" s="46">
        <v>22.75</v>
      </c>
      <c r="P16" s="46">
        <v>0</v>
      </c>
      <c r="Q16" s="44" t="s">
        <v>562</v>
      </c>
      <c r="R16" s="44"/>
      <c r="S16" s="44"/>
      <c r="T16" s="44"/>
      <c r="U16" s="44"/>
      <c r="V16" s="44"/>
      <c r="W16" s="44"/>
      <c r="X16" s="44" t="s">
        <v>562</v>
      </c>
      <c r="Y16" s="44"/>
      <c r="Z16" s="44"/>
      <c r="AA16" s="44"/>
      <c r="AB16" s="44"/>
      <c r="AC16" s="44" t="s">
        <v>562</v>
      </c>
      <c r="AD16" s="44"/>
      <c r="AE16" s="44"/>
      <c r="AF16" s="44"/>
      <c r="AG16" s="44"/>
      <c r="AH16" s="44"/>
      <c r="AI16" s="44"/>
    </row>
    <row r="17" spans="1:35" x14ac:dyDescent="0.35">
      <c r="A17" s="17" t="s">
        <v>46</v>
      </c>
      <c r="B17" s="17" t="s">
        <v>558</v>
      </c>
      <c r="C17" s="28" t="s">
        <v>588</v>
      </c>
      <c r="D17" s="17" t="s">
        <v>589</v>
      </c>
      <c r="E17" s="17" t="s">
        <v>590</v>
      </c>
      <c r="F17" s="20">
        <v>671.84</v>
      </c>
      <c r="G17" s="20">
        <v>183</v>
      </c>
      <c r="H17" s="19">
        <v>842</v>
      </c>
      <c r="I17" s="20">
        <v>430</v>
      </c>
      <c r="J17" s="20">
        <v>412</v>
      </c>
      <c r="K17" s="20">
        <v>73</v>
      </c>
      <c r="L17" s="44"/>
      <c r="M17" s="20">
        <v>28</v>
      </c>
      <c r="N17" s="44"/>
      <c r="O17" s="46">
        <v>111.42</v>
      </c>
      <c r="P17" s="46">
        <v>0</v>
      </c>
      <c r="Q17" s="44" t="s">
        <v>51</v>
      </c>
      <c r="R17" s="44">
        <v>2020</v>
      </c>
      <c r="S17" s="44"/>
      <c r="T17" s="44"/>
      <c r="U17" s="44"/>
      <c r="V17" s="44"/>
      <c r="W17" s="44"/>
      <c r="X17" s="44" t="s">
        <v>51</v>
      </c>
      <c r="Y17" s="44"/>
      <c r="Z17" s="44"/>
      <c r="AA17" s="44"/>
      <c r="AB17" s="44"/>
      <c r="AC17" s="44" t="s">
        <v>51</v>
      </c>
      <c r="AD17" s="44"/>
      <c r="AE17" s="44"/>
      <c r="AF17" s="44"/>
      <c r="AG17" s="44"/>
      <c r="AH17" s="44"/>
      <c r="AI17" s="44"/>
    </row>
    <row r="18" spans="1:35" x14ac:dyDescent="0.35">
      <c r="A18" s="17" t="s">
        <v>46</v>
      </c>
      <c r="B18" s="17" t="s">
        <v>558</v>
      </c>
      <c r="C18" s="28" t="s">
        <v>588</v>
      </c>
      <c r="D18" s="17" t="s">
        <v>591</v>
      </c>
      <c r="E18" s="17" t="s">
        <v>592</v>
      </c>
      <c r="F18" s="20">
        <v>130.03</v>
      </c>
      <c r="G18" s="20">
        <v>31</v>
      </c>
      <c r="H18" s="19">
        <v>178</v>
      </c>
      <c r="I18" s="20">
        <v>85</v>
      </c>
      <c r="J18" s="20">
        <v>93</v>
      </c>
      <c r="K18" s="20">
        <v>59</v>
      </c>
      <c r="L18" s="44"/>
      <c r="M18" s="20">
        <v>36</v>
      </c>
      <c r="N18" s="44"/>
      <c r="O18" s="46">
        <v>7.64</v>
      </c>
      <c r="P18" s="46">
        <v>0</v>
      </c>
      <c r="Q18" s="44" t="s">
        <v>562</v>
      </c>
      <c r="R18" s="44"/>
      <c r="S18" s="44"/>
      <c r="T18" s="44"/>
      <c r="U18" s="44"/>
      <c r="V18" s="44"/>
      <c r="W18" s="44"/>
      <c r="X18" s="44" t="s">
        <v>562</v>
      </c>
      <c r="Y18" s="44"/>
      <c r="Z18" s="44"/>
      <c r="AA18" s="44"/>
      <c r="AB18" s="44"/>
      <c r="AC18" s="44" t="s">
        <v>562</v>
      </c>
      <c r="AD18" s="44"/>
      <c r="AE18" s="44"/>
      <c r="AF18" s="44"/>
      <c r="AG18" s="44"/>
      <c r="AH18" s="44"/>
      <c r="AI18" s="44"/>
    </row>
    <row r="19" spans="1:35" x14ac:dyDescent="0.35">
      <c r="A19" s="17" t="s">
        <v>46</v>
      </c>
      <c r="B19" s="17" t="s">
        <v>558</v>
      </c>
      <c r="C19" s="28" t="s">
        <v>588</v>
      </c>
      <c r="D19" s="17" t="s">
        <v>593</v>
      </c>
      <c r="E19" s="17" t="s">
        <v>594</v>
      </c>
      <c r="F19" s="20">
        <v>159.80000000000001</v>
      </c>
      <c r="G19" s="20">
        <v>91</v>
      </c>
      <c r="H19" s="19">
        <v>358</v>
      </c>
      <c r="I19" s="20">
        <v>193</v>
      </c>
      <c r="J19" s="20">
        <v>165</v>
      </c>
      <c r="K19" s="20">
        <v>75</v>
      </c>
      <c r="L19" s="44"/>
      <c r="M19" s="20">
        <v>28</v>
      </c>
      <c r="N19" s="44"/>
      <c r="O19" s="46">
        <v>28.9</v>
      </c>
      <c r="P19" s="46">
        <v>0</v>
      </c>
      <c r="Q19" s="44" t="s">
        <v>562</v>
      </c>
      <c r="R19" s="44"/>
      <c r="S19" s="44"/>
      <c r="T19" s="44"/>
      <c r="U19" s="44"/>
      <c r="V19" s="44"/>
      <c r="W19" s="44"/>
      <c r="X19" s="44" t="s">
        <v>562</v>
      </c>
      <c r="Y19" s="44"/>
      <c r="Z19" s="44"/>
      <c r="AA19" s="44"/>
      <c r="AB19" s="44"/>
      <c r="AC19" s="44" t="s">
        <v>562</v>
      </c>
      <c r="AD19" s="44"/>
      <c r="AE19" s="44"/>
      <c r="AF19" s="44"/>
      <c r="AG19" s="44"/>
      <c r="AH19" s="44"/>
      <c r="AI19" s="44"/>
    </row>
    <row r="20" spans="1:35" x14ac:dyDescent="0.35">
      <c r="A20" s="17" t="s">
        <v>46</v>
      </c>
      <c r="B20" s="17" t="s">
        <v>558</v>
      </c>
      <c r="C20" s="28" t="s">
        <v>588</v>
      </c>
      <c r="D20" s="17" t="s">
        <v>595</v>
      </c>
      <c r="E20" s="17" t="s">
        <v>596</v>
      </c>
      <c r="F20" s="20">
        <v>211.64</v>
      </c>
      <c r="G20" s="20">
        <v>85</v>
      </c>
      <c r="H20" s="19">
        <v>406</v>
      </c>
      <c r="I20" s="20">
        <v>195</v>
      </c>
      <c r="J20" s="20">
        <v>211</v>
      </c>
      <c r="K20" s="20">
        <v>64</v>
      </c>
      <c r="L20" s="44"/>
      <c r="M20" s="20">
        <v>89</v>
      </c>
      <c r="N20" s="44"/>
      <c r="O20" s="46">
        <v>24.87</v>
      </c>
      <c r="P20" s="46">
        <v>0</v>
      </c>
      <c r="Q20" s="44" t="s">
        <v>562</v>
      </c>
      <c r="R20" s="44"/>
      <c r="S20" s="44"/>
      <c r="T20" s="44"/>
      <c r="U20" s="44"/>
      <c r="V20" s="44"/>
      <c r="W20" s="44"/>
      <c r="X20" s="44" t="s">
        <v>562</v>
      </c>
      <c r="Y20" s="44"/>
      <c r="Z20" s="44"/>
      <c r="AA20" s="44"/>
      <c r="AB20" s="44"/>
      <c r="AC20" s="44" t="s">
        <v>562</v>
      </c>
      <c r="AD20" s="44"/>
      <c r="AE20" s="44"/>
      <c r="AF20" s="44"/>
      <c r="AG20" s="44"/>
      <c r="AH20" s="44"/>
      <c r="AI20" s="44"/>
    </row>
    <row r="21" spans="1:35" x14ac:dyDescent="0.35">
      <c r="A21" s="17" t="s">
        <v>46</v>
      </c>
      <c r="B21" s="17" t="s">
        <v>558</v>
      </c>
      <c r="C21" s="28" t="s">
        <v>597</v>
      </c>
      <c r="D21" s="17" t="s">
        <v>598</v>
      </c>
      <c r="E21" s="17" t="s">
        <v>599</v>
      </c>
      <c r="F21" s="20">
        <v>354.55</v>
      </c>
      <c r="G21" s="20">
        <v>95</v>
      </c>
      <c r="H21" s="19">
        <v>496</v>
      </c>
      <c r="I21" s="20">
        <v>264</v>
      </c>
      <c r="J21" s="20">
        <v>232</v>
      </c>
      <c r="K21" s="20">
        <v>148</v>
      </c>
      <c r="L21" s="44"/>
      <c r="M21" s="20">
        <v>14</v>
      </c>
      <c r="N21" s="44"/>
      <c r="O21" s="46">
        <v>33.549999999999997</v>
      </c>
      <c r="P21" s="46">
        <v>19</v>
      </c>
      <c r="Q21" s="44" t="s">
        <v>51</v>
      </c>
      <c r="R21" s="44">
        <v>2021</v>
      </c>
      <c r="S21" s="44"/>
      <c r="T21" s="44"/>
      <c r="U21" s="44"/>
      <c r="V21" s="44"/>
      <c r="W21" s="44"/>
      <c r="X21" s="44" t="s">
        <v>51</v>
      </c>
      <c r="Y21" s="44"/>
      <c r="Z21" s="44"/>
      <c r="AA21" s="44"/>
      <c r="AB21" s="44"/>
      <c r="AC21" s="44" t="s">
        <v>51</v>
      </c>
      <c r="AD21" s="44"/>
      <c r="AE21" s="44"/>
      <c r="AF21" s="44"/>
      <c r="AG21" s="44"/>
      <c r="AH21" s="44"/>
      <c r="AI21" s="44"/>
    </row>
    <row r="22" spans="1:35" x14ac:dyDescent="0.35">
      <c r="A22" s="17" t="s">
        <v>46</v>
      </c>
      <c r="B22" s="17" t="s">
        <v>558</v>
      </c>
      <c r="C22" s="28" t="s">
        <v>597</v>
      </c>
      <c r="D22" s="17" t="s">
        <v>600</v>
      </c>
      <c r="E22" s="17" t="s">
        <v>601</v>
      </c>
      <c r="F22" s="20">
        <v>107.7</v>
      </c>
      <c r="G22" s="20">
        <v>2</v>
      </c>
      <c r="H22" s="19">
        <v>8</v>
      </c>
      <c r="I22" s="20">
        <v>5</v>
      </c>
      <c r="J22" s="20">
        <v>3</v>
      </c>
      <c r="K22" s="20">
        <v>0</v>
      </c>
      <c r="L22" s="44"/>
      <c r="M22" s="20">
        <v>3</v>
      </c>
      <c r="N22" s="44"/>
      <c r="O22" s="46">
        <v>0</v>
      </c>
      <c r="P22" s="46">
        <v>0</v>
      </c>
      <c r="Q22" s="44" t="s">
        <v>562</v>
      </c>
      <c r="R22" s="44"/>
      <c r="S22" s="44"/>
      <c r="T22" s="44"/>
      <c r="U22" s="44"/>
      <c r="V22" s="44"/>
      <c r="W22" s="44"/>
      <c r="X22" s="44" t="s">
        <v>562</v>
      </c>
      <c r="Y22" s="44"/>
      <c r="Z22" s="44"/>
      <c r="AA22" s="44"/>
      <c r="AB22" s="44"/>
      <c r="AC22" s="44" t="s">
        <v>562</v>
      </c>
      <c r="AD22" s="44"/>
      <c r="AE22" s="44"/>
      <c r="AF22" s="44"/>
      <c r="AG22" s="44"/>
      <c r="AH22" s="44"/>
      <c r="AI22" s="44"/>
    </row>
    <row r="23" spans="1:35" x14ac:dyDescent="0.35">
      <c r="A23" s="17" t="s">
        <v>46</v>
      </c>
      <c r="B23" s="17" t="s">
        <v>558</v>
      </c>
      <c r="C23" s="28" t="s">
        <v>574</v>
      </c>
      <c r="D23" s="17" t="s">
        <v>602</v>
      </c>
      <c r="E23" s="17" t="s">
        <v>603</v>
      </c>
      <c r="F23" s="20">
        <v>142.57</v>
      </c>
      <c r="G23" s="20">
        <v>49</v>
      </c>
      <c r="H23" s="19">
        <v>226</v>
      </c>
      <c r="I23" s="20">
        <v>118</v>
      </c>
      <c r="J23" s="20">
        <v>108</v>
      </c>
      <c r="K23" s="20">
        <v>29</v>
      </c>
      <c r="L23" s="44"/>
      <c r="M23" s="20">
        <v>31</v>
      </c>
      <c r="N23" s="44"/>
      <c r="O23" s="46">
        <v>15.82</v>
      </c>
      <c r="P23" s="46">
        <v>0</v>
      </c>
      <c r="Q23" s="44" t="s">
        <v>51</v>
      </c>
      <c r="R23" s="44">
        <v>2021</v>
      </c>
      <c r="S23" s="44"/>
      <c r="T23" s="44"/>
      <c r="U23" s="44"/>
      <c r="V23" s="44"/>
      <c r="W23" s="44"/>
      <c r="X23" s="44" t="s">
        <v>51</v>
      </c>
      <c r="Y23" s="44"/>
      <c r="Z23" s="44"/>
      <c r="AA23" s="44"/>
      <c r="AB23" s="44"/>
      <c r="AC23" s="44" t="s">
        <v>51</v>
      </c>
      <c r="AD23" s="44"/>
      <c r="AE23" s="44"/>
      <c r="AF23" s="44"/>
      <c r="AG23" s="44"/>
      <c r="AH23" s="44"/>
      <c r="AI23" s="44"/>
    </row>
    <row r="24" spans="1:35" x14ac:dyDescent="0.35">
      <c r="A24" s="17" t="s">
        <v>46</v>
      </c>
      <c r="B24" s="17" t="s">
        <v>558</v>
      </c>
      <c r="C24" s="28" t="s">
        <v>574</v>
      </c>
      <c r="D24" s="17" t="s">
        <v>604</v>
      </c>
      <c r="E24" s="17" t="s">
        <v>605</v>
      </c>
      <c r="F24" s="20">
        <v>196.52</v>
      </c>
      <c r="G24" s="20">
        <v>65</v>
      </c>
      <c r="H24" s="19">
        <v>320</v>
      </c>
      <c r="I24" s="20">
        <v>160</v>
      </c>
      <c r="J24" s="20">
        <v>160</v>
      </c>
      <c r="K24" s="20">
        <v>5</v>
      </c>
      <c r="L24" s="44"/>
      <c r="M24" s="20">
        <v>0</v>
      </c>
      <c r="N24" s="44"/>
      <c r="O24" s="46">
        <v>17.2</v>
      </c>
      <c r="P24" s="46">
        <v>0</v>
      </c>
      <c r="Q24" s="44" t="s">
        <v>562</v>
      </c>
      <c r="R24" s="44"/>
      <c r="S24" s="44"/>
      <c r="T24" s="44"/>
      <c r="U24" s="44"/>
      <c r="V24" s="44"/>
      <c r="W24" s="44"/>
      <c r="X24" s="44" t="s">
        <v>562</v>
      </c>
      <c r="Y24" s="44"/>
      <c r="Z24" s="44"/>
      <c r="AA24" s="44"/>
      <c r="AB24" s="44"/>
      <c r="AC24" s="44" t="s">
        <v>562</v>
      </c>
      <c r="AD24" s="44"/>
      <c r="AE24" s="44"/>
      <c r="AF24" s="44"/>
      <c r="AG24" s="44"/>
      <c r="AH24" s="44"/>
      <c r="AI24" s="44"/>
    </row>
    <row r="25" spans="1:35" x14ac:dyDescent="0.35">
      <c r="A25" s="17" t="s">
        <v>46</v>
      </c>
      <c r="B25" s="17" t="s">
        <v>558</v>
      </c>
      <c r="C25" s="28" t="s">
        <v>606</v>
      </c>
      <c r="D25" s="17" t="s">
        <v>607</v>
      </c>
      <c r="E25" s="17" t="s">
        <v>608</v>
      </c>
      <c r="F25" s="20">
        <v>448</v>
      </c>
      <c r="G25" s="20">
        <v>193</v>
      </c>
      <c r="H25" s="19">
        <v>851</v>
      </c>
      <c r="I25" s="20">
        <v>427</v>
      </c>
      <c r="J25" s="20">
        <v>424</v>
      </c>
      <c r="K25" s="20">
        <v>48</v>
      </c>
      <c r="L25" s="44"/>
      <c r="M25" s="20">
        <v>208</v>
      </c>
      <c r="N25" s="44"/>
      <c r="O25" s="46">
        <v>47</v>
      </c>
      <c r="P25" s="46">
        <v>1</v>
      </c>
      <c r="Q25" s="44" t="s">
        <v>562</v>
      </c>
      <c r="R25" s="44"/>
      <c r="S25" s="44"/>
      <c r="T25" s="44"/>
      <c r="U25" s="44"/>
      <c r="V25" s="44"/>
      <c r="W25" s="44"/>
      <c r="X25" s="44" t="s">
        <v>562</v>
      </c>
      <c r="Y25" s="44"/>
      <c r="Z25" s="44"/>
      <c r="AA25" s="44"/>
      <c r="AB25" s="44"/>
      <c r="AC25" s="44" t="s">
        <v>562</v>
      </c>
      <c r="AD25" s="44"/>
      <c r="AE25" s="44"/>
      <c r="AF25" s="44"/>
      <c r="AG25" s="44"/>
      <c r="AH25" s="44"/>
      <c r="AI25" s="44"/>
    </row>
    <row r="26" spans="1:35" x14ac:dyDescent="0.35">
      <c r="A26" s="17" t="s">
        <v>46</v>
      </c>
      <c r="B26" s="17" t="s">
        <v>558</v>
      </c>
      <c r="C26" s="28" t="s">
        <v>606</v>
      </c>
      <c r="D26" s="17" t="s">
        <v>609</v>
      </c>
      <c r="E26" s="17" t="s">
        <v>610</v>
      </c>
      <c r="F26" s="20">
        <v>281</v>
      </c>
      <c r="G26" s="20">
        <v>50</v>
      </c>
      <c r="H26" s="19">
        <v>264</v>
      </c>
      <c r="I26" s="20">
        <v>134</v>
      </c>
      <c r="J26" s="20">
        <v>130</v>
      </c>
      <c r="K26" s="20">
        <v>0</v>
      </c>
      <c r="L26" s="44"/>
      <c r="M26" s="20">
        <v>16</v>
      </c>
      <c r="N26" s="44"/>
      <c r="O26" s="46">
        <v>16</v>
      </c>
      <c r="P26" s="46">
        <v>46</v>
      </c>
      <c r="Q26" s="44" t="s">
        <v>562</v>
      </c>
      <c r="R26" s="44"/>
      <c r="S26" s="44"/>
      <c r="T26" s="44"/>
      <c r="U26" s="44"/>
      <c r="V26" s="44"/>
      <c r="W26" s="44"/>
      <c r="X26" s="44" t="s">
        <v>562</v>
      </c>
      <c r="Y26" s="44"/>
      <c r="Z26" s="44"/>
      <c r="AA26" s="44"/>
      <c r="AB26" s="44"/>
      <c r="AC26" s="44" t="s">
        <v>562</v>
      </c>
      <c r="AD26" s="44"/>
      <c r="AE26" s="44"/>
      <c r="AF26" s="44"/>
      <c r="AG26" s="44"/>
      <c r="AH26" s="44"/>
      <c r="AI26" s="44"/>
    </row>
    <row r="27" spans="1:35" x14ac:dyDescent="0.35">
      <c r="A27" s="17" t="s">
        <v>46</v>
      </c>
      <c r="B27" s="17" t="s">
        <v>558</v>
      </c>
      <c r="C27" s="28" t="s">
        <v>606</v>
      </c>
      <c r="D27" s="17" t="s">
        <v>611</v>
      </c>
      <c r="E27" s="17" t="s">
        <v>612</v>
      </c>
      <c r="F27" s="20">
        <v>459</v>
      </c>
      <c r="G27" s="20">
        <v>262</v>
      </c>
      <c r="H27" s="19">
        <v>1432</v>
      </c>
      <c r="I27" s="20">
        <v>723</v>
      </c>
      <c r="J27" s="20">
        <v>709</v>
      </c>
      <c r="K27" s="20">
        <v>191</v>
      </c>
      <c r="L27" s="44"/>
      <c r="M27" s="20">
        <v>7</v>
      </c>
      <c r="N27" s="44"/>
      <c r="O27" s="46">
        <v>34</v>
      </c>
      <c r="P27" s="46">
        <v>0</v>
      </c>
      <c r="Q27" s="44" t="s">
        <v>51</v>
      </c>
      <c r="R27" s="44">
        <v>2020</v>
      </c>
      <c r="S27" s="44"/>
      <c r="T27" s="44"/>
      <c r="U27" s="44"/>
      <c r="V27" s="44"/>
      <c r="W27" s="44"/>
      <c r="X27" s="44" t="s">
        <v>51</v>
      </c>
      <c r="Y27" s="44"/>
      <c r="Z27" s="44"/>
      <c r="AA27" s="44"/>
      <c r="AB27" s="44"/>
      <c r="AC27" s="44" t="s">
        <v>51</v>
      </c>
      <c r="AD27" s="44"/>
      <c r="AE27" s="44"/>
      <c r="AF27" s="44"/>
      <c r="AG27" s="44"/>
      <c r="AH27" s="44"/>
      <c r="AI27" s="44"/>
    </row>
    <row r="28" spans="1:35" x14ac:dyDescent="0.35">
      <c r="A28" s="17" t="s">
        <v>46</v>
      </c>
      <c r="B28" s="17" t="s">
        <v>558</v>
      </c>
      <c r="C28" s="28" t="s">
        <v>606</v>
      </c>
      <c r="D28" s="17" t="s">
        <v>613</v>
      </c>
      <c r="E28" s="17" t="s">
        <v>614</v>
      </c>
      <c r="F28" s="20">
        <v>127.76</v>
      </c>
      <c r="G28" s="20">
        <v>49</v>
      </c>
      <c r="H28" s="19">
        <v>275</v>
      </c>
      <c r="I28" s="20">
        <v>150</v>
      </c>
      <c r="J28" s="20">
        <v>125</v>
      </c>
      <c r="K28" s="20">
        <v>0</v>
      </c>
      <c r="L28" s="44"/>
      <c r="M28" s="20">
        <v>0</v>
      </c>
      <c r="N28" s="44"/>
      <c r="O28" s="46">
        <v>25.11</v>
      </c>
      <c r="P28" s="46">
        <v>0</v>
      </c>
      <c r="Q28" s="44" t="s">
        <v>562</v>
      </c>
      <c r="R28" s="44"/>
      <c r="S28" s="44"/>
      <c r="T28" s="44"/>
      <c r="U28" s="44"/>
      <c r="V28" s="44"/>
      <c r="W28" s="44"/>
      <c r="X28" s="44" t="s">
        <v>562</v>
      </c>
      <c r="Y28" s="44"/>
      <c r="Z28" s="44"/>
      <c r="AA28" s="44"/>
      <c r="AB28" s="44"/>
      <c r="AC28" s="44" t="s">
        <v>562</v>
      </c>
      <c r="AD28" s="44"/>
      <c r="AE28" s="44"/>
      <c r="AF28" s="44"/>
      <c r="AG28" s="44"/>
      <c r="AH28" s="44"/>
      <c r="AI28" s="44"/>
    </row>
    <row r="29" spans="1:35" x14ac:dyDescent="0.35">
      <c r="A29" s="17" t="s">
        <v>46</v>
      </c>
      <c r="B29" s="17" t="s">
        <v>558</v>
      </c>
      <c r="C29" s="28" t="s">
        <v>606</v>
      </c>
      <c r="D29" s="17" t="s">
        <v>615</v>
      </c>
      <c r="E29" s="17" t="s">
        <v>616</v>
      </c>
      <c r="F29" s="20">
        <v>90.5</v>
      </c>
      <c r="G29" s="20">
        <v>45</v>
      </c>
      <c r="H29" s="19">
        <v>249</v>
      </c>
      <c r="I29" s="20">
        <v>126</v>
      </c>
      <c r="J29" s="20">
        <v>123</v>
      </c>
      <c r="K29" s="20">
        <v>0</v>
      </c>
      <c r="L29" s="44"/>
      <c r="M29" s="20">
        <v>64</v>
      </c>
      <c r="N29" s="44"/>
      <c r="O29" s="46">
        <v>9.83</v>
      </c>
      <c r="P29" s="46">
        <v>0</v>
      </c>
      <c r="Q29" s="44" t="s">
        <v>562</v>
      </c>
      <c r="R29" s="44"/>
      <c r="S29" s="44"/>
      <c r="T29" s="44"/>
      <c r="U29" s="44"/>
      <c r="V29" s="44"/>
      <c r="W29" s="44"/>
      <c r="X29" s="44" t="s">
        <v>562</v>
      </c>
      <c r="Y29" s="44"/>
      <c r="Z29" s="44"/>
      <c r="AA29" s="44"/>
      <c r="AB29" s="44"/>
      <c r="AC29" s="44" t="s">
        <v>562</v>
      </c>
      <c r="AD29" s="44"/>
      <c r="AE29" s="44"/>
      <c r="AF29" s="44"/>
      <c r="AG29" s="44"/>
      <c r="AH29" s="44"/>
      <c r="AI29" s="44"/>
    </row>
    <row r="30" spans="1:35" x14ac:dyDescent="0.35">
      <c r="A30" s="17" t="s">
        <v>46</v>
      </c>
      <c r="B30" s="17" t="s">
        <v>558</v>
      </c>
      <c r="C30" s="28" t="s">
        <v>606</v>
      </c>
      <c r="D30" s="17" t="s">
        <v>617</v>
      </c>
      <c r="E30" s="17" t="s">
        <v>618</v>
      </c>
      <c r="F30" s="20">
        <v>118.94</v>
      </c>
      <c r="G30" s="20">
        <v>48</v>
      </c>
      <c r="H30" s="19">
        <v>218</v>
      </c>
      <c r="I30" s="20">
        <v>107</v>
      </c>
      <c r="J30" s="20">
        <v>111</v>
      </c>
      <c r="K30" s="20">
        <v>0</v>
      </c>
      <c r="L30" s="44"/>
      <c r="M30" s="20">
        <v>217</v>
      </c>
      <c r="N30" s="44"/>
      <c r="O30" s="46">
        <v>1.61</v>
      </c>
      <c r="P30" s="46">
        <v>0</v>
      </c>
      <c r="Q30" s="44" t="s">
        <v>562</v>
      </c>
      <c r="R30" s="44"/>
      <c r="S30" s="44"/>
      <c r="T30" s="44"/>
      <c r="U30" s="44"/>
      <c r="V30" s="44"/>
      <c r="W30" s="44"/>
      <c r="X30" s="44" t="s">
        <v>562</v>
      </c>
      <c r="Y30" s="44"/>
      <c r="Z30" s="44"/>
      <c r="AA30" s="44"/>
      <c r="AB30" s="44"/>
      <c r="AC30" s="44" t="s">
        <v>562</v>
      </c>
      <c r="AD30" s="44"/>
      <c r="AE30" s="44"/>
      <c r="AF30" s="44"/>
      <c r="AG30" s="44"/>
      <c r="AH30" s="44"/>
      <c r="AI30" s="44"/>
    </row>
    <row r="31" spans="1:35" x14ac:dyDescent="0.35">
      <c r="A31" s="17" t="s">
        <v>46</v>
      </c>
      <c r="B31" s="17" t="s">
        <v>558</v>
      </c>
      <c r="C31" s="28" t="s">
        <v>606</v>
      </c>
      <c r="D31" s="17" t="s">
        <v>619</v>
      </c>
      <c r="E31" s="17" t="s">
        <v>620</v>
      </c>
      <c r="F31" s="20">
        <v>517.79999999999995</v>
      </c>
      <c r="G31" s="20">
        <v>269</v>
      </c>
      <c r="H31" s="19">
        <v>1410</v>
      </c>
      <c r="I31" s="20">
        <v>700</v>
      </c>
      <c r="J31" s="20">
        <v>710</v>
      </c>
      <c r="K31" s="20">
        <v>109</v>
      </c>
      <c r="L31" s="44"/>
      <c r="M31" s="20">
        <v>163</v>
      </c>
      <c r="N31" s="44"/>
      <c r="O31" s="46">
        <v>100.53</v>
      </c>
      <c r="P31" s="46">
        <v>0</v>
      </c>
      <c r="Q31" s="44" t="s">
        <v>562</v>
      </c>
      <c r="R31" s="44"/>
      <c r="S31" s="44"/>
      <c r="T31" s="44"/>
      <c r="U31" s="44"/>
      <c r="V31" s="44"/>
      <c r="W31" s="44"/>
      <c r="X31" s="44" t="s">
        <v>562</v>
      </c>
      <c r="Y31" s="44"/>
      <c r="Z31" s="44"/>
      <c r="AA31" s="44"/>
      <c r="AB31" s="44"/>
      <c r="AC31" s="44" t="s">
        <v>562</v>
      </c>
      <c r="AD31" s="44"/>
      <c r="AE31" s="44"/>
      <c r="AF31" s="44"/>
      <c r="AG31" s="44"/>
      <c r="AH31" s="44"/>
      <c r="AI31" s="44"/>
    </row>
    <row r="32" spans="1:35" x14ac:dyDescent="0.35">
      <c r="A32" s="17" t="s">
        <v>46</v>
      </c>
      <c r="B32" s="17" t="s">
        <v>558</v>
      </c>
      <c r="C32" s="28" t="s">
        <v>606</v>
      </c>
      <c r="D32" s="17" t="s">
        <v>621</v>
      </c>
      <c r="E32" s="17" t="s">
        <v>622</v>
      </c>
      <c r="F32" s="28">
        <v>92.45</v>
      </c>
      <c r="G32" s="47"/>
      <c r="H32" s="19">
        <v>0</v>
      </c>
      <c r="I32" s="47"/>
      <c r="J32" s="47"/>
      <c r="K32" s="47"/>
      <c r="L32" s="44"/>
      <c r="M32" s="47"/>
      <c r="N32" s="44"/>
      <c r="O32" s="48">
        <v>0</v>
      </c>
      <c r="P32" s="48">
        <v>0</v>
      </c>
      <c r="Q32" s="44" t="s">
        <v>562</v>
      </c>
      <c r="R32" s="44"/>
      <c r="S32" s="44"/>
      <c r="T32" s="44"/>
      <c r="U32" s="44"/>
      <c r="V32" s="44"/>
      <c r="W32" s="44"/>
      <c r="X32" s="44" t="s">
        <v>562</v>
      </c>
      <c r="Y32" s="44"/>
      <c r="Z32" s="44"/>
      <c r="AA32" s="44"/>
      <c r="AB32" s="44"/>
      <c r="AC32" s="44" t="s">
        <v>562</v>
      </c>
      <c r="AD32" s="44"/>
      <c r="AE32" s="44"/>
      <c r="AF32" s="44"/>
      <c r="AG32" s="44"/>
      <c r="AH32" s="44"/>
      <c r="AI32" s="44"/>
    </row>
    <row r="33" spans="1:35" x14ac:dyDescent="0.35">
      <c r="A33" s="17" t="s">
        <v>46</v>
      </c>
      <c r="B33" s="17" t="s">
        <v>558</v>
      </c>
      <c r="C33" s="28" t="s">
        <v>606</v>
      </c>
      <c r="D33" s="17" t="s">
        <v>623</v>
      </c>
      <c r="E33" s="17" t="s">
        <v>624</v>
      </c>
      <c r="F33" s="20">
        <v>296.86</v>
      </c>
      <c r="G33" s="20">
        <v>96</v>
      </c>
      <c r="H33" s="19">
        <v>456</v>
      </c>
      <c r="I33" s="20">
        <v>229</v>
      </c>
      <c r="J33" s="20">
        <v>227</v>
      </c>
      <c r="K33" s="20">
        <v>0</v>
      </c>
      <c r="L33" s="44"/>
      <c r="M33" s="20">
        <v>0</v>
      </c>
      <c r="N33" s="44"/>
      <c r="O33" s="46">
        <v>46.03</v>
      </c>
      <c r="P33" s="46">
        <v>0</v>
      </c>
      <c r="Q33" s="44" t="s">
        <v>562</v>
      </c>
      <c r="R33" s="44"/>
      <c r="S33" s="44"/>
      <c r="T33" s="44"/>
      <c r="U33" s="44"/>
      <c r="V33" s="44"/>
      <c r="W33" s="44"/>
      <c r="X33" s="44" t="s">
        <v>562</v>
      </c>
      <c r="Y33" s="44"/>
      <c r="Z33" s="44"/>
      <c r="AA33" s="44"/>
      <c r="AB33" s="44"/>
      <c r="AC33" s="44" t="s">
        <v>562</v>
      </c>
      <c r="AD33" s="44"/>
      <c r="AE33" s="44"/>
      <c r="AF33" s="44"/>
      <c r="AG33" s="44"/>
      <c r="AH33" s="44"/>
      <c r="AI33" s="44"/>
    </row>
    <row r="34" spans="1:35" x14ac:dyDescent="0.35">
      <c r="A34" s="17" t="s">
        <v>46</v>
      </c>
      <c r="B34" s="17" t="s">
        <v>558</v>
      </c>
      <c r="C34" s="28" t="s">
        <v>597</v>
      </c>
      <c r="D34" s="17" t="s">
        <v>158</v>
      </c>
      <c r="E34" s="17" t="s">
        <v>625</v>
      </c>
      <c r="F34" s="20">
        <v>751.31</v>
      </c>
      <c r="G34" s="20">
        <v>376</v>
      </c>
      <c r="H34" s="19">
        <v>1821</v>
      </c>
      <c r="I34" s="20">
        <v>848</v>
      </c>
      <c r="J34" s="20">
        <v>973</v>
      </c>
      <c r="K34" s="20">
        <v>392</v>
      </c>
      <c r="L34" s="44"/>
      <c r="M34" s="20">
        <v>193</v>
      </c>
      <c r="N34" s="44"/>
      <c r="O34" s="46">
        <v>86.05</v>
      </c>
      <c r="P34" s="46">
        <v>76.66</v>
      </c>
      <c r="Q34" s="44" t="s">
        <v>562</v>
      </c>
      <c r="R34" s="44"/>
      <c r="S34" s="44"/>
      <c r="T34" s="44"/>
      <c r="U34" s="44"/>
      <c r="V34" s="44"/>
      <c r="W34" s="44"/>
      <c r="X34" s="44" t="s">
        <v>562</v>
      </c>
      <c r="Y34" s="44"/>
      <c r="Z34" s="44"/>
      <c r="AA34" s="44"/>
      <c r="AB34" s="44"/>
      <c r="AC34" s="44" t="s">
        <v>562</v>
      </c>
      <c r="AD34" s="44"/>
      <c r="AE34" s="44"/>
      <c r="AF34" s="44"/>
      <c r="AG34" s="44"/>
      <c r="AH34" s="44"/>
      <c r="AI34" s="44"/>
    </row>
    <row r="35" spans="1:35" x14ac:dyDescent="0.35">
      <c r="A35" s="17" t="s">
        <v>46</v>
      </c>
      <c r="B35" s="17" t="s">
        <v>558</v>
      </c>
      <c r="C35" s="28" t="s">
        <v>597</v>
      </c>
      <c r="D35" s="17" t="s">
        <v>626</v>
      </c>
      <c r="E35" s="17" t="s">
        <v>627</v>
      </c>
      <c r="F35" s="20">
        <v>230.5</v>
      </c>
      <c r="G35" s="20">
        <v>45</v>
      </c>
      <c r="H35" s="19">
        <v>226</v>
      </c>
      <c r="I35" s="20">
        <v>110</v>
      </c>
      <c r="J35" s="20">
        <v>116</v>
      </c>
      <c r="K35" s="20">
        <v>0</v>
      </c>
      <c r="L35" s="44"/>
      <c r="M35" s="20">
        <v>0</v>
      </c>
      <c r="N35" s="44"/>
      <c r="O35" s="46">
        <v>32.130000000000003</v>
      </c>
      <c r="P35" s="46">
        <v>0</v>
      </c>
      <c r="Q35" s="44" t="s">
        <v>51</v>
      </c>
      <c r="R35" s="44">
        <v>2020</v>
      </c>
      <c r="S35" s="44"/>
      <c r="T35" s="44"/>
      <c r="U35" s="44"/>
      <c r="V35" s="44"/>
      <c r="W35" s="44"/>
      <c r="X35" s="44" t="s">
        <v>51</v>
      </c>
      <c r="Y35" s="44"/>
      <c r="Z35" s="44"/>
      <c r="AA35" s="44"/>
      <c r="AB35" s="44"/>
      <c r="AC35" s="44" t="s">
        <v>51</v>
      </c>
      <c r="AD35" s="44"/>
      <c r="AE35" s="44"/>
      <c r="AF35" s="44"/>
      <c r="AG35" s="44"/>
      <c r="AH35" s="44"/>
      <c r="AI35" s="44"/>
    </row>
    <row r="36" spans="1:35" x14ac:dyDescent="0.35">
      <c r="A36" s="17" t="s">
        <v>46</v>
      </c>
      <c r="B36" s="17" t="s">
        <v>558</v>
      </c>
      <c r="C36" s="28" t="s">
        <v>597</v>
      </c>
      <c r="D36" s="17" t="s">
        <v>628</v>
      </c>
      <c r="E36" s="17" t="s">
        <v>629</v>
      </c>
      <c r="F36" s="20">
        <v>233.31</v>
      </c>
      <c r="G36" s="20">
        <v>91</v>
      </c>
      <c r="H36" s="19">
        <v>390</v>
      </c>
      <c r="I36" s="20">
        <v>203</v>
      </c>
      <c r="J36" s="20">
        <v>187</v>
      </c>
      <c r="K36" s="20">
        <v>139</v>
      </c>
      <c r="L36" s="44"/>
      <c r="M36" s="20">
        <v>22</v>
      </c>
      <c r="N36" s="44"/>
      <c r="O36" s="46">
        <v>27.38</v>
      </c>
      <c r="P36" s="46">
        <v>0</v>
      </c>
      <c r="Q36" s="44" t="s">
        <v>51</v>
      </c>
      <c r="R36" s="44">
        <v>2021</v>
      </c>
      <c r="S36" s="44"/>
      <c r="T36" s="44"/>
      <c r="U36" s="44"/>
      <c r="V36" s="44"/>
      <c r="W36" s="44"/>
      <c r="X36" s="44" t="s">
        <v>51</v>
      </c>
      <c r="Y36" s="44"/>
      <c r="Z36" s="44"/>
      <c r="AA36" s="44"/>
      <c r="AB36" s="44"/>
      <c r="AC36" s="44" t="s">
        <v>51</v>
      </c>
      <c r="AD36" s="44"/>
      <c r="AE36" s="44"/>
      <c r="AF36" s="44"/>
      <c r="AG36" s="44"/>
      <c r="AH36" s="44"/>
      <c r="AI36" s="44"/>
    </row>
    <row r="37" spans="1:35" x14ac:dyDescent="0.35">
      <c r="A37" s="17" t="s">
        <v>46</v>
      </c>
      <c r="B37" s="17" t="s">
        <v>558</v>
      </c>
      <c r="C37" s="28" t="s">
        <v>588</v>
      </c>
      <c r="D37" s="17" t="s">
        <v>630</v>
      </c>
      <c r="E37" s="17" t="s">
        <v>631</v>
      </c>
      <c r="F37" s="20">
        <v>915.73</v>
      </c>
      <c r="G37" s="20">
        <v>395</v>
      </c>
      <c r="H37" s="19">
        <v>1704</v>
      </c>
      <c r="I37" s="20">
        <v>829</v>
      </c>
      <c r="J37" s="20">
        <v>875</v>
      </c>
      <c r="K37" s="20">
        <v>436</v>
      </c>
      <c r="L37" s="44"/>
      <c r="M37" s="20">
        <v>153</v>
      </c>
      <c r="N37" s="44"/>
      <c r="O37" s="46">
        <v>123.38</v>
      </c>
      <c r="P37" s="46">
        <v>0</v>
      </c>
      <c r="Q37" s="44" t="s">
        <v>51</v>
      </c>
      <c r="R37" s="44">
        <v>2020</v>
      </c>
      <c r="S37" s="44"/>
      <c r="T37" s="44"/>
      <c r="U37" s="44"/>
      <c r="V37" s="44"/>
      <c r="W37" s="44"/>
      <c r="X37" s="44" t="s">
        <v>51</v>
      </c>
      <c r="Y37" s="44"/>
      <c r="Z37" s="44"/>
      <c r="AA37" s="44"/>
      <c r="AB37" s="44"/>
      <c r="AC37" s="44" t="s">
        <v>51</v>
      </c>
      <c r="AD37" s="44"/>
      <c r="AE37" s="44"/>
      <c r="AF37" s="44"/>
      <c r="AG37" s="44"/>
      <c r="AH37" s="44"/>
      <c r="AI37" s="44"/>
    </row>
    <row r="38" spans="1:35" x14ac:dyDescent="0.35">
      <c r="A38" s="17" t="s">
        <v>46</v>
      </c>
      <c r="B38" s="17" t="s">
        <v>558</v>
      </c>
      <c r="C38" s="28" t="s">
        <v>632</v>
      </c>
      <c r="D38" s="17" t="s">
        <v>633</v>
      </c>
      <c r="E38" s="17" t="s">
        <v>634</v>
      </c>
      <c r="F38" s="20">
        <v>708.79</v>
      </c>
      <c r="G38" s="20">
        <v>326</v>
      </c>
      <c r="H38" s="19">
        <v>1470</v>
      </c>
      <c r="I38" s="20">
        <v>740</v>
      </c>
      <c r="J38" s="20">
        <v>730</v>
      </c>
      <c r="K38" s="20">
        <v>95</v>
      </c>
      <c r="L38" s="44"/>
      <c r="M38" s="20">
        <v>613</v>
      </c>
      <c r="N38" s="44"/>
      <c r="O38" s="46">
        <v>121.35</v>
      </c>
      <c r="P38" s="46">
        <v>0</v>
      </c>
      <c r="Q38" s="44" t="s">
        <v>562</v>
      </c>
      <c r="R38" s="44"/>
      <c r="S38" s="44"/>
      <c r="T38" s="44"/>
      <c r="U38" s="44"/>
      <c r="V38" s="44"/>
      <c r="W38" s="44"/>
      <c r="X38" s="44" t="s">
        <v>562</v>
      </c>
      <c r="Y38" s="44"/>
      <c r="Z38" s="44"/>
      <c r="AA38" s="44"/>
      <c r="AB38" s="44"/>
      <c r="AC38" s="44" t="s">
        <v>562</v>
      </c>
      <c r="AD38" s="44"/>
      <c r="AE38" s="44"/>
      <c r="AF38" s="44"/>
      <c r="AG38" s="44"/>
      <c r="AH38" s="44"/>
      <c r="AI38" s="44"/>
    </row>
    <row r="39" spans="1:35" x14ac:dyDescent="0.35">
      <c r="A39" s="17" t="s">
        <v>46</v>
      </c>
      <c r="B39" s="17" t="s">
        <v>558</v>
      </c>
      <c r="C39" s="28" t="s">
        <v>632</v>
      </c>
      <c r="D39" s="17" t="s">
        <v>635</v>
      </c>
      <c r="E39" s="17" t="s">
        <v>636</v>
      </c>
      <c r="F39" s="20">
        <v>148.34</v>
      </c>
      <c r="G39" s="20">
        <v>93</v>
      </c>
      <c r="H39" s="19">
        <v>416</v>
      </c>
      <c r="I39" s="20">
        <v>215</v>
      </c>
      <c r="J39" s="20">
        <v>201</v>
      </c>
      <c r="K39" s="20">
        <v>82</v>
      </c>
      <c r="L39" s="44"/>
      <c r="M39" s="20">
        <v>0</v>
      </c>
      <c r="N39" s="44"/>
      <c r="O39" s="46">
        <v>8.1999999999999993</v>
      </c>
      <c r="P39" s="46">
        <v>0</v>
      </c>
      <c r="Q39" s="44" t="s">
        <v>562</v>
      </c>
      <c r="R39" s="44"/>
      <c r="S39" s="44"/>
      <c r="T39" s="44"/>
      <c r="U39" s="44"/>
      <c r="V39" s="44"/>
      <c r="W39" s="44"/>
      <c r="X39" s="44" t="s">
        <v>562</v>
      </c>
      <c r="Y39" s="44"/>
      <c r="Z39" s="44"/>
      <c r="AA39" s="44"/>
      <c r="AB39" s="44"/>
      <c r="AC39" s="44" t="s">
        <v>562</v>
      </c>
      <c r="AD39" s="44"/>
      <c r="AE39" s="44"/>
      <c r="AF39" s="44"/>
      <c r="AG39" s="44"/>
      <c r="AH39" s="44"/>
      <c r="AI39" s="44"/>
    </row>
    <row r="40" spans="1:35" x14ac:dyDescent="0.35">
      <c r="A40" s="17" t="s">
        <v>46</v>
      </c>
      <c r="B40" s="17" t="s">
        <v>558</v>
      </c>
      <c r="C40" s="28" t="s">
        <v>632</v>
      </c>
      <c r="D40" s="17" t="s">
        <v>637</v>
      </c>
      <c r="E40" s="17" t="s">
        <v>638</v>
      </c>
      <c r="F40" s="20">
        <v>443.63</v>
      </c>
      <c r="G40" s="20">
        <v>164</v>
      </c>
      <c r="H40" s="19">
        <v>824</v>
      </c>
      <c r="I40" s="20">
        <v>418</v>
      </c>
      <c r="J40" s="20">
        <v>406</v>
      </c>
      <c r="K40" s="20">
        <v>125</v>
      </c>
      <c r="L40" s="44"/>
      <c r="M40" s="20">
        <v>0</v>
      </c>
      <c r="N40" s="44"/>
      <c r="O40" s="46">
        <v>67.75</v>
      </c>
      <c r="P40" s="46">
        <v>0</v>
      </c>
      <c r="Q40" s="44" t="s">
        <v>562</v>
      </c>
      <c r="R40" s="44"/>
      <c r="S40" s="44"/>
      <c r="T40" s="44"/>
      <c r="U40" s="44"/>
      <c r="V40" s="44"/>
      <c r="W40" s="44"/>
      <c r="X40" s="44" t="s">
        <v>562</v>
      </c>
      <c r="Y40" s="44"/>
      <c r="Z40" s="44"/>
      <c r="AA40" s="44"/>
      <c r="AB40" s="44"/>
      <c r="AC40" s="44" t="s">
        <v>562</v>
      </c>
      <c r="AD40" s="44"/>
      <c r="AE40" s="44"/>
      <c r="AF40" s="44"/>
      <c r="AG40" s="44"/>
      <c r="AH40" s="44"/>
      <c r="AI40" s="44"/>
    </row>
    <row r="41" spans="1:35" x14ac:dyDescent="0.35">
      <c r="A41" s="17" t="s">
        <v>46</v>
      </c>
      <c r="B41" s="17" t="s">
        <v>558</v>
      </c>
      <c r="C41" s="28" t="s">
        <v>632</v>
      </c>
      <c r="D41" s="17" t="s">
        <v>639</v>
      </c>
      <c r="E41" s="17" t="s">
        <v>640</v>
      </c>
      <c r="F41" s="20">
        <v>495.76</v>
      </c>
      <c r="G41" s="20">
        <v>140</v>
      </c>
      <c r="H41" s="19">
        <v>648</v>
      </c>
      <c r="I41" s="20">
        <v>271</v>
      </c>
      <c r="J41" s="20">
        <v>377</v>
      </c>
      <c r="K41" s="20">
        <v>24</v>
      </c>
      <c r="L41" s="44"/>
      <c r="M41" s="20">
        <v>0</v>
      </c>
      <c r="N41" s="44"/>
      <c r="O41" s="46">
        <v>33.200000000000003</v>
      </c>
      <c r="P41" s="46">
        <v>0</v>
      </c>
      <c r="Q41" s="44" t="s">
        <v>562</v>
      </c>
      <c r="R41" s="44"/>
      <c r="S41" s="44"/>
      <c r="T41" s="44"/>
      <c r="U41" s="44"/>
      <c r="V41" s="44"/>
      <c r="W41" s="44"/>
      <c r="X41" s="44" t="s">
        <v>562</v>
      </c>
      <c r="Y41" s="44"/>
      <c r="Z41" s="44"/>
      <c r="AA41" s="44"/>
      <c r="AB41" s="44"/>
      <c r="AC41" s="44" t="s">
        <v>562</v>
      </c>
      <c r="AD41" s="44"/>
      <c r="AE41" s="44"/>
      <c r="AF41" s="44"/>
      <c r="AG41" s="44"/>
      <c r="AH41" s="44"/>
      <c r="AI41" s="44"/>
    </row>
    <row r="42" spans="1:35" x14ac:dyDescent="0.35">
      <c r="A42" s="17" t="s">
        <v>46</v>
      </c>
      <c r="B42" s="17" t="s">
        <v>558</v>
      </c>
      <c r="C42" s="28" t="s">
        <v>632</v>
      </c>
      <c r="D42" s="17" t="s">
        <v>641</v>
      </c>
      <c r="E42" s="17" t="s">
        <v>642</v>
      </c>
      <c r="F42" s="20">
        <v>260.08999999999997</v>
      </c>
      <c r="G42" s="20">
        <v>123</v>
      </c>
      <c r="H42" s="19">
        <v>555</v>
      </c>
      <c r="I42" s="20">
        <v>283</v>
      </c>
      <c r="J42" s="20">
        <v>272</v>
      </c>
      <c r="K42" s="20">
        <v>49</v>
      </c>
      <c r="L42" s="44"/>
      <c r="M42" s="20">
        <v>58</v>
      </c>
      <c r="N42" s="44"/>
      <c r="O42" s="46">
        <v>29.8</v>
      </c>
      <c r="P42" s="46">
        <v>13.92</v>
      </c>
      <c r="Q42" s="44" t="s">
        <v>562</v>
      </c>
      <c r="R42" s="44"/>
      <c r="S42" s="44"/>
      <c r="T42" s="44"/>
      <c r="U42" s="44"/>
      <c r="V42" s="44"/>
      <c r="W42" s="44"/>
      <c r="X42" s="44" t="s">
        <v>562</v>
      </c>
      <c r="Y42" s="44"/>
      <c r="Z42" s="44"/>
      <c r="AA42" s="44"/>
      <c r="AB42" s="44"/>
      <c r="AC42" s="44" t="s">
        <v>562</v>
      </c>
      <c r="AD42" s="44"/>
      <c r="AE42" s="44"/>
      <c r="AF42" s="44"/>
      <c r="AG42" s="44"/>
      <c r="AH42" s="44"/>
      <c r="AI42" s="44"/>
    </row>
    <row r="43" spans="1:35" x14ac:dyDescent="0.35">
      <c r="A43" s="17" t="s">
        <v>46</v>
      </c>
      <c r="B43" s="17" t="s">
        <v>558</v>
      </c>
      <c r="C43" s="28" t="s">
        <v>643</v>
      </c>
      <c r="D43" s="17" t="s">
        <v>644</v>
      </c>
      <c r="E43" s="17" t="s">
        <v>645</v>
      </c>
      <c r="F43" s="20">
        <v>61</v>
      </c>
      <c r="G43" s="20">
        <v>95</v>
      </c>
      <c r="H43" s="19">
        <v>553</v>
      </c>
      <c r="I43" s="20">
        <v>283</v>
      </c>
      <c r="J43" s="20">
        <v>270</v>
      </c>
      <c r="K43" s="20">
        <v>110</v>
      </c>
      <c r="L43" s="44"/>
      <c r="M43" s="20">
        <v>0</v>
      </c>
      <c r="N43" s="44"/>
      <c r="O43" s="46">
        <v>0</v>
      </c>
      <c r="P43" s="46">
        <v>0</v>
      </c>
      <c r="Q43" s="44" t="s">
        <v>51</v>
      </c>
      <c r="R43" s="44">
        <v>2020</v>
      </c>
      <c r="S43" s="44"/>
      <c r="T43" s="44"/>
      <c r="U43" s="44"/>
      <c r="V43" s="44"/>
      <c r="W43" s="44"/>
      <c r="X43" s="44" t="s">
        <v>51</v>
      </c>
      <c r="Y43" s="44"/>
      <c r="Z43" s="44"/>
      <c r="AA43" s="44"/>
      <c r="AB43" s="44"/>
      <c r="AC43" s="44" t="s">
        <v>51</v>
      </c>
      <c r="AD43" s="44"/>
      <c r="AE43" s="44"/>
      <c r="AF43" s="44"/>
      <c r="AG43" s="44"/>
      <c r="AH43" s="44"/>
      <c r="AI43" s="44"/>
    </row>
    <row r="44" spans="1:35" x14ac:dyDescent="0.35">
      <c r="A44" s="17" t="s">
        <v>46</v>
      </c>
      <c r="B44" s="17" t="s">
        <v>558</v>
      </c>
      <c r="C44" s="28" t="s">
        <v>646</v>
      </c>
      <c r="D44" s="17" t="s">
        <v>647</v>
      </c>
      <c r="E44" s="17" t="s">
        <v>648</v>
      </c>
      <c r="F44" s="20">
        <v>1659</v>
      </c>
      <c r="G44" s="20">
        <v>1127</v>
      </c>
      <c r="H44" s="19">
        <v>5639</v>
      </c>
      <c r="I44" s="20">
        <v>2859</v>
      </c>
      <c r="J44" s="20">
        <v>2780</v>
      </c>
      <c r="K44" s="20">
        <v>1064</v>
      </c>
      <c r="L44" s="44"/>
      <c r="M44" s="20">
        <v>15</v>
      </c>
      <c r="N44" s="44"/>
      <c r="O44" s="46">
        <v>40</v>
      </c>
      <c r="P44" s="46">
        <v>0</v>
      </c>
      <c r="Q44" s="44" t="s">
        <v>562</v>
      </c>
      <c r="R44" s="44"/>
      <c r="S44" s="44"/>
      <c r="T44" s="44"/>
      <c r="U44" s="44"/>
      <c r="V44" s="44"/>
      <c r="W44" s="44"/>
      <c r="X44" s="44" t="s">
        <v>562</v>
      </c>
      <c r="Y44" s="44"/>
      <c r="Z44" s="44"/>
      <c r="AA44" s="44"/>
      <c r="AB44" s="44"/>
      <c r="AC44" s="44" t="s">
        <v>562</v>
      </c>
      <c r="AD44" s="44"/>
      <c r="AE44" s="44"/>
      <c r="AF44" s="44"/>
      <c r="AG44" s="44"/>
      <c r="AH44" s="44"/>
      <c r="AI44" s="44"/>
    </row>
    <row r="45" spans="1:35" x14ac:dyDescent="0.35">
      <c r="A45" s="17" t="s">
        <v>46</v>
      </c>
      <c r="B45" s="17" t="s">
        <v>558</v>
      </c>
      <c r="C45" s="28" t="s">
        <v>649</v>
      </c>
      <c r="D45" s="17" t="s">
        <v>650</v>
      </c>
      <c r="E45" s="17" t="s">
        <v>651</v>
      </c>
      <c r="F45" s="20">
        <v>447.89</v>
      </c>
      <c r="G45" s="20">
        <v>139</v>
      </c>
      <c r="H45" s="19">
        <v>679</v>
      </c>
      <c r="I45" s="20">
        <v>351</v>
      </c>
      <c r="J45" s="20">
        <v>328</v>
      </c>
      <c r="K45" s="20">
        <v>332</v>
      </c>
      <c r="L45" s="44"/>
      <c r="M45" s="20">
        <v>0</v>
      </c>
      <c r="N45" s="44"/>
      <c r="O45" s="46">
        <v>53.5</v>
      </c>
      <c r="P45" s="46">
        <v>0</v>
      </c>
      <c r="Q45" s="44" t="s">
        <v>51</v>
      </c>
      <c r="R45" s="44">
        <v>2021</v>
      </c>
      <c r="S45" s="44"/>
      <c r="T45" s="44"/>
      <c r="U45" s="44"/>
      <c r="V45" s="44"/>
      <c r="W45" s="44"/>
      <c r="X45" s="44" t="s">
        <v>51</v>
      </c>
      <c r="Y45" s="44"/>
      <c r="Z45" s="44"/>
      <c r="AA45" s="44"/>
      <c r="AB45" s="44"/>
      <c r="AC45" s="44" t="s">
        <v>51</v>
      </c>
      <c r="AD45" s="44"/>
      <c r="AE45" s="44"/>
      <c r="AF45" s="44"/>
      <c r="AG45" s="44"/>
      <c r="AH45" s="44"/>
      <c r="AI45" s="44"/>
    </row>
    <row r="46" spans="1:35" x14ac:dyDescent="0.35">
      <c r="A46" s="17" t="s">
        <v>46</v>
      </c>
      <c r="B46" s="17" t="s">
        <v>558</v>
      </c>
      <c r="C46" s="28" t="s">
        <v>649</v>
      </c>
      <c r="D46" s="17" t="s">
        <v>652</v>
      </c>
      <c r="E46" s="17" t="s">
        <v>653</v>
      </c>
      <c r="F46" s="20">
        <v>453.89</v>
      </c>
      <c r="G46" s="20">
        <v>162</v>
      </c>
      <c r="H46" s="19">
        <v>805</v>
      </c>
      <c r="I46" s="20">
        <v>385</v>
      </c>
      <c r="J46" s="20">
        <v>420</v>
      </c>
      <c r="K46" s="20">
        <v>125</v>
      </c>
      <c r="L46" s="44"/>
      <c r="M46" s="20">
        <v>212</v>
      </c>
      <c r="N46" s="44"/>
      <c r="O46" s="46">
        <v>51.8</v>
      </c>
      <c r="P46" s="46">
        <v>0</v>
      </c>
      <c r="Q46" s="44" t="s">
        <v>562</v>
      </c>
      <c r="R46" s="44"/>
      <c r="S46" s="44"/>
      <c r="T46" s="44"/>
      <c r="U46" s="44"/>
      <c r="V46" s="44"/>
      <c r="W46" s="44"/>
      <c r="X46" s="44" t="s">
        <v>562</v>
      </c>
      <c r="Y46" s="44"/>
      <c r="Z46" s="44"/>
      <c r="AA46" s="44"/>
      <c r="AB46" s="44"/>
      <c r="AC46" s="44" t="s">
        <v>562</v>
      </c>
      <c r="AD46" s="44"/>
      <c r="AE46" s="44"/>
      <c r="AF46" s="44"/>
      <c r="AG46" s="44"/>
      <c r="AH46" s="44"/>
      <c r="AI46" s="44"/>
    </row>
    <row r="47" spans="1:35" x14ac:dyDescent="0.35">
      <c r="A47" s="17" t="s">
        <v>46</v>
      </c>
      <c r="B47" s="17" t="s">
        <v>558</v>
      </c>
      <c r="C47" s="28" t="s">
        <v>649</v>
      </c>
      <c r="D47" s="17" t="s">
        <v>654</v>
      </c>
      <c r="E47" s="17" t="s">
        <v>655</v>
      </c>
      <c r="F47" s="20">
        <v>158.12</v>
      </c>
      <c r="G47" s="20">
        <v>95</v>
      </c>
      <c r="H47" s="19">
        <v>443</v>
      </c>
      <c r="I47" s="20">
        <v>225</v>
      </c>
      <c r="J47" s="20">
        <v>218</v>
      </c>
      <c r="K47" s="20">
        <v>21</v>
      </c>
      <c r="L47" s="44"/>
      <c r="M47" s="20">
        <v>0</v>
      </c>
      <c r="N47" s="44"/>
      <c r="O47" s="46">
        <v>21.6</v>
      </c>
      <c r="P47" s="46">
        <v>0</v>
      </c>
      <c r="Q47" s="44" t="s">
        <v>562</v>
      </c>
      <c r="R47" s="44"/>
      <c r="S47" s="44"/>
      <c r="T47" s="44"/>
      <c r="U47" s="44"/>
      <c r="V47" s="44"/>
      <c r="W47" s="44"/>
      <c r="X47" s="44" t="s">
        <v>562</v>
      </c>
      <c r="Y47" s="44"/>
      <c r="Z47" s="44"/>
      <c r="AA47" s="44"/>
      <c r="AB47" s="44"/>
      <c r="AC47" s="44" t="s">
        <v>562</v>
      </c>
      <c r="AD47" s="44"/>
      <c r="AE47" s="44"/>
      <c r="AF47" s="44"/>
      <c r="AG47" s="44"/>
      <c r="AH47" s="44"/>
      <c r="AI47" s="44"/>
    </row>
    <row r="48" spans="1:35" x14ac:dyDescent="0.35">
      <c r="A48" s="17" t="s">
        <v>46</v>
      </c>
      <c r="B48" s="17" t="s">
        <v>558</v>
      </c>
      <c r="C48" s="28" t="s">
        <v>643</v>
      </c>
      <c r="D48" s="17" t="s">
        <v>656</v>
      </c>
      <c r="E48" s="17" t="s">
        <v>657</v>
      </c>
      <c r="F48" s="20">
        <v>337.02</v>
      </c>
      <c r="G48" s="20">
        <v>109</v>
      </c>
      <c r="H48" s="19">
        <v>442</v>
      </c>
      <c r="I48" s="20">
        <v>212</v>
      </c>
      <c r="J48" s="20">
        <v>230</v>
      </c>
      <c r="K48" s="20">
        <v>51</v>
      </c>
      <c r="L48" s="44"/>
      <c r="M48" s="20">
        <v>15</v>
      </c>
      <c r="N48" s="44"/>
      <c r="O48" s="46">
        <v>54.22</v>
      </c>
      <c r="P48" s="46">
        <v>0</v>
      </c>
      <c r="Q48" s="44" t="s">
        <v>562</v>
      </c>
      <c r="R48" s="44"/>
      <c r="S48" s="44"/>
      <c r="T48" s="44"/>
      <c r="U48" s="44"/>
      <c r="V48" s="44"/>
      <c r="W48" s="44"/>
      <c r="X48" s="44" t="s">
        <v>562</v>
      </c>
      <c r="Y48" s="44"/>
      <c r="Z48" s="44"/>
      <c r="AA48" s="44"/>
      <c r="AB48" s="44"/>
      <c r="AC48" s="44" t="s">
        <v>562</v>
      </c>
      <c r="AD48" s="44"/>
      <c r="AE48" s="44"/>
      <c r="AF48" s="44"/>
      <c r="AG48" s="44"/>
      <c r="AH48" s="44"/>
      <c r="AI48" s="44"/>
    </row>
    <row r="49" spans="1:35" x14ac:dyDescent="0.35">
      <c r="A49" s="17" t="s">
        <v>46</v>
      </c>
      <c r="B49" s="17" t="s">
        <v>558</v>
      </c>
      <c r="C49" s="28" t="s">
        <v>649</v>
      </c>
      <c r="D49" s="17" t="s">
        <v>658</v>
      </c>
      <c r="E49" s="17" t="s">
        <v>659</v>
      </c>
      <c r="F49" s="20">
        <v>621.04999999999995</v>
      </c>
      <c r="G49" s="20">
        <v>221</v>
      </c>
      <c r="H49" s="19">
        <v>1077</v>
      </c>
      <c r="I49" s="20">
        <v>540</v>
      </c>
      <c r="J49" s="20">
        <v>537</v>
      </c>
      <c r="K49" s="20">
        <v>115</v>
      </c>
      <c r="L49" s="44"/>
      <c r="M49" s="20">
        <v>97</v>
      </c>
      <c r="N49" s="44"/>
      <c r="O49" s="46">
        <v>103.55</v>
      </c>
      <c r="P49" s="46">
        <v>0</v>
      </c>
      <c r="Q49" s="44" t="s">
        <v>562</v>
      </c>
      <c r="R49" s="44"/>
      <c r="S49" s="44"/>
      <c r="T49" s="44"/>
      <c r="U49" s="44"/>
      <c r="V49" s="44"/>
      <c r="W49" s="44"/>
      <c r="X49" s="44" t="s">
        <v>562</v>
      </c>
      <c r="Y49" s="44"/>
      <c r="Z49" s="44"/>
      <c r="AA49" s="44"/>
      <c r="AB49" s="44"/>
      <c r="AC49" s="44" t="s">
        <v>562</v>
      </c>
      <c r="AD49" s="44"/>
      <c r="AE49" s="44"/>
      <c r="AF49" s="44"/>
      <c r="AG49" s="44"/>
      <c r="AH49" s="44"/>
      <c r="AI49" s="44"/>
    </row>
    <row r="50" spans="1:35" x14ac:dyDescent="0.35">
      <c r="A50" s="17" t="s">
        <v>46</v>
      </c>
      <c r="B50" s="17" t="s">
        <v>558</v>
      </c>
      <c r="C50" s="28" t="s">
        <v>649</v>
      </c>
      <c r="D50" s="17" t="s">
        <v>660</v>
      </c>
      <c r="E50" s="17" t="s">
        <v>661</v>
      </c>
      <c r="F50" s="20">
        <v>624.84</v>
      </c>
      <c r="G50" s="20">
        <v>244</v>
      </c>
      <c r="H50" s="19">
        <v>1168</v>
      </c>
      <c r="I50" s="20">
        <v>614</v>
      </c>
      <c r="J50" s="20">
        <v>554</v>
      </c>
      <c r="K50" s="20">
        <v>283</v>
      </c>
      <c r="L50" s="44"/>
      <c r="M50" s="20">
        <v>48</v>
      </c>
      <c r="N50" s="44"/>
      <c r="O50" s="46">
        <v>103.3</v>
      </c>
      <c r="P50" s="46">
        <v>0</v>
      </c>
      <c r="Q50" s="44" t="s">
        <v>562</v>
      </c>
      <c r="R50" s="44"/>
      <c r="S50" s="44"/>
      <c r="T50" s="44"/>
      <c r="U50" s="44"/>
      <c r="V50" s="44"/>
      <c r="W50" s="44"/>
      <c r="X50" s="44" t="s">
        <v>562</v>
      </c>
      <c r="Y50" s="44"/>
      <c r="Z50" s="44"/>
      <c r="AA50" s="44"/>
      <c r="AB50" s="44"/>
      <c r="AC50" s="44" t="s">
        <v>562</v>
      </c>
      <c r="AD50" s="44"/>
      <c r="AE50" s="44"/>
      <c r="AF50" s="44"/>
      <c r="AG50" s="44"/>
      <c r="AH50" s="44"/>
      <c r="AI50" s="44"/>
    </row>
    <row r="51" spans="1:35" x14ac:dyDescent="0.35">
      <c r="A51" s="17" t="s">
        <v>46</v>
      </c>
      <c r="B51" s="17" t="s">
        <v>558</v>
      </c>
      <c r="C51" s="28" t="s">
        <v>643</v>
      </c>
      <c r="D51" s="17" t="s">
        <v>662</v>
      </c>
      <c r="E51" s="17" t="s">
        <v>663</v>
      </c>
      <c r="F51" s="20">
        <v>139.91999999999999</v>
      </c>
      <c r="G51" s="20">
        <v>88</v>
      </c>
      <c r="H51" s="19">
        <v>356</v>
      </c>
      <c r="I51" s="20">
        <v>171</v>
      </c>
      <c r="J51" s="20">
        <v>185</v>
      </c>
      <c r="K51" s="20">
        <v>225</v>
      </c>
      <c r="L51" s="44"/>
      <c r="M51" s="20">
        <v>9</v>
      </c>
      <c r="N51" s="44"/>
      <c r="O51" s="46">
        <v>7.25</v>
      </c>
      <c r="P51" s="46">
        <v>0</v>
      </c>
      <c r="Q51" s="44" t="s">
        <v>562</v>
      </c>
      <c r="R51" s="44"/>
      <c r="S51" s="44"/>
      <c r="T51" s="44"/>
      <c r="U51" s="44"/>
      <c r="V51" s="44"/>
      <c r="W51" s="44"/>
      <c r="X51" s="44" t="s">
        <v>562</v>
      </c>
      <c r="Y51" s="44"/>
      <c r="Z51" s="44"/>
      <c r="AA51" s="44"/>
      <c r="AB51" s="44"/>
      <c r="AC51" s="44" t="s">
        <v>562</v>
      </c>
      <c r="AD51" s="44"/>
      <c r="AE51" s="44"/>
      <c r="AF51" s="44"/>
      <c r="AG51" s="44"/>
      <c r="AH51" s="44"/>
      <c r="AI51" s="44"/>
    </row>
    <row r="52" spans="1:35" x14ac:dyDescent="0.35">
      <c r="A52" s="17" t="s">
        <v>46</v>
      </c>
      <c r="B52" s="17" t="s">
        <v>558</v>
      </c>
      <c r="C52" s="28" t="s">
        <v>649</v>
      </c>
      <c r="D52" s="17" t="s">
        <v>664</v>
      </c>
      <c r="E52" s="17" t="s">
        <v>665</v>
      </c>
      <c r="F52" s="20">
        <v>262.13</v>
      </c>
      <c r="G52" s="20">
        <v>143</v>
      </c>
      <c r="H52" s="19">
        <v>708</v>
      </c>
      <c r="I52" s="20">
        <v>371</v>
      </c>
      <c r="J52" s="20">
        <v>337</v>
      </c>
      <c r="K52" s="20">
        <v>348</v>
      </c>
      <c r="L52" s="44"/>
      <c r="M52" s="20">
        <v>95</v>
      </c>
      <c r="N52" s="44"/>
      <c r="O52" s="46">
        <v>18.62</v>
      </c>
      <c r="P52" s="46">
        <v>0</v>
      </c>
      <c r="Q52" s="44" t="s">
        <v>562</v>
      </c>
      <c r="R52" s="44"/>
      <c r="S52" s="44"/>
      <c r="T52" s="44"/>
      <c r="U52" s="44"/>
      <c r="V52" s="44"/>
      <c r="W52" s="44"/>
      <c r="X52" s="44" t="s">
        <v>562</v>
      </c>
      <c r="Y52" s="44"/>
      <c r="Z52" s="44"/>
      <c r="AA52" s="44"/>
      <c r="AB52" s="44"/>
      <c r="AC52" s="44" t="s">
        <v>562</v>
      </c>
      <c r="AD52" s="44"/>
      <c r="AE52" s="44"/>
      <c r="AF52" s="44"/>
      <c r="AG52" s="44"/>
      <c r="AH52" s="44"/>
      <c r="AI52" s="44"/>
    </row>
    <row r="53" spans="1:35" x14ac:dyDescent="0.35">
      <c r="A53" s="17" t="s">
        <v>46</v>
      </c>
      <c r="B53" s="17" t="s">
        <v>558</v>
      </c>
      <c r="C53" s="28" t="s">
        <v>643</v>
      </c>
      <c r="D53" s="17" t="s">
        <v>666</v>
      </c>
      <c r="E53" s="17" t="s">
        <v>667</v>
      </c>
      <c r="F53" s="20">
        <v>509.94</v>
      </c>
      <c r="G53" s="20">
        <v>263</v>
      </c>
      <c r="H53" s="19">
        <v>1154</v>
      </c>
      <c r="I53" s="20">
        <v>596</v>
      </c>
      <c r="J53" s="20">
        <v>558</v>
      </c>
      <c r="K53" s="20">
        <v>232</v>
      </c>
      <c r="L53" s="44"/>
      <c r="M53" s="20">
        <v>12</v>
      </c>
      <c r="N53" s="44"/>
      <c r="O53" s="46">
        <v>73.05</v>
      </c>
      <c r="P53" s="46">
        <v>0</v>
      </c>
      <c r="Q53" s="44" t="s">
        <v>562</v>
      </c>
      <c r="R53" s="44"/>
      <c r="S53" s="44"/>
      <c r="T53" s="44"/>
      <c r="U53" s="44"/>
      <c r="V53" s="44"/>
      <c r="W53" s="44"/>
      <c r="X53" s="44" t="s">
        <v>562</v>
      </c>
      <c r="Y53" s="44"/>
      <c r="Z53" s="44"/>
      <c r="AA53" s="44"/>
      <c r="AB53" s="44"/>
      <c r="AC53" s="44" t="s">
        <v>562</v>
      </c>
      <c r="AD53" s="44"/>
      <c r="AE53" s="44"/>
      <c r="AF53" s="44"/>
      <c r="AG53" s="44"/>
      <c r="AH53" s="44"/>
      <c r="AI53" s="44"/>
    </row>
    <row r="54" spans="1:35" x14ac:dyDescent="0.35">
      <c r="A54" s="17" t="s">
        <v>46</v>
      </c>
      <c r="B54" s="17" t="s">
        <v>558</v>
      </c>
      <c r="C54" s="28" t="s">
        <v>643</v>
      </c>
      <c r="D54" s="17" t="s">
        <v>668</v>
      </c>
      <c r="E54" s="17" t="s">
        <v>669</v>
      </c>
      <c r="F54" s="20">
        <v>682.17</v>
      </c>
      <c r="G54" s="20">
        <v>274</v>
      </c>
      <c r="H54" s="19">
        <v>1448</v>
      </c>
      <c r="I54" s="20">
        <v>763</v>
      </c>
      <c r="J54" s="20">
        <v>685</v>
      </c>
      <c r="K54" s="20">
        <v>169</v>
      </c>
      <c r="L54" s="44"/>
      <c r="M54" s="20">
        <v>151</v>
      </c>
      <c r="N54" s="44"/>
      <c r="O54" s="46">
        <v>75.7</v>
      </c>
      <c r="P54" s="46">
        <v>0</v>
      </c>
      <c r="Q54" s="44" t="s">
        <v>51</v>
      </c>
      <c r="R54" s="44">
        <v>2021</v>
      </c>
      <c r="S54" s="44"/>
      <c r="T54" s="44"/>
      <c r="U54" s="44"/>
      <c r="V54" s="44"/>
      <c r="W54" s="44"/>
      <c r="X54" s="44" t="s">
        <v>51</v>
      </c>
      <c r="Y54" s="44"/>
      <c r="Z54" s="44"/>
      <c r="AA54" s="44"/>
      <c r="AB54" s="44"/>
      <c r="AC54" s="44" t="s">
        <v>51</v>
      </c>
      <c r="AD54" s="44"/>
      <c r="AE54" s="44"/>
      <c r="AF54" s="44"/>
      <c r="AG54" s="44"/>
      <c r="AH54" s="44"/>
      <c r="AI54" s="44"/>
    </row>
    <row r="55" spans="1:35" x14ac:dyDescent="0.35">
      <c r="A55" s="17" t="s">
        <v>46</v>
      </c>
      <c r="B55" s="17" t="s">
        <v>558</v>
      </c>
      <c r="C55" s="28" t="s">
        <v>643</v>
      </c>
      <c r="D55" s="17" t="s">
        <v>670</v>
      </c>
      <c r="E55" s="17" t="s">
        <v>671</v>
      </c>
      <c r="F55" s="20">
        <v>82.7</v>
      </c>
      <c r="G55" s="20">
        <v>39</v>
      </c>
      <c r="H55" s="19">
        <v>178</v>
      </c>
      <c r="I55" s="20">
        <v>95</v>
      </c>
      <c r="J55" s="20">
        <v>83</v>
      </c>
      <c r="K55" s="20">
        <v>22</v>
      </c>
      <c r="L55" s="44"/>
      <c r="M55" s="20">
        <v>30</v>
      </c>
      <c r="N55" s="44"/>
      <c r="O55" s="46">
        <v>8.6</v>
      </c>
      <c r="P55" s="46">
        <v>0</v>
      </c>
      <c r="Q55" s="44" t="s">
        <v>562</v>
      </c>
      <c r="R55" s="44"/>
      <c r="S55" s="44"/>
      <c r="T55" s="44"/>
      <c r="U55" s="44"/>
      <c r="V55" s="44"/>
      <c r="W55" s="44"/>
      <c r="X55" s="44" t="s">
        <v>562</v>
      </c>
      <c r="Y55" s="44"/>
      <c r="Z55" s="44"/>
      <c r="AA55" s="44"/>
      <c r="AB55" s="44"/>
      <c r="AC55" s="44" t="s">
        <v>562</v>
      </c>
      <c r="AD55" s="44"/>
      <c r="AE55" s="44"/>
      <c r="AF55" s="44"/>
      <c r="AG55" s="44"/>
      <c r="AH55" s="44"/>
      <c r="AI55" s="44"/>
    </row>
    <row r="56" spans="1:35" x14ac:dyDescent="0.35">
      <c r="A56" s="17" t="s">
        <v>46</v>
      </c>
      <c r="B56" s="17" t="s">
        <v>558</v>
      </c>
      <c r="C56" s="28" t="s">
        <v>643</v>
      </c>
      <c r="D56" s="17" t="s">
        <v>672</v>
      </c>
      <c r="E56" s="17" t="s">
        <v>673</v>
      </c>
      <c r="F56" s="20">
        <v>224.99</v>
      </c>
      <c r="G56" s="20">
        <v>120</v>
      </c>
      <c r="H56" s="19">
        <v>523</v>
      </c>
      <c r="I56" s="20">
        <v>285</v>
      </c>
      <c r="J56" s="20">
        <v>238</v>
      </c>
      <c r="K56" s="20">
        <v>87</v>
      </c>
      <c r="L56" s="44"/>
      <c r="M56" s="20">
        <v>0</v>
      </c>
      <c r="N56" s="44"/>
      <c r="O56" s="46">
        <v>25.25</v>
      </c>
      <c r="P56" s="46">
        <v>0</v>
      </c>
      <c r="Q56" s="44" t="s">
        <v>562</v>
      </c>
      <c r="R56" s="44"/>
      <c r="S56" s="44"/>
      <c r="T56" s="44"/>
      <c r="U56" s="44"/>
      <c r="V56" s="44"/>
      <c r="W56" s="44"/>
      <c r="X56" s="44" t="s">
        <v>562</v>
      </c>
      <c r="Y56" s="44"/>
      <c r="Z56" s="44"/>
      <c r="AA56" s="44"/>
      <c r="AB56" s="44"/>
      <c r="AC56" s="44" t="s">
        <v>562</v>
      </c>
      <c r="AD56" s="44"/>
      <c r="AE56" s="44"/>
      <c r="AF56" s="44"/>
      <c r="AG56" s="44"/>
      <c r="AH56" s="44"/>
      <c r="AI56" s="44"/>
    </row>
    <row r="57" spans="1:35" x14ac:dyDescent="0.35">
      <c r="A57" s="17" t="s">
        <v>46</v>
      </c>
      <c r="B57" s="17" t="s">
        <v>558</v>
      </c>
      <c r="C57" s="28" t="s">
        <v>643</v>
      </c>
      <c r="D57" s="17" t="s">
        <v>674</v>
      </c>
      <c r="E57" s="17" t="s">
        <v>675</v>
      </c>
      <c r="F57" s="20">
        <v>134.66</v>
      </c>
      <c r="G57" s="20">
        <v>109</v>
      </c>
      <c r="H57" s="19">
        <v>502</v>
      </c>
      <c r="I57" s="20">
        <v>256</v>
      </c>
      <c r="J57" s="20">
        <v>246</v>
      </c>
      <c r="K57" s="20">
        <v>34</v>
      </c>
      <c r="L57" s="44"/>
      <c r="M57" s="20">
        <v>137</v>
      </c>
      <c r="N57" s="44"/>
      <c r="O57" s="46">
        <v>23.75</v>
      </c>
      <c r="P57" s="46">
        <v>0</v>
      </c>
      <c r="Q57" s="44" t="s">
        <v>562</v>
      </c>
      <c r="R57" s="44"/>
      <c r="S57" s="44"/>
      <c r="T57" s="44"/>
      <c r="U57" s="44"/>
      <c r="V57" s="44"/>
      <c r="W57" s="44"/>
      <c r="X57" s="44" t="s">
        <v>562</v>
      </c>
      <c r="Y57" s="44"/>
      <c r="Z57" s="44"/>
      <c r="AA57" s="44"/>
      <c r="AB57" s="44"/>
      <c r="AC57" s="44" t="s">
        <v>562</v>
      </c>
      <c r="AD57" s="44"/>
      <c r="AE57" s="44"/>
      <c r="AF57" s="44"/>
      <c r="AG57" s="44"/>
      <c r="AH57" s="44"/>
      <c r="AI57" s="44"/>
    </row>
    <row r="58" spans="1:35" x14ac:dyDescent="0.35">
      <c r="A58" s="17" t="s">
        <v>46</v>
      </c>
      <c r="B58" s="17" t="s">
        <v>558</v>
      </c>
      <c r="C58" s="28" t="s">
        <v>632</v>
      </c>
      <c r="D58" s="17" t="s">
        <v>676</v>
      </c>
      <c r="E58" s="17" t="s">
        <v>677</v>
      </c>
      <c r="F58" s="20">
        <v>246</v>
      </c>
      <c r="G58" s="20">
        <v>42</v>
      </c>
      <c r="H58" s="19">
        <v>174</v>
      </c>
      <c r="I58" s="20">
        <v>90</v>
      </c>
      <c r="J58" s="20">
        <v>84</v>
      </c>
      <c r="K58" s="20">
        <v>0</v>
      </c>
      <c r="L58" s="44"/>
      <c r="M58" s="20">
        <v>0</v>
      </c>
      <c r="N58" s="44"/>
      <c r="O58" s="46">
        <v>0</v>
      </c>
      <c r="P58" s="46">
        <v>0</v>
      </c>
      <c r="Q58" s="44" t="s">
        <v>562</v>
      </c>
      <c r="R58" s="44"/>
      <c r="S58" s="44"/>
      <c r="T58" s="44"/>
      <c r="U58" s="44"/>
      <c r="V58" s="44"/>
      <c r="W58" s="44"/>
      <c r="X58" s="44" t="s">
        <v>562</v>
      </c>
      <c r="Y58" s="44"/>
      <c r="Z58" s="44"/>
      <c r="AA58" s="44"/>
      <c r="AB58" s="44"/>
      <c r="AC58" s="44" t="s">
        <v>562</v>
      </c>
      <c r="AD58" s="44"/>
      <c r="AE58" s="44"/>
      <c r="AF58" s="44"/>
      <c r="AG58" s="44"/>
      <c r="AH58" s="44"/>
      <c r="AI58" s="44"/>
    </row>
    <row r="59" spans="1:35" x14ac:dyDescent="0.35">
      <c r="A59" s="17" t="s">
        <v>46</v>
      </c>
      <c r="B59" s="17" t="s">
        <v>558</v>
      </c>
      <c r="C59" s="28" t="s">
        <v>678</v>
      </c>
      <c r="D59" s="17" t="s">
        <v>123</v>
      </c>
      <c r="E59" s="17" t="s">
        <v>679</v>
      </c>
      <c r="F59" s="20">
        <v>156.33000000000001</v>
      </c>
      <c r="G59" s="20">
        <v>65</v>
      </c>
      <c r="H59" s="19">
        <v>312</v>
      </c>
      <c r="I59" s="20">
        <v>159</v>
      </c>
      <c r="J59" s="20">
        <v>153</v>
      </c>
      <c r="K59" s="20">
        <v>0</v>
      </c>
      <c r="L59" s="44"/>
      <c r="M59" s="20">
        <v>155</v>
      </c>
      <c r="N59" s="44"/>
      <c r="O59" s="46">
        <v>16.55</v>
      </c>
      <c r="P59" s="46">
        <v>0</v>
      </c>
      <c r="Q59" s="44" t="s">
        <v>562</v>
      </c>
      <c r="R59" s="44"/>
      <c r="S59" s="44"/>
      <c r="T59" s="44"/>
      <c r="U59" s="44"/>
      <c r="V59" s="44"/>
      <c r="W59" s="44"/>
      <c r="X59" s="44" t="s">
        <v>562</v>
      </c>
      <c r="Y59" s="44"/>
      <c r="Z59" s="44"/>
      <c r="AA59" s="44"/>
      <c r="AB59" s="44"/>
      <c r="AC59" s="44" t="s">
        <v>562</v>
      </c>
      <c r="AD59" s="44"/>
      <c r="AE59" s="44"/>
      <c r="AF59" s="44"/>
      <c r="AG59" s="44"/>
      <c r="AH59" s="44"/>
      <c r="AI59" s="44"/>
    </row>
    <row r="60" spans="1:35" x14ac:dyDescent="0.35">
      <c r="A60" s="17" t="s">
        <v>46</v>
      </c>
      <c r="B60" s="17" t="s">
        <v>558</v>
      </c>
      <c r="C60" s="28" t="s">
        <v>678</v>
      </c>
      <c r="D60" s="17" t="s">
        <v>680</v>
      </c>
      <c r="E60" s="17" t="s">
        <v>681</v>
      </c>
      <c r="F60" s="20">
        <v>175.89</v>
      </c>
      <c r="G60" s="20">
        <v>42</v>
      </c>
      <c r="H60" s="19">
        <v>189</v>
      </c>
      <c r="I60" s="20">
        <v>99</v>
      </c>
      <c r="J60" s="20">
        <v>90</v>
      </c>
      <c r="K60" s="20">
        <v>0</v>
      </c>
      <c r="L60" s="44"/>
      <c r="M60" s="20">
        <v>0</v>
      </c>
      <c r="N60" s="44"/>
      <c r="O60" s="46">
        <v>24.7</v>
      </c>
      <c r="P60" s="46">
        <v>0</v>
      </c>
      <c r="Q60" s="44" t="s">
        <v>562</v>
      </c>
      <c r="R60" s="44"/>
      <c r="S60" s="44"/>
      <c r="T60" s="44"/>
      <c r="U60" s="44"/>
      <c r="V60" s="44"/>
      <c r="W60" s="44"/>
      <c r="X60" s="44" t="s">
        <v>562</v>
      </c>
      <c r="Y60" s="44"/>
      <c r="Z60" s="44"/>
      <c r="AA60" s="44"/>
      <c r="AB60" s="44"/>
      <c r="AC60" s="44" t="s">
        <v>562</v>
      </c>
      <c r="AD60" s="44"/>
      <c r="AE60" s="44"/>
      <c r="AF60" s="44"/>
      <c r="AG60" s="44"/>
      <c r="AH60" s="44"/>
      <c r="AI60" s="44"/>
    </row>
    <row r="61" spans="1:35" x14ac:dyDescent="0.35">
      <c r="A61" s="17" t="s">
        <v>46</v>
      </c>
      <c r="B61" s="17" t="s">
        <v>558</v>
      </c>
      <c r="C61" s="28" t="s">
        <v>678</v>
      </c>
      <c r="D61" s="17" t="s">
        <v>682</v>
      </c>
      <c r="E61" s="17" t="s">
        <v>683</v>
      </c>
      <c r="F61" s="20">
        <v>310.74</v>
      </c>
      <c r="G61" s="20">
        <v>64</v>
      </c>
      <c r="H61" s="19">
        <v>284</v>
      </c>
      <c r="I61" s="20">
        <v>142</v>
      </c>
      <c r="J61" s="20">
        <v>142</v>
      </c>
      <c r="K61" s="20">
        <v>32</v>
      </c>
      <c r="L61" s="44"/>
      <c r="M61" s="20">
        <v>55</v>
      </c>
      <c r="N61" s="44"/>
      <c r="O61" s="46">
        <v>59.24</v>
      </c>
      <c r="P61" s="46">
        <v>0</v>
      </c>
      <c r="Q61" s="44" t="s">
        <v>562</v>
      </c>
      <c r="R61" s="44"/>
      <c r="S61" s="44"/>
      <c r="T61" s="44"/>
      <c r="U61" s="44"/>
      <c r="V61" s="44"/>
      <c r="W61" s="44"/>
      <c r="X61" s="44" t="s">
        <v>562</v>
      </c>
      <c r="Y61" s="44"/>
      <c r="Z61" s="44"/>
      <c r="AA61" s="44"/>
      <c r="AB61" s="44"/>
      <c r="AC61" s="44" t="s">
        <v>562</v>
      </c>
      <c r="AD61" s="44"/>
      <c r="AE61" s="44"/>
      <c r="AF61" s="44"/>
      <c r="AG61" s="44"/>
      <c r="AH61" s="44"/>
      <c r="AI61" s="44"/>
    </row>
    <row r="62" spans="1:35" x14ac:dyDescent="0.35">
      <c r="A62" s="17" t="s">
        <v>46</v>
      </c>
      <c r="B62" s="17" t="s">
        <v>558</v>
      </c>
      <c r="C62" s="28" t="s">
        <v>684</v>
      </c>
      <c r="D62" s="17" t="s">
        <v>160</v>
      </c>
      <c r="E62" s="17" t="s">
        <v>685</v>
      </c>
      <c r="F62" s="20">
        <v>162.82</v>
      </c>
      <c r="G62" s="20">
        <v>30</v>
      </c>
      <c r="H62" s="19">
        <v>135</v>
      </c>
      <c r="I62" s="20">
        <v>67</v>
      </c>
      <c r="J62" s="20">
        <v>68</v>
      </c>
      <c r="K62" s="20">
        <v>0</v>
      </c>
      <c r="L62" s="44"/>
      <c r="M62" s="20">
        <v>0</v>
      </c>
      <c r="N62" s="44"/>
      <c r="O62" s="46">
        <v>5.71</v>
      </c>
      <c r="P62" s="46">
        <v>0</v>
      </c>
      <c r="Q62" s="44" t="s">
        <v>562</v>
      </c>
      <c r="R62" s="44"/>
      <c r="S62" s="44"/>
      <c r="T62" s="44"/>
      <c r="U62" s="44"/>
      <c r="V62" s="44"/>
      <c r="W62" s="44"/>
      <c r="X62" s="44" t="s">
        <v>562</v>
      </c>
      <c r="Y62" s="44"/>
      <c r="Z62" s="44"/>
      <c r="AA62" s="44"/>
      <c r="AB62" s="44"/>
      <c r="AC62" s="44" t="s">
        <v>562</v>
      </c>
      <c r="AD62" s="44"/>
      <c r="AE62" s="44"/>
      <c r="AF62" s="44"/>
      <c r="AG62" s="44"/>
      <c r="AH62" s="44"/>
      <c r="AI62" s="44"/>
    </row>
    <row r="63" spans="1:35" x14ac:dyDescent="0.35">
      <c r="A63" s="17" t="s">
        <v>46</v>
      </c>
      <c r="B63" s="17" t="s">
        <v>558</v>
      </c>
      <c r="C63" s="28" t="s">
        <v>686</v>
      </c>
      <c r="D63" s="17" t="s">
        <v>687</v>
      </c>
      <c r="E63" s="17" t="s">
        <v>688</v>
      </c>
      <c r="F63" s="20">
        <v>412.88</v>
      </c>
      <c r="G63" s="20">
        <v>133</v>
      </c>
      <c r="H63" s="19">
        <v>561</v>
      </c>
      <c r="I63" s="20">
        <v>280</v>
      </c>
      <c r="J63" s="20">
        <v>281</v>
      </c>
      <c r="K63" s="20">
        <v>66</v>
      </c>
      <c r="L63" s="44"/>
      <c r="M63" s="20">
        <v>48</v>
      </c>
      <c r="N63" s="44"/>
      <c r="O63" s="46">
        <v>41.8</v>
      </c>
      <c r="P63" s="46">
        <v>0</v>
      </c>
      <c r="Q63" s="44" t="s">
        <v>562</v>
      </c>
      <c r="R63" s="44"/>
      <c r="S63" s="44"/>
      <c r="T63" s="44"/>
      <c r="U63" s="44"/>
      <c r="V63" s="44"/>
      <c r="W63" s="44"/>
      <c r="X63" s="44" t="s">
        <v>562</v>
      </c>
      <c r="Y63" s="44"/>
      <c r="Z63" s="44"/>
      <c r="AA63" s="44"/>
      <c r="AB63" s="44"/>
      <c r="AC63" s="44" t="s">
        <v>562</v>
      </c>
      <c r="AD63" s="44"/>
      <c r="AE63" s="44"/>
      <c r="AF63" s="44"/>
      <c r="AG63" s="44"/>
      <c r="AH63" s="44"/>
      <c r="AI63" s="44"/>
    </row>
    <row r="64" spans="1:35" x14ac:dyDescent="0.35">
      <c r="A64" s="17" t="s">
        <v>46</v>
      </c>
      <c r="B64" s="17" t="s">
        <v>558</v>
      </c>
      <c r="C64" s="28" t="s">
        <v>686</v>
      </c>
      <c r="D64" s="17" t="s">
        <v>403</v>
      </c>
      <c r="E64" s="17" t="s">
        <v>689</v>
      </c>
      <c r="F64" s="20">
        <v>201.78</v>
      </c>
      <c r="G64" s="20">
        <v>78</v>
      </c>
      <c r="H64" s="19">
        <v>332</v>
      </c>
      <c r="I64" s="20">
        <v>169</v>
      </c>
      <c r="J64" s="20">
        <v>163</v>
      </c>
      <c r="K64" s="20">
        <v>132</v>
      </c>
      <c r="L64" s="44"/>
      <c r="M64" s="20">
        <v>50</v>
      </c>
      <c r="N64" s="44"/>
      <c r="O64" s="46">
        <v>41.27</v>
      </c>
      <c r="P64" s="46">
        <v>0</v>
      </c>
      <c r="Q64" s="44" t="s">
        <v>562</v>
      </c>
      <c r="R64" s="44"/>
      <c r="S64" s="44"/>
      <c r="T64" s="44"/>
      <c r="U64" s="44"/>
      <c r="V64" s="44"/>
      <c r="W64" s="44"/>
      <c r="X64" s="44" t="s">
        <v>562</v>
      </c>
      <c r="Y64" s="44"/>
      <c r="Z64" s="44"/>
      <c r="AA64" s="44"/>
      <c r="AB64" s="44"/>
      <c r="AC64" s="44" t="s">
        <v>562</v>
      </c>
      <c r="AD64" s="44"/>
      <c r="AE64" s="44"/>
      <c r="AF64" s="44"/>
      <c r="AG64" s="44"/>
      <c r="AH64" s="44"/>
      <c r="AI64" s="44"/>
    </row>
    <row r="65" spans="1:35" x14ac:dyDescent="0.35">
      <c r="A65" s="17" t="s">
        <v>46</v>
      </c>
      <c r="B65" s="17" t="s">
        <v>558</v>
      </c>
      <c r="C65" s="28" t="s">
        <v>690</v>
      </c>
      <c r="D65" s="17" t="s">
        <v>691</v>
      </c>
      <c r="E65" s="17" t="s">
        <v>692</v>
      </c>
      <c r="F65" s="20">
        <v>757.28</v>
      </c>
      <c r="G65" s="20">
        <v>290</v>
      </c>
      <c r="H65" s="19">
        <v>1305</v>
      </c>
      <c r="I65" s="20">
        <v>627</v>
      </c>
      <c r="J65" s="20">
        <v>678</v>
      </c>
      <c r="K65" s="20">
        <v>256</v>
      </c>
      <c r="L65" s="44"/>
      <c r="M65" s="20">
        <v>224</v>
      </c>
      <c r="N65" s="44"/>
      <c r="O65" s="46">
        <v>0</v>
      </c>
      <c r="P65" s="46">
        <v>0</v>
      </c>
      <c r="Q65" s="44" t="s">
        <v>51</v>
      </c>
      <c r="R65" s="44">
        <v>2021</v>
      </c>
      <c r="S65" s="44"/>
      <c r="T65" s="44"/>
      <c r="U65" s="44"/>
      <c r="V65" s="44"/>
      <c r="W65" s="44"/>
      <c r="X65" s="44" t="s">
        <v>51</v>
      </c>
      <c r="Y65" s="44"/>
      <c r="Z65" s="44"/>
      <c r="AA65" s="44"/>
      <c r="AB65" s="44"/>
      <c r="AC65" s="44" t="s">
        <v>51</v>
      </c>
      <c r="AD65" s="44"/>
      <c r="AE65" s="44"/>
      <c r="AF65" s="44"/>
      <c r="AG65" s="44"/>
      <c r="AH65" s="44"/>
      <c r="AI65" s="44"/>
    </row>
    <row r="66" spans="1:35" x14ac:dyDescent="0.35">
      <c r="A66" s="17" t="s">
        <v>46</v>
      </c>
      <c r="B66" s="17" t="s">
        <v>558</v>
      </c>
      <c r="C66" s="28" t="s">
        <v>686</v>
      </c>
      <c r="D66" s="17" t="s">
        <v>693</v>
      </c>
      <c r="E66" s="17" t="s">
        <v>694</v>
      </c>
      <c r="F66" s="20">
        <v>594.24</v>
      </c>
      <c r="G66" s="20">
        <v>188</v>
      </c>
      <c r="H66" s="19">
        <v>918</v>
      </c>
      <c r="I66" s="20">
        <v>444</v>
      </c>
      <c r="J66" s="20">
        <v>474</v>
      </c>
      <c r="K66" s="20">
        <v>158</v>
      </c>
      <c r="L66" s="44"/>
      <c r="M66" s="20">
        <v>35</v>
      </c>
      <c r="N66" s="44"/>
      <c r="O66" s="46">
        <v>87.7</v>
      </c>
      <c r="P66" s="46">
        <v>0</v>
      </c>
      <c r="Q66" s="44" t="s">
        <v>562</v>
      </c>
      <c r="R66" s="44"/>
      <c r="S66" s="44"/>
      <c r="T66" s="44"/>
      <c r="U66" s="44"/>
      <c r="V66" s="44"/>
      <c r="W66" s="44"/>
      <c r="X66" s="44" t="s">
        <v>562</v>
      </c>
      <c r="Y66" s="44"/>
      <c r="Z66" s="44"/>
      <c r="AA66" s="44"/>
      <c r="AB66" s="44"/>
      <c r="AC66" s="44" t="s">
        <v>562</v>
      </c>
      <c r="AD66" s="44"/>
      <c r="AE66" s="44"/>
      <c r="AF66" s="44"/>
      <c r="AG66" s="44"/>
      <c r="AH66" s="44"/>
      <c r="AI66" s="44"/>
    </row>
    <row r="67" spans="1:35" x14ac:dyDescent="0.35">
      <c r="A67" s="17" t="s">
        <v>46</v>
      </c>
      <c r="B67" s="17" t="s">
        <v>558</v>
      </c>
      <c r="C67" s="28" t="s">
        <v>686</v>
      </c>
      <c r="D67" s="17" t="s">
        <v>215</v>
      </c>
      <c r="E67" s="17" t="s">
        <v>695</v>
      </c>
      <c r="F67" s="20">
        <v>102.53</v>
      </c>
      <c r="G67" s="20">
        <v>71</v>
      </c>
      <c r="H67" s="19">
        <v>326</v>
      </c>
      <c r="I67" s="20">
        <v>153</v>
      </c>
      <c r="J67" s="20">
        <v>173</v>
      </c>
      <c r="K67" s="20">
        <v>8</v>
      </c>
      <c r="L67" s="44"/>
      <c r="M67" s="20">
        <v>17</v>
      </c>
      <c r="N67" s="44"/>
      <c r="O67" s="46">
        <v>5.5</v>
      </c>
      <c r="P67" s="46">
        <v>0</v>
      </c>
      <c r="Q67" s="44" t="s">
        <v>562</v>
      </c>
      <c r="R67" s="44"/>
      <c r="S67" s="44"/>
      <c r="T67" s="44"/>
      <c r="U67" s="44"/>
      <c r="V67" s="44"/>
      <c r="W67" s="44"/>
      <c r="X67" s="44" t="s">
        <v>562</v>
      </c>
      <c r="Y67" s="44"/>
      <c r="Z67" s="44"/>
      <c r="AA67" s="44"/>
      <c r="AB67" s="44"/>
      <c r="AC67" s="44" t="s">
        <v>562</v>
      </c>
      <c r="AD67" s="44"/>
      <c r="AE67" s="44"/>
      <c r="AF67" s="44"/>
      <c r="AG67" s="44"/>
      <c r="AH67" s="44"/>
      <c r="AI67" s="44"/>
    </row>
    <row r="68" spans="1:35" x14ac:dyDescent="0.35">
      <c r="A68" s="17" t="s">
        <v>46</v>
      </c>
      <c r="B68" s="17" t="s">
        <v>558</v>
      </c>
      <c r="C68" s="28" t="s">
        <v>686</v>
      </c>
      <c r="D68" s="17" t="s">
        <v>696</v>
      </c>
      <c r="E68" s="17" t="s">
        <v>697</v>
      </c>
      <c r="F68" s="20">
        <v>373.26</v>
      </c>
      <c r="G68" s="20">
        <v>99</v>
      </c>
      <c r="H68" s="19">
        <v>447</v>
      </c>
      <c r="I68" s="20">
        <v>224</v>
      </c>
      <c r="J68" s="20">
        <v>223</v>
      </c>
      <c r="K68" s="20">
        <v>50</v>
      </c>
      <c r="L68" s="44"/>
      <c r="M68" s="20">
        <v>28</v>
      </c>
      <c r="N68" s="44"/>
      <c r="O68" s="46">
        <v>47.84</v>
      </c>
      <c r="P68" s="46">
        <v>0</v>
      </c>
      <c r="Q68" s="44" t="s">
        <v>51</v>
      </c>
      <c r="R68" s="44">
        <v>2021</v>
      </c>
      <c r="S68" s="44"/>
      <c r="T68" s="44"/>
      <c r="U68" s="44"/>
      <c r="V68" s="44"/>
      <c r="W68" s="44"/>
      <c r="X68" s="44" t="s">
        <v>51</v>
      </c>
      <c r="Y68" s="44"/>
      <c r="Z68" s="44"/>
      <c r="AA68" s="44"/>
      <c r="AB68" s="44"/>
      <c r="AC68" s="44" t="s">
        <v>51</v>
      </c>
      <c r="AD68" s="44"/>
      <c r="AE68" s="44"/>
      <c r="AF68" s="44"/>
      <c r="AG68" s="44"/>
      <c r="AH68" s="44"/>
      <c r="AI68" s="44"/>
    </row>
    <row r="69" spans="1:35" x14ac:dyDescent="0.35">
      <c r="A69" s="17" t="s">
        <v>46</v>
      </c>
      <c r="B69" s="17" t="s">
        <v>558</v>
      </c>
      <c r="C69" s="28" t="s">
        <v>686</v>
      </c>
      <c r="D69" s="17" t="s">
        <v>698</v>
      </c>
      <c r="E69" s="17" t="s">
        <v>699</v>
      </c>
      <c r="F69" s="20">
        <v>246.65</v>
      </c>
      <c r="G69" s="20">
        <v>89</v>
      </c>
      <c r="H69" s="19">
        <v>389</v>
      </c>
      <c r="I69" s="20">
        <v>182</v>
      </c>
      <c r="J69" s="20">
        <v>207</v>
      </c>
      <c r="K69" s="20">
        <v>51</v>
      </c>
      <c r="L69" s="44"/>
      <c r="M69" s="20">
        <v>9</v>
      </c>
      <c r="N69" s="44"/>
      <c r="O69" s="46">
        <v>36.119999999999997</v>
      </c>
      <c r="P69" s="46">
        <v>0</v>
      </c>
      <c r="Q69" s="44" t="s">
        <v>562</v>
      </c>
      <c r="R69" s="44"/>
      <c r="S69" s="44"/>
      <c r="T69" s="44"/>
      <c r="U69" s="44"/>
      <c r="V69" s="44"/>
      <c r="W69" s="44"/>
      <c r="X69" s="44" t="s">
        <v>562</v>
      </c>
      <c r="Y69" s="44"/>
      <c r="Z69" s="44"/>
      <c r="AA69" s="44"/>
      <c r="AB69" s="44"/>
      <c r="AC69" s="44" t="s">
        <v>562</v>
      </c>
      <c r="AD69" s="44"/>
      <c r="AE69" s="44"/>
      <c r="AF69" s="44"/>
      <c r="AG69" s="44"/>
      <c r="AH69" s="44"/>
      <c r="AI69" s="44"/>
    </row>
    <row r="70" spans="1:35" x14ac:dyDescent="0.35">
      <c r="A70" s="17" t="s">
        <v>46</v>
      </c>
      <c r="B70" s="17" t="s">
        <v>558</v>
      </c>
      <c r="C70" s="28" t="s">
        <v>700</v>
      </c>
      <c r="D70" s="17" t="s">
        <v>701</v>
      </c>
      <c r="E70" s="17" t="s">
        <v>702</v>
      </c>
      <c r="F70" s="20">
        <v>990.41</v>
      </c>
      <c r="G70" s="20">
        <v>709</v>
      </c>
      <c r="H70" s="19">
        <v>3334</v>
      </c>
      <c r="I70" s="20">
        <v>1689</v>
      </c>
      <c r="J70" s="20">
        <v>1645</v>
      </c>
      <c r="K70" s="20">
        <v>869</v>
      </c>
      <c r="L70" s="44"/>
      <c r="M70" s="20">
        <v>121</v>
      </c>
      <c r="N70" s="44"/>
      <c r="O70" s="46">
        <v>71.77</v>
      </c>
      <c r="P70" s="46">
        <v>0</v>
      </c>
      <c r="Q70" s="44" t="s">
        <v>562</v>
      </c>
      <c r="R70" s="44"/>
      <c r="S70" s="44"/>
      <c r="T70" s="44"/>
      <c r="U70" s="44"/>
      <c r="V70" s="44"/>
      <c r="W70" s="44"/>
      <c r="X70" s="44" t="s">
        <v>562</v>
      </c>
      <c r="Y70" s="44"/>
      <c r="Z70" s="44"/>
      <c r="AA70" s="44"/>
      <c r="AB70" s="44"/>
      <c r="AC70" s="44" t="s">
        <v>562</v>
      </c>
      <c r="AD70" s="44"/>
      <c r="AE70" s="44"/>
      <c r="AF70" s="44"/>
      <c r="AG70" s="44"/>
      <c r="AH70" s="44"/>
      <c r="AI70" s="44"/>
    </row>
    <row r="71" spans="1:35" x14ac:dyDescent="0.35">
      <c r="A71" s="17" t="s">
        <v>46</v>
      </c>
      <c r="B71" s="17" t="s">
        <v>558</v>
      </c>
      <c r="C71" s="28" t="s">
        <v>597</v>
      </c>
      <c r="D71" s="17" t="s">
        <v>703</v>
      </c>
      <c r="E71" s="17" t="s">
        <v>704</v>
      </c>
      <c r="F71" s="20">
        <v>225.7</v>
      </c>
      <c r="G71" s="20">
        <v>138</v>
      </c>
      <c r="H71" s="19">
        <v>634</v>
      </c>
      <c r="I71" s="20">
        <v>331</v>
      </c>
      <c r="J71" s="20">
        <v>303</v>
      </c>
      <c r="K71" s="20">
        <v>89</v>
      </c>
      <c r="L71" s="44"/>
      <c r="M71" s="20">
        <v>191</v>
      </c>
      <c r="N71" s="44"/>
      <c r="O71" s="46">
        <v>39.229999999999997</v>
      </c>
      <c r="P71" s="46">
        <v>0</v>
      </c>
      <c r="Q71" s="44" t="s">
        <v>51</v>
      </c>
      <c r="R71" s="44">
        <v>2020</v>
      </c>
      <c r="S71" s="44"/>
      <c r="T71" s="44"/>
      <c r="U71" s="44"/>
      <c r="V71" s="44"/>
      <c r="W71" s="44"/>
      <c r="X71" s="44" t="s">
        <v>51</v>
      </c>
      <c r="Y71" s="44"/>
      <c r="Z71" s="44"/>
      <c r="AA71" s="44"/>
      <c r="AB71" s="44"/>
      <c r="AC71" s="44" t="s">
        <v>51</v>
      </c>
      <c r="AD71" s="44"/>
      <c r="AE71" s="44"/>
      <c r="AF71" s="44"/>
      <c r="AG71" s="44"/>
      <c r="AH71" s="44"/>
      <c r="AI71" s="44"/>
    </row>
    <row r="72" spans="1:35" x14ac:dyDescent="0.35">
      <c r="A72" s="17" t="s">
        <v>46</v>
      </c>
      <c r="B72" s="17" t="s">
        <v>558</v>
      </c>
      <c r="C72" s="28" t="s">
        <v>597</v>
      </c>
      <c r="D72" s="17" t="s">
        <v>705</v>
      </c>
      <c r="E72" s="17" t="s">
        <v>706</v>
      </c>
      <c r="F72" s="20">
        <v>172.99</v>
      </c>
      <c r="G72" s="20">
        <v>106</v>
      </c>
      <c r="H72" s="19">
        <v>490</v>
      </c>
      <c r="I72" s="20">
        <v>248</v>
      </c>
      <c r="J72" s="20">
        <v>242</v>
      </c>
      <c r="K72" s="20">
        <v>199</v>
      </c>
      <c r="L72" s="44"/>
      <c r="M72" s="20">
        <v>47</v>
      </c>
      <c r="N72" s="44"/>
      <c r="O72" s="46">
        <v>23.7</v>
      </c>
      <c r="P72" s="46">
        <v>38.5</v>
      </c>
      <c r="Q72" s="44" t="s">
        <v>51</v>
      </c>
      <c r="R72" s="44">
        <v>2020</v>
      </c>
      <c r="S72" s="44"/>
      <c r="T72" s="44"/>
      <c r="U72" s="44"/>
      <c r="V72" s="44"/>
      <c r="W72" s="44"/>
      <c r="X72" s="44" t="s">
        <v>51</v>
      </c>
      <c r="Y72" s="44"/>
      <c r="Z72" s="44"/>
      <c r="AA72" s="44"/>
      <c r="AB72" s="44"/>
      <c r="AC72" s="44" t="s">
        <v>51</v>
      </c>
      <c r="AD72" s="44"/>
      <c r="AE72" s="44"/>
      <c r="AF72" s="44"/>
      <c r="AG72" s="44"/>
      <c r="AH72" s="44"/>
      <c r="AI72" s="44"/>
    </row>
    <row r="73" spans="1:35" x14ac:dyDescent="0.35">
      <c r="A73" s="17" t="s">
        <v>46</v>
      </c>
      <c r="B73" s="17" t="s">
        <v>558</v>
      </c>
      <c r="C73" s="28" t="s">
        <v>597</v>
      </c>
      <c r="D73" s="17" t="s">
        <v>707</v>
      </c>
      <c r="E73" s="17" t="s">
        <v>708</v>
      </c>
      <c r="F73" s="20">
        <v>469.48</v>
      </c>
      <c r="G73" s="20">
        <v>104</v>
      </c>
      <c r="H73" s="19">
        <v>407</v>
      </c>
      <c r="I73" s="20">
        <v>214</v>
      </c>
      <c r="J73" s="20">
        <v>193</v>
      </c>
      <c r="K73" s="20">
        <v>28</v>
      </c>
      <c r="L73" s="44"/>
      <c r="M73" s="20">
        <v>139</v>
      </c>
      <c r="N73" s="44"/>
      <c r="O73" s="46">
        <v>46.26</v>
      </c>
      <c r="P73" s="46">
        <v>141.13</v>
      </c>
      <c r="Q73" s="44" t="s">
        <v>51</v>
      </c>
      <c r="R73" s="44">
        <v>2020</v>
      </c>
      <c r="S73" s="44"/>
      <c r="T73" s="44"/>
      <c r="U73" s="44"/>
      <c r="V73" s="44"/>
      <c r="W73" s="44"/>
      <c r="X73" s="44" t="s">
        <v>51</v>
      </c>
      <c r="Y73" s="44"/>
      <c r="Z73" s="44"/>
      <c r="AA73" s="44"/>
      <c r="AB73" s="44"/>
      <c r="AC73" s="44" t="s">
        <v>51</v>
      </c>
      <c r="AD73" s="44"/>
      <c r="AE73" s="44"/>
      <c r="AF73" s="44"/>
      <c r="AG73" s="44"/>
      <c r="AH73" s="44"/>
      <c r="AI73" s="44"/>
    </row>
    <row r="74" spans="1:35" x14ac:dyDescent="0.35">
      <c r="A74" s="17" t="s">
        <v>46</v>
      </c>
      <c r="B74" s="17" t="s">
        <v>558</v>
      </c>
      <c r="C74" s="28" t="s">
        <v>597</v>
      </c>
      <c r="D74" s="17" t="s">
        <v>709</v>
      </c>
      <c r="E74" s="17" t="s">
        <v>710</v>
      </c>
      <c r="F74" s="20">
        <v>273.75</v>
      </c>
      <c r="G74" s="20">
        <v>218</v>
      </c>
      <c r="H74" s="19">
        <v>885</v>
      </c>
      <c r="I74" s="20">
        <v>437</v>
      </c>
      <c r="J74" s="20">
        <v>448</v>
      </c>
      <c r="K74" s="20">
        <v>180</v>
      </c>
      <c r="L74" s="44"/>
      <c r="M74" s="20">
        <v>461</v>
      </c>
      <c r="N74" s="44"/>
      <c r="O74" s="46">
        <v>34.6</v>
      </c>
      <c r="P74" s="46">
        <v>0</v>
      </c>
      <c r="Q74" s="44" t="s">
        <v>51</v>
      </c>
      <c r="R74" s="44">
        <v>2020</v>
      </c>
      <c r="S74" s="44"/>
      <c r="T74" s="44"/>
      <c r="U74" s="44"/>
      <c r="V74" s="44"/>
      <c r="W74" s="44"/>
      <c r="X74" s="44" t="s">
        <v>51</v>
      </c>
      <c r="Y74" s="44"/>
      <c r="Z74" s="44"/>
      <c r="AA74" s="44"/>
      <c r="AB74" s="44"/>
      <c r="AC74" s="44" t="s">
        <v>51</v>
      </c>
      <c r="AD74" s="44"/>
      <c r="AE74" s="44"/>
      <c r="AF74" s="44"/>
      <c r="AG74" s="44"/>
      <c r="AH74" s="44"/>
      <c r="AI74" s="44"/>
    </row>
    <row r="75" spans="1:35" x14ac:dyDescent="0.35">
      <c r="A75" s="17" t="s">
        <v>46</v>
      </c>
      <c r="B75" s="17" t="s">
        <v>558</v>
      </c>
      <c r="C75" s="28" t="s">
        <v>711</v>
      </c>
      <c r="D75" s="17" t="s">
        <v>712</v>
      </c>
      <c r="E75" s="17" t="s">
        <v>713</v>
      </c>
      <c r="F75" s="20">
        <v>965.16</v>
      </c>
      <c r="G75" s="20">
        <v>953</v>
      </c>
      <c r="H75" s="19">
        <v>4317</v>
      </c>
      <c r="I75" s="20">
        <v>2164</v>
      </c>
      <c r="J75" s="20">
        <v>2153</v>
      </c>
      <c r="K75" s="20">
        <v>959</v>
      </c>
      <c r="L75" s="44"/>
      <c r="M75" s="20">
        <v>4</v>
      </c>
      <c r="N75" s="44"/>
      <c r="O75" s="46">
        <v>0</v>
      </c>
      <c r="P75" s="46">
        <v>77</v>
      </c>
      <c r="Q75" s="44" t="s">
        <v>562</v>
      </c>
      <c r="R75" s="44"/>
      <c r="S75" s="44"/>
      <c r="T75" s="44"/>
      <c r="U75" s="44"/>
      <c r="V75" s="44"/>
      <c r="W75" s="44"/>
      <c r="X75" s="44" t="s">
        <v>562</v>
      </c>
      <c r="Y75" s="44"/>
      <c r="Z75" s="44"/>
      <c r="AA75" s="44"/>
      <c r="AB75" s="44"/>
      <c r="AC75" s="44" t="s">
        <v>562</v>
      </c>
      <c r="AD75" s="44"/>
      <c r="AE75" s="44"/>
      <c r="AF75" s="44"/>
      <c r="AG75" s="44"/>
      <c r="AH75" s="44"/>
      <c r="AI75" s="44"/>
    </row>
    <row r="76" spans="1:35" x14ac:dyDescent="0.35">
      <c r="A76" s="17" t="s">
        <v>46</v>
      </c>
      <c r="B76" s="17" t="s">
        <v>558</v>
      </c>
      <c r="C76" s="28" t="s">
        <v>711</v>
      </c>
      <c r="D76" s="17" t="s">
        <v>714</v>
      </c>
      <c r="E76" s="17" t="s">
        <v>715</v>
      </c>
      <c r="F76" s="20">
        <v>170.5</v>
      </c>
      <c r="G76" s="20">
        <v>39</v>
      </c>
      <c r="H76" s="19">
        <v>209</v>
      </c>
      <c r="I76" s="20">
        <v>101</v>
      </c>
      <c r="J76" s="20">
        <v>108</v>
      </c>
      <c r="K76" s="20">
        <v>0</v>
      </c>
      <c r="L76" s="44"/>
      <c r="M76" s="20">
        <v>0</v>
      </c>
      <c r="N76" s="44"/>
      <c r="O76" s="46">
        <v>12.5</v>
      </c>
      <c r="P76" s="46">
        <v>0</v>
      </c>
      <c r="Q76" s="44" t="s">
        <v>51</v>
      </c>
      <c r="R76" s="44">
        <v>2021</v>
      </c>
      <c r="S76" s="44"/>
      <c r="T76" s="44"/>
      <c r="U76" s="44"/>
      <c r="V76" s="44"/>
      <c r="W76" s="44"/>
      <c r="X76" s="44" t="s">
        <v>51</v>
      </c>
      <c r="Y76" s="44"/>
      <c r="Z76" s="44"/>
      <c r="AA76" s="44"/>
      <c r="AB76" s="44"/>
      <c r="AC76" s="44" t="s">
        <v>51</v>
      </c>
      <c r="AD76" s="44"/>
      <c r="AE76" s="44"/>
      <c r="AF76" s="44"/>
      <c r="AG76" s="44"/>
      <c r="AH76" s="44"/>
      <c r="AI76" s="44"/>
    </row>
    <row r="77" spans="1:35" x14ac:dyDescent="0.35">
      <c r="A77" s="17" t="s">
        <v>46</v>
      </c>
      <c r="B77" s="17" t="s">
        <v>558</v>
      </c>
      <c r="C77" s="28" t="s">
        <v>711</v>
      </c>
      <c r="D77" s="17" t="s">
        <v>716</v>
      </c>
      <c r="E77" s="17" t="s">
        <v>717</v>
      </c>
      <c r="F77" s="20">
        <v>588.66</v>
      </c>
      <c r="G77" s="20">
        <v>121</v>
      </c>
      <c r="H77" s="19">
        <v>529</v>
      </c>
      <c r="I77" s="20">
        <v>285</v>
      </c>
      <c r="J77" s="20">
        <v>244</v>
      </c>
      <c r="K77" s="20">
        <v>10</v>
      </c>
      <c r="L77" s="44"/>
      <c r="M77" s="20">
        <v>515</v>
      </c>
      <c r="N77" s="44"/>
      <c r="O77" s="46">
        <v>13.37</v>
      </c>
      <c r="P77" s="46">
        <v>305.85000000000002</v>
      </c>
      <c r="Q77" s="44" t="s">
        <v>51</v>
      </c>
      <c r="R77" s="44">
        <v>2021</v>
      </c>
      <c r="S77" s="44"/>
      <c r="T77" s="44"/>
      <c r="U77" s="44"/>
      <c r="V77" s="44"/>
      <c r="W77" s="44"/>
      <c r="X77" s="44" t="s">
        <v>51</v>
      </c>
      <c r="Y77" s="44"/>
      <c r="Z77" s="44"/>
      <c r="AA77" s="44"/>
      <c r="AB77" s="44"/>
      <c r="AC77" s="44" t="s">
        <v>51</v>
      </c>
      <c r="AD77" s="44"/>
      <c r="AE77" s="44"/>
      <c r="AF77" s="44"/>
      <c r="AG77" s="44"/>
      <c r="AH77" s="44"/>
      <c r="AI77" s="44"/>
    </row>
    <row r="78" spans="1:35" x14ac:dyDescent="0.35">
      <c r="A78" s="17" t="s">
        <v>46</v>
      </c>
      <c r="B78" s="17" t="s">
        <v>558</v>
      </c>
      <c r="C78" s="28" t="s">
        <v>684</v>
      </c>
      <c r="D78" s="17" t="s">
        <v>718</v>
      </c>
      <c r="E78" s="17" t="s">
        <v>719</v>
      </c>
      <c r="F78" s="20">
        <v>379.03</v>
      </c>
      <c r="G78" s="20">
        <v>141</v>
      </c>
      <c r="H78" s="19">
        <v>585</v>
      </c>
      <c r="I78" s="20">
        <v>301</v>
      </c>
      <c r="J78" s="20">
        <v>284</v>
      </c>
      <c r="K78" s="20">
        <v>40</v>
      </c>
      <c r="L78" s="44"/>
      <c r="M78" s="20">
        <v>93</v>
      </c>
      <c r="N78" s="44"/>
      <c r="O78" s="46">
        <v>32.32</v>
      </c>
      <c r="P78" s="46">
        <v>199.13</v>
      </c>
      <c r="Q78" s="44" t="s">
        <v>51</v>
      </c>
      <c r="R78" s="44">
        <v>2020</v>
      </c>
      <c r="S78" s="44"/>
      <c r="T78" s="44"/>
      <c r="U78" s="44"/>
      <c r="V78" s="44"/>
      <c r="W78" s="44"/>
      <c r="X78" s="44" t="s">
        <v>51</v>
      </c>
      <c r="Y78" s="44"/>
      <c r="Z78" s="44"/>
      <c r="AA78" s="44"/>
      <c r="AB78" s="44"/>
      <c r="AC78" s="44" t="s">
        <v>51</v>
      </c>
      <c r="AD78" s="44"/>
      <c r="AE78" s="44"/>
      <c r="AF78" s="44"/>
      <c r="AG78" s="44"/>
      <c r="AH78" s="44"/>
      <c r="AI78" s="44"/>
    </row>
    <row r="79" spans="1:35" x14ac:dyDescent="0.35">
      <c r="A79" s="17" t="s">
        <v>46</v>
      </c>
      <c r="B79" s="17" t="s">
        <v>558</v>
      </c>
      <c r="C79" s="28" t="s">
        <v>684</v>
      </c>
      <c r="D79" s="17" t="s">
        <v>720</v>
      </c>
      <c r="E79" s="17" t="s">
        <v>721</v>
      </c>
      <c r="F79" s="20">
        <v>238.24</v>
      </c>
      <c r="G79" s="20">
        <v>59</v>
      </c>
      <c r="H79" s="19">
        <v>242</v>
      </c>
      <c r="I79" s="20">
        <v>122</v>
      </c>
      <c r="J79" s="20">
        <v>120</v>
      </c>
      <c r="K79" s="20">
        <v>45</v>
      </c>
      <c r="L79" s="44"/>
      <c r="M79" s="20">
        <v>0</v>
      </c>
      <c r="N79" s="44"/>
      <c r="O79" s="46">
        <v>0</v>
      </c>
      <c r="P79" s="46">
        <v>105.55</v>
      </c>
      <c r="Q79" s="44" t="s">
        <v>562</v>
      </c>
      <c r="R79" s="44"/>
      <c r="S79" s="44"/>
      <c r="T79" s="44"/>
      <c r="U79" s="44"/>
      <c r="V79" s="44"/>
      <c r="W79" s="44"/>
      <c r="X79" s="44" t="s">
        <v>562</v>
      </c>
      <c r="Y79" s="44"/>
      <c r="Z79" s="44"/>
      <c r="AA79" s="44"/>
      <c r="AB79" s="44"/>
      <c r="AC79" s="44" t="s">
        <v>562</v>
      </c>
      <c r="AD79" s="44"/>
      <c r="AE79" s="44"/>
      <c r="AF79" s="44"/>
      <c r="AG79" s="44"/>
      <c r="AH79" s="44"/>
      <c r="AI79" s="44"/>
    </row>
    <row r="80" spans="1:35" x14ac:dyDescent="0.35">
      <c r="A80" s="17" t="s">
        <v>46</v>
      </c>
      <c r="B80" s="17" t="s">
        <v>558</v>
      </c>
      <c r="C80" s="28" t="s">
        <v>684</v>
      </c>
      <c r="D80" s="17" t="s">
        <v>722</v>
      </c>
      <c r="E80" s="17" t="s">
        <v>723</v>
      </c>
      <c r="F80" s="20">
        <v>127.66</v>
      </c>
      <c r="G80" s="20">
        <v>151</v>
      </c>
      <c r="H80" s="19">
        <v>601</v>
      </c>
      <c r="I80" s="20">
        <v>311</v>
      </c>
      <c r="J80" s="20">
        <v>290</v>
      </c>
      <c r="K80" s="20">
        <v>84</v>
      </c>
      <c r="L80" s="44"/>
      <c r="M80" s="20">
        <v>26</v>
      </c>
      <c r="N80" s="44"/>
      <c r="O80" s="46">
        <v>20.63</v>
      </c>
      <c r="P80" s="46">
        <v>29.45</v>
      </c>
      <c r="Q80" s="44" t="s">
        <v>562</v>
      </c>
      <c r="R80" s="44"/>
      <c r="S80" s="44"/>
      <c r="T80" s="44"/>
      <c r="U80" s="44"/>
      <c r="V80" s="44"/>
      <c r="W80" s="44"/>
      <c r="X80" s="44" t="s">
        <v>562</v>
      </c>
      <c r="Y80" s="44"/>
      <c r="Z80" s="44"/>
      <c r="AA80" s="44"/>
      <c r="AB80" s="44"/>
      <c r="AC80" s="44" t="s">
        <v>562</v>
      </c>
      <c r="AD80" s="44"/>
      <c r="AE80" s="44"/>
      <c r="AF80" s="44"/>
      <c r="AG80" s="44"/>
      <c r="AH80" s="44"/>
      <c r="AI80" s="44"/>
    </row>
    <row r="81" spans="1:35" x14ac:dyDescent="0.35">
      <c r="A81" s="17" t="s">
        <v>46</v>
      </c>
      <c r="B81" s="17" t="s">
        <v>558</v>
      </c>
      <c r="C81" s="28" t="s">
        <v>684</v>
      </c>
      <c r="D81" s="17" t="s">
        <v>724</v>
      </c>
      <c r="E81" s="17" t="s">
        <v>725</v>
      </c>
      <c r="F81" s="20">
        <v>167.7</v>
      </c>
      <c r="G81" s="20">
        <v>115</v>
      </c>
      <c r="H81" s="19">
        <v>431</v>
      </c>
      <c r="I81" s="20">
        <v>220</v>
      </c>
      <c r="J81" s="20">
        <v>211</v>
      </c>
      <c r="K81" s="20">
        <v>25</v>
      </c>
      <c r="L81" s="44"/>
      <c r="M81" s="20">
        <v>114</v>
      </c>
      <c r="N81" s="44"/>
      <c r="O81" s="46">
        <v>12.51</v>
      </c>
      <c r="P81" s="46">
        <v>53.99</v>
      </c>
      <c r="Q81" s="44" t="s">
        <v>562</v>
      </c>
      <c r="R81" s="44"/>
      <c r="S81" s="44"/>
      <c r="T81" s="44"/>
      <c r="U81" s="44"/>
      <c r="V81" s="44"/>
      <c r="W81" s="44"/>
      <c r="X81" s="44" t="s">
        <v>562</v>
      </c>
      <c r="Y81" s="44"/>
      <c r="Z81" s="44"/>
      <c r="AA81" s="44"/>
      <c r="AB81" s="44"/>
      <c r="AC81" s="44" t="s">
        <v>562</v>
      </c>
      <c r="AD81" s="44"/>
      <c r="AE81" s="44"/>
      <c r="AF81" s="44"/>
      <c r="AG81" s="44"/>
      <c r="AH81" s="44"/>
      <c r="AI81" s="44"/>
    </row>
    <row r="82" spans="1:35" x14ac:dyDescent="0.35">
      <c r="A82" s="17" t="s">
        <v>46</v>
      </c>
      <c r="B82" s="17" t="s">
        <v>558</v>
      </c>
      <c r="C82" s="28" t="s">
        <v>684</v>
      </c>
      <c r="D82" s="17" t="s">
        <v>726</v>
      </c>
      <c r="E82" s="17" t="s">
        <v>727</v>
      </c>
      <c r="F82" s="20">
        <v>234.24</v>
      </c>
      <c r="G82" s="20">
        <v>98</v>
      </c>
      <c r="H82" s="19">
        <v>422</v>
      </c>
      <c r="I82" s="20">
        <v>216</v>
      </c>
      <c r="J82" s="20">
        <v>206</v>
      </c>
      <c r="K82" s="20">
        <v>79</v>
      </c>
      <c r="L82" s="44"/>
      <c r="M82" s="20">
        <v>0</v>
      </c>
      <c r="N82" s="44"/>
      <c r="O82" s="46">
        <v>37.090000000000003</v>
      </c>
      <c r="P82" s="46">
        <v>0</v>
      </c>
      <c r="Q82" s="44" t="s">
        <v>51</v>
      </c>
      <c r="R82" s="44">
        <v>2020</v>
      </c>
      <c r="S82" s="44"/>
      <c r="T82" s="44"/>
      <c r="U82" s="44"/>
      <c r="V82" s="44"/>
      <c r="W82" s="44"/>
      <c r="X82" s="44" t="s">
        <v>51</v>
      </c>
      <c r="Y82" s="44"/>
      <c r="Z82" s="44"/>
      <c r="AA82" s="44"/>
      <c r="AB82" s="44"/>
      <c r="AC82" s="44" t="s">
        <v>51</v>
      </c>
      <c r="AD82" s="44"/>
      <c r="AE82" s="44"/>
      <c r="AF82" s="44"/>
      <c r="AG82" s="44"/>
      <c r="AH82" s="44"/>
      <c r="AI82" s="44"/>
    </row>
    <row r="83" spans="1:35" x14ac:dyDescent="0.35">
      <c r="A83" s="17" t="s">
        <v>46</v>
      </c>
      <c r="B83" s="17" t="s">
        <v>558</v>
      </c>
      <c r="C83" s="28" t="s">
        <v>684</v>
      </c>
      <c r="D83" s="17" t="s">
        <v>728</v>
      </c>
      <c r="E83" s="17" t="s">
        <v>729</v>
      </c>
      <c r="F83" s="20">
        <v>146.22999999999999</v>
      </c>
      <c r="G83" s="20">
        <v>5</v>
      </c>
      <c r="H83" s="19">
        <v>32</v>
      </c>
      <c r="I83" s="20">
        <v>15</v>
      </c>
      <c r="J83" s="20">
        <v>17</v>
      </c>
      <c r="K83" s="20">
        <v>0</v>
      </c>
      <c r="L83" s="44"/>
      <c r="M83" s="20">
        <v>0</v>
      </c>
      <c r="N83" s="44"/>
      <c r="O83" s="46">
        <v>0.86</v>
      </c>
      <c r="P83" s="46">
        <v>23.25</v>
      </c>
      <c r="Q83" s="44" t="s">
        <v>51</v>
      </c>
      <c r="R83" s="44">
        <v>2020</v>
      </c>
      <c r="S83" s="44"/>
      <c r="T83" s="44"/>
      <c r="U83" s="44"/>
      <c r="V83" s="44"/>
      <c r="W83" s="44"/>
      <c r="X83" s="44" t="s">
        <v>51</v>
      </c>
      <c r="Y83" s="44"/>
      <c r="Z83" s="44"/>
      <c r="AA83" s="44"/>
      <c r="AB83" s="44"/>
      <c r="AC83" s="44" t="s">
        <v>51</v>
      </c>
      <c r="AD83" s="44"/>
      <c r="AE83" s="44"/>
      <c r="AF83" s="44"/>
      <c r="AG83" s="44"/>
      <c r="AH83" s="44"/>
      <c r="AI83" s="44"/>
    </row>
    <row r="84" spans="1:35" x14ac:dyDescent="0.35">
      <c r="A84" s="17" t="s">
        <v>46</v>
      </c>
      <c r="B84" s="17" t="s">
        <v>558</v>
      </c>
      <c r="C84" s="28" t="s">
        <v>684</v>
      </c>
      <c r="D84" s="17" t="s">
        <v>730</v>
      </c>
      <c r="E84" s="17" t="s">
        <v>731</v>
      </c>
      <c r="F84" s="20">
        <v>157.24</v>
      </c>
      <c r="G84" s="20">
        <v>82</v>
      </c>
      <c r="H84" s="19">
        <v>316</v>
      </c>
      <c r="I84" s="20">
        <v>154</v>
      </c>
      <c r="J84" s="20">
        <v>162</v>
      </c>
      <c r="K84" s="20">
        <v>6</v>
      </c>
      <c r="L84" s="44"/>
      <c r="M84" s="20">
        <v>145</v>
      </c>
      <c r="N84" s="44"/>
      <c r="O84" s="46">
        <v>27.89</v>
      </c>
      <c r="P84" s="46">
        <v>0</v>
      </c>
      <c r="Q84" s="44" t="s">
        <v>51</v>
      </c>
      <c r="R84" s="44">
        <v>2020</v>
      </c>
      <c r="S84" s="44"/>
      <c r="T84" s="44"/>
      <c r="U84" s="44"/>
      <c r="V84" s="44"/>
      <c r="W84" s="44"/>
      <c r="X84" s="44" t="s">
        <v>51</v>
      </c>
      <c r="Y84" s="44"/>
      <c r="Z84" s="44"/>
      <c r="AA84" s="44"/>
      <c r="AB84" s="44"/>
      <c r="AC84" s="44" t="s">
        <v>51</v>
      </c>
      <c r="AD84" s="44"/>
      <c r="AE84" s="44"/>
      <c r="AF84" s="44"/>
      <c r="AG84" s="44"/>
      <c r="AH84" s="44"/>
      <c r="AI84" s="44"/>
    </row>
    <row r="85" spans="1:35" x14ac:dyDescent="0.35">
      <c r="A85" s="17" t="s">
        <v>46</v>
      </c>
      <c r="B85" s="17" t="s">
        <v>558</v>
      </c>
      <c r="C85" s="28" t="s">
        <v>690</v>
      </c>
      <c r="D85" s="17" t="s">
        <v>732</v>
      </c>
      <c r="E85" s="17" t="s">
        <v>733</v>
      </c>
      <c r="F85" s="20">
        <v>700.43</v>
      </c>
      <c r="G85" s="20">
        <v>246</v>
      </c>
      <c r="H85" s="19">
        <v>1162</v>
      </c>
      <c r="I85" s="20">
        <v>596</v>
      </c>
      <c r="J85" s="20">
        <v>566</v>
      </c>
      <c r="K85" s="20">
        <v>84</v>
      </c>
      <c r="L85" s="44"/>
      <c r="M85" s="20">
        <v>20</v>
      </c>
      <c r="N85" s="44"/>
      <c r="O85" s="46">
        <v>63.38</v>
      </c>
      <c r="P85" s="46">
        <v>0</v>
      </c>
      <c r="Q85" s="44" t="s">
        <v>562</v>
      </c>
      <c r="R85" s="44"/>
      <c r="S85" s="44"/>
      <c r="T85" s="44"/>
      <c r="U85" s="44"/>
      <c r="V85" s="44"/>
      <c r="W85" s="44"/>
      <c r="X85" s="44" t="s">
        <v>562</v>
      </c>
      <c r="Y85" s="44"/>
      <c r="Z85" s="44"/>
      <c r="AA85" s="44"/>
      <c r="AB85" s="44"/>
      <c r="AC85" s="44" t="s">
        <v>562</v>
      </c>
      <c r="AD85" s="44"/>
      <c r="AE85" s="44"/>
      <c r="AF85" s="44"/>
      <c r="AG85" s="44"/>
      <c r="AH85" s="44"/>
      <c r="AI85" s="44"/>
    </row>
    <row r="86" spans="1:35" x14ac:dyDescent="0.35">
      <c r="A86" s="17" t="s">
        <v>46</v>
      </c>
      <c r="B86" s="17" t="s">
        <v>558</v>
      </c>
      <c r="C86" s="28" t="s">
        <v>700</v>
      </c>
      <c r="D86" s="17" t="s">
        <v>734</v>
      </c>
      <c r="E86" s="17" t="s">
        <v>735</v>
      </c>
      <c r="F86" s="20">
        <v>314.68</v>
      </c>
      <c r="G86" s="20">
        <v>96</v>
      </c>
      <c r="H86" s="19">
        <v>454</v>
      </c>
      <c r="I86" s="20">
        <v>240</v>
      </c>
      <c r="J86" s="20">
        <v>214</v>
      </c>
      <c r="K86" s="20">
        <v>5</v>
      </c>
      <c r="L86" s="44"/>
      <c r="M86" s="20">
        <v>14</v>
      </c>
      <c r="N86" s="44"/>
      <c r="O86" s="46">
        <v>53.05</v>
      </c>
      <c r="P86" s="46">
        <v>0</v>
      </c>
      <c r="Q86" s="44" t="s">
        <v>51</v>
      </c>
      <c r="R86" s="44">
        <v>2021</v>
      </c>
      <c r="S86" s="44"/>
      <c r="T86" s="44"/>
      <c r="U86" s="44"/>
      <c r="V86" s="44"/>
      <c r="W86" s="44"/>
      <c r="X86" s="44" t="s">
        <v>51</v>
      </c>
      <c r="Y86" s="44"/>
      <c r="Z86" s="44"/>
      <c r="AA86" s="44"/>
      <c r="AB86" s="44"/>
      <c r="AC86" s="44" t="s">
        <v>51</v>
      </c>
      <c r="AD86" s="44"/>
      <c r="AE86" s="44"/>
      <c r="AF86" s="44"/>
      <c r="AG86" s="44"/>
      <c r="AH86" s="44"/>
      <c r="AI86" s="44"/>
    </row>
    <row r="87" spans="1:35" x14ac:dyDescent="0.35">
      <c r="A87" s="17" t="s">
        <v>46</v>
      </c>
      <c r="B87" s="17" t="s">
        <v>558</v>
      </c>
      <c r="C87" s="28" t="s">
        <v>690</v>
      </c>
      <c r="D87" s="17" t="s">
        <v>736</v>
      </c>
      <c r="E87" s="17" t="s">
        <v>737</v>
      </c>
      <c r="F87" s="20">
        <v>221.95</v>
      </c>
      <c r="G87" s="20">
        <v>98</v>
      </c>
      <c r="H87" s="19">
        <v>510</v>
      </c>
      <c r="I87" s="20">
        <v>246</v>
      </c>
      <c r="J87" s="20">
        <v>264</v>
      </c>
      <c r="K87" s="20">
        <v>75</v>
      </c>
      <c r="L87" s="44"/>
      <c r="M87" s="20">
        <v>7</v>
      </c>
      <c r="N87" s="44"/>
      <c r="O87" s="46">
        <v>33.020000000000003</v>
      </c>
      <c r="P87" s="46">
        <v>0</v>
      </c>
      <c r="Q87" s="44" t="s">
        <v>51</v>
      </c>
      <c r="R87" s="44">
        <v>2021</v>
      </c>
      <c r="S87" s="44"/>
      <c r="T87" s="44"/>
      <c r="U87" s="44"/>
      <c r="V87" s="44"/>
      <c r="W87" s="44"/>
      <c r="X87" s="44" t="s">
        <v>51</v>
      </c>
      <c r="Y87" s="44"/>
      <c r="Z87" s="44"/>
      <c r="AA87" s="44"/>
      <c r="AB87" s="44"/>
      <c r="AC87" s="44" t="s">
        <v>51</v>
      </c>
      <c r="AD87" s="44"/>
      <c r="AE87" s="44"/>
      <c r="AF87" s="44"/>
      <c r="AG87" s="44"/>
      <c r="AH87" s="44"/>
      <c r="AI87" s="44"/>
    </row>
    <row r="88" spans="1:35" x14ac:dyDescent="0.35">
      <c r="A88" s="17" t="s">
        <v>46</v>
      </c>
      <c r="B88" s="17" t="s">
        <v>558</v>
      </c>
      <c r="C88" s="28" t="s">
        <v>690</v>
      </c>
      <c r="D88" s="17" t="s">
        <v>738</v>
      </c>
      <c r="E88" s="17" t="s">
        <v>739</v>
      </c>
      <c r="F88" s="20">
        <v>378.11</v>
      </c>
      <c r="G88" s="20">
        <v>175</v>
      </c>
      <c r="H88" s="19">
        <v>861</v>
      </c>
      <c r="I88" s="20">
        <v>427</v>
      </c>
      <c r="J88" s="20">
        <v>434</v>
      </c>
      <c r="K88" s="20">
        <v>191</v>
      </c>
      <c r="L88" s="44"/>
      <c r="M88" s="20">
        <v>141</v>
      </c>
      <c r="N88" s="44"/>
      <c r="O88" s="46">
        <v>47.02</v>
      </c>
      <c r="P88" s="46">
        <v>0</v>
      </c>
      <c r="Q88" s="44" t="s">
        <v>51</v>
      </c>
      <c r="R88" s="44">
        <v>2021</v>
      </c>
      <c r="S88" s="44"/>
      <c r="T88" s="44"/>
      <c r="U88" s="44"/>
      <c r="V88" s="44"/>
      <c r="W88" s="44"/>
      <c r="X88" s="44" t="s">
        <v>51</v>
      </c>
      <c r="Y88" s="44"/>
      <c r="Z88" s="44"/>
      <c r="AA88" s="44"/>
      <c r="AB88" s="44"/>
      <c r="AC88" s="44" t="s">
        <v>51</v>
      </c>
      <c r="AD88" s="44"/>
      <c r="AE88" s="44"/>
      <c r="AF88" s="44"/>
      <c r="AG88" s="44"/>
      <c r="AH88" s="44"/>
      <c r="AI88" s="44"/>
    </row>
    <row r="89" spans="1:35" x14ac:dyDescent="0.35">
      <c r="A89" s="17" t="s">
        <v>46</v>
      </c>
      <c r="B89" s="17" t="s">
        <v>558</v>
      </c>
      <c r="C89" s="28" t="s">
        <v>700</v>
      </c>
      <c r="D89" s="17" t="s">
        <v>680</v>
      </c>
      <c r="E89" s="17" t="s">
        <v>740</v>
      </c>
      <c r="F89" s="20">
        <v>106.76</v>
      </c>
      <c r="G89" s="20">
        <v>17</v>
      </c>
      <c r="H89" s="19">
        <v>84</v>
      </c>
      <c r="I89" s="20">
        <v>41</v>
      </c>
      <c r="J89" s="20">
        <v>43</v>
      </c>
      <c r="K89" s="20">
        <v>0</v>
      </c>
      <c r="L89" s="44"/>
      <c r="M89" s="20">
        <v>0</v>
      </c>
      <c r="N89" s="44"/>
      <c r="O89" s="46">
        <v>6.3</v>
      </c>
      <c r="P89" s="46">
        <v>0</v>
      </c>
      <c r="Q89" s="44" t="s">
        <v>562</v>
      </c>
      <c r="R89" s="44"/>
      <c r="S89" s="44"/>
      <c r="T89" s="44"/>
      <c r="U89" s="44"/>
      <c r="V89" s="44"/>
      <c r="W89" s="44"/>
      <c r="X89" s="44" t="s">
        <v>562</v>
      </c>
      <c r="Y89" s="44"/>
      <c r="Z89" s="44"/>
      <c r="AA89" s="44"/>
      <c r="AB89" s="44"/>
      <c r="AC89" s="44" t="s">
        <v>562</v>
      </c>
      <c r="AD89" s="44"/>
      <c r="AE89" s="44"/>
      <c r="AF89" s="44"/>
      <c r="AG89" s="44"/>
      <c r="AH89" s="44"/>
      <c r="AI89" s="44"/>
    </row>
    <row r="90" spans="1:35" x14ac:dyDescent="0.35">
      <c r="A90" s="17" t="s">
        <v>46</v>
      </c>
      <c r="B90" s="17" t="s">
        <v>558</v>
      </c>
      <c r="C90" s="28" t="s">
        <v>690</v>
      </c>
      <c r="D90" s="17" t="s">
        <v>741</v>
      </c>
      <c r="E90" s="17" t="s">
        <v>742</v>
      </c>
      <c r="F90" s="20">
        <v>415.5</v>
      </c>
      <c r="G90" s="20">
        <v>240</v>
      </c>
      <c r="H90" s="19">
        <v>1116</v>
      </c>
      <c r="I90" s="20">
        <v>574</v>
      </c>
      <c r="J90" s="20">
        <v>542</v>
      </c>
      <c r="K90" s="20">
        <v>193</v>
      </c>
      <c r="L90" s="44"/>
      <c r="M90" s="20">
        <v>302</v>
      </c>
      <c r="N90" s="44"/>
      <c r="O90" s="46">
        <v>46.99</v>
      </c>
      <c r="P90" s="46">
        <v>0</v>
      </c>
      <c r="Q90" s="44" t="s">
        <v>562</v>
      </c>
      <c r="R90" s="44"/>
      <c r="S90" s="44"/>
      <c r="T90" s="44"/>
      <c r="U90" s="44"/>
      <c r="V90" s="44"/>
      <c r="W90" s="44"/>
      <c r="X90" s="44" t="s">
        <v>562</v>
      </c>
      <c r="Y90" s="44"/>
      <c r="Z90" s="44"/>
      <c r="AA90" s="44"/>
      <c r="AB90" s="44"/>
      <c r="AC90" s="44" t="s">
        <v>562</v>
      </c>
      <c r="AD90" s="44"/>
      <c r="AE90" s="44"/>
      <c r="AF90" s="44"/>
      <c r="AG90" s="44"/>
      <c r="AH90" s="44"/>
      <c r="AI90" s="44"/>
    </row>
    <row r="91" spans="1:35" x14ac:dyDescent="0.35">
      <c r="A91" s="17" t="s">
        <v>46</v>
      </c>
      <c r="B91" s="17" t="s">
        <v>558</v>
      </c>
      <c r="C91" s="28" t="s">
        <v>690</v>
      </c>
      <c r="D91" s="17" t="s">
        <v>743</v>
      </c>
      <c r="E91" s="17" t="s">
        <v>744</v>
      </c>
      <c r="F91" s="20">
        <v>320.39999999999998</v>
      </c>
      <c r="G91" s="20">
        <v>125</v>
      </c>
      <c r="H91" s="19">
        <v>567</v>
      </c>
      <c r="I91" s="20">
        <v>269</v>
      </c>
      <c r="J91" s="20">
        <v>298</v>
      </c>
      <c r="K91" s="20">
        <v>226</v>
      </c>
      <c r="L91" s="44"/>
      <c r="M91" s="20">
        <v>112</v>
      </c>
      <c r="N91" s="44"/>
      <c r="O91" s="46">
        <v>24.97</v>
      </c>
      <c r="P91" s="46">
        <v>0</v>
      </c>
      <c r="Q91" s="44" t="s">
        <v>51</v>
      </c>
      <c r="R91" s="44">
        <v>2019</v>
      </c>
      <c r="S91" s="44"/>
      <c r="T91" s="44"/>
      <c r="U91" s="44"/>
      <c r="V91" s="44"/>
      <c r="W91" s="44"/>
      <c r="X91" s="44" t="s">
        <v>51</v>
      </c>
      <c r="Y91" s="44"/>
      <c r="Z91" s="44"/>
      <c r="AA91" s="44"/>
      <c r="AB91" s="44"/>
      <c r="AC91" s="44" t="s">
        <v>51</v>
      </c>
      <c r="AD91" s="44"/>
      <c r="AE91" s="44"/>
      <c r="AF91" s="44"/>
      <c r="AG91" s="44"/>
      <c r="AH91" s="44"/>
      <c r="AI91" s="44"/>
    </row>
    <row r="92" spans="1:35" x14ac:dyDescent="0.35">
      <c r="A92" s="17" t="s">
        <v>46</v>
      </c>
      <c r="B92" s="17" t="s">
        <v>558</v>
      </c>
      <c r="C92" s="28" t="s">
        <v>686</v>
      </c>
      <c r="D92" s="17" t="s">
        <v>745</v>
      </c>
      <c r="E92" s="17" t="s">
        <v>746</v>
      </c>
      <c r="F92" s="20">
        <v>845.85</v>
      </c>
      <c r="G92" s="20">
        <v>263</v>
      </c>
      <c r="H92" s="19">
        <v>1183</v>
      </c>
      <c r="I92" s="20">
        <v>577</v>
      </c>
      <c r="J92" s="20">
        <v>606</v>
      </c>
      <c r="K92" s="20">
        <v>282</v>
      </c>
      <c r="L92" s="44"/>
      <c r="M92" s="20">
        <v>234</v>
      </c>
      <c r="N92" s="44"/>
      <c r="O92" s="46">
        <v>132.1</v>
      </c>
      <c r="P92" s="46">
        <v>0</v>
      </c>
      <c r="Q92" s="44" t="s">
        <v>562</v>
      </c>
      <c r="R92" s="44"/>
      <c r="S92" s="44"/>
      <c r="T92" s="44"/>
      <c r="U92" s="44"/>
      <c r="V92" s="44"/>
      <c r="W92" s="44"/>
      <c r="X92" s="44" t="s">
        <v>562</v>
      </c>
      <c r="Y92" s="44"/>
      <c r="Z92" s="44"/>
      <c r="AA92" s="44"/>
      <c r="AB92" s="44"/>
      <c r="AC92" s="44" t="s">
        <v>562</v>
      </c>
      <c r="AD92" s="44"/>
      <c r="AE92" s="44"/>
      <c r="AF92" s="44"/>
      <c r="AG92" s="44"/>
      <c r="AH92" s="44"/>
      <c r="AI92" s="44"/>
    </row>
    <row r="93" spans="1:35" x14ac:dyDescent="0.35">
      <c r="A93" s="17" t="s">
        <v>46</v>
      </c>
      <c r="B93" s="17" t="s">
        <v>558</v>
      </c>
      <c r="C93" s="28" t="s">
        <v>678</v>
      </c>
      <c r="D93" s="17" t="s">
        <v>747</v>
      </c>
      <c r="E93" s="17" t="s">
        <v>748</v>
      </c>
      <c r="F93" s="20">
        <v>689.54</v>
      </c>
      <c r="G93" s="20">
        <v>1133</v>
      </c>
      <c r="H93" s="19">
        <v>5770</v>
      </c>
      <c r="I93" s="20">
        <v>3025</v>
      </c>
      <c r="J93" s="20">
        <v>2745</v>
      </c>
      <c r="K93" s="20">
        <v>1510</v>
      </c>
      <c r="L93" s="44"/>
      <c r="M93" s="20">
        <v>136</v>
      </c>
      <c r="N93" s="44"/>
      <c r="O93" s="46">
        <v>81.93</v>
      </c>
      <c r="P93" s="46">
        <v>0</v>
      </c>
      <c r="Q93" s="44" t="s">
        <v>562</v>
      </c>
      <c r="R93" s="44"/>
      <c r="S93" s="44"/>
      <c r="T93" s="44"/>
      <c r="U93" s="44"/>
      <c r="V93" s="44"/>
      <c r="W93" s="44"/>
      <c r="X93" s="44" t="s">
        <v>562</v>
      </c>
      <c r="Y93" s="44"/>
      <c r="Z93" s="44"/>
      <c r="AA93" s="44"/>
      <c r="AB93" s="44"/>
      <c r="AC93" s="44" t="s">
        <v>562</v>
      </c>
      <c r="AD93" s="44"/>
      <c r="AE93" s="44"/>
      <c r="AF93" s="44"/>
      <c r="AG93" s="44"/>
      <c r="AH93" s="44"/>
      <c r="AI93" s="44"/>
    </row>
    <row r="94" spans="1:35" x14ac:dyDescent="0.35">
      <c r="A94" s="17" t="s">
        <v>46</v>
      </c>
      <c r="B94" s="17" t="s">
        <v>558</v>
      </c>
      <c r="C94" s="28" t="s">
        <v>678</v>
      </c>
      <c r="D94" s="17" t="s">
        <v>749</v>
      </c>
      <c r="E94" s="17" t="s">
        <v>750</v>
      </c>
      <c r="F94" s="20">
        <v>370.85</v>
      </c>
      <c r="G94" s="20">
        <v>122</v>
      </c>
      <c r="H94" s="19">
        <v>538</v>
      </c>
      <c r="I94" s="20">
        <v>275</v>
      </c>
      <c r="J94" s="20">
        <v>263</v>
      </c>
      <c r="K94" s="20">
        <v>122</v>
      </c>
      <c r="L94" s="44"/>
      <c r="M94" s="20">
        <v>95</v>
      </c>
      <c r="N94" s="44"/>
      <c r="O94" s="46">
        <v>52.87</v>
      </c>
      <c r="P94" s="46">
        <v>0</v>
      </c>
      <c r="Q94" s="44" t="s">
        <v>51</v>
      </c>
      <c r="R94" s="44">
        <v>2021</v>
      </c>
      <c r="S94" s="44"/>
      <c r="T94" s="44"/>
      <c r="U94" s="44"/>
      <c r="V94" s="44"/>
      <c r="W94" s="44"/>
      <c r="X94" s="44" t="s">
        <v>51</v>
      </c>
      <c r="Y94" s="44"/>
      <c r="Z94" s="44"/>
      <c r="AA94" s="44"/>
      <c r="AB94" s="44"/>
      <c r="AC94" s="44" t="s">
        <v>51</v>
      </c>
      <c r="AD94" s="44"/>
      <c r="AE94" s="44"/>
      <c r="AF94" s="44"/>
      <c r="AG94" s="44"/>
      <c r="AH94" s="44"/>
      <c r="AI94" s="44"/>
    </row>
    <row r="95" spans="1:35" x14ac:dyDescent="0.35">
      <c r="A95" s="17" t="s">
        <v>46</v>
      </c>
      <c r="B95" s="17" t="s">
        <v>558</v>
      </c>
      <c r="C95" s="28" t="s">
        <v>751</v>
      </c>
      <c r="D95" s="17" t="s">
        <v>752</v>
      </c>
      <c r="E95" s="17" t="s">
        <v>753</v>
      </c>
      <c r="F95" s="20">
        <v>469.33</v>
      </c>
      <c r="G95" s="20">
        <v>138</v>
      </c>
      <c r="H95" s="19">
        <v>682</v>
      </c>
      <c r="I95" s="20">
        <v>355</v>
      </c>
      <c r="J95" s="20">
        <v>327</v>
      </c>
      <c r="K95" s="20">
        <v>136</v>
      </c>
      <c r="L95" s="44"/>
      <c r="M95" s="20">
        <v>56</v>
      </c>
      <c r="N95" s="44"/>
      <c r="O95" s="46">
        <v>58.04</v>
      </c>
      <c r="P95" s="46">
        <v>0</v>
      </c>
      <c r="Q95" s="44" t="s">
        <v>562</v>
      </c>
      <c r="R95" s="44"/>
      <c r="S95" s="44"/>
      <c r="T95" s="44"/>
      <c r="U95" s="44"/>
      <c r="V95" s="44"/>
      <c r="W95" s="44"/>
      <c r="X95" s="44" t="s">
        <v>562</v>
      </c>
      <c r="Y95" s="44"/>
      <c r="Z95" s="44"/>
      <c r="AA95" s="44"/>
      <c r="AB95" s="44"/>
      <c r="AC95" s="44" t="s">
        <v>562</v>
      </c>
      <c r="AD95" s="44"/>
      <c r="AE95" s="44"/>
      <c r="AF95" s="44"/>
      <c r="AG95" s="44"/>
      <c r="AH95" s="44"/>
      <c r="AI95" s="44"/>
    </row>
    <row r="96" spans="1:35" x14ac:dyDescent="0.35">
      <c r="A96" s="17" t="s">
        <v>46</v>
      </c>
      <c r="B96" s="17" t="s">
        <v>558</v>
      </c>
      <c r="C96" s="28" t="s">
        <v>751</v>
      </c>
      <c r="D96" s="17" t="s">
        <v>754</v>
      </c>
      <c r="E96" s="17" t="s">
        <v>755</v>
      </c>
      <c r="F96" s="20">
        <v>573.66</v>
      </c>
      <c r="G96" s="20">
        <v>271</v>
      </c>
      <c r="H96" s="19">
        <v>1215</v>
      </c>
      <c r="I96" s="20">
        <v>635</v>
      </c>
      <c r="J96" s="20">
        <v>580</v>
      </c>
      <c r="K96" s="20">
        <v>88</v>
      </c>
      <c r="L96" s="44"/>
      <c r="M96" s="20">
        <v>164</v>
      </c>
      <c r="N96" s="44"/>
      <c r="O96" s="46">
        <v>62.11</v>
      </c>
      <c r="P96" s="46">
        <v>0</v>
      </c>
      <c r="Q96" s="44" t="s">
        <v>562</v>
      </c>
      <c r="R96" s="44"/>
      <c r="S96" s="44"/>
      <c r="T96" s="44"/>
      <c r="U96" s="44"/>
      <c r="V96" s="44"/>
      <c r="W96" s="44"/>
      <c r="X96" s="44" t="s">
        <v>562</v>
      </c>
      <c r="Y96" s="44"/>
      <c r="Z96" s="44"/>
      <c r="AA96" s="44"/>
      <c r="AB96" s="44"/>
      <c r="AC96" s="44" t="s">
        <v>562</v>
      </c>
      <c r="AD96" s="44"/>
      <c r="AE96" s="44"/>
      <c r="AF96" s="44"/>
      <c r="AG96" s="44"/>
      <c r="AH96" s="44"/>
      <c r="AI96" s="44"/>
    </row>
    <row r="97" spans="1:35" x14ac:dyDescent="0.35">
      <c r="A97" s="17" t="s">
        <v>46</v>
      </c>
      <c r="B97" s="17" t="s">
        <v>558</v>
      </c>
      <c r="C97" s="28" t="s">
        <v>751</v>
      </c>
      <c r="D97" s="17" t="s">
        <v>756</v>
      </c>
      <c r="E97" s="17" t="s">
        <v>757</v>
      </c>
      <c r="F97" s="20">
        <v>344.81</v>
      </c>
      <c r="G97" s="20">
        <v>96</v>
      </c>
      <c r="H97" s="19">
        <v>454</v>
      </c>
      <c r="I97" s="20">
        <v>226</v>
      </c>
      <c r="J97" s="20">
        <v>228</v>
      </c>
      <c r="K97" s="20">
        <v>50</v>
      </c>
      <c r="L97" s="44"/>
      <c r="M97" s="20">
        <v>0</v>
      </c>
      <c r="N97" s="44"/>
      <c r="O97" s="46">
        <v>43.7</v>
      </c>
      <c r="P97" s="46">
        <v>32.89</v>
      </c>
      <c r="Q97" s="44" t="s">
        <v>562</v>
      </c>
      <c r="R97" s="44"/>
      <c r="S97" s="44"/>
      <c r="T97" s="44"/>
      <c r="U97" s="44"/>
      <c r="V97" s="44"/>
      <c r="W97" s="44"/>
      <c r="X97" s="44" t="s">
        <v>562</v>
      </c>
      <c r="Y97" s="44"/>
      <c r="Z97" s="44"/>
      <c r="AA97" s="44"/>
      <c r="AB97" s="44"/>
      <c r="AC97" s="44" t="s">
        <v>562</v>
      </c>
      <c r="AD97" s="44"/>
      <c r="AE97" s="44"/>
      <c r="AF97" s="44"/>
      <c r="AG97" s="44"/>
      <c r="AH97" s="44"/>
      <c r="AI97" s="44"/>
    </row>
    <row r="98" spans="1:35" x14ac:dyDescent="0.35">
      <c r="A98" s="17" t="s">
        <v>46</v>
      </c>
      <c r="B98" s="17" t="s">
        <v>558</v>
      </c>
      <c r="C98" s="28" t="s">
        <v>751</v>
      </c>
      <c r="D98" s="17" t="s">
        <v>758</v>
      </c>
      <c r="E98" s="17" t="s">
        <v>759</v>
      </c>
      <c r="F98" s="20">
        <v>130.24</v>
      </c>
      <c r="G98" s="20">
        <v>55</v>
      </c>
      <c r="H98" s="19">
        <v>266</v>
      </c>
      <c r="I98" s="20">
        <v>130</v>
      </c>
      <c r="J98" s="20">
        <v>136</v>
      </c>
      <c r="K98" s="20">
        <v>0</v>
      </c>
      <c r="L98" s="44"/>
      <c r="M98" s="20">
        <v>73</v>
      </c>
      <c r="N98" s="44"/>
      <c r="O98" s="46">
        <v>13.8</v>
      </c>
      <c r="P98" s="46">
        <v>13.67</v>
      </c>
      <c r="Q98" s="44" t="s">
        <v>51</v>
      </c>
      <c r="R98" s="44">
        <v>2021</v>
      </c>
      <c r="S98" s="44"/>
      <c r="T98" s="44"/>
      <c r="U98" s="44"/>
      <c r="V98" s="44"/>
      <c r="W98" s="44"/>
      <c r="X98" s="44" t="s">
        <v>51</v>
      </c>
      <c r="Y98" s="44"/>
      <c r="Z98" s="44"/>
      <c r="AA98" s="44"/>
      <c r="AB98" s="44"/>
      <c r="AC98" s="44" t="s">
        <v>51</v>
      </c>
      <c r="AD98" s="44"/>
      <c r="AE98" s="44"/>
      <c r="AF98" s="44"/>
      <c r="AG98" s="44"/>
      <c r="AH98" s="44"/>
      <c r="AI98" s="44"/>
    </row>
    <row r="99" spans="1:35" x14ac:dyDescent="0.35">
      <c r="A99" s="17" t="s">
        <v>46</v>
      </c>
      <c r="B99" s="17" t="s">
        <v>558</v>
      </c>
      <c r="C99" s="28" t="s">
        <v>684</v>
      </c>
      <c r="D99" s="17" t="s">
        <v>760</v>
      </c>
      <c r="E99" s="17" t="s">
        <v>761</v>
      </c>
      <c r="F99" s="20">
        <v>210.08</v>
      </c>
      <c r="G99" s="20">
        <v>99</v>
      </c>
      <c r="H99" s="19">
        <v>447</v>
      </c>
      <c r="I99" s="20">
        <v>225</v>
      </c>
      <c r="J99" s="20">
        <v>222</v>
      </c>
      <c r="K99" s="20">
        <v>32</v>
      </c>
      <c r="L99" s="44"/>
      <c r="M99" s="20">
        <v>189</v>
      </c>
      <c r="N99" s="44"/>
      <c r="O99" s="46">
        <v>30.62</v>
      </c>
      <c r="P99" s="46">
        <v>0</v>
      </c>
      <c r="Q99" s="44" t="s">
        <v>562</v>
      </c>
      <c r="R99" s="44"/>
      <c r="S99" s="44"/>
      <c r="T99" s="44"/>
      <c r="U99" s="44"/>
      <c r="V99" s="44"/>
      <c r="W99" s="44"/>
      <c r="X99" s="44" t="s">
        <v>562</v>
      </c>
      <c r="Y99" s="44"/>
      <c r="Z99" s="44"/>
      <c r="AA99" s="44"/>
      <c r="AB99" s="44"/>
      <c r="AC99" s="44" t="s">
        <v>562</v>
      </c>
      <c r="AD99" s="44"/>
      <c r="AE99" s="44"/>
      <c r="AF99" s="44"/>
      <c r="AG99" s="44"/>
      <c r="AH99" s="44"/>
      <c r="AI99" s="44"/>
    </row>
    <row r="100" spans="1:35" x14ac:dyDescent="0.35">
      <c r="A100" s="17" t="s">
        <v>46</v>
      </c>
      <c r="B100" s="17" t="s">
        <v>558</v>
      </c>
      <c r="C100" s="28" t="s">
        <v>684</v>
      </c>
      <c r="D100" s="17" t="s">
        <v>762</v>
      </c>
      <c r="E100" s="17" t="s">
        <v>763</v>
      </c>
      <c r="F100" s="20">
        <v>179.93</v>
      </c>
      <c r="G100" s="20">
        <v>61</v>
      </c>
      <c r="H100" s="19">
        <v>306</v>
      </c>
      <c r="I100" s="20">
        <v>155</v>
      </c>
      <c r="J100" s="20">
        <v>151</v>
      </c>
      <c r="K100" s="20">
        <v>0</v>
      </c>
      <c r="L100" s="44"/>
      <c r="M100" s="20">
        <v>41</v>
      </c>
      <c r="N100" s="44"/>
      <c r="O100" s="46">
        <v>10.25</v>
      </c>
      <c r="P100" s="46">
        <v>22.36</v>
      </c>
      <c r="Q100" s="44" t="s">
        <v>562</v>
      </c>
      <c r="R100" s="44"/>
      <c r="S100" s="44"/>
      <c r="T100" s="44"/>
      <c r="U100" s="44"/>
      <c r="V100" s="44"/>
      <c r="W100" s="44"/>
      <c r="X100" s="44" t="s">
        <v>562</v>
      </c>
      <c r="Y100" s="44"/>
      <c r="Z100" s="44"/>
      <c r="AA100" s="44"/>
      <c r="AB100" s="44"/>
      <c r="AC100" s="44" t="s">
        <v>562</v>
      </c>
      <c r="AD100" s="44"/>
      <c r="AE100" s="44"/>
      <c r="AF100" s="44"/>
      <c r="AG100" s="44"/>
      <c r="AH100" s="44"/>
      <c r="AI100" s="44"/>
    </row>
    <row r="101" spans="1:35" x14ac:dyDescent="0.35">
      <c r="A101" s="17" t="s">
        <v>46</v>
      </c>
      <c r="B101" s="17" t="s">
        <v>558</v>
      </c>
      <c r="C101" s="28" t="s">
        <v>678</v>
      </c>
      <c r="D101" s="17" t="s">
        <v>160</v>
      </c>
      <c r="E101" s="17" t="s">
        <v>764</v>
      </c>
      <c r="F101" s="20">
        <v>131.47</v>
      </c>
      <c r="G101" s="20">
        <v>137</v>
      </c>
      <c r="H101" s="19">
        <v>640</v>
      </c>
      <c r="I101" s="20">
        <v>331</v>
      </c>
      <c r="J101" s="20">
        <v>309</v>
      </c>
      <c r="K101" s="20">
        <v>96</v>
      </c>
      <c r="L101" s="44"/>
      <c r="M101" s="20">
        <v>85</v>
      </c>
      <c r="N101" s="44"/>
      <c r="O101" s="46">
        <v>29.79</v>
      </c>
      <c r="P101" s="46">
        <v>9.59</v>
      </c>
      <c r="Q101" s="44" t="s">
        <v>562</v>
      </c>
      <c r="R101" s="44"/>
      <c r="S101" s="44"/>
      <c r="T101" s="44"/>
      <c r="U101" s="44"/>
      <c r="V101" s="44"/>
      <c r="W101" s="44"/>
      <c r="X101" s="44" t="s">
        <v>562</v>
      </c>
      <c r="Y101" s="44"/>
      <c r="Z101" s="44"/>
      <c r="AA101" s="44"/>
      <c r="AB101" s="44"/>
      <c r="AC101" s="44" t="s">
        <v>562</v>
      </c>
      <c r="AD101" s="44"/>
      <c r="AE101" s="44"/>
      <c r="AF101" s="44"/>
      <c r="AG101" s="44"/>
      <c r="AH101" s="44"/>
      <c r="AI101" s="44"/>
    </row>
    <row r="102" spans="1:35" x14ac:dyDescent="0.35">
      <c r="A102" s="17" t="s">
        <v>46</v>
      </c>
      <c r="B102" s="17" t="s">
        <v>558</v>
      </c>
      <c r="C102" s="28" t="s">
        <v>765</v>
      </c>
      <c r="D102" s="17" t="s">
        <v>558</v>
      </c>
      <c r="E102" s="17" t="s">
        <v>766</v>
      </c>
      <c r="F102" s="20">
        <v>704.59</v>
      </c>
      <c r="G102" s="20">
        <v>920</v>
      </c>
      <c r="H102" s="19">
        <v>4363</v>
      </c>
      <c r="I102" s="20">
        <v>2254</v>
      </c>
      <c r="J102" s="20">
        <v>2109</v>
      </c>
      <c r="K102" s="20">
        <v>937</v>
      </c>
      <c r="L102" s="44"/>
      <c r="M102" s="20">
        <v>97</v>
      </c>
      <c r="N102" s="44"/>
      <c r="O102" s="46">
        <v>12.35</v>
      </c>
      <c r="P102" s="46">
        <v>306.58999999999997</v>
      </c>
      <c r="Q102" s="44" t="s">
        <v>562</v>
      </c>
      <c r="R102" s="44"/>
      <c r="S102" s="44"/>
      <c r="T102" s="44"/>
      <c r="U102" s="44"/>
      <c r="V102" s="44"/>
      <c r="W102" s="44"/>
      <c r="X102" s="44" t="s">
        <v>562</v>
      </c>
      <c r="Y102" s="44"/>
      <c r="Z102" s="44"/>
      <c r="AA102" s="44"/>
      <c r="AB102" s="44"/>
      <c r="AC102" s="44" t="s">
        <v>562</v>
      </c>
      <c r="AD102" s="44"/>
      <c r="AE102" s="44"/>
      <c r="AF102" s="44"/>
      <c r="AG102" s="44"/>
      <c r="AH102" s="44"/>
      <c r="AI102" s="44"/>
    </row>
    <row r="103" spans="1:35" x14ac:dyDescent="0.35">
      <c r="A103" s="17" t="s">
        <v>46</v>
      </c>
      <c r="B103" s="17" t="s">
        <v>558</v>
      </c>
      <c r="C103" s="28" t="s">
        <v>684</v>
      </c>
      <c r="D103" s="17" t="s">
        <v>767</v>
      </c>
      <c r="E103" s="17" t="s">
        <v>768</v>
      </c>
      <c r="F103" s="20">
        <v>938.85</v>
      </c>
      <c r="G103" s="20">
        <v>193</v>
      </c>
      <c r="H103" s="19">
        <v>840</v>
      </c>
      <c r="I103" s="20">
        <v>420</v>
      </c>
      <c r="J103" s="20">
        <v>420</v>
      </c>
      <c r="K103" s="20">
        <v>144</v>
      </c>
      <c r="L103" s="44"/>
      <c r="M103" s="20">
        <v>97</v>
      </c>
      <c r="N103" s="44"/>
      <c r="O103" s="46">
        <v>36.869999999999997</v>
      </c>
      <c r="P103" s="46">
        <v>440.95</v>
      </c>
      <c r="Q103" s="44" t="s">
        <v>51</v>
      </c>
      <c r="R103" s="44">
        <v>2020</v>
      </c>
      <c r="S103" s="44"/>
      <c r="T103" s="44"/>
      <c r="U103" s="44"/>
      <c r="V103" s="44"/>
      <c r="W103" s="44"/>
      <c r="X103" s="44" t="s">
        <v>51</v>
      </c>
      <c r="Y103" s="44"/>
      <c r="Z103" s="44"/>
      <c r="AA103" s="44"/>
      <c r="AB103" s="44"/>
      <c r="AC103" s="44" t="s">
        <v>51</v>
      </c>
      <c r="AD103" s="44"/>
      <c r="AE103" s="44"/>
      <c r="AF103" s="44"/>
      <c r="AG103" s="44"/>
      <c r="AH103" s="44"/>
      <c r="AI103" s="44"/>
    </row>
    <row r="104" spans="1:35" x14ac:dyDescent="0.35">
      <c r="A104" s="17" t="s">
        <v>46</v>
      </c>
      <c r="B104" s="17" t="s">
        <v>558</v>
      </c>
      <c r="C104" s="28" t="s">
        <v>769</v>
      </c>
      <c r="D104" s="17" t="s">
        <v>770</v>
      </c>
      <c r="E104" s="17" t="s">
        <v>771</v>
      </c>
      <c r="F104" s="20">
        <v>18.97</v>
      </c>
      <c r="G104" s="20">
        <v>59</v>
      </c>
      <c r="H104" s="19">
        <v>291</v>
      </c>
      <c r="I104" s="20">
        <v>143</v>
      </c>
      <c r="J104" s="20">
        <v>148</v>
      </c>
      <c r="K104" s="20">
        <v>2</v>
      </c>
      <c r="L104" s="44"/>
      <c r="M104" s="20">
        <v>0</v>
      </c>
      <c r="N104" s="44"/>
      <c r="O104" s="46">
        <v>5.69</v>
      </c>
      <c r="P104" s="46">
        <v>0</v>
      </c>
      <c r="Q104" s="44" t="s">
        <v>51</v>
      </c>
      <c r="R104" s="44">
        <v>2021</v>
      </c>
      <c r="S104" s="44"/>
      <c r="T104" s="44"/>
      <c r="U104" s="44"/>
      <c r="V104" s="44"/>
      <c r="W104" s="44"/>
      <c r="X104" s="44" t="s">
        <v>51</v>
      </c>
      <c r="Y104" s="44"/>
      <c r="Z104" s="44"/>
      <c r="AA104" s="44"/>
      <c r="AB104" s="44"/>
      <c r="AC104" s="44" t="s">
        <v>51</v>
      </c>
      <c r="AD104" s="44"/>
      <c r="AE104" s="44"/>
      <c r="AF104" s="44"/>
      <c r="AG104" s="44"/>
      <c r="AH104" s="44"/>
      <c r="AI104" s="44"/>
    </row>
    <row r="105" spans="1:35" x14ac:dyDescent="0.35">
      <c r="A105" s="17" t="s">
        <v>46</v>
      </c>
      <c r="B105" s="17" t="s">
        <v>558</v>
      </c>
      <c r="C105" s="28" t="s">
        <v>769</v>
      </c>
      <c r="D105" s="17" t="s">
        <v>772</v>
      </c>
      <c r="E105" s="17" t="s">
        <v>773</v>
      </c>
      <c r="F105" s="20">
        <v>72.83</v>
      </c>
      <c r="G105" s="20">
        <v>64</v>
      </c>
      <c r="H105" s="19">
        <v>303</v>
      </c>
      <c r="I105" s="20">
        <v>142</v>
      </c>
      <c r="J105" s="20">
        <v>161</v>
      </c>
      <c r="K105" s="20">
        <v>217</v>
      </c>
      <c r="L105" s="44"/>
      <c r="M105" s="20">
        <v>0</v>
      </c>
      <c r="N105" s="44"/>
      <c r="O105" s="46">
        <v>17.12</v>
      </c>
      <c r="P105" s="46">
        <v>0</v>
      </c>
      <c r="Q105" s="44" t="s">
        <v>562</v>
      </c>
      <c r="R105" s="44"/>
      <c r="S105" s="44"/>
      <c r="T105" s="44"/>
      <c r="U105" s="44"/>
      <c r="V105" s="44"/>
      <c r="W105" s="44"/>
      <c r="X105" s="44" t="s">
        <v>562</v>
      </c>
      <c r="Y105" s="44"/>
      <c r="Z105" s="44"/>
      <c r="AA105" s="44"/>
      <c r="AB105" s="44"/>
      <c r="AC105" s="44" t="s">
        <v>562</v>
      </c>
      <c r="AD105" s="44"/>
      <c r="AE105" s="44"/>
      <c r="AF105" s="44"/>
      <c r="AG105" s="44"/>
      <c r="AH105" s="44"/>
      <c r="AI105" s="44"/>
    </row>
    <row r="106" spans="1:35" x14ac:dyDescent="0.35">
      <c r="A106" s="17" t="s">
        <v>46</v>
      </c>
      <c r="B106" s="17" t="s">
        <v>558</v>
      </c>
      <c r="C106" s="28" t="s">
        <v>769</v>
      </c>
      <c r="D106" s="17" t="s">
        <v>774</v>
      </c>
      <c r="E106" s="17" t="s">
        <v>775</v>
      </c>
      <c r="F106" s="20">
        <v>24.87</v>
      </c>
      <c r="G106" s="20">
        <v>15</v>
      </c>
      <c r="H106" s="19">
        <v>72</v>
      </c>
      <c r="I106" s="20">
        <v>38</v>
      </c>
      <c r="J106" s="20">
        <v>34</v>
      </c>
      <c r="K106" s="20">
        <v>0</v>
      </c>
      <c r="L106" s="44"/>
      <c r="M106" s="20">
        <v>45</v>
      </c>
      <c r="N106" s="44"/>
      <c r="O106" s="46">
        <v>1.72</v>
      </c>
      <c r="P106" s="46">
        <v>0</v>
      </c>
      <c r="Q106" s="44" t="s">
        <v>562</v>
      </c>
      <c r="R106" s="44"/>
      <c r="S106" s="44"/>
      <c r="T106" s="44"/>
      <c r="U106" s="44"/>
      <c r="V106" s="44"/>
      <c r="W106" s="44"/>
      <c r="X106" s="44" t="s">
        <v>562</v>
      </c>
      <c r="Y106" s="44"/>
      <c r="Z106" s="44"/>
      <c r="AA106" s="44"/>
      <c r="AB106" s="44"/>
      <c r="AC106" s="44" t="s">
        <v>562</v>
      </c>
      <c r="AD106" s="44"/>
      <c r="AE106" s="44"/>
      <c r="AF106" s="44"/>
      <c r="AG106" s="44"/>
      <c r="AH106" s="44"/>
      <c r="AI106" s="44"/>
    </row>
    <row r="107" spans="1:35" x14ac:dyDescent="0.35">
      <c r="A107" s="17" t="s">
        <v>46</v>
      </c>
      <c r="B107" s="17" t="s">
        <v>558</v>
      </c>
      <c r="C107" s="28" t="s">
        <v>769</v>
      </c>
      <c r="D107" s="17" t="s">
        <v>776</v>
      </c>
      <c r="E107" s="17" t="s">
        <v>777</v>
      </c>
      <c r="F107" s="28">
        <v>7.47</v>
      </c>
      <c r="G107" s="47"/>
      <c r="H107" s="19">
        <v>0</v>
      </c>
      <c r="I107" s="47"/>
      <c r="J107" s="47"/>
      <c r="K107" s="47"/>
      <c r="L107" s="44"/>
      <c r="M107" s="47"/>
      <c r="N107" s="44"/>
      <c r="O107" s="48">
        <v>0</v>
      </c>
      <c r="P107" s="48">
        <v>0</v>
      </c>
      <c r="Q107" s="44" t="s">
        <v>562</v>
      </c>
      <c r="R107" s="44"/>
      <c r="S107" s="44"/>
      <c r="T107" s="44"/>
      <c r="U107" s="44"/>
      <c r="V107" s="44"/>
      <c r="W107" s="44"/>
      <c r="X107" s="44" t="s">
        <v>562</v>
      </c>
      <c r="Y107" s="44"/>
      <c r="Z107" s="44"/>
      <c r="AA107" s="44"/>
      <c r="AB107" s="44"/>
      <c r="AC107" s="44" t="s">
        <v>562</v>
      </c>
      <c r="AD107" s="44"/>
      <c r="AE107" s="44"/>
      <c r="AF107" s="44"/>
      <c r="AG107" s="44"/>
      <c r="AH107" s="44"/>
      <c r="AI107" s="44"/>
    </row>
    <row r="108" spans="1:35" x14ac:dyDescent="0.35">
      <c r="A108" s="17" t="s">
        <v>46</v>
      </c>
      <c r="B108" s="17" t="s">
        <v>558</v>
      </c>
      <c r="C108" s="28" t="s">
        <v>769</v>
      </c>
      <c r="D108" s="17" t="s">
        <v>778</v>
      </c>
      <c r="E108" s="17" t="s">
        <v>779</v>
      </c>
      <c r="F108" s="20">
        <v>49.9</v>
      </c>
      <c r="G108" s="20">
        <v>45</v>
      </c>
      <c r="H108" s="19">
        <v>208</v>
      </c>
      <c r="I108" s="20">
        <v>110</v>
      </c>
      <c r="J108" s="20">
        <v>98</v>
      </c>
      <c r="K108" s="20">
        <v>14</v>
      </c>
      <c r="L108" s="44"/>
      <c r="M108" s="20">
        <v>0</v>
      </c>
      <c r="N108" s="44"/>
      <c r="O108" s="46">
        <v>1.72</v>
      </c>
      <c r="P108" s="46">
        <v>8.49</v>
      </c>
      <c r="Q108" s="44" t="s">
        <v>562</v>
      </c>
      <c r="R108" s="44"/>
      <c r="S108" s="44"/>
      <c r="T108" s="44"/>
      <c r="U108" s="44"/>
      <c r="V108" s="44"/>
      <c r="W108" s="44"/>
      <c r="X108" s="44" t="s">
        <v>562</v>
      </c>
      <c r="Y108" s="44"/>
      <c r="Z108" s="44"/>
      <c r="AA108" s="44"/>
      <c r="AB108" s="44"/>
      <c r="AC108" s="44" t="s">
        <v>562</v>
      </c>
      <c r="AD108" s="44"/>
      <c r="AE108" s="44"/>
      <c r="AF108" s="44"/>
      <c r="AG108" s="44"/>
      <c r="AH108" s="44"/>
      <c r="AI108" s="44"/>
    </row>
    <row r="109" spans="1:35" x14ac:dyDescent="0.35">
      <c r="A109" s="17" t="s">
        <v>46</v>
      </c>
      <c r="B109" s="17" t="s">
        <v>558</v>
      </c>
      <c r="C109" s="28" t="s">
        <v>769</v>
      </c>
      <c r="D109" s="17" t="s">
        <v>780</v>
      </c>
      <c r="E109" s="17" t="s">
        <v>781</v>
      </c>
      <c r="F109" s="20">
        <v>167.98</v>
      </c>
      <c r="G109" s="20">
        <v>60</v>
      </c>
      <c r="H109" s="19">
        <v>280</v>
      </c>
      <c r="I109" s="20">
        <v>143</v>
      </c>
      <c r="J109" s="20">
        <v>137</v>
      </c>
      <c r="K109" s="20">
        <v>48</v>
      </c>
      <c r="L109" s="44"/>
      <c r="M109" s="20">
        <v>0</v>
      </c>
      <c r="N109" s="44"/>
      <c r="O109" s="46">
        <v>16.13</v>
      </c>
      <c r="P109" s="46">
        <v>55.2</v>
      </c>
      <c r="Q109" s="44" t="s">
        <v>51</v>
      </c>
      <c r="R109" s="44">
        <v>2021</v>
      </c>
      <c r="S109" s="44"/>
      <c r="T109" s="44"/>
      <c r="U109" s="44"/>
      <c r="V109" s="44"/>
      <c r="W109" s="44"/>
      <c r="X109" s="44" t="s">
        <v>51</v>
      </c>
      <c r="Y109" s="44"/>
      <c r="Z109" s="44"/>
      <c r="AA109" s="44"/>
      <c r="AB109" s="44"/>
      <c r="AC109" s="44" t="s">
        <v>51</v>
      </c>
      <c r="AD109" s="44"/>
      <c r="AE109" s="44"/>
      <c r="AF109" s="44"/>
      <c r="AG109" s="44"/>
      <c r="AH109" s="44"/>
      <c r="AI109" s="44"/>
    </row>
    <row r="110" spans="1:35" x14ac:dyDescent="0.35">
      <c r="A110" s="17" t="s">
        <v>46</v>
      </c>
      <c r="B110" s="17" t="s">
        <v>558</v>
      </c>
      <c r="C110" s="28" t="s">
        <v>769</v>
      </c>
      <c r="D110" s="17" t="s">
        <v>782</v>
      </c>
      <c r="E110" s="17" t="s">
        <v>783</v>
      </c>
      <c r="F110" s="28">
        <v>39.409999999999997</v>
      </c>
      <c r="G110" s="47"/>
      <c r="H110" s="19">
        <v>0</v>
      </c>
      <c r="I110" s="47"/>
      <c r="J110" s="47"/>
      <c r="K110" s="47"/>
      <c r="L110" s="44"/>
      <c r="M110" s="47"/>
      <c r="N110" s="44"/>
      <c r="O110" s="48">
        <v>0</v>
      </c>
      <c r="P110" s="48">
        <v>17.829999999999998</v>
      </c>
      <c r="Q110" s="44" t="s">
        <v>562</v>
      </c>
      <c r="R110" s="44"/>
      <c r="S110" s="44"/>
      <c r="T110" s="44"/>
      <c r="U110" s="44"/>
      <c r="V110" s="44"/>
      <c r="W110" s="44"/>
      <c r="X110" s="44" t="s">
        <v>562</v>
      </c>
      <c r="Y110" s="44"/>
      <c r="Z110" s="44"/>
      <c r="AA110" s="44"/>
      <c r="AB110" s="44"/>
      <c r="AC110" s="44" t="s">
        <v>562</v>
      </c>
      <c r="AD110" s="44"/>
      <c r="AE110" s="44"/>
      <c r="AF110" s="44"/>
      <c r="AG110" s="44"/>
      <c r="AH110" s="44"/>
      <c r="AI110" s="44"/>
    </row>
    <row r="111" spans="1:35" x14ac:dyDescent="0.35">
      <c r="A111" s="17" t="s">
        <v>46</v>
      </c>
      <c r="B111" s="17" t="s">
        <v>558</v>
      </c>
      <c r="C111" s="28" t="s">
        <v>769</v>
      </c>
      <c r="D111" s="17" t="s">
        <v>784</v>
      </c>
      <c r="E111" s="17" t="s">
        <v>785</v>
      </c>
      <c r="F111" s="20">
        <v>417.33</v>
      </c>
      <c r="G111" s="20">
        <v>172</v>
      </c>
      <c r="H111" s="19">
        <v>769</v>
      </c>
      <c r="I111" s="20">
        <v>417</v>
      </c>
      <c r="J111" s="20">
        <v>352</v>
      </c>
      <c r="K111" s="20">
        <v>70</v>
      </c>
      <c r="L111" s="44"/>
      <c r="M111" s="20">
        <v>61</v>
      </c>
      <c r="N111" s="44"/>
      <c r="O111" s="46">
        <v>0</v>
      </c>
      <c r="P111" s="46">
        <v>189.6</v>
      </c>
      <c r="Q111" s="44" t="s">
        <v>51</v>
      </c>
      <c r="R111" s="44">
        <v>2021</v>
      </c>
      <c r="S111" s="44"/>
      <c r="T111" s="44"/>
      <c r="U111" s="44"/>
      <c r="V111" s="44"/>
      <c r="W111" s="44"/>
      <c r="X111" s="44" t="s">
        <v>51</v>
      </c>
      <c r="Y111" s="44"/>
      <c r="Z111" s="44"/>
      <c r="AA111" s="44"/>
      <c r="AB111" s="44"/>
      <c r="AC111" s="44" t="s">
        <v>51</v>
      </c>
      <c r="AD111" s="44"/>
      <c r="AE111" s="44"/>
      <c r="AF111" s="44"/>
      <c r="AG111" s="44"/>
      <c r="AH111" s="44"/>
      <c r="AI111" s="44"/>
    </row>
    <row r="112" spans="1:35" x14ac:dyDescent="0.35">
      <c r="A112" s="17" t="s">
        <v>46</v>
      </c>
      <c r="B112" s="17" t="s">
        <v>558</v>
      </c>
      <c r="C112" s="28" t="s">
        <v>769</v>
      </c>
      <c r="D112" s="17" t="s">
        <v>786</v>
      </c>
      <c r="E112" s="17" t="s">
        <v>787</v>
      </c>
      <c r="F112" s="20">
        <v>333.54</v>
      </c>
      <c r="G112" s="20">
        <v>170</v>
      </c>
      <c r="H112" s="19">
        <v>823</v>
      </c>
      <c r="I112" s="20">
        <v>404</v>
      </c>
      <c r="J112" s="20">
        <v>419</v>
      </c>
      <c r="K112" s="20">
        <v>282</v>
      </c>
      <c r="L112" s="44"/>
      <c r="M112" s="20">
        <v>74</v>
      </c>
      <c r="N112" s="44"/>
      <c r="O112" s="46">
        <v>12</v>
      </c>
      <c r="P112" s="46">
        <v>103.78</v>
      </c>
      <c r="Q112" s="44" t="s">
        <v>51</v>
      </c>
      <c r="R112" s="44">
        <v>2021</v>
      </c>
      <c r="S112" s="44"/>
      <c r="T112" s="44"/>
      <c r="U112" s="44"/>
      <c r="V112" s="44"/>
      <c r="W112" s="44"/>
      <c r="X112" s="44" t="s">
        <v>51</v>
      </c>
      <c r="Y112" s="44"/>
      <c r="Z112" s="44"/>
      <c r="AA112" s="44"/>
      <c r="AB112" s="44"/>
      <c r="AC112" s="44" t="s">
        <v>51</v>
      </c>
      <c r="AD112" s="44"/>
      <c r="AE112" s="44"/>
      <c r="AF112" s="44"/>
      <c r="AG112" s="44"/>
      <c r="AH112" s="44"/>
      <c r="AI112" s="44"/>
    </row>
    <row r="113" spans="1:35" x14ac:dyDescent="0.35">
      <c r="A113" s="17" t="s">
        <v>46</v>
      </c>
      <c r="B113" s="17" t="s">
        <v>558</v>
      </c>
      <c r="C113" s="28" t="s">
        <v>769</v>
      </c>
      <c r="D113" s="17" t="s">
        <v>788</v>
      </c>
      <c r="E113" s="17" t="s">
        <v>789</v>
      </c>
      <c r="F113" s="20">
        <v>95.18</v>
      </c>
      <c r="G113" s="20">
        <v>79</v>
      </c>
      <c r="H113" s="19">
        <v>393</v>
      </c>
      <c r="I113" s="20">
        <v>204</v>
      </c>
      <c r="J113" s="20">
        <v>189</v>
      </c>
      <c r="K113" s="20">
        <v>0</v>
      </c>
      <c r="L113" s="44"/>
      <c r="M113" s="20">
        <v>0</v>
      </c>
      <c r="N113" s="44"/>
      <c r="O113" s="46">
        <v>14.96</v>
      </c>
      <c r="P113" s="46">
        <v>57.7</v>
      </c>
      <c r="Q113" s="44" t="s">
        <v>562</v>
      </c>
      <c r="R113" s="44"/>
      <c r="S113" s="44"/>
      <c r="T113" s="44"/>
      <c r="U113" s="44"/>
      <c r="V113" s="44"/>
      <c r="W113" s="44"/>
      <c r="X113" s="44" t="s">
        <v>562</v>
      </c>
      <c r="Y113" s="44"/>
      <c r="Z113" s="44"/>
      <c r="AA113" s="44"/>
      <c r="AB113" s="44"/>
      <c r="AC113" s="44" t="s">
        <v>562</v>
      </c>
      <c r="AD113" s="44"/>
      <c r="AE113" s="44"/>
      <c r="AF113" s="44"/>
      <c r="AG113" s="44"/>
      <c r="AH113" s="44"/>
      <c r="AI113" s="44"/>
    </row>
    <row r="114" spans="1:35" x14ac:dyDescent="0.35">
      <c r="A114" s="17" t="s">
        <v>46</v>
      </c>
      <c r="B114" s="17" t="s">
        <v>558</v>
      </c>
      <c r="C114" s="28" t="s">
        <v>769</v>
      </c>
      <c r="D114" s="17" t="s">
        <v>790</v>
      </c>
      <c r="E114" s="17" t="s">
        <v>791</v>
      </c>
      <c r="F114" s="20">
        <v>222.35</v>
      </c>
      <c r="G114" s="20">
        <v>94</v>
      </c>
      <c r="H114" s="19">
        <v>423</v>
      </c>
      <c r="I114" s="20">
        <v>211</v>
      </c>
      <c r="J114" s="20">
        <v>212</v>
      </c>
      <c r="K114" s="20">
        <v>129</v>
      </c>
      <c r="L114" s="44"/>
      <c r="M114" s="20">
        <v>2</v>
      </c>
      <c r="N114" s="44"/>
      <c r="O114" s="46">
        <v>0</v>
      </c>
      <c r="P114" s="46">
        <v>119.63</v>
      </c>
      <c r="Q114" s="44" t="s">
        <v>51</v>
      </c>
      <c r="R114" s="44">
        <v>2020</v>
      </c>
      <c r="S114" s="44"/>
      <c r="T114" s="44"/>
      <c r="U114" s="44"/>
      <c r="V114" s="44"/>
      <c r="W114" s="44"/>
      <c r="X114" s="44" t="s">
        <v>51</v>
      </c>
      <c r="Y114" s="44"/>
      <c r="Z114" s="44"/>
      <c r="AA114" s="44"/>
      <c r="AB114" s="44"/>
      <c r="AC114" s="44" t="s">
        <v>51</v>
      </c>
      <c r="AD114" s="44"/>
      <c r="AE114" s="44"/>
      <c r="AF114" s="44"/>
      <c r="AG114" s="44"/>
      <c r="AH114" s="44"/>
      <c r="AI114" s="44"/>
    </row>
    <row r="115" spans="1:35" x14ac:dyDescent="0.35">
      <c r="A115" s="17" t="s">
        <v>46</v>
      </c>
      <c r="B115" s="17" t="s">
        <v>558</v>
      </c>
      <c r="C115" s="28" t="s">
        <v>765</v>
      </c>
      <c r="D115" s="17" t="s">
        <v>792</v>
      </c>
      <c r="E115" s="17" t="s">
        <v>793</v>
      </c>
      <c r="F115" s="20">
        <v>233.39</v>
      </c>
      <c r="G115" s="20">
        <v>45</v>
      </c>
      <c r="H115" s="19">
        <v>185</v>
      </c>
      <c r="I115" s="20">
        <v>91</v>
      </c>
      <c r="J115" s="20">
        <v>94</v>
      </c>
      <c r="K115" s="20">
        <v>11</v>
      </c>
      <c r="L115" s="44"/>
      <c r="M115" s="20">
        <v>0</v>
      </c>
      <c r="N115" s="44"/>
      <c r="O115" s="46">
        <v>7.99</v>
      </c>
      <c r="P115" s="46">
        <v>79.36</v>
      </c>
      <c r="Q115" s="44" t="s">
        <v>51</v>
      </c>
      <c r="R115" s="44">
        <v>2020</v>
      </c>
      <c r="S115" s="44"/>
      <c r="T115" s="44"/>
      <c r="U115" s="44"/>
      <c r="V115" s="44"/>
      <c r="W115" s="44"/>
      <c r="X115" s="44" t="s">
        <v>51</v>
      </c>
      <c r="Y115" s="44"/>
      <c r="Z115" s="44"/>
      <c r="AA115" s="44"/>
      <c r="AB115" s="44"/>
      <c r="AC115" s="44" t="s">
        <v>51</v>
      </c>
      <c r="AD115" s="44"/>
      <c r="AE115" s="44"/>
      <c r="AF115" s="44"/>
      <c r="AG115" s="44"/>
      <c r="AH115" s="44"/>
      <c r="AI115" s="44"/>
    </row>
    <row r="116" spans="1:35" x14ac:dyDescent="0.35">
      <c r="A116" s="17" t="s">
        <v>46</v>
      </c>
      <c r="B116" s="17" t="s">
        <v>558</v>
      </c>
      <c r="C116" s="28" t="s">
        <v>751</v>
      </c>
      <c r="D116" s="17" t="s">
        <v>552</v>
      </c>
      <c r="E116" s="17" t="s">
        <v>794</v>
      </c>
      <c r="F116" s="20">
        <v>65.180000000000007</v>
      </c>
      <c r="G116" s="20">
        <v>17</v>
      </c>
      <c r="H116" s="19">
        <v>68</v>
      </c>
      <c r="I116" s="20">
        <v>36</v>
      </c>
      <c r="J116" s="20">
        <v>32</v>
      </c>
      <c r="K116" s="20">
        <v>0</v>
      </c>
      <c r="L116" s="44"/>
      <c r="M116" s="20">
        <v>0</v>
      </c>
      <c r="N116" s="44"/>
      <c r="O116" s="46">
        <v>0</v>
      </c>
      <c r="P116" s="46">
        <v>0</v>
      </c>
      <c r="Q116" s="44" t="s">
        <v>562</v>
      </c>
      <c r="R116" s="44"/>
      <c r="S116" s="44"/>
      <c r="T116" s="44"/>
      <c r="U116" s="44"/>
      <c r="V116" s="44"/>
      <c r="W116" s="44"/>
      <c r="X116" s="44" t="s">
        <v>562</v>
      </c>
      <c r="Y116" s="44"/>
      <c r="Z116" s="44"/>
      <c r="AA116" s="44"/>
      <c r="AB116" s="44"/>
      <c r="AC116" s="44" t="s">
        <v>562</v>
      </c>
      <c r="AD116" s="44"/>
      <c r="AE116" s="44"/>
      <c r="AF116" s="44"/>
      <c r="AG116" s="44"/>
      <c r="AH116" s="44"/>
      <c r="AI116" s="44"/>
    </row>
    <row r="117" spans="1:35" x14ac:dyDescent="0.35">
      <c r="A117" s="17" t="s">
        <v>46</v>
      </c>
      <c r="B117" s="17" t="s">
        <v>558</v>
      </c>
      <c r="C117" s="28" t="s">
        <v>751</v>
      </c>
      <c r="D117" s="17" t="s">
        <v>795</v>
      </c>
      <c r="E117" s="17" t="s">
        <v>796</v>
      </c>
      <c r="F117" s="20">
        <v>101.41</v>
      </c>
      <c r="G117" s="20">
        <v>56</v>
      </c>
      <c r="H117" s="19">
        <v>217</v>
      </c>
      <c r="I117" s="20">
        <v>114</v>
      </c>
      <c r="J117" s="20">
        <v>103</v>
      </c>
      <c r="K117" s="20">
        <v>0</v>
      </c>
      <c r="L117" s="44"/>
      <c r="M117" s="20">
        <v>47</v>
      </c>
      <c r="N117" s="44"/>
      <c r="O117" s="46">
        <v>0</v>
      </c>
      <c r="P117" s="46">
        <v>0</v>
      </c>
      <c r="Q117" s="44" t="s">
        <v>562</v>
      </c>
      <c r="R117" s="44"/>
      <c r="S117" s="44"/>
      <c r="T117" s="44"/>
      <c r="U117" s="44"/>
      <c r="V117" s="44"/>
      <c r="W117" s="44"/>
      <c r="X117" s="44" t="s">
        <v>562</v>
      </c>
      <c r="Y117" s="44"/>
      <c r="Z117" s="44"/>
      <c r="AA117" s="44"/>
      <c r="AB117" s="44"/>
      <c r="AC117" s="44" t="s">
        <v>562</v>
      </c>
      <c r="AD117" s="44"/>
      <c r="AE117" s="44"/>
      <c r="AF117" s="44"/>
      <c r="AG117" s="44"/>
      <c r="AH117" s="44"/>
      <c r="AI117" s="44"/>
    </row>
    <row r="118" spans="1:35" x14ac:dyDescent="0.35">
      <c r="A118" s="17" t="s">
        <v>46</v>
      </c>
      <c r="B118" s="17" t="s">
        <v>558</v>
      </c>
      <c r="C118" s="28" t="s">
        <v>751</v>
      </c>
      <c r="D118" s="17" t="s">
        <v>797</v>
      </c>
      <c r="E118" s="17" t="s">
        <v>798</v>
      </c>
      <c r="F118" s="20">
        <v>63.76</v>
      </c>
      <c r="G118" s="20">
        <v>38</v>
      </c>
      <c r="H118" s="19">
        <v>160</v>
      </c>
      <c r="I118" s="20">
        <v>76</v>
      </c>
      <c r="J118" s="20">
        <v>84</v>
      </c>
      <c r="K118" s="20">
        <v>20</v>
      </c>
      <c r="L118" s="44"/>
      <c r="M118" s="20">
        <v>0</v>
      </c>
      <c r="N118" s="44"/>
      <c r="O118" s="46">
        <v>0</v>
      </c>
      <c r="P118" s="46">
        <v>0</v>
      </c>
      <c r="Q118" s="44" t="s">
        <v>562</v>
      </c>
      <c r="R118" s="44"/>
      <c r="S118" s="44"/>
      <c r="T118" s="44"/>
      <c r="U118" s="44"/>
      <c r="V118" s="44"/>
      <c r="W118" s="44"/>
      <c r="X118" s="44" t="s">
        <v>562</v>
      </c>
      <c r="Y118" s="44"/>
      <c r="Z118" s="44"/>
      <c r="AA118" s="44"/>
      <c r="AB118" s="44"/>
      <c r="AC118" s="44" t="s">
        <v>562</v>
      </c>
      <c r="AD118" s="44"/>
      <c r="AE118" s="44"/>
      <c r="AF118" s="44"/>
      <c r="AG118" s="44"/>
      <c r="AH118" s="44"/>
      <c r="AI118" s="44"/>
    </row>
    <row r="119" spans="1:35" x14ac:dyDescent="0.35">
      <c r="A119" s="17" t="s">
        <v>46</v>
      </c>
      <c r="B119" s="17" t="s">
        <v>558</v>
      </c>
      <c r="C119" s="28" t="s">
        <v>765</v>
      </c>
      <c r="D119" s="17" t="s">
        <v>799</v>
      </c>
      <c r="E119" s="17" t="s">
        <v>800</v>
      </c>
      <c r="F119" s="20">
        <v>151.49</v>
      </c>
      <c r="G119" s="20">
        <v>59</v>
      </c>
      <c r="H119" s="19">
        <v>234</v>
      </c>
      <c r="I119" s="20">
        <v>110</v>
      </c>
      <c r="J119" s="20">
        <v>124</v>
      </c>
      <c r="K119" s="20">
        <v>127</v>
      </c>
      <c r="L119" s="44"/>
      <c r="M119" s="20">
        <v>0</v>
      </c>
      <c r="N119" s="44"/>
      <c r="O119" s="46">
        <v>32.11</v>
      </c>
      <c r="P119" s="46">
        <v>7.34</v>
      </c>
      <c r="Q119" s="44" t="s">
        <v>51</v>
      </c>
      <c r="R119" s="44">
        <v>2020</v>
      </c>
      <c r="S119" s="44"/>
      <c r="T119" s="44"/>
      <c r="U119" s="44"/>
      <c r="V119" s="44"/>
      <c r="W119" s="44"/>
      <c r="X119" s="44" t="s">
        <v>51</v>
      </c>
      <c r="Y119" s="44"/>
      <c r="Z119" s="44"/>
      <c r="AA119" s="44"/>
      <c r="AB119" s="44"/>
      <c r="AC119" s="44" t="s">
        <v>51</v>
      </c>
      <c r="AD119" s="44"/>
      <c r="AE119" s="44"/>
      <c r="AF119" s="44"/>
      <c r="AG119" s="44"/>
      <c r="AH119" s="44"/>
      <c r="AI119" s="44"/>
    </row>
    <row r="120" spans="1:35" x14ac:dyDescent="0.35">
      <c r="A120" s="17" t="s">
        <v>46</v>
      </c>
      <c r="B120" s="17" t="s">
        <v>558</v>
      </c>
      <c r="C120" s="28" t="s">
        <v>751</v>
      </c>
      <c r="D120" s="17" t="s">
        <v>801</v>
      </c>
      <c r="E120" s="17" t="s">
        <v>802</v>
      </c>
      <c r="F120" s="20">
        <v>64.73</v>
      </c>
      <c r="G120" s="20">
        <v>19</v>
      </c>
      <c r="H120" s="19">
        <v>95</v>
      </c>
      <c r="I120" s="20">
        <v>39</v>
      </c>
      <c r="J120" s="20">
        <v>56</v>
      </c>
      <c r="K120" s="20">
        <v>9</v>
      </c>
      <c r="L120" s="44"/>
      <c r="M120" s="20">
        <v>0</v>
      </c>
      <c r="N120" s="44"/>
      <c r="O120" s="46">
        <v>0</v>
      </c>
      <c r="P120" s="46">
        <v>0</v>
      </c>
      <c r="Q120" s="44" t="s">
        <v>562</v>
      </c>
      <c r="R120" s="44"/>
      <c r="S120" s="44"/>
      <c r="T120" s="44"/>
      <c r="U120" s="44"/>
      <c r="V120" s="44"/>
      <c r="W120" s="44"/>
      <c r="X120" s="44" t="s">
        <v>562</v>
      </c>
      <c r="Y120" s="44"/>
      <c r="Z120" s="44"/>
      <c r="AA120" s="44"/>
      <c r="AB120" s="44"/>
      <c r="AC120" s="44" t="s">
        <v>562</v>
      </c>
      <c r="AD120" s="44"/>
      <c r="AE120" s="44"/>
      <c r="AF120" s="44"/>
      <c r="AG120" s="44"/>
      <c r="AH120" s="44"/>
      <c r="AI120" s="44"/>
    </row>
    <row r="121" spans="1:35" x14ac:dyDescent="0.35">
      <c r="A121" s="17" t="s">
        <v>46</v>
      </c>
      <c r="B121" s="17" t="s">
        <v>558</v>
      </c>
      <c r="C121" s="28" t="s">
        <v>751</v>
      </c>
      <c r="D121" s="17" t="s">
        <v>803</v>
      </c>
      <c r="E121" s="17" t="s">
        <v>804</v>
      </c>
      <c r="F121" s="20">
        <v>263.88</v>
      </c>
      <c r="G121" s="20">
        <v>99</v>
      </c>
      <c r="H121" s="19">
        <v>418</v>
      </c>
      <c r="I121" s="20">
        <v>208</v>
      </c>
      <c r="J121" s="20">
        <v>210</v>
      </c>
      <c r="K121" s="20">
        <v>127</v>
      </c>
      <c r="L121" s="44"/>
      <c r="M121" s="20">
        <v>0</v>
      </c>
      <c r="N121" s="44"/>
      <c r="O121" s="46">
        <v>36.299999999999997</v>
      </c>
      <c r="P121" s="46">
        <v>0</v>
      </c>
      <c r="Q121" s="44" t="s">
        <v>562</v>
      </c>
      <c r="R121" s="44"/>
      <c r="S121" s="44"/>
      <c r="T121" s="44"/>
      <c r="U121" s="44"/>
      <c r="V121" s="44"/>
      <c r="W121" s="44"/>
      <c r="X121" s="44" t="s">
        <v>562</v>
      </c>
      <c r="Y121" s="44"/>
      <c r="Z121" s="44"/>
      <c r="AA121" s="44"/>
      <c r="AB121" s="44"/>
      <c r="AC121" s="44" t="s">
        <v>562</v>
      </c>
      <c r="AD121" s="44"/>
      <c r="AE121" s="44"/>
      <c r="AF121" s="44"/>
      <c r="AG121" s="44"/>
      <c r="AH121" s="44"/>
      <c r="AI121" s="44"/>
    </row>
    <row r="122" spans="1:35" x14ac:dyDescent="0.35">
      <c r="A122" s="17" t="s">
        <v>46</v>
      </c>
      <c r="B122" s="17" t="s">
        <v>558</v>
      </c>
      <c r="C122" s="28" t="s">
        <v>571</v>
      </c>
      <c r="D122" s="17" t="s">
        <v>805</v>
      </c>
      <c r="E122" s="17" t="s">
        <v>806</v>
      </c>
      <c r="F122" s="20">
        <v>276.98</v>
      </c>
      <c r="G122" s="20">
        <v>109</v>
      </c>
      <c r="H122" s="19">
        <v>497</v>
      </c>
      <c r="I122" s="20">
        <v>242</v>
      </c>
      <c r="J122" s="20">
        <v>255</v>
      </c>
      <c r="K122" s="20">
        <v>106</v>
      </c>
      <c r="L122" s="44"/>
      <c r="M122" s="20">
        <v>31</v>
      </c>
      <c r="N122" s="44"/>
      <c r="O122" s="46">
        <v>31</v>
      </c>
      <c r="P122" s="46">
        <v>15.12</v>
      </c>
      <c r="Q122" s="44" t="s">
        <v>51</v>
      </c>
      <c r="R122" s="44">
        <v>2020</v>
      </c>
      <c r="S122" s="44"/>
      <c r="T122" s="44"/>
      <c r="U122" s="44"/>
      <c r="V122" s="44"/>
      <c r="W122" s="44"/>
      <c r="X122" s="44" t="s">
        <v>51</v>
      </c>
      <c r="Y122" s="44"/>
      <c r="Z122" s="44"/>
      <c r="AA122" s="44"/>
      <c r="AB122" s="44"/>
      <c r="AC122" s="44" t="s">
        <v>51</v>
      </c>
      <c r="AD122" s="44"/>
      <c r="AE122" s="44"/>
      <c r="AF122" s="44"/>
      <c r="AG122" s="44"/>
      <c r="AH122" s="44"/>
      <c r="AI122" s="44"/>
    </row>
    <row r="123" spans="1:35" x14ac:dyDescent="0.35">
      <c r="A123" s="17" t="s">
        <v>46</v>
      </c>
      <c r="B123" s="17" t="s">
        <v>558</v>
      </c>
      <c r="C123" s="28" t="s">
        <v>751</v>
      </c>
      <c r="D123" s="17" t="s">
        <v>807</v>
      </c>
      <c r="E123" s="17" t="s">
        <v>808</v>
      </c>
      <c r="F123" s="20">
        <v>94.2</v>
      </c>
      <c r="G123" s="20">
        <v>64</v>
      </c>
      <c r="H123" s="19">
        <v>257</v>
      </c>
      <c r="I123" s="20">
        <v>131</v>
      </c>
      <c r="J123" s="20">
        <v>126</v>
      </c>
      <c r="K123" s="20">
        <v>40</v>
      </c>
      <c r="L123" s="44"/>
      <c r="M123" s="20">
        <v>0</v>
      </c>
      <c r="N123" s="44"/>
      <c r="O123" s="46">
        <v>7.7</v>
      </c>
      <c r="P123" s="46">
        <v>0</v>
      </c>
      <c r="Q123" s="44" t="s">
        <v>562</v>
      </c>
      <c r="R123" s="44"/>
      <c r="S123" s="44"/>
      <c r="T123" s="44"/>
      <c r="U123" s="44"/>
      <c r="V123" s="44"/>
      <c r="W123" s="44"/>
      <c r="X123" s="44" t="s">
        <v>562</v>
      </c>
      <c r="Y123" s="44"/>
      <c r="Z123" s="44"/>
      <c r="AA123" s="44"/>
      <c r="AB123" s="44"/>
      <c r="AC123" s="44" t="s">
        <v>562</v>
      </c>
      <c r="AD123" s="44"/>
      <c r="AE123" s="44"/>
      <c r="AF123" s="44"/>
      <c r="AG123" s="44"/>
      <c r="AH123" s="44"/>
      <c r="AI123" s="44"/>
    </row>
    <row r="124" spans="1:35" x14ac:dyDescent="0.35">
      <c r="A124" s="17" t="s">
        <v>46</v>
      </c>
      <c r="B124" s="17" t="s">
        <v>558</v>
      </c>
      <c r="C124" s="28" t="s">
        <v>571</v>
      </c>
      <c r="D124" s="17" t="s">
        <v>809</v>
      </c>
      <c r="E124" s="17" t="s">
        <v>810</v>
      </c>
      <c r="F124" s="20">
        <v>424.36</v>
      </c>
      <c r="G124" s="20">
        <v>246</v>
      </c>
      <c r="H124" s="19">
        <v>1034</v>
      </c>
      <c r="I124" s="20">
        <v>524</v>
      </c>
      <c r="J124" s="20">
        <v>510</v>
      </c>
      <c r="K124" s="20">
        <v>296</v>
      </c>
      <c r="L124" s="44"/>
      <c r="M124" s="20">
        <v>1</v>
      </c>
      <c r="N124" s="44"/>
      <c r="O124" s="46">
        <v>64.8</v>
      </c>
      <c r="P124" s="46">
        <v>0</v>
      </c>
      <c r="Q124" s="44" t="s">
        <v>51</v>
      </c>
      <c r="R124" s="44">
        <v>2020</v>
      </c>
      <c r="S124" s="44"/>
      <c r="T124" s="44"/>
      <c r="U124" s="44"/>
      <c r="V124" s="44"/>
      <c r="W124" s="44"/>
      <c r="X124" s="44" t="s">
        <v>51</v>
      </c>
      <c r="Y124" s="44"/>
      <c r="Z124" s="44"/>
      <c r="AA124" s="44"/>
      <c r="AB124" s="44"/>
      <c r="AC124" s="44" t="s">
        <v>51</v>
      </c>
      <c r="AD124" s="44"/>
      <c r="AE124" s="44"/>
      <c r="AF124" s="44"/>
      <c r="AG124" s="44"/>
      <c r="AH124" s="44"/>
      <c r="AI124" s="44"/>
    </row>
    <row r="125" spans="1:35" x14ac:dyDescent="0.35">
      <c r="A125" s="17" t="s">
        <v>46</v>
      </c>
      <c r="B125" s="17" t="s">
        <v>558</v>
      </c>
      <c r="C125" s="28" t="s">
        <v>811</v>
      </c>
      <c r="D125" s="17" t="s">
        <v>812</v>
      </c>
      <c r="E125" s="17" t="s">
        <v>813</v>
      </c>
      <c r="F125" s="20">
        <v>453.3</v>
      </c>
      <c r="G125" s="20">
        <v>192</v>
      </c>
      <c r="H125" s="19">
        <v>943</v>
      </c>
      <c r="I125" s="20">
        <v>488</v>
      </c>
      <c r="J125" s="20">
        <v>455</v>
      </c>
      <c r="K125" s="20">
        <v>6</v>
      </c>
      <c r="L125" s="44"/>
      <c r="M125" s="20">
        <v>6</v>
      </c>
      <c r="N125" s="44"/>
      <c r="O125" s="46">
        <v>64.760000000000005</v>
      </c>
      <c r="P125" s="46">
        <v>0</v>
      </c>
      <c r="Q125" s="44" t="s">
        <v>51</v>
      </c>
      <c r="R125" s="44">
        <v>2020</v>
      </c>
      <c r="S125" s="44"/>
      <c r="T125" s="44"/>
      <c r="U125" s="44"/>
      <c r="V125" s="44"/>
      <c r="W125" s="44"/>
      <c r="X125" s="44" t="s">
        <v>51</v>
      </c>
      <c r="Y125" s="44"/>
      <c r="Z125" s="44"/>
      <c r="AA125" s="44"/>
      <c r="AB125" s="44"/>
      <c r="AC125" s="44" t="s">
        <v>51</v>
      </c>
      <c r="AD125" s="44"/>
      <c r="AE125" s="44"/>
      <c r="AF125" s="44"/>
      <c r="AG125" s="44"/>
      <c r="AH125" s="44"/>
      <c r="AI125" s="44"/>
    </row>
    <row r="126" spans="1:35" x14ac:dyDescent="0.35">
      <c r="A126" s="17" t="s">
        <v>46</v>
      </c>
      <c r="B126" s="17" t="s">
        <v>558</v>
      </c>
      <c r="C126" s="28" t="s">
        <v>811</v>
      </c>
      <c r="D126" s="17" t="s">
        <v>814</v>
      </c>
      <c r="E126" s="17" t="s">
        <v>815</v>
      </c>
      <c r="F126" s="20">
        <v>833.19</v>
      </c>
      <c r="G126" s="20">
        <v>393</v>
      </c>
      <c r="H126" s="19">
        <v>1948</v>
      </c>
      <c r="I126" s="20">
        <v>988</v>
      </c>
      <c r="J126" s="20">
        <v>960</v>
      </c>
      <c r="K126" s="20">
        <v>403</v>
      </c>
      <c r="L126" s="44"/>
      <c r="M126" s="20">
        <v>99</v>
      </c>
      <c r="N126" s="44"/>
      <c r="O126" s="46">
        <v>105.12</v>
      </c>
      <c r="P126" s="46">
        <v>0</v>
      </c>
      <c r="Q126" s="44" t="s">
        <v>562</v>
      </c>
      <c r="R126" s="44"/>
      <c r="S126" s="44"/>
      <c r="T126" s="44"/>
      <c r="U126" s="44"/>
      <c r="V126" s="44"/>
      <c r="W126" s="44"/>
      <c r="X126" s="44" t="s">
        <v>562</v>
      </c>
      <c r="Y126" s="44"/>
      <c r="Z126" s="44"/>
      <c r="AA126" s="44"/>
      <c r="AB126" s="44"/>
      <c r="AC126" s="44" t="s">
        <v>562</v>
      </c>
      <c r="AD126" s="44"/>
      <c r="AE126" s="44"/>
      <c r="AF126" s="44"/>
      <c r="AG126" s="44"/>
      <c r="AH126" s="44"/>
      <c r="AI126" s="44"/>
    </row>
    <row r="127" spans="1:35" x14ac:dyDescent="0.35">
      <c r="A127" s="17" t="s">
        <v>46</v>
      </c>
      <c r="B127" s="17" t="s">
        <v>558</v>
      </c>
      <c r="C127" s="28" t="s">
        <v>811</v>
      </c>
      <c r="D127" s="17" t="s">
        <v>816</v>
      </c>
      <c r="E127" s="17" t="s">
        <v>817</v>
      </c>
      <c r="F127" s="20">
        <v>639.08000000000004</v>
      </c>
      <c r="G127" s="20">
        <v>192</v>
      </c>
      <c r="H127" s="19">
        <v>962</v>
      </c>
      <c r="I127" s="20">
        <v>493</v>
      </c>
      <c r="J127" s="20">
        <v>469</v>
      </c>
      <c r="K127" s="20">
        <v>84</v>
      </c>
      <c r="L127" s="44"/>
      <c r="M127" s="20">
        <v>81</v>
      </c>
      <c r="N127" s="44"/>
      <c r="O127" s="46">
        <v>62.59</v>
      </c>
      <c r="P127" s="46">
        <v>0</v>
      </c>
      <c r="Q127" s="44" t="s">
        <v>51</v>
      </c>
      <c r="R127" s="44">
        <v>2020</v>
      </c>
      <c r="S127" s="44"/>
      <c r="T127" s="44"/>
      <c r="U127" s="44"/>
      <c r="V127" s="44"/>
      <c r="W127" s="44"/>
      <c r="X127" s="44" t="s">
        <v>51</v>
      </c>
      <c r="Y127" s="44"/>
      <c r="Z127" s="44"/>
      <c r="AA127" s="44"/>
      <c r="AB127" s="44"/>
      <c r="AC127" s="44" t="s">
        <v>51</v>
      </c>
      <c r="AD127" s="44"/>
      <c r="AE127" s="44"/>
      <c r="AF127" s="44"/>
      <c r="AG127" s="44"/>
      <c r="AH127" s="44"/>
      <c r="AI127" s="44"/>
    </row>
    <row r="128" spans="1:35" x14ac:dyDescent="0.35">
      <c r="A128" s="17" t="s">
        <v>46</v>
      </c>
      <c r="B128" s="17" t="s">
        <v>558</v>
      </c>
      <c r="C128" s="28" t="s">
        <v>571</v>
      </c>
      <c r="D128" s="17" t="s">
        <v>818</v>
      </c>
      <c r="E128" s="17" t="s">
        <v>819</v>
      </c>
      <c r="F128" s="20">
        <v>261.86</v>
      </c>
      <c r="G128" s="20">
        <v>131</v>
      </c>
      <c r="H128" s="19">
        <v>581</v>
      </c>
      <c r="I128" s="20">
        <v>298</v>
      </c>
      <c r="J128" s="20">
        <v>283</v>
      </c>
      <c r="K128" s="20">
        <v>63</v>
      </c>
      <c r="L128" s="44"/>
      <c r="M128" s="20">
        <v>8</v>
      </c>
      <c r="N128" s="44"/>
      <c r="O128" s="46">
        <v>31</v>
      </c>
      <c r="P128" s="46">
        <v>0</v>
      </c>
      <c r="Q128" s="44" t="s">
        <v>51</v>
      </c>
      <c r="R128" s="44">
        <v>2020</v>
      </c>
      <c r="S128" s="44"/>
      <c r="T128" s="44"/>
      <c r="U128" s="44"/>
      <c r="V128" s="44"/>
      <c r="W128" s="44"/>
      <c r="X128" s="44" t="s">
        <v>51</v>
      </c>
      <c r="Y128" s="44"/>
      <c r="Z128" s="44"/>
      <c r="AA128" s="44"/>
      <c r="AB128" s="44"/>
      <c r="AC128" s="44" t="s">
        <v>51</v>
      </c>
      <c r="AD128" s="44"/>
      <c r="AE128" s="44"/>
      <c r="AF128" s="44"/>
      <c r="AG128" s="44"/>
      <c r="AH128" s="44"/>
      <c r="AI128" s="44"/>
    </row>
    <row r="129" spans="1:35" x14ac:dyDescent="0.35">
      <c r="A129" s="17" t="s">
        <v>46</v>
      </c>
      <c r="B129" s="17" t="s">
        <v>558</v>
      </c>
      <c r="C129" s="28" t="s">
        <v>811</v>
      </c>
      <c r="D129" s="17" t="s">
        <v>162</v>
      </c>
      <c r="E129" s="17" t="s">
        <v>820</v>
      </c>
      <c r="F129" s="20">
        <v>277.93</v>
      </c>
      <c r="G129" s="20">
        <v>82</v>
      </c>
      <c r="H129" s="19">
        <v>365</v>
      </c>
      <c r="I129" s="20">
        <v>189</v>
      </c>
      <c r="J129" s="20">
        <v>176</v>
      </c>
      <c r="K129" s="20">
        <v>18</v>
      </c>
      <c r="L129" s="44"/>
      <c r="M129" s="20">
        <v>56</v>
      </c>
      <c r="N129" s="44"/>
      <c r="O129" s="46">
        <v>43.66</v>
      </c>
      <c r="P129" s="46">
        <v>0</v>
      </c>
      <c r="Q129" s="44" t="s">
        <v>562</v>
      </c>
      <c r="R129" s="44"/>
      <c r="S129" s="44"/>
      <c r="T129" s="44"/>
      <c r="U129" s="44"/>
      <c r="V129" s="44"/>
      <c r="W129" s="44"/>
      <c r="X129" s="44" t="s">
        <v>562</v>
      </c>
      <c r="Y129" s="44"/>
      <c r="Z129" s="44"/>
      <c r="AA129" s="44"/>
      <c r="AB129" s="44"/>
      <c r="AC129" s="44" t="s">
        <v>562</v>
      </c>
      <c r="AD129" s="44"/>
      <c r="AE129" s="44"/>
      <c r="AF129" s="44"/>
      <c r="AG129" s="44"/>
      <c r="AH129" s="44"/>
      <c r="AI129" s="44"/>
    </row>
    <row r="130" spans="1:35" x14ac:dyDescent="0.35">
      <c r="A130" s="17" t="s">
        <v>46</v>
      </c>
      <c r="B130" s="17" t="s">
        <v>558</v>
      </c>
      <c r="C130" s="28" t="s">
        <v>811</v>
      </c>
      <c r="D130" s="17" t="s">
        <v>821</v>
      </c>
      <c r="E130" s="17" t="s">
        <v>822</v>
      </c>
      <c r="F130" s="20">
        <v>61.24</v>
      </c>
      <c r="G130" s="20">
        <v>261</v>
      </c>
      <c r="H130" s="19">
        <v>1194</v>
      </c>
      <c r="I130" s="20">
        <v>597</v>
      </c>
      <c r="J130" s="20">
        <v>597</v>
      </c>
      <c r="K130" s="20">
        <v>0</v>
      </c>
      <c r="L130" s="44"/>
      <c r="M130" s="20">
        <v>0</v>
      </c>
      <c r="N130" s="44"/>
      <c r="O130" s="46">
        <v>7.19</v>
      </c>
      <c r="P130" s="46">
        <v>0</v>
      </c>
      <c r="Q130" s="44" t="s">
        <v>51</v>
      </c>
      <c r="R130" s="44">
        <v>2020</v>
      </c>
      <c r="S130" s="44"/>
      <c r="T130" s="44"/>
      <c r="U130" s="44"/>
      <c r="V130" s="44"/>
      <c r="W130" s="44"/>
      <c r="X130" s="44" t="s">
        <v>51</v>
      </c>
      <c r="Y130" s="44"/>
      <c r="Z130" s="44"/>
      <c r="AA130" s="44"/>
      <c r="AB130" s="44"/>
      <c r="AC130" s="44" t="s">
        <v>51</v>
      </c>
      <c r="AD130" s="44"/>
      <c r="AE130" s="44"/>
      <c r="AF130" s="44"/>
      <c r="AG130" s="44"/>
      <c r="AH130" s="44"/>
      <c r="AI130" s="44"/>
    </row>
    <row r="131" spans="1:35" x14ac:dyDescent="0.35">
      <c r="A131" s="17" t="s">
        <v>46</v>
      </c>
      <c r="B131" s="17" t="s">
        <v>558</v>
      </c>
      <c r="C131" s="28" t="s">
        <v>571</v>
      </c>
      <c r="D131" s="17" t="s">
        <v>823</v>
      </c>
      <c r="E131" s="17" t="s">
        <v>824</v>
      </c>
      <c r="F131" s="20">
        <v>37.56</v>
      </c>
      <c r="G131" s="20">
        <v>12</v>
      </c>
      <c r="H131" s="19">
        <v>62</v>
      </c>
      <c r="I131" s="20">
        <v>33</v>
      </c>
      <c r="J131" s="20">
        <v>29</v>
      </c>
      <c r="K131" s="20">
        <v>0</v>
      </c>
      <c r="L131" s="44"/>
      <c r="M131" s="20">
        <v>0</v>
      </c>
      <c r="N131" s="44"/>
      <c r="O131" s="46">
        <v>6.45</v>
      </c>
      <c r="P131" s="46">
        <v>0</v>
      </c>
      <c r="Q131" s="44" t="s">
        <v>562</v>
      </c>
      <c r="R131" s="44"/>
      <c r="S131" s="44"/>
      <c r="T131" s="44"/>
      <c r="U131" s="44"/>
      <c r="V131" s="44"/>
      <c r="W131" s="44"/>
      <c r="X131" s="44" t="s">
        <v>562</v>
      </c>
      <c r="Y131" s="44"/>
      <c r="Z131" s="44"/>
      <c r="AA131" s="44"/>
      <c r="AB131" s="44"/>
      <c r="AC131" s="44" t="s">
        <v>562</v>
      </c>
      <c r="AD131" s="44"/>
      <c r="AE131" s="44"/>
      <c r="AF131" s="44"/>
      <c r="AG131" s="44"/>
      <c r="AH131" s="44"/>
      <c r="AI131" s="44"/>
    </row>
    <row r="132" spans="1:35" x14ac:dyDescent="0.35">
      <c r="A132" s="17" t="s">
        <v>46</v>
      </c>
      <c r="B132" s="17" t="s">
        <v>558</v>
      </c>
      <c r="C132" s="28" t="s">
        <v>571</v>
      </c>
      <c r="D132" s="17" t="s">
        <v>825</v>
      </c>
      <c r="E132" s="17" t="s">
        <v>826</v>
      </c>
      <c r="F132" s="20">
        <v>90.34</v>
      </c>
      <c r="G132" s="20">
        <v>26</v>
      </c>
      <c r="H132" s="19">
        <v>101</v>
      </c>
      <c r="I132" s="20">
        <v>55</v>
      </c>
      <c r="J132" s="20">
        <v>46</v>
      </c>
      <c r="K132" s="20">
        <v>0</v>
      </c>
      <c r="L132" s="44"/>
      <c r="M132" s="20">
        <v>0</v>
      </c>
      <c r="N132" s="44"/>
      <c r="O132" s="46">
        <v>4.43</v>
      </c>
      <c r="P132" s="46">
        <v>0</v>
      </c>
      <c r="Q132" s="44" t="s">
        <v>51</v>
      </c>
      <c r="R132" s="44">
        <v>2020</v>
      </c>
      <c r="S132" s="44"/>
      <c r="T132" s="44"/>
      <c r="U132" s="44"/>
      <c r="V132" s="44"/>
      <c r="W132" s="44"/>
      <c r="X132" s="44" t="s">
        <v>51</v>
      </c>
      <c r="Y132" s="44"/>
      <c r="Z132" s="44"/>
      <c r="AA132" s="44"/>
      <c r="AB132" s="44"/>
      <c r="AC132" s="44" t="s">
        <v>51</v>
      </c>
      <c r="AD132" s="44"/>
      <c r="AE132" s="44"/>
      <c r="AF132" s="44"/>
      <c r="AG132" s="44"/>
      <c r="AH132" s="44"/>
      <c r="AI132" s="44"/>
    </row>
    <row r="133" spans="1:35" x14ac:dyDescent="0.35">
      <c r="A133" s="17" t="s">
        <v>46</v>
      </c>
      <c r="B133" s="17" t="s">
        <v>558</v>
      </c>
      <c r="C133" s="28" t="s">
        <v>571</v>
      </c>
      <c r="D133" s="17" t="s">
        <v>827</v>
      </c>
      <c r="E133" s="17" t="s">
        <v>828</v>
      </c>
      <c r="F133" s="20">
        <v>256.13</v>
      </c>
      <c r="G133" s="20">
        <v>199</v>
      </c>
      <c r="H133" s="19">
        <v>908</v>
      </c>
      <c r="I133" s="20">
        <v>462</v>
      </c>
      <c r="J133" s="20">
        <v>446</v>
      </c>
      <c r="K133" s="20">
        <v>254</v>
      </c>
      <c r="L133" s="44"/>
      <c r="M133" s="20">
        <v>111</v>
      </c>
      <c r="N133" s="44"/>
      <c r="O133" s="46">
        <v>36.93</v>
      </c>
      <c r="P133" s="46">
        <v>0</v>
      </c>
      <c r="Q133" s="44" t="s">
        <v>562</v>
      </c>
      <c r="R133" s="44"/>
      <c r="S133" s="44"/>
      <c r="T133" s="44"/>
      <c r="U133" s="44"/>
      <c r="V133" s="44"/>
      <c r="W133" s="44"/>
      <c r="X133" s="44" t="s">
        <v>562</v>
      </c>
      <c r="Y133" s="44"/>
      <c r="Z133" s="44"/>
      <c r="AA133" s="44"/>
      <c r="AB133" s="44"/>
      <c r="AC133" s="44" t="s">
        <v>562</v>
      </c>
      <c r="AD133" s="44"/>
      <c r="AE133" s="44"/>
      <c r="AF133" s="44"/>
      <c r="AG133" s="44"/>
      <c r="AH133" s="44"/>
      <c r="AI133" s="44"/>
    </row>
    <row r="134" spans="1:35" x14ac:dyDescent="0.35">
      <c r="A134" s="17" t="s">
        <v>46</v>
      </c>
      <c r="B134" s="17" t="s">
        <v>558</v>
      </c>
      <c r="C134" s="28" t="s">
        <v>829</v>
      </c>
      <c r="D134" s="17" t="s">
        <v>830</v>
      </c>
      <c r="E134" s="17" t="s">
        <v>831</v>
      </c>
      <c r="F134" s="20">
        <v>104.67</v>
      </c>
      <c r="G134" s="20">
        <v>108</v>
      </c>
      <c r="H134" s="19">
        <v>418</v>
      </c>
      <c r="I134" s="20">
        <v>206</v>
      </c>
      <c r="J134" s="20">
        <v>212</v>
      </c>
      <c r="K134" s="20">
        <v>32</v>
      </c>
      <c r="L134" s="44"/>
      <c r="M134" s="20">
        <v>0</v>
      </c>
      <c r="N134" s="44"/>
      <c r="O134" s="46">
        <v>38.979999999999997</v>
      </c>
      <c r="P134" s="46">
        <v>0</v>
      </c>
      <c r="Q134" s="44" t="s">
        <v>51</v>
      </c>
      <c r="R134" s="44">
        <v>2020</v>
      </c>
      <c r="S134" s="44"/>
      <c r="T134" s="44"/>
      <c r="U134" s="44"/>
      <c r="V134" s="44"/>
      <c r="W134" s="44"/>
      <c r="X134" s="44" t="s">
        <v>51</v>
      </c>
      <c r="Y134" s="44"/>
      <c r="Z134" s="44"/>
      <c r="AA134" s="44"/>
      <c r="AB134" s="44"/>
      <c r="AC134" s="44" t="s">
        <v>51</v>
      </c>
      <c r="AD134" s="44"/>
      <c r="AE134" s="44"/>
      <c r="AF134" s="44"/>
      <c r="AG134" s="44"/>
      <c r="AH134" s="44"/>
      <c r="AI134" s="44"/>
    </row>
    <row r="135" spans="1:35" x14ac:dyDescent="0.35">
      <c r="A135" s="17" t="s">
        <v>46</v>
      </c>
      <c r="B135" s="17" t="s">
        <v>558</v>
      </c>
      <c r="C135" s="28" t="s">
        <v>829</v>
      </c>
      <c r="D135" s="17" t="s">
        <v>832</v>
      </c>
      <c r="E135" s="17" t="s">
        <v>833</v>
      </c>
      <c r="F135" s="20">
        <v>299.95999999999998</v>
      </c>
      <c r="G135" s="20">
        <v>98</v>
      </c>
      <c r="H135" s="19">
        <v>441</v>
      </c>
      <c r="I135" s="20">
        <v>228</v>
      </c>
      <c r="J135" s="20">
        <v>213</v>
      </c>
      <c r="K135" s="20">
        <v>6</v>
      </c>
      <c r="L135" s="44"/>
      <c r="M135" s="20">
        <v>0</v>
      </c>
      <c r="N135" s="44"/>
      <c r="O135" s="46">
        <v>51.13</v>
      </c>
      <c r="P135" s="46">
        <v>22.69</v>
      </c>
      <c r="Q135" s="44" t="s">
        <v>51</v>
      </c>
      <c r="R135" s="44">
        <v>2020</v>
      </c>
      <c r="S135" s="44"/>
      <c r="T135" s="44"/>
      <c r="U135" s="44"/>
      <c r="V135" s="44"/>
      <c r="W135" s="44"/>
      <c r="X135" s="44" t="s">
        <v>51</v>
      </c>
      <c r="Y135" s="44"/>
      <c r="Z135" s="44"/>
      <c r="AA135" s="44"/>
      <c r="AB135" s="44"/>
      <c r="AC135" s="44" t="s">
        <v>51</v>
      </c>
      <c r="AD135" s="44"/>
      <c r="AE135" s="44"/>
      <c r="AF135" s="44"/>
      <c r="AG135" s="44"/>
      <c r="AH135" s="44"/>
      <c r="AI135" s="44"/>
    </row>
    <row r="136" spans="1:35" x14ac:dyDescent="0.35">
      <c r="A136" s="17" t="s">
        <v>46</v>
      </c>
      <c r="B136" s="17" t="s">
        <v>558</v>
      </c>
      <c r="C136" s="28" t="s">
        <v>834</v>
      </c>
      <c r="D136" s="17" t="s">
        <v>201</v>
      </c>
      <c r="E136" s="17" t="s">
        <v>835</v>
      </c>
      <c r="F136" s="20">
        <v>29.39</v>
      </c>
      <c r="G136" s="20">
        <v>21</v>
      </c>
      <c r="H136" s="19">
        <v>93</v>
      </c>
      <c r="I136" s="20">
        <v>50</v>
      </c>
      <c r="J136" s="20">
        <v>43</v>
      </c>
      <c r="K136" s="20">
        <v>0</v>
      </c>
      <c r="L136" s="44"/>
      <c r="M136" s="20">
        <v>0</v>
      </c>
      <c r="N136" s="44"/>
      <c r="O136" s="46">
        <v>5.6</v>
      </c>
      <c r="P136" s="46">
        <v>0</v>
      </c>
      <c r="Q136" s="44" t="s">
        <v>562</v>
      </c>
      <c r="R136" s="44"/>
      <c r="S136" s="44"/>
      <c r="T136" s="44"/>
      <c r="U136" s="44"/>
      <c r="V136" s="44"/>
      <c r="W136" s="44"/>
      <c r="X136" s="44" t="s">
        <v>562</v>
      </c>
      <c r="Y136" s="44"/>
      <c r="Z136" s="44"/>
      <c r="AA136" s="44"/>
      <c r="AB136" s="44"/>
      <c r="AC136" s="44" t="s">
        <v>562</v>
      </c>
      <c r="AD136" s="44"/>
      <c r="AE136" s="44"/>
      <c r="AF136" s="44"/>
      <c r="AG136" s="44"/>
      <c r="AH136" s="44"/>
      <c r="AI136" s="44"/>
    </row>
    <row r="137" spans="1:35" x14ac:dyDescent="0.35">
      <c r="A137" s="17" t="s">
        <v>46</v>
      </c>
      <c r="B137" s="17" t="s">
        <v>558</v>
      </c>
      <c r="C137" s="28" t="s">
        <v>829</v>
      </c>
      <c r="D137" s="17" t="s">
        <v>836</v>
      </c>
      <c r="E137" s="17" t="s">
        <v>837</v>
      </c>
      <c r="F137" s="20">
        <v>145.52000000000001</v>
      </c>
      <c r="G137" s="20">
        <v>82</v>
      </c>
      <c r="H137" s="19">
        <v>403</v>
      </c>
      <c r="I137" s="20">
        <v>214</v>
      </c>
      <c r="J137" s="20">
        <v>189</v>
      </c>
      <c r="K137" s="20">
        <v>12</v>
      </c>
      <c r="L137" s="44"/>
      <c r="M137" s="20">
        <v>0</v>
      </c>
      <c r="N137" s="44"/>
      <c r="O137" s="46">
        <v>29.86</v>
      </c>
      <c r="P137" s="46">
        <v>74.77</v>
      </c>
      <c r="Q137" s="44" t="s">
        <v>51</v>
      </c>
      <c r="R137" s="44">
        <v>2019</v>
      </c>
      <c r="S137" s="44"/>
      <c r="T137" s="44"/>
      <c r="U137" s="44"/>
      <c r="V137" s="44"/>
      <c r="W137" s="44"/>
      <c r="X137" s="44" t="s">
        <v>51</v>
      </c>
      <c r="Y137" s="44"/>
      <c r="Z137" s="44"/>
      <c r="AA137" s="44"/>
      <c r="AB137" s="44"/>
      <c r="AC137" s="44" t="s">
        <v>51</v>
      </c>
      <c r="AD137" s="44"/>
      <c r="AE137" s="44"/>
      <c r="AF137" s="44"/>
      <c r="AG137" s="44"/>
      <c r="AH137" s="44"/>
      <c r="AI137" s="44"/>
    </row>
    <row r="138" spans="1:35" x14ac:dyDescent="0.35">
      <c r="A138" s="17" t="s">
        <v>46</v>
      </c>
      <c r="B138" s="17" t="s">
        <v>558</v>
      </c>
      <c r="C138" s="28" t="s">
        <v>769</v>
      </c>
      <c r="D138" s="17" t="s">
        <v>838</v>
      </c>
      <c r="E138" s="17" t="s">
        <v>839</v>
      </c>
      <c r="F138" s="20">
        <v>21.79</v>
      </c>
      <c r="G138" s="20">
        <v>6</v>
      </c>
      <c r="H138" s="19">
        <v>32</v>
      </c>
      <c r="I138" s="20">
        <v>16</v>
      </c>
      <c r="J138" s="20">
        <v>16</v>
      </c>
      <c r="K138" s="20">
        <v>0</v>
      </c>
      <c r="L138" s="44"/>
      <c r="M138" s="20">
        <v>0</v>
      </c>
      <c r="N138" s="44"/>
      <c r="O138" s="46">
        <v>0</v>
      </c>
      <c r="P138" s="46">
        <v>1.91</v>
      </c>
      <c r="Q138" s="44" t="s">
        <v>562</v>
      </c>
      <c r="R138" s="44"/>
      <c r="S138" s="44"/>
      <c r="T138" s="44"/>
      <c r="U138" s="44"/>
      <c r="V138" s="44"/>
      <c r="W138" s="44"/>
      <c r="X138" s="44" t="s">
        <v>562</v>
      </c>
      <c r="Y138" s="44"/>
      <c r="Z138" s="44"/>
      <c r="AA138" s="44"/>
      <c r="AB138" s="44"/>
      <c r="AC138" s="44" t="s">
        <v>562</v>
      </c>
      <c r="AD138" s="44"/>
      <c r="AE138" s="44"/>
      <c r="AF138" s="44"/>
      <c r="AG138" s="44"/>
      <c r="AH138" s="44"/>
      <c r="AI138" s="44"/>
    </row>
    <row r="139" spans="1:35" x14ac:dyDescent="0.35">
      <c r="A139" s="17" t="s">
        <v>46</v>
      </c>
      <c r="B139" s="17" t="s">
        <v>558</v>
      </c>
      <c r="C139" s="28" t="s">
        <v>840</v>
      </c>
      <c r="D139" s="17" t="s">
        <v>841</v>
      </c>
      <c r="E139" s="17" t="s">
        <v>842</v>
      </c>
      <c r="F139" s="20">
        <v>723.64</v>
      </c>
      <c r="G139" s="20">
        <v>183</v>
      </c>
      <c r="H139" s="19">
        <v>760</v>
      </c>
      <c r="I139" s="20">
        <v>373</v>
      </c>
      <c r="J139" s="20">
        <v>387</v>
      </c>
      <c r="K139" s="20">
        <v>183</v>
      </c>
      <c r="L139" s="44"/>
      <c r="M139" s="20">
        <v>122</v>
      </c>
      <c r="N139" s="44"/>
      <c r="O139" s="46">
        <v>20.350000000000001</v>
      </c>
      <c r="P139" s="46">
        <v>289.64999999999998</v>
      </c>
      <c r="Q139" s="44" t="s">
        <v>51</v>
      </c>
      <c r="R139" s="44">
        <v>2020</v>
      </c>
      <c r="S139" s="44"/>
      <c r="T139" s="44"/>
      <c r="U139" s="44"/>
      <c r="V139" s="44"/>
      <c r="W139" s="44"/>
      <c r="X139" s="44" t="s">
        <v>51</v>
      </c>
      <c r="Y139" s="44"/>
      <c r="Z139" s="44"/>
      <c r="AA139" s="44"/>
      <c r="AB139" s="44"/>
      <c r="AC139" s="44" t="s">
        <v>51</v>
      </c>
      <c r="AD139" s="44"/>
      <c r="AE139" s="44"/>
      <c r="AF139" s="44"/>
      <c r="AG139" s="44"/>
      <c r="AH139" s="44"/>
      <c r="AI139" s="44"/>
    </row>
    <row r="140" spans="1:35" x14ac:dyDescent="0.35">
      <c r="A140" s="17" t="s">
        <v>46</v>
      </c>
      <c r="B140" s="17" t="s">
        <v>558</v>
      </c>
      <c r="C140" s="28" t="s">
        <v>829</v>
      </c>
      <c r="D140" s="17" t="s">
        <v>843</v>
      </c>
      <c r="E140" s="17" t="s">
        <v>844</v>
      </c>
      <c r="F140" s="20">
        <v>893.69</v>
      </c>
      <c r="G140" s="20">
        <v>587</v>
      </c>
      <c r="H140" s="19">
        <v>2948</v>
      </c>
      <c r="I140" s="20">
        <v>1489</v>
      </c>
      <c r="J140" s="20">
        <v>1459</v>
      </c>
      <c r="K140" s="20">
        <v>728</v>
      </c>
      <c r="L140" s="44"/>
      <c r="M140" s="20">
        <v>163</v>
      </c>
      <c r="N140" s="44"/>
      <c r="O140" s="46">
        <v>93.3</v>
      </c>
      <c r="P140" s="46">
        <v>144.54</v>
      </c>
      <c r="Q140" s="44" t="s">
        <v>562</v>
      </c>
      <c r="R140" s="44"/>
      <c r="S140" s="44"/>
      <c r="T140" s="44"/>
      <c r="U140" s="44"/>
      <c r="V140" s="44"/>
      <c r="W140" s="44"/>
      <c r="X140" s="44" t="s">
        <v>562</v>
      </c>
      <c r="Y140" s="44"/>
      <c r="Z140" s="44"/>
      <c r="AA140" s="44"/>
      <c r="AB140" s="44"/>
      <c r="AC140" s="44" t="s">
        <v>562</v>
      </c>
      <c r="AD140" s="44"/>
      <c r="AE140" s="44"/>
      <c r="AF140" s="44"/>
      <c r="AG140" s="44"/>
      <c r="AH140" s="44"/>
      <c r="AI140" s="44"/>
    </row>
    <row r="141" spans="1:35" x14ac:dyDescent="0.35">
      <c r="A141" s="17" t="s">
        <v>46</v>
      </c>
      <c r="B141" s="17" t="s">
        <v>558</v>
      </c>
      <c r="C141" s="28" t="s">
        <v>559</v>
      </c>
      <c r="D141" s="17" t="s">
        <v>572</v>
      </c>
      <c r="E141" s="17" t="s">
        <v>845</v>
      </c>
      <c r="F141" s="20">
        <v>134.54</v>
      </c>
      <c r="G141" s="20">
        <v>51</v>
      </c>
      <c r="H141" s="19">
        <v>238</v>
      </c>
      <c r="I141" s="20">
        <v>128</v>
      </c>
      <c r="J141" s="20">
        <v>110</v>
      </c>
      <c r="K141" s="20">
        <v>0</v>
      </c>
      <c r="L141" s="44"/>
      <c r="M141" s="20">
        <v>0</v>
      </c>
      <c r="N141" s="44"/>
      <c r="O141" s="46">
        <v>19.440000000000001</v>
      </c>
      <c r="P141" s="46">
        <v>0</v>
      </c>
      <c r="Q141" s="44" t="s">
        <v>562</v>
      </c>
      <c r="R141" s="44"/>
      <c r="S141" s="44"/>
      <c r="T141" s="44"/>
      <c r="U141" s="44"/>
      <c r="V141" s="44"/>
      <c r="W141" s="44"/>
      <c r="X141" s="44" t="s">
        <v>562</v>
      </c>
      <c r="Y141" s="44"/>
      <c r="Z141" s="44"/>
      <c r="AA141" s="44"/>
      <c r="AB141" s="44"/>
      <c r="AC141" s="44" t="s">
        <v>562</v>
      </c>
      <c r="AD141" s="44"/>
      <c r="AE141" s="44"/>
      <c r="AF141" s="44"/>
      <c r="AG141" s="44"/>
      <c r="AH141" s="44"/>
      <c r="AI141" s="44"/>
    </row>
    <row r="142" spans="1:35" x14ac:dyDescent="0.35">
      <c r="A142" s="17" t="s">
        <v>46</v>
      </c>
      <c r="B142" s="17" t="s">
        <v>558</v>
      </c>
      <c r="C142" s="28" t="s">
        <v>829</v>
      </c>
      <c r="D142" s="17" t="s">
        <v>846</v>
      </c>
      <c r="E142" s="17" t="s">
        <v>847</v>
      </c>
      <c r="F142" s="20">
        <v>276.14999999999998</v>
      </c>
      <c r="G142" s="20">
        <v>180</v>
      </c>
      <c r="H142" s="19">
        <v>784</v>
      </c>
      <c r="I142" s="20">
        <v>394</v>
      </c>
      <c r="J142" s="20">
        <v>390</v>
      </c>
      <c r="K142" s="20">
        <v>115</v>
      </c>
      <c r="L142" s="44"/>
      <c r="M142" s="20">
        <v>99</v>
      </c>
      <c r="N142" s="44"/>
      <c r="O142" s="46">
        <v>35.24</v>
      </c>
      <c r="P142" s="46">
        <v>0</v>
      </c>
      <c r="Q142" s="44" t="s">
        <v>562</v>
      </c>
      <c r="R142" s="44"/>
      <c r="S142" s="44"/>
      <c r="T142" s="44"/>
      <c r="U142" s="44"/>
      <c r="V142" s="44"/>
      <c r="W142" s="44"/>
      <c r="X142" s="44" t="s">
        <v>562</v>
      </c>
      <c r="Y142" s="44"/>
      <c r="Z142" s="44"/>
      <c r="AA142" s="44"/>
      <c r="AB142" s="44"/>
      <c r="AC142" s="44" t="s">
        <v>562</v>
      </c>
      <c r="AD142" s="44"/>
      <c r="AE142" s="44"/>
      <c r="AF142" s="44"/>
      <c r="AG142" s="44"/>
      <c r="AH142" s="44"/>
      <c r="AI142" s="44"/>
    </row>
    <row r="143" spans="1:35" x14ac:dyDescent="0.35">
      <c r="A143" s="17" t="s">
        <v>46</v>
      </c>
      <c r="B143" s="17" t="s">
        <v>558</v>
      </c>
      <c r="C143" s="28" t="s">
        <v>571</v>
      </c>
      <c r="D143" s="17" t="s">
        <v>201</v>
      </c>
      <c r="E143" s="17" t="s">
        <v>848</v>
      </c>
      <c r="F143" s="20">
        <v>133.01</v>
      </c>
      <c r="G143" s="20">
        <v>17</v>
      </c>
      <c r="H143" s="19">
        <v>83</v>
      </c>
      <c r="I143" s="20">
        <v>51</v>
      </c>
      <c r="J143" s="20">
        <v>32</v>
      </c>
      <c r="K143" s="20">
        <v>26</v>
      </c>
      <c r="L143" s="44"/>
      <c r="M143" s="20">
        <v>0</v>
      </c>
      <c r="N143" s="44"/>
      <c r="O143" s="46">
        <v>0</v>
      </c>
      <c r="P143" s="46">
        <v>0</v>
      </c>
      <c r="Q143" s="44" t="s">
        <v>562</v>
      </c>
      <c r="R143" s="44"/>
      <c r="S143" s="44"/>
      <c r="T143" s="44"/>
      <c r="U143" s="44"/>
      <c r="V143" s="44"/>
      <c r="W143" s="44"/>
      <c r="X143" s="44" t="s">
        <v>562</v>
      </c>
      <c r="Y143" s="44"/>
      <c r="Z143" s="44"/>
      <c r="AA143" s="44"/>
      <c r="AB143" s="44"/>
      <c r="AC143" s="44" t="s">
        <v>562</v>
      </c>
      <c r="AD143" s="44"/>
      <c r="AE143" s="44"/>
      <c r="AF143" s="44"/>
      <c r="AG143" s="44"/>
      <c r="AH143" s="44"/>
      <c r="AI143" s="44"/>
    </row>
    <row r="144" spans="1:35" x14ac:dyDescent="0.35">
      <c r="A144" s="17" t="s">
        <v>46</v>
      </c>
      <c r="B144" s="17" t="s">
        <v>558</v>
      </c>
      <c r="C144" s="28" t="s">
        <v>834</v>
      </c>
      <c r="D144" s="17" t="s">
        <v>849</v>
      </c>
      <c r="E144" s="17" t="s">
        <v>850</v>
      </c>
      <c r="F144" s="28">
        <v>36.04</v>
      </c>
      <c r="G144" s="47"/>
      <c r="H144" s="19">
        <v>0</v>
      </c>
      <c r="I144" s="47"/>
      <c r="J144" s="47"/>
      <c r="K144" s="47"/>
      <c r="L144" s="44"/>
      <c r="M144" s="47"/>
      <c r="N144" s="44"/>
      <c r="O144" s="48">
        <v>0</v>
      </c>
      <c r="P144" s="48">
        <v>0</v>
      </c>
      <c r="Q144" s="44" t="s">
        <v>562</v>
      </c>
      <c r="R144" s="44"/>
      <c r="S144" s="44"/>
      <c r="T144" s="44"/>
      <c r="U144" s="44"/>
      <c r="V144" s="44"/>
      <c r="W144" s="44"/>
      <c r="X144" s="44" t="s">
        <v>562</v>
      </c>
      <c r="Y144" s="44"/>
      <c r="Z144" s="44"/>
      <c r="AA144" s="44"/>
      <c r="AB144" s="44"/>
      <c r="AC144" s="44" t="s">
        <v>562</v>
      </c>
      <c r="AD144" s="44"/>
      <c r="AE144" s="44"/>
      <c r="AF144" s="44"/>
      <c r="AG144" s="44"/>
      <c r="AH144" s="44"/>
      <c r="AI144" s="44"/>
    </row>
    <row r="145" spans="1:35" x14ac:dyDescent="0.35">
      <c r="A145" s="17" t="s">
        <v>46</v>
      </c>
      <c r="B145" s="17" t="s">
        <v>558</v>
      </c>
      <c r="C145" s="28" t="s">
        <v>811</v>
      </c>
      <c r="D145" s="17" t="s">
        <v>851</v>
      </c>
      <c r="E145" s="17" t="s">
        <v>852</v>
      </c>
      <c r="F145" s="20">
        <v>276.04000000000002</v>
      </c>
      <c r="G145" s="20">
        <v>160</v>
      </c>
      <c r="H145" s="19">
        <v>758</v>
      </c>
      <c r="I145" s="20">
        <v>394</v>
      </c>
      <c r="J145" s="20">
        <v>364</v>
      </c>
      <c r="K145" s="20">
        <v>16</v>
      </c>
      <c r="L145" s="44"/>
      <c r="M145" s="20">
        <v>14</v>
      </c>
      <c r="N145" s="44"/>
      <c r="O145" s="46">
        <v>5.7</v>
      </c>
      <c r="P145" s="46">
        <v>0</v>
      </c>
      <c r="Q145" s="44" t="s">
        <v>51</v>
      </c>
      <c r="R145" s="44">
        <v>2020</v>
      </c>
      <c r="S145" s="44"/>
      <c r="T145" s="44"/>
      <c r="U145" s="44"/>
      <c r="V145" s="44"/>
      <c r="W145" s="44"/>
      <c r="X145" s="44" t="s">
        <v>51</v>
      </c>
      <c r="Y145" s="44"/>
      <c r="Z145" s="44"/>
      <c r="AA145" s="44"/>
      <c r="AB145" s="44"/>
      <c r="AC145" s="44" t="s">
        <v>51</v>
      </c>
      <c r="AD145" s="44"/>
      <c r="AE145" s="44"/>
      <c r="AF145" s="44"/>
      <c r="AG145" s="44"/>
      <c r="AH145" s="44"/>
      <c r="AI145" s="44"/>
    </row>
    <row r="146" spans="1:35" x14ac:dyDescent="0.35">
      <c r="A146" s="17" t="s">
        <v>46</v>
      </c>
      <c r="B146" s="17" t="s">
        <v>558</v>
      </c>
      <c r="C146" s="28" t="s">
        <v>853</v>
      </c>
      <c r="D146" s="17" t="s">
        <v>854</v>
      </c>
      <c r="E146" s="17" t="s">
        <v>855</v>
      </c>
      <c r="F146" s="20">
        <v>189.83</v>
      </c>
      <c r="G146" s="20">
        <v>277</v>
      </c>
      <c r="H146" s="19">
        <v>1823</v>
      </c>
      <c r="I146" s="20">
        <v>962</v>
      </c>
      <c r="J146" s="20">
        <v>861</v>
      </c>
      <c r="K146" s="20">
        <v>0</v>
      </c>
      <c r="L146" s="44"/>
      <c r="M146" s="20">
        <v>4</v>
      </c>
      <c r="N146" s="44"/>
      <c r="O146" s="46">
        <v>0</v>
      </c>
      <c r="P146" s="46">
        <v>0</v>
      </c>
      <c r="Q146" s="44" t="s">
        <v>562</v>
      </c>
      <c r="R146" s="44"/>
      <c r="S146" s="44"/>
      <c r="T146" s="44"/>
      <c r="U146" s="44"/>
      <c r="V146" s="44"/>
      <c r="W146" s="44"/>
      <c r="X146" s="44" t="s">
        <v>562</v>
      </c>
      <c r="Y146" s="44"/>
      <c r="Z146" s="44"/>
      <c r="AA146" s="44"/>
      <c r="AB146" s="44"/>
      <c r="AC146" s="44" t="s">
        <v>562</v>
      </c>
      <c r="AD146" s="44"/>
      <c r="AE146" s="44"/>
      <c r="AF146" s="44"/>
      <c r="AG146" s="44"/>
      <c r="AH146" s="44"/>
      <c r="AI146" s="44"/>
    </row>
    <row r="147" spans="1:35" x14ac:dyDescent="0.35">
      <c r="A147" s="17" t="s">
        <v>46</v>
      </c>
      <c r="B147" s="17" t="s">
        <v>558</v>
      </c>
      <c r="C147" s="28" t="s">
        <v>853</v>
      </c>
      <c r="D147" s="17" t="s">
        <v>856</v>
      </c>
      <c r="E147" s="17" t="s">
        <v>857</v>
      </c>
      <c r="F147" s="20">
        <v>231.86</v>
      </c>
      <c r="G147" s="20">
        <v>29</v>
      </c>
      <c r="H147" s="19">
        <v>152</v>
      </c>
      <c r="I147" s="20">
        <v>69</v>
      </c>
      <c r="J147" s="20">
        <v>83</v>
      </c>
      <c r="K147" s="20">
        <v>21</v>
      </c>
      <c r="L147" s="44"/>
      <c r="M147" s="20">
        <v>109</v>
      </c>
      <c r="N147" s="44"/>
      <c r="O147" s="46">
        <v>0</v>
      </c>
      <c r="P147" s="46">
        <v>0</v>
      </c>
      <c r="Q147" s="44" t="s">
        <v>562</v>
      </c>
      <c r="R147" s="44"/>
      <c r="S147" s="44"/>
      <c r="T147" s="44"/>
      <c r="U147" s="44"/>
      <c r="V147" s="44"/>
      <c r="W147" s="44"/>
      <c r="X147" s="44" t="s">
        <v>562</v>
      </c>
      <c r="Y147" s="44"/>
      <c r="Z147" s="44"/>
      <c r="AA147" s="44"/>
      <c r="AB147" s="44"/>
      <c r="AC147" s="44" t="s">
        <v>562</v>
      </c>
      <c r="AD147" s="44"/>
      <c r="AE147" s="44"/>
      <c r="AF147" s="44"/>
      <c r="AG147" s="44"/>
      <c r="AH147" s="44"/>
      <c r="AI147" s="44"/>
    </row>
    <row r="148" spans="1:35" x14ac:dyDescent="0.35">
      <c r="A148" s="17" t="s">
        <v>46</v>
      </c>
      <c r="B148" s="17" t="s">
        <v>558</v>
      </c>
      <c r="C148" s="28" t="s">
        <v>853</v>
      </c>
      <c r="D148" s="17" t="s">
        <v>858</v>
      </c>
      <c r="E148" s="17" t="s">
        <v>859</v>
      </c>
      <c r="F148" s="20">
        <v>340.59</v>
      </c>
      <c r="G148" s="20">
        <v>169</v>
      </c>
      <c r="H148" s="19">
        <v>881</v>
      </c>
      <c r="I148" s="20">
        <v>448</v>
      </c>
      <c r="J148" s="20">
        <v>433</v>
      </c>
      <c r="K148" s="20">
        <v>65</v>
      </c>
      <c r="L148" s="44"/>
      <c r="M148" s="20">
        <v>40</v>
      </c>
      <c r="N148" s="44"/>
      <c r="O148" s="46">
        <v>43.39</v>
      </c>
      <c r="P148" s="46">
        <v>0</v>
      </c>
      <c r="Q148" s="44" t="s">
        <v>562</v>
      </c>
      <c r="R148" s="44"/>
      <c r="S148" s="44"/>
      <c r="T148" s="44"/>
      <c r="U148" s="44"/>
      <c r="V148" s="44"/>
      <c r="W148" s="44"/>
      <c r="X148" s="44" t="s">
        <v>562</v>
      </c>
      <c r="Y148" s="44"/>
      <c r="Z148" s="44"/>
      <c r="AA148" s="44"/>
      <c r="AB148" s="44"/>
      <c r="AC148" s="44" t="s">
        <v>562</v>
      </c>
      <c r="AD148" s="44"/>
      <c r="AE148" s="44"/>
      <c r="AF148" s="44"/>
      <c r="AG148" s="44"/>
      <c r="AH148" s="44"/>
      <c r="AI148" s="44"/>
    </row>
    <row r="149" spans="1:35" x14ac:dyDescent="0.35">
      <c r="A149" s="17" t="s">
        <v>46</v>
      </c>
      <c r="B149" s="17" t="s">
        <v>558</v>
      </c>
      <c r="C149" s="28" t="s">
        <v>853</v>
      </c>
      <c r="D149" s="17" t="s">
        <v>860</v>
      </c>
      <c r="E149" s="17" t="s">
        <v>861</v>
      </c>
      <c r="F149" s="20">
        <v>239.17</v>
      </c>
      <c r="G149" s="20">
        <v>168</v>
      </c>
      <c r="H149" s="19">
        <v>892</v>
      </c>
      <c r="I149" s="20">
        <v>454</v>
      </c>
      <c r="J149" s="20">
        <v>438</v>
      </c>
      <c r="K149" s="20">
        <v>150</v>
      </c>
      <c r="L149" s="44"/>
      <c r="M149" s="20">
        <v>1</v>
      </c>
      <c r="N149" s="44"/>
      <c r="O149" s="46">
        <v>58.4</v>
      </c>
      <c r="P149" s="46">
        <v>0</v>
      </c>
      <c r="Q149" s="44" t="s">
        <v>51</v>
      </c>
      <c r="R149" s="44">
        <v>2020</v>
      </c>
      <c r="S149" s="44"/>
      <c r="T149" s="44"/>
      <c r="U149" s="44"/>
      <c r="V149" s="44"/>
      <c r="W149" s="44"/>
      <c r="X149" s="44" t="s">
        <v>51</v>
      </c>
      <c r="Y149" s="44"/>
      <c r="Z149" s="44"/>
      <c r="AA149" s="44"/>
      <c r="AB149" s="44"/>
      <c r="AC149" s="44" t="s">
        <v>51</v>
      </c>
      <c r="AD149" s="44"/>
      <c r="AE149" s="44"/>
      <c r="AF149" s="44"/>
      <c r="AG149" s="44"/>
      <c r="AH149" s="44"/>
      <c r="AI149" s="44"/>
    </row>
    <row r="150" spans="1:35" x14ac:dyDescent="0.35">
      <c r="A150" s="17" t="s">
        <v>46</v>
      </c>
      <c r="B150" s="17" t="s">
        <v>558</v>
      </c>
      <c r="C150" s="28" t="s">
        <v>853</v>
      </c>
      <c r="D150" s="17" t="s">
        <v>862</v>
      </c>
      <c r="E150" s="17" t="s">
        <v>863</v>
      </c>
      <c r="F150" s="20">
        <v>118.26</v>
      </c>
      <c r="G150" s="20">
        <v>91</v>
      </c>
      <c r="H150" s="19">
        <v>444</v>
      </c>
      <c r="I150" s="20">
        <v>226</v>
      </c>
      <c r="J150" s="20">
        <v>218</v>
      </c>
      <c r="K150" s="20">
        <v>81</v>
      </c>
      <c r="L150" s="44"/>
      <c r="M150" s="20">
        <v>4</v>
      </c>
      <c r="N150" s="44"/>
      <c r="O150" s="46">
        <v>8.26</v>
      </c>
      <c r="P150" s="46">
        <v>0</v>
      </c>
      <c r="Q150" s="44" t="s">
        <v>51</v>
      </c>
      <c r="R150" s="44">
        <v>2021</v>
      </c>
      <c r="S150" s="44"/>
      <c r="T150" s="44"/>
      <c r="U150" s="44"/>
      <c r="V150" s="44"/>
      <c r="W150" s="44"/>
      <c r="X150" s="44" t="s">
        <v>51</v>
      </c>
      <c r="Y150" s="44"/>
      <c r="Z150" s="44"/>
      <c r="AA150" s="44"/>
      <c r="AB150" s="44"/>
      <c r="AC150" s="44" t="s">
        <v>51</v>
      </c>
      <c r="AD150" s="44"/>
      <c r="AE150" s="44"/>
      <c r="AF150" s="44"/>
      <c r="AG150" s="44"/>
      <c r="AH150" s="44"/>
      <c r="AI150" s="44"/>
    </row>
    <row r="151" spans="1:35" x14ac:dyDescent="0.35">
      <c r="A151" s="17" t="s">
        <v>46</v>
      </c>
      <c r="B151" s="17" t="s">
        <v>558</v>
      </c>
      <c r="C151" s="28" t="s">
        <v>853</v>
      </c>
      <c r="D151" s="17" t="s">
        <v>864</v>
      </c>
      <c r="E151" s="17" t="s">
        <v>865</v>
      </c>
      <c r="F151" s="20">
        <v>101.23</v>
      </c>
      <c r="G151" s="20">
        <v>53</v>
      </c>
      <c r="H151" s="19">
        <v>262</v>
      </c>
      <c r="I151" s="20">
        <v>120</v>
      </c>
      <c r="J151" s="20">
        <v>142</v>
      </c>
      <c r="K151" s="20">
        <v>19</v>
      </c>
      <c r="L151" s="44"/>
      <c r="M151" s="20">
        <v>8</v>
      </c>
      <c r="N151" s="44"/>
      <c r="O151" s="46">
        <v>14.67</v>
      </c>
      <c r="P151" s="46">
        <v>0</v>
      </c>
      <c r="Q151" s="44" t="s">
        <v>562</v>
      </c>
      <c r="R151" s="44"/>
      <c r="S151" s="44"/>
      <c r="T151" s="44"/>
      <c r="U151" s="44"/>
      <c r="V151" s="44"/>
      <c r="W151" s="44"/>
      <c r="X151" s="44" t="s">
        <v>562</v>
      </c>
      <c r="Y151" s="44"/>
      <c r="Z151" s="44"/>
      <c r="AA151" s="44"/>
      <c r="AB151" s="44"/>
      <c r="AC151" s="44" t="s">
        <v>562</v>
      </c>
      <c r="AD151" s="44"/>
      <c r="AE151" s="44"/>
      <c r="AF151" s="44"/>
      <c r="AG151" s="44"/>
      <c r="AH151" s="44"/>
      <c r="AI151" s="44"/>
    </row>
    <row r="152" spans="1:35" x14ac:dyDescent="0.35">
      <c r="A152" s="17" t="s">
        <v>46</v>
      </c>
      <c r="B152" s="17" t="s">
        <v>558</v>
      </c>
      <c r="C152" s="28" t="s">
        <v>853</v>
      </c>
      <c r="D152" s="17" t="s">
        <v>866</v>
      </c>
      <c r="E152" s="17" t="s">
        <v>867</v>
      </c>
      <c r="F152" s="20">
        <v>552.17999999999995</v>
      </c>
      <c r="G152" s="20">
        <v>455</v>
      </c>
      <c r="H152" s="19">
        <v>2264</v>
      </c>
      <c r="I152" s="20">
        <v>1160</v>
      </c>
      <c r="J152" s="20">
        <v>1104</v>
      </c>
      <c r="K152" s="20">
        <v>283</v>
      </c>
      <c r="L152" s="44"/>
      <c r="M152" s="20">
        <v>1</v>
      </c>
      <c r="N152" s="44"/>
      <c r="O152" s="46">
        <v>79.91</v>
      </c>
      <c r="P152" s="46">
        <v>0</v>
      </c>
      <c r="Q152" s="44" t="s">
        <v>562</v>
      </c>
      <c r="R152" s="44"/>
      <c r="S152" s="44"/>
      <c r="T152" s="44"/>
      <c r="U152" s="44"/>
      <c r="V152" s="44"/>
      <c r="W152" s="44"/>
      <c r="X152" s="44" t="s">
        <v>562</v>
      </c>
      <c r="Y152" s="44"/>
      <c r="Z152" s="44"/>
      <c r="AA152" s="44"/>
      <c r="AB152" s="44"/>
      <c r="AC152" s="44" t="s">
        <v>562</v>
      </c>
      <c r="AD152" s="44"/>
      <c r="AE152" s="44"/>
      <c r="AF152" s="44"/>
      <c r="AG152" s="44"/>
      <c r="AH152" s="44"/>
      <c r="AI152" s="44"/>
    </row>
    <row r="153" spans="1:35" x14ac:dyDescent="0.35">
      <c r="A153" s="17" t="s">
        <v>46</v>
      </c>
      <c r="B153" s="17" t="s">
        <v>558</v>
      </c>
      <c r="C153" s="28" t="s">
        <v>853</v>
      </c>
      <c r="D153" s="17" t="s">
        <v>868</v>
      </c>
      <c r="E153" s="17" t="s">
        <v>869</v>
      </c>
      <c r="F153" s="20">
        <v>48.15</v>
      </c>
      <c r="G153" s="20">
        <v>20</v>
      </c>
      <c r="H153" s="19">
        <v>101</v>
      </c>
      <c r="I153" s="20">
        <v>52</v>
      </c>
      <c r="J153" s="20">
        <v>49</v>
      </c>
      <c r="K153" s="20">
        <v>101</v>
      </c>
      <c r="L153" s="44"/>
      <c r="M153" s="20">
        <v>0</v>
      </c>
      <c r="N153" s="44"/>
      <c r="O153" s="46">
        <v>4.68</v>
      </c>
      <c r="P153" s="46">
        <v>0</v>
      </c>
      <c r="Q153" s="44" t="s">
        <v>562</v>
      </c>
      <c r="R153" s="44"/>
      <c r="S153" s="44"/>
      <c r="T153" s="44"/>
      <c r="U153" s="44"/>
      <c r="V153" s="44"/>
      <c r="W153" s="44"/>
      <c r="X153" s="44" t="s">
        <v>562</v>
      </c>
      <c r="Y153" s="44"/>
      <c r="Z153" s="44"/>
      <c r="AA153" s="44"/>
      <c r="AB153" s="44"/>
      <c r="AC153" s="44" t="s">
        <v>562</v>
      </c>
      <c r="AD153" s="44"/>
      <c r="AE153" s="44"/>
      <c r="AF153" s="44"/>
      <c r="AG153" s="44"/>
      <c r="AH153" s="44"/>
      <c r="AI153" s="44"/>
    </row>
    <row r="154" spans="1:35" x14ac:dyDescent="0.35">
      <c r="A154" s="17" t="s">
        <v>46</v>
      </c>
      <c r="B154" s="17" t="s">
        <v>558</v>
      </c>
      <c r="C154" s="28" t="s">
        <v>834</v>
      </c>
      <c r="D154" s="17" t="s">
        <v>870</v>
      </c>
      <c r="E154" s="17" t="s">
        <v>871</v>
      </c>
      <c r="F154" s="20">
        <v>67.150000000000006</v>
      </c>
      <c r="G154" s="20">
        <v>79</v>
      </c>
      <c r="H154" s="19">
        <v>317</v>
      </c>
      <c r="I154" s="20">
        <v>154</v>
      </c>
      <c r="J154" s="20">
        <v>163</v>
      </c>
      <c r="K154" s="20">
        <v>0</v>
      </c>
      <c r="L154" s="44"/>
      <c r="M154" s="20">
        <v>16</v>
      </c>
      <c r="N154" s="44"/>
      <c r="O154" s="46">
        <v>20.47</v>
      </c>
      <c r="P154" s="46">
        <v>0</v>
      </c>
      <c r="Q154" s="44" t="s">
        <v>51</v>
      </c>
      <c r="R154" s="44">
        <v>2019</v>
      </c>
      <c r="S154" s="44"/>
      <c r="T154" s="44"/>
      <c r="U154" s="44"/>
      <c r="V154" s="44"/>
      <c r="W154" s="44"/>
      <c r="X154" s="44" t="s">
        <v>51</v>
      </c>
      <c r="Y154" s="44"/>
      <c r="Z154" s="44"/>
      <c r="AA154" s="44"/>
      <c r="AB154" s="44"/>
      <c r="AC154" s="44" t="s">
        <v>51</v>
      </c>
      <c r="AD154" s="44"/>
      <c r="AE154" s="44"/>
      <c r="AF154" s="44"/>
      <c r="AG154" s="44"/>
      <c r="AH154" s="44"/>
      <c r="AI154" s="44"/>
    </row>
    <row r="155" spans="1:35" x14ac:dyDescent="0.35">
      <c r="A155" s="17" t="s">
        <v>46</v>
      </c>
      <c r="B155" s="17" t="s">
        <v>558</v>
      </c>
      <c r="C155" s="28" t="s">
        <v>834</v>
      </c>
      <c r="D155" s="17" t="s">
        <v>872</v>
      </c>
      <c r="E155" s="17" t="s">
        <v>873</v>
      </c>
      <c r="F155" s="20">
        <v>723.05</v>
      </c>
      <c r="G155" s="20">
        <v>434</v>
      </c>
      <c r="H155" s="19">
        <v>1884</v>
      </c>
      <c r="I155" s="20">
        <v>993</v>
      </c>
      <c r="J155" s="20">
        <v>891</v>
      </c>
      <c r="K155" s="20">
        <v>555</v>
      </c>
      <c r="L155" s="44"/>
      <c r="M155" s="20">
        <v>102</v>
      </c>
      <c r="N155" s="44"/>
      <c r="O155" s="46">
        <v>119.25</v>
      </c>
      <c r="P155" s="46">
        <v>66.709999999999994</v>
      </c>
      <c r="Q155" s="44" t="s">
        <v>51</v>
      </c>
      <c r="R155" s="44">
        <v>2019</v>
      </c>
      <c r="S155" s="44"/>
      <c r="T155" s="44"/>
      <c r="U155" s="44"/>
      <c r="V155" s="44"/>
      <c r="W155" s="44"/>
      <c r="X155" s="44" t="s">
        <v>51</v>
      </c>
      <c r="Y155" s="44"/>
      <c r="Z155" s="44"/>
      <c r="AA155" s="44"/>
      <c r="AB155" s="44"/>
      <c r="AC155" s="44" t="s">
        <v>51</v>
      </c>
      <c r="AD155" s="44"/>
      <c r="AE155" s="44"/>
      <c r="AF155" s="44"/>
      <c r="AG155" s="44"/>
      <c r="AH155" s="44"/>
      <c r="AI155" s="44"/>
    </row>
    <row r="156" spans="1:35" x14ac:dyDescent="0.35">
      <c r="A156" s="17" t="s">
        <v>46</v>
      </c>
      <c r="B156" s="17" t="s">
        <v>558</v>
      </c>
      <c r="C156" s="28" t="s">
        <v>834</v>
      </c>
      <c r="D156" s="17" t="s">
        <v>874</v>
      </c>
      <c r="E156" s="17" t="s">
        <v>875</v>
      </c>
      <c r="F156" s="20">
        <v>202.39</v>
      </c>
      <c r="G156" s="20">
        <v>151</v>
      </c>
      <c r="H156" s="19">
        <v>687</v>
      </c>
      <c r="I156" s="20">
        <v>338</v>
      </c>
      <c r="J156" s="20">
        <v>349</v>
      </c>
      <c r="K156" s="20">
        <v>205</v>
      </c>
      <c r="L156" s="44"/>
      <c r="M156" s="20">
        <v>166</v>
      </c>
      <c r="N156" s="44"/>
      <c r="O156" s="46">
        <v>24.65</v>
      </c>
      <c r="P156" s="46">
        <v>0</v>
      </c>
      <c r="Q156" s="44" t="s">
        <v>51</v>
      </c>
      <c r="R156" s="44">
        <v>2020</v>
      </c>
      <c r="S156" s="44"/>
      <c r="T156" s="44"/>
      <c r="U156" s="44"/>
      <c r="V156" s="44"/>
      <c r="W156" s="44"/>
      <c r="X156" s="44" t="s">
        <v>51</v>
      </c>
      <c r="Y156" s="44"/>
      <c r="Z156" s="44"/>
      <c r="AA156" s="44"/>
      <c r="AB156" s="44"/>
      <c r="AC156" s="44" t="s">
        <v>51</v>
      </c>
      <c r="AD156" s="44"/>
      <c r="AE156" s="44"/>
      <c r="AF156" s="44"/>
      <c r="AG156" s="44"/>
      <c r="AH156" s="44"/>
      <c r="AI156" s="44"/>
    </row>
    <row r="157" spans="1:35" x14ac:dyDescent="0.35">
      <c r="A157" s="17" t="s">
        <v>46</v>
      </c>
      <c r="B157" s="17" t="s">
        <v>558</v>
      </c>
      <c r="C157" s="28" t="s">
        <v>834</v>
      </c>
      <c r="D157" s="17" t="s">
        <v>876</v>
      </c>
      <c r="E157" s="17" t="s">
        <v>877</v>
      </c>
      <c r="F157" s="20">
        <v>92.52</v>
      </c>
      <c r="G157" s="20">
        <v>164</v>
      </c>
      <c r="H157" s="19">
        <v>813</v>
      </c>
      <c r="I157" s="20">
        <v>423</v>
      </c>
      <c r="J157" s="20">
        <v>390</v>
      </c>
      <c r="K157" s="20">
        <v>45</v>
      </c>
      <c r="L157" s="44"/>
      <c r="M157" s="20">
        <v>0</v>
      </c>
      <c r="N157" s="44"/>
      <c r="O157" s="46">
        <v>5.48</v>
      </c>
      <c r="P157" s="46">
        <v>0</v>
      </c>
      <c r="Q157" s="44" t="s">
        <v>51</v>
      </c>
      <c r="R157" s="44">
        <v>2019</v>
      </c>
      <c r="S157" s="44"/>
      <c r="T157" s="44"/>
      <c r="U157" s="44"/>
      <c r="V157" s="44"/>
      <c r="W157" s="44"/>
      <c r="X157" s="44" t="s">
        <v>51</v>
      </c>
      <c r="Y157" s="44"/>
      <c r="Z157" s="44"/>
      <c r="AA157" s="44"/>
      <c r="AB157" s="44"/>
      <c r="AC157" s="44" t="s">
        <v>51</v>
      </c>
      <c r="AD157" s="44"/>
      <c r="AE157" s="44"/>
      <c r="AF157" s="44"/>
      <c r="AG157" s="44"/>
      <c r="AH157" s="44"/>
      <c r="AI157" s="44"/>
    </row>
    <row r="158" spans="1:35" x14ac:dyDescent="0.35">
      <c r="A158" s="17" t="s">
        <v>46</v>
      </c>
      <c r="B158" s="17" t="s">
        <v>558</v>
      </c>
      <c r="C158" s="28" t="s">
        <v>834</v>
      </c>
      <c r="D158" s="17" t="s">
        <v>878</v>
      </c>
      <c r="E158" s="17" t="s">
        <v>879</v>
      </c>
      <c r="F158" s="20">
        <v>391.08</v>
      </c>
      <c r="G158" s="20">
        <v>273</v>
      </c>
      <c r="H158" s="19">
        <v>1306</v>
      </c>
      <c r="I158" s="20">
        <v>662</v>
      </c>
      <c r="J158" s="20">
        <v>644</v>
      </c>
      <c r="K158" s="20">
        <v>278</v>
      </c>
      <c r="L158" s="44"/>
      <c r="M158" s="20">
        <v>94</v>
      </c>
      <c r="N158" s="44"/>
      <c r="O158" s="46">
        <v>45.28</v>
      </c>
      <c r="P158" s="46">
        <v>0</v>
      </c>
      <c r="Q158" s="44" t="s">
        <v>51</v>
      </c>
      <c r="R158" s="44">
        <v>2020</v>
      </c>
      <c r="S158" s="44"/>
      <c r="T158" s="44"/>
      <c r="U158" s="44"/>
      <c r="V158" s="44"/>
      <c r="W158" s="44"/>
      <c r="X158" s="44" t="s">
        <v>51</v>
      </c>
      <c r="Y158" s="44"/>
      <c r="Z158" s="44"/>
      <c r="AA158" s="44"/>
      <c r="AB158" s="44"/>
      <c r="AC158" s="44" t="s">
        <v>51</v>
      </c>
      <c r="AD158" s="44"/>
      <c r="AE158" s="44"/>
      <c r="AF158" s="44"/>
      <c r="AG158" s="44"/>
      <c r="AH158" s="44"/>
      <c r="AI158" s="44"/>
    </row>
    <row r="159" spans="1:35" x14ac:dyDescent="0.35">
      <c r="A159" s="17" t="s">
        <v>46</v>
      </c>
      <c r="B159" s="17" t="s">
        <v>558</v>
      </c>
      <c r="C159" s="28" t="s">
        <v>840</v>
      </c>
      <c r="D159" s="17" t="s">
        <v>880</v>
      </c>
      <c r="E159" s="17" t="s">
        <v>881</v>
      </c>
      <c r="F159" s="20">
        <v>387.12</v>
      </c>
      <c r="G159" s="20">
        <v>221</v>
      </c>
      <c r="H159" s="19">
        <v>1050</v>
      </c>
      <c r="I159" s="20">
        <v>542</v>
      </c>
      <c r="J159" s="20">
        <v>508</v>
      </c>
      <c r="K159" s="20">
        <v>141</v>
      </c>
      <c r="L159" s="44"/>
      <c r="M159" s="20">
        <v>164</v>
      </c>
      <c r="N159" s="44"/>
      <c r="O159" s="46">
        <v>62.71</v>
      </c>
      <c r="P159" s="46">
        <v>11.46</v>
      </c>
      <c r="Q159" s="44" t="s">
        <v>51</v>
      </c>
      <c r="R159" s="44">
        <v>2020</v>
      </c>
      <c r="S159" s="44"/>
      <c r="T159" s="44"/>
      <c r="U159" s="44"/>
      <c r="V159" s="44"/>
      <c r="W159" s="44"/>
      <c r="X159" s="44" t="s">
        <v>51</v>
      </c>
      <c r="Y159" s="44"/>
      <c r="Z159" s="44"/>
      <c r="AA159" s="44"/>
      <c r="AB159" s="44"/>
      <c r="AC159" s="44" t="s">
        <v>51</v>
      </c>
      <c r="AD159" s="44"/>
      <c r="AE159" s="44"/>
      <c r="AF159" s="44"/>
      <c r="AG159" s="44"/>
      <c r="AH159" s="44"/>
      <c r="AI159" s="44"/>
    </row>
    <row r="160" spans="1:35" x14ac:dyDescent="0.35">
      <c r="A160" s="17" t="s">
        <v>46</v>
      </c>
      <c r="B160" s="17" t="s">
        <v>558</v>
      </c>
      <c r="C160" s="28" t="s">
        <v>840</v>
      </c>
      <c r="D160" s="17" t="s">
        <v>882</v>
      </c>
      <c r="E160" s="17" t="s">
        <v>883</v>
      </c>
      <c r="F160" s="20">
        <v>263.91000000000003</v>
      </c>
      <c r="G160" s="20">
        <v>70</v>
      </c>
      <c r="H160" s="19">
        <v>347</v>
      </c>
      <c r="I160" s="20">
        <v>190</v>
      </c>
      <c r="J160" s="20">
        <v>157</v>
      </c>
      <c r="K160" s="20">
        <v>70</v>
      </c>
      <c r="L160" s="44"/>
      <c r="M160" s="20">
        <v>22</v>
      </c>
      <c r="N160" s="44"/>
      <c r="O160" s="46">
        <v>50.6</v>
      </c>
      <c r="P160" s="46">
        <v>0</v>
      </c>
      <c r="Q160" s="44" t="s">
        <v>51</v>
      </c>
      <c r="R160" s="44">
        <v>2020</v>
      </c>
      <c r="S160" s="44"/>
      <c r="T160" s="44"/>
      <c r="U160" s="44"/>
      <c r="V160" s="44"/>
      <c r="W160" s="44"/>
      <c r="X160" s="44" t="s">
        <v>51</v>
      </c>
      <c r="Y160" s="44"/>
      <c r="Z160" s="44"/>
      <c r="AA160" s="44"/>
      <c r="AB160" s="44"/>
      <c r="AC160" s="44" t="s">
        <v>51</v>
      </c>
      <c r="AD160" s="44"/>
      <c r="AE160" s="44"/>
      <c r="AF160" s="44"/>
      <c r="AG160" s="44"/>
      <c r="AH160" s="44"/>
      <c r="AI160" s="44"/>
    </row>
    <row r="161" spans="1:35" x14ac:dyDescent="0.35">
      <c r="A161" s="17" t="s">
        <v>46</v>
      </c>
      <c r="B161" s="17" t="s">
        <v>558</v>
      </c>
      <c r="C161" s="28" t="s">
        <v>840</v>
      </c>
      <c r="D161" s="17" t="s">
        <v>884</v>
      </c>
      <c r="E161" s="17" t="s">
        <v>885</v>
      </c>
      <c r="F161" s="20">
        <v>816.35</v>
      </c>
      <c r="G161" s="20">
        <v>370</v>
      </c>
      <c r="H161" s="19">
        <v>1725</v>
      </c>
      <c r="I161" s="20">
        <v>866</v>
      </c>
      <c r="J161" s="20">
        <v>859</v>
      </c>
      <c r="K161" s="20">
        <v>249</v>
      </c>
      <c r="L161" s="44"/>
      <c r="M161" s="20">
        <v>76</v>
      </c>
      <c r="N161" s="44"/>
      <c r="O161" s="46">
        <v>101.05</v>
      </c>
      <c r="P161" s="46">
        <v>0</v>
      </c>
      <c r="Q161" s="44" t="s">
        <v>51</v>
      </c>
      <c r="R161" s="44">
        <v>2021</v>
      </c>
      <c r="S161" s="44"/>
      <c r="T161" s="44"/>
      <c r="U161" s="44"/>
      <c r="V161" s="44"/>
      <c r="W161" s="44"/>
      <c r="X161" s="44" t="s">
        <v>51</v>
      </c>
      <c r="Y161" s="44"/>
      <c r="Z161" s="44"/>
      <c r="AA161" s="44"/>
      <c r="AB161" s="44"/>
      <c r="AC161" s="44" t="s">
        <v>51</v>
      </c>
      <c r="AD161" s="44"/>
      <c r="AE161" s="44"/>
      <c r="AF161" s="44"/>
      <c r="AG161" s="44"/>
      <c r="AH161" s="44"/>
      <c r="AI161" s="44"/>
    </row>
    <row r="162" spans="1:35" x14ac:dyDescent="0.35">
      <c r="A162" s="17" t="s">
        <v>46</v>
      </c>
      <c r="B162" s="17" t="s">
        <v>558</v>
      </c>
      <c r="C162" s="28" t="s">
        <v>840</v>
      </c>
      <c r="D162" s="17" t="s">
        <v>886</v>
      </c>
      <c r="E162" s="17" t="s">
        <v>887</v>
      </c>
      <c r="F162" s="20">
        <v>196.2</v>
      </c>
      <c r="G162" s="20">
        <v>79</v>
      </c>
      <c r="H162" s="19">
        <v>285</v>
      </c>
      <c r="I162" s="20">
        <v>136</v>
      </c>
      <c r="J162" s="20">
        <v>149</v>
      </c>
      <c r="K162" s="20">
        <v>6</v>
      </c>
      <c r="L162" s="44"/>
      <c r="M162" s="20">
        <v>10</v>
      </c>
      <c r="N162" s="44"/>
      <c r="O162" s="46">
        <v>25.42</v>
      </c>
      <c r="P162" s="46">
        <v>8.34</v>
      </c>
      <c r="Q162" s="44" t="s">
        <v>51</v>
      </c>
      <c r="R162" s="44">
        <v>2020</v>
      </c>
      <c r="S162" s="44"/>
      <c r="T162" s="44"/>
      <c r="U162" s="44"/>
      <c r="V162" s="44"/>
      <c r="W162" s="44"/>
      <c r="X162" s="44" t="s">
        <v>51</v>
      </c>
      <c r="Y162" s="44"/>
      <c r="Z162" s="44"/>
      <c r="AA162" s="44"/>
      <c r="AB162" s="44"/>
      <c r="AC162" s="44" t="s">
        <v>51</v>
      </c>
      <c r="AD162" s="44"/>
      <c r="AE162" s="44"/>
      <c r="AF162" s="44"/>
      <c r="AG162" s="44"/>
      <c r="AH162" s="44"/>
      <c r="AI162" s="44"/>
    </row>
    <row r="163" spans="1:35" x14ac:dyDescent="0.35">
      <c r="A163" s="17" t="s">
        <v>46</v>
      </c>
      <c r="B163" s="17" t="s">
        <v>558</v>
      </c>
      <c r="C163" s="28" t="s">
        <v>840</v>
      </c>
      <c r="D163" s="17" t="s">
        <v>888</v>
      </c>
      <c r="E163" s="17" t="s">
        <v>889</v>
      </c>
      <c r="F163" s="20">
        <v>66.8</v>
      </c>
      <c r="G163" s="20">
        <v>38</v>
      </c>
      <c r="H163" s="19">
        <v>150</v>
      </c>
      <c r="I163" s="20">
        <v>81</v>
      </c>
      <c r="J163" s="20">
        <v>69</v>
      </c>
      <c r="K163" s="20">
        <v>39</v>
      </c>
      <c r="L163" s="44"/>
      <c r="M163" s="20">
        <v>0</v>
      </c>
      <c r="N163" s="44"/>
      <c r="O163" s="46">
        <v>6.7</v>
      </c>
      <c r="P163" s="46">
        <v>0</v>
      </c>
      <c r="Q163" s="44" t="s">
        <v>51</v>
      </c>
      <c r="R163" s="44">
        <v>2020</v>
      </c>
      <c r="S163" s="44"/>
      <c r="T163" s="44"/>
      <c r="U163" s="44"/>
      <c r="V163" s="44"/>
      <c r="W163" s="44"/>
      <c r="X163" s="44" t="s">
        <v>51</v>
      </c>
      <c r="Y163" s="44"/>
      <c r="Z163" s="44"/>
      <c r="AA163" s="44"/>
      <c r="AB163" s="44"/>
      <c r="AC163" s="44" t="s">
        <v>51</v>
      </c>
      <c r="AD163" s="44"/>
      <c r="AE163" s="44"/>
      <c r="AF163" s="44"/>
      <c r="AG163" s="44"/>
      <c r="AH163" s="44"/>
      <c r="AI163" s="44"/>
    </row>
    <row r="164" spans="1:35" x14ac:dyDescent="0.35">
      <c r="A164" s="17" t="s">
        <v>46</v>
      </c>
      <c r="B164" s="17" t="s">
        <v>558</v>
      </c>
      <c r="C164" s="28" t="s">
        <v>840</v>
      </c>
      <c r="D164" s="17" t="s">
        <v>890</v>
      </c>
      <c r="E164" s="17" t="s">
        <v>891</v>
      </c>
      <c r="F164" s="20">
        <v>98.56</v>
      </c>
      <c r="G164" s="20">
        <v>60</v>
      </c>
      <c r="H164" s="19">
        <v>314</v>
      </c>
      <c r="I164" s="20">
        <v>162</v>
      </c>
      <c r="J164" s="20">
        <v>152</v>
      </c>
      <c r="K164" s="20">
        <v>119</v>
      </c>
      <c r="L164" s="44"/>
      <c r="M164" s="20">
        <v>27</v>
      </c>
      <c r="N164" s="44"/>
      <c r="O164" s="46">
        <v>16.2</v>
      </c>
      <c r="P164" s="46">
        <v>0</v>
      </c>
      <c r="Q164" s="44" t="s">
        <v>51</v>
      </c>
      <c r="R164" s="44">
        <v>2020</v>
      </c>
      <c r="S164" s="44"/>
      <c r="T164" s="44"/>
      <c r="U164" s="44"/>
      <c r="V164" s="44"/>
      <c r="W164" s="44"/>
      <c r="X164" s="44" t="s">
        <v>51</v>
      </c>
      <c r="Y164" s="44"/>
      <c r="Z164" s="44"/>
      <c r="AA164" s="44"/>
      <c r="AB164" s="44"/>
      <c r="AC164" s="44" t="s">
        <v>51</v>
      </c>
      <c r="AD164" s="44"/>
      <c r="AE164" s="44"/>
      <c r="AF164" s="44"/>
      <c r="AG164" s="44"/>
      <c r="AH164" s="44"/>
      <c r="AI164" s="44"/>
    </row>
    <row r="165" spans="1:35" x14ac:dyDescent="0.35">
      <c r="A165" s="17" t="s">
        <v>46</v>
      </c>
      <c r="B165" s="17" t="s">
        <v>558</v>
      </c>
      <c r="C165" s="28" t="s">
        <v>840</v>
      </c>
      <c r="D165" s="17" t="s">
        <v>892</v>
      </c>
      <c r="E165" s="17" t="s">
        <v>893</v>
      </c>
      <c r="F165" s="20">
        <v>165.53</v>
      </c>
      <c r="G165" s="20">
        <v>102</v>
      </c>
      <c r="H165" s="19">
        <v>534</v>
      </c>
      <c r="I165" s="20">
        <v>292</v>
      </c>
      <c r="J165" s="20">
        <v>242</v>
      </c>
      <c r="K165" s="20">
        <v>69</v>
      </c>
      <c r="L165" s="44"/>
      <c r="M165" s="20">
        <v>464</v>
      </c>
      <c r="N165" s="44"/>
      <c r="O165" s="46">
        <v>50.23</v>
      </c>
      <c r="P165" s="46">
        <v>0</v>
      </c>
      <c r="Q165" s="44" t="s">
        <v>51</v>
      </c>
      <c r="R165" s="44">
        <v>2020</v>
      </c>
      <c r="S165" s="44"/>
      <c r="T165" s="44"/>
      <c r="U165" s="44"/>
      <c r="V165" s="44"/>
      <c r="W165" s="44"/>
      <c r="X165" s="44" t="s">
        <v>51</v>
      </c>
      <c r="Y165" s="44"/>
      <c r="Z165" s="44"/>
      <c r="AA165" s="44"/>
      <c r="AB165" s="44"/>
      <c r="AC165" s="44" t="s">
        <v>51</v>
      </c>
      <c r="AD165" s="44"/>
      <c r="AE165" s="44"/>
      <c r="AF165" s="44"/>
      <c r="AG165" s="44"/>
      <c r="AH165" s="44"/>
      <c r="AI165" s="44"/>
    </row>
    <row r="166" spans="1:35" x14ac:dyDescent="0.35">
      <c r="A166" s="17" t="s">
        <v>46</v>
      </c>
      <c r="B166" s="17" t="s">
        <v>558</v>
      </c>
      <c r="C166" s="28" t="s">
        <v>894</v>
      </c>
      <c r="D166" s="17" t="s">
        <v>895</v>
      </c>
      <c r="E166" s="17" t="s">
        <v>896</v>
      </c>
      <c r="F166" s="20">
        <v>407</v>
      </c>
      <c r="G166" s="20">
        <v>173</v>
      </c>
      <c r="H166" s="19">
        <v>892</v>
      </c>
      <c r="I166" s="20">
        <v>443</v>
      </c>
      <c r="J166" s="20">
        <v>449</v>
      </c>
      <c r="K166" s="20">
        <v>93</v>
      </c>
      <c r="L166" s="44"/>
      <c r="M166" s="20">
        <v>103</v>
      </c>
      <c r="N166" s="44"/>
      <c r="O166" s="46">
        <v>53.16</v>
      </c>
      <c r="P166" s="46">
        <v>0</v>
      </c>
      <c r="Q166" s="44" t="s">
        <v>562</v>
      </c>
      <c r="R166" s="44"/>
      <c r="S166" s="44"/>
      <c r="T166" s="44"/>
      <c r="U166" s="44"/>
      <c r="V166" s="44"/>
      <c r="W166" s="44"/>
      <c r="X166" s="44" t="s">
        <v>562</v>
      </c>
      <c r="Y166" s="44"/>
      <c r="Z166" s="44"/>
      <c r="AA166" s="44"/>
      <c r="AB166" s="44"/>
      <c r="AC166" s="44" t="s">
        <v>562</v>
      </c>
      <c r="AD166" s="44"/>
      <c r="AE166" s="44"/>
      <c r="AF166" s="44"/>
      <c r="AG166" s="44"/>
      <c r="AH166" s="44"/>
      <c r="AI166" s="44"/>
    </row>
    <row r="167" spans="1:35" x14ac:dyDescent="0.35">
      <c r="A167" s="17" t="s">
        <v>46</v>
      </c>
      <c r="B167" s="17" t="s">
        <v>558</v>
      </c>
      <c r="C167" s="28" t="s">
        <v>840</v>
      </c>
      <c r="D167" s="17" t="s">
        <v>897</v>
      </c>
      <c r="E167" s="17" t="s">
        <v>898</v>
      </c>
      <c r="F167" s="20">
        <v>149.55000000000001</v>
      </c>
      <c r="G167" s="20">
        <v>58</v>
      </c>
      <c r="H167" s="19">
        <v>219</v>
      </c>
      <c r="I167" s="20">
        <v>118</v>
      </c>
      <c r="J167" s="20">
        <v>101</v>
      </c>
      <c r="K167" s="20">
        <v>48</v>
      </c>
      <c r="L167" s="44"/>
      <c r="M167" s="20">
        <v>6</v>
      </c>
      <c r="N167" s="44"/>
      <c r="O167" s="46">
        <v>22.3</v>
      </c>
      <c r="P167" s="46">
        <v>0</v>
      </c>
      <c r="Q167" s="44" t="s">
        <v>562</v>
      </c>
      <c r="R167" s="44"/>
      <c r="S167" s="44"/>
      <c r="T167" s="44"/>
      <c r="U167" s="44"/>
      <c r="V167" s="44"/>
      <c r="W167" s="44"/>
      <c r="X167" s="44" t="s">
        <v>562</v>
      </c>
      <c r="Y167" s="44"/>
      <c r="Z167" s="44"/>
      <c r="AA167" s="44"/>
      <c r="AB167" s="44"/>
      <c r="AC167" s="44" t="s">
        <v>562</v>
      </c>
      <c r="AD167" s="44"/>
      <c r="AE167" s="44"/>
      <c r="AF167" s="44"/>
      <c r="AG167" s="44"/>
      <c r="AH167" s="44"/>
      <c r="AI167" s="44"/>
    </row>
    <row r="168" spans="1:35" x14ac:dyDescent="0.35">
      <c r="A168" s="17" t="s">
        <v>46</v>
      </c>
      <c r="B168" s="17" t="s">
        <v>558</v>
      </c>
      <c r="C168" s="28" t="s">
        <v>894</v>
      </c>
      <c r="D168" s="17" t="s">
        <v>899</v>
      </c>
      <c r="E168" s="17" t="s">
        <v>900</v>
      </c>
      <c r="F168" s="20">
        <v>350</v>
      </c>
      <c r="G168" s="20">
        <v>90</v>
      </c>
      <c r="H168" s="19">
        <v>416</v>
      </c>
      <c r="I168" s="20">
        <v>210</v>
      </c>
      <c r="J168" s="20">
        <v>206</v>
      </c>
      <c r="K168" s="20">
        <v>81</v>
      </c>
      <c r="L168" s="44"/>
      <c r="M168" s="20">
        <v>87</v>
      </c>
      <c r="N168" s="44"/>
      <c r="O168" s="46">
        <v>28.05</v>
      </c>
      <c r="P168" s="46">
        <v>0</v>
      </c>
      <c r="Q168" s="44" t="s">
        <v>51</v>
      </c>
      <c r="R168" s="44">
        <v>2019</v>
      </c>
      <c r="S168" s="44"/>
      <c r="T168" s="44"/>
      <c r="U168" s="44"/>
      <c r="V168" s="44"/>
      <c r="W168" s="44"/>
      <c r="X168" s="44" t="s">
        <v>51</v>
      </c>
      <c r="Y168" s="44"/>
      <c r="Z168" s="44"/>
      <c r="AA168" s="44"/>
      <c r="AB168" s="44"/>
      <c r="AC168" s="44" t="s">
        <v>51</v>
      </c>
      <c r="AD168" s="44"/>
      <c r="AE168" s="44"/>
      <c r="AF168" s="44"/>
      <c r="AG168" s="44"/>
      <c r="AH168" s="44"/>
      <c r="AI168" s="44"/>
    </row>
    <row r="169" spans="1:35" x14ac:dyDescent="0.35">
      <c r="A169" s="17" t="s">
        <v>46</v>
      </c>
      <c r="B169" s="17" t="s">
        <v>558</v>
      </c>
      <c r="C169" s="28" t="s">
        <v>894</v>
      </c>
      <c r="D169" s="17" t="s">
        <v>901</v>
      </c>
      <c r="E169" s="17" t="s">
        <v>902</v>
      </c>
      <c r="F169" s="20">
        <v>280</v>
      </c>
      <c r="G169" s="20">
        <v>100</v>
      </c>
      <c r="H169" s="19">
        <v>433</v>
      </c>
      <c r="I169" s="20">
        <v>230</v>
      </c>
      <c r="J169" s="20">
        <v>203</v>
      </c>
      <c r="K169" s="20">
        <v>95</v>
      </c>
      <c r="L169" s="44"/>
      <c r="M169" s="20">
        <v>52</v>
      </c>
      <c r="N169" s="44"/>
      <c r="O169" s="46">
        <v>31.82</v>
      </c>
      <c r="P169" s="46">
        <v>0</v>
      </c>
      <c r="Q169" s="44" t="s">
        <v>51</v>
      </c>
      <c r="R169" s="44">
        <v>2019</v>
      </c>
      <c r="S169" s="44"/>
      <c r="T169" s="44"/>
      <c r="U169" s="44"/>
      <c r="V169" s="44"/>
      <c r="W169" s="44"/>
      <c r="X169" s="44" t="s">
        <v>51</v>
      </c>
      <c r="Y169" s="44"/>
      <c r="Z169" s="44"/>
      <c r="AA169" s="44"/>
      <c r="AB169" s="44"/>
      <c r="AC169" s="44" t="s">
        <v>51</v>
      </c>
      <c r="AD169" s="44"/>
      <c r="AE169" s="44"/>
      <c r="AF169" s="44"/>
      <c r="AG169" s="44"/>
      <c r="AH169" s="44"/>
      <c r="AI169" s="44"/>
    </row>
    <row r="170" spans="1:35" x14ac:dyDescent="0.35">
      <c r="A170" s="17" t="s">
        <v>46</v>
      </c>
      <c r="B170" s="17" t="s">
        <v>558</v>
      </c>
      <c r="C170" s="28" t="s">
        <v>894</v>
      </c>
      <c r="D170" s="17" t="s">
        <v>903</v>
      </c>
      <c r="E170" s="17" t="s">
        <v>904</v>
      </c>
      <c r="F170" s="20">
        <v>241</v>
      </c>
      <c r="G170" s="20">
        <v>166</v>
      </c>
      <c r="H170" s="19">
        <v>741</v>
      </c>
      <c r="I170" s="20">
        <v>371</v>
      </c>
      <c r="J170" s="20">
        <v>370</v>
      </c>
      <c r="K170" s="20">
        <v>116</v>
      </c>
      <c r="L170" s="44"/>
      <c r="M170" s="20">
        <v>48</v>
      </c>
      <c r="N170" s="44"/>
      <c r="O170" s="46">
        <v>44.68</v>
      </c>
      <c r="P170" s="46">
        <v>0</v>
      </c>
      <c r="Q170" s="44" t="s">
        <v>51</v>
      </c>
      <c r="R170" s="44">
        <v>2019</v>
      </c>
      <c r="S170" s="44"/>
      <c r="T170" s="44"/>
      <c r="U170" s="44"/>
      <c r="V170" s="44"/>
      <c r="W170" s="44"/>
      <c r="X170" s="44" t="s">
        <v>51</v>
      </c>
      <c r="Y170" s="44"/>
      <c r="Z170" s="44"/>
      <c r="AA170" s="44"/>
      <c r="AB170" s="44"/>
      <c r="AC170" s="44" t="s">
        <v>51</v>
      </c>
      <c r="AD170" s="44"/>
      <c r="AE170" s="44"/>
      <c r="AF170" s="44"/>
      <c r="AG170" s="44"/>
      <c r="AH170" s="44"/>
      <c r="AI170" s="44"/>
    </row>
    <row r="171" spans="1:35" x14ac:dyDescent="0.35">
      <c r="A171" s="17" t="s">
        <v>46</v>
      </c>
      <c r="B171" s="17" t="s">
        <v>558</v>
      </c>
      <c r="C171" s="28" t="s">
        <v>894</v>
      </c>
      <c r="D171" s="17" t="s">
        <v>905</v>
      </c>
      <c r="E171" s="17" t="s">
        <v>906</v>
      </c>
      <c r="F171" s="20">
        <v>1030</v>
      </c>
      <c r="G171" s="20">
        <v>818</v>
      </c>
      <c r="H171" s="19">
        <v>4014</v>
      </c>
      <c r="I171" s="20">
        <v>2122</v>
      </c>
      <c r="J171" s="20">
        <v>1892</v>
      </c>
      <c r="K171" s="20">
        <v>474</v>
      </c>
      <c r="L171" s="44"/>
      <c r="M171" s="20">
        <v>48</v>
      </c>
      <c r="N171" s="44"/>
      <c r="O171" s="46">
        <v>136.81</v>
      </c>
      <c r="P171" s="46">
        <v>0</v>
      </c>
      <c r="Q171" s="44" t="s">
        <v>562</v>
      </c>
      <c r="R171" s="44"/>
      <c r="S171" s="44"/>
      <c r="T171" s="44"/>
      <c r="U171" s="44"/>
      <c r="V171" s="44"/>
      <c r="W171" s="44"/>
      <c r="X171" s="44" t="s">
        <v>562</v>
      </c>
      <c r="Y171" s="44"/>
      <c r="Z171" s="44"/>
      <c r="AA171" s="44"/>
      <c r="AB171" s="44"/>
      <c r="AC171" s="44" t="s">
        <v>562</v>
      </c>
      <c r="AD171" s="44"/>
      <c r="AE171" s="44"/>
      <c r="AF171" s="44"/>
      <c r="AG171" s="44"/>
      <c r="AH171" s="44"/>
      <c r="AI171" s="44"/>
    </row>
    <row r="173" spans="1:35" ht="15.5" x14ac:dyDescent="0.35">
      <c r="C173" s="49"/>
      <c r="D173" s="50"/>
    </row>
    <row r="174" spans="1:35" ht="15.5" x14ac:dyDescent="0.35">
      <c r="C174" s="51"/>
      <c r="D174" s="51"/>
    </row>
    <row r="175" spans="1:35" ht="15.5" x14ac:dyDescent="0.35">
      <c r="C175" s="51"/>
      <c r="D175" s="50"/>
    </row>
    <row r="176" spans="1:35" ht="15.5" x14ac:dyDescent="0.35">
      <c r="C176" s="51"/>
      <c r="D176" s="51"/>
    </row>
    <row r="177" spans="3:4" ht="15.5" x14ac:dyDescent="0.35">
      <c r="C177" s="51"/>
      <c r="D177" s="52"/>
    </row>
    <row r="178" spans="3:4" ht="15.5" x14ac:dyDescent="0.35">
      <c r="C178" s="51"/>
      <c r="D178" s="52"/>
    </row>
  </sheetData>
  <autoFilter ref="A2:AH171"/>
  <mergeCells count="1">
    <mergeCell ref="AH2:AI2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58"/>
  <sheetViews>
    <sheetView topLeftCell="P1" zoomScale="60" zoomScaleNormal="60" workbookViewId="0">
      <selection activeCell="AC5" sqref="AC5:AC158"/>
    </sheetView>
  </sheetViews>
  <sheetFormatPr defaultColWidth="9.1796875" defaultRowHeight="14.5" x14ac:dyDescent="0.35"/>
  <cols>
    <col min="1" max="1" width="11.08984375" style="53" customWidth="1"/>
    <col min="2" max="2" width="10.26953125" style="53" customWidth="1"/>
    <col min="3" max="3" width="12.7265625" style="53" customWidth="1"/>
    <col min="4" max="4" width="18" style="53" customWidth="1"/>
    <col min="5" max="5" width="10.7265625" style="53" customWidth="1"/>
    <col min="6" max="6" width="14.26953125" style="53" customWidth="1"/>
    <col min="7" max="7" width="15" style="53" customWidth="1"/>
    <col min="8" max="8" width="13.81640625" style="53" customWidth="1"/>
    <col min="9" max="9" width="11.08984375" style="53" customWidth="1"/>
    <col min="10" max="10" width="12.54296875" style="53" customWidth="1"/>
    <col min="11" max="11" width="8.7265625" style="53" customWidth="1"/>
    <col min="12" max="12" width="9.08984375" style="53"/>
    <col min="13" max="13" width="8" style="53" customWidth="1"/>
    <col min="14" max="14" width="8.81640625" style="53" customWidth="1"/>
    <col min="15" max="15" width="19.453125" style="53" customWidth="1"/>
    <col min="16" max="16" width="11.54296875" style="53" customWidth="1"/>
    <col min="17" max="17" width="18.54296875" style="53" customWidth="1"/>
    <col min="18" max="18" width="11.54296875" style="53" customWidth="1"/>
    <col min="19" max="33" width="18.54296875" style="53" customWidth="1"/>
    <col min="34" max="34" width="14.54296875" style="53" customWidth="1"/>
    <col min="35" max="35" width="15.26953125" style="53" customWidth="1"/>
    <col min="36" max="1024" width="9.08984375" style="53"/>
  </cols>
  <sheetData>
    <row r="1" spans="1:35" s="54" customFormat="1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4"/>
      <c r="P1" s="4"/>
      <c r="Q1" s="38" t="s">
        <v>0</v>
      </c>
      <c r="R1" s="38" t="s">
        <v>0</v>
      </c>
      <c r="S1" s="38" t="s">
        <v>0</v>
      </c>
      <c r="T1" s="39" t="s">
        <v>0</v>
      </c>
      <c r="U1" s="39" t="s">
        <v>0</v>
      </c>
      <c r="V1" s="38" t="s">
        <v>1</v>
      </c>
      <c r="W1" s="38" t="s">
        <v>1</v>
      </c>
      <c r="X1" s="38" t="s">
        <v>1</v>
      </c>
      <c r="Y1" s="38" t="s">
        <v>1</v>
      </c>
      <c r="Z1" s="38" t="s">
        <v>1</v>
      </c>
      <c r="AA1" s="38" t="s">
        <v>1</v>
      </c>
      <c r="AB1" s="38" t="s">
        <v>2</v>
      </c>
      <c r="AC1" s="40" t="s">
        <v>3</v>
      </c>
      <c r="AD1" s="41" t="s">
        <v>3</v>
      </c>
      <c r="AE1" s="40" t="s">
        <v>3</v>
      </c>
      <c r="AF1" s="40" t="s">
        <v>3</v>
      </c>
      <c r="AG1" s="40" t="s">
        <v>3</v>
      </c>
      <c r="AH1" s="40" t="s">
        <v>3</v>
      </c>
      <c r="AI1" s="40" t="s">
        <v>3</v>
      </c>
    </row>
    <row r="2" spans="1:35" s="55" customFormat="1" ht="85.5" customHeight="1" x14ac:dyDescent="0.3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5" t="s">
        <v>14</v>
      </c>
      <c r="L2" s="5"/>
      <c r="M2" s="5" t="s">
        <v>15</v>
      </c>
      <c r="N2" s="5"/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2" t="s">
        <v>21</v>
      </c>
      <c r="U2" s="42" t="s">
        <v>22</v>
      </c>
      <c r="V2" s="11" t="s">
        <v>23</v>
      </c>
      <c r="W2" s="4" t="s">
        <v>24</v>
      </c>
      <c r="X2" s="11" t="s">
        <v>25</v>
      </c>
      <c r="Y2" s="4" t="s">
        <v>26</v>
      </c>
      <c r="Z2" s="4" t="s">
        <v>27</v>
      </c>
      <c r="AA2" s="11" t="s">
        <v>28</v>
      </c>
      <c r="AB2" s="43" t="s">
        <v>29</v>
      </c>
      <c r="AC2" s="11" t="s">
        <v>30</v>
      </c>
      <c r="AD2" s="43" t="s">
        <v>31</v>
      </c>
      <c r="AE2" s="11" t="s">
        <v>32</v>
      </c>
      <c r="AF2" s="11" t="s">
        <v>33</v>
      </c>
      <c r="AG2" s="11" t="s">
        <v>34</v>
      </c>
      <c r="AH2" s="1" t="s">
        <v>35</v>
      </c>
      <c r="AI2" s="1"/>
    </row>
    <row r="3" spans="1:35" s="56" customFormat="1" x14ac:dyDescent="0.35">
      <c r="A3" s="17"/>
      <c r="B3" s="17"/>
      <c r="C3" s="5"/>
      <c r="D3" s="5"/>
      <c r="E3" s="5"/>
      <c r="F3" s="5" t="s">
        <v>37</v>
      </c>
      <c r="G3" s="5" t="s">
        <v>38</v>
      </c>
      <c r="H3" s="5" t="s">
        <v>38</v>
      </c>
      <c r="I3" s="5" t="s">
        <v>38</v>
      </c>
      <c r="J3" s="5" t="s">
        <v>38</v>
      </c>
      <c r="K3" s="5" t="s">
        <v>38</v>
      </c>
      <c r="L3" s="5" t="s">
        <v>39</v>
      </c>
      <c r="M3" s="5"/>
      <c r="N3" s="5" t="s">
        <v>39</v>
      </c>
      <c r="O3" s="5" t="s">
        <v>37</v>
      </c>
      <c r="P3" s="5" t="s">
        <v>37</v>
      </c>
      <c r="Q3" s="5" t="s">
        <v>40</v>
      </c>
      <c r="R3" s="5" t="s">
        <v>41</v>
      </c>
      <c r="S3" s="5" t="s">
        <v>37</v>
      </c>
      <c r="T3" s="44"/>
      <c r="U3" s="44"/>
      <c r="V3" s="5" t="s">
        <v>37</v>
      </c>
      <c r="W3" s="5" t="s">
        <v>37</v>
      </c>
      <c r="X3" s="5" t="s">
        <v>40</v>
      </c>
      <c r="Y3" s="5" t="s">
        <v>40</v>
      </c>
      <c r="Z3" s="5" t="s">
        <v>40</v>
      </c>
      <c r="AA3" s="5" t="s">
        <v>37</v>
      </c>
      <c r="AB3" s="45" t="s">
        <v>42</v>
      </c>
      <c r="AC3" s="5" t="s">
        <v>40</v>
      </c>
      <c r="AD3" s="45" t="s">
        <v>40</v>
      </c>
      <c r="AE3" s="5" t="s">
        <v>40</v>
      </c>
      <c r="AF3" s="5" t="s">
        <v>37</v>
      </c>
      <c r="AG3" s="5" t="s">
        <v>43</v>
      </c>
      <c r="AH3" s="5" t="s">
        <v>44</v>
      </c>
      <c r="AI3" s="5" t="s">
        <v>45</v>
      </c>
    </row>
    <row r="4" spans="1:35" x14ac:dyDescent="0.35">
      <c r="A4" s="17" t="s">
        <v>46</v>
      </c>
      <c r="B4" s="17" t="s">
        <v>907</v>
      </c>
      <c r="C4" s="28" t="s">
        <v>908</v>
      </c>
      <c r="D4" s="17" t="s">
        <v>816</v>
      </c>
      <c r="E4" s="17" t="s">
        <v>909</v>
      </c>
      <c r="F4" s="20">
        <v>302.83</v>
      </c>
      <c r="G4" s="20">
        <v>145</v>
      </c>
      <c r="H4" s="19">
        <v>771</v>
      </c>
      <c r="I4" s="20">
        <v>391</v>
      </c>
      <c r="J4" s="20">
        <v>380</v>
      </c>
      <c r="K4" s="20">
        <v>13</v>
      </c>
      <c r="L4" s="57">
        <f t="shared" ref="L4:L35" si="0">K4/H4</f>
        <v>1.6861219195849545E-2</v>
      </c>
      <c r="M4" s="20">
        <v>5</v>
      </c>
      <c r="N4" s="57">
        <f t="shared" ref="N4:N15" si="1">M4/H4</f>
        <v>6.4850843060959796E-3</v>
      </c>
      <c r="O4" s="46">
        <v>21.85</v>
      </c>
      <c r="P4" s="46">
        <v>12.1</v>
      </c>
      <c r="Q4" s="58" t="s">
        <v>562</v>
      </c>
      <c r="R4" s="59"/>
      <c r="S4" s="58"/>
      <c r="T4" s="58"/>
      <c r="U4" s="58"/>
      <c r="V4" s="58"/>
      <c r="W4" s="58"/>
      <c r="X4" s="58" t="s">
        <v>562</v>
      </c>
      <c r="Y4" s="58"/>
      <c r="Z4" s="58"/>
      <c r="AA4" s="58"/>
      <c r="AB4" s="58"/>
      <c r="AC4" s="58" t="s">
        <v>562</v>
      </c>
      <c r="AD4" s="58"/>
      <c r="AE4" s="58"/>
      <c r="AF4" s="58"/>
      <c r="AG4" s="58"/>
      <c r="AH4" s="58"/>
      <c r="AI4" s="58"/>
    </row>
    <row r="5" spans="1:35" x14ac:dyDescent="0.35">
      <c r="A5" s="17" t="s">
        <v>46</v>
      </c>
      <c r="B5" s="17" t="s">
        <v>907</v>
      </c>
      <c r="C5" s="28" t="s">
        <v>908</v>
      </c>
      <c r="D5" s="17" t="s">
        <v>910</v>
      </c>
      <c r="E5" s="17" t="s">
        <v>911</v>
      </c>
      <c r="F5" s="20">
        <v>380.67</v>
      </c>
      <c r="G5" s="20">
        <v>212</v>
      </c>
      <c r="H5" s="19">
        <v>1090</v>
      </c>
      <c r="I5" s="20">
        <v>563</v>
      </c>
      <c r="J5" s="20">
        <v>527</v>
      </c>
      <c r="K5" s="20">
        <v>31</v>
      </c>
      <c r="L5" s="57">
        <f t="shared" si="0"/>
        <v>2.8440366972477066E-2</v>
      </c>
      <c r="M5" s="20">
        <v>47</v>
      </c>
      <c r="N5" s="57">
        <f t="shared" si="1"/>
        <v>4.3119266055045874E-2</v>
      </c>
      <c r="O5" s="46">
        <v>36.6</v>
      </c>
      <c r="P5" s="46">
        <v>0</v>
      </c>
      <c r="Q5" s="58" t="s">
        <v>51</v>
      </c>
      <c r="R5" s="59">
        <v>2021</v>
      </c>
      <c r="S5" s="58"/>
      <c r="T5" s="58"/>
      <c r="U5" s="58"/>
      <c r="V5" s="58"/>
      <c r="W5" s="58"/>
      <c r="X5" s="58" t="s">
        <v>51</v>
      </c>
      <c r="Y5" s="58"/>
      <c r="Z5" s="58"/>
      <c r="AA5" s="58"/>
      <c r="AB5" s="58"/>
      <c r="AC5" s="58" t="s">
        <v>51</v>
      </c>
      <c r="AD5" s="58"/>
      <c r="AE5" s="58"/>
      <c r="AF5" s="58"/>
      <c r="AG5" s="58"/>
      <c r="AH5" s="58"/>
      <c r="AI5" s="58"/>
    </row>
    <row r="6" spans="1:35" x14ac:dyDescent="0.35">
      <c r="A6" s="17" t="s">
        <v>46</v>
      </c>
      <c r="B6" s="17" t="s">
        <v>907</v>
      </c>
      <c r="C6" s="28" t="s">
        <v>908</v>
      </c>
      <c r="D6" s="17" t="s">
        <v>912</v>
      </c>
      <c r="E6" s="17" t="s">
        <v>913</v>
      </c>
      <c r="F6" s="20">
        <v>270.8</v>
      </c>
      <c r="G6" s="20">
        <v>158</v>
      </c>
      <c r="H6" s="19">
        <v>811</v>
      </c>
      <c r="I6" s="20">
        <v>421</v>
      </c>
      <c r="J6" s="20">
        <v>390</v>
      </c>
      <c r="K6" s="20">
        <v>26</v>
      </c>
      <c r="L6" s="57">
        <f t="shared" si="0"/>
        <v>3.2059186189889025E-2</v>
      </c>
      <c r="M6" s="20">
        <v>14</v>
      </c>
      <c r="N6" s="57">
        <f t="shared" si="1"/>
        <v>1.7262638717632551E-2</v>
      </c>
      <c r="O6" s="46">
        <v>16.600000000000001</v>
      </c>
      <c r="P6" s="46">
        <v>0</v>
      </c>
      <c r="Q6" s="58" t="s">
        <v>562</v>
      </c>
      <c r="R6" s="59"/>
      <c r="S6" s="58"/>
      <c r="T6" s="58"/>
      <c r="U6" s="58"/>
      <c r="V6" s="58"/>
      <c r="W6" s="58"/>
      <c r="X6" s="58" t="s">
        <v>562</v>
      </c>
      <c r="Y6" s="58"/>
      <c r="Z6" s="58"/>
      <c r="AA6" s="58"/>
      <c r="AB6" s="58"/>
      <c r="AC6" s="58" t="s">
        <v>562</v>
      </c>
      <c r="AD6" s="58"/>
      <c r="AE6" s="58"/>
      <c r="AF6" s="58"/>
      <c r="AG6" s="58"/>
      <c r="AH6" s="58"/>
      <c r="AI6" s="58"/>
    </row>
    <row r="7" spans="1:35" x14ac:dyDescent="0.35">
      <c r="A7" s="17" t="s">
        <v>46</v>
      </c>
      <c r="B7" s="17" t="s">
        <v>907</v>
      </c>
      <c r="C7" s="28" t="s">
        <v>908</v>
      </c>
      <c r="D7" s="17" t="s">
        <v>914</v>
      </c>
      <c r="E7" s="17" t="s">
        <v>915</v>
      </c>
      <c r="F7" s="20">
        <v>323.35000000000002</v>
      </c>
      <c r="G7" s="20">
        <v>203</v>
      </c>
      <c r="H7" s="19">
        <v>972</v>
      </c>
      <c r="I7" s="20">
        <v>484</v>
      </c>
      <c r="J7" s="20">
        <v>488</v>
      </c>
      <c r="K7" s="20">
        <v>106</v>
      </c>
      <c r="L7" s="57">
        <f t="shared" si="0"/>
        <v>0.10905349794238683</v>
      </c>
      <c r="M7" s="20">
        <v>210</v>
      </c>
      <c r="N7" s="57">
        <f t="shared" si="1"/>
        <v>0.21604938271604937</v>
      </c>
      <c r="O7" s="46">
        <v>17.600000000000001</v>
      </c>
      <c r="P7" s="46">
        <v>0.6</v>
      </c>
      <c r="Q7" s="58" t="s">
        <v>51</v>
      </c>
      <c r="R7" s="59">
        <v>2020</v>
      </c>
      <c r="S7" s="58"/>
      <c r="T7" s="58"/>
      <c r="U7" s="58"/>
      <c r="V7" s="58"/>
      <c r="W7" s="58"/>
      <c r="X7" s="58" t="s">
        <v>51</v>
      </c>
      <c r="Y7" s="58"/>
      <c r="Z7" s="58"/>
      <c r="AA7" s="58"/>
      <c r="AB7" s="58"/>
      <c r="AC7" s="58" t="s">
        <v>51</v>
      </c>
      <c r="AD7" s="58"/>
      <c r="AE7" s="58"/>
      <c r="AF7" s="58"/>
      <c r="AG7" s="58"/>
      <c r="AH7" s="58"/>
      <c r="AI7" s="58"/>
    </row>
    <row r="8" spans="1:35" x14ac:dyDescent="0.35">
      <c r="A8" s="17" t="s">
        <v>46</v>
      </c>
      <c r="B8" s="17" t="s">
        <v>907</v>
      </c>
      <c r="C8" s="28" t="s">
        <v>916</v>
      </c>
      <c r="D8" s="17" t="s">
        <v>917</v>
      </c>
      <c r="E8" s="17" t="s">
        <v>918</v>
      </c>
      <c r="F8" s="20">
        <v>1507.51</v>
      </c>
      <c r="G8" s="20">
        <v>1160</v>
      </c>
      <c r="H8" s="19">
        <v>5442</v>
      </c>
      <c r="I8" s="20">
        <v>2782</v>
      </c>
      <c r="J8" s="20">
        <v>2660</v>
      </c>
      <c r="K8" s="20">
        <v>728</v>
      </c>
      <c r="L8" s="57">
        <f t="shared" si="0"/>
        <v>0.13377434766629914</v>
      </c>
      <c r="M8" s="20">
        <v>34</v>
      </c>
      <c r="N8" s="57">
        <f t="shared" si="1"/>
        <v>6.2477030503491366E-3</v>
      </c>
      <c r="O8" s="46">
        <v>151.86000000000001</v>
      </c>
      <c r="P8" s="46">
        <v>0</v>
      </c>
      <c r="Q8" s="58" t="s">
        <v>51</v>
      </c>
      <c r="R8" s="59">
        <v>2020</v>
      </c>
      <c r="S8" s="58"/>
      <c r="T8" s="58"/>
      <c r="U8" s="58"/>
      <c r="V8" s="58"/>
      <c r="W8" s="58"/>
      <c r="X8" s="58" t="s">
        <v>51</v>
      </c>
      <c r="Y8" s="58"/>
      <c r="Z8" s="58"/>
      <c r="AA8" s="58"/>
      <c r="AB8" s="58"/>
      <c r="AC8" s="58" t="s">
        <v>51</v>
      </c>
      <c r="AD8" s="58"/>
      <c r="AE8" s="58"/>
      <c r="AF8" s="58"/>
      <c r="AG8" s="58"/>
      <c r="AH8" s="58"/>
      <c r="AI8" s="58"/>
    </row>
    <row r="9" spans="1:35" x14ac:dyDescent="0.35">
      <c r="A9" s="17" t="s">
        <v>46</v>
      </c>
      <c r="B9" s="17" t="s">
        <v>907</v>
      </c>
      <c r="C9" s="28" t="s">
        <v>916</v>
      </c>
      <c r="D9" s="17" t="s">
        <v>919</v>
      </c>
      <c r="E9" s="17" t="s">
        <v>920</v>
      </c>
      <c r="F9" s="20">
        <v>226.81</v>
      </c>
      <c r="G9" s="20">
        <v>85</v>
      </c>
      <c r="H9" s="19">
        <v>391</v>
      </c>
      <c r="I9" s="20">
        <v>197</v>
      </c>
      <c r="J9" s="20">
        <v>194</v>
      </c>
      <c r="K9" s="20">
        <v>124</v>
      </c>
      <c r="L9" s="57">
        <f t="shared" si="0"/>
        <v>0.31713554987212278</v>
      </c>
      <c r="M9" s="20">
        <v>24</v>
      </c>
      <c r="N9" s="57">
        <f t="shared" si="1"/>
        <v>6.1381074168797956E-2</v>
      </c>
      <c r="O9" s="46">
        <v>42.07</v>
      </c>
      <c r="P9" s="46">
        <v>0</v>
      </c>
      <c r="Q9" s="58" t="s">
        <v>51</v>
      </c>
      <c r="R9" s="59">
        <v>2020</v>
      </c>
      <c r="S9" s="58"/>
      <c r="T9" s="58"/>
      <c r="U9" s="58"/>
      <c r="V9" s="58"/>
      <c r="W9" s="58"/>
      <c r="X9" s="58" t="s">
        <v>51</v>
      </c>
      <c r="Y9" s="58"/>
      <c r="Z9" s="58"/>
      <c r="AA9" s="58"/>
      <c r="AB9" s="58"/>
      <c r="AC9" s="58" t="s">
        <v>51</v>
      </c>
      <c r="AD9" s="58"/>
      <c r="AE9" s="58"/>
      <c r="AF9" s="58"/>
      <c r="AG9" s="58"/>
      <c r="AH9" s="58"/>
      <c r="AI9" s="58"/>
    </row>
    <row r="10" spans="1:35" x14ac:dyDescent="0.35">
      <c r="A10" s="17" t="s">
        <v>46</v>
      </c>
      <c r="B10" s="17" t="s">
        <v>907</v>
      </c>
      <c r="C10" s="28" t="s">
        <v>921</v>
      </c>
      <c r="D10" s="17" t="s">
        <v>922</v>
      </c>
      <c r="E10" s="17" t="s">
        <v>923</v>
      </c>
      <c r="F10" s="20">
        <v>546.12</v>
      </c>
      <c r="G10" s="20">
        <v>231</v>
      </c>
      <c r="H10" s="19">
        <v>1018</v>
      </c>
      <c r="I10" s="20">
        <v>507</v>
      </c>
      <c r="J10" s="20">
        <v>511</v>
      </c>
      <c r="K10" s="20">
        <v>225</v>
      </c>
      <c r="L10" s="57">
        <f t="shared" si="0"/>
        <v>0.22102161100196463</v>
      </c>
      <c r="M10" s="20">
        <v>61</v>
      </c>
      <c r="N10" s="57">
        <f t="shared" si="1"/>
        <v>5.9921414538310409E-2</v>
      </c>
      <c r="O10" s="46">
        <v>118.9</v>
      </c>
      <c r="P10" s="46">
        <v>0</v>
      </c>
      <c r="Q10" s="58" t="s">
        <v>51</v>
      </c>
      <c r="R10" s="59">
        <v>2020</v>
      </c>
      <c r="S10" s="58"/>
      <c r="T10" s="58"/>
      <c r="U10" s="58"/>
      <c r="V10" s="58"/>
      <c r="W10" s="58"/>
      <c r="X10" s="58" t="s">
        <v>51</v>
      </c>
      <c r="Y10" s="58"/>
      <c r="Z10" s="58"/>
      <c r="AA10" s="58"/>
      <c r="AB10" s="58"/>
      <c r="AC10" s="58" t="s">
        <v>51</v>
      </c>
      <c r="AD10" s="58"/>
      <c r="AE10" s="58"/>
      <c r="AF10" s="58"/>
      <c r="AG10" s="58"/>
      <c r="AH10" s="58"/>
      <c r="AI10" s="58"/>
    </row>
    <row r="11" spans="1:35" x14ac:dyDescent="0.35">
      <c r="A11" s="17" t="s">
        <v>46</v>
      </c>
      <c r="B11" s="17" t="s">
        <v>907</v>
      </c>
      <c r="C11" s="28" t="s">
        <v>924</v>
      </c>
      <c r="D11" s="17" t="s">
        <v>925</v>
      </c>
      <c r="E11" s="17" t="s">
        <v>926</v>
      </c>
      <c r="F11" s="20">
        <v>1012.72</v>
      </c>
      <c r="G11" s="20">
        <v>477</v>
      </c>
      <c r="H11" s="19">
        <v>2141</v>
      </c>
      <c r="I11" s="20">
        <v>1082</v>
      </c>
      <c r="J11" s="20">
        <v>1059</v>
      </c>
      <c r="K11" s="20">
        <v>507</v>
      </c>
      <c r="L11" s="57">
        <f t="shared" si="0"/>
        <v>0.23680523120037367</v>
      </c>
      <c r="M11" s="20">
        <v>124</v>
      </c>
      <c r="N11" s="57">
        <f t="shared" si="1"/>
        <v>5.7916861279775807E-2</v>
      </c>
      <c r="O11" s="46">
        <v>175.82</v>
      </c>
      <c r="P11" s="46">
        <v>35.85</v>
      </c>
      <c r="Q11" s="58" t="s">
        <v>51</v>
      </c>
      <c r="R11" s="59">
        <v>2020</v>
      </c>
      <c r="S11" s="58"/>
      <c r="T11" s="58"/>
      <c r="U11" s="58"/>
      <c r="V11" s="58"/>
      <c r="W11" s="58"/>
      <c r="X11" s="58" t="s">
        <v>51</v>
      </c>
      <c r="Y11" s="58"/>
      <c r="Z11" s="58"/>
      <c r="AA11" s="58"/>
      <c r="AB11" s="58"/>
      <c r="AC11" s="58" t="s">
        <v>51</v>
      </c>
      <c r="AD11" s="58"/>
      <c r="AE11" s="58"/>
      <c r="AF11" s="58"/>
      <c r="AG11" s="58"/>
      <c r="AH11" s="58"/>
      <c r="AI11" s="58"/>
    </row>
    <row r="12" spans="1:35" x14ac:dyDescent="0.35">
      <c r="A12" s="17" t="s">
        <v>46</v>
      </c>
      <c r="B12" s="17" t="s">
        <v>907</v>
      </c>
      <c r="C12" s="28" t="s">
        <v>924</v>
      </c>
      <c r="D12" s="17" t="s">
        <v>205</v>
      </c>
      <c r="E12" s="17" t="s">
        <v>927</v>
      </c>
      <c r="F12" s="20">
        <v>232.5</v>
      </c>
      <c r="G12" s="20">
        <v>153</v>
      </c>
      <c r="H12" s="19">
        <v>704</v>
      </c>
      <c r="I12" s="20">
        <v>371</v>
      </c>
      <c r="J12" s="20">
        <v>333</v>
      </c>
      <c r="K12" s="20">
        <v>93</v>
      </c>
      <c r="L12" s="57">
        <f t="shared" si="0"/>
        <v>0.13210227272727273</v>
      </c>
      <c r="M12" s="20">
        <v>190</v>
      </c>
      <c r="N12" s="57">
        <f t="shared" si="1"/>
        <v>0.26988636363636365</v>
      </c>
      <c r="O12" s="46">
        <v>7.48</v>
      </c>
      <c r="P12" s="46">
        <v>0</v>
      </c>
      <c r="Q12" s="58" t="s">
        <v>51</v>
      </c>
      <c r="R12" s="59">
        <v>2020</v>
      </c>
      <c r="S12" s="58"/>
      <c r="T12" s="58"/>
      <c r="U12" s="58"/>
      <c r="V12" s="58"/>
      <c r="W12" s="58"/>
      <c r="X12" s="58" t="s">
        <v>51</v>
      </c>
      <c r="Y12" s="58"/>
      <c r="Z12" s="58"/>
      <c r="AA12" s="58"/>
      <c r="AB12" s="58"/>
      <c r="AC12" s="58" t="s">
        <v>51</v>
      </c>
      <c r="AD12" s="58"/>
      <c r="AE12" s="58"/>
      <c r="AF12" s="58"/>
      <c r="AG12" s="58"/>
      <c r="AH12" s="58"/>
      <c r="AI12" s="58"/>
    </row>
    <row r="13" spans="1:35" x14ac:dyDescent="0.35">
      <c r="A13" s="17" t="s">
        <v>46</v>
      </c>
      <c r="B13" s="17" t="s">
        <v>907</v>
      </c>
      <c r="C13" s="28" t="s">
        <v>928</v>
      </c>
      <c r="D13" s="17" t="s">
        <v>929</v>
      </c>
      <c r="E13" s="17" t="s">
        <v>930</v>
      </c>
      <c r="F13" s="20">
        <v>236.72</v>
      </c>
      <c r="G13" s="20">
        <v>215</v>
      </c>
      <c r="H13" s="19">
        <v>992</v>
      </c>
      <c r="I13" s="20">
        <v>520</v>
      </c>
      <c r="J13" s="20">
        <v>472</v>
      </c>
      <c r="K13" s="20">
        <v>0</v>
      </c>
      <c r="L13" s="57">
        <f t="shared" si="0"/>
        <v>0</v>
      </c>
      <c r="M13" s="20">
        <v>0</v>
      </c>
      <c r="N13" s="57">
        <f t="shared" si="1"/>
        <v>0</v>
      </c>
      <c r="O13" s="46">
        <v>10.35</v>
      </c>
      <c r="P13" s="46">
        <v>0</v>
      </c>
      <c r="Q13" s="58" t="s">
        <v>51</v>
      </c>
      <c r="R13" s="59">
        <v>2019</v>
      </c>
      <c r="S13" s="58"/>
      <c r="T13" s="58"/>
      <c r="U13" s="58"/>
      <c r="V13" s="58"/>
      <c r="W13" s="58"/>
      <c r="X13" s="58" t="s">
        <v>51</v>
      </c>
      <c r="Y13" s="58"/>
      <c r="Z13" s="58"/>
      <c r="AA13" s="58"/>
      <c r="AB13" s="58"/>
      <c r="AC13" s="58" t="s">
        <v>51</v>
      </c>
      <c r="AD13" s="58"/>
      <c r="AE13" s="58"/>
      <c r="AF13" s="58"/>
      <c r="AG13" s="58"/>
      <c r="AH13" s="58"/>
      <c r="AI13" s="58"/>
    </row>
    <row r="14" spans="1:35" x14ac:dyDescent="0.35">
      <c r="A14" s="17" t="s">
        <v>46</v>
      </c>
      <c r="B14" s="17" t="s">
        <v>907</v>
      </c>
      <c r="C14" s="28" t="s">
        <v>924</v>
      </c>
      <c r="D14" s="17" t="s">
        <v>931</v>
      </c>
      <c r="E14" s="17" t="s">
        <v>932</v>
      </c>
      <c r="F14" s="20">
        <v>327.20999999999998</v>
      </c>
      <c r="G14" s="20">
        <v>237</v>
      </c>
      <c r="H14" s="19">
        <v>1021</v>
      </c>
      <c r="I14" s="20">
        <v>503</v>
      </c>
      <c r="J14" s="20">
        <v>518</v>
      </c>
      <c r="K14" s="20">
        <v>204</v>
      </c>
      <c r="L14" s="57">
        <f t="shared" si="0"/>
        <v>0.19980411361410383</v>
      </c>
      <c r="M14" s="20">
        <v>126</v>
      </c>
      <c r="N14" s="57">
        <f t="shared" si="1"/>
        <v>0.12340842311459353</v>
      </c>
      <c r="O14" s="46">
        <v>20.12</v>
      </c>
      <c r="P14" s="46">
        <v>0</v>
      </c>
      <c r="Q14" s="58" t="s">
        <v>51</v>
      </c>
      <c r="R14" s="59">
        <v>2020</v>
      </c>
      <c r="S14" s="58"/>
      <c r="T14" s="58"/>
      <c r="U14" s="58"/>
      <c r="V14" s="58"/>
      <c r="W14" s="58"/>
      <c r="X14" s="58" t="s">
        <v>51</v>
      </c>
      <c r="Y14" s="58"/>
      <c r="Z14" s="58"/>
      <c r="AA14" s="58"/>
      <c r="AB14" s="58"/>
      <c r="AC14" s="58" t="s">
        <v>51</v>
      </c>
      <c r="AD14" s="58"/>
      <c r="AE14" s="58"/>
      <c r="AF14" s="58"/>
      <c r="AG14" s="58"/>
      <c r="AH14" s="58"/>
      <c r="AI14" s="58"/>
    </row>
    <row r="15" spans="1:35" ht="15.5" x14ac:dyDescent="0.35">
      <c r="A15" s="17" t="s">
        <v>46</v>
      </c>
      <c r="B15" s="17" t="s">
        <v>907</v>
      </c>
      <c r="C15" s="28" t="s">
        <v>933</v>
      </c>
      <c r="D15" s="17" t="s">
        <v>934</v>
      </c>
      <c r="E15" s="17" t="s">
        <v>935</v>
      </c>
      <c r="F15" s="20">
        <v>131.86000000000001</v>
      </c>
      <c r="G15" s="20">
        <v>206</v>
      </c>
      <c r="H15" s="19">
        <v>970</v>
      </c>
      <c r="I15" s="20">
        <v>473</v>
      </c>
      <c r="J15" s="20">
        <v>497</v>
      </c>
      <c r="K15" s="20">
        <v>0</v>
      </c>
      <c r="L15" s="57">
        <f t="shared" si="0"/>
        <v>0</v>
      </c>
      <c r="M15" s="20">
        <v>8</v>
      </c>
      <c r="N15" s="57">
        <f t="shared" si="1"/>
        <v>8.2474226804123713E-3</v>
      </c>
      <c r="O15" s="46">
        <v>25.6</v>
      </c>
      <c r="P15" s="46">
        <v>0</v>
      </c>
      <c r="Q15" s="58" t="s">
        <v>51</v>
      </c>
      <c r="R15" s="60" t="s">
        <v>936</v>
      </c>
      <c r="S15" s="58"/>
      <c r="T15" s="58"/>
      <c r="U15" s="58"/>
      <c r="V15" s="58"/>
      <c r="W15" s="58"/>
      <c r="X15" s="58" t="s">
        <v>51</v>
      </c>
      <c r="Y15" s="58"/>
      <c r="Z15" s="58"/>
      <c r="AA15" s="58"/>
      <c r="AB15" s="58"/>
      <c r="AC15" s="58" t="s">
        <v>51</v>
      </c>
      <c r="AD15" s="58"/>
      <c r="AE15" s="58"/>
      <c r="AF15" s="58"/>
      <c r="AG15" s="58"/>
      <c r="AH15" s="58"/>
      <c r="AI15" s="58"/>
    </row>
    <row r="16" spans="1:35" ht="15.5" x14ac:dyDescent="0.35">
      <c r="A16" s="17" t="s">
        <v>46</v>
      </c>
      <c r="B16" s="17" t="s">
        <v>907</v>
      </c>
      <c r="C16" s="28" t="s">
        <v>921</v>
      </c>
      <c r="D16" s="17" t="s">
        <v>937</v>
      </c>
      <c r="E16" s="17" t="s">
        <v>938</v>
      </c>
      <c r="F16" s="28">
        <v>96.17</v>
      </c>
      <c r="G16" s="47"/>
      <c r="H16" s="19">
        <v>0</v>
      </c>
      <c r="I16" s="47"/>
      <c r="J16" s="47"/>
      <c r="K16" s="47"/>
      <c r="L16" s="57" t="e">
        <f t="shared" si="0"/>
        <v>#DIV/0!</v>
      </c>
      <c r="M16" s="47"/>
      <c r="N16" s="57"/>
      <c r="O16" s="48">
        <v>0</v>
      </c>
      <c r="P16" s="48">
        <v>0</v>
      </c>
      <c r="Q16" s="58" t="s">
        <v>112</v>
      </c>
      <c r="R16" s="60"/>
      <c r="S16" s="58"/>
      <c r="T16" s="58"/>
      <c r="U16" s="58"/>
      <c r="V16" s="58"/>
      <c r="W16" s="58"/>
      <c r="X16" s="58" t="s">
        <v>112</v>
      </c>
      <c r="Y16" s="58"/>
      <c r="Z16" s="58"/>
      <c r="AA16" s="58"/>
      <c r="AB16" s="58"/>
      <c r="AC16" s="58" t="s">
        <v>112</v>
      </c>
      <c r="AD16" s="58"/>
      <c r="AE16" s="58"/>
      <c r="AF16" s="58"/>
      <c r="AG16" s="58"/>
      <c r="AH16" s="58"/>
      <c r="AI16" s="58"/>
    </row>
    <row r="17" spans="1:35" ht="15.5" x14ac:dyDescent="0.35">
      <c r="A17" s="17" t="s">
        <v>46</v>
      </c>
      <c r="B17" s="17" t="s">
        <v>907</v>
      </c>
      <c r="C17" s="28" t="s">
        <v>921</v>
      </c>
      <c r="D17" s="17" t="s">
        <v>939</v>
      </c>
      <c r="E17" s="17" t="s">
        <v>940</v>
      </c>
      <c r="F17" s="20">
        <v>378.58</v>
      </c>
      <c r="G17" s="20">
        <v>176</v>
      </c>
      <c r="H17" s="19">
        <v>874</v>
      </c>
      <c r="I17" s="20">
        <v>442</v>
      </c>
      <c r="J17" s="20">
        <v>432</v>
      </c>
      <c r="K17" s="20">
        <v>115</v>
      </c>
      <c r="L17" s="57">
        <f t="shared" si="0"/>
        <v>0.13157894736842105</v>
      </c>
      <c r="M17" s="20">
        <v>51</v>
      </c>
      <c r="N17" s="57">
        <f t="shared" ref="N17:N28" si="2">M17/H17</f>
        <v>5.8352402745995423E-2</v>
      </c>
      <c r="O17" s="46">
        <v>62.65</v>
      </c>
      <c r="P17" s="46">
        <v>0</v>
      </c>
      <c r="Q17" s="58" t="s">
        <v>562</v>
      </c>
      <c r="R17" s="60"/>
      <c r="S17" s="58"/>
      <c r="T17" s="58"/>
      <c r="U17" s="58"/>
      <c r="V17" s="58"/>
      <c r="W17" s="58"/>
      <c r="X17" s="58" t="s">
        <v>562</v>
      </c>
      <c r="Y17" s="58"/>
      <c r="Z17" s="58"/>
      <c r="AA17" s="58"/>
      <c r="AB17" s="58"/>
      <c r="AC17" s="58" t="s">
        <v>562</v>
      </c>
      <c r="AD17" s="58"/>
      <c r="AE17" s="58"/>
      <c r="AF17" s="58"/>
      <c r="AG17" s="58"/>
      <c r="AH17" s="58"/>
      <c r="AI17" s="58"/>
    </row>
    <row r="18" spans="1:35" ht="15.5" x14ac:dyDescent="0.35">
      <c r="A18" s="17" t="s">
        <v>46</v>
      </c>
      <c r="B18" s="17" t="s">
        <v>907</v>
      </c>
      <c r="C18" s="28" t="s">
        <v>941</v>
      </c>
      <c r="D18" s="17" t="s">
        <v>942</v>
      </c>
      <c r="E18" s="17" t="s">
        <v>943</v>
      </c>
      <c r="F18" s="20">
        <v>205.53</v>
      </c>
      <c r="G18" s="20">
        <v>97</v>
      </c>
      <c r="H18" s="19">
        <v>403</v>
      </c>
      <c r="I18" s="20">
        <v>206</v>
      </c>
      <c r="J18" s="20">
        <v>197</v>
      </c>
      <c r="K18" s="20">
        <v>4</v>
      </c>
      <c r="L18" s="57">
        <f t="shared" si="0"/>
        <v>9.9255583126550868E-3</v>
      </c>
      <c r="M18" s="20">
        <v>103</v>
      </c>
      <c r="N18" s="57">
        <f t="shared" si="2"/>
        <v>0.25558312655086851</v>
      </c>
      <c r="O18" s="46">
        <v>63.93</v>
      </c>
      <c r="P18" s="46">
        <v>0</v>
      </c>
      <c r="Q18" s="58" t="s">
        <v>51</v>
      </c>
      <c r="R18" s="60" t="s">
        <v>936</v>
      </c>
      <c r="S18" s="58"/>
      <c r="T18" s="58"/>
      <c r="U18" s="58"/>
      <c r="V18" s="58"/>
      <c r="W18" s="58"/>
      <c r="X18" s="58" t="s">
        <v>51</v>
      </c>
      <c r="Y18" s="58"/>
      <c r="Z18" s="58"/>
      <c r="AA18" s="58"/>
      <c r="AB18" s="58"/>
      <c r="AC18" s="58" t="s">
        <v>51</v>
      </c>
      <c r="AD18" s="58"/>
      <c r="AE18" s="58"/>
      <c r="AF18" s="58"/>
      <c r="AG18" s="58"/>
      <c r="AH18" s="58"/>
      <c r="AI18" s="58"/>
    </row>
    <row r="19" spans="1:35" ht="15.5" x14ac:dyDescent="0.35">
      <c r="A19" s="17" t="s">
        <v>46</v>
      </c>
      <c r="B19" s="17" t="s">
        <v>907</v>
      </c>
      <c r="C19" s="28" t="s">
        <v>941</v>
      </c>
      <c r="D19" s="17" t="s">
        <v>807</v>
      </c>
      <c r="E19" s="17" t="s">
        <v>944</v>
      </c>
      <c r="F19" s="20">
        <v>171.76</v>
      </c>
      <c r="G19" s="20">
        <v>112</v>
      </c>
      <c r="H19" s="19">
        <v>515</v>
      </c>
      <c r="I19" s="20">
        <v>261</v>
      </c>
      <c r="J19" s="20">
        <v>254</v>
      </c>
      <c r="K19" s="20">
        <v>67</v>
      </c>
      <c r="L19" s="57">
        <f t="shared" si="0"/>
        <v>0.13009708737864079</v>
      </c>
      <c r="M19" s="20">
        <v>74</v>
      </c>
      <c r="N19" s="57">
        <f t="shared" si="2"/>
        <v>0.1436893203883495</v>
      </c>
      <c r="O19" s="46">
        <v>51.78</v>
      </c>
      <c r="P19" s="46">
        <v>0</v>
      </c>
      <c r="Q19" s="58" t="s">
        <v>51</v>
      </c>
      <c r="R19" s="60" t="s">
        <v>936</v>
      </c>
      <c r="S19" s="58"/>
      <c r="T19" s="58"/>
      <c r="U19" s="58"/>
      <c r="V19" s="58"/>
      <c r="W19" s="58"/>
      <c r="X19" s="58" t="s">
        <v>51</v>
      </c>
      <c r="Y19" s="58"/>
      <c r="Z19" s="58"/>
      <c r="AA19" s="58"/>
      <c r="AB19" s="58"/>
      <c r="AC19" s="58" t="s">
        <v>51</v>
      </c>
      <c r="AD19" s="58"/>
      <c r="AE19" s="58"/>
      <c r="AF19" s="58"/>
      <c r="AG19" s="58"/>
      <c r="AH19" s="58"/>
      <c r="AI19" s="58"/>
    </row>
    <row r="20" spans="1:35" ht="15.5" x14ac:dyDescent="0.35">
      <c r="A20" s="17" t="s">
        <v>46</v>
      </c>
      <c r="B20" s="17" t="s">
        <v>907</v>
      </c>
      <c r="C20" s="28" t="s">
        <v>941</v>
      </c>
      <c r="D20" s="17" t="s">
        <v>945</v>
      </c>
      <c r="E20" s="17" t="s">
        <v>946</v>
      </c>
      <c r="F20" s="20">
        <v>186.07</v>
      </c>
      <c r="G20" s="20">
        <v>68</v>
      </c>
      <c r="H20" s="19">
        <v>295</v>
      </c>
      <c r="I20" s="20">
        <v>152</v>
      </c>
      <c r="J20" s="20">
        <v>143</v>
      </c>
      <c r="K20" s="20">
        <v>58</v>
      </c>
      <c r="L20" s="57">
        <f t="shared" si="0"/>
        <v>0.19661016949152543</v>
      </c>
      <c r="M20" s="20">
        <v>210</v>
      </c>
      <c r="N20" s="57">
        <f t="shared" si="2"/>
        <v>0.71186440677966101</v>
      </c>
      <c r="O20" s="46">
        <v>55.8</v>
      </c>
      <c r="P20" s="46">
        <v>0</v>
      </c>
      <c r="Q20" s="58" t="s">
        <v>51</v>
      </c>
      <c r="R20" s="60" t="s">
        <v>936</v>
      </c>
      <c r="S20" s="58"/>
      <c r="T20" s="58"/>
      <c r="U20" s="58"/>
      <c r="V20" s="58"/>
      <c r="W20" s="58"/>
      <c r="X20" s="58" t="s">
        <v>51</v>
      </c>
      <c r="Y20" s="58"/>
      <c r="Z20" s="58"/>
      <c r="AA20" s="58"/>
      <c r="AB20" s="58"/>
      <c r="AC20" s="58" t="s">
        <v>51</v>
      </c>
      <c r="AD20" s="58"/>
      <c r="AE20" s="58"/>
      <c r="AF20" s="58"/>
      <c r="AG20" s="58"/>
      <c r="AH20" s="58"/>
      <c r="AI20" s="58"/>
    </row>
    <row r="21" spans="1:35" ht="15.5" x14ac:dyDescent="0.35">
      <c r="A21" s="17" t="s">
        <v>46</v>
      </c>
      <c r="B21" s="17" t="s">
        <v>907</v>
      </c>
      <c r="C21" s="28" t="s">
        <v>941</v>
      </c>
      <c r="D21" s="17" t="s">
        <v>947</v>
      </c>
      <c r="E21" s="17" t="s">
        <v>948</v>
      </c>
      <c r="F21" s="20">
        <v>452.87</v>
      </c>
      <c r="G21" s="20">
        <v>187</v>
      </c>
      <c r="H21" s="19">
        <v>831</v>
      </c>
      <c r="I21" s="20">
        <v>429</v>
      </c>
      <c r="J21" s="20">
        <v>402</v>
      </c>
      <c r="K21" s="20">
        <v>93</v>
      </c>
      <c r="L21" s="57">
        <f t="shared" si="0"/>
        <v>0.11191335740072202</v>
      </c>
      <c r="M21" s="20">
        <v>19</v>
      </c>
      <c r="N21" s="57">
        <f t="shared" si="2"/>
        <v>2.2864019253910951E-2</v>
      </c>
      <c r="O21" s="46">
        <v>125.35</v>
      </c>
      <c r="P21" s="46">
        <v>0</v>
      </c>
      <c r="Q21" s="58" t="s">
        <v>51</v>
      </c>
      <c r="R21" s="60" t="s">
        <v>936</v>
      </c>
      <c r="S21" s="58"/>
      <c r="T21" s="58"/>
      <c r="U21" s="58"/>
      <c r="V21" s="58"/>
      <c r="W21" s="58"/>
      <c r="X21" s="58" t="s">
        <v>51</v>
      </c>
      <c r="Y21" s="58"/>
      <c r="Z21" s="58"/>
      <c r="AA21" s="58"/>
      <c r="AB21" s="58"/>
      <c r="AC21" s="58" t="s">
        <v>51</v>
      </c>
      <c r="AD21" s="58"/>
      <c r="AE21" s="58"/>
      <c r="AF21" s="58"/>
      <c r="AG21" s="58"/>
      <c r="AH21" s="58"/>
      <c r="AI21" s="58"/>
    </row>
    <row r="22" spans="1:35" ht="15.5" x14ac:dyDescent="0.35">
      <c r="A22" s="17" t="s">
        <v>46</v>
      </c>
      <c r="B22" s="17" t="s">
        <v>907</v>
      </c>
      <c r="C22" s="28" t="s">
        <v>941</v>
      </c>
      <c r="D22" s="17" t="s">
        <v>949</v>
      </c>
      <c r="E22" s="17" t="s">
        <v>950</v>
      </c>
      <c r="F22" s="20">
        <v>557.67999999999995</v>
      </c>
      <c r="G22" s="20">
        <v>359</v>
      </c>
      <c r="H22" s="19">
        <v>1684</v>
      </c>
      <c r="I22" s="20">
        <v>859</v>
      </c>
      <c r="J22" s="20">
        <v>825</v>
      </c>
      <c r="K22" s="20">
        <v>236</v>
      </c>
      <c r="L22" s="57">
        <f t="shared" si="0"/>
        <v>0.14014251781472684</v>
      </c>
      <c r="M22" s="20">
        <v>608</v>
      </c>
      <c r="N22" s="57">
        <f t="shared" si="2"/>
        <v>0.36104513064133015</v>
      </c>
      <c r="O22" s="46">
        <v>112.56</v>
      </c>
      <c r="P22" s="46">
        <v>0</v>
      </c>
      <c r="Q22" s="58" t="s">
        <v>51</v>
      </c>
      <c r="R22" s="60" t="s">
        <v>936</v>
      </c>
      <c r="S22" s="58"/>
      <c r="T22" s="58"/>
      <c r="U22" s="58"/>
      <c r="V22" s="58"/>
      <c r="W22" s="58"/>
      <c r="X22" s="58" t="s">
        <v>51</v>
      </c>
      <c r="Y22" s="58"/>
      <c r="Z22" s="58"/>
      <c r="AA22" s="58"/>
      <c r="AB22" s="58"/>
      <c r="AC22" s="58" t="s">
        <v>51</v>
      </c>
      <c r="AD22" s="58"/>
      <c r="AE22" s="58"/>
      <c r="AF22" s="58"/>
      <c r="AG22" s="58"/>
      <c r="AH22" s="58"/>
      <c r="AI22" s="58"/>
    </row>
    <row r="23" spans="1:35" x14ac:dyDescent="0.35">
      <c r="A23" s="17" t="s">
        <v>46</v>
      </c>
      <c r="B23" s="17" t="s">
        <v>907</v>
      </c>
      <c r="C23" s="28" t="s">
        <v>921</v>
      </c>
      <c r="D23" s="17" t="s">
        <v>951</v>
      </c>
      <c r="E23" s="17" t="s">
        <v>952</v>
      </c>
      <c r="F23" s="20">
        <v>303.73</v>
      </c>
      <c r="G23" s="20">
        <v>100</v>
      </c>
      <c r="H23" s="19">
        <v>468</v>
      </c>
      <c r="I23" s="20">
        <v>237</v>
      </c>
      <c r="J23" s="20">
        <v>231</v>
      </c>
      <c r="K23" s="20">
        <v>16</v>
      </c>
      <c r="L23" s="57">
        <f t="shared" si="0"/>
        <v>3.4188034188034191E-2</v>
      </c>
      <c r="M23" s="20">
        <v>8</v>
      </c>
      <c r="N23" s="57">
        <f t="shared" si="2"/>
        <v>1.7094017094017096E-2</v>
      </c>
      <c r="O23" s="46">
        <v>29.74</v>
      </c>
      <c r="P23" s="46">
        <v>0</v>
      </c>
      <c r="Q23" s="58" t="s">
        <v>51</v>
      </c>
      <c r="R23" s="59">
        <v>2020</v>
      </c>
      <c r="S23" s="58"/>
      <c r="T23" s="58"/>
      <c r="U23" s="58"/>
      <c r="V23" s="58"/>
      <c r="W23" s="58"/>
      <c r="X23" s="58" t="s">
        <v>51</v>
      </c>
      <c r="Y23" s="58"/>
      <c r="Z23" s="58"/>
      <c r="AA23" s="58"/>
      <c r="AB23" s="58"/>
      <c r="AC23" s="58" t="s">
        <v>51</v>
      </c>
      <c r="AD23" s="58"/>
      <c r="AE23" s="58"/>
      <c r="AF23" s="58"/>
      <c r="AG23" s="58"/>
      <c r="AH23" s="58"/>
      <c r="AI23" s="58"/>
    </row>
    <row r="24" spans="1:35" x14ac:dyDescent="0.35">
      <c r="A24" s="17" t="s">
        <v>46</v>
      </c>
      <c r="B24" s="17" t="s">
        <v>907</v>
      </c>
      <c r="C24" s="28" t="s">
        <v>921</v>
      </c>
      <c r="D24" s="17" t="s">
        <v>953</v>
      </c>
      <c r="E24" s="17" t="s">
        <v>954</v>
      </c>
      <c r="F24" s="20">
        <v>824.68</v>
      </c>
      <c r="G24" s="20">
        <v>452</v>
      </c>
      <c r="H24" s="19">
        <v>2163</v>
      </c>
      <c r="I24" s="20">
        <v>1107</v>
      </c>
      <c r="J24" s="20">
        <v>1056</v>
      </c>
      <c r="K24" s="20">
        <v>588</v>
      </c>
      <c r="L24" s="57">
        <f t="shared" si="0"/>
        <v>0.27184466019417475</v>
      </c>
      <c r="M24" s="20">
        <v>221</v>
      </c>
      <c r="N24" s="57">
        <f t="shared" si="2"/>
        <v>0.10217290799815072</v>
      </c>
      <c r="O24" s="46">
        <v>96.45</v>
      </c>
      <c r="P24" s="46">
        <v>0</v>
      </c>
      <c r="Q24" s="58" t="s">
        <v>51</v>
      </c>
      <c r="R24" s="59">
        <v>2020</v>
      </c>
      <c r="S24" s="58"/>
      <c r="T24" s="58"/>
      <c r="U24" s="58"/>
      <c r="V24" s="58"/>
      <c r="W24" s="58"/>
      <c r="X24" s="58" t="s">
        <v>51</v>
      </c>
      <c r="Y24" s="58"/>
      <c r="Z24" s="58"/>
      <c r="AA24" s="58"/>
      <c r="AB24" s="58"/>
      <c r="AC24" s="58" t="s">
        <v>51</v>
      </c>
      <c r="AD24" s="58"/>
      <c r="AE24" s="58"/>
      <c r="AF24" s="58"/>
      <c r="AG24" s="58"/>
      <c r="AH24" s="58"/>
      <c r="AI24" s="58"/>
    </row>
    <row r="25" spans="1:35" ht="15.5" x14ac:dyDescent="0.35">
      <c r="A25" s="17" t="s">
        <v>46</v>
      </c>
      <c r="B25" s="17" t="s">
        <v>907</v>
      </c>
      <c r="C25" s="28" t="s">
        <v>933</v>
      </c>
      <c r="D25" s="17" t="s">
        <v>955</v>
      </c>
      <c r="E25" s="17" t="s">
        <v>956</v>
      </c>
      <c r="F25" s="20">
        <v>153.85</v>
      </c>
      <c r="G25" s="20">
        <v>98</v>
      </c>
      <c r="H25" s="19">
        <v>574</v>
      </c>
      <c r="I25" s="20">
        <v>304</v>
      </c>
      <c r="J25" s="20">
        <v>270</v>
      </c>
      <c r="K25" s="20">
        <v>0</v>
      </c>
      <c r="L25" s="57">
        <f t="shared" si="0"/>
        <v>0</v>
      </c>
      <c r="M25" s="20">
        <v>0</v>
      </c>
      <c r="N25" s="57">
        <f t="shared" si="2"/>
        <v>0</v>
      </c>
      <c r="O25" s="46">
        <v>6.7</v>
      </c>
      <c r="P25" s="46">
        <v>0</v>
      </c>
      <c r="Q25" s="58" t="s">
        <v>51</v>
      </c>
      <c r="R25" s="60" t="s">
        <v>936</v>
      </c>
      <c r="S25" s="58"/>
      <c r="T25" s="58"/>
      <c r="U25" s="58"/>
      <c r="V25" s="58"/>
      <c r="W25" s="58"/>
      <c r="X25" s="58" t="s">
        <v>51</v>
      </c>
      <c r="Y25" s="58"/>
      <c r="Z25" s="58"/>
      <c r="AA25" s="58"/>
      <c r="AB25" s="58"/>
      <c r="AC25" s="58" t="s">
        <v>51</v>
      </c>
      <c r="AD25" s="58"/>
      <c r="AE25" s="58"/>
      <c r="AF25" s="58"/>
      <c r="AG25" s="58"/>
      <c r="AH25" s="58"/>
      <c r="AI25" s="58"/>
    </row>
    <row r="26" spans="1:35" ht="15.5" x14ac:dyDescent="0.35">
      <c r="A26" s="17" t="s">
        <v>46</v>
      </c>
      <c r="B26" s="17" t="s">
        <v>907</v>
      </c>
      <c r="C26" s="28" t="s">
        <v>933</v>
      </c>
      <c r="D26" s="17" t="s">
        <v>957</v>
      </c>
      <c r="E26" s="17" t="s">
        <v>958</v>
      </c>
      <c r="F26" s="20">
        <v>398.45</v>
      </c>
      <c r="G26" s="20">
        <v>209</v>
      </c>
      <c r="H26" s="19">
        <v>992</v>
      </c>
      <c r="I26" s="20">
        <v>496</v>
      </c>
      <c r="J26" s="20">
        <v>496</v>
      </c>
      <c r="K26" s="20">
        <v>133</v>
      </c>
      <c r="L26" s="57">
        <f t="shared" si="0"/>
        <v>0.13407258064516128</v>
      </c>
      <c r="M26" s="20">
        <v>42</v>
      </c>
      <c r="N26" s="57">
        <f t="shared" si="2"/>
        <v>4.2338709677419352E-2</v>
      </c>
      <c r="O26" s="46">
        <v>51.6</v>
      </c>
      <c r="P26" s="46">
        <v>0</v>
      </c>
      <c r="Q26" s="58" t="s">
        <v>51</v>
      </c>
      <c r="R26" s="60" t="s">
        <v>936</v>
      </c>
      <c r="S26" s="58"/>
      <c r="T26" s="58"/>
      <c r="U26" s="58"/>
      <c r="V26" s="58"/>
      <c r="W26" s="58"/>
      <c r="X26" s="58" t="s">
        <v>51</v>
      </c>
      <c r="Y26" s="58"/>
      <c r="Z26" s="58"/>
      <c r="AA26" s="58"/>
      <c r="AB26" s="58"/>
      <c r="AC26" s="58" t="s">
        <v>51</v>
      </c>
      <c r="AD26" s="58"/>
      <c r="AE26" s="58"/>
      <c r="AF26" s="58"/>
      <c r="AG26" s="58"/>
      <c r="AH26" s="58"/>
      <c r="AI26" s="58"/>
    </row>
    <row r="27" spans="1:35" x14ac:dyDescent="0.35">
      <c r="A27" s="17" t="s">
        <v>46</v>
      </c>
      <c r="B27" s="17" t="s">
        <v>907</v>
      </c>
      <c r="C27" s="28" t="s">
        <v>928</v>
      </c>
      <c r="D27" s="17" t="s">
        <v>959</v>
      </c>
      <c r="E27" s="17" t="s">
        <v>960</v>
      </c>
      <c r="F27" s="20">
        <v>247.63</v>
      </c>
      <c r="G27" s="20">
        <v>72</v>
      </c>
      <c r="H27" s="19">
        <v>317</v>
      </c>
      <c r="I27" s="20">
        <v>167</v>
      </c>
      <c r="J27" s="20">
        <v>150</v>
      </c>
      <c r="K27" s="20">
        <v>13</v>
      </c>
      <c r="L27" s="57">
        <f t="shared" si="0"/>
        <v>4.1009463722397478E-2</v>
      </c>
      <c r="M27" s="20">
        <v>4</v>
      </c>
      <c r="N27" s="57">
        <f t="shared" si="2"/>
        <v>1.2618296529968454E-2</v>
      </c>
      <c r="O27" s="46">
        <v>30.08</v>
      </c>
      <c r="P27" s="46">
        <v>0</v>
      </c>
      <c r="Q27" s="58" t="s">
        <v>51</v>
      </c>
      <c r="R27" s="59">
        <v>2019</v>
      </c>
      <c r="S27" s="58"/>
      <c r="T27" s="58"/>
      <c r="U27" s="58"/>
      <c r="V27" s="58"/>
      <c r="W27" s="58"/>
      <c r="X27" s="58" t="s">
        <v>51</v>
      </c>
      <c r="Y27" s="58"/>
      <c r="Z27" s="58"/>
      <c r="AA27" s="58"/>
      <c r="AB27" s="58"/>
      <c r="AC27" s="58" t="s">
        <v>51</v>
      </c>
      <c r="AD27" s="58"/>
      <c r="AE27" s="58"/>
      <c r="AF27" s="58"/>
      <c r="AG27" s="58"/>
      <c r="AH27" s="58"/>
      <c r="AI27" s="58"/>
    </row>
    <row r="28" spans="1:35" x14ac:dyDescent="0.35">
      <c r="A28" s="17" t="s">
        <v>46</v>
      </c>
      <c r="B28" s="17" t="s">
        <v>907</v>
      </c>
      <c r="C28" s="28" t="s">
        <v>928</v>
      </c>
      <c r="D28" s="17" t="s">
        <v>961</v>
      </c>
      <c r="E28" s="17" t="s">
        <v>962</v>
      </c>
      <c r="F28" s="20">
        <v>305.2</v>
      </c>
      <c r="G28" s="20">
        <v>97</v>
      </c>
      <c r="H28" s="19">
        <v>437</v>
      </c>
      <c r="I28" s="20">
        <v>228</v>
      </c>
      <c r="J28" s="20">
        <v>209</v>
      </c>
      <c r="K28" s="20">
        <v>231</v>
      </c>
      <c r="L28" s="57">
        <f t="shared" si="0"/>
        <v>0.52860411899313497</v>
      </c>
      <c r="M28" s="20">
        <v>0</v>
      </c>
      <c r="N28" s="57">
        <f t="shared" si="2"/>
        <v>0</v>
      </c>
      <c r="O28" s="46">
        <v>21.22</v>
      </c>
      <c r="P28" s="46">
        <v>0</v>
      </c>
      <c r="Q28" s="58" t="s">
        <v>51</v>
      </c>
      <c r="R28" s="59">
        <v>2019</v>
      </c>
      <c r="S28" s="58"/>
      <c r="T28" s="58"/>
      <c r="U28" s="58"/>
      <c r="V28" s="58"/>
      <c r="W28" s="58"/>
      <c r="X28" s="58" t="s">
        <v>51</v>
      </c>
      <c r="Y28" s="58"/>
      <c r="Z28" s="58"/>
      <c r="AA28" s="58"/>
      <c r="AB28" s="58"/>
      <c r="AC28" s="58" t="s">
        <v>51</v>
      </c>
      <c r="AD28" s="58"/>
      <c r="AE28" s="58"/>
      <c r="AF28" s="58"/>
      <c r="AG28" s="58"/>
      <c r="AH28" s="58"/>
      <c r="AI28" s="58"/>
    </row>
    <row r="29" spans="1:35" x14ac:dyDescent="0.35">
      <c r="A29" s="17" t="s">
        <v>46</v>
      </c>
      <c r="B29" s="17" t="s">
        <v>907</v>
      </c>
      <c r="C29" s="28" t="s">
        <v>963</v>
      </c>
      <c r="D29" s="17" t="s">
        <v>964</v>
      </c>
      <c r="E29" s="17" t="s">
        <v>965</v>
      </c>
      <c r="F29" s="28">
        <v>52.63</v>
      </c>
      <c r="G29" s="47"/>
      <c r="H29" s="19">
        <v>0</v>
      </c>
      <c r="I29" s="47"/>
      <c r="J29" s="47"/>
      <c r="K29" s="47"/>
      <c r="L29" s="57" t="e">
        <f t="shared" si="0"/>
        <v>#DIV/0!</v>
      </c>
      <c r="M29" s="47"/>
      <c r="N29" s="57"/>
      <c r="O29" s="48">
        <v>0</v>
      </c>
      <c r="P29" s="48">
        <v>0</v>
      </c>
      <c r="Q29" s="58" t="s">
        <v>112</v>
      </c>
      <c r="R29" s="59"/>
      <c r="S29" s="58"/>
      <c r="T29" s="58"/>
      <c r="U29" s="58"/>
      <c r="V29" s="58"/>
      <c r="W29" s="58"/>
      <c r="X29" s="58" t="s">
        <v>112</v>
      </c>
      <c r="Y29" s="58"/>
      <c r="Z29" s="58"/>
      <c r="AA29" s="58"/>
      <c r="AB29" s="58"/>
      <c r="AC29" s="58" t="s">
        <v>112</v>
      </c>
      <c r="AD29" s="58"/>
      <c r="AE29" s="58"/>
      <c r="AF29" s="58"/>
      <c r="AG29" s="58"/>
      <c r="AH29" s="58"/>
      <c r="AI29" s="58"/>
    </row>
    <row r="30" spans="1:35" x14ac:dyDescent="0.35">
      <c r="A30" s="17" t="s">
        <v>46</v>
      </c>
      <c r="B30" s="17" t="s">
        <v>907</v>
      </c>
      <c r="C30" s="28" t="s">
        <v>963</v>
      </c>
      <c r="D30" s="17" t="s">
        <v>966</v>
      </c>
      <c r="E30" s="17" t="s">
        <v>967</v>
      </c>
      <c r="F30" s="20">
        <v>786.89</v>
      </c>
      <c r="G30" s="20">
        <v>404</v>
      </c>
      <c r="H30" s="19">
        <v>1940</v>
      </c>
      <c r="I30" s="20">
        <v>946</v>
      </c>
      <c r="J30" s="20">
        <v>994</v>
      </c>
      <c r="K30" s="20">
        <v>270</v>
      </c>
      <c r="L30" s="57">
        <f t="shared" si="0"/>
        <v>0.13917525773195877</v>
      </c>
      <c r="M30" s="20">
        <v>96</v>
      </c>
      <c r="N30" s="57">
        <f t="shared" ref="N30:N61" si="3">M30/H30</f>
        <v>4.9484536082474224E-2</v>
      </c>
      <c r="O30" s="46">
        <v>126.56</v>
      </c>
      <c r="P30" s="46">
        <v>0</v>
      </c>
      <c r="Q30" s="58" t="s">
        <v>562</v>
      </c>
      <c r="R30" s="59"/>
      <c r="S30" s="58"/>
      <c r="T30" s="58"/>
      <c r="U30" s="58"/>
      <c r="V30" s="58"/>
      <c r="W30" s="58"/>
      <c r="X30" s="58" t="s">
        <v>562</v>
      </c>
      <c r="Y30" s="58"/>
      <c r="Z30" s="58"/>
      <c r="AA30" s="58"/>
      <c r="AB30" s="58"/>
      <c r="AC30" s="58" t="s">
        <v>562</v>
      </c>
      <c r="AD30" s="58"/>
      <c r="AE30" s="58"/>
      <c r="AF30" s="58"/>
      <c r="AG30" s="58"/>
      <c r="AH30" s="58"/>
      <c r="AI30" s="58"/>
    </row>
    <row r="31" spans="1:35" x14ac:dyDescent="0.35">
      <c r="A31" s="17" t="s">
        <v>46</v>
      </c>
      <c r="B31" s="17" t="s">
        <v>907</v>
      </c>
      <c r="C31" s="28" t="s">
        <v>928</v>
      </c>
      <c r="D31" s="17" t="s">
        <v>968</v>
      </c>
      <c r="E31" s="17" t="s">
        <v>969</v>
      </c>
      <c r="F31" s="20">
        <v>468.92</v>
      </c>
      <c r="G31" s="20">
        <v>223</v>
      </c>
      <c r="H31" s="19">
        <v>1132</v>
      </c>
      <c r="I31" s="20">
        <v>592</v>
      </c>
      <c r="J31" s="20">
        <v>540</v>
      </c>
      <c r="K31" s="20">
        <v>312</v>
      </c>
      <c r="L31" s="57">
        <f t="shared" si="0"/>
        <v>0.2756183745583039</v>
      </c>
      <c r="M31" s="20">
        <v>35</v>
      </c>
      <c r="N31" s="57">
        <f t="shared" si="3"/>
        <v>3.0918727915194347E-2</v>
      </c>
      <c r="O31" s="46">
        <v>58.25</v>
      </c>
      <c r="P31" s="46">
        <v>0</v>
      </c>
      <c r="Q31" s="58" t="s">
        <v>51</v>
      </c>
      <c r="R31" s="59">
        <v>2019</v>
      </c>
      <c r="S31" s="58"/>
      <c r="T31" s="58"/>
      <c r="U31" s="58"/>
      <c r="V31" s="58"/>
      <c r="W31" s="58"/>
      <c r="X31" s="58" t="s">
        <v>51</v>
      </c>
      <c r="Y31" s="58"/>
      <c r="Z31" s="58"/>
      <c r="AA31" s="58"/>
      <c r="AB31" s="58"/>
      <c r="AC31" s="58" t="s">
        <v>51</v>
      </c>
      <c r="AD31" s="58"/>
      <c r="AE31" s="58"/>
      <c r="AF31" s="58"/>
      <c r="AG31" s="58"/>
      <c r="AH31" s="58"/>
      <c r="AI31" s="58"/>
    </row>
    <row r="32" spans="1:35" ht="15.5" x14ac:dyDescent="0.35">
      <c r="A32" s="17" t="s">
        <v>46</v>
      </c>
      <c r="B32" s="17" t="s">
        <v>907</v>
      </c>
      <c r="C32" s="28" t="s">
        <v>933</v>
      </c>
      <c r="D32" s="17" t="s">
        <v>970</v>
      </c>
      <c r="E32" s="17" t="s">
        <v>971</v>
      </c>
      <c r="F32" s="20">
        <v>142.19999999999999</v>
      </c>
      <c r="G32" s="20">
        <v>105</v>
      </c>
      <c r="H32" s="19">
        <v>453</v>
      </c>
      <c r="I32" s="20">
        <v>215</v>
      </c>
      <c r="J32" s="20">
        <v>238</v>
      </c>
      <c r="K32" s="20">
        <v>156</v>
      </c>
      <c r="L32" s="57">
        <f t="shared" si="0"/>
        <v>0.3443708609271523</v>
      </c>
      <c r="M32" s="20">
        <v>0</v>
      </c>
      <c r="N32" s="57">
        <f t="shared" si="3"/>
        <v>0</v>
      </c>
      <c r="O32" s="46">
        <v>15.45</v>
      </c>
      <c r="P32" s="46">
        <v>0</v>
      </c>
      <c r="Q32" s="58" t="s">
        <v>51</v>
      </c>
      <c r="R32" s="60" t="s">
        <v>936</v>
      </c>
      <c r="S32" s="58"/>
      <c r="T32" s="58"/>
      <c r="U32" s="58"/>
      <c r="V32" s="58"/>
      <c r="W32" s="58"/>
      <c r="X32" s="58" t="s">
        <v>51</v>
      </c>
      <c r="Y32" s="58"/>
      <c r="Z32" s="58"/>
      <c r="AA32" s="58"/>
      <c r="AB32" s="58"/>
      <c r="AC32" s="58" t="s">
        <v>51</v>
      </c>
      <c r="AD32" s="58"/>
      <c r="AE32" s="58"/>
      <c r="AF32" s="58"/>
      <c r="AG32" s="58"/>
      <c r="AH32" s="58"/>
      <c r="AI32" s="58"/>
    </row>
    <row r="33" spans="1:36" s="62" customFormat="1" x14ac:dyDescent="0.35">
      <c r="A33" s="17" t="s">
        <v>46</v>
      </c>
      <c r="B33" s="17" t="s">
        <v>907</v>
      </c>
      <c r="C33" s="28" t="s">
        <v>972</v>
      </c>
      <c r="D33" s="17" t="s">
        <v>664</v>
      </c>
      <c r="E33" s="17" t="s">
        <v>973</v>
      </c>
      <c r="F33" s="20">
        <v>275.83999999999997</v>
      </c>
      <c r="G33" s="20">
        <v>125</v>
      </c>
      <c r="H33" s="19">
        <v>653</v>
      </c>
      <c r="I33" s="20">
        <v>334</v>
      </c>
      <c r="J33" s="20">
        <v>319</v>
      </c>
      <c r="K33" s="20">
        <v>33</v>
      </c>
      <c r="L33" s="57">
        <f t="shared" si="0"/>
        <v>5.0535987748851458E-2</v>
      </c>
      <c r="M33" s="20">
        <v>17</v>
      </c>
      <c r="N33" s="57">
        <f t="shared" si="3"/>
        <v>2.6033690658499236E-2</v>
      </c>
      <c r="O33" s="46">
        <v>25.47</v>
      </c>
      <c r="P33" s="46">
        <v>0</v>
      </c>
      <c r="Q33" s="58" t="s">
        <v>51</v>
      </c>
      <c r="R33" s="59">
        <v>2021</v>
      </c>
      <c r="S33" s="58"/>
      <c r="T33" s="58"/>
      <c r="U33" s="58"/>
      <c r="V33" s="58"/>
      <c r="W33" s="58"/>
      <c r="X33" s="58" t="s">
        <v>51</v>
      </c>
      <c r="Y33" s="58"/>
      <c r="Z33" s="58"/>
      <c r="AA33" s="58"/>
      <c r="AB33" s="58"/>
      <c r="AC33" s="58" t="s">
        <v>51</v>
      </c>
      <c r="AD33" s="58"/>
      <c r="AE33" s="58"/>
      <c r="AF33" s="58"/>
      <c r="AG33" s="58"/>
      <c r="AH33" s="58"/>
      <c r="AI33" s="58"/>
      <c r="AJ33" s="61"/>
    </row>
    <row r="34" spans="1:36" s="62" customFormat="1" x14ac:dyDescent="0.35">
      <c r="A34" s="17" t="s">
        <v>46</v>
      </c>
      <c r="B34" s="17" t="s">
        <v>907</v>
      </c>
      <c r="C34" s="28" t="s">
        <v>972</v>
      </c>
      <c r="D34" s="17" t="s">
        <v>974</v>
      </c>
      <c r="E34" s="17" t="s">
        <v>975</v>
      </c>
      <c r="F34" s="20">
        <v>560.85</v>
      </c>
      <c r="G34" s="20">
        <v>311</v>
      </c>
      <c r="H34" s="19">
        <v>1355</v>
      </c>
      <c r="I34" s="20">
        <v>679</v>
      </c>
      <c r="J34" s="20">
        <v>676</v>
      </c>
      <c r="K34" s="20">
        <v>233</v>
      </c>
      <c r="L34" s="57">
        <f t="shared" si="0"/>
        <v>0.17195571955719557</v>
      </c>
      <c r="M34" s="20">
        <v>455</v>
      </c>
      <c r="N34" s="57">
        <f t="shared" si="3"/>
        <v>0.33579335793357934</v>
      </c>
      <c r="O34" s="46">
        <v>164.34</v>
      </c>
      <c r="P34" s="46">
        <v>0</v>
      </c>
      <c r="Q34" s="58" t="s">
        <v>51</v>
      </c>
      <c r="R34" s="59">
        <v>2020</v>
      </c>
      <c r="S34" s="58"/>
      <c r="T34" s="58"/>
      <c r="U34" s="58"/>
      <c r="V34" s="58"/>
      <c r="W34" s="58"/>
      <c r="X34" s="58" t="s">
        <v>51</v>
      </c>
      <c r="Y34" s="58"/>
      <c r="Z34" s="58"/>
      <c r="AA34" s="58"/>
      <c r="AB34" s="58"/>
      <c r="AC34" s="58" t="s">
        <v>51</v>
      </c>
      <c r="AD34" s="58"/>
      <c r="AE34" s="58"/>
      <c r="AF34" s="58"/>
      <c r="AG34" s="58"/>
      <c r="AH34" s="58"/>
      <c r="AI34" s="58"/>
      <c r="AJ34" s="61"/>
    </row>
    <row r="35" spans="1:36" s="62" customFormat="1" x14ac:dyDescent="0.35">
      <c r="A35" s="17" t="s">
        <v>46</v>
      </c>
      <c r="B35" s="17" t="s">
        <v>907</v>
      </c>
      <c r="C35" s="28" t="s">
        <v>972</v>
      </c>
      <c r="D35" s="17" t="s">
        <v>976</v>
      </c>
      <c r="E35" s="17" t="s">
        <v>977</v>
      </c>
      <c r="F35" s="20">
        <v>232.41</v>
      </c>
      <c r="G35" s="20">
        <v>82</v>
      </c>
      <c r="H35" s="19">
        <v>339</v>
      </c>
      <c r="I35" s="20">
        <v>164</v>
      </c>
      <c r="J35" s="20">
        <v>175</v>
      </c>
      <c r="K35" s="20">
        <v>107</v>
      </c>
      <c r="L35" s="57">
        <f t="shared" si="0"/>
        <v>0.31563421828908556</v>
      </c>
      <c r="M35" s="20">
        <v>16</v>
      </c>
      <c r="N35" s="57">
        <f t="shared" si="3"/>
        <v>4.71976401179941E-2</v>
      </c>
      <c r="O35" s="46">
        <v>29.98</v>
      </c>
      <c r="P35" s="46">
        <v>0</v>
      </c>
      <c r="Q35" s="58" t="s">
        <v>51</v>
      </c>
      <c r="R35" s="59">
        <v>2021</v>
      </c>
      <c r="S35" s="58"/>
      <c r="T35" s="58"/>
      <c r="U35" s="58"/>
      <c r="V35" s="58"/>
      <c r="W35" s="58"/>
      <c r="X35" s="58" t="s">
        <v>51</v>
      </c>
      <c r="Y35" s="58"/>
      <c r="Z35" s="58"/>
      <c r="AA35" s="58"/>
      <c r="AB35" s="58"/>
      <c r="AC35" s="58" t="s">
        <v>51</v>
      </c>
      <c r="AD35" s="58"/>
      <c r="AE35" s="58"/>
      <c r="AF35" s="58"/>
      <c r="AG35" s="58"/>
      <c r="AH35" s="58"/>
      <c r="AI35" s="58"/>
      <c r="AJ35" s="61"/>
    </row>
    <row r="36" spans="1:36" s="62" customFormat="1" x14ac:dyDescent="0.35">
      <c r="A36" s="17" t="s">
        <v>46</v>
      </c>
      <c r="B36" s="17" t="s">
        <v>907</v>
      </c>
      <c r="C36" s="28" t="s">
        <v>972</v>
      </c>
      <c r="D36" s="17" t="s">
        <v>978</v>
      </c>
      <c r="E36" s="17" t="s">
        <v>979</v>
      </c>
      <c r="F36" s="20">
        <v>112.35</v>
      </c>
      <c r="G36" s="20">
        <v>72</v>
      </c>
      <c r="H36" s="19">
        <v>317</v>
      </c>
      <c r="I36" s="20">
        <v>145</v>
      </c>
      <c r="J36" s="20">
        <v>172</v>
      </c>
      <c r="K36" s="20">
        <v>0</v>
      </c>
      <c r="L36" s="57">
        <f t="shared" ref="L36:L67" si="4">K36/H36</f>
        <v>0</v>
      </c>
      <c r="M36" s="20">
        <v>192</v>
      </c>
      <c r="N36" s="57">
        <f t="shared" si="3"/>
        <v>0.60567823343848581</v>
      </c>
      <c r="O36" s="46">
        <v>50.04</v>
      </c>
      <c r="P36" s="46">
        <v>0</v>
      </c>
      <c r="Q36" s="58" t="s">
        <v>51</v>
      </c>
      <c r="R36" s="59">
        <v>2020</v>
      </c>
      <c r="S36" s="58"/>
      <c r="T36" s="58"/>
      <c r="U36" s="58"/>
      <c r="V36" s="58"/>
      <c r="W36" s="58"/>
      <c r="X36" s="58" t="s">
        <v>51</v>
      </c>
      <c r="Y36" s="58"/>
      <c r="Z36" s="58"/>
      <c r="AA36" s="58"/>
      <c r="AB36" s="58"/>
      <c r="AC36" s="58" t="s">
        <v>51</v>
      </c>
      <c r="AD36" s="58"/>
      <c r="AE36" s="58"/>
      <c r="AF36" s="58"/>
      <c r="AG36" s="58"/>
      <c r="AH36" s="58"/>
      <c r="AI36" s="58"/>
      <c r="AJ36" s="61"/>
    </row>
    <row r="37" spans="1:36" s="62" customFormat="1" ht="15.5" x14ac:dyDescent="0.35">
      <c r="A37" s="17" t="s">
        <v>46</v>
      </c>
      <c r="B37" s="17" t="s">
        <v>907</v>
      </c>
      <c r="C37" s="28" t="s">
        <v>941</v>
      </c>
      <c r="D37" s="17" t="s">
        <v>633</v>
      </c>
      <c r="E37" s="17" t="s">
        <v>980</v>
      </c>
      <c r="F37" s="20">
        <v>671.54</v>
      </c>
      <c r="G37" s="20">
        <v>288</v>
      </c>
      <c r="H37" s="19">
        <v>1208</v>
      </c>
      <c r="I37" s="20">
        <v>618</v>
      </c>
      <c r="J37" s="20">
        <v>590</v>
      </c>
      <c r="K37" s="20">
        <v>214</v>
      </c>
      <c r="L37" s="57">
        <f t="shared" si="4"/>
        <v>0.17715231788079469</v>
      </c>
      <c r="M37" s="20">
        <v>316</v>
      </c>
      <c r="N37" s="57">
        <f t="shared" si="3"/>
        <v>0.26158940397350994</v>
      </c>
      <c r="O37" s="46">
        <v>100.65</v>
      </c>
      <c r="P37" s="46">
        <v>0</v>
      </c>
      <c r="Q37" s="58" t="s">
        <v>51</v>
      </c>
      <c r="R37" s="60" t="s">
        <v>936</v>
      </c>
      <c r="S37" s="58"/>
      <c r="T37" s="58"/>
      <c r="U37" s="58"/>
      <c r="V37" s="58"/>
      <c r="W37" s="58"/>
      <c r="X37" s="58" t="s">
        <v>51</v>
      </c>
      <c r="Y37" s="58"/>
      <c r="Z37" s="58"/>
      <c r="AA37" s="58"/>
      <c r="AB37" s="58"/>
      <c r="AC37" s="58" t="s">
        <v>51</v>
      </c>
      <c r="AD37" s="58"/>
      <c r="AE37" s="58"/>
      <c r="AF37" s="58"/>
      <c r="AG37" s="58"/>
      <c r="AH37" s="58"/>
      <c r="AI37" s="58"/>
      <c r="AJ37" s="61"/>
    </row>
    <row r="38" spans="1:36" ht="15.5" x14ac:dyDescent="0.35">
      <c r="A38" s="17" t="s">
        <v>46</v>
      </c>
      <c r="B38" s="17" t="s">
        <v>907</v>
      </c>
      <c r="C38" s="28" t="s">
        <v>941</v>
      </c>
      <c r="D38" s="17" t="s">
        <v>981</v>
      </c>
      <c r="E38" s="17" t="s">
        <v>982</v>
      </c>
      <c r="F38" s="20">
        <v>159.44</v>
      </c>
      <c r="G38" s="20">
        <v>94</v>
      </c>
      <c r="H38" s="19">
        <v>381</v>
      </c>
      <c r="I38" s="20">
        <v>191</v>
      </c>
      <c r="J38" s="20">
        <v>190</v>
      </c>
      <c r="K38" s="20">
        <v>22</v>
      </c>
      <c r="L38" s="57">
        <f t="shared" si="4"/>
        <v>5.774278215223097E-2</v>
      </c>
      <c r="M38" s="20">
        <v>341</v>
      </c>
      <c r="N38" s="57">
        <f t="shared" si="3"/>
        <v>0.89501312335958005</v>
      </c>
      <c r="O38" s="46">
        <v>4.05</v>
      </c>
      <c r="P38" s="46">
        <v>0</v>
      </c>
      <c r="Q38" s="58" t="s">
        <v>51</v>
      </c>
      <c r="R38" s="60" t="s">
        <v>936</v>
      </c>
      <c r="S38" s="58"/>
      <c r="T38" s="58"/>
      <c r="U38" s="58"/>
      <c r="V38" s="58"/>
      <c r="W38" s="58"/>
      <c r="X38" s="58" t="s">
        <v>51</v>
      </c>
      <c r="Y38" s="58"/>
      <c r="Z38" s="58"/>
      <c r="AA38" s="58"/>
      <c r="AB38" s="58"/>
      <c r="AC38" s="58" t="s">
        <v>51</v>
      </c>
      <c r="AD38" s="58"/>
      <c r="AE38" s="58"/>
      <c r="AF38" s="58"/>
      <c r="AG38" s="58"/>
      <c r="AH38" s="58"/>
      <c r="AI38" s="58"/>
    </row>
    <row r="39" spans="1:36" ht="15.5" x14ac:dyDescent="0.35">
      <c r="A39" s="17" t="s">
        <v>46</v>
      </c>
      <c r="B39" s="17" t="s">
        <v>907</v>
      </c>
      <c r="C39" s="28" t="s">
        <v>941</v>
      </c>
      <c r="D39" s="17" t="s">
        <v>86</v>
      </c>
      <c r="E39" s="17" t="s">
        <v>983</v>
      </c>
      <c r="F39" s="20">
        <v>469.48</v>
      </c>
      <c r="G39" s="20">
        <v>211</v>
      </c>
      <c r="H39" s="19">
        <v>827</v>
      </c>
      <c r="I39" s="20">
        <v>415</v>
      </c>
      <c r="J39" s="20">
        <v>412</v>
      </c>
      <c r="K39" s="20">
        <v>114</v>
      </c>
      <c r="L39" s="57">
        <f t="shared" si="4"/>
        <v>0.13784764207980654</v>
      </c>
      <c r="M39" s="20">
        <v>674</v>
      </c>
      <c r="N39" s="57">
        <f t="shared" si="3"/>
        <v>0.81499395405078601</v>
      </c>
      <c r="O39" s="46">
        <v>199.92</v>
      </c>
      <c r="P39" s="46">
        <v>0</v>
      </c>
      <c r="Q39" s="58" t="s">
        <v>51</v>
      </c>
      <c r="R39" s="60" t="s">
        <v>936</v>
      </c>
      <c r="S39" s="58"/>
      <c r="T39" s="58"/>
      <c r="U39" s="58"/>
      <c r="V39" s="58"/>
      <c r="W39" s="58"/>
      <c r="X39" s="58" t="s">
        <v>51</v>
      </c>
      <c r="Y39" s="58"/>
      <c r="Z39" s="58"/>
      <c r="AA39" s="58"/>
      <c r="AB39" s="58"/>
      <c r="AC39" s="58" t="s">
        <v>51</v>
      </c>
      <c r="AD39" s="58"/>
      <c r="AE39" s="58"/>
      <c r="AF39" s="58"/>
      <c r="AG39" s="58"/>
      <c r="AH39" s="58"/>
      <c r="AI39" s="58"/>
    </row>
    <row r="40" spans="1:36" x14ac:dyDescent="0.35">
      <c r="A40" s="17" t="s">
        <v>46</v>
      </c>
      <c r="B40" s="17" t="s">
        <v>907</v>
      </c>
      <c r="C40" s="28" t="s">
        <v>984</v>
      </c>
      <c r="D40" s="17" t="s">
        <v>985</v>
      </c>
      <c r="E40" s="17" t="s">
        <v>986</v>
      </c>
      <c r="F40" s="20">
        <v>574.07000000000005</v>
      </c>
      <c r="G40" s="20">
        <v>254</v>
      </c>
      <c r="H40" s="19">
        <v>1176</v>
      </c>
      <c r="I40" s="20">
        <v>594</v>
      </c>
      <c r="J40" s="20">
        <v>582</v>
      </c>
      <c r="K40" s="20">
        <v>7</v>
      </c>
      <c r="L40" s="57">
        <f t="shared" si="4"/>
        <v>5.9523809523809521E-3</v>
      </c>
      <c r="M40" s="20">
        <v>24</v>
      </c>
      <c r="N40" s="57">
        <f t="shared" si="3"/>
        <v>2.0408163265306121E-2</v>
      </c>
      <c r="O40" s="46">
        <v>128.02000000000001</v>
      </c>
      <c r="P40" s="46">
        <v>0</v>
      </c>
      <c r="Q40" s="58"/>
      <c r="R40" s="59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</row>
    <row r="41" spans="1:36" x14ac:dyDescent="0.35">
      <c r="A41" s="17" t="s">
        <v>46</v>
      </c>
      <c r="B41" s="17" t="s">
        <v>907</v>
      </c>
      <c r="C41" s="28" t="s">
        <v>984</v>
      </c>
      <c r="D41" s="17" t="s">
        <v>987</v>
      </c>
      <c r="E41" s="17" t="s">
        <v>988</v>
      </c>
      <c r="F41" s="20">
        <v>486</v>
      </c>
      <c r="G41" s="20">
        <v>298</v>
      </c>
      <c r="H41" s="19">
        <v>1380</v>
      </c>
      <c r="I41" s="20">
        <v>703</v>
      </c>
      <c r="J41" s="20">
        <v>677</v>
      </c>
      <c r="K41" s="20">
        <v>85</v>
      </c>
      <c r="L41" s="57">
        <f t="shared" si="4"/>
        <v>6.1594202898550728E-2</v>
      </c>
      <c r="M41" s="20">
        <v>1229</v>
      </c>
      <c r="N41" s="57">
        <f t="shared" si="3"/>
        <v>0.89057971014492754</v>
      </c>
      <c r="O41" s="46">
        <v>62.92</v>
      </c>
      <c r="P41" s="46">
        <v>0</v>
      </c>
      <c r="Q41" s="58"/>
      <c r="R41" s="59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</row>
    <row r="42" spans="1:36" x14ac:dyDescent="0.35">
      <c r="A42" s="17" t="s">
        <v>46</v>
      </c>
      <c r="B42" s="17" t="s">
        <v>907</v>
      </c>
      <c r="C42" s="28" t="s">
        <v>989</v>
      </c>
      <c r="D42" s="17" t="s">
        <v>990</v>
      </c>
      <c r="E42" s="17" t="s">
        <v>991</v>
      </c>
      <c r="F42" s="20">
        <v>60.93</v>
      </c>
      <c r="G42" s="20">
        <v>61</v>
      </c>
      <c r="H42" s="19">
        <v>306</v>
      </c>
      <c r="I42" s="20">
        <v>145</v>
      </c>
      <c r="J42" s="20">
        <v>161</v>
      </c>
      <c r="K42" s="20">
        <v>4</v>
      </c>
      <c r="L42" s="57">
        <f t="shared" si="4"/>
        <v>1.3071895424836602E-2</v>
      </c>
      <c r="M42" s="20">
        <v>7</v>
      </c>
      <c r="N42" s="57">
        <f t="shared" si="3"/>
        <v>2.2875816993464051E-2</v>
      </c>
      <c r="O42" s="46">
        <v>8.01</v>
      </c>
      <c r="P42" s="46">
        <v>0</v>
      </c>
      <c r="Q42" s="58" t="s">
        <v>562</v>
      </c>
      <c r="R42" s="59"/>
      <c r="S42" s="58"/>
      <c r="T42" s="58"/>
      <c r="U42" s="58"/>
      <c r="V42" s="58"/>
      <c r="W42" s="58"/>
      <c r="X42" s="58" t="s">
        <v>562</v>
      </c>
      <c r="Y42" s="58"/>
      <c r="Z42" s="58"/>
      <c r="AA42" s="58"/>
      <c r="AB42" s="58"/>
      <c r="AC42" s="58" t="s">
        <v>562</v>
      </c>
      <c r="AD42" s="58"/>
      <c r="AE42" s="58"/>
      <c r="AF42" s="58"/>
      <c r="AG42" s="58"/>
      <c r="AH42" s="58"/>
      <c r="AI42" s="58"/>
    </row>
    <row r="43" spans="1:36" x14ac:dyDescent="0.35">
      <c r="A43" s="17" t="s">
        <v>46</v>
      </c>
      <c r="B43" s="17" t="s">
        <v>907</v>
      </c>
      <c r="C43" s="28" t="s">
        <v>984</v>
      </c>
      <c r="D43" s="17" t="s">
        <v>992</v>
      </c>
      <c r="E43" s="17" t="s">
        <v>993</v>
      </c>
      <c r="F43" s="20">
        <v>229.86</v>
      </c>
      <c r="G43" s="20">
        <v>97</v>
      </c>
      <c r="H43" s="19">
        <v>420</v>
      </c>
      <c r="I43" s="20">
        <v>205</v>
      </c>
      <c r="J43" s="20">
        <v>215</v>
      </c>
      <c r="K43" s="20">
        <v>61</v>
      </c>
      <c r="L43" s="57">
        <f t="shared" si="4"/>
        <v>0.14523809523809525</v>
      </c>
      <c r="M43" s="20">
        <v>248</v>
      </c>
      <c r="N43" s="57">
        <f t="shared" si="3"/>
        <v>0.59047619047619049</v>
      </c>
      <c r="O43" s="46">
        <v>25.61</v>
      </c>
      <c r="P43" s="46">
        <v>0</v>
      </c>
      <c r="Q43" s="58"/>
      <c r="R43" s="59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</row>
    <row r="44" spans="1:36" x14ac:dyDescent="0.35">
      <c r="A44" s="17" t="s">
        <v>46</v>
      </c>
      <c r="B44" s="17" t="s">
        <v>907</v>
      </c>
      <c r="C44" s="28" t="s">
        <v>984</v>
      </c>
      <c r="D44" s="17" t="s">
        <v>994</v>
      </c>
      <c r="E44" s="17" t="s">
        <v>995</v>
      </c>
      <c r="F44" s="20">
        <v>145.12</v>
      </c>
      <c r="G44" s="20">
        <v>115</v>
      </c>
      <c r="H44" s="19">
        <v>487</v>
      </c>
      <c r="I44" s="20">
        <v>224</v>
      </c>
      <c r="J44" s="20">
        <v>263</v>
      </c>
      <c r="K44" s="20">
        <v>86</v>
      </c>
      <c r="L44" s="57">
        <f t="shared" si="4"/>
        <v>0.17659137577002054</v>
      </c>
      <c r="M44" s="20">
        <v>392</v>
      </c>
      <c r="N44" s="57">
        <f t="shared" si="3"/>
        <v>0.80492813141683783</v>
      </c>
      <c r="O44" s="46">
        <v>31.96</v>
      </c>
      <c r="P44" s="46">
        <v>0</v>
      </c>
      <c r="Q44" s="58"/>
      <c r="R44" s="59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</row>
    <row r="45" spans="1:36" x14ac:dyDescent="0.35">
      <c r="A45" s="17" t="s">
        <v>46</v>
      </c>
      <c r="B45" s="17" t="s">
        <v>907</v>
      </c>
      <c r="C45" s="28" t="s">
        <v>984</v>
      </c>
      <c r="D45" s="17" t="s">
        <v>996</v>
      </c>
      <c r="E45" s="17" t="s">
        <v>997</v>
      </c>
      <c r="F45" s="20">
        <v>154.22999999999999</v>
      </c>
      <c r="G45" s="20">
        <v>43</v>
      </c>
      <c r="H45" s="19">
        <v>198</v>
      </c>
      <c r="I45" s="20">
        <v>98</v>
      </c>
      <c r="J45" s="20">
        <v>100</v>
      </c>
      <c r="K45" s="20">
        <v>0</v>
      </c>
      <c r="L45" s="57">
        <f t="shared" si="4"/>
        <v>0</v>
      </c>
      <c r="M45" s="20">
        <v>197</v>
      </c>
      <c r="N45" s="57">
        <f t="shared" si="3"/>
        <v>0.99494949494949492</v>
      </c>
      <c r="O45" s="46">
        <v>6.96</v>
      </c>
      <c r="P45" s="46">
        <v>0</v>
      </c>
      <c r="Q45" s="58"/>
      <c r="R45" s="59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</row>
    <row r="46" spans="1:36" x14ac:dyDescent="0.35">
      <c r="A46" s="17" t="s">
        <v>46</v>
      </c>
      <c r="B46" s="17" t="s">
        <v>907</v>
      </c>
      <c r="C46" s="28" t="s">
        <v>989</v>
      </c>
      <c r="D46" s="17" t="s">
        <v>998</v>
      </c>
      <c r="E46" s="17" t="s">
        <v>999</v>
      </c>
      <c r="F46" s="20">
        <v>77.25</v>
      </c>
      <c r="G46" s="20">
        <v>61</v>
      </c>
      <c r="H46" s="19">
        <v>302</v>
      </c>
      <c r="I46" s="20">
        <v>161</v>
      </c>
      <c r="J46" s="20">
        <v>141</v>
      </c>
      <c r="K46" s="20">
        <v>0</v>
      </c>
      <c r="L46" s="57">
        <f t="shared" si="4"/>
        <v>0</v>
      </c>
      <c r="M46" s="20">
        <v>297</v>
      </c>
      <c r="N46" s="57">
        <f t="shared" si="3"/>
        <v>0.98344370860927155</v>
      </c>
      <c r="O46" s="46">
        <v>22.5</v>
      </c>
      <c r="P46" s="46">
        <v>0</v>
      </c>
      <c r="Q46" s="58" t="s">
        <v>51</v>
      </c>
      <c r="R46" s="59">
        <v>2019</v>
      </c>
      <c r="S46" s="58"/>
      <c r="T46" s="58"/>
      <c r="U46" s="58"/>
      <c r="V46" s="58"/>
      <c r="W46" s="58"/>
      <c r="X46" s="58" t="s">
        <v>51</v>
      </c>
      <c r="Y46" s="58"/>
      <c r="Z46" s="58"/>
      <c r="AA46" s="58"/>
      <c r="AB46" s="58"/>
      <c r="AC46" s="58" t="s">
        <v>51</v>
      </c>
      <c r="AD46" s="58"/>
      <c r="AE46" s="58"/>
      <c r="AF46" s="58"/>
      <c r="AG46" s="58"/>
      <c r="AH46" s="58"/>
      <c r="AI46" s="58"/>
    </row>
    <row r="47" spans="1:36" x14ac:dyDescent="0.35">
      <c r="A47" s="17" t="s">
        <v>46</v>
      </c>
      <c r="B47" s="17" t="s">
        <v>907</v>
      </c>
      <c r="C47" s="28" t="s">
        <v>989</v>
      </c>
      <c r="D47" s="17" t="s">
        <v>201</v>
      </c>
      <c r="E47" s="17" t="s">
        <v>1000</v>
      </c>
      <c r="F47" s="20">
        <v>99.53</v>
      </c>
      <c r="G47" s="20">
        <v>67</v>
      </c>
      <c r="H47" s="19">
        <v>303</v>
      </c>
      <c r="I47" s="20">
        <v>140</v>
      </c>
      <c r="J47" s="20">
        <v>163</v>
      </c>
      <c r="K47" s="20">
        <v>21</v>
      </c>
      <c r="L47" s="57">
        <f t="shared" si="4"/>
        <v>6.9306930693069313E-2</v>
      </c>
      <c r="M47" s="20">
        <v>276</v>
      </c>
      <c r="N47" s="57">
        <f t="shared" si="3"/>
        <v>0.91089108910891092</v>
      </c>
      <c r="O47" s="46">
        <v>19.09</v>
      </c>
      <c r="P47" s="46">
        <v>0</v>
      </c>
      <c r="Q47" s="58" t="s">
        <v>51</v>
      </c>
      <c r="R47" s="59">
        <v>2019</v>
      </c>
      <c r="S47" s="58"/>
      <c r="T47" s="58"/>
      <c r="U47" s="58"/>
      <c r="V47" s="58"/>
      <c r="W47" s="58"/>
      <c r="X47" s="58" t="s">
        <v>51</v>
      </c>
      <c r="Y47" s="58"/>
      <c r="Z47" s="58"/>
      <c r="AA47" s="58"/>
      <c r="AB47" s="58"/>
      <c r="AC47" s="58" t="s">
        <v>51</v>
      </c>
      <c r="AD47" s="58"/>
      <c r="AE47" s="58"/>
      <c r="AF47" s="58"/>
      <c r="AG47" s="58"/>
      <c r="AH47" s="58"/>
      <c r="AI47" s="58"/>
    </row>
    <row r="48" spans="1:36" x14ac:dyDescent="0.35">
      <c r="A48" s="17" t="s">
        <v>46</v>
      </c>
      <c r="B48" s="17" t="s">
        <v>907</v>
      </c>
      <c r="C48" s="28" t="s">
        <v>989</v>
      </c>
      <c r="D48" s="17" t="s">
        <v>1001</v>
      </c>
      <c r="E48" s="17" t="s">
        <v>1002</v>
      </c>
      <c r="F48" s="20">
        <v>252.46</v>
      </c>
      <c r="G48" s="20">
        <v>8</v>
      </c>
      <c r="H48" s="19">
        <v>36</v>
      </c>
      <c r="I48" s="20">
        <v>17</v>
      </c>
      <c r="J48" s="20">
        <v>19</v>
      </c>
      <c r="K48" s="20">
        <v>0</v>
      </c>
      <c r="L48" s="57">
        <f t="shared" si="4"/>
        <v>0</v>
      </c>
      <c r="M48" s="20">
        <v>36</v>
      </c>
      <c r="N48" s="57">
        <f t="shared" si="3"/>
        <v>1</v>
      </c>
      <c r="O48" s="46">
        <v>0</v>
      </c>
      <c r="P48" s="46">
        <v>0</v>
      </c>
      <c r="Q48" s="58" t="s">
        <v>562</v>
      </c>
      <c r="R48" s="59"/>
      <c r="S48" s="58"/>
      <c r="T48" s="58"/>
      <c r="U48" s="58"/>
      <c r="V48" s="58"/>
      <c r="W48" s="58"/>
      <c r="X48" s="58" t="s">
        <v>562</v>
      </c>
      <c r="Y48" s="58"/>
      <c r="Z48" s="58"/>
      <c r="AA48" s="58"/>
      <c r="AB48" s="58"/>
      <c r="AC48" s="58" t="s">
        <v>562</v>
      </c>
      <c r="AD48" s="58"/>
      <c r="AE48" s="58"/>
      <c r="AF48" s="58"/>
      <c r="AG48" s="58"/>
      <c r="AH48" s="58"/>
      <c r="AI48" s="58"/>
    </row>
    <row r="49" spans="1:35" x14ac:dyDescent="0.35">
      <c r="A49" s="17" t="s">
        <v>46</v>
      </c>
      <c r="B49" s="17" t="s">
        <v>907</v>
      </c>
      <c r="C49" s="28" t="s">
        <v>989</v>
      </c>
      <c r="D49" s="17" t="s">
        <v>1003</v>
      </c>
      <c r="E49" s="17" t="s">
        <v>1004</v>
      </c>
      <c r="F49" s="20">
        <v>153.66999999999999</v>
      </c>
      <c r="G49" s="20">
        <v>131</v>
      </c>
      <c r="H49" s="19">
        <v>530</v>
      </c>
      <c r="I49" s="20">
        <v>266</v>
      </c>
      <c r="J49" s="20">
        <v>264</v>
      </c>
      <c r="K49" s="20">
        <v>54</v>
      </c>
      <c r="L49" s="57">
        <f t="shared" si="4"/>
        <v>0.10188679245283019</v>
      </c>
      <c r="M49" s="20">
        <v>209</v>
      </c>
      <c r="N49" s="57">
        <f t="shared" si="3"/>
        <v>0.39433962264150946</v>
      </c>
      <c r="O49" s="46">
        <v>13.07</v>
      </c>
      <c r="P49" s="46">
        <v>0</v>
      </c>
      <c r="Q49" s="58" t="s">
        <v>51</v>
      </c>
      <c r="R49" s="59">
        <v>2020</v>
      </c>
      <c r="S49" s="58"/>
      <c r="T49" s="58"/>
      <c r="U49" s="58"/>
      <c r="V49" s="58"/>
      <c r="W49" s="58"/>
      <c r="X49" s="58" t="s">
        <v>51</v>
      </c>
      <c r="Y49" s="58"/>
      <c r="Z49" s="58"/>
      <c r="AA49" s="58"/>
      <c r="AB49" s="58"/>
      <c r="AC49" s="58" t="s">
        <v>51</v>
      </c>
      <c r="AD49" s="58"/>
      <c r="AE49" s="58"/>
      <c r="AF49" s="58"/>
      <c r="AG49" s="58"/>
      <c r="AH49" s="58"/>
      <c r="AI49" s="58"/>
    </row>
    <row r="50" spans="1:35" x14ac:dyDescent="0.35">
      <c r="A50" s="17" t="s">
        <v>46</v>
      </c>
      <c r="B50" s="17" t="s">
        <v>907</v>
      </c>
      <c r="C50" s="28" t="s">
        <v>989</v>
      </c>
      <c r="D50" s="17" t="s">
        <v>1005</v>
      </c>
      <c r="E50" s="17" t="s">
        <v>1006</v>
      </c>
      <c r="F50" s="20">
        <v>151.68</v>
      </c>
      <c r="G50" s="20">
        <v>119</v>
      </c>
      <c r="H50" s="19">
        <v>565</v>
      </c>
      <c r="I50" s="20">
        <v>283</v>
      </c>
      <c r="J50" s="20">
        <v>282</v>
      </c>
      <c r="K50" s="20">
        <v>252</v>
      </c>
      <c r="L50" s="57">
        <f t="shared" si="4"/>
        <v>0.44601769911504424</v>
      </c>
      <c r="M50" s="20">
        <v>0</v>
      </c>
      <c r="N50" s="57">
        <f t="shared" si="3"/>
        <v>0</v>
      </c>
      <c r="O50" s="46">
        <v>17.399999999999999</v>
      </c>
      <c r="P50" s="46">
        <v>0</v>
      </c>
      <c r="Q50" s="58" t="s">
        <v>51</v>
      </c>
      <c r="R50" s="59">
        <v>2020</v>
      </c>
      <c r="S50" s="58"/>
      <c r="T50" s="58"/>
      <c r="U50" s="58"/>
      <c r="V50" s="58"/>
      <c r="W50" s="58"/>
      <c r="X50" s="58" t="s">
        <v>51</v>
      </c>
      <c r="Y50" s="58"/>
      <c r="Z50" s="58"/>
      <c r="AA50" s="58"/>
      <c r="AB50" s="58"/>
      <c r="AC50" s="58" t="s">
        <v>51</v>
      </c>
      <c r="AD50" s="58"/>
      <c r="AE50" s="58"/>
      <c r="AF50" s="58"/>
      <c r="AG50" s="58"/>
      <c r="AH50" s="58"/>
      <c r="AI50" s="58"/>
    </row>
    <row r="51" spans="1:35" x14ac:dyDescent="0.35">
      <c r="A51" s="17" t="s">
        <v>46</v>
      </c>
      <c r="B51" s="17" t="s">
        <v>907</v>
      </c>
      <c r="C51" s="28" t="s">
        <v>989</v>
      </c>
      <c r="D51" s="17" t="s">
        <v>1007</v>
      </c>
      <c r="E51" s="17" t="s">
        <v>1008</v>
      </c>
      <c r="F51" s="20">
        <v>292.27</v>
      </c>
      <c r="G51" s="20">
        <v>154</v>
      </c>
      <c r="H51" s="19">
        <v>687</v>
      </c>
      <c r="I51" s="20">
        <v>348</v>
      </c>
      <c r="J51" s="20">
        <v>339</v>
      </c>
      <c r="K51" s="20">
        <v>163</v>
      </c>
      <c r="L51" s="57">
        <f t="shared" si="4"/>
        <v>0.23726346433770015</v>
      </c>
      <c r="M51" s="20">
        <v>83</v>
      </c>
      <c r="N51" s="57">
        <f t="shared" si="3"/>
        <v>0.12081513828238719</v>
      </c>
      <c r="O51" s="46">
        <v>20.02</v>
      </c>
      <c r="P51" s="46">
        <v>0</v>
      </c>
      <c r="Q51" s="58" t="s">
        <v>562</v>
      </c>
      <c r="R51" s="59"/>
      <c r="S51" s="58"/>
      <c r="T51" s="58"/>
      <c r="U51" s="58"/>
      <c r="V51" s="58"/>
      <c r="W51" s="58"/>
      <c r="X51" s="58" t="s">
        <v>562</v>
      </c>
      <c r="Y51" s="58"/>
      <c r="Z51" s="58"/>
      <c r="AA51" s="58"/>
      <c r="AB51" s="58"/>
      <c r="AC51" s="58" t="s">
        <v>562</v>
      </c>
      <c r="AD51" s="58"/>
      <c r="AE51" s="58"/>
      <c r="AF51" s="58"/>
      <c r="AG51" s="58"/>
      <c r="AH51" s="58"/>
      <c r="AI51" s="58"/>
    </row>
    <row r="52" spans="1:35" x14ac:dyDescent="0.35">
      <c r="A52" s="17" t="s">
        <v>46</v>
      </c>
      <c r="B52" s="17" t="s">
        <v>907</v>
      </c>
      <c r="C52" s="28" t="s">
        <v>989</v>
      </c>
      <c r="D52" s="17" t="s">
        <v>1009</v>
      </c>
      <c r="E52" s="17" t="s">
        <v>1010</v>
      </c>
      <c r="F52" s="20">
        <v>122.86</v>
      </c>
      <c r="G52" s="20">
        <v>53</v>
      </c>
      <c r="H52" s="19">
        <v>230</v>
      </c>
      <c r="I52" s="20">
        <v>114</v>
      </c>
      <c r="J52" s="20">
        <v>116</v>
      </c>
      <c r="K52" s="20">
        <v>142</v>
      </c>
      <c r="L52" s="57">
        <f t="shared" si="4"/>
        <v>0.61739130434782608</v>
      </c>
      <c r="M52" s="20">
        <v>0</v>
      </c>
      <c r="N52" s="57">
        <f t="shared" si="3"/>
        <v>0</v>
      </c>
      <c r="O52" s="46">
        <v>8.82</v>
      </c>
      <c r="P52" s="46">
        <v>0</v>
      </c>
      <c r="Q52" s="58" t="s">
        <v>51</v>
      </c>
      <c r="R52" s="59">
        <v>2020</v>
      </c>
      <c r="S52" s="58"/>
      <c r="T52" s="58"/>
      <c r="U52" s="58"/>
      <c r="V52" s="58"/>
      <c r="W52" s="58"/>
      <c r="X52" s="58" t="s">
        <v>51</v>
      </c>
      <c r="Y52" s="58"/>
      <c r="Z52" s="58"/>
      <c r="AA52" s="58"/>
      <c r="AB52" s="58"/>
      <c r="AC52" s="58" t="s">
        <v>51</v>
      </c>
      <c r="AD52" s="58"/>
      <c r="AE52" s="58"/>
      <c r="AF52" s="58"/>
      <c r="AG52" s="58"/>
      <c r="AH52" s="58"/>
      <c r="AI52" s="58"/>
    </row>
    <row r="53" spans="1:35" x14ac:dyDescent="0.35">
      <c r="A53" s="17" t="s">
        <v>46</v>
      </c>
      <c r="B53" s="17" t="s">
        <v>907</v>
      </c>
      <c r="C53" s="28" t="s">
        <v>989</v>
      </c>
      <c r="D53" s="17" t="s">
        <v>404</v>
      </c>
      <c r="E53" s="17" t="s">
        <v>1011</v>
      </c>
      <c r="F53" s="20">
        <v>201.33</v>
      </c>
      <c r="G53" s="20">
        <v>47</v>
      </c>
      <c r="H53" s="19">
        <v>192</v>
      </c>
      <c r="I53" s="20">
        <v>90</v>
      </c>
      <c r="J53" s="20">
        <v>102</v>
      </c>
      <c r="K53" s="20">
        <v>18</v>
      </c>
      <c r="L53" s="57">
        <f t="shared" si="4"/>
        <v>9.375E-2</v>
      </c>
      <c r="M53" s="20">
        <v>126</v>
      </c>
      <c r="N53" s="57">
        <f t="shared" si="3"/>
        <v>0.65625</v>
      </c>
      <c r="O53" s="46">
        <v>22.6</v>
      </c>
      <c r="P53" s="46">
        <v>0</v>
      </c>
      <c r="Q53" s="58" t="s">
        <v>51</v>
      </c>
      <c r="R53" s="59">
        <v>2019</v>
      </c>
      <c r="S53" s="58"/>
      <c r="T53" s="58"/>
      <c r="U53" s="58"/>
      <c r="V53" s="58"/>
      <c r="W53" s="58"/>
      <c r="X53" s="58" t="s">
        <v>51</v>
      </c>
      <c r="Y53" s="58"/>
      <c r="Z53" s="58"/>
      <c r="AA53" s="58"/>
      <c r="AB53" s="58"/>
      <c r="AC53" s="58" t="s">
        <v>51</v>
      </c>
      <c r="AD53" s="58"/>
      <c r="AE53" s="58"/>
      <c r="AF53" s="58"/>
      <c r="AG53" s="58"/>
      <c r="AH53" s="58"/>
      <c r="AI53" s="58"/>
    </row>
    <row r="54" spans="1:35" ht="15.5" x14ac:dyDescent="0.35">
      <c r="A54" s="17" t="s">
        <v>46</v>
      </c>
      <c r="B54" s="17" t="s">
        <v>907</v>
      </c>
      <c r="C54" s="28" t="s">
        <v>1012</v>
      </c>
      <c r="D54" s="17" t="s">
        <v>705</v>
      </c>
      <c r="E54" s="17" t="s">
        <v>1013</v>
      </c>
      <c r="F54" s="20">
        <v>182.01</v>
      </c>
      <c r="G54" s="20">
        <v>117</v>
      </c>
      <c r="H54" s="19">
        <v>490</v>
      </c>
      <c r="I54" s="20">
        <v>232</v>
      </c>
      <c r="J54" s="20">
        <v>258</v>
      </c>
      <c r="K54" s="20">
        <v>45</v>
      </c>
      <c r="L54" s="57">
        <f t="shared" si="4"/>
        <v>9.1836734693877556E-2</v>
      </c>
      <c r="M54" s="20">
        <v>0</v>
      </c>
      <c r="N54" s="57">
        <f t="shared" si="3"/>
        <v>0</v>
      </c>
      <c r="O54" s="46">
        <v>18.739999999999998</v>
      </c>
      <c r="P54" s="46">
        <v>0</v>
      </c>
      <c r="Q54" s="58" t="s">
        <v>51</v>
      </c>
      <c r="R54" s="60" t="s">
        <v>1014</v>
      </c>
      <c r="S54" s="58"/>
      <c r="T54" s="58"/>
      <c r="U54" s="58"/>
      <c r="V54" s="58"/>
      <c r="W54" s="58"/>
      <c r="X54" s="58" t="s">
        <v>51</v>
      </c>
      <c r="Y54" s="58"/>
      <c r="Z54" s="58"/>
      <c r="AA54" s="58"/>
      <c r="AB54" s="58"/>
      <c r="AC54" s="58" t="s">
        <v>51</v>
      </c>
      <c r="AD54" s="58"/>
      <c r="AE54" s="58"/>
      <c r="AF54" s="58"/>
      <c r="AG54" s="58"/>
      <c r="AH54" s="58"/>
      <c r="AI54" s="58"/>
    </row>
    <row r="55" spans="1:35" ht="18" customHeight="1" x14ac:dyDescent="0.35">
      <c r="A55" s="17" t="s">
        <v>46</v>
      </c>
      <c r="B55" s="17" t="s">
        <v>907</v>
      </c>
      <c r="C55" s="28" t="s">
        <v>1012</v>
      </c>
      <c r="D55" s="17" t="s">
        <v>1015</v>
      </c>
      <c r="E55" s="17" t="s">
        <v>1016</v>
      </c>
      <c r="F55" s="20">
        <v>666.42</v>
      </c>
      <c r="G55" s="20">
        <v>295</v>
      </c>
      <c r="H55" s="19">
        <v>1374</v>
      </c>
      <c r="I55" s="20">
        <v>704</v>
      </c>
      <c r="J55" s="20">
        <v>670</v>
      </c>
      <c r="K55" s="20">
        <v>274</v>
      </c>
      <c r="L55" s="57">
        <f t="shared" si="4"/>
        <v>0.19941775836972345</v>
      </c>
      <c r="M55" s="20">
        <v>0</v>
      </c>
      <c r="N55" s="57">
        <f t="shared" si="3"/>
        <v>0</v>
      </c>
      <c r="O55" s="46">
        <v>21</v>
      </c>
      <c r="P55" s="46">
        <v>0</v>
      </c>
      <c r="Q55" s="58" t="s">
        <v>51</v>
      </c>
      <c r="R55" s="60" t="s">
        <v>1014</v>
      </c>
      <c r="S55" s="58"/>
      <c r="T55" s="58"/>
      <c r="U55" s="58"/>
      <c r="V55" s="58"/>
      <c r="W55" s="58"/>
      <c r="X55" s="58" t="s">
        <v>51</v>
      </c>
      <c r="Y55" s="58"/>
      <c r="Z55" s="58"/>
      <c r="AA55" s="58"/>
      <c r="AB55" s="58"/>
      <c r="AC55" s="58" t="s">
        <v>51</v>
      </c>
      <c r="AD55" s="58"/>
      <c r="AE55" s="58"/>
      <c r="AF55" s="58"/>
      <c r="AG55" s="58"/>
      <c r="AH55" s="58"/>
      <c r="AI55" s="58"/>
    </row>
    <row r="56" spans="1:35" ht="15.5" x14ac:dyDescent="0.35">
      <c r="A56" s="17" t="s">
        <v>46</v>
      </c>
      <c r="B56" s="17" t="s">
        <v>907</v>
      </c>
      <c r="C56" s="28" t="s">
        <v>1012</v>
      </c>
      <c r="D56" s="17" t="s">
        <v>1017</v>
      </c>
      <c r="E56" s="17" t="s">
        <v>1018</v>
      </c>
      <c r="F56" s="20">
        <v>148.16999999999999</v>
      </c>
      <c r="G56" s="20">
        <v>157</v>
      </c>
      <c r="H56" s="19">
        <v>711</v>
      </c>
      <c r="I56" s="20">
        <v>349</v>
      </c>
      <c r="J56" s="20">
        <v>362</v>
      </c>
      <c r="K56" s="20">
        <v>398</v>
      </c>
      <c r="L56" s="57">
        <f t="shared" si="4"/>
        <v>0.55977496483825595</v>
      </c>
      <c r="M56" s="20">
        <v>140</v>
      </c>
      <c r="N56" s="57">
        <f t="shared" si="3"/>
        <v>0.19690576652601968</v>
      </c>
      <c r="O56" s="46">
        <v>0.98</v>
      </c>
      <c r="P56" s="46">
        <v>0</v>
      </c>
      <c r="Q56" s="58" t="s">
        <v>51</v>
      </c>
      <c r="R56" s="60" t="s">
        <v>1014</v>
      </c>
      <c r="S56" s="58"/>
      <c r="T56" s="58"/>
      <c r="U56" s="58"/>
      <c r="V56" s="58"/>
      <c r="W56" s="58"/>
      <c r="X56" s="58" t="s">
        <v>51</v>
      </c>
      <c r="Y56" s="58"/>
      <c r="Z56" s="58"/>
      <c r="AA56" s="58"/>
      <c r="AB56" s="58"/>
      <c r="AC56" s="58" t="s">
        <v>51</v>
      </c>
      <c r="AD56" s="58"/>
      <c r="AE56" s="58"/>
      <c r="AF56" s="58"/>
      <c r="AG56" s="58"/>
      <c r="AH56" s="58"/>
      <c r="AI56" s="58"/>
    </row>
    <row r="57" spans="1:35" ht="15.5" x14ac:dyDescent="0.35">
      <c r="A57" s="17" t="s">
        <v>46</v>
      </c>
      <c r="B57" s="17" t="s">
        <v>907</v>
      </c>
      <c r="C57" s="28" t="s">
        <v>1012</v>
      </c>
      <c r="D57" s="17" t="s">
        <v>1019</v>
      </c>
      <c r="E57" s="17" t="s">
        <v>1020</v>
      </c>
      <c r="F57" s="20">
        <v>58.56</v>
      </c>
      <c r="G57" s="20">
        <v>63</v>
      </c>
      <c r="H57" s="19">
        <v>285</v>
      </c>
      <c r="I57" s="20">
        <v>139</v>
      </c>
      <c r="J57" s="20">
        <v>146</v>
      </c>
      <c r="K57" s="20">
        <v>95</v>
      </c>
      <c r="L57" s="57">
        <f t="shared" si="4"/>
        <v>0.33333333333333331</v>
      </c>
      <c r="M57" s="20">
        <v>0</v>
      </c>
      <c r="N57" s="57">
        <f t="shared" si="3"/>
        <v>0</v>
      </c>
      <c r="O57" s="46">
        <v>3.88</v>
      </c>
      <c r="P57" s="46">
        <v>0</v>
      </c>
      <c r="Q57" s="58" t="s">
        <v>51</v>
      </c>
      <c r="R57" s="60" t="s">
        <v>1014</v>
      </c>
      <c r="S57" s="58"/>
      <c r="T57" s="58"/>
      <c r="U57" s="58"/>
      <c r="V57" s="58"/>
      <c r="W57" s="58"/>
      <c r="X57" s="58" t="s">
        <v>51</v>
      </c>
      <c r="Y57" s="58"/>
      <c r="Z57" s="58"/>
      <c r="AA57" s="58"/>
      <c r="AB57" s="58"/>
      <c r="AC57" s="58" t="s">
        <v>51</v>
      </c>
      <c r="AD57" s="58"/>
      <c r="AE57" s="58"/>
      <c r="AF57" s="58"/>
      <c r="AG57" s="58"/>
      <c r="AH57" s="58"/>
      <c r="AI57" s="58"/>
    </row>
    <row r="58" spans="1:35" ht="15.5" x14ac:dyDescent="0.35">
      <c r="A58" s="17" t="s">
        <v>46</v>
      </c>
      <c r="B58" s="17" t="s">
        <v>907</v>
      </c>
      <c r="C58" s="28" t="s">
        <v>1012</v>
      </c>
      <c r="D58" s="17" t="s">
        <v>1021</v>
      </c>
      <c r="E58" s="17" t="s">
        <v>1022</v>
      </c>
      <c r="F58" s="20">
        <v>89.54</v>
      </c>
      <c r="G58" s="20">
        <v>86</v>
      </c>
      <c r="H58" s="19">
        <v>374</v>
      </c>
      <c r="I58" s="20">
        <v>189</v>
      </c>
      <c r="J58" s="20">
        <v>185</v>
      </c>
      <c r="K58" s="20">
        <v>75</v>
      </c>
      <c r="L58" s="57">
        <f t="shared" si="4"/>
        <v>0.20053475935828877</v>
      </c>
      <c r="M58" s="20">
        <v>181</v>
      </c>
      <c r="N58" s="57">
        <f t="shared" si="3"/>
        <v>0.48395721925133689</v>
      </c>
      <c r="O58" s="46">
        <v>1.06</v>
      </c>
      <c r="P58" s="46">
        <v>0</v>
      </c>
      <c r="Q58" s="58" t="s">
        <v>51</v>
      </c>
      <c r="R58" s="60" t="s">
        <v>1014</v>
      </c>
      <c r="S58" s="58"/>
      <c r="T58" s="58"/>
      <c r="U58" s="58"/>
      <c r="V58" s="58"/>
      <c r="W58" s="58"/>
      <c r="X58" s="58" t="s">
        <v>51</v>
      </c>
      <c r="Y58" s="58"/>
      <c r="Z58" s="58"/>
      <c r="AA58" s="58"/>
      <c r="AB58" s="58"/>
      <c r="AC58" s="58" t="s">
        <v>51</v>
      </c>
      <c r="AD58" s="58"/>
      <c r="AE58" s="58"/>
      <c r="AF58" s="58"/>
      <c r="AG58" s="58"/>
      <c r="AH58" s="58"/>
      <c r="AI58" s="58"/>
    </row>
    <row r="59" spans="1:35" ht="15.5" x14ac:dyDescent="0.35">
      <c r="A59" s="17" t="s">
        <v>46</v>
      </c>
      <c r="B59" s="17" t="s">
        <v>907</v>
      </c>
      <c r="C59" s="28" t="s">
        <v>1012</v>
      </c>
      <c r="D59" s="17" t="s">
        <v>1023</v>
      </c>
      <c r="E59" s="17" t="s">
        <v>1024</v>
      </c>
      <c r="F59" s="20">
        <v>251.78</v>
      </c>
      <c r="G59" s="20">
        <v>150</v>
      </c>
      <c r="H59" s="19">
        <v>637</v>
      </c>
      <c r="I59" s="20">
        <v>309</v>
      </c>
      <c r="J59" s="20">
        <v>328</v>
      </c>
      <c r="K59" s="20">
        <v>119</v>
      </c>
      <c r="L59" s="57">
        <f t="shared" si="4"/>
        <v>0.18681318681318682</v>
      </c>
      <c r="M59" s="20">
        <v>8</v>
      </c>
      <c r="N59" s="57">
        <f t="shared" si="3"/>
        <v>1.2558869701726845E-2</v>
      </c>
      <c r="O59" s="46">
        <v>40.53</v>
      </c>
      <c r="P59" s="46">
        <v>0</v>
      </c>
      <c r="Q59" s="58" t="s">
        <v>51</v>
      </c>
      <c r="R59" s="60" t="s">
        <v>1014</v>
      </c>
      <c r="S59" s="58"/>
      <c r="T59" s="58"/>
      <c r="U59" s="58"/>
      <c r="V59" s="58"/>
      <c r="W59" s="58"/>
      <c r="X59" s="58" t="s">
        <v>51</v>
      </c>
      <c r="Y59" s="58"/>
      <c r="Z59" s="58"/>
      <c r="AA59" s="58"/>
      <c r="AB59" s="58"/>
      <c r="AC59" s="58" t="s">
        <v>51</v>
      </c>
      <c r="AD59" s="58"/>
      <c r="AE59" s="58"/>
      <c r="AF59" s="58"/>
      <c r="AG59" s="58"/>
      <c r="AH59" s="58"/>
      <c r="AI59" s="58"/>
    </row>
    <row r="60" spans="1:35" x14ac:dyDescent="0.35">
      <c r="A60" s="17" t="s">
        <v>46</v>
      </c>
      <c r="B60" s="17" t="s">
        <v>907</v>
      </c>
      <c r="C60" s="28" t="s">
        <v>963</v>
      </c>
      <c r="D60" s="17" t="s">
        <v>1025</v>
      </c>
      <c r="E60" s="17" t="s">
        <v>1026</v>
      </c>
      <c r="F60" s="20">
        <v>256.44</v>
      </c>
      <c r="G60" s="20">
        <v>110</v>
      </c>
      <c r="H60" s="19">
        <v>479</v>
      </c>
      <c r="I60" s="20">
        <v>250</v>
      </c>
      <c r="J60" s="20">
        <v>229</v>
      </c>
      <c r="K60" s="20">
        <v>6</v>
      </c>
      <c r="L60" s="57">
        <f t="shared" si="4"/>
        <v>1.2526096033402923E-2</v>
      </c>
      <c r="M60" s="20">
        <v>169</v>
      </c>
      <c r="N60" s="57">
        <f t="shared" si="3"/>
        <v>0.35281837160751567</v>
      </c>
      <c r="O60" s="46">
        <v>32.479999999999997</v>
      </c>
      <c r="P60" s="46">
        <v>0</v>
      </c>
      <c r="Q60" s="58" t="s">
        <v>51</v>
      </c>
      <c r="R60" s="59">
        <v>2019</v>
      </c>
      <c r="S60" s="58"/>
      <c r="T60" s="58"/>
      <c r="U60" s="58"/>
      <c r="V60" s="58"/>
      <c r="W60" s="58"/>
      <c r="X60" s="58" t="s">
        <v>51</v>
      </c>
      <c r="Y60" s="58"/>
      <c r="Z60" s="58"/>
      <c r="AA60" s="58"/>
      <c r="AB60" s="58"/>
      <c r="AC60" s="58" t="s">
        <v>51</v>
      </c>
      <c r="AD60" s="58"/>
      <c r="AE60" s="58"/>
      <c r="AF60" s="58"/>
      <c r="AG60" s="58"/>
      <c r="AH60" s="58"/>
      <c r="AI60" s="58"/>
    </row>
    <row r="61" spans="1:35" x14ac:dyDescent="0.35">
      <c r="A61" s="17" t="s">
        <v>46</v>
      </c>
      <c r="B61" s="17" t="s">
        <v>907</v>
      </c>
      <c r="C61" s="28" t="s">
        <v>963</v>
      </c>
      <c r="D61" s="17" t="s">
        <v>1027</v>
      </c>
      <c r="E61" s="17" t="s">
        <v>1028</v>
      </c>
      <c r="F61" s="20">
        <v>252.31</v>
      </c>
      <c r="G61" s="20">
        <v>116</v>
      </c>
      <c r="H61" s="19">
        <v>468</v>
      </c>
      <c r="I61" s="20">
        <v>235</v>
      </c>
      <c r="J61" s="20">
        <v>233</v>
      </c>
      <c r="K61" s="20">
        <v>153</v>
      </c>
      <c r="L61" s="57">
        <f t="shared" si="4"/>
        <v>0.32692307692307693</v>
      </c>
      <c r="M61" s="20">
        <v>171</v>
      </c>
      <c r="N61" s="57">
        <f t="shared" si="3"/>
        <v>0.36538461538461536</v>
      </c>
      <c r="O61" s="46">
        <v>27.63</v>
      </c>
      <c r="P61" s="46">
        <v>0</v>
      </c>
      <c r="Q61" s="58" t="s">
        <v>51</v>
      </c>
      <c r="R61" s="59">
        <v>2019</v>
      </c>
      <c r="S61" s="58"/>
      <c r="T61" s="58"/>
      <c r="U61" s="58"/>
      <c r="V61" s="58"/>
      <c r="W61" s="58"/>
      <c r="X61" s="58" t="s">
        <v>51</v>
      </c>
      <c r="Y61" s="58"/>
      <c r="Z61" s="58"/>
      <c r="AA61" s="58"/>
      <c r="AB61" s="58"/>
      <c r="AC61" s="58" t="s">
        <v>51</v>
      </c>
      <c r="AD61" s="58"/>
      <c r="AE61" s="58"/>
      <c r="AF61" s="58"/>
      <c r="AG61" s="58"/>
      <c r="AH61" s="58"/>
      <c r="AI61" s="58"/>
    </row>
    <row r="62" spans="1:35" x14ac:dyDescent="0.35">
      <c r="A62" s="17" t="s">
        <v>46</v>
      </c>
      <c r="B62" s="17" t="s">
        <v>907</v>
      </c>
      <c r="C62" s="28" t="s">
        <v>963</v>
      </c>
      <c r="D62" s="17" t="s">
        <v>1029</v>
      </c>
      <c r="E62" s="17" t="s">
        <v>1030</v>
      </c>
      <c r="F62" s="20">
        <v>415.05</v>
      </c>
      <c r="G62" s="20">
        <v>190</v>
      </c>
      <c r="H62" s="19">
        <v>838</v>
      </c>
      <c r="I62" s="20">
        <v>423</v>
      </c>
      <c r="J62" s="20">
        <v>415</v>
      </c>
      <c r="K62" s="20">
        <v>256</v>
      </c>
      <c r="L62" s="57">
        <f t="shared" si="4"/>
        <v>0.3054892601431981</v>
      </c>
      <c r="M62" s="20">
        <v>114</v>
      </c>
      <c r="N62" s="57">
        <f t="shared" ref="N62:N93" si="5">M62/H62</f>
        <v>0.13603818615751789</v>
      </c>
      <c r="O62" s="46">
        <v>40.119999999999997</v>
      </c>
      <c r="P62" s="46">
        <v>0</v>
      </c>
      <c r="Q62" s="58" t="s">
        <v>51</v>
      </c>
      <c r="R62" s="59">
        <v>2019</v>
      </c>
      <c r="S62" s="58"/>
      <c r="T62" s="58"/>
      <c r="U62" s="58"/>
      <c r="V62" s="58"/>
      <c r="W62" s="58"/>
      <c r="X62" s="58" t="s">
        <v>51</v>
      </c>
      <c r="Y62" s="58"/>
      <c r="Z62" s="58"/>
      <c r="AA62" s="58"/>
      <c r="AB62" s="58"/>
      <c r="AC62" s="58" t="s">
        <v>51</v>
      </c>
      <c r="AD62" s="58"/>
      <c r="AE62" s="58"/>
      <c r="AF62" s="58"/>
      <c r="AG62" s="58"/>
      <c r="AH62" s="58"/>
      <c r="AI62" s="58"/>
    </row>
    <row r="63" spans="1:35" ht="15.5" x14ac:dyDescent="0.35">
      <c r="A63" s="17" t="s">
        <v>46</v>
      </c>
      <c r="B63" s="17" t="s">
        <v>907</v>
      </c>
      <c r="C63" s="28" t="s">
        <v>1031</v>
      </c>
      <c r="D63" s="17" t="s">
        <v>1032</v>
      </c>
      <c r="E63" s="17" t="s">
        <v>1033</v>
      </c>
      <c r="F63" s="20">
        <v>400.67</v>
      </c>
      <c r="G63" s="20">
        <v>197</v>
      </c>
      <c r="H63" s="19">
        <v>756</v>
      </c>
      <c r="I63" s="20">
        <v>392</v>
      </c>
      <c r="J63" s="20">
        <v>364</v>
      </c>
      <c r="K63" s="20">
        <v>237</v>
      </c>
      <c r="L63" s="57">
        <f t="shared" si="4"/>
        <v>0.31349206349206349</v>
      </c>
      <c r="M63" s="20">
        <v>120</v>
      </c>
      <c r="N63" s="57">
        <f t="shared" si="5"/>
        <v>0.15873015873015872</v>
      </c>
      <c r="O63" s="46">
        <v>55.52</v>
      </c>
      <c r="P63" s="46">
        <v>0</v>
      </c>
      <c r="Q63" s="58" t="s">
        <v>51</v>
      </c>
      <c r="R63" s="60" t="s">
        <v>1014</v>
      </c>
      <c r="S63" s="58"/>
      <c r="T63" s="58"/>
      <c r="U63" s="58"/>
      <c r="V63" s="58"/>
      <c r="W63" s="58"/>
      <c r="X63" s="58" t="s">
        <v>51</v>
      </c>
      <c r="Y63" s="58"/>
      <c r="Z63" s="58"/>
      <c r="AA63" s="58"/>
      <c r="AB63" s="58"/>
      <c r="AC63" s="58" t="s">
        <v>51</v>
      </c>
      <c r="AD63" s="58"/>
      <c r="AE63" s="58"/>
      <c r="AF63" s="58"/>
      <c r="AG63" s="58"/>
      <c r="AH63" s="58"/>
      <c r="AI63" s="58"/>
    </row>
    <row r="64" spans="1:35" ht="15.5" x14ac:dyDescent="0.35">
      <c r="A64" s="17" t="s">
        <v>46</v>
      </c>
      <c r="B64" s="17" t="s">
        <v>907</v>
      </c>
      <c r="C64" s="28" t="s">
        <v>1031</v>
      </c>
      <c r="D64" s="17" t="s">
        <v>1034</v>
      </c>
      <c r="E64" s="17" t="s">
        <v>1035</v>
      </c>
      <c r="F64" s="20">
        <v>578.84</v>
      </c>
      <c r="G64" s="20">
        <v>296</v>
      </c>
      <c r="H64" s="19">
        <v>1257</v>
      </c>
      <c r="I64" s="20">
        <v>620</v>
      </c>
      <c r="J64" s="20">
        <v>637</v>
      </c>
      <c r="K64" s="20">
        <v>314</v>
      </c>
      <c r="L64" s="57">
        <f t="shared" si="4"/>
        <v>0.2498011137629276</v>
      </c>
      <c r="M64" s="20">
        <v>243</v>
      </c>
      <c r="N64" s="57">
        <f t="shared" si="5"/>
        <v>0.19331742243436753</v>
      </c>
      <c r="O64" s="46">
        <v>13.78</v>
      </c>
      <c r="P64" s="46">
        <v>0</v>
      </c>
      <c r="Q64" s="58" t="s">
        <v>51</v>
      </c>
      <c r="R64" s="60" t="s">
        <v>936</v>
      </c>
      <c r="S64" s="58"/>
      <c r="T64" s="58"/>
      <c r="U64" s="58"/>
      <c r="V64" s="58"/>
      <c r="W64" s="58"/>
      <c r="X64" s="58" t="s">
        <v>51</v>
      </c>
      <c r="Y64" s="58"/>
      <c r="Z64" s="58"/>
      <c r="AA64" s="58"/>
      <c r="AB64" s="58"/>
      <c r="AC64" s="58" t="s">
        <v>51</v>
      </c>
      <c r="AD64" s="58"/>
      <c r="AE64" s="58"/>
      <c r="AF64" s="58"/>
      <c r="AG64" s="58"/>
      <c r="AH64" s="58"/>
      <c r="AI64" s="58"/>
    </row>
    <row r="65" spans="1:35" ht="15.5" x14ac:dyDescent="0.35">
      <c r="A65" s="17" t="s">
        <v>46</v>
      </c>
      <c r="B65" s="17" t="s">
        <v>907</v>
      </c>
      <c r="C65" s="28" t="s">
        <v>1031</v>
      </c>
      <c r="D65" s="17" t="s">
        <v>1036</v>
      </c>
      <c r="E65" s="17" t="s">
        <v>1037</v>
      </c>
      <c r="F65" s="20">
        <v>329.85</v>
      </c>
      <c r="G65" s="20">
        <v>184</v>
      </c>
      <c r="H65" s="19">
        <v>824</v>
      </c>
      <c r="I65" s="20">
        <v>401</v>
      </c>
      <c r="J65" s="20">
        <v>423</v>
      </c>
      <c r="K65" s="20">
        <v>20</v>
      </c>
      <c r="L65" s="57">
        <f t="shared" si="4"/>
        <v>2.4271844660194174E-2</v>
      </c>
      <c r="M65" s="20">
        <v>241</v>
      </c>
      <c r="N65" s="57">
        <f t="shared" si="5"/>
        <v>0.29247572815533979</v>
      </c>
      <c r="O65" s="46">
        <v>3.2</v>
      </c>
      <c r="P65" s="46">
        <v>0</v>
      </c>
      <c r="Q65" s="58" t="s">
        <v>51</v>
      </c>
      <c r="R65" s="60" t="s">
        <v>936</v>
      </c>
      <c r="S65" s="58"/>
      <c r="T65" s="58"/>
      <c r="U65" s="58"/>
      <c r="V65" s="58"/>
      <c r="W65" s="58"/>
      <c r="X65" s="58" t="s">
        <v>51</v>
      </c>
      <c r="Y65" s="58"/>
      <c r="Z65" s="58"/>
      <c r="AA65" s="58"/>
      <c r="AB65" s="58"/>
      <c r="AC65" s="58" t="s">
        <v>51</v>
      </c>
      <c r="AD65" s="58"/>
      <c r="AE65" s="58"/>
      <c r="AF65" s="58"/>
      <c r="AG65" s="58"/>
      <c r="AH65" s="58"/>
      <c r="AI65" s="58"/>
    </row>
    <row r="66" spans="1:35" ht="15.5" x14ac:dyDescent="0.35">
      <c r="A66" s="17" t="s">
        <v>46</v>
      </c>
      <c r="B66" s="17" t="s">
        <v>907</v>
      </c>
      <c r="C66" s="28" t="s">
        <v>1012</v>
      </c>
      <c r="D66" s="17" t="s">
        <v>1038</v>
      </c>
      <c r="E66" s="17" t="s">
        <v>1039</v>
      </c>
      <c r="F66" s="20">
        <v>238.67</v>
      </c>
      <c r="G66" s="20">
        <v>182</v>
      </c>
      <c r="H66" s="19">
        <v>873</v>
      </c>
      <c r="I66" s="20">
        <v>445</v>
      </c>
      <c r="J66" s="20">
        <v>428</v>
      </c>
      <c r="K66" s="20">
        <v>429</v>
      </c>
      <c r="L66" s="57">
        <f t="shared" si="4"/>
        <v>0.49140893470790376</v>
      </c>
      <c r="M66" s="20">
        <v>140</v>
      </c>
      <c r="N66" s="57">
        <f t="shared" si="5"/>
        <v>0.16036655211912945</v>
      </c>
      <c r="O66" s="46">
        <v>36.880000000000003</v>
      </c>
      <c r="P66" s="46">
        <v>0</v>
      </c>
      <c r="Q66" s="58" t="s">
        <v>51</v>
      </c>
      <c r="R66" s="60" t="s">
        <v>1014</v>
      </c>
      <c r="S66" s="58"/>
      <c r="T66" s="58"/>
      <c r="U66" s="58"/>
      <c r="V66" s="58"/>
      <c r="W66" s="58"/>
      <c r="X66" s="58" t="s">
        <v>51</v>
      </c>
      <c r="Y66" s="58"/>
      <c r="Z66" s="58"/>
      <c r="AA66" s="58"/>
      <c r="AB66" s="58"/>
      <c r="AC66" s="58" t="s">
        <v>51</v>
      </c>
      <c r="AD66" s="58"/>
      <c r="AE66" s="58"/>
      <c r="AF66" s="58"/>
      <c r="AG66" s="58"/>
      <c r="AH66" s="58"/>
      <c r="AI66" s="58"/>
    </row>
    <row r="67" spans="1:35" ht="15.5" x14ac:dyDescent="0.35">
      <c r="A67" s="17" t="s">
        <v>46</v>
      </c>
      <c r="B67" s="17" t="s">
        <v>907</v>
      </c>
      <c r="C67" s="28" t="s">
        <v>1031</v>
      </c>
      <c r="D67" s="17" t="s">
        <v>1040</v>
      </c>
      <c r="E67" s="17" t="s">
        <v>1041</v>
      </c>
      <c r="F67" s="20">
        <v>134.41999999999999</v>
      </c>
      <c r="G67" s="20">
        <v>93</v>
      </c>
      <c r="H67" s="19">
        <v>410</v>
      </c>
      <c r="I67" s="20">
        <v>206</v>
      </c>
      <c r="J67" s="20">
        <v>204</v>
      </c>
      <c r="K67" s="20">
        <v>63</v>
      </c>
      <c r="L67" s="57">
        <f t="shared" si="4"/>
        <v>0.15365853658536585</v>
      </c>
      <c r="M67" s="20">
        <v>167</v>
      </c>
      <c r="N67" s="57">
        <f t="shared" si="5"/>
        <v>0.40731707317073168</v>
      </c>
      <c r="O67" s="46">
        <v>8.9700000000000006</v>
      </c>
      <c r="P67" s="46">
        <v>0</v>
      </c>
      <c r="Q67" s="58" t="s">
        <v>51</v>
      </c>
      <c r="R67" s="60" t="s">
        <v>936</v>
      </c>
      <c r="S67" s="58"/>
      <c r="T67" s="58"/>
      <c r="U67" s="58"/>
      <c r="V67" s="58"/>
      <c r="W67" s="58"/>
      <c r="X67" s="58" t="s">
        <v>51</v>
      </c>
      <c r="Y67" s="58"/>
      <c r="Z67" s="58"/>
      <c r="AA67" s="58"/>
      <c r="AB67" s="58"/>
      <c r="AC67" s="58" t="s">
        <v>51</v>
      </c>
      <c r="AD67" s="58"/>
      <c r="AE67" s="58"/>
      <c r="AF67" s="58"/>
      <c r="AG67" s="58"/>
      <c r="AH67" s="58"/>
      <c r="AI67" s="58"/>
    </row>
    <row r="68" spans="1:35" ht="15.5" x14ac:dyDescent="0.35">
      <c r="A68" s="17" t="s">
        <v>46</v>
      </c>
      <c r="B68" s="17" t="s">
        <v>907</v>
      </c>
      <c r="C68" s="28" t="s">
        <v>1042</v>
      </c>
      <c r="D68" s="17" t="s">
        <v>1043</v>
      </c>
      <c r="E68" s="17" t="s">
        <v>1044</v>
      </c>
      <c r="F68" s="20">
        <v>153.02000000000001</v>
      </c>
      <c r="G68" s="20">
        <v>83</v>
      </c>
      <c r="H68" s="19">
        <v>342</v>
      </c>
      <c r="I68" s="20">
        <v>172</v>
      </c>
      <c r="J68" s="20">
        <v>170</v>
      </c>
      <c r="K68" s="20">
        <v>101</v>
      </c>
      <c r="L68" s="57">
        <f t="shared" ref="L68:L99" si="6">K68/H68</f>
        <v>0.2953216374269006</v>
      </c>
      <c r="M68" s="20">
        <v>45</v>
      </c>
      <c r="N68" s="57">
        <f t="shared" si="5"/>
        <v>0.13157894736842105</v>
      </c>
      <c r="O68" s="46">
        <v>0</v>
      </c>
      <c r="P68" s="46">
        <v>0</v>
      </c>
      <c r="Q68" s="58" t="s">
        <v>51</v>
      </c>
      <c r="R68" s="60" t="s">
        <v>1014</v>
      </c>
      <c r="S68" s="58"/>
      <c r="T68" s="58"/>
      <c r="U68" s="58"/>
      <c r="V68" s="58"/>
      <c r="W68" s="58"/>
      <c r="X68" s="58" t="s">
        <v>51</v>
      </c>
      <c r="Y68" s="58"/>
      <c r="Z68" s="58"/>
      <c r="AA68" s="58"/>
      <c r="AB68" s="58"/>
      <c r="AC68" s="58" t="s">
        <v>51</v>
      </c>
      <c r="AD68" s="58"/>
      <c r="AE68" s="58"/>
      <c r="AF68" s="58"/>
      <c r="AG68" s="58"/>
      <c r="AH68" s="58"/>
      <c r="AI68" s="58"/>
    </row>
    <row r="69" spans="1:35" ht="15.5" x14ac:dyDescent="0.35">
      <c r="A69" s="17" t="s">
        <v>46</v>
      </c>
      <c r="B69" s="17" t="s">
        <v>907</v>
      </c>
      <c r="C69" s="28" t="s">
        <v>1042</v>
      </c>
      <c r="D69" s="17" t="s">
        <v>1045</v>
      </c>
      <c r="E69" s="17" t="s">
        <v>1046</v>
      </c>
      <c r="F69" s="20">
        <v>121.09</v>
      </c>
      <c r="G69" s="20">
        <v>97</v>
      </c>
      <c r="H69" s="19">
        <v>392</v>
      </c>
      <c r="I69" s="20">
        <v>181</v>
      </c>
      <c r="J69" s="20">
        <v>211</v>
      </c>
      <c r="K69" s="20">
        <v>8</v>
      </c>
      <c r="L69" s="57">
        <f t="shared" si="6"/>
        <v>2.0408163265306121E-2</v>
      </c>
      <c r="M69" s="20">
        <v>381</v>
      </c>
      <c r="N69" s="57">
        <f t="shared" si="5"/>
        <v>0.97193877551020413</v>
      </c>
      <c r="O69" s="46">
        <v>0</v>
      </c>
      <c r="P69" s="46">
        <v>0</v>
      </c>
      <c r="Q69" s="58" t="s">
        <v>51</v>
      </c>
      <c r="R69" s="60" t="s">
        <v>1014</v>
      </c>
      <c r="S69" s="58"/>
      <c r="T69" s="58"/>
      <c r="U69" s="58"/>
      <c r="V69" s="58"/>
      <c r="W69" s="58"/>
      <c r="X69" s="58" t="s">
        <v>51</v>
      </c>
      <c r="Y69" s="58"/>
      <c r="Z69" s="58"/>
      <c r="AA69" s="58"/>
      <c r="AB69" s="58"/>
      <c r="AC69" s="58" t="s">
        <v>51</v>
      </c>
      <c r="AD69" s="58"/>
      <c r="AE69" s="58"/>
      <c r="AF69" s="58"/>
      <c r="AG69" s="58"/>
      <c r="AH69" s="58"/>
      <c r="AI69" s="58"/>
    </row>
    <row r="70" spans="1:35" ht="15.5" x14ac:dyDescent="0.35">
      <c r="A70" s="17" t="s">
        <v>46</v>
      </c>
      <c r="B70" s="17" t="s">
        <v>907</v>
      </c>
      <c r="C70" s="28" t="s">
        <v>1042</v>
      </c>
      <c r="D70" s="17" t="s">
        <v>1047</v>
      </c>
      <c r="E70" s="17" t="s">
        <v>1048</v>
      </c>
      <c r="F70" s="28">
        <v>42.67</v>
      </c>
      <c r="G70" s="47"/>
      <c r="H70" s="19">
        <v>0</v>
      </c>
      <c r="I70" s="47"/>
      <c r="J70" s="47"/>
      <c r="K70" s="47"/>
      <c r="L70" s="57" t="e">
        <f t="shared" si="6"/>
        <v>#DIV/0!</v>
      </c>
      <c r="M70" s="47"/>
      <c r="N70" s="57" t="e">
        <f t="shared" si="5"/>
        <v>#DIV/0!</v>
      </c>
      <c r="O70" s="48">
        <v>0</v>
      </c>
      <c r="P70" s="48">
        <v>0</v>
      </c>
      <c r="Q70" s="58" t="s">
        <v>112</v>
      </c>
      <c r="R70" s="60"/>
      <c r="S70" s="58"/>
      <c r="T70" s="58"/>
      <c r="U70" s="58"/>
      <c r="V70" s="58"/>
      <c r="W70" s="58"/>
      <c r="X70" s="58" t="s">
        <v>112</v>
      </c>
      <c r="Y70" s="58"/>
      <c r="Z70" s="58"/>
      <c r="AA70" s="58"/>
      <c r="AB70" s="58"/>
      <c r="AC70" s="58" t="s">
        <v>112</v>
      </c>
      <c r="AD70" s="58"/>
      <c r="AE70" s="58"/>
      <c r="AF70" s="58"/>
      <c r="AG70" s="58"/>
      <c r="AH70" s="58"/>
      <c r="AI70" s="58"/>
    </row>
    <row r="71" spans="1:35" ht="15.5" x14ac:dyDescent="0.35">
      <c r="A71" s="17" t="s">
        <v>46</v>
      </c>
      <c r="B71" s="17" t="s">
        <v>907</v>
      </c>
      <c r="C71" s="28" t="s">
        <v>1042</v>
      </c>
      <c r="D71" s="17" t="s">
        <v>1049</v>
      </c>
      <c r="E71" s="17" t="s">
        <v>1050</v>
      </c>
      <c r="F71" s="20">
        <v>87.02</v>
      </c>
      <c r="G71" s="20">
        <v>66</v>
      </c>
      <c r="H71" s="19">
        <v>298</v>
      </c>
      <c r="I71" s="20">
        <v>148</v>
      </c>
      <c r="J71" s="20">
        <v>150</v>
      </c>
      <c r="K71" s="20">
        <v>0</v>
      </c>
      <c r="L71" s="57">
        <f t="shared" si="6"/>
        <v>0</v>
      </c>
      <c r="M71" s="20">
        <v>3</v>
      </c>
      <c r="N71" s="57">
        <f t="shared" si="5"/>
        <v>1.0067114093959731E-2</v>
      </c>
      <c r="O71" s="46">
        <v>0</v>
      </c>
      <c r="P71" s="46">
        <v>0</v>
      </c>
      <c r="Q71" s="58" t="s">
        <v>51</v>
      </c>
      <c r="R71" s="60" t="s">
        <v>1014</v>
      </c>
      <c r="S71" s="58"/>
      <c r="T71" s="58"/>
      <c r="U71" s="58"/>
      <c r="V71" s="58"/>
      <c r="W71" s="58"/>
      <c r="X71" s="58" t="s">
        <v>51</v>
      </c>
      <c r="Y71" s="58"/>
      <c r="Z71" s="58"/>
      <c r="AA71" s="58"/>
      <c r="AB71" s="58"/>
      <c r="AC71" s="58" t="s">
        <v>51</v>
      </c>
      <c r="AD71" s="58"/>
      <c r="AE71" s="58"/>
      <c r="AF71" s="58"/>
      <c r="AG71" s="58"/>
      <c r="AH71" s="58"/>
      <c r="AI71" s="58"/>
    </row>
    <row r="72" spans="1:35" ht="15.5" x14ac:dyDescent="0.35">
      <c r="A72" s="17" t="s">
        <v>46</v>
      </c>
      <c r="B72" s="17" t="s">
        <v>907</v>
      </c>
      <c r="C72" s="28" t="s">
        <v>1051</v>
      </c>
      <c r="D72" s="17" t="s">
        <v>1052</v>
      </c>
      <c r="E72" s="17" t="s">
        <v>1053</v>
      </c>
      <c r="F72" s="20">
        <v>110.25</v>
      </c>
      <c r="G72" s="20">
        <v>45</v>
      </c>
      <c r="H72" s="19">
        <v>182</v>
      </c>
      <c r="I72" s="20">
        <v>95</v>
      </c>
      <c r="J72" s="20">
        <v>87</v>
      </c>
      <c r="K72" s="20">
        <v>0</v>
      </c>
      <c r="L72" s="57">
        <f t="shared" si="6"/>
        <v>0</v>
      </c>
      <c r="M72" s="20">
        <v>165</v>
      </c>
      <c r="N72" s="57">
        <f t="shared" si="5"/>
        <v>0.90659340659340659</v>
      </c>
      <c r="O72" s="46">
        <v>7.4</v>
      </c>
      <c r="P72" s="46">
        <v>0</v>
      </c>
      <c r="Q72" s="58" t="s">
        <v>51</v>
      </c>
      <c r="R72" s="60" t="s">
        <v>1014</v>
      </c>
      <c r="S72" s="58"/>
      <c r="T72" s="58"/>
      <c r="U72" s="58"/>
      <c r="V72" s="58"/>
      <c r="W72" s="58"/>
      <c r="X72" s="58" t="s">
        <v>51</v>
      </c>
      <c r="Y72" s="58"/>
      <c r="Z72" s="58"/>
      <c r="AA72" s="58"/>
      <c r="AB72" s="58"/>
      <c r="AC72" s="58" t="s">
        <v>51</v>
      </c>
      <c r="AD72" s="58"/>
      <c r="AE72" s="58"/>
      <c r="AF72" s="58"/>
      <c r="AG72" s="58"/>
      <c r="AH72" s="58"/>
      <c r="AI72" s="58"/>
    </row>
    <row r="73" spans="1:35" ht="15.5" x14ac:dyDescent="0.35">
      <c r="A73" s="17" t="s">
        <v>46</v>
      </c>
      <c r="B73" s="17" t="s">
        <v>907</v>
      </c>
      <c r="C73" s="28" t="s">
        <v>1054</v>
      </c>
      <c r="D73" s="17" t="s">
        <v>1055</v>
      </c>
      <c r="E73" s="17" t="s">
        <v>1056</v>
      </c>
      <c r="F73" s="20">
        <v>390.01</v>
      </c>
      <c r="G73" s="20">
        <v>215</v>
      </c>
      <c r="H73" s="19">
        <v>990</v>
      </c>
      <c r="I73" s="20">
        <v>500</v>
      </c>
      <c r="J73" s="20">
        <v>490</v>
      </c>
      <c r="K73" s="20">
        <v>71</v>
      </c>
      <c r="L73" s="57">
        <f t="shared" si="6"/>
        <v>7.1717171717171721E-2</v>
      </c>
      <c r="M73" s="20">
        <v>221</v>
      </c>
      <c r="N73" s="57">
        <f t="shared" si="5"/>
        <v>0.22323232323232323</v>
      </c>
      <c r="O73" s="46">
        <v>46.19</v>
      </c>
      <c r="P73" s="46">
        <v>0</v>
      </c>
      <c r="Q73" s="58" t="s">
        <v>51</v>
      </c>
      <c r="R73" s="60" t="s">
        <v>1014</v>
      </c>
      <c r="S73" s="58"/>
      <c r="T73" s="58"/>
      <c r="U73" s="58"/>
      <c r="V73" s="58"/>
      <c r="W73" s="58"/>
      <c r="X73" s="58" t="s">
        <v>51</v>
      </c>
      <c r="Y73" s="58"/>
      <c r="Z73" s="58"/>
      <c r="AA73" s="58"/>
      <c r="AB73" s="58"/>
      <c r="AC73" s="58" t="s">
        <v>51</v>
      </c>
      <c r="AD73" s="58"/>
      <c r="AE73" s="58"/>
      <c r="AF73" s="58"/>
      <c r="AG73" s="58"/>
      <c r="AH73" s="58"/>
      <c r="AI73" s="58"/>
    </row>
    <row r="74" spans="1:35" x14ac:dyDescent="0.35">
      <c r="A74" s="17" t="s">
        <v>46</v>
      </c>
      <c r="B74" s="17" t="s">
        <v>907</v>
      </c>
      <c r="C74" s="28" t="s">
        <v>1054</v>
      </c>
      <c r="D74" s="17" t="s">
        <v>134</v>
      </c>
      <c r="E74" s="17" t="s">
        <v>1057</v>
      </c>
      <c r="F74" s="20">
        <v>57.47</v>
      </c>
      <c r="G74" s="20">
        <v>46</v>
      </c>
      <c r="H74" s="19">
        <v>172</v>
      </c>
      <c r="I74" s="20">
        <v>82</v>
      </c>
      <c r="J74" s="20">
        <v>90</v>
      </c>
      <c r="K74" s="20">
        <v>21</v>
      </c>
      <c r="L74" s="57">
        <f t="shared" si="6"/>
        <v>0.12209302325581395</v>
      </c>
      <c r="M74" s="20">
        <v>0</v>
      </c>
      <c r="N74" s="57">
        <f t="shared" si="5"/>
        <v>0</v>
      </c>
      <c r="O74" s="46">
        <v>7.31</v>
      </c>
      <c r="P74" s="46">
        <v>0</v>
      </c>
      <c r="Q74" s="58"/>
      <c r="R74" s="59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</row>
    <row r="75" spans="1:35" x14ac:dyDescent="0.35">
      <c r="A75" s="17" t="s">
        <v>46</v>
      </c>
      <c r="B75" s="17" t="s">
        <v>907</v>
      </c>
      <c r="C75" s="28" t="s">
        <v>1054</v>
      </c>
      <c r="D75" s="17" t="s">
        <v>1058</v>
      </c>
      <c r="E75" s="17" t="s">
        <v>1059</v>
      </c>
      <c r="F75" s="20">
        <v>194.22</v>
      </c>
      <c r="G75" s="20">
        <v>149</v>
      </c>
      <c r="H75" s="19">
        <v>684</v>
      </c>
      <c r="I75" s="20">
        <v>331</v>
      </c>
      <c r="J75" s="20">
        <v>353</v>
      </c>
      <c r="K75" s="20">
        <v>9</v>
      </c>
      <c r="L75" s="57">
        <f t="shared" si="6"/>
        <v>1.3157894736842105E-2</v>
      </c>
      <c r="M75" s="20">
        <v>115</v>
      </c>
      <c r="N75" s="57">
        <f t="shared" si="5"/>
        <v>0.16812865497076024</v>
      </c>
      <c r="O75" s="46">
        <v>24.27</v>
      </c>
      <c r="P75" s="46">
        <v>0</v>
      </c>
      <c r="Q75" s="58"/>
      <c r="R75" s="59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</row>
    <row r="76" spans="1:35" x14ac:dyDescent="0.35">
      <c r="A76" s="17" t="s">
        <v>46</v>
      </c>
      <c r="B76" s="17" t="s">
        <v>907</v>
      </c>
      <c r="C76" s="28" t="s">
        <v>1054</v>
      </c>
      <c r="D76" s="17" t="s">
        <v>1060</v>
      </c>
      <c r="E76" s="17" t="s">
        <v>1061</v>
      </c>
      <c r="F76" s="20">
        <v>66.69</v>
      </c>
      <c r="G76" s="20">
        <v>62</v>
      </c>
      <c r="H76" s="19">
        <v>257</v>
      </c>
      <c r="I76" s="20">
        <v>130</v>
      </c>
      <c r="J76" s="20">
        <v>127</v>
      </c>
      <c r="K76" s="20">
        <v>0</v>
      </c>
      <c r="L76" s="57">
        <f t="shared" si="6"/>
        <v>0</v>
      </c>
      <c r="M76" s="20">
        <v>104</v>
      </c>
      <c r="N76" s="57">
        <f t="shared" si="5"/>
        <v>0.40466926070038911</v>
      </c>
      <c r="O76" s="46">
        <v>0</v>
      </c>
      <c r="P76" s="46">
        <v>0</v>
      </c>
      <c r="Q76" s="58"/>
      <c r="R76" s="59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</row>
    <row r="77" spans="1:35" x14ac:dyDescent="0.35">
      <c r="A77" s="17" t="s">
        <v>46</v>
      </c>
      <c r="B77" s="17" t="s">
        <v>907</v>
      </c>
      <c r="C77" s="28" t="s">
        <v>1062</v>
      </c>
      <c r="D77" s="17" t="s">
        <v>1063</v>
      </c>
      <c r="E77" s="17" t="s">
        <v>1064</v>
      </c>
      <c r="F77" s="20">
        <v>114.96</v>
      </c>
      <c r="G77" s="20">
        <v>71</v>
      </c>
      <c r="H77" s="19">
        <v>277</v>
      </c>
      <c r="I77" s="20">
        <v>141</v>
      </c>
      <c r="J77" s="20">
        <v>136</v>
      </c>
      <c r="K77" s="20">
        <v>0</v>
      </c>
      <c r="L77" s="57">
        <f t="shared" si="6"/>
        <v>0</v>
      </c>
      <c r="M77" s="20">
        <v>276</v>
      </c>
      <c r="N77" s="57">
        <f t="shared" si="5"/>
        <v>0.99638989169675085</v>
      </c>
      <c r="O77" s="46">
        <v>0</v>
      </c>
      <c r="P77" s="46">
        <v>0</v>
      </c>
      <c r="Q77" s="58" t="s">
        <v>562</v>
      </c>
      <c r="R77" s="59"/>
      <c r="S77" s="58"/>
      <c r="T77" s="58"/>
      <c r="U77" s="58"/>
      <c r="V77" s="58"/>
      <c r="W77" s="58"/>
      <c r="X77" s="58" t="s">
        <v>562</v>
      </c>
      <c r="Y77" s="58"/>
      <c r="Z77" s="58"/>
      <c r="AA77" s="58"/>
      <c r="AB77" s="58"/>
      <c r="AC77" s="58" t="s">
        <v>562</v>
      </c>
      <c r="AD77" s="58"/>
      <c r="AE77" s="58"/>
      <c r="AF77" s="58"/>
      <c r="AG77" s="58"/>
      <c r="AH77" s="58"/>
      <c r="AI77" s="58"/>
    </row>
    <row r="78" spans="1:35" x14ac:dyDescent="0.35">
      <c r="A78" s="17" t="s">
        <v>46</v>
      </c>
      <c r="B78" s="17" t="s">
        <v>907</v>
      </c>
      <c r="C78" s="28" t="s">
        <v>1062</v>
      </c>
      <c r="D78" s="17" t="s">
        <v>1065</v>
      </c>
      <c r="E78" s="17" t="s">
        <v>1066</v>
      </c>
      <c r="F78" s="20">
        <v>201.15</v>
      </c>
      <c r="G78" s="20">
        <v>126</v>
      </c>
      <c r="H78" s="19">
        <v>563</v>
      </c>
      <c r="I78" s="20">
        <v>301</v>
      </c>
      <c r="J78" s="20">
        <v>262</v>
      </c>
      <c r="K78" s="20">
        <v>0</v>
      </c>
      <c r="L78" s="57">
        <f t="shared" si="6"/>
        <v>0</v>
      </c>
      <c r="M78" s="20">
        <v>558</v>
      </c>
      <c r="N78" s="57">
        <f t="shared" si="5"/>
        <v>0.99111900532859676</v>
      </c>
      <c r="O78" s="46">
        <v>33.770000000000003</v>
      </c>
      <c r="P78" s="46">
        <v>0</v>
      </c>
      <c r="Q78" s="58" t="s">
        <v>51</v>
      </c>
      <c r="R78" s="59">
        <v>2020</v>
      </c>
      <c r="S78" s="58"/>
      <c r="T78" s="58"/>
      <c r="U78" s="58"/>
      <c r="V78" s="58"/>
      <c r="W78" s="58"/>
      <c r="X78" s="58" t="s">
        <v>51</v>
      </c>
      <c r="Y78" s="58"/>
      <c r="Z78" s="58"/>
      <c r="AA78" s="58"/>
      <c r="AB78" s="58"/>
      <c r="AC78" s="58" t="s">
        <v>51</v>
      </c>
      <c r="AD78" s="58"/>
      <c r="AE78" s="58"/>
      <c r="AF78" s="58"/>
      <c r="AG78" s="58"/>
      <c r="AH78" s="58"/>
      <c r="AI78" s="58"/>
    </row>
    <row r="79" spans="1:35" x14ac:dyDescent="0.35">
      <c r="A79" s="17" t="s">
        <v>46</v>
      </c>
      <c r="B79" s="17" t="s">
        <v>907</v>
      </c>
      <c r="C79" s="28" t="s">
        <v>1054</v>
      </c>
      <c r="D79" s="17" t="s">
        <v>1067</v>
      </c>
      <c r="E79" s="17" t="s">
        <v>1068</v>
      </c>
      <c r="F79" s="20">
        <v>182.06</v>
      </c>
      <c r="G79" s="20">
        <v>90</v>
      </c>
      <c r="H79" s="19">
        <v>368</v>
      </c>
      <c r="I79" s="20">
        <v>187</v>
      </c>
      <c r="J79" s="20">
        <v>181</v>
      </c>
      <c r="K79" s="20">
        <v>0</v>
      </c>
      <c r="L79" s="57">
        <f t="shared" si="6"/>
        <v>0</v>
      </c>
      <c r="M79" s="20">
        <v>360</v>
      </c>
      <c r="N79" s="57">
        <f t="shared" si="5"/>
        <v>0.97826086956521741</v>
      </c>
      <c r="O79" s="46">
        <v>64.069999999999993</v>
      </c>
      <c r="P79" s="46">
        <v>0</v>
      </c>
      <c r="Q79" s="58"/>
      <c r="R79" s="59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</row>
    <row r="80" spans="1:35" x14ac:dyDescent="0.35">
      <c r="A80" s="17" t="s">
        <v>46</v>
      </c>
      <c r="B80" s="17" t="s">
        <v>907</v>
      </c>
      <c r="C80" s="28" t="s">
        <v>1062</v>
      </c>
      <c r="D80" s="17" t="s">
        <v>1069</v>
      </c>
      <c r="E80" s="17" t="s">
        <v>1070</v>
      </c>
      <c r="F80" s="20">
        <v>84.89</v>
      </c>
      <c r="G80" s="20">
        <v>111</v>
      </c>
      <c r="H80" s="19">
        <v>454</v>
      </c>
      <c r="I80" s="20">
        <v>239</v>
      </c>
      <c r="J80" s="20">
        <v>215</v>
      </c>
      <c r="K80" s="20">
        <v>8</v>
      </c>
      <c r="L80" s="57">
        <f t="shared" si="6"/>
        <v>1.7621145374449341E-2</v>
      </c>
      <c r="M80" s="20">
        <v>425</v>
      </c>
      <c r="N80" s="57">
        <f t="shared" si="5"/>
        <v>0.93612334801762109</v>
      </c>
      <c r="O80" s="46">
        <v>16.399999999999999</v>
      </c>
      <c r="P80" s="46">
        <v>0</v>
      </c>
      <c r="Q80" s="58" t="s">
        <v>562</v>
      </c>
      <c r="R80" s="59"/>
      <c r="S80" s="58"/>
      <c r="T80" s="58"/>
      <c r="U80" s="58"/>
      <c r="V80" s="58"/>
      <c r="W80" s="58"/>
      <c r="X80" s="58" t="s">
        <v>562</v>
      </c>
      <c r="Y80" s="58"/>
      <c r="Z80" s="58"/>
      <c r="AA80" s="58"/>
      <c r="AB80" s="58"/>
      <c r="AC80" s="58" t="s">
        <v>562</v>
      </c>
      <c r="AD80" s="58"/>
      <c r="AE80" s="58"/>
      <c r="AF80" s="58"/>
      <c r="AG80" s="58"/>
      <c r="AH80" s="58"/>
      <c r="AI80" s="58"/>
    </row>
    <row r="81" spans="1:35" x14ac:dyDescent="0.35">
      <c r="A81" s="17" t="s">
        <v>46</v>
      </c>
      <c r="B81" s="17" t="s">
        <v>907</v>
      </c>
      <c r="C81" s="28" t="s">
        <v>1062</v>
      </c>
      <c r="D81" s="17" t="s">
        <v>1071</v>
      </c>
      <c r="E81" s="17" t="s">
        <v>1072</v>
      </c>
      <c r="F81" s="20">
        <v>34.89</v>
      </c>
      <c r="G81" s="20">
        <v>22</v>
      </c>
      <c r="H81" s="19">
        <v>92</v>
      </c>
      <c r="I81" s="20">
        <v>45</v>
      </c>
      <c r="J81" s="20">
        <v>47</v>
      </c>
      <c r="K81" s="20">
        <v>0</v>
      </c>
      <c r="L81" s="57">
        <f t="shared" si="6"/>
        <v>0</v>
      </c>
      <c r="M81" s="20">
        <v>92</v>
      </c>
      <c r="N81" s="57">
        <f t="shared" si="5"/>
        <v>1</v>
      </c>
      <c r="O81" s="46">
        <v>0</v>
      </c>
      <c r="P81" s="46">
        <v>0</v>
      </c>
      <c r="Q81" s="58"/>
      <c r="R81" s="59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</row>
    <row r="82" spans="1:35" x14ac:dyDescent="0.35">
      <c r="A82" s="17" t="s">
        <v>46</v>
      </c>
      <c r="B82" s="17" t="s">
        <v>907</v>
      </c>
      <c r="C82" s="28" t="s">
        <v>1054</v>
      </c>
      <c r="D82" s="17" t="s">
        <v>1073</v>
      </c>
      <c r="E82" s="17" t="s">
        <v>1074</v>
      </c>
      <c r="F82" s="20">
        <v>158.13999999999999</v>
      </c>
      <c r="G82" s="20">
        <v>41</v>
      </c>
      <c r="H82" s="19">
        <v>181</v>
      </c>
      <c r="I82" s="20">
        <v>98</v>
      </c>
      <c r="J82" s="20">
        <v>83</v>
      </c>
      <c r="K82" s="20">
        <v>0</v>
      </c>
      <c r="L82" s="57">
        <f t="shared" si="6"/>
        <v>0</v>
      </c>
      <c r="M82" s="20">
        <v>173</v>
      </c>
      <c r="N82" s="57">
        <f t="shared" si="5"/>
        <v>0.95580110497237569</v>
      </c>
      <c r="O82" s="46">
        <v>13.09</v>
      </c>
      <c r="P82" s="46">
        <v>100.17</v>
      </c>
      <c r="Q82" s="58"/>
      <c r="R82" s="59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</row>
    <row r="83" spans="1:35" x14ac:dyDescent="0.35">
      <c r="A83" s="17" t="s">
        <v>46</v>
      </c>
      <c r="B83" s="17" t="s">
        <v>907</v>
      </c>
      <c r="C83" s="28" t="s">
        <v>1062</v>
      </c>
      <c r="D83" s="17" t="s">
        <v>1075</v>
      </c>
      <c r="E83" s="17" t="s">
        <v>1076</v>
      </c>
      <c r="F83" s="20">
        <v>735.7</v>
      </c>
      <c r="G83" s="20">
        <v>222</v>
      </c>
      <c r="H83" s="19">
        <v>988</v>
      </c>
      <c r="I83" s="20">
        <v>491</v>
      </c>
      <c r="J83" s="20">
        <v>497</v>
      </c>
      <c r="K83" s="20">
        <v>5</v>
      </c>
      <c r="L83" s="57">
        <f t="shared" si="6"/>
        <v>5.0607287449392713E-3</v>
      </c>
      <c r="M83" s="20">
        <v>957</v>
      </c>
      <c r="N83" s="57">
        <f t="shared" si="5"/>
        <v>0.96862348178137647</v>
      </c>
      <c r="O83" s="46">
        <v>109.03</v>
      </c>
      <c r="P83" s="46">
        <v>366.84</v>
      </c>
      <c r="Q83" s="58" t="s">
        <v>51</v>
      </c>
      <c r="R83" s="59">
        <v>2020</v>
      </c>
      <c r="S83" s="58"/>
      <c r="T83" s="58"/>
      <c r="U83" s="58"/>
      <c r="V83" s="58"/>
      <c r="W83" s="58"/>
      <c r="X83" s="58" t="s">
        <v>51</v>
      </c>
      <c r="Y83" s="58"/>
      <c r="Z83" s="58"/>
      <c r="AA83" s="58"/>
      <c r="AB83" s="58"/>
      <c r="AC83" s="58" t="s">
        <v>51</v>
      </c>
      <c r="AD83" s="58"/>
      <c r="AE83" s="58"/>
      <c r="AF83" s="58"/>
      <c r="AG83" s="58"/>
      <c r="AH83" s="58"/>
      <c r="AI83" s="58"/>
    </row>
    <row r="84" spans="1:35" x14ac:dyDescent="0.35">
      <c r="A84" s="17" t="s">
        <v>46</v>
      </c>
      <c r="B84" s="17" t="s">
        <v>907</v>
      </c>
      <c r="C84" s="28" t="s">
        <v>1077</v>
      </c>
      <c r="D84" s="17" t="s">
        <v>1078</v>
      </c>
      <c r="E84" s="17" t="s">
        <v>1079</v>
      </c>
      <c r="F84" s="20">
        <v>1562.42</v>
      </c>
      <c r="G84" s="20">
        <v>152</v>
      </c>
      <c r="H84" s="19">
        <v>736</v>
      </c>
      <c r="I84" s="20">
        <v>381</v>
      </c>
      <c r="J84" s="20">
        <v>355</v>
      </c>
      <c r="K84" s="20">
        <v>0</v>
      </c>
      <c r="L84" s="57">
        <f t="shared" si="6"/>
        <v>0</v>
      </c>
      <c r="M84" s="20">
        <v>724</v>
      </c>
      <c r="N84" s="57">
        <f t="shared" si="5"/>
        <v>0.98369565217391308</v>
      </c>
      <c r="O84" s="46">
        <v>0</v>
      </c>
      <c r="P84" s="46">
        <v>1154.5</v>
      </c>
      <c r="Q84" s="58" t="s">
        <v>562</v>
      </c>
      <c r="R84" s="59"/>
      <c r="S84" s="58"/>
      <c r="T84" s="58"/>
      <c r="U84" s="58"/>
      <c r="V84" s="58"/>
      <c r="W84" s="58"/>
      <c r="X84" s="58" t="s">
        <v>562</v>
      </c>
      <c r="Y84" s="58"/>
      <c r="Z84" s="58"/>
      <c r="AA84" s="58"/>
      <c r="AB84" s="58"/>
      <c r="AC84" s="58" t="s">
        <v>562</v>
      </c>
      <c r="AD84" s="58"/>
      <c r="AE84" s="58"/>
      <c r="AF84" s="58"/>
      <c r="AG84" s="58"/>
      <c r="AH84" s="58"/>
      <c r="AI84" s="58"/>
    </row>
    <row r="85" spans="1:35" x14ac:dyDescent="0.35">
      <c r="A85" s="17" t="s">
        <v>46</v>
      </c>
      <c r="B85" s="17" t="s">
        <v>907</v>
      </c>
      <c r="C85" s="28" t="s">
        <v>1077</v>
      </c>
      <c r="D85" s="17" t="s">
        <v>1080</v>
      </c>
      <c r="E85" s="17" t="s">
        <v>1081</v>
      </c>
      <c r="F85" s="20">
        <v>430.86</v>
      </c>
      <c r="G85" s="20">
        <v>20</v>
      </c>
      <c r="H85" s="19">
        <v>92</v>
      </c>
      <c r="I85" s="20">
        <v>46</v>
      </c>
      <c r="J85" s="20">
        <v>46</v>
      </c>
      <c r="K85" s="20">
        <v>1</v>
      </c>
      <c r="L85" s="57">
        <f t="shared" si="6"/>
        <v>1.0869565217391304E-2</v>
      </c>
      <c r="M85" s="20">
        <v>67</v>
      </c>
      <c r="N85" s="57">
        <f t="shared" si="5"/>
        <v>0.72826086956521741</v>
      </c>
      <c r="O85" s="46">
        <v>8</v>
      </c>
      <c r="P85" s="46">
        <v>25.6</v>
      </c>
      <c r="Q85" s="58" t="s">
        <v>51</v>
      </c>
      <c r="R85" s="59">
        <v>2019</v>
      </c>
      <c r="S85" s="58"/>
      <c r="T85" s="58"/>
      <c r="U85" s="58"/>
      <c r="V85" s="58"/>
      <c r="W85" s="58"/>
      <c r="X85" s="58" t="s">
        <v>51</v>
      </c>
      <c r="Y85" s="58"/>
      <c r="Z85" s="58"/>
      <c r="AA85" s="58"/>
      <c r="AB85" s="58"/>
      <c r="AC85" s="58" t="s">
        <v>51</v>
      </c>
      <c r="AD85" s="58"/>
      <c r="AE85" s="58"/>
      <c r="AF85" s="58"/>
      <c r="AG85" s="58"/>
      <c r="AH85" s="58"/>
      <c r="AI85" s="58"/>
    </row>
    <row r="86" spans="1:35" x14ac:dyDescent="0.35">
      <c r="A86" s="17" t="s">
        <v>46</v>
      </c>
      <c r="B86" s="17" t="s">
        <v>907</v>
      </c>
      <c r="C86" s="28" t="s">
        <v>1077</v>
      </c>
      <c r="D86" s="17" t="s">
        <v>102</v>
      </c>
      <c r="E86" s="17" t="s">
        <v>1082</v>
      </c>
      <c r="F86" s="20">
        <v>83.13</v>
      </c>
      <c r="G86" s="20">
        <v>81</v>
      </c>
      <c r="H86" s="19">
        <v>396</v>
      </c>
      <c r="I86" s="20">
        <v>206</v>
      </c>
      <c r="J86" s="20">
        <v>190</v>
      </c>
      <c r="K86" s="20">
        <v>16</v>
      </c>
      <c r="L86" s="57">
        <f t="shared" si="6"/>
        <v>4.0404040404040407E-2</v>
      </c>
      <c r="M86" s="20">
        <v>275</v>
      </c>
      <c r="N86" s="57">
        <f t="shared" si="5"/>
        <v>0.69444444444444442</v>
      </c>
      <c r="O86" s="46">
        <v>1</v>
      </c>
      <c r="P86" s="46">
        <v>0</v>
      </c>
      <c r="Q86" s="58" t="s">
        <v>562</v>
      </c>
      <c r="R86" s="59"/>
      <c r="S86" s="58"/>
      <c r="T86" s="58"/>
      <c r="U86" s="58"/>
      <c r="V86" s="58"/>
      <c r="W86" s="58"/>
      <c r="X86" s="58" t="s">
        <v>562</v>
      </c>
      <c r="Y86" s="58"/>
      <c r="Z86" s="58"/>
      <c r="AA86" s="58"/>
      <c r="AB86" s="58"/>
      <c r="AC86" s="58" t="s">
        <v>562</v>
      </c>
      <c r="AD86" s="58"/>
      <c r="AE86" s="58"/>
      <c r="AF86" s="58"/>
      <c r="AG86" s="58"/>
      <c r="AH86" s="58"/>
      <c r="AI86" s="58"/>
    </row>
    <row r="87" spans="1:35" x14ac:dyDescent="0.35">
      <c r="A87" s="17" t="s">
        <v>46</v>
      </c>
      <c r="B87" s="17" t="s">
        <v>907</v>
      </c>
      <c r="C87" s="28" t="s">
        <v>1083</v>
      </c>
      <c r="D87" s="17" t="s">
        <v>475</v>
      </c>
      <c r="E87" s="17" t="s">
        <v>1084</v>
      </c>
      <c r="F87" s="20">
        <v>534.16</v>
      </c>
      <c r="G87" s="20">
        <v>225</v>
      </c>
      <c r="H87" s="19">
        <v>1159</v>
      </c>
      <c r="I87" s="20">
        <v>604</v>
      </c>
      <c r="J87" s="20">
        <v>555</v>
      </c>
      <c r="K87" s="20">
        <v>50</v>
      </c>
      <c r="L87" s="57">
        <f t="shared" si="6"/>
        <v>4.3140638481449528E-2</v>
      </c>
      <c r="M87" s="20">
        <v>121</v>
      </c>
      <c r="N87" s="57">
        <f t="shared" si="5"/>
        <v>0.10440034512510785</v>
      </c>
      <c r="O87" s="46">
        <v>25.75</v>
      </c>
      <c r="P87" s="46">
        <v>0</v>
      </c>
      <c r="Q87" s="58" t="s">
        <v>562</v>
      </c>
      <c r="R87" s="59"/>
      <c r="S87" s="58"/>
      <c r="T87" s="58"/>
      <c r="U87" s="58"/>
      <c r="V87" s="58"/>
      <c r="W87" s="58"/>
      <c r="X87" s="58" t="s">
        <v>562</v>
      </c>
      <c r="Y87" s="58"/>
      <c r="Z87" s="58"/>
      <c r="AA87" s="58"/>
      <c r="AB87" s="58"/>
      <c r="AC87" s="58" t="s">
        <v>562</v>
      </c>
      <c r="AD87" s="58"/>
      <c r="AE87" s="58"/>
      <c r="AF87" s="58"/>
      <c r="AG87" s="58"/>
      <c r="AH87" s="58"/>
      <c r="AI87" s="58"/>
    </row>
    <row r="88" spans="1:35" x14ac:dyDescent="0.35">
      <c r="A88" s="17" t="s">
        <v>46</v>
      </c>
      <c r="B88" s="17" t="s">
        <v>907</v>
      </c>
      <c r="C88" s="28" t="s">
        <v>1077</v>
      </c>
      <c r="D88" s="17" t="s">
        <v>1085</v>
      </c>
      <c r="E88" s="17" t="s">
        <v>1086</v>
      </c>
      <c r="F88" s="20">
        <v>98.31</v>
      </c>
      <c r="G88" s="20">
        <v>19</v>
      </c>
      <c r="H88" s="19">
        <v>98</v>
      </c>
      <c r="I88" s="20">
        <v>50</v>
      </c>
      <c r="J88" s="20">
        <v>48</v>
      </c>
      <c r="K88" s="20">
        <v>0</v>
      </c>
      <c r="L88" s="57">
        <f t="shared" si="6"/>
        <v>0</v>
      </c>
      <c r="M88" s="20">
        <v>0</v>
      </c>
      <c r="N88" s="57">
        <f t="shared" si="5"/>
        <v>0</v>
      </c>
      <c r="O88" s="46">
        <v>0</v>
      </c>
      <c r="P88" s="46">
        <v>0</v>
      </c>
      <c r="Q88" s="58" t="s">
        <v>562</v>
      </c>
      <c r="R88" s="59"/>
      <c r="S88" s="58"/>
      <c r="T88" s="58"/>
      <c r="U88" s="58"/>
      <c r="V88" s="58"/>
      <c r="W88" s="58"/>
      <c r="X88" s="58" t="s">
        <v>562</v>
      </c>
      <c r="Y88" s="58"/>
      <c r="Z88" s="58"/>
      <c r="AA88" s="58"/>
      <c r="AB88" s="58"/>
      <c r="AC88" s="58" t="s">
        <v>562</v>
      </c>
      <c r="AD88" s="58"/>
      <c r="AE88" s="58"/>
      <c r="AF88" s="58"/>
      <c r="AG88" s="58"/>
      <c r="AH88" s="58"/>
      <c r="AI88" s="58"/>
    </row>
    <row r="89" spans="1:35" x14ac:dyDescent="0.35">
      <c r="A89" s="17" t="s">
        <v>46</v>
      </c>
      <c r="B89" s="17" t="s">
        <v>907</v>
      </c>
      <c r="C89" s="28" t="s">
        <v>1077</v>
      </c>
      <c r="D89" s="17" t="s">
        <v>1087</v>
      </c>
      <c r="E89" s="17" t="s">
        <v>1088</v>
      </c>
      <c r="F89" s="20">
        <v>29.4</v>
      </c>
      <c r="G89" s="20">
        <v>67</v>
      </c>
      <c r="H89" s="19">
        <v>326</v>
      </c>
      <c r="I89" s="20">
        <v>158</v>
      </c>
      <c r="J89" s="20">
        <v>168</v>
      </c>
      <c r="K89" s="20">
        <v>0</v>
      </c>
      <c r="L89" s="57">
        <f t="shared" si="6"/>
        <v>0</v>
      </c>
      <c r="M89" s="20">
        <v>326</v>
      </c>
      <c r="N89" s="57">
        <f t="shared" si="5"/>
        <v>1</v>
      </c>
      <c r="O89" s="46">
        <v>0</v>
      </c>
      <c r="P89" s="46">
        <v>0</v>
      </c>
      <c r="Q89" s="58" t="s">
        <v>562</v>
      </c>
      <c r="R89" s="59"/>
      <c r="S89" s="58"/>
      <c r="T89" s="58"/>
      <c r="U89" s="58"/>
      <c r="V89" s="58"/>
      <c r="W89" s="58"/>
      <c r="X89" s="58" t="s">
        <v>562</v>
      </c>
      <c r="Y89" s="58"/>
      <c r="Z89" s="58"/>
      <c r="AA89" s="58"/>
      <c r="AB89" s="58"/>
      <c r="AC89" s="58" t="s">
        <v>562</v>
      </c>
      <c r="AD89" s="58"/>
      <c r="AE89" s="58"/>
      <c r="AF89" s="58"/>
      <c r="AG89" s="58"/>
      <c r="AH89" s="58"/>
      <c r="AI89" s="58"/>
    </row>
    <row r="90" spans="1:35" x14ac:dyDescent="0.35">
      <c r="A90" s="17" t="s">
        <v>46</v>
      </c>
      <c r="B90" s="17" t="s">
        <v>907</v>
      </c>
      <c r="C90" s="28" t="s">
        <v>1077</v>
      </c>
      <c r="D90" s="17" t="s">
        <v>1089</v>
      </c>
      <c r="E90" s="17" t="s">
        <v>1090</v>
      </c>
      <c r="F90" s="20">
        <v>34.200000000000003</v>
      </c>
      <c r="G90" s="20">
        <v>38</v>
      </c>
      <c r="H90" s="19">
        <v>203</v>
      </c>
      <c r="I90" s="20">
        <v>99</v>
      </c>
      <c r="J90" s="20">
        <v>104</v>
      </c>
      <c r="K90" s="20">
        <v>0</v>
      </c>
      <c r="L90" s="57">
        <f t="shared" si="6"/>
        <v>0</v>
      </c>
      <c r="M90" s="20">
        <v>150</v>
      </c>
      <c r="N90" s="57">
        <f t="shared" si="5"/>
        <v>0.73891625615763545</v>
      </c>
      <c r="O90" s="46">
        <v>0</v>
      </c>
      <c r="P90" s="46">
        <v>0</v>
      </c>
      <c r="Q90" s="58" t="s">
        <v>562</v>
      </c>
      <c r="R90" s="59"/>
      <c r="S90" s="58"/>
      <c r="T90" s="58"/>
      <c r="U90" s="58"/>
      <c r="V90" s="58"/>
      <c r="W90" s="58"/>
      <c r="X90" s="58" t="s">
        <v>562</v>
      </c>
      <c r="Y90" s="58"/>
      <c r="Z90" s="58"/>
      <c r="AA90" s="58"/>
      <c r="AB90" s="58"/>
      <c r="AC90" s="58" t="s">
        <v>562</v>
      </c>
      <c r="AD90" s="58"/>
      <c r="AE90" s="58"/>
      <c r="AF90" s="58"/>
      <c r="AG90" s="58"/>
      <c r="AH90" s="58"/>
      <c r="AI90" s="58"/>
    </row>
    <row r="91" spans="1:35" x14ac:dyDescent="0.35">
      <c r="A91" s="17" t="s">
        <v>46</v>
      </c>
      <c r="B91" s="17" t="s">
        <v>907</v>
      </c>
      <c r="C91" s="28" t="s">
        <v>1077</v>
      </c>
      <c r="D91" s="17" t="s">
        <v>106</v>
      </c>
      <c r="E91" s="17" t="s">
        <v>1091</v>
      </c>
      <c r="F91" s="20">
        <v>362.76</v>
      </c>
      <c r="G91" s="20">
        <v>394</v>
      </c>
      <c r="H91" s="19">
        <v>1809</v>
      </c>
      <c r="I91" s="20">
        <v>905</v>
      </c>
      <c r="J91" s="20">
        <v>904</v>
      </c>
      <c r="K91" s="20">
        <v>91</v>
      </c>
      <c r="L91" s="57">
        <f t="shared" si="6"/>
        <v>5.0304035378662244E-2</v>
      </c>
      <c r="M91" s="20">
        <v>591</v>
      </c>
      <c r="N91" s="57">
        <f t="shared" si="5"/>
        <v>0.32669983416252074</v>
      </c>
      <c r="O91" s="46">
        <v>13.3</v>
      </c>
      <c r="P91" s="46">
        <v>0</v>
      </c>
      <c r="Q91" s="58" t="s">
        <v>562</v>
      </c>
      <c r="R91" s="59"/>
      <c r="S91" s="58"/>
      <c r="T91" s="58"/>
      <c r="U91" s="58"/>
      <c r="V91" s="58"/>
      <c r="W91" s="58"/>
      <c r="X91" s="58" t="s">
        <v>562</v>
      </c>
      <c r="Y91" s="58"/>
      <c r="Z91" s="58"/>
      <c r="AA91" s="58"/>
      <c r="AB91" s="58"/>
      <c r="AC91" s="58" t="s">
        <v>562</v>
      </c>
      <c r="AD91" s="58"/>
      <c r="AE91" s="58"/>
      <c r="AF91" s="58"/>
      <c r="AG91" s="58"/>
      <c r="AH91" s="58"/>
      <c r="AI91" s="58"/>
    </row>
    <row r="92" spans="1:35" x14ac:dyDescent="0.35">
      <c r="A92" s="17" t="s">
        <v>46</v>
      </c>
      <c r="B92" s="17" t="s">
        <v>907</v>
      </c>
      <c r="C92" s="28" t="s">
        <v>1077</v>
      </c>
      <c r="D92" s="17" t="s">
        <v>1092</v>
      </c>
      <c r="E92" s="17" t="s">
        <v>1093</v>
      </c>
      <c r="F92" s="20">
        <v>68.209999999999994</v>
      </c>
      <c r="G92" s="20">
        <v>34</v>
      </c>
      <c r="H92" s="19">
        <v>149</v>
      </c>
      <c r="I92" s="20">
        <v>77</v>
      </c>
      <c r="J92" s="20">
        <v>72</v>
      </c>
      <c r="K92" s="20">
        <v>0</v>
      </c>
      <c r="L92" s="57">
        <f t="shared" si="6"/>
        <v>0</v>
      </c>
      <c r="M92" s="20">
        <v>23</v>
      </c>
      <c r="N92" s="57">
        <f t="shared" si="5"/>
        <v>0.15436241610738255</v>
      </c>
      <c r="O92" s="46">
        <v>0</v>
      </c>
      <c r="P92" s="46">
        <v>0</v>
      </c>
      <c r="Q92" s="58" t="s">
        <v>562</v>
      </c>
      <c r="R92" s="59"/>
      <c r="S92" s="58"/>
      <c r="T92" s="58"/>
      <c r="U92" s="58"/>
      <c r="V92" s="58"/>
      <c r="W92" s="58"/>
      <c r="X92" s="58" t="s">
        <v>562</v>
      </c>
      <c r="Y92" s="58"/>
      <c r="Z92" s="58"/>
      <c r="AA92" s="58"/>
      <c r="AB92" s="58"/>
      <c r="AC92" s="58" t="s">
        <v>562</v>
      </c>
      <c r="AD92" s="58"/>
      <c r="AE92" s="58"/>
      <c r="AF92" s="58"/>
      <c r="AG92" s="58"/>
      <c r="AH92" s="58"/>
      <c r="AI92" s="58"/>
    </row>
    <row r="93" spans="1:35" x14ac:dyDescent="0.35">
      <c r="A93" s="17" t="s">
        <v>46</v>
      </c>
      <c r="B93" s="17" t="s">
        <v>907</v>
      </c>
      <c r="C93" s="28" t="s">
        <v>1051</v>
      </c>
      <c r="D93" s="17" t="s">
        <v>1094</v>
      </c>
      <c r="E93" s="17" t="s">
        <v>1095</v>
      </c>
      <c r="F93" s="20">
        <v>114.19</v>
      </c>
      <c r="G93" s="20">
        <v>102</v>
      </c>
      <c r="H93" s="19">
        <v>462</v>
      </c>
      <c r="I93" s="20">
        <v>230</v>
      </c>
      <c r="J93" s="20">
        <v>232</v>
      </c>
      <c r="K93" s="20">
        <v>3</v>
      </c>
      <c r="L93" s="57">
        <f t="shared" si="6"/>
        <v>6.4935064935064939E-3</v>
      </c>
      <c r="M93" s="20">
        <v>396</v>
      </c>
      <c r="N93" s="57">
        <f t="shared" si="5"/>
        <v>0.8571428571428571</v>
      </c>
      <c r="O93" s="46">
        <v>17.920000000000002</v>
      </c>
      <c r="P93" s="46">
        <v>0</v>
      </c>
      <c r="Q93" s="58" t="s">
        <v>51</v>
      </c>
      <c r="R93" s="59">
        <v>2019</v>
      </c>
      <c r="S93" s="58"/>
      <c r="T93" s="58"/>
      <c r="U93" s="58"/>
      <c r="V93" s="58"/>
      <c r="W93" s="58"/>
      <c r="X93" s="58" t="s">
        <v>51</v>
      </c>
      <c r="Y93" s="58"/>
      <c r="Z93" s="58"/>
      <c r="AA93" s="58"/>
      <c r="AB93" s="58"/>
      <c r="AC93" s="58" t="s">
        <v>51</v>
      </c>
      <c r="AD93" s="58"/>
      <c r="AE93" s="58"/>
      <c r="AF93" s="58"/>
      <c r="AG93" s="58"/>
      <c r="AH93" s="58"/>
      <c r="AI93" s="58"/>
    </row>
    <row r="94" spans="1:35" x14ac:dyDescent="0.35">
      <c r="A94" s="17" t="s">
        <v>46</v>
      </c>
      <c r="B94" s="17" t="s">
        <v>907</v>
      </c>
      <c r="C94" s="28" t="s">
        <v>1096</v>
      </c>
      <c r="D94" s="17" t="s">
        <v>1097</v>
      </c>
      <c r="E94" s="17" t="s">
        <v>1098</v>
      </c>
      <c r="F94" s="20">
        <v>485.17</v>
      </c>
      <c r="G94" s="20">
        <v>201</v>
      </c>
      <c r="H94" s="19">
        <v>938</v>
      </c>
      <c r="I94" s="20">
        <v>452</v>
      </c>
      <c r="J94" s="20">
        <v>486</v>
      </c>
      <c r="K94" s="20">
        <v>90</v>
      </c>
      <c r="L94" s="57">
        <f t="shared" si="6"/>
        <v>9.5948827292110878E-2</v>
      </c>
      <c r="M94" s="20">
        <v>115</v>
      </c>
      <c r="N94" s="57">
        <f t="shared" ref="N94:N125" si="7">M94/H94</f>
        <v>0.12260127931769722</v>
      </c>
      <c r="O94" s="46">
        <v>16.2</v>
      </c>
      <c r="P94" s="46">
        <v>0</v>
      </c>
      <c r="Q94" s="58" t="s">
        <v>51</v>
      </c>
      <c r="R94" s="59">
        <v>2019</v>
      </c>
      <c r="S94" s="58"/>
      <c r="T94" s="58"/>
      <c r="U94" s="58"/>
      <c r="V94" s="58"/>
      <c r="W94" s="58"/>
      <c r="X94" s="58" t="s">
        <v>51</v>
      </c>
      <c r="Y94" s="58"/>
      <c r="Z94" s="58"/>
      <c r="AA94" s="58"/>
      <c r="AB94" s="58"/>
      <c r="AC94" s="58" t="s">
        <v>51</v>
      </c>
      <c r="AD94" s="58"/>
      <c r="AE94" s="58"/>
      <c r="AF94" s="58"/>
      <c r="AG94" s="58"/>
      <c r="AH94" s="58"/>
      <c r="AI94" s="58"/>
    </row>
    <row r="95" spans="1:35" x14ac:dyDescent="0.35">
      <c r="A95" s="17" t="s">
        <v>46</v>
      </c>
      <c r="B95" s="17" t="s">
        <v>907</v>
      </c>
      <c r="C95" s="28" t="s">
        <v>1051</v>
      </c>
      <c r="D95" s="17" t="s">
        <v>1099</v>
      </c>
      <c r="E95" s="17" t="s">
        <v>1100</v>
      </c>
      <c r="F95" s="20">
        <v>80.180000000000007</v>
      </c>
      <c r="G95" s="20">
        <v>19</v>
      </c>
      <c r="H95" s="19">
        <v>79</v>
      </c>
      <c r="I95" s="20">
        <v>36</v>
      </c>
      <c r="J95" s="20">
        <v>43</v>
      </c>
      <c r="K95" s="20">
        <v>0</v>
      </c>
      <c r="L95" s="57">
        <f t="shared" si="6"/>
        <v>0</v>
      </c>
      <c r="M95" s="20">
        <v>79</v>
      </c>
      <c r="N95" s="57">
        <f t="shared" si="7"/>
        <v>1</v>
      </c>
      <c r="O95" s="46">
        <v>1.53</v>
      </c>
      <c r="P95" s="46">
        <v>0</v>
      </c>
      <c r="Q95" s="58" t="s">
        <v>51</v>
      </c>
      <c r="R95" s="59">
        <v>2020</v>
      </c>
      <c r="S95" s="58"/>
      <c r="T95" s="58"/>
      <c r="U95" s="58"/>
      <c r="V95" s="58"/>
      <c r="W95" s="58"/>
      <c r="X95" s="58" t="s">
        <v>51</v>
      </c>
      <c r="Y95" s="58"/>
      <c r="Z95" s="58"/>
      <c r="AA95" s="58"/>
      <c r="AB95" s="58"/>
      <c r="AC95" s="58" t="s">
        <v>51</v>
      </c>
      <c r="AD95" s="58"/>
      <c r="AE95" s="58"/>
      <c r="AF95" s="58"/>
      <c r="AG95" s="58"/>
      <c r="AH95" s="58"/>
      <c r="AI95" s="58"/>
    </row>
    <row r="96" spans="1:35" x14ac:dyDescent="0.35">
      <c r="A96" s="17" t="s">
        <v>46</v>
      </c>
      <c r="B96" s="17" t="s">
        <v>907</v>
      </c>
      <c r="C96" s="28" t="s">
        <v>1101</v>
      </c>
      <c r="D96" s="17" t="s">
        <v>1102</v>
      </c>
      <c r="E96" s="17" t="s">
        <v>1103</v>
      </c>
      <c r="F96" s="20">
        <v>131.22</v>
      </c>
      <c r="G96" s="20">
        <v>111</v>
      </c>
      <c r="H96" s="19">
        <v>490</v>
      </c>
      <c r="I96" s="20">
        <v>231</v>
      </c>
      <c r="J96" s="20">
        <v>259</v>
      </c>
      <c r="K96" s="20">
        <v>0</v>
      </c>
      <c r="L96" s="57">
        <f t="shared" si="6"/>
        <v>0</v>
      </c>
      <c r="M96" s="20">
        <v>420</v>
      </c>
      <c r="N96" s="57">
        <f t="shared" si="7"/>
        <v>0.8571428571428571</v>
      </c>
      <c r="O96" s="46">
        <v>4.1500000000000004</v>
      </c>
      <c r="P96" s="46">
        <v>0</v>
      </c>
      <c r="Q96" s="58" t="s">
        <v>51</v>
      </c>
      <c r="R96" s="59">
        <v>2019</v>
      </c>
      <c r="S96" s="58"/>
      <c r="T96" s="58"/>
      <c r="U96" s="58"/>
      <c r="V96" s="58"/>
      <c r="W96" s="58"/>
      <c r="X96" s="58" t="s">
        <v>51</v>
      </c>
      <c r="Y96" s="58"/>
      <c r="Z96" s="58"/>
      <c r="AA96" s="58"/>
      <c r="AB96" s="58"/>
      <c r="AC96" s="58" t="s">
        <v>51</v>
      </c>
      <c r="AD96" s="58"/>
      <c r="AE96" s="58"/>
      <c r="AF96" s="58"/>
      <c r="AG96" s="58"/>
      <c r="AH96" s="58"/>
      <c r="AI96" s="58"/>
    </row>
    <row r="97" spans="1:35" x14ac:dyDescent="0.35">
      <c r="A97" s="17" t="s">
        <v>46</v>
      </c>
      <c r="B97" s="17" t="s">
        <v>907</v>
      </c>
      <c r="C97" s="28" t="s">
        <v>1104</v>
      </c>
      <c r="D97" s="17" t="s">
        <v>1105</v>
      </c>
      <c r="E97" s="17" t="s">
        <v>1106</v>
      </c>
      <c r="F97" s="20">
        <v>541.44000000000005</v>
      </c>
      <c r="G97" s="20">
        <v>232</v>
      </c>
      <c r="H97" s="19">
        <v>971</v>
      </c>
      <c r="I97" s="20">
        <v>492</v>
      </c>
      <c r="J97" s="20">
        <v>479</v>
      </c>
      <c r="K97" s="20">
        <v>48</v>
      </c>
      <c r="L97" s="57">
        <f t="shared" si="6"/>
        <v>4.9433573635427393E-2</v>
      </c>
      <c r="M97" s="20">
        <v>116</v>
      </c>
      <c r="N97" s="57">
        <f t="shared" si="7"/>
        <v>0.11946446961894953</v>
      </c>
      <c r="O97" s="46">
        <v>34.619999999999997</v>
      </c>
      <c r="P97" s="46">
        <v>0</v>
      </c>
      <c r="Q97" s="58" t="s">
        <v>51</v>
      </c>
      <c r="R97" s="59">
        <v>2021</v>
      </c>
      <c r="S97" s="58"/>
      <c r="T97" s="58"/>
      <c r="U97" s="58"/>
      <c r="V97" s="58"/>
      <c r="W97" s="58"/>
      <c r="X97" s="58" t="s">
        <v>51</v>
      </c>
      <c r="Y97" s="58"/>
      <c r="Z97" s="58"/>
      <c r="AA97" s="58"/>
      <c r="AB97" s="58"/>
      <c r="AC97" s="58" t="s">
        <v>51</v>
      </c>
      <c r="AD97" s="58"/>
      <c r="AE97" s="58"/>
      <c r="AF97" s="58"/>
      <c r="AG97" s="58"/>
      <c r="AH97" s="58"/>
      <c r="AI97" s="58"/>
    </row>
    <row r="98" spans="1:35" x14ac:dyDescent="0.35">
      <c r="A98" s="17" t="s">
        <v>46</v>
      </c>
      <c r="B98" s="17" t="s">
        <v>907</v>
      </c>
      <c r="C98" s="28" t="s">
        <v>1104</v>
      </c>
      <c r="D98" s="17" t="s">
        <v>565</v>
      </c>
      <c r="E98" s="17" t="s">
        <v>1107</v>
      </c>
      <c r="F98" s="20">
        <v>106.96</v>
      </c>
      <c r="G98" s="20">
        <v>87</v>
      </c>
      <c r="H98" s="19">
        <v>350</v>
      </c>
      <c r="I98" s="20">
        <v>190</v>
      </c>
      <c r="J98" s="20">
        <v>160</v>
      </c>
      <c r="K98" s="20">
        <v>0</v>
      </c>
      <c r="L98" s="57">
        <f t="shared" si="6"/>
        <v>0</v>
      </c>
      <c r="M98" s="20">
        <v>347</v>
      </c>
      <c r="N98" s="57">
        <f t="shared" si="7"/>
        <v>0.99142857142857144</v>
      </c>
      <c r="O98" s="46">
        <v>0</v>
      </c>
      <c r="P98" s="46">
        <v>0</v>
      </c>
      <c r="Q98" s="58" t="s">
        <v>562</v>
      </c>
      <c r="R98" s="59"/>
      <c r="S98" s="58"/>
      <c r="T98" s="58"/>
      <c r="U98" s="58"/>
      <c r="V98" s="58"/>
      <c r="W98" s="58"/>
      <c r="X98" s="58" t="s">
        <v>562</v>
      </c>
      <c r="Y98" s="58"/>
      <c r="Z98" s="58"/>
      <c r="AA98" s="58"/>
      <c r="AB98" s="58"/>
      <c r="AC98" s="58" t="s">
        <v>562</v>
      </c>
      <c r="AD98" s="58"/>
      <c r="AE98" s="58"/>
      <c r="AF98" s="58"/>
      <c r="AG98" s="58"/>
      <c r="AH98" s="58"/>
      <c r="AI98" s="58"/>
    </row>
    <row r="99" spans="1:35" x14ac:dyDescent="0.35">
      <c r="A99" s="17" t="s">
        <v>46</v>
      </c>
      <c r="B99" s="17" t="s">
        <v>907</v>
      </c>
      <c r="C99" s="28" t="s">
        <v>1104</v>
      </c>
      <c r="D99" s="17" t="s">
        <v>1108</v>
      </c>
      <c r="E99" s="17" t="s">
        <v>1109</v>
      </c>
      <c r="F99" s="20">
        <v>245.9</v>
      </c>
      <c r="G99" s="20">
        <v>122</v>
      </c>
      <c r="H99" s="19">
        <v>489</v>
      </c>
      <c r="I99" s="20">
        <v>234</v>
      </c>
      <c r="J99" s="20">
        <v>255</v>
      </c>
      <c r="K99" s="20">
        <v>90</v>
      </c>
      <c r="L99" s="57">
        <f t="shared" si="6"/>
        <v>0.18404907975460122</v>
      </c>
      <c r="M99" s="20">
        <v>277</v>
      </c>
      <c r="N99" s="57">
        <f t="shared" si="7"/>
        <v>0.56646216768916158</v>
      </c>
      <c r="O99" s="46">
        <v>7.93</v>
      </c>
      <c r="P99" s="46">
        <v>0</v>
      </c>
      <c r="Q99" s="58" t="s">
        <v>51</v>
      </c>
      <c r="R99" s="59">
        <v>2019</v>
      </c>
      <c r="S99" s="58"/>
      <c r="T99" s="58"/>
      <c r="U99" s="58"/>
      <c r="V99" s="58"/>
      <c r="W99" s="58"/>
      <c r="X99" s="58" t="s">
        <v>51</v>
      </c>
      <c r="Y99" s="58"/>
      <c r="Z99" s="58"/>
      <c r="AA99" s="58"/>
      <c r="AB99" s="58"/>
      <c r="AC99" s="58" t="s">
        <v>51</v>
      </c>
      <c r="AD99" s="58"/>
      <c r="AE99" s="58"/>
      <c r="AF99" s="58"/>
      <c r="AG99" s="58"/>
      <c r="AH99" s="58"/>
      <c r="AI99" s="58"/>
    </row>
    <row r="100" spans="1:35" x14ac:dyDescent="0.35">
      <c r="A100" s="17" t="s">
        <v>46</v>
      </c>
      <c r="B100" s="17" t="s">
        <v>907</v>
      </c>
      <c r="C100" s="28" t="s">
        <v>1051</v>
      </c>
      <c r="D100" s="17" t="s">
        <v>213</v>
      </c>
      <c r="E100" s="17" t="s">
        <v>1110</v>
      </c>
      <c r="F100" s="28">
        <v>39.909999999999997</v>
      </c>
      <c r="G100" s="47"/>
      <c r="H100" s="19">
        <v>0</v>
      </c>
      <c r="I100" s="47"/>
      <c r="J100" s="47"/>
      <c r="K100" s="47"/>
      <c r="L100" s="57" t="e">
        <f t="shared" ref="L100:L131" si="8">K100/H100</f>
        <v>#DIV/0!</v>
      </c>
      <c r="M100" s="47"/>
      <c r="N100" s="57"/>
      <c r="O100" s="48">
        <v>0</v>
      </c>
      <c r="P100" s="48">
        <v>0</v>
      </c>
      <c r="Q100" s="58" t="s">
        <v>112</v>
      </c>
      <c r="R100" s="59"/>
      <c r="S100" s="58"/>
      <c r="T100" s="58"/>
      <c r="U100" s="58"/>
      <c r="V100" s="58"/>
      <c r="W100" s="58"/>
      <c r="X100" s="58" t="s">
        <v>112</v>
      </c>
      <c r="Y100" s="58"/>
      <c r="Z100" s="58"/>
      <c r="AA100" s="58"/>
      <c r="AB100" s="58"/>
      <c r="AC100" s="58" t="s">
        <v>112</v>
      </c>
      <c r="AD100" s="58"/>
      <c r="AE100" s="58"/>
      <c r="AF100" s="58"/>
      <c r="AG100" s="58"/>
      <c r="AH100" s="58"/>
      <c r="AI100" s="58"/>
    </row>
    <row r="101" spans="1:35" x14ac:dyDescent="0.35">
      <c r="A101" s="17" t="s">
        <v>46</v>
      </c>
      <c r="B101" s="17" t="s">
        <v>907</v>
      </c>
      <c r="C101" s="28" t="s">
        <v>1051</v>
      </c>
      <c r="D101" s="17" t="s">
        <v>459</v>
      </c>
      <c r="E101" s="17" t="s">
        <v>1111</v>
      </c>
      <c r="F101" s="20">
        <v>288.25</v>
      </c>
      <c r="G101" s="20">
        <v>163</v>
      </c>
      <c r="H101" s="19">
        <v>678</v>
      </c>
      <c r="I101" s="20">
        <v>327</v>
      </c>
      <c r="J101" s="20">
        <v>351</v>
      </c>
      <c r="K101" s="20">
        <v>28</v>
      </c>
      <c r="L101" s="57">
        <f t="shared" si="8"/>
        <v>4.1297935103244837E-2</v>
      </c>
      <c r="M101" s="20">
        <v>172</v>
      </c>
      <c r="N101" s="57">
        <f t="shared" ref="N101:N140" si="9">M101/H101</f>
        <v>0.25368731563421831</v>
      </c>
      <c r="O101" s="46">
        <v>32.44</v>
      </c>
      <c r="P101" s="46">
        <v>0</v>
      </c>
      <c r="Q101" s="58" t="s">
        <v>51</v>
      </c>
      <c r="R101" s="59">
        <v>2019</v>
      </c>
      <c r="S101" s="58"/>
      <c r="T101" s="58"/>
      <c r="U101" s="58"/>
      <c r="V101" s="58"/>
      <c r="W101" s="58"/>
      <c r="X101" s="58" t="s">
        <v>51</v>
      </c>
      <c r="Y101" s="58"/>
      <c r="Z101" s="58"/>
      <c r="AA101" s="58"/>
      <c r="AB101" s="58"/>
      <c r="AC101" s="58" t="s">
        <v>51</v>
      </c>
      <c r="AD101" s="58"/>
      <c r="AE101" s="58"/>
      <c r="AF101" s="58"/>
      <c r="AG101" s="58"/>
      <c r="AH101" s="58"/>
      <c r="AI101" s="58"/>
    </row>
    <row r="102" spans="1:35" x14ac:dyDescent="0.35">
      <c r="A102" s="17" t="s">
        <v>46</v>
      </c>
      <c r="B102" s="17" t="s">
        <v>907</v>
      </c>
      <c r="C102" s="28" t="s">
        <v>1042</v>
      </c>
      <c r="D102" s="17" t="s">
        <v>1112</v>
      </c>
      <c r="E102" s="17" t="s">
        <v>1113</v>
      </c>
      <c r="F102" s="20">
        <v>513.96</v>
      </c>
      <c r="G102" s="20">
        <v>227</v>
      </c>
      <c r="H102" s="19">
        <v>980</v>
      </c>
      <c r="I102" s="20">
        <v>474</v>
      </c>
      <c r="J102" s="20">
        <v>506</v>
      </c>
      <c r="K102" s="20">
        <v>104</v>
      </c>
      <c r="L102" s="57">
        <f t="shared" si="8"/>
        <v>0.10612244897959183</v>
      </c>
      <c r="M102" s="20">
        <v>400</v>
      </c>
      <c r="N102" s="57">
        <f t="shared" si="9"/>
        <v>0.40816326530612246</v>
      </c>
      <c r="O102" s="46">
        <v>37.24</v>
      </c>
      <c r="P102" s="46">
        <v>0</v>
      </c>
      <c r="Q102" s="58" t="s">
        <v>51</v>
      </c>
      <c r="R102" s="59">
        <v>2019</v>
      </c>
      <c r="S102" s="58"/>
      <c r="T102" s="58"/>
      <c r="U102" s="58"/>
      <c r="V102" s="58"/>
      <c r="W102" s="58"/>
      <c r="X102" s="58" t="s">
        <v>51</v>
      </c>
      <c r="Y102" s="58"/>
      <c r="Z102" s="58"/>
      <c r="AA102" s="58"/>
      <c r="AB102" s="58"/>
      <c r="AC102" s="58" t="s">
        <v>51</v>
      </c>
      <c r="AD102" s="58"/>
      <c r="AE102" s="58"/>
      <c r="AF102" s="58"/>
      <c r="AG102" s="58"/>
      <c r="AH102" s="58"/>
      <c r="AI102" s="58"/>
    </row>
    <row r="103" spans="1:35" x14ac:dyDescent="0.35">
      <c r="A103" s="17" t="s">
        <v>46</v>
      </c>
      <c r="B103" s="17" t="s">
        <v>907</v>
      </c>
      <c r="C103" s="28" t="s">
        <v>1042</v>
      </c>
      <c r="D103" s="17" t="s">
        <v>1114</v>
      </c>
      <c r="E103" s="17" t="s">
        <v>1115</v>
      </c>
      <c r="F103" s="20">
        <v>324.39</v>
      </c>
      <c r="G103" s="20">
        <v>192</v>
      </c>
      <c r="H103" s="19">
        <v>804</v>
      </c>
      <c r="I103" s="20">
        <v>393</v>
      </c>
      <c r="J103" s="20">
        <v>411</v>
      </c>
      <c r="K103" s="20">
        <v>84</v>
      </c>
      <c r="L103" s="57">
        <f t="shared" si="8"/>
        <v>0.1044776119402985</v>
      </c>
      <c r="M103" s="20">
        <v>148</v>
      </c>
      <c r="N103" s="57">
        <f t="shared" si="9"/>
        <v>0.18407960199004975</v>
      </c>
      <c r="O103" s="46">
        <v>23.72</v>
      </c>
      <c r="P103" s="46">
        <v>0</v>
      </c>
      <c r="Q103" s="58" t="s">
        <v>51</v>
      </c>
      <c r="R103" s="59">
        <v>2019</v>
      </c>
      <c r="S103" s="58"/>
      <c r="T103" s="58"/>
      <c r="U103" s="58"/>
      <c r="V103" s="58"/>
      <c r="W103" s="58"/>
      <c r="X103" s="58" t="s">
        <v>51</v>
      </c>
      <c r="Y103" s="58"/>
      <c r="Z103" s="58"/>
      <c r="AA103" s="58"/>
      <c r="AB103" s="58"/>
      <c r="AC103" s="58" t="s">
        <v>51</v>
      </c>
      <c r="AD103" s="58"/>
      <c r="AE103" s="58"/>
      <c r="AF103" s="58"/>
      <c r="AG103" s="58"/>
      <c r="AH103" s="58"/>
      <c r="AI103" s="58"/>
    </row>
    <row r="104" spans="1:35" x14ac:dyDescent="0.35">
      <c r="A104" s="17" t="s">
        <v>46</v>
      </c>
      <c r="B104" s="17" t="s">
        <v>907</v>
      </c>
      <c r="C104" s="28" t="s">
        <v>1116</v>
      </c>
      <c r="D104" s="17" t="s">
        <v>1117</v>
      </c>
      <c r="E104" s="17" t="s">
        <v>1118</v>
      </c>
      <c r="F104" s="20">
        <v>148.77000000000001</v>
      </c>
      <c r="G104" s="20">
        <v>115</v>
      </c>
      <c r="H104" s="19">
        <v>478</v>
      </c>
      <c r="I104" s="20">
        <v>238</v>
      </c>
      <c r="J104" s="20">
        <v>240</v>
      </c>
      <c r="K104" s="20">
        <v>214</v>
      </c>
      <c r="L104" s="57">
        <f t="shared" si="8"/>
        <v>0.44769874476987448</v>
      </c>
      <c r="M104" s="20">
        <v>29</v>
      </c>
      <c r="N104" s="57">
        <f t="shared" si="9"/>
        <v>6.0669456066945605E-2</v>
      </c>
      <c r="O104" s="46">
        <v>0</v>
      </c>
      <c r="P104" s="46">
        <v>0</v>
      </c>
      <c r="Q104" s="58" t="s">
        <v>562</v>
      </c>
      <c r="R104" s="59"/>
      <c r="S104" s="58"/>
      <c r="T104" s="58"/>
      <c r="U104" s="58"/>
      <c r="V104" s="58"/>
      <c r="W104" s="58"/>
      <c r="X104" s="58" t="s">
        <v>562</v>
      </c>
      <c r="Y104" s="58"/>
      <c r="Z104" s="58"/>
      <c r="AA104" s="58"/>
      <c r="AB104" s="58"/>
      <c r="AC104" s="58" t="s">
        <v>562</v>
      </c>
      <c r="AD104" s="58"/>
      <c r="AE104" s="58"/>
      <c r="AF104" s="58"/>
      <c r="AG104" s="58"/>
      <c r="AH104" s="58"/>
      <c r="AI104" s="58"/>
    </row>
    <row r="105" spans="1:35" x14ac:dyDescent="0.35">
      <c r="A105" s="17" t="s">
        <v>46</v>
      </c>
      <c r="B105" s="17" t="s">
        <v>907</v>
      </c>
      <c r="C105" s="28" t="s">
        <v>1116</v>
      </c>
      <c r="D105" s="17" t="s">
        <v>1119</v>
      </c>
      <c r="E105" s="17" t="s">
        <v>1120</v>
      </c>
      <c r="F105" s="20">
        <v>2649.5</v>
      </c>
      <c r="G105" s="20">
        <v>1810</v>
      </c>
      <c r="H105" s="19">
        <v>8452</v>
      </c>
      <c r="I105" s="20">
        <v>4195</v>
      </c>
      <c r="J105" s="20">
        <v>4257</v>
      </c>
      <c r="K105" s="20">
        <v>702</v>
      </c>
      <c r="L105" s="57">
        <f t="shared" si="8"/>
        <v>8.3057264552768573E-2</v>
      </c>
      <c r="M105" s="20">
        <v>1307</v>
      </c>
      <c r="N105" s="57">
        <f t="shared" si="9"/>
        <v>0.15463795551348794</v>
      </c>
      <c r="O105" s="46">
        <v>3.68</v>
      </c>
      <c r="P105" s="46">
        <v>0</v>
      </c>
      <c r="Q105" s="58" t="s">
        <v>51</v>
      </c>
      <c r="R105" s="59">
        <v>2020</v>
      </c>
      <c r="S105" s="58"/>
      <c r="T105" s="58"/>
      <c r="U105" s="58"/>
      <c r="V105" s="58"/>
      <c r="W105" s="58"/>
      <c r="X105" s="58" t="s">
        <v>51</v>
      </c>
      <c r="Y105" s="58"/>
      <c r="Z105" s="58"/>
      <c r="AA105" s="58"/>
      <c r="AB105" s="58"/>
      <c r="AC105" s="58" t="s">
        <v>51</v>
      </c>
      <c r="AD105" s="58"/>
      <c r="AE105" s="58"/>
      <c r="AF105" s="58"/>
      <c r="AG105" s="58"/>
      <c r="AH105" s="58"/>
      <c r="AI105" s="58"/>
    </row>
    <row r="106" spans="1:35" x14ac:dyDescent="0.35">
      <c r="A106" s="17" t="s">
        <v>46</v>
      </c>
      <c r="B106" s="17" t="s">
        <v>907</v>
      </c>
      <c r="C106" s="28" t="s">
        <v>1121</v>
      </c>
      <c r="D106" s="17" t="s">
        <v>1122</v>
      </c>
      <c r="E106" s="17" t="s">
        <v>1123</v>
      </c>
      <c r="F106" s="20">
        <v>121.94</v>
      </c>
      <c r="G106" s="20">
        <v>94</v>
      </c>
      <c r="H106" s="19">
        <v>450</v>
      </c>
      <c r="I106" s="20">
        <v>244</v>
      </c>
      <c r="J106" s="20">
        <v>206</v>
      </c>
      <c r="K106" s="20">
        <v>0</v>
      </c>
      <c r="L106" s="57">
        <f t="shared" si="8"/>
        <v>0</v>
      </c>
      <c r="M106" s="20">
        <v>428</v>
      </c>
      <c r="N106" s="57">
        <f t="shared" si="9"/>
        <v>0.95111111111111113</v>
      </c>
      <c r="O106" s="46">
        <v>0</v>
      </c>
      <c r="P106" s="46">
        <v>0</v>
      </c>
      <c r="Q106" s="58"/>
      <c r="R106" s="59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</row>
    <row r="107" spans="1:35" x14ac:dyDescent="0.35">
      <c r="A107" s="17" t="s">
        <v>46</v>
      </c>
      <c r="B107" s="17" t="s">
        <v>907</v>
      </c>
      <c r="C107" s="28" t="s">
        <v>1121</v>
      </c>
      <c r="D107" s="17" t="s">
        <v>1124</v>
      </c>
      <c r="E107" s="17" t="s">
        <v>1125</v>
      </c>
      <c r="F107" s="20">
        <v>361.6</v>
      </c>
      <c r="G107" s="20">
        <v>151</v>
      </c>
      <c r="H107" s="19">
        <v>666</v>
      </c>
      <c r="I107" s="20">
        <v>327</v>
      </c>
      <c r="J107" s="20">
        <v>339</v>
      </c>
      <c r="K107" s="20">
        <v>40</v>
      </c>
      <c r="L107" s="57">
        <f t="shared" si="8"/>
        <v>6.006006006006006E-2</v>
      </c>
      <c r="M107" s="20">
        <v>146</v>
      </c>
      <c r="N107" s="57">
        <f t="shared" si="9"/>
        <v>0.21921921921921922</v>
      </c>
      <c r="O107" s="46">
        <v>5.93</v>
      </c>
      <c r="P107" s="46">
        <v>0</v>
      </c>
      <c r="Q107" s="58"/>
      <c r="R107" s="59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</row>
    <row r="108" spans="1:35" x14ac:dyDescent="0.35">
      <c r="A108" s="17" t="s">
        <v>46</v>
      </c>
      <c r="B108" s="17" t="s">
        <v>907</v>
      </c>
      <c r="C108" s="28" t="s">
        <v>1121</v>
      </c>
      <c r="D108" s="17" t="s">
        <v>1126</v>
      </c>
      <c r="E108" s="17" t="s">
        <v>1127</v>
      </c>
      <c r="F108" s="20">
        <v>322.92</v>
      </c>
      <c r="G108" s="20">
        <v>155</v>
      </c>
      <c r="H108" s="19">
        <v>709</v>
      </c>
      <c r="I108" s="20">
        <v>342</v>
      </c>
      <c r="J108" s="20">
        <v>367</v>
      </c>
      <c r="K108" s="20">
        <v>42</v>
      </c>
      <c r="L108" s="57">
        <f t="shared" si="8"/>
        <v>5.9238363892806768E-2</v>
      </c>
      <c r="M108" s="20">
        <v>239</v>
      </c>
      <c r="N108" s="57">
        <f t="shared" si="9"/>
        <v>0.33709449929478136</v>
      </c>
      <c r="O108" s="46">
        <v>3.99</v>
      </c>
      <c r="P108" s="46">
        <v>0</v>
      </c>
      <c r="Q108" s="58"/>
      <c r="R108" s="59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</row>
    <row r="109" spans="1:35" x14ac:dyDescent="0.35">
      <c r="A109" s="17" t="s">
        <v>46</v>
      </c>
      <c r="B109" s="17" t="s">
        <v>907</v>
      </c>
      <c r="C109" s="28" t="s">
        <v>1128</v>
      </c>
      <c r="D109" s="17" t="s">
        <v>1129</v>
      </c>
      <c r="E109" s="17" t="s">
        <v>1130</v>
      </c>
      <c r="F109" s="20">
        <v>306.07</v>
      </c>
      <c r="G109" s="20">
        <v>329</v>
      </c>
      <c r="H109" s="19">
        <v>1742</v>
      </c>
      <c r="I109" s="20">
        <v>897</v>
      </c>
      <c r="J109" s="20">
        <v>845</v>
      </c>
      <c r="K109" s="20">
        <v>50</v>
      </c>
      <c r="L109" s="57">
        <f t="shared" si="8"/>
        <v>2.8702640642939151E-2</v>
      </c>
      <c r="M109" s="20">
        <v>73</v>
      </c>
      <c r="N109" s="57">
        <f t="shared" si="9"/>
        <v>4.1905855338691157E-2</v>
      </c>
      <c r="O109" s="46">
        <v>26.4</v>
      </c>
      <c r="P109" s="46">
        <v>0</v>
      </c>
      <c r="Q109" s="58" t="s">
        <v>51</v>
      </c>
      <c r="R109" s="59">
        <v>2019</v>
      </c>
      <c r="S109" s="58"/>
      <c r="T109" s="58"/>
      <c r="U109" s="58"/>
      <c r="V109" s="58"/>
      <c r="W109" s="58"/>
      <c r="X109" s="58" t="s">
        <v>51</v>
      </c>
      <c r="Y109" s="58"/>
      <c r="Z109" s="58"/>
      <c r="AA109" s="58"/>
      <c r="AB109" s="58"/>
      <c r="AC109" s="58" t="s">
        <v>51</v>
      </c>
      <c r="AD109" s="58"/>
      <c r="AE109" s="58"/>
      <c r="AF109" s="58"/>
      <c r="AG109" s="58"/>
      <c r="AH109" s="58"/>
      <c r="AI109" s="58"/>
    </row>
    <row r="110" spans="1:35" x14ac:dyDescent="0.35">
      <c r="A110" s="17" t="s">
        <v>46</v>
      </c>
      <c r="B110" s="17" t="s">
        <v>907</v>
      </c>
      <c r="C110" s="28" t="s">
        <v>1128</v>
      </c>
      <c r="D110" s="17" t="s">
        <v>1131</v>
      </c>
      <c r="E110" s="17" t="s">
        <v>1132</v>
      </c>
      <c r="F110" s="20">
        <v>347.1</v>
      </c>
      <c r="G110" s="20">
        <v>198</v>
      </c>
      <c r="H110" s="19">
        <v>1043</v>
      </c>
      <c r="I110" s="20">
        <v>504</v>
      </c>
      <c r="J110" s="20">
        <v>539</v>
      </c>
      <c r="K110" s="20">
        <v>34</v>
      </c>
      <c r="L110" s="57">
        <f t="shared" si="8"/>
        <v>3.2598274209012464E-2</v>
      </c>
      <c r="M110" s="20">
        <v>17</v>
      </c>
      <c r="N110" s="57">
        <f t="shared" si="9"/>
        <v>1.6299137104506232E-2</v>
      </c>
      <c r="O110" s="46">
        <v>16.3</v>
      </c>
      <c r="P110" s="46">
        <v>0</v>
      </c>
      <c r="Q110" s="58" t="s">
        <v>51</v>
      </c>
      <c r="R110" s="59">
        <v>2019</v>
      </c>
      <c r="S110" s="58"/>
      <c r="T110" s="58"/>
      <c r="U110" s="58"/>
      <c r="V110" s="58"/>
      <c r="W110" s="58"/>
      <c r="X110" s="58" t="s">
        <v>51</v>
      </c>
      <c r="Y110" s="58"/>
      <c r="Z110" s="58"/>
      <c r="AA110" s="58"/>
      <c r="AB110" s="58"/>
      <c r="AC110" s="58" t="s">
        <v>51</v>
      </c>
      <c r="AD110" s="58"/>
      <c r="AE110" s="58"/>
      <c r="AF110" s="58"/>
      <c r="AG110" s="58"/>
      <c r="AH110" s="58"/>
      <c r="AI110" s="58"/>
    </row>
    <row r="111" spans="1:35" x14ac:dyDescent="0.35">
      <c r="A111" s="17" t="s">
        <v>46</v>
      </c>
      <c r="B111" s="17" t="s">
        <v>907</v>
      </c>
      <c r="C111" s="28" t="s">
        <v>1128</v>
      </c>
      <c r="D111" s="17" t="s">
        <v>565</v>
      </c>
      <c r="E111" s="17" t="s">
        <v>1133</v>
      </c>
      <c r="F111" s="20">
        <v>146.85</v>
      </c>
      <c r="G111" s="20">
        <v>100</v>
      </c>
      <c r="H111" s="19">
        <v>411</v>
      </c>
      <c r="I111" s="20">
        <v>206</v>
      </c>
      <c r="J111" s="20">
        <v>205</v>
      </c>
      <c r="K111" s="20">
        <v>49</v>
      </c>
      <c r="L111" s="57">
        <f t="shared" si="8"/>
        <v>0.11922141119221411</v>
      </c>
      <c r="M111" s="20">
        <v>57</v>
      </c>
      <c r="N111" s="57">
        <f t="shared" si="9"/>
        <v>0.13868613138686131</v>
      </c>
      <c r="O111" s="46">
        <v>18.350000000000001</v>
      </c>
      <c r="P111" s="46">
        <v>0</v>
      </c>
      <c r="Q111" s="58" t="s">
        <v>51</v>
      </c>
      <c r="R111" s="59">
        <v>2019</v>
      </c>
      <c r="S111" s="58"/>
      <c r="T111" s="58"/>
      <c r="U111" s="58"/>
      <c r="V111" s="58"/>
      <c r="W111" s="58"/>
      <c r="X111" s="58" t="s">
        <v>51</v>
      </c>
      <c r="Y111" s="58"/>
      <c r="Z111" s="58"/>
      <c r="AA111" s="58"/>
      <c r="AB111" s="58"/>
      <c r="AC111" s="58" t="s">
        <v>51</v>
      </c>
      <c r="AD111" s="58"/>
      <c r="AE111" s="58"/>
      <c r="AF111" s="58"/>
      <c r="AG111" s="58"/>
      <c r="AH111" s="58"/>
      <c r="AI111" s="58"/>
    </row>
    <row r="112" spans="1:35" x14ac:dyDescent="0.35">
      <c r="A112" s="17" t="s">
        <v>46</v>
      </c>
      <c r="B112" s="17" t="s">
        <v>907</v>
      </c>
      <c r="C112" s="28" t="s">
        <v>1128</v>
      </c>
      <c r="D112" s="17" t="s">
        <v>1134</v>
      </c>
      <c r="E112" s="17" t="s">
        <v>1135</v>
      </c>
      <c r="F112" s="20">
        <v>39.18</v>
      </c>
      <c r="G112" s="20">
        <v>41</v>
      </c>
      <c r="H112" s="19">
        <v>172</v>
      </c>
      <c r="I112" s="20">
        <v>88</v>
      </c>
      <c r="J112" s="20">
        <v>84</v>
      </c>
      <c r="K112" s="20">
        <v>0</v>
      </c>
      <c r="L112" s="57">
        <f t="shared" si="8"/>
        <v>0</v>
      </c>
      <c r="M112" s="20">
        <v>61</v>
      </c>
      <c r="N112" s="57">
        <f t="shared" si="9"/>
        <v>0.35465116279069769</v>
      </c>
      <c r="O112" s="46">
        <v>7.3</v>
      </c>
      <c r="P112" s="46">
        <v>0</v>
      </c>
      <c r="Q112" s="58" t="s">
        <v>51</v>
      </c>
      <c r="R112" s="59">
        <v>2020</v>
      </c>
      <c r="S112" s="58"/>
      <c r="T112" s="58"/>
      <c r="U112" s="58"/>
      <c r="V112" s="58"/>
      <c r="W112" s="58"/>
      <c r="X112" s="58" t="s">
        <v>51</v>
      </c>
      <c r="Y112" s="58"/>
      <c r="Z112" s="58"/>
      <c r="AA112" s="58"/>
      <c r="AB112" s="58"/>
      <c r="AC112" s="58" t="s">
        <v>51</v>
      </c>
      <c r="AD112" s="58"/>
      <c r="AE112" s="58"/>
      <c r="AF112" s="58"/>
      <c r="AG112" s="58"/>
      <c r="AH112" s="58"/>
      <c r="AI112" s="58"/>
    </row>
    <row r="113" spans="1:35" x14ac:dyDescent="0.35">
      <c r="A113" s="17" t="s">
        <v>46</v>
      </c>
      <c r="B113" s="17" t="s">
        <v>907</v>
      </c>
      <c r="C113" s="28" t="s">
        <v>1128</v>
      </c>
      <c r="D113" s="17" t="s">
        <v>1136</v>
      </c>
      <c r="E113" s="17" t="s">
        <v>1137</v>
      </c>
      <c r="F113" s="20">
        <v>74.89</v>
      </c>
      <c r="G113" s="20">
        <v>46</v>
      </c>
      <c r="H113" s="19">
        <v>223</v>
      </c>
      <c r="I113" s="20">
        <v>113</v>
      </c>
      <c r="J113" s="20">
        <v>110</v>
      </c>
      <c r="K113" s="20">
        <v>23</v>
      </c>
      <c r="L113" s="57">
        <f t="shared" si="8"/>
        <v>0.1031390134529148</v>
      </c>
      <c r="M113" s="20">
        <v>69</v>
      </c>
      <c r="N113" s="57">
        <f t="shared" si="9"/>
        <v>0.3094170403587444</v>
      </c>
      <c r="O113" s="46">
        <v>10.4</v>
      </c>
      <c r="P113" s="46">
        <v>0</v>
      </c>
      <c r="Q113" s="58" t="s">
        <v>51</v>
      </c>
      <c r="R113" s="59">
        <v>2020</v>
      </c>
      <c r="S113" s="58"/>
      <c r="T113" s="58"/>
      <c r="U113" s="58"/>
      <c r="V113" s="58"/>
      <c r="W113" s="58"/>
      <c r="X113" s="58" t="s">
        <v>51</v>
      </c>
      <c r="Y113" s="58"/>
      <c r="Z113" s="58"/>
      <c r="AA113" s="58"/>
      <c r="AB113" s="58"/>
      <c r="AC113" s="58" t="s">
        <v>51</v>
      </c>
      <c r="AD113" s="58"/>
      <c r="AE113" s="58"/>
      <c r="AF113" s="58"/>
      <c r="AG113" s="58"/>
      <c r="AH113" s="58"/>
      <c r="AI113" s="58"/>
    </row>
    <row r="114" spans="1:35" x14ac:dyDescent="0.35">
      <c r="A114" s="17" t="s">
        <v>46</v>
      </c>
      <c r="B114" s="17" t="s">
        <v>907</v>
      </c>
      <c r="C114" s="28" t="s">
        <v>1128</v>
      </c>
      <c r="D114" s="17" t="s">
        <v>1138</v>
      </c>
      <c r="E114" s="17" t="s">
        <v>1139</v>
      </c>
      <c r="F114" s="20">
        <v>68.599999999999994</v>
      </c>
      <c r="G114" s="20">
        <v>47</v>
      </c>
      <c r="H114" s="19">
        <v>219</v>
      </c>
      <c r="I114" s="20">
        <v>104</v>
      </c>
      <c r="J114" s="20">
        <v>115</v>
      </c>
      <c r="K114" s="20">
        <v>0</v>
      </c>
      <c r="L114" s="57">
        <f t="shared" si="8"/>
        <v>0</v>
      </c>
      <c r="M114" s="20">
        <v>205</v>
      </c>
      <c r="N114" s="57">
        <f t="shared" si="9"/>
        <v>0.9360730593607306</v>
      </c>
      <c r="O114" s="46">
        <v>0</v>
      </c>
      <c r="P114" s="46">
        <v>0</v>
      </c>
      <c r="Q114" s="58" t="s">
        <v>562</v>
      </c>
      <c r="R114" s="59"/>
      <c r="S114" s="58"/>
      <c r="T114" s="58"/>
      <c r="U114" s="58"/>
      <c r="V114" s="58"/>
      <c r="W114" s="58"/>
      <c r="X114" s="58" t="s">
        <v>562</v>
      </c>
      <c r="Y114" s="58"/>
      <c r="Z114" s="58"/>
      <c r="AA114" s="58"/>
      <c r="AB114" s="58"/>
      <c r="AC114" s="58" t="s">
        <v>562</v>
      </c>
      <c r="AD114" s="58"/>
      <c r="AE114" s="58"/>
      <c r="AF114" s="58"/>
      <c r="AG114" s="58"/>
      <c r="AH114" s="58"/>
      <c r="AI114" s="58"/>
    </row>
    <row r="115" spans="1:35" x14ac:dyDescent="0.35">
      <c r="A115" s="17" t="s">
        <v>46</v>
      </c>
      <c r="B115" s="17" t="s">
        <v>907</v>
      </c>
      <c r="C115" s="28" t="s">
        <v>1128</v>
      </c>
      <c r="D115" s="17" t="s">
        <v>1140</v>
      </c>
      <c r="E115" s="17" t="s">
        <v>1141</v>
      </c>
      <c r="F115" s="20">
        <v>19.559999999999999</v>
      </c>
      <c r="G115" s="20">
        <v>7</v>
      </c>
      <c r="H115" s="19">
        <v>35</v>
      </c>
      <c r="I115" s="20">
        <v>21</v>
      </c>
      <c r="J115" s="20">
        <v>14</v>
      </c>
      <c r="K115" s="20">
        <v>0</v>
      </c>
      <c r="L115" s="57">
        <f t="shared" si="8"/>
        <v>0</v>
      </c>
      <c r="M115" s="20">
        <v>11</v>
      </c>
      <c r="N115" s="57">
        <f t="shared" si="9"/>
        <v>0.31428571428571428</v>
      </c>
      <c r="O115" s="46">
        <v>0</v>
      </c>
      <c r="P115" s="46">
        <v>0</v>
      </c>
      <c r="Q115" s="58" t="s">
        <v>562</v>
      </c>
      <c r="R115" s="59"/>
      <c r="S115" s="58"/>
      <c r="T115" s="58"/>
      <c r="U115" s="58"/>
      <c r="V115" s="58"/>
      <c r="W115" s="58"/>
      <c r="X115" s="58" t="s">
        <v>562</v>
      </c>
      <c r="Y115" s="58"/>
      <c r="Z115" s="58"/>
      <c r="AA115" s="58"/>
      <c r="AB115" s="58"/>
      <c r="AC115" s="58" t="s">
        <v>562</v>
      </c>
      <c r="AD115" s="58"/>
      <c r="AE115" s="58"/>
      <c r="AF115" s="58"/>
      <c r="AG115" s="58"/>
      <c r="AH115" s="58"/>
      <c r="AI115" s="58"/>
    </row>
    <row r="116" spans="1:35" x14ac:dyDescent="0.35">
      <c r="A116" s="17" t="s">
        <v>46</v>
      </c>
      <c r="B116" s="17" t="s">
        <v>907</v>
      </c>
      <c r="C116" s="28" t="s">
        <v>1128</v>
      </c>
      <c r="D116" s="17" t="s">
        <v>1142</v>
      </c>
      <c r="E116" s="17" t="s">
        <v>1143</v>
      </c>
      <c r="F116" s="20">
        <v>64.900000000000006</v>
      </c>
      <c r="G116" s="20">
        <v>1</v>
      </c>
      <c r="H116" s="19">
        <v>2</v>
      </c>
      <c r="I116" s="20">
        <v>1</v>
      </c>
      <c r="J116" s="20">
        <v>1</v>
      </c>
      <c r="K116" s="20">
        <v>0</v>
      </c>
      <c r="L116" s="57">
        <f t="shared" si="8"/>
        <v>0</v>
      </c>
      <c r="M116" s="20">
        <v>0</v>
      </c>
      <c r="N116" s="57">
        <f t="shared" si="9"/>
        <v>0</v>
      </c>
      <c r="O116" s="46">
        <v>0</v>
      </c>
      <c r="P116" s="46">
        <v>0</v>
      </c>
      <c r="Q116" s="58" t="s">
        <v>112</v>
      </c>
      <c r="R116" s="59"/>
      <c r="S116" s="58"/>
      <c r="T116" s="58"/>
      <c r="U116" s="58"/>
      <c r="V116" s="58"/>
      <c r="W116" s="58"/>
      <c r="X116" s="58" t="s">
        <v>112</v>
      </c>
      <c r="Y116" s="58"/>
      <c r="Z116" s="58"/>
      <c r="AA116" s="58"/>
      <c r="AB116" s="58"/>
      <c r="AC116" s="58" t="s">
        <v>112</v>
      </c>
      <c r="AD116" s="58"/>
      <c r="AE116" s="58"/>
      <c r="AF116" s="58"/>
      <c r="AG116" s="58"/>
      <c r="AH116" s="58"/>
      <c r="AI116" s="58"/>
    </row>
    <row r="117" spans="1:35" x14ac:dyDescent="0.35">
      <c r="A117" s="17" t="s">
        <v>46</v>
      </c>
      <c r="B117" s="17" t="s">
        <v>907</v>
      </c>
      <c r="C117" s="28" t="s">
        <v>1101</v>
      </c>
      <c r="D117" s="17" t="s">
        <v>1144</v>
      </c>
      <c r="E117" s="17" t="s">
        <v>1145</v>
      </c>
      <c r="F117" s="20">
        <v>69.989999999999995</v>
      </c>
      <c r="G117" s="20">
        <v>30</v>
      </c>
      <c r="H117" s="19">
        <v>121</v>
      </c>
      <c r="I117" s="20">
        <v>59</v>
      </c>
      <c r="J117" s="20">
        <v>62</v>
      </c>
      <c r="K117" s="20">
        <v>0</v>
      </c>
      <c r="L117" s="57">
        <f t="shared" si="8"/>
        <v>0</v>
      </c>
      <c r="M117" s="20">
        <v>0</v>
      </c>
      <c r="N117" s="57">
        <f t="shared" si="9"/>
        <v>0</v>
      </c>
      <c r="O117" s="46">
        <v>4.2</v>
      </c>
      <c r="P117" s="46">
        <v>0</v>
      </c>
      <c r="Q117" s="58" t="s">
        <v>51</v>
      </c>
      <c r="R117" s="59">
        <v>2019</v>
      </c>
      <c r="S117" s="58"/>
      <c r="T117" s="58"/>
      <c r="U117" s="58"/>
      <c r="V117" s="58"/>
      <c r="W117" s="58"/>
      <c r="X117" s="58" t="s">
        <v>51</v>
      </c>
      <c r="Y117" s="58"/>
      <c r="Z117" s="58"/>
      <c r="AA117" s="58"/>
      <c r="AB117" s="58"/>
      <c r="AC117" s="58" t="s">
        <v>51</v>
      </c>
      <c r="AD117" s="58"/>
      <c r="AE117" s="58"/>
      <c r="AF117" s="58"/>
      <c r="AG117" s="58"/>
      <c r="AH117" s="58"/>
      <c r="AI117" s="58"/>
    </row>
    <row r="118" spans="1:35" x14ac:dyDescent="0.35">
      <c r="A118" s="17" t="s">
        <v>46</v>
      </c>
      <c r="B118" s="17" t="s">
        <v>907</v>
      </c>
      <c r="C118" s="28" t="s">
        <v>1128</v>
      </c>
      <c r="D118" s="17" t="s">
        <v>1146</v>
      </c>
      <c r="E118" s="17" t="s">
        <v>1147</v>
      </c>
      <c r="F118" s="20">
        <v>114.09</v>
      </c>
      <c r="G118" s="20">
        <v>41</v>
      </c>
      <c r="H118" s="19">
        <v>176</v>
      </c>
      <c r="I118" s="20">
        <v>94</v>
      </c>
      <c r="J118" s="20">
        <v>82</v>
      </c>
      <c r="K118" s="20">
        <v>0</v>
      </c>
      <c r="L118" s="57">
        <f t="shared" si="8"/>
        <v>0</v>
      </c>
      <c r="M118" s="20">
        <v>0</v>
      </c>
      <c r="N118" s="57">
        <f t="shared" si="9"/>
        <v>0</v>
      </c>
      <c r="O118" s="46">
        <v>3.1</v>
      </c>
      <c r="P118" s="46">
        <v>0</v>
      </c>
      <c r="Q118" s="58" t="s">
        <v>51</v>
      </c>
      <c r="R118" s="59">
        <v>2019</v>
      </c>
      <c r="S118" s="58"/>
      <c r="T118" s="58"/>
      <c r="U118" s="58"/>
      <c r="V118" s="58"/>
      <c r="W118" s="58"/>
      <c r="X118" s="58" t="s">
        <v>51</v>
      </c>
      <c r="Y118" s="58"/>
      <c r="Z118" s="58"/>
      <c r="AA118" s="58"/>
      <c r="AB118" s="58"/>
      <c r="AC118" s="58" t="s">
        <v>51</v>
      </c>
      <c r="AD118" s="58"/>
      <c r="AE118" s="58"/>
      <c r="AF118" s="58"/>
      <c r="AG118" s="58"/>
      <c r="AH118" s="58"/>
      <c r="AI118" s="58"/>
    </row>
    <row r="119" spans="1:35" x14ac:dyDescent="0.35">
      <c r="A119" s="17" t="s">
        <v>46</v>
      </c>
      <c r="B119" s="17" t="s">
        <v>907</v>
      </c>
      <c r="C119" s="28" t="s">
        <v>1128</v>
      </c>
      <c r="D119" s="17" t="s">
        <v>1148</v>
      </c>
      <c r="E119" s="17" t="s">
        <v>1149</v>
      </c>
      <c r="F119" s="20">
        <v>37.950000000000003</v>
      </c>
      <c r="G119" s="20">
        <v>32</v>
      </c>
      <c r="H119" s="19">
        <v>162</v>
      </c>
      <c r="I119" s="20">
        <v>86</v>
      </c>
      <c r="J119" s="20">
        <v>76</v>
      </c>
      <c r="K119" s="20">
        <v>0</v>
      </c>
      <c r="L119" s="57">
        <f t="shared" si="8"/>
        <v>0</v>
      </c>
      <c r="M119" s="20">
        <v>0</v>
      </c>
      <c r="N119" s="57">
        <f t="shared" si="9"/>
        <v>0</v>
      </c>
      <c r="O119" s="46">
        <v>0</v>
      </c>
      <c r="P119" s="46">
        <v>0</v>
      </c>
      <c r="Q119" s="58" t="s">
        <v>562</v>
      </c>
      <c r="R119" s="59"/>
      <c r="S119" s="58"/>
      <c r="T119" s="58"/>
      <c r="U119" s="58"/>
      <c r="V119" s="58"/>
      <c r="W119" s="58"/>
      <c r="X119" s="58" t="s">
        <v>562</v>
      </c>
      <c r="Y119" s="58"/>
      <c r="Z119" s="58"/>
      <c r="AA119" s="58"/>
      <c r="AB119" s="58"/>
      <c r="AC119" s="58" t="s">
        <v>562</v>
      </c>
      <c r="AD119" s="58"/>
      <c r="AE119" s="58"/>
      <c r="AF119" s="58"/>
      <c r="AG119" s="58"/>
      <c r="AH119" s="58"/>
      <c r="AI119" s="58"/>
    </row>
    <row r="120" spans="1:35" x14ac:dyDescent="0.35">
      <c r="A120" s="17" t="s">
        <v>46</v>
      </c>
      <c r="B120" s="17" t="s">
        <v>907</v>
      </c>
      <c r="C120" s="28" t="s">
        <v>1101</v>
      </c>
      <c r="D120" s="17" t="s">
        <v>1073</v>
      </c>
      <c r="E120" s="17" t="s">
        <v>1150</v>
      </c>
      <c r="F120" s="20">
        <v>63.69</v>
      </c>
      <c r="G120" s="20">
        <v>6</v>
      </c>
      <c r="H120" s="19">
        <v>31</v>
      </c>
      <c r="I120" s="20">
        <v>19</v>
      </c>
      <c r="J120" s="20">
        <v>12</v>
      </c>
      <c r="K120" s="20">
        <v>0</v>
      </c>
      <c r="L120" s="57">
        <f t="shared" si="8"/>
        <v>0</v>
      </c>
      <c r="M120" s="20">
        <v>0</v>
      </c>
      <c r="N120" s="57">
        <f t="shared" si="9"/>
        <v>0</v>
      </c>
      <c r="O120" s="46">
        <v>13.6</v>
      </c>
      <c r="P120" s="46">
        <v>0</v>
      </c>
      <c r="Q120" s="58" t="s">
        <v>562</v>
      </c>
      <c r="R120" s="59"/>
      <c r="S120" s="58"/>
      <c r="T120" s="58"/>
      <c r="U120" s="58"/>
      <c r="V120" s="58"/>
      <c r="W120" s="58"/>
      <c r="X120" s="58" t="s">
        <v>562</v>
      </c>
      <c r="Y120" s="58"/>
      <c r="Z120" s="58"/>
      <c r="AA120" s="58"/>
      <c r="AB120" s="58"/>
      <c r="AC120" s="58" t="s">
        <v>562</v>
      </c>
      <c r="AD120" s="58"/>
      <c r="AE120" s="58"/>
      <c r="AF120" s="58"/>
      <c r="AG120" s="58"/>
      <c r="AH120" s="58"/>
      <c r="AI120" s="58"/>
    </row>
    <row r="121" spans="1:35" x14ac:dyDescent="0.35">
      <c r="A121" s="17" t="s">
        <v>46</v>
      </c>
      <c r="B121" s="17" t="s">
        <v>907</v>
      </c>
      <c r="C121" s="28" t="s">
        <v>1101</v>
      </c>
      <c r="D121" s="17" t="s">
        <v>1151</v>
      </c>
      <c r="E121" s="17" t="s">
        <v>1152</v>
      </c>
      <c r="F121" s="20">
        <v>53.39</v>
      </c>
      <c r="G121" s="20">
        <v>48</v>
      </c>
      <c r="H121" s="19">
        <v>216</v>
      </c>
      <c r="I121" s="20">
        <v>112</v>
      </c>
      <c r="J121" s="20">
        <v>104</v>
      </c>
      <c r="K121" s="20">
        <v>10</v>
      </c>
      <c r="L121" s="57">
        <f t="shared" si="8"/>
        <v>4.6296296296296294E-2</v>
      </c>
      <c r="M121" s="20">
        <v>38</v>
      </c>
      <c r="N121" s="57">
        <f t="shared" si="9"/>
        <v>0.17592592592592593</v>
      </c>
      <c r="O121" s="46">
        <v>0</v>
      </c>
      <c r="P121" s="46">
        <v>0</v>
      </c>
      <c r="Q121" s="58" t="s">
        <v>51</v>
      </c>
      <c r="R121" s="59">
        <v>2019</v>
      </c>
      <c r="S121" s="58"/>
      <c r="T121" s="58"/>
      <c r="U121" s="58"/>
      <c r="V121" s="58"/>
      <c r="W121" s="58"/>
      <c r="X121" s="58" t="s">
        <v>51</v>
      </c>
      <c r="Y121" s="58"/>
      <c r="Z121" s="58"/>
      <c r="AA121" s="58"/>
      <c r="AB121" s="58"/>
      <c r="AC121" s="58" t="s">
        <v>51</v>
      </c>
      <c r="AD121" s="58"/>
      <c r="AE121" s="58"/>
      <c r="AF121" s="58"/>
      <c r="AG121" s="58"/>
      <c r="AH121" s="58"/>
      <c r="AI121" s="58"/>
    </row>
    <row r="122" spans="1:35" x14ac:dyDescent="0.35">
      <c r="A122" s="17" t="s">
        <v>46</v>
      </c>
      <c r="B122" s="17" t="s">
        <v>907</v>
      </c>
      <c r="C122" s="28" t="s">
        <v>1101</v>
      </c>
      <c r="D122" s="17" t="s">
        <v>1153</v>
      </c>
      <c r="E122" s="17" t="s">
        <v>1154</v>
      </c>
      <c r="F122" s="20">
        <v>551.37</v>
      </c>
      <c r="G122" s="20">
        <v>156</v>
      </c>
      <c r="H122" s="19">
        <v>796</v>
      </c>
      <c r="I122" s="20">
        <v>392</v>
      </c>
      <c r="J122" s="20">
        <v>404</v>
      </c>
      <c r="K122" s="20">
        <v>0</v>
      </c>
      <c r="L122" s="57">
        <f t="shared" si="8"/>
        <v>0</v>
      </c>
      <c r="M122" s="20">
        <v>763</v>
      </c>
      <c r="N122" s="57">
        <f t="shared" si="9"/>
        <v>0.95854271356783916</v>
      </c>
      <c r="O122" s="46">
        <v>199.8</v>
      </c>
      <c r="P122" s="46">
        <v>77.099999999999994</v>
      </c>
      <c r="Q122" s="58" t="s">
        <v>51</v>
      </c>
      <c r="R122" s="59">
        <v>2019</v>
      </c>
      <c r="S122" s="58"/>
      <c r="T122" s="58"/>
      <c r="U122" s="58"/>
      <c r="V122" s="58"/>
      <c r="W122" s="58"/>
      <c r="X122" s="58" t="s">
        <v>51</v>
      </c>
      <c r="Y122" s="58"/>
      <c r="Z122" s="58"/>
      <c r="AA122" s="58"/>
      <c r="AB122" s="58"/>
      <c r="AC122" s="58" t="s">
        <v>51</v>
      </c>
      <c r="AD122" s="58"/>
      <c r="AE122" s="58"/>
      <c r="AF122" s="58"/>
      <c r="AG122" s="58"/>
      <c r="AH122" s="58"/>
      <c r="AI122" s="58"/>
    </row>
    <row r="123" spans="1:35" x14ac:dyDescent="0.35">
      <c r="A123" s="17" t="s">
        <v>46</v>
      </c>
      <c r="B123" s="17" t="s">
        <v>907</v>
      </c>
      <c r="C123" s="28" t="s">
        <v>1101</v>
      </c>
      <c r="D123" s="17" t="s">
        <v>1155</v>
      </c>
      <c r="E123" s="17" t="s">
        <v>1156</v>
      </c>
      <c r="F123" s="20">
        <v>91.05</v>
      </c>
      <c r="G123" s="20">
        <v>25</v>
      </c>
      <c r="H123" s="19">
        <v>126</v>
      </c>
      <c r="I123" s="20">
        <v>61</v>
      </c>
      <c r="J123" s="20">
        <v>65</v>
      </c>
      <c r="K123" s="20">
        <v>0</v>
      </c>
      <c r="L123" s="57">
        <f t="shared" si="8"/>
        <v>0</v>
      </c>
      <c r="M123" s="20">
        <v>122</v>
      </c>
      <c r="N123" s="57">
        <f t="shared" si="9"/>
        <v>0.96825396825396826</v>
      </c>
      <c r="O123" s="46">
        <v>3.4</v>
      </c>
      <c r="P123" s="46">
        <v>29.15</v>
      </c>
      <c r="Q123" s="58" t="s">
        <v>51</v>
      </c>
      <c r="R123" s="59">
        <v>2019</v>
      </c>
      <c r="S123" s="58"/>
      <c r="T123" s="58"/>
      <c r="U123" s="58"/>
      <c r="V123" s="58"/>
      <c r="W123" s="58"/>
      <c r="X123" s="58" t="s">
        <v>51</v>
      </c>
      <c r="Y123" s="58"/>
      <c r="Z123" s="58"/>
      <c r="AA123" s="58"/>
      <c r="AB123" s="58"/>
      <c r="AC123" s="58" t="s">
        <v>51</v>
      </c>
      <c r="AD123" s="58"/>
      <c r="AE123" s="58"/>
      <c r="AF123" s="58"/>
      <c r="AG123" s="58"/>
      <c r="AH123" s="58"/>
      <c r="AI123" s="58"/>
    </row>
    <row r="124" spans="1:35" x14ac:dyDescent="0.35">
      <c r="A124" s="17" t="s">
        <v>46</v>
      </c>
      <c r="B124" s="17" t="s">
        <v>907</v>
      </c>
      <c r="C124" s="28" t="s">
        <v>1101</v>
      </c>
      <c r="D124" s="17" t="s">
        <v>1157</v>
      </c>
      <c r="E124" s="17" t="s">
        <v>1158</v>
      </c>
      <c r="F124" s="20">
        <v>262.68</v>
      </c>
      <c r="G124" s="20">
        <v>71</v>
      </c>
      <c r="H124" s="19">
        <v>321</v>
      </c>
      <c r="I124" s="20">
        <v>164</v>
      </c>
      <c r="J124" s="20">
        <v>157</v>
      </c>
      <c r="K124" s="20">
        <v>0</v>
      </c>
      <c r="L124" s="57">
        <f t="shared" si="8"/>
        <v>0</v>
      </c>
      <c r="M124" s="20">
        <v>315</v>
      </c>
      <c r="N124" s="57">
        <f t="shared" si="9"/>
        <v>0.98130841121495327</v>
      </c>
      <c r="O124" s="46">
        <v>22.9</v>
      </c>
      <c r="P124" s="46">
        <v>84.55</v>
      </c>
      <c r="Q124" s="58" t="s">
        <v>51</v>
      </c>
      <c r="R124" s="59">
        <v>2019</v>
      </c>
      <c r="S124" s="58"/>
      <c r="T124" s="58"/>
      <c r="U124" s="58"/>
      <c r="V124" s="58"/>
      <c r="W124" s="58"/>
      <c r="X124" s="58" t="s">
        <v>51</v>
      </c>
      <c r="Y124" s="58"/>
      <c r="Z124" s="58"/>
      <c r="AA124" s="58"/>
      <c r="AB124" s="58"/>
      <c r="AC124" s="58" t="s">
        <v>51</v>
      </c>
      <c r="AD124" s="58"/>
      <c r="AE124" s="58"/>
      <c r="AF124" s="58"/>
      <c r="AG124" s="58"/>
      <c r="AH124" s="58"/>
      <c r="AI124" s="58"/>
    </row>
    <row r="125" spans="1:35" x14ac:dyDescent="0.35">
      <c r="A125" s="17" t="s">
        <v>46</v>
      </c>
      <c r="B125" s="17" t="s">
        <v>907</v>
      </c>
      <c r="C125" s="28" t="s">
        <v>1101</v>
      </c>
      <c r="D125" s="17" t="s">
        <v>1159</v>
      </c>
      <c r="E125" s="17" t="s">
        <v>1160</v>
      </c>
      <c r="F125" s="20">
        <v>1497.56</v>
      </c>
      <c r="G125" s="20">
        <v>808</v>
      </c>
      <c r="H125" s="19">
        <v>3883</v>
      </c>
      <c r="I125" s="20">
        <v>1977</v>
      </c>
      <c r="J125" s="20">
        <v>1906</v>
      </c>
      <c r="K125" s="20">
        <v>653</v>
      </c>
      <c r="L125" s="57">
        <f t="shared" si="8"/>
        <v>0.16816894154004636</v>
      </c>
      <c r="M125" s="20">
        <v>458</v>
      </c>
      <c r="N125" s="57">
        <f t="shared" si="9"/>
        <v>0.11795003862992531</v>
      </c>
      <c r="O125" s="46">
        <v>261.3</v>
      </c>
      <c r="P125" s="46">
        <v>145.96</v>
      </c>
      <c r="Q125" s="58" t="s">
        <v>51</v>
      </c>
      <c r="R125" s="59">
        <v>2019</v>
      </c>
      <c r="S125" s="58"/>
      <c r="T125" s="58"/>
      <c r="U125" s="58"/>
      <c r="V125" s="58"/>
      <c r="W125" s="58"/>
      <c r="X125" s="58" t="s">
        <v>51</v>
      </c>
      <c r="Y125" s="58"/>
      <c r="Z125" s="58"/>
      <c r="AA125" s="58"/>
      <c r="AB125" s="58"/>
      <c r="AC125" s="58" t="s">
        <v>51</v>
      </c>
      <c r="AD125" s="58"/>
      <c r="AE125" s="58"/>
      <c r="AF125" s="58"/>
      <c r="AG125" s="58"/>
      <c r="AH125" s="58"/>
      <c r="AI125" s="58"/>
    </row>
    <row r="126" spans="1:35" x14ac:dyDescent="0.35">
      <c r="A126" s="17" t="s">
        <v>46</v>
      </c>
      <c r="B126" s="17" t="s">
        <v>907</v>
      </c>
      <c r="C126" s="28" t="s">
        <v>1051</v>
      </c>
      <c r="D126" s="17" t="s">
        <v>1161</v>
      </c>
      <c r="E126" s="17" t="s">
        <v>1162</v>
      </c>
      <c r="F126" s="20">
        <v>27.92</v>
      </c>
      <c r="G126" s="20">
        <v>20</v>
      </c>
      <c r="H126" s="19">
        <v>103</v>
      </c>
      <c r="I126" s="20">
        <v>48</v>
      </c>
      <c r="J126" s="20">
        <v>55</v>
      </c>
      <c r="K126" s="20">
        <v>0</v>
      </c>
      <c r="L126" s="57">
        <f t="shared" si="8"/>
        <v>0</v>
      </c>
      <c r="M126" s="20">
        <v>99</v>
      </c>
      <c r="N126" s="57">
        <f t="shared" si="9"/>
        <v>0.96116504854368934</v>
      </c>
      <c r="O126" s="46">
        <v>0</v>
      </c>
      <c r="P126" s="46">
        <v>0</v>
      </c>
      <c r="Q126" s="58" t="s">
        <v>51</v>
      </c>
      <c r="R126" s="59">
        <v>2019</v>
      </c>
      <c r="S126" s="58"/>
      <c r="T126" s="58"/>
      <c r="U126" s="58"/>
      <c r="V126" s="58"/>
      <c r="W126" s="58"/>
      <c r="X126" s="58" t="s">
        <v>51</v>
      </c>
      <c r="Y126" s="58"/>
      <c r="Z126" s="58"/>
      <c r="AA126" s="58"/>
      <c r="AB126" s="58"/>
      <c r="AC126" s="58" t="s">
        <v>51</v>
      </c>
      <c r="AD126" s="58"/>
      <c r="AE126" s="58"/>
      <c r="AF126" s="58"/>
      <c r="AG126" s="58"/>
      <c r="AH126" s="58"/>
      <c r="AI126" s="58"/>
    </row>
    <row r="127" spans="1:35" x14ac:dyDescent="0.35">
      <c r="A127" s="17" t="s">
        <v>46</v>
      </c>
      <c r="B127" s="17" t="s">
        <v>907</v>
      </c>
      <c r="C127" s="28" t="s">
        <v>1101</v>
      </c>
      <c r="D127" s="17" t="s">
        <v>1163</v>
      </c>
      <c r="E127" s="17" t="s">
        <v>1164</v>
      </c>
      <c r="F127" s="20">
        <v>17.600000000000001</v>
      </c>
      <c r="G127" s="20">
        <v>5</v>
      </c>
      <c r="H127" s="19">
        <v>23</v>
      </c>
      <c r="I127" s="20">
        <v>9</v>
      </c>
      <c r="J127" s="20">
        <v>14</v>
      </c>
      <c r="K127" s="20">
        <v>0</v>
      </c>
      <c r="L127" s="57">
        <f t="shared" si="8"/>
        <v>0</v>
      </c>
      <c r="M127" s="20">
        <v>4</v>
      </c>
      <c r="N127" s="57">
        <f t="shared" si="9"/>
        <v>0.17391304347826086</v>
      </c>
      <c r="O127" s="46">
        <v>0</v>
      </c>
      <c r="P127" s="46">
        <v>0</v>
      </c>
      <c r="Q127" s="58" t="s">
        <v>51</v>
      </c>
      <c r="R127" s="59">
        <v>2019</v>
      </c>
      <c r="S127" s="58"/>
      <c r="T127" s="58"/>
      <c r="U127" s="58"/>
      <c r="V127" s="58"/>
      <c r="W127" s="58"/>
      <c r="X127" s="58" t="s">
        <v>51</v>
      </c>
      <c r="Y127" s="58"/>
      <c r="Z127" s="58"/>
      <c r="AA127" s="58"/>
      <c r="AB127" s="58"/>
      <c r="AC127" s="58" t="s">
        <v>51</v>
      </c>
      <c r="AD127" s="58"/>
      <c r="AE127" s="58"/>
      <c r="AF127" s="58"/>
      <c r="AG127" s="58"/>
      <c r="AH127" s="58"/>
      <c r="AI127" s="58"/>
    </row>
    <row r="128" spans="1:35" x14ac:dyDescent="0.35">
      <c r="A128" s="17" t="s">
        <v>46</v>
      </c>
      <c r="B128" s="17" t="s">
        <v>907</v>
      </c>
      <c r="C128" s="28" t="s">
        <v>1096</v>
      </c>
      <c r="D128" s="17" t="s">
        <v>1165</v>
      </c>
      <c r="E128" s="17" t="s">
        <v>1166</v>
      </c>
      <c r="F128" s="20">
        <v>63.09</v>
      </c>
      <c r="G128" s="20">
        <v>47</v>
      </c>
      <c r="H128" s="19">
        <v>206</v>
      </c>
      <c r="I128" s="20">
        <v>106</v>
      </c>
      <c r="J128" s="20">
        <v>100</v>
      </c>
      <c r="K128" s="20">
        <v>0</v>
      </c>
      <c r="L128" s="57">
        <f t="shared" si="8"/>
        <v>0</v>
      </c>
      <c r="M128" s="20">
        <v>204</v>
      </c>
      <c r="N128" s="57">
        <f t="shared" si="9"/>
        <v>0.99029126213592233</v>
      </c>
      <c r="O128" s="46">
        <v>0</v>
      </c>
      <c r="P128" s="46">
        <v>0</v>
      </c>
      <c r="Q128" s="58" t="s">
        <v>562</v>
      </c>
      <c r="R128" s="59"/>
      <c r="S128" s="58"/>
      <c r="T128" s="58"/>
      <c r="U128" s="58"/>
      <c r="V128" s="58"/>
      <c r="W128" s="58"/>
      <c r="X128" s="58" t="s">
        <v>562</v>
      </c>
      <c r="Y128" s="58"/>
      <c r="Z128" s="58"/>
      <c r="AA128" s="58"/>
      <c r="AB128" s="58"/>
      <c r="AC128" s="58" t="s">
        <v>562</v>
      </c>
      <c r="AD128" s="58"/>
      <c r="AE128" s="58"/>
      <c r="AF128" s="58"/>
      <c r="AG128" s="58"/>
      <c r="AH128" s="58"/>
      <c r="AI128" s="58"/>
    </row>
    <row r="129" spans="1:35" x14ac:dyDescent="0.35">
      <c r="A129" s="17" t="s">
        <v>46</v>
      </c>
      <c r="B129" s="17" t="s">
        <v>907</v>
      </c>
      <c r="C129" s="28" t="s">
        <v>1096</v>
      </c>
      <c r="D129" s="17" t="s">
        <v>201</v>
      </c>
      <c r="E129" s="17" t="s">
        <v>1167</v>
      </c>
      <c r="F129" s="20">
        <v>22.01</v>
      </c>
      <c r="G129" s="20">
        <v>7</v>
      </c>
      <c r="H129" s="19">
        <v>31</v>
      </c>
      <c r="I129" s="20">
        <v>14</v>
      </c>
      <c r="J129" s="20">
        <v>17</v>
      </c>
      <c r="K129" s="20">
        <v>0</v>
      </c>
      <c r="L129" s="57">
        <f t="shared" si="8"/>
        <v>0</v>
      </c>
      <c r="M129" s="20">
        <v>0</v>
      </c>
      <c r="N129" s="57">
        <f t="shared" si="9"/>
        <v>0</v>
      </c>
      <c r="O129" s="46">
        <v>0</v>
      </c>
      <c r="P129" s="46">
        <v>0</v>
      </c>
      <c r="Q129" s="58"/>
      <c r="R129" s="59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</row>
    <row r="130" spans="1:35" x14ac:dyDescent="0.35">
      <c r="A130" s="17" t="s">
        <v>46</v>
      </c>
      <c r="B130" s="17" t="s">
        <v>907</v>
      </c>
      <c r="C130" s="28" t="s">
        <v>1121</v>
      </c>
      <c r="D130" s="17" t="s">
        <v>1168</v>
      </c>
      <c r="E130" s="17" t="s">
        <v>1169</v>
      </c>
      <c r="F130" s="20">
        <v>68.959999999999994</v>
      </c>
      <c r="G130" s="20">
        <v>59</v>
      </c>
      <c r="H130" s="19">
        <v>263</v>
      </c>
      <c r="I130" s="20">
        <v>139</v>
      </c>
      <c r="J130" s="20">
        <v>124</v>
      </c>
      <c r="K130" s="20">
        <v>101</v>
      </c>
      <c r="L130" s="57">
        <f t="shared" si="8"/>
        <v>0.38403041825095058</v>
      </c>
      <c r="M130" s="20">
        <v>20</v>
      </c>
      <c r="N130" s="57">
        <f t="shared" si="9"/>
        <v>7.6045627376425853E-2</v>
      </c>
      <c r="O130" s="46">
        <v>0</v>
      </c>
      <c r="P130" s="46">
        <v>0</v>
      </c>
      <c r="Q130" s="58"/>
      <c r="R130" s="59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</row>
    <row r="131" spans="1:35" x14ac:dyDescent="0.35">
      <c r="A131" s="17" t="s">
        <v>46</v>
      </c>
      <c r="B131" s="17" t="s">
        <v>907</v>
      </c>
      <c r="C131" s="28" t="s">
        <v>1121</v>
      </c>
      <c r="D131" s="17" t="s">
        <v>1170</v>
      </c>
      <c r="E131" s="17" t="s">
        <v>1171</v>
      </c>
      <c r="F131" s="20">
        <v>569.05999999999995</v>
      </c>
      <c r="G131" s="20">
        <v>328</v>
      </c>
      <c r="H131" s="19">
        <v>1740</v>
      </c>
      <c r="I131" s="20">
        <v>887</v>
      </c>
      <c r="J131" s="20">
        <v>853</v>
      </c>
      <c r="K131" s="20">
        <v>217</v>
      </c>
      <c r="L131" s="57">
        <f t="shared" si="8"/>
        <v>0.12471264367816091</v>
      </c>
      <c r="M131" s="20">
        <v>138</v>
      </c>
      <c r="N131" s="57">
        <f t="shared" si="9"/>
        <v>7.9310344827586213E-2</v>
      </c>
      <c r="O131" s="46">
        <v>0</v>
      </c>
      <c r="P131" s="46">
        <v>0</v>
      </c>
      <c r="Q131" s="58"/>
      <c r="R131" s="59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</row>
    <row r="132" spans="1:35" x14ac:dyDescent="0.35">
      <c r="A132" s="17" t="s">
        <v>46</v>
      </c>
      <c r="B132" s="17" t="s">
        <v>907</v>
      </c>
      <c r="C132" s="28" t="s">
        <v>1096</v>
      </c>
      <c r="D132" s="17" t="s">
        <v>1172</v>
      </c>
      <c r="E132" s="17" t="s">
        <v>1173</v>
      </c>
      <c r="F132" s="20">
        <v>45.54</v>
      </c>
      <c r="G132" s="20">
        <v>17</v>
      </c>
      <c r="H132" s="19">
        <v>78</v>
      </c>
      <c r="I132" s="20">
        <v>42</v>
      </c>
      <c r="J132" s="20">
        <v>36</v>
      </c>
      <c r="K132" s="20">
        <v>0</v>
      </c>
      <c r="L132" s="57">
        <f t="shared" ref="L132:L163" si="10">K132/H132</f>
        <v>0</v>
      </c>
      <c r="M132" s="20">
        <v>78</v>
      </c>
      <c r="N132" s="57">
        <f t="shared" si="9"/>
        <v>1</v>
      </c>
      <c r="O132" s="46">
        <v>2.64</v>
      </c>
      <c r="P132" s="46">
        <v>0</v>
      </c>
      <c r="Q132" s="58" t="s">
        <v>51</v>
      </c>
      <c r="R132" s="59">
        <v>2019</v>
      </c>
      <c r="S132" s="58"/>
      <c r="T132" s="58"/>
      <c r="U132" s="58"/>
      <c r="V132" s="58"/>
      <c r="W132" s="58"/>
      <c r="X132" s="58" t="s">
        <v>51</v>
      </c>
      <c r="Y132" s="58"/>
      <c r="Z132" s="58"/>
      <c r="AA132" s="58"/>
      <c r="AB132" s="58"/>
      <c r="AC132" s="58" t="s">
        <v>51</v>
      </c>
      <c r="AD132" s="58"/>
      <c r="AE132" s="58"/>
      <c r="AF132" s="58"/>
      <c r="AG132" s="58"/>
      <c r="AH132" s="58"/>
      <c r="AI132" s="58"/>
    </row>
    <row r="133" spans="1:35" x14ac:dyDescent="0.35">
      <c r="A133" s="17" t="s">
        <v>46</v>
      </c>
      <c r="B133" s="17" t="s">
        <v>907</v>
      </c>
      <c r="C133" s="28" t="s">
        <v>1096</v>
      </c>
      <c r="D133" s="17" t="s">
        <v>1174</v>
      </c>
      <c r="E133" s="17" t="s">
        <v>1175</v>
      </c>
      <c r="F133" s="20">
        <v>320.12</v>
      </c>
      <c r="G133" s="20">
        <v>213</v>
      </c>
      <c r="H133" s="19">
        <v>978</v>
      </c>
      <c r="I133" s="20">
        <v>472</v>
      </c>
      <c r="J133" s="20">
        <v>506</v>
      </c>
      <c r="K133" s="20">
        <v>1</v>
      </c>
      <c r="L133" s="57">
        <f t="shared" si="10"/>
        <v>1.0224948875255625E-3</v>
      </c>
      <c r="M133" s="20">
        <v>975</v>
      </c>
      <c r="N133" s="57">
        <f t="shared" si="9"/>
        <v>0.99693251533742333</v>
      </c>
      <c r="O133" s="46">
        <v>22.27</v>
      </c>
      <c r="P133" s="46">
        <v>0</v>
      </c>
      <c r="Q133" s="58" t="s">
        <v>51</v>
      </c>
      <c r="R133" s="59">
        <v>2019</v>
      </c>
      <c r="S133" s="58"/>
      <c r="T133" s="58"/>
      <c r="U133" s="58"/>
      <c r="V133" s="58"/>
      <c r="W133" s="58"/>
      <c r="X133" s="58" t="s">
        <v>51</v>
      </c>
      <c r="Y133" s="58"/>
      <c r="Z133" s="58"/>
      <c r="AA133" s="58"/>
      <c r="AB133" s="58"/>
      <c r="AC133" s="58" t="s">
        <v>51</v>
      </c>
      <c r="AD133" s="58"/>
      <c r="AE133" s="58"/>
      <c r="AF133" s="58"/>
      <c r="AG133" s="58"/>
      <c r="AH133" s="58"/>
      <c r="AI133" s="58"/>
    </row>
    <row r="134" spans="1:35" x14ac:dyDescent="0.35">
      <c r="A134" s="17" t="s">
        <v>46</v>
      </c>
      <c r="B134" s="17" t="s">
        <v>907</v>
      </c>
      <c r="C134" s="28" t="s">
        <v>1096</v>
      </c>
      <c r="D134" s="17" t="s">
        <v>1176</v>
      </c>
      <c r="E134" s="17" t="s">
        <v>1177</v>
      </c>
      <c r="F134" s="20">
        <v>196.26</v>
      </c>
      <c r="G134" s="20">
        <v>65</v>
      </c>
      <c r="H134" s="19">
        <v>351</v>
      </c>
      <c r="I134" s="20">
        <v>175</v>
      </c>
      <c r="J134" s="20">
        <v>176</v>
      </c>
      <c r="K134" s="20">
        <v>9</v>
      </c>
      <c r="L134" s="57">
        <f t="shared" si="10"/>
        <v>2.564102564102564E-2</v>
      </c>
      <c r="M134" s="20">
        <v>341</v>
      </c>
      <c r="N134" s="57">
        <f t="shared" si="9"/>
        <v>0.97150997150997154</v>
      </c>
      <c r="O134" s="46">
        <v>66.55</v>
      </c>
      <c r="P134" s="46">
        <v>29.7</v>
      </c>
      <c r="Q134" s="58" t="s">
        <v>51</v>
      </c>
      <c r="R134" s="59">
        <v>2019</v>
      </c>
      <c r="S134" s="58"/>
      <c r="T134" s="58"/>
      <c r="U134" s="58"/>
      <c r="V134" s="58"/>
      <c r="W134" s="58"/>
      <c r="X134" s="58" t="s">
        <v>51</v>
      </c>
      <c r="Y134" s="58"/>
      <c r="Z134" s="58"/>
      <c r="AA134" s="58"/>
      <c r="AB134" s="58"/>
      <c r="AC134" s="58" t="s">
        <v>51</v>
      </c>
      <c r="AD134" s="58"/>
      <c r="AE134" s="58"/>
      <c r="AF134" s="58"/>
      <c r="AG134" s="58"/>
      <c r="AH134" s="58"/>
      <c r="AI134" s="58"/>
    </row>
    <row r="135" spans="1:35" x14ac:dyDescent="0.35">
      <c r="A135" s="17" t="s">
        <v>46</v>
      </c>
      <c r="B135" s="17" t="s">
        <v>907</v>
      </c>
      <c r="C135" s="28" t="s">
        <v>1096</v>
      </c>
      <c r="D135" s="17" t="s">
        <v>1178</v>
      </c>
      <c r="E135" s="17" t="s">
        <v>1179</v>
      </c>
      <c r="F135" s="20">
        <v>400.28</v>
      </c>
      <c r="G135" s="20">
        <v>151</v>
      </c>
      <c r="H135" s="19">
        <v>728</v>
      </c>
      <c r="I135" s="20">
        <v>354</v>
      </c>
      <c r="J135" s="20">
        <v>374</v>
      </c>
      <c r="K135" s="20">
        <v>19</v>
      </c>
      <c r="L135" s="57">
        <f t="shared" si="10"/>
        <v>2.60989010989011E-2</v>
      </c>
      <c r="M135" s="20">
        <v>592</v>
      </c>
      <c r="N135" s="57">
        <f t="shared" si="9"/>
        <v>0.81318681318681318</v>
      </c>
      <c r="O135" s="46">
        <v>140.36000000000001</v>
      </c>
      <c r="P135" s="46">
        <v>0</v>
      </c>
      <c r="Q135" s="58" t="s">
        <v>51</v>
      </c>
      <c r="R135" s="59">
        <v>2020</v>
      </c>
      <c r="S135" s="58"/>
      <c r="T135" s="58"/>
      <c r="U135" s="58"/>
      <c r="V135" s="58"/>
      <c r="W135" s="58"/>
      <c r="X135" s="58" t="s">
        <v>51</v>
      </c>
      <c r="Y135" s="58"/>
      <c r="Z135" s="58"/>
      <c r="AA135" s="58"/>
      <c r="AB135" s="58"/>
      <c r="AC135" s="58" t="s">
        <v>51</v>
      </c>
      <c r="AD135" s="58"/>
      <c r="AE135" s="58"/>
      <c r="AF135" s="58"/>
      <c r="AG135" s="58"/>
      <c r="AH135" s="58"/>
      <c r="AI135" s="58"/>
    </row>
    <row r="136" spans="1:35" x14ac:dyDescent="0.35">
      <c r="A136" s="17" t="s">
        <v>46</v>
      </c>
      <c r="B136" s="17" t="s">
        <v>907</v>
      </c>
      <c r="C136" s="28" t="s">
        <v>1096</v>
      </c>
      <c r="D136" s="17" t="s">
        <v>1180</v>
      </c>
      <c r="E136" s="17" t="s">
        <v>1181</v>
      </c>
      <c r="F136" s="20">
        <v>194.33</v>
      </c>
      <c r="G136" s="20">
        <v>38</v>
      </c>
      <c r="H136" s="19">
        <v>189</v>
      </c>
      <c r="I136" s="20">
        <v>98</v>
      </c>
      <c r="J136" s="20">
        <v>91</v>
      </c>
      <c r="K136" s="20">
        <v>39</v>
      </c>
      <c r="L136" s="57">
        <f t="shared" si="10"/>
        <v>0.20634920634920634</v>
      </c>
      <c r="M136" s="20">
        <v>142</v>
      </c>
      <c r="N136" s="57">
        <f t="shared" si="9"/>
        <v>0.75132275132275128</v>
      </c>
      <c r="O136" s="46">
        <v>24.52</v>
      </c>
      <c r="P136" s="46">
        <v>0</v>
      </c>
      <c r="Q136" s="58" t="s">
        <v>51</v>
      </c>
      <c r="R136" s="59">
        <v>2019</v>
      </c>
      <c r="S136" s="58"/>
      <c r="T136" s="58"/>
      <c r="U136" s="58"/>
      <c r="V136" s="58"/>
      <c r="W136" s="58"/>
      <c r="X136" s="58" t="s">
        <v>51</v>
      </c>
      <c r="Y136" s="58"/>
      <c r="Z136" s="58"/>
      <c r="AA136" s="58"/>
      <c r="AB136" s="58"/>
      <c r="AC136" s="58" t="s">
        <v>51</v>
      </c>
      <c r="AD136" s="58"/>
      <c r="AE136" s="58"/>
      <c r="AF136" s="58"/>
      <c r="AG136" s="58"/>
      <c r="AH136" s="58"/>
      <c r="AI136" s="58"/>
    </row>
    <row r="137" spans="1:35" x14ac:dyDescent="0.35">
      <c r="A137" s="17" t="s">
        <v>46</v>
      </c>
      <c r="B137" s="17" t="s">
        <v>907</v>
      </c>
      <c r="C137" s="28" t="s">
        <v>1051</v>
      </c>
      <c r="D137" s="17" t="s">
        <v>1097</v>
      </c>
      <c r="E137" s="17" t="s">
        <v>1182</v>
      </c>
      <c r="F137" s="20">
        <v>211.71</v>
      </c>
      <c r="G137" s="20">
        <v>42</v>
      </c>
      <c r="H137" s="19">
        <v>178</v>
      </c>
      <c r="I137" s="20">
        <v>89</v>
      </c>
      <c r="J137" s="20">
        <v>89</v>
      </c>
      <c r="K137" s="20">
        <v>0</v>
      </c>
      <c r="L137" s="57">
        <f t="shared" si="10"/>
        <v>0</v>
      </c>
      <c r="M137" s="20">
        <v>176</v>
      </c>
      <c r="N137" s="57">
        <f t="shared" si="9"/>
        <v>0.9887640449438202</v>
      </c>
      <c r="O137" s="46">
        <v>86.13</v>
      </c>
      <c r="P137" s="46">
        <v>0</v>
      </c>
      <c r="Q137" s="58" t="s">
        <v>562</v>
      </c>
      <c r="R137" s="59"/>
      <c r="S137" s="58"/>
      <c r="T137" s="58"/>
      <c r="U137" s="58"/>
      <c r="V137" s="58"/>
      <c r="W137" s="58"/>
      <c r="X137" s="58" t="s">
        <v>562</v>
      </c>
      <c r="Y137" s="58"/>
      <c r="Z137" s="58"/>
      <c r="AA137" s="58"/>
      <c r="AB137" s="58"/>
      <c r="AC137" s="58" t="s">
        <v>562</v>
      </c>
      <c r="AD137" s="58"/>
      <c r="AE137" s="58"/>
      <c r="AF137" s="58"/>
      <c r="AG137" s="58"/>
      <c r="AH137" s="58"/>
      <c r="AI137" s="58"/>
    </row>
    <row r="138" spans="1:35" x14ac:dyDescent="0.35">
      <c r="A138" s="17" t="s">
        <v>46</v>
      </c>
      <c r="B138" s="17" t="s">
        <v>907</v>
      </c>
      <c r="C138" s="28" t="s">
        <v>1183</v>
      </c>
      <c r="D138" s="17" t="s">
        <v>1184</v>
      </c>
      <c r="E138" s="17" t="s">
        <v>1185</v>
      </c>
      <c r="F138" s="20">
        <v>112.76</v>
      </c>
      <c r="G138" s="20">
        <v>25</v>
      </c>
      <c r="H138" s="19">
        <v>109</v>
      </c>
      <c r="I138" s="20">
        <v>60</v>
      </c>
      <c r="J138" s="20">
        <v>49</v>
      </c>
      <c r="K138" s="20">
        <v>0</v>
      </c>
      <c r="L138" s="57">
        <f t="shared" si="10"/>
        <v>0</v>
      </c>
      <c r="M138" s="20">
        <v>109</v>
      </c>
      <c r="N138" s="57">
        <f t="shared" si="9"/>
        <v>1</v>
      </c>
      <c r="O138" s="46">
        <v>0</v>
      </c>
      <c r="P138" s="46">
        <v>0</v>
      </c>
      <c r="Q138" s="58"/>
      <c r="R138" s="59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</row>
    <row r="139" spans="1:35" x14ac:dyDescent="0.35">
      <c r="A139" s="17" t="s">
        <v>46</v>
      </c>
      <c r="B139" s="17" t="s">
        <v>907</v>
      </c>
      <c r="C139" s="28" t="s">
        <v>1096</v>
      </c>
      <c r="D139" s="17" t="s">
        <v>126</v>
      </c>
      <c r="E139" s="17" t="s">
        <v>1186</v>
      </c>
      <c r="F139" s="20">
        <v>40.049999999999997</v>
      </c>
      <c r="G139" s="20">
        <v>16</v>
      </c>
      <c r="H139" s="19">
        <v>89</v>
      </c>
      <c r="I139" s="20">
        <v>42</v>
      </c>
      <c r="J139" s="20">
        <v>47</v>
      </c>
      <c r="K139" s="20">
        <v>0</v>
      </c>
      <c r="L139" s="57">
        <f t="shared" si="10"/>
        <v>0</v>
      </c>
      <c r="M139" s="20">
        <v>89</v>
      </c>
      <c r="N139" s="57">
        <f t="shared" si="9"/>
        <v>1</v>
      </c>
      <c r="O139" s="46">
        <v>0</v>
      </c>
      <c r="P139" s="46">
        <v>0</v>
      </c>
      <c r="Q139" s="58" t="s">
        <v>562</v>
      </c>
      <c r="R139" s="59"/>
      <c r="S139" s="58"/>
      <c r="T139" s="58"/>
      <c r="U139" s="58"/>
      <c r="V139" s="58"/>
      <c r="W139" s="58"/>
      <c r="X139" s="58" t="s">
        <v>562</v>
      </c>
      <c r="Y139" s="58"/>
      <c r="Z139" s="58"/>
      <c r="AA139" s="58"/>
      <c r="AB139" s="58"/>
      <c r="AC139" s="58" t="s">
        <v>562</v>
      </c>
      <c r="AD139" s="58"/>
      <c r="AE139" s="58"/>
      <c r="AF139" s="58"/>
      <c r="AG139" s="58"/>
      <c r="AH139" s="58"/>
      <c r="AI139" s="58"/>
    </row>
    <row r="140" spans="1:35" x14ac:dyDescent="0.35">
      <c r="A140" s="17" t="s">
        <v>46</v>
      </c>
      <c r="B140" s="17" t="s">
        <v>907</v>
      </c>
      <c r="C140" s="28" t="s">
        <v>1096</v>
      </c>
      <c r="D140" s="17" t="s">
        <v>1187</v>
      </c>
      <c r="E140" s="17" t="s">
        <v>1188</v>
      </c>
      <c r="F140" s="20">
        <v>45.87</v>
      </c>
      <c r="G140" s="20">
        <v>56</v>
      </c>
      <c r="H140" s="19">
        <v>255</v>
      </c>
      <c r="I140" s="20">
        <v>123</v>
      </c>
      <c r="J140" s="20">
        <v>132</v>
      </c>
      <c r="K140" s="20">
        <v>49</v>
      </c>
      <c r="L140" s="57">
        <f t="shared" si="10"/>
        <v>0.19215686274509805</v>
      </c>
      <c r="M140" s="20">
        <v>205</v>
      </c>
      <c r="N140" s="57">
        <f t="shared" si="9"/>
        <v>0.80392156862745101</v>
      </c>
      <c r="O140" s="46">
        <v>0</v>
      </c>
      <c r="P140" s="46">
        <v>0</v>
      </c>
      <c r="Q140" s="58" t="s">
        <v>562</v>
      </c>
      <c r="R140" s="59"/>
      <c r="S140" s="58"/>
      <c r="T140" s="58"/>
      <c r="U140" s="58"/>
      <c r="V140" s="58"/>
      <c r="W140" s="58"/>
      <c r="X140" s="58" t="s">
        <v>562</v>
      </c>
      <c r="Y140" s="58"/>
      <c r="Z140" s="58"/>
      <c r="AA140" s="58"/>
      <c r="AB140" s="58"/>
      <c r="AC140" s="58" t="s">
        <v>562</v>
      </c>
      <c r="AD140" s="58"/>
      <c r="AE140" s="58"/>
      <c r="AF140" s="58"/>
      <c r="AG140" s="58"/>
      <c r="AH140" s="58"/>
      <c r="AI140" s="58"/>
    </row>
    <row r="141" spans="1:35" x14ac:dyDescent="0.35">
      <c r="A141" s="17" t="s">
        <v>46</v>
      </c>
      <c r="B141" s="17" t="s">
        <v>907</v>
      </c>
      <c r="C141" s="28" t="s">
        <v>1096</v>
      </c>
      <c r="D141" s="17" t="s">
        <v>1189</v>
      </c>
      <c r="E141" s="17" t="s">
        <v>1190</v>
      </c>
      <c r="F141" s="28">
        <v>50.72</v>
      </c>
      <c r="G141" s="47"/>
      <c r="H141" s="19">
        <v>0</v>
      </c>
      <c r="I141" s="47"/>
      <c r="J141" s="47"/>
      <c r="K141" s="47"/>
      <c r="L141" s="57" t="e">
        <f t="shared" si="10"/>
        <v>#DIV/0!</v>
      </c>
      <c r="M141" s="47"/>
      <c r="N141" s="57"/>
      <c r="O141" s="48">
        <v>0</v>
      </c>
      <c r="P141" s="48">
        <v>0</v>
      </c>
      <c r="Q141" s="58" t="s">
        <v>112</v>
      </c>
      <c r="R141" s="59"/>
      <c r="S141" s="58"/>
      <c r="T141" s="58"/>
      <c r="U141" s="58"/>
      <c r="V141" s="58"/>
      <c r="W141" s="58"/>
      <c r="X141" s="58" t="s">
        <v>112</v>
      </c>
      <c r="Y141" s="58"/>
      <c r="Z141" s="58"/>
      <c r="AA141" s="58"/>
      <c r="AB141" s="58"/>
      <c r="AC141" s="58" t="s">
        <v>112</v>
      </c>
      <c r="AD141" s="58"/>
      <c r="AE141" s="58"/>
      <c r="AF141" s="58"/>
      <c r="AG141" s="58"/>
      <c r="AH141" s="58"/>
      <c r="AI141" s="58"/>
    </row>
    <row r="142" spans="1:35" x14ac:dyDescent="0.35">
      <c r="A142" s="17" t="s">
        <v>46</v>
      </c>
      <c r="B142" s="17" t="s">
        <v>907</v>
      </c>
      <c r="C142" s="28" t="s">
        <v>1096</v>
      </c>
      <c r="D142" s="17" t="s">
        <v>1191</v>
      </c>
      <c r="E142" s="17" t="s">
        <v>1192</v>
      </c>
      <c r="F142" s="20">
        <v>48.28</v>
      </c>
      <c r="G142" s="20">
        <v>33</v>
      </c>
      <c r="H142" s="19">
        <v>167</v>
      </c>
      <c r="I142" s="20">
        <v>82</v>
      </c>
      <c r="J142" s="20">
        <v>85</v>
      </c>
      <c r="K142" s="20">
        <v>2</v>
      </c>
      <c r="L142" s="57">
        <f t="shared" si="10"/>
        <v>1.1976047904191617E-2</v>
      </c>
      <c r="M142" s="20">
        <v>155</v>
      </c>
      <c r="N142" s="57">
        <f t="shared" ref="N142:N154" si="11">M142/H142</f>
        <v>0.92814371257485029</v>
      </c>
      <c r="O142" s="46">
        <v>0</v>
      </c>
      <c r="P142" s="46">
        <v>0</v>
      </c>
      <c r="Q142" s="58" t="s">
        <v>562</v>
      </c>
      <c r="R142" s="59"/>
      <c r="S142" s="58"/>
      <c r="T142" s="58"/>
      <c r="U142" s="58"/>
      <c r="V142" s="58"/>
      <c r="W142" s="58"/>
      <c r="X142" s="58" t="s">
        <v>562</v>
      </c>
      <c r="Y142" s="58"/>
      <c r="Z142" s="58"/>
      <c r="AA142" s="58"/>
      <c r="AB142" s="58"/>
      <c r="AC142" s="58" t="s">
        <v>562</v>
      </c>
      <c r="AD142" s="58"/>
      <c r="AE142" s="58"/>
      <c r="AF142" s="58"/>
      <c r="AG142" s="58"/>
      <c r="AH142" s="58"/>
      <c r="AI142" s="58"/>
    </row>
    <row r="143" spans="1:35" x14ac:dyDescent="0.35">
      <c r="A143" s="17" t="s">
        <v>46</v>
      </c>
      <c r="B143" s="17" t="s">
        <v>907</v>
      </c>
      <c r="C143" s="28" t="s">
        <v>1096</v>
      </c>
      <c r="D143" s="17" t="s">
        <v>1193</v>
      </c>
      <c r="E143" s="17" t="s">
        <v>1194</v>
      </c>
      <c r="F143" s="20">
        <v>77.38</v>
      </c>
      <c r="G143" s="20">
        <v>90</v>
      </c>
      <c r="H143" s="19">
        <v>393</v>
      </c>
      <c r="I143" s="20">
        <v>207</v>
      </c>
      <c r="J143" s="20">
        <v>186</v>
      </c>
      <c r="K143" s="20">
        <v>155</v>
      </c>
      <c r="L143" s="57">
        <f t="shared" si="10"/>
        <v>0.3944020356234097</v>
      </c>
      <c r="M143" s="20">
        <v>225</v>
      </c>
      <c r="N143" s="57">
        <f t="shared" si="11"/>
        <v>0.5725190839694656</v>
      </c>
      <c r="O143" s="46">
        <v>0</v>
      </c>
      <c r="P143" s="46">
        <v>0</v>
      </c>
      <c r="Q143" s="58" t="s">
        <v>562</v>
      </c>
      <c r="R143" s="59"/>
      <c r="S143" s="58"/>
      <c r="T143" s="58"/>
      <c r="U143" s="58"/>
      <c r="V143" s="58"/>
      <c r="W143" s="58"/>
      <c r="X143" s="58" t="s">
        <v>562</v>
      </c>
      <c r="Y143" s="58"/>
      <c r="Z143" s="58"/>
      <c r="AA143" s="58"/>
      <c r="AB143" s="58"/>
      <c r="AC143" s="58" t="s">
        <v>562</v>
      </c>
      <c r="AD143" s="58"/>
      <c r="AE143" s="58"/>
      <c r="AF143" s="58"/>
      <c r="AG143" s="58"/>
      <c r="AH143" s="58"/>
      <c r="AI143" s="58"/>
    </row>
    <row r="144" spans="1:35" x14ac:dyDescent="0.35">
      <c r="A144" s="17" t="s">
        <v>46</v>
      </c>
      <c r="B144" s="17" t="s">
        <v>907</v>
      </c>
      <c r="C144" s="28" t="s">
        <v>1104</v>
      </c>
      <c r="D144" s="17" t="s">
        <v>89</v>
      </c>
      <c r="E144" s="17" t="s">
        <v>1195</v>
      </c>
      <c r="F144" s="20">
        <v>93.9</v>
      </c>
      <c r="G144" s="20">
        <v>67</v>
      </c>
      <c r="H144" s="19">
        <v>314</v>
      </c>
      <c r="I144" s="20">
        <v>159</v>
      </c>
      <c r="J144" s="20">
        <v>155</v>
      </c>
      <c r="K144" s="20">
        <v>26</v>
      </c>
      <c r="L144" s="57">
        <f t="shared" si="10"/>
        <v>8.2802547770700632E-2</v>
      </c>
      <c r="M144" s="20">
        <v>81</v>
      </c>
      <c r="N144" s="57">
        <f t="shared" si="11"/>
        <v>0.25796178343949044</v>
      </c>
      <c r="O144" s="46">
        <v>0.16</v>
      </c>
      <c r="P144" s="46">
        <v>0</v>
      </c>
      <c r="Q144" s="58" t="s">
        <v>562</v>
      </c>
      <c r="R144" s="59"/>
      <c r="S144" s="58"/>
      <c r="T144" s="58"/>
      <c r="U144" s="58"/>
      <c r="V144" s="58"/>
      <c r="W144" s="58"/>
      <c r="X144" s="58" t="s">
        <v>562</v>
      </c>
      <c r="Y144" s="58"/>
      <c r="Z144" s="58"/>
      <c r="AA144" s="58"/>
      <c r="AB144" s="58"/>
      <c r="AC144" s="58" t="s">
        <v>562</v>
      </c>
      <c r="AD144" s="58"/>
      <c r="AE144" s="58"/>
      <c r="AF144" s="58"/>
      <c r="AG144" s="58"/>
      <c r="AH144" s="58"/>
      <c r="AI144" s="58"/>
    </row>
    <row r="145" spans="1:35" x14ac:dyDescent="0.35">
      <c r="A145" s="17" t="s">
        <v>46</v>
      </c>
      <c r="B145" s="17" t="s">
        <v>907</v>
      </c>
      <c r="C145" s="28" t="s">
        <v>1104</v>
      </c>
      <c r="D145" s="17" t="s">
        <v>1196</v>
      </c>
      <c r="E145" s="17" t="s">
        <v>1197</v>
      </c>
      <c r="F145" s="20">
        <v>160.49</v>
      </c>
      <c r="G145" s="20">
        <v>160</v>
      </c>
      <c r="H145" s="19">
        <v>713</v>
      </c>
      <c r="I145" s="20">
        <v>352</v>
      </c>
      <c r="J145" s="20">
        <v>361</v>
      </c>
      <c r="K145" s="20">
        <v>2</v>
      </c>
      <c r="L145" s="57">
        <f t="shared" si="10"/>
        <v>2.8050490883590462E-3</v>
      </c>
      <c r="M145" s="20">
        <v>709</v>
      </c>
      <c r="N145" s="57">
        <f t="shared" si="11"/>
        <v>0.99438990182328191</v>
      </c>
      <c r="O145" s="46">
        <v>6.68</v>
      </c>
      <c r="P145" s="46">
        <v>0</v>
      </c>
      <c r="Q145" s="58" t="s">
        <v>51</v>
      </c>
      <c r="R145" s="59">
        <v>2019</v>
      </c>
      <c r="S145" s="58"/>
      <c r="T145" s="58"/>
      <c r="U145" s="58"/>
      <c r="V145" s="58"/>
      <c r="W145" s="58"/>
      <c r="X145" s="58" t="s">
        <v>51</v>
      </c>
      <c r="Y145" s="58"/>
      <c r="Z145" s="58"/>
      <c r="AA145" s="58"/>
      <c r="AB145" s="58"/>
      <c r="AC145" s="58" t="s">
        <v>51</v>
      </c>
      <c r="AD145" s="58"/>
      <c r="AE145" s="58"/>
      <c r="AF145" s="58"/>
      <c r="AG145" s="58"/>
      <c r="AH145" s="58"/>
      <c r="AI145" s="58"/>
    </row>
    <row r="146" spans="1:35" x14ac:dyDescent="0.35">
      <c r="A146" s="17" t="s">
        <v>46</v>
      </c>
      <c r="B146" s="17" t="s">
        <v>907</v>
      </c>
      <c r="C146" s="28" t="s">
        <v>1096</v>
      </c>
      <c r="D146" s="17" t="s">
        <v>1198</v>
      </c>
      <c r="E146" s="17" t="s">
        <v>1199</v>
      </c>
      <c r="F146" s="20">
        <v>111.36</v>
      </c>
      <c r="G146" s="20">
        <v>80</v>
      </c>
      <c r="H146" s="19">
        <v>445</v>
      </c>
      <c r="I146" s="20">
        <v>201</v>
      </c>
      <c r="J146" s="20">
        <v>244</v>
      </c>
      <c r="K146" s="20">
        <v>17</v>
      </c>
      <c r="L146" s="57">
        <f t="shared" si="10"/>
        <v>3.8202247191011236E-2</v>
      </c>
      <c r="M146" s="20">
        <v>384</v>
      </c>
      <c r="N146" s="57">
        <f t="shared" si="11"/>
        <v>0.86292134831460676</v>
      </c>
      <c r="O146" s="46">
        <v>11.67</v>
      </c>
      <c r="P146" s="46">
        <v>0</v>
      </c>
      <c r="Q146" s="58" t="s">
        <v>51</v>
      </c>
      <c r="R146" s="59">
        <v>2019</v>
      </c>
      <c r="S146" s="58"/>
      <c r="T146" s="58"/>
      <c r="U146" s="58"/>
      <c r="V146" s="58"/>
      <c r="W146" s="58"/>
      <c r="X146" s="58" t="s">
        <v>51</v>
      </c>
      <c r="Y146" s="58"/>
      <c r="Z146" s="58"/>
      <c r="AA146" s="58"/>
      <c r="AB146" s="58"/>
      <c r="AC146" s="58" t="s">
        <v>51</v>
      </c>
      <c r="AD146" s="58"/>
      <c r="AE146" s="58"/>
      <c r="AF146" s="58"/>
      <c r="AG146" s="58"/>
      <c r="AH146" s="58"/>
      <c r="AI146" s="58"/>
    </row>
    <row r="147" spans="1:35" x14ac:dyDescent="0.35">
      <c r="A147" s="17" t="s">
        <v>46</v>
      </c>
      <c r="B147" s="17" t="s">
        <v>907</v>
      </c>
      <c r="C147" s="28" t="s">
        <v>1183</v>
      </c>
      <c r="D147" s="17" t="s">
        <v>1200</v>
      </c>
      <c r="E147" s="17" t="s">
        <v>1201</v>
      </c>
      <c r="F147" s="20">
        <v>111.02</v>
      </c>
      <c r="G147" s="20">
        <v>122</v>
      </c>
      <c r="H147" s="19">
        <v>563</v>
      </c>
      <c r="I147" s="20">
        <v>287</v>
      </c>
      <c r="J147" s="20">
        <v>276</v>
      </c>
      <c r="K147" s="20">
        <v>9</v>
      </c>
      <c r="L147" s="57">
        <f t="shared" si="10"/>
        <v>1.5985790408525755E-2</v>
      </c>
      <c r="M147" s="20">
        <v>545</v>
      </c>
      <c r="N147" s="57">
        <f t="shared" si="11"/>
        <v>0.96802841918294846</v>
      </c>
      <c r="O147" s="46">
        <v>8.5</v>
      </c>
      <c r="P147" s="46">
        <v>0</v>
      </c>
      <c r="Q147" s="58"/>
      <c r="R147" s="59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</row>
    <row r="148" spans="1:35" x14ac:dyDescent="0.35">
      <c r="A148" s="17" t="s">
        <v>46</v>
      </c>
      <c r="B148" s="17" t="s">
        <v>907</v>
      </c>
      <c r="C148" s="28" t="s">
        <v>1083</v>
      </c>
      <c r="D148" s="17" t="s">
        <v>1202</v>
      </c>
      <c r="E148" s="17" t="s">
        <v>1203</v>
      </c>
      <c r="F148" s="20">
        <v>456.46</v>
      </c>
      <c r="G148" s="20">
        <v>156</v>
      </c>
      <c r="H148" s="19">
        <v>705</v>
      </c>
      <c r="I148" s="20">
        <v>357</v>
      </c>
      <c r="J148" s="20">
        <v>348</v>
      </c>
      <c r="K148" s="20">
        <v>95</v>
      </c>
      <c r="L148" s="57">
        <f t="shared" si="10"/>
        <v>0.13475177304964539</v>
      </c>
      <c r="M148" s="20">
        <v>387</v>
      </c>
      <c r="N148" s="57">
        <f t="shared" si="11"/>
        <v>0.54893617021276597</v>
      </c>
      <c r="O148" s="46">
        <v>32.08</v>
      </c>
      <c r="P148" s="46">
        <v>0</v>
      </c>
      <c r="Q148" s="58" t="s">
        <v>51</v>
      </c>
      <c r="R148" s="59">
        <v>2020</v>
      </c>
      <c r="S148" s="58"/>
      <c r="T148" s="58"/>
      <c r="U148" s="58"/>
      <c r="V148" s="58"/>
      <c r="W148" s="58"/>
      <c r="X148" s="58" t="s">
        <v>51</v>
      </c>
      <c r="Y148" s="58"/>
      <c r="Z148" s="58"/>
      <c r="AA148" s="58"/>
      <c r="AB148" s="58"/>
      <c r="AC148" s="58" t="s">
        <v>51</v>
      </c>
      <c r="AD148" s="58"/>
      <c r="AE148" s="58"/>
      <c r="AF148" s="58"/>
      <c r="AG148" s="58"/>
      <c r="AH148" s="58"/>
      <c r="AI148" s="58"/>
    </row>
    <row r="149" spans="1:35" x14ac:dyDescent="0.35">
      <c r="A149" s="17" t="s">
        <v>46</v>
      </c>
      <c r="B149" s="17" t="s">
        <v>907</v>
      </c>
      <c r="C149" s="28" t="s">
        <v>1083</v>
      </c>
      <c r="D149" s="17" t="s">
        <v>1204</v>
      </c>
      <c r="E149" s="17" t="s">
        <v>1205</v>
      </c>
      <c r="F149" s="20">
        <v>246.28</v>
      </c>
      <c r="G149" s="20">
        <v>163</v>
      </c>
      <c r="H149" s="19">
        <v>792</v>
      </c>
      <c r="I149" s="20">
        <v>402</v>
      </c>
      <c r="J149" s="20">
        <v>390</v>
      </c>
      <c r="K149" s="20">
        <v>41</v>
      </c>
      <c r="L149" s="57">
        <f t="shared" si="10"/>
        <v>5.1767676767676768E-2</v>
      </c>
      <c r="M149" s="20">
        <v>749</v>
      </c>
      <c r="N149" s="57">
        <f t="shared" si="11"/>
        <v>0.94570707070707072</v>
      </c>
      <c r="O149" s="46">
        <v>68.5</v>
      </c>
      <c r="P149" s="46">
        <v>0</v>
      </c>
      <c r="Q149" s="58" t="s">
        <v>51</v>
      </c>
      <c r="R149" s="59">
        <v>2019</v>
      </c>
      <c r="S149" s="58"/>
      <c r="T149" s="58"/>
      <c r="U149" s="58"/>
      <c r="V149" s="58"/>
      <c r="W149" s="58"/>
      <c r="X149" s="58" t="s">
        <v>51</v>
      </c>
      <c r="Y149" s="58"/>
      <c r="Z149" s="58"/>
      <c r="AA149" s="58"/>
      <c r="AB149" s="58"/>
      <c r="AC149" s="58" t="s">
        <v>51</v>
      </c>
      <c r="AD149" s="58"/>
      <c r="AE149" s="58"/>
      <c r="AF149" s="58"/>
      <c r="AG149" s="58"/>
      <c r="AH149" s="58"/>
      <c r="AI149" s="58"/>
    </row>
    <row r="150" spans="1:35" x14ac:dyDescent="0.35">
      <c r="A150" s="17" t="s">
        <v>46</v>
      </c>
      <c r="B150" s="17" t="s">
        <v>907</v>
      </c>
      <c r="C150" s="28" t="s">
        <v>1183</v>
      </c>
      <c r="D150" s="17" t="s">
        <v>1206</v>
      </c>
      <c r="E150" s="17" t="s">
        <v>1207</v>
      </c>
      <c r="F150" s="20">
        <v>91.25</v>
      </c>
      <c r="G150" s="20">
        <v>80</v>
      </c>
      <c r="H150" s="19">
        <v>382</v>
      </c>
      <c r="I150" s="20">
        <v>195</v>
      </c>
      <c r="J150" s="20">
        <v>187</v>
      </c>
      <c r="K150" s="20">
        <v>3</v>
      </c>
      <c r="L150" s="57">
        <f t="shared" si="10"/>
        <v>7.8534031413612562E-3</v>
      </c>
      <c r="M150" s="20">
        <v>373</v>
      </c>
      <c r="N150" s="57">
        <f t="shared" si="11"/>
        <v>0.97643979057591623</v>
      </c>
      <c r="O150" s="46">
        <v>18.7</v>
      </c>
      <c r="P150" s="46">
        <v>0</v>
      </c>
      <c r="Q150" s="58"/>
      <c r="R150" s="59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</row>
    <row r="151" spans="1:35" x14ac:dyDescent="0.35">
      <c r="A151" s="17" t="s">
        <v>46</v>
      </c>
      <c r="B151" s="17" t="s">
        <v>907</v>
      </c>
      <c r="C151" s="28" t="s">
        <v>1183</v>
      </c>
      <c r="D151" s="17" t="s">
        <v>1183</v>
      </c>
      <c r="E151" s="17" t="s">
        <v>1208</v>
      </c>
      <c r="F151" s="20">
        <v>320.45999999999998</v>
      </c>
      <c r="G151" s="20">
        <v>186</v>
      </c>
      <c r="H151" s="19">
        <v>784</v>
      </c>
      <c r="I151" s="20">
        <v>401</v>
      </c>
      <c r="J151" s="20">
        <v>383</v>
      </c>
      <c r="K151" s="20">
        <v>75</v>
      </c>
      <c r="L151" s="57">
        <f t="shared" si="10"/>
        <v>9.5663265306122444E-2</v>
      </c>
      <c r="M151" s="20">
        <v>699</v>
      </c>
      <c r="N151" s="57">
        <f t="shared" si="11"/>
        <v>0.89158163265306123</v>
      </c>
      <c r="O151" s="46">
        <v>36.9</v>
      </c>
      <c r="P151" s="46">
        <v>22.5</v>
      </c>
      <c r="Q151" s="58"/>
      <c r="R151" s="59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</row>
    <row r="152" spans="1:35" x14ac:dyDescent="0.35">
      <c r="A152" s="17" t="s">
        <v>46</v>
      </c>
      <c r="B152" s="17" t="s">
        <v>907</v>
      </c>
      <c r="C152" s="28" t="s">
        <v>1183</v>
      </c>
      <c r="D152" s="17" t="s">
        <v>662</v>
      </c>
      <c r="E152" s="17" t="s">
        <v>1209</v>
      </c>
      <c r="F152" s="20">
        <v>55.25</v>
      </c>
      <c r="G152" s="20">
        <v>13</v>
      </c>
      <c r="H152" s="19">
        <v>75</v>
      </c>
      <c r="I152" s="20">
        <v>41</v>
      </c>
      <c r="J152" s="20">
        <v>34</v>
      </c>
      <c r="K152" s="20">
        <v>0</v>
      </c>
      <c r="L152" s="57">
        <f t="shared" si="10"/>
        <v>0</v>
      </c>
      <c r="M152" s="20">
        <v>75</v>
      </c>
      <c r="N152" s="57">
        <f t="shared" si="11"/>
        <v>1</v>
      </c>
      <c r="O152" s="46">
        <v>0</v>
      </c>
      <c r="P152" s="46">
        <v>0</v>
      </c>
      <c r="Q152" s="58"/>
      <c r="R152" s="59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</row>
    <row r="153" spans="1:35" x14ac:dyDescent="0.35">
      <c r="A153" s="17" t="s">
        <v>46</v>
      </c>
      <c r="B153" s="17" t="s">
        <v>907</v>
      </c>
      <c r="C153" s="28" t="s">
        <v>1183</v>
      </c>
      <c r="D153" s="17" t="s">
        <v>1210</v>
      </c>
      <c r="E153" s="17" t="s">
        <v>1211</v>
      </c>
      <c r="F153" s="20">
        <v>511.9</v>
      </c>
      <c r="G153" s="20">
        <v>61</v>
      </c>
      <c r="H153" s="19">
        <v>260</v>
      </c>
      <c r="I153" s="20">
        <v>137</v>
      </c>
      <c r="J153" s="20">
        <v>123</v>
      </c>
      <c r="K153" s="20">
        <v>0</v>
      </c>
      <c r="L153" s="57">
        <f t="shared" si="10"/>
        <v>0</v>
      </c>
      <c r="M153" s="20">
        <v>260</v>
      </c>
      <c r="N153" s="57">
        <f t="shared" si="11"/>
        <v>1</v>
      </c>
      <c r="O153" s="46">
        <v>48.43</v>
      </c>
      <c r="P153" s="46">
        <v>284.02999999999997</v>
      </c>
      <c r="Q153" s="58"/>
      <c r="R153" s="59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</row>
    <row r="154" spans="1:35" x14ac:dyDescent="0.35">
      <c r="A154" s="17" t="s">
        <v>46</v>
      </c>
      <c r="B154" s="17" t="s">
        <v>907</v>
      </c>
      <c r="C154" s="28" t="s">
        <v>1183</v>
      </c>
      <c r="D154" s="17" t="s">
        <v>1212</v>
      </c>
      <c r="E154" s="17" t="s">
        <v>1213</v>
      </c>
      <c r="F154" s="20">
        <v>396.02</v>
      </c>
      <c r="G154" s="20">
        <v>77</v>
      </c>
      <c r="H154" s="19">
        <v>345</v>
      </c>
      <c r="I154" s="20">
        <v>163</v>
      </c>
      <c r="J154" s="20">
        <v>182</v>
      </c>
      <c r="K154" s="20">
        <v>0</v>
      </c>
      <c r="L154" s="57">
        <f t="shared" si="10"/>
        <v>0</v>
      </c>
      <c r="M154" s="20">
        <v>342</v>
      </c>
      <c r="N154" s="57">
        <f t="shared" si="11"/>
        <v>0.99130434782608701</v>
      </c>
      <c r="O154" s="46">
        <v>9.14</v>
      </c>
      <c r="P154" s="46">
        <v>243.83</v>
      </c>
      <c r="Q154" s="58"/>
      <c r="R154" s="59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</row>
    <row r="155" spans="1:35" x14ac:dyDescent="0.35">
      <c r="A155" s="17" t="s">
        <v>46</v>
      </c>
      <c r="B155" s="17" t="s">
        <v>907</v>
      </c>
      <c r="C155" s="28" t="s">
        <v>1083</v>
      </c>
      <c r="D155" s="17" t="s">
        <v>1214</v>
      </c>
      <c r="E155" s="17" t="s">
        <v>1215</v>
      </c>
      <c r="F155" s="28">
        <v>2766</v>
      </c>
      <c r="G155" s="47"/>
      <c r="H155" s="19">
        <v>0</v>
      </c>
      <c r="I155" s="47"/>
      <c r="J155" s="47"/>
      <c r="K155" s="47"/>
      <c r="L155" s="57"/>
      <c r="M155" s="47"/>
      <c r="N155" s="57"/>
      <c r="O155" s="48">
        <v>0</v>
      </c>
      <c r="P155" s="48">
        <v>2766</v>
      </c>
      <c r="Q155" s="58" t="s">
        <v>112</v>
      </c>
      <c r="R155" s="59"/>
      <c r="S155" s="58"/>
      <c r="T155" s="58"/>
      <c r="U155" s="58"/>
      <c r="V155" s="58"/>
      <c r="W155" s="58"/>
      <c r="X155" s="58" t="s">
        <v>112</v>
      </c>
      <c r="Y155" s="58"/>
      <c r="Z155" s="58"/>
      <c r="AA155" s="58"/>
      <c r="AB155" s="58"/>
      <c r="AC155" s="58" t="s">
        <v>112</v>
      </c>
      <c r="AD155" s="58"/>
      <c r="AE155" s="58"/>
      <c r="AF155" s="58"/>
      <c r="AG155" s="58"/>
      <c r="AH155" s="58"/>
      <c r="AI155" s="58"/>
    </row>
    <row r="156" spans="1:35" x14ac:dyDescent="0.35">
      <c r="A156" s="17" t="s">
        <v>46</v>
      </c>
      <c r="B156" s="17" t="s">
        <v>907</v>
      </c>
      <c r="C156" s="28" t="s">
        <v>1183</v>
      </c>
      <c r="D156" s="17" t="s">
        <v>1216</v>
      </c>
      <c r="E156" s="17" t="s">
        <v>1217</v>
      </c>
      <c r="F156" s="20">
        <v>1315.08</v>
      </c>
      <c r="G156" s="20">
        <v>1</v>
      </c>
      <c r="H156" s="19">
        <v>1</v>
      </c>
      <c r="I156" s="20">
        <v>1</v>
      </c>
      <c r="J156" s="20">
        <v>0</v>
      </c>
      <c r="K156" s="20">
        <v>0</v>
      </c>
      <c r="L156" s="57">
        <f>K156/H156</f>
        <v>0</v>
      </c>
      <c r="M156" s="20">
        <v>0</v>
      </c>
      <c r="N156" s="57">
        <f>M156/H156</f>
        <v>0</v>
      </c>
      <c r="O156" s="46">
        <v>0</v>
      </c>
      <c r="P156" s="46">
        <v>1197.5999999999999</v>
      </c>
      <c r="Q156" s="58" t="s">
        <v>112</v>
      </c>
      <c r="R156" s="59"/>
      <c r="S156" s="58"/>
      <c r="T156" s="58"/>
      <c r="U156" s="58"/>
      <c r="V156" s="58"/>
      <c r="W156" s="58"/>
      <c r="X156" s="58" t="s">
        <v>112</v>
      </c>
      <c r="Y156" s="58"/>
      <c r="Z156" s="58"/>
      <c r="AA156" s="58"/>
      <c r="AB156" s="58"/>
      <c r="AC156" s="58" t="s">
        <v>112</v>
      </c>
      <c r="AD156" s="58"/>
      <c r="AE156" s="58"/>
      <c r="AF156" s="58"/>
      <c r="AG156" s="58"/>
      <c r="AH156" s="58"/>
      <c r="AI156" s="58"/>
    </row>
    <row r="157" spans="1:35" x14ac:dyDescent="0.35">
      <c r="A157" s="17" t="s">
        <v>46</v>
      </c>
      <c r="B157" s="17" t="s">
        <v>907</v>
      </c>
      <c r="C157" s="28" t="s">
        <v>1183</v>
      </c>
      <c r="D157" s="17" t="s">
        <v>1218</v>
      </c>
      <c r="E157" s="17" t="s">
        <v>1219</v>
      </c>
      <c r="F157" s="28">
        <v>1065.33</v>
      </c>
      <c r="G157" s="47"/>
      <c r="H157" s="19">
        <v>0</v>
      </c>
      <c r="I157" s="47"/>
      <c r="J157" s="47"/>
      <c r="K157" s="47"/>
      <c r="L157" s="57"/>
      <c r="M157" s="47"/>
      <c r="N157" s="57"/>
      <c r="O157" s="48">
        <v>0</v>
      </c>
      <c r="P157" s="48">
        <v>1000.88</v>
      </c>
      <c r="Q157" s="58" t="s">
        <v>112</v>
      </c>
      <c r="R157" s="59"/>
      <c r="S157" s="58"/>
      <c r="T157" s="58"/>
      <c r="U157" s="58"/>
      <c r="V157" s="58"/>
      <c r="W157" s="58"/>
      <c r="X157" s="58" t="s">
        <v>112</v>
      </c>
      <c r="Y157" s="58"/>
      <c r="Z157" s="58"/>
      <c r="AA157" s="58"/>
      <c r="AB157" s="58"/>
      <c r="AC157" s="58" t="s">
        <v>112</v>
      </c>
      <c r="AD157" s="58"/>
      <c r="AE157" s="58"/>
      <c r="AF157" s="58"/>
      <c r="AG157" s="58"/>
      <c r="AH157" s="58"/>
      <c r="AI157" s="58"/>
    </row>
    <row r="158" spans="1:35" x14ac:dyDescent="0.35">
      <c r="A158" s="17" t="s">
        <v>46</v>
      </c>
      <c r="B158" s="17" t="s">
        <v>907</v>
      </c>
      <c r="C158" s="28" t="s">
        <v>1062</v>
      </c>
      <c r="D158" s="17" t="s">
        <v>1220</v>
      </c>
      <c r="E158" s="17" t="s">
        <v>1221</v>
      </c>
      <c r="F158" s="20">
        <v>288.52</v>
      </c>
      <c r="G158" s="20">
        <v>76</v>
      </c>
      <c r="H158" s="19">
        <v>341</v>
      </c>
      <c r="I158" s="20">
        <v>175</v>
      </c>
      <c r="J158" s="20">
        <v>166</v>
      </c>
      <c r="K158" s="20">
        <v>0</v>
      </c>
      <c r="L158" s="57">
        <f>K158/H158</f>
        <v>0</v>
      </c>
      <c r="M158" s="20">
        <v>340</v>
      </c>
      <c r="N158" s="57">
        <f>M158/H158</f>
        <v>0.99706744868035191</v>
      </c>
      <c r="O158" s="46">
        <v>120.34</v>
      </c>
      <c r="P158" s="46">
        <v>34.94</v>
      </c>
      <c r="Q158" s="58" t="s">
        <v>51</v>
      </c>
      <c r="R158" s="59">
        <v>2020</v>
      </c>
      <c r="S158" s="58"/>
      <c r="T158" s="58"/>
      <c r="U158" s="58"/>
      <c r="V158" s="58"/>
      <c r="W158" s="58"/>
      <c r="X158" s="58" t="s">
        <v>51</v>
      </c>
      <c r="Y158" s="58"/>
      <c r="Z158" s="58"/>
      <c r="AA158" s="58"/>
      <c r="AB158" s="58"/>
      <c r="AC158" s="58" t="s">
        <v>51</v>
      </c>
      <c r="AD158" s="58"/>
      <c r="AE158" s="58"/>
      <c r="AF158" s="58"/>
      <c r="AG158" s="58"/>
      <c r="AH158" s="58"/>
      <c r="AI158" s="58"/>
    </row>
  </sheetData>
  <autoFilter ref="A2:AMJ158">
    <filterColumn colId="33" showButton="0"/>
  </autoFilter>
  <mergeCells count="1">
    <mergeCell ref="AH2:AI2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7"/>
  <sheetViews>
    <sheetView topLeftCell="Q1" zoomScale="75" zoomScaleNormal="75" workbookViewId="0">
      <selection activeCell="T4" sqref="T4"/>
    </sheetView>
  </sheetViews>
  <sheetFormatPr defaultColWidth="9.1796875" defaultRowHeight="14.5" x14ac:dyDescent="0.35"/>
  <cols>
    <col min="15" max="35" width="13.453125" customWidth="1"/>
  </cols>
  <sheetData>
    <row r="1" spans="1:35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4"/>
      <c r="P1" s="4"/>
      <c r="Q1" s="38" t="s">
        <v>0</v>
      </c>
      <c r="R1" s="38" t="s">
        <v>0</v>
      </c>
      <c r="S1" s="38" t="s">
        <v>0</v>
      </c>
      <c r="T1" s="39" t="s">
        <v>0</v>
      </c>
      <c r="U1" s="39" t="s">
        <v>0</v>
      </c>
      <c r="V1" s="38" t="s">
        <v>1</v>
      </c>
      <c r="W1" s="38" t="s">
        <v>1</v>
      </c>
      <c r="X1" s="38" t="s">
        <v>1</v>
      </c>
      <c r="Y1" s="38" t="s">
        <v>1</v>
      </c>
      <c r="Z1" s="38" t="s">
        <v>1</v>
      </c>
      <c r="AA1" s="38" t="s">
        <v>1</v>
      </c>
      <c r="AB1" s="38" t="s">
        <v>2</v>
      </c>
      <c r="AC1" s="40" t="s">
        <v>3</v>
      </c>
      <c r="AD1" s="41" t="s">
        <v>3</v>
      </c>
      <c r="AE1" s="40" t="s">
        <v>3</v>
      </c>
      <c r="AF1" s="40" t="s">
        <v>3</v>
      </c>
      <c r="AG1" s="40" t="s">
        <v>3</v>
      </c>
      <c r="AH1" s="40" t="s">
        <v>3</v>
      </c>
      <c r="AI1" s="40" t="s">
        <v>3</v>
      </c>
    </row>
    <row r="2" spans="1:35" ht="136.25" customHeight="1" x14ac:dyDescent="0.3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5" t="s">
        <v>14</v>
      </c>
      <c r="L2" s="5"/>
      <c r="M2" s="5" t="s">
        <v>15</v>
      </c>
      <c r="N2" s="5"/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2" t="s">
        <v>21</v>
      </c>
      <c r="U2" s="42" t="s">
        <v>22</v>
      </c>
      <c r="V2" s="11" t="s">
        <v>23</v>
      </c>
      <c r="W2" s="4" t="s">
        <v>24</v>
      </c>
      <c r="X2" s="11" t="s">
        <v>25</v>
      </c>
      <c r="Y2" s="4" t="s">
        <v>26</v>
      </c>
      <c r="Z2" s="4" t="s">
        <v>27</v>
      </c>
      <c r="AA2" s="11" t="s">
        <v>28</v>
      </c>
      <c r="AB2" s="43" t="s">
        <v>29</v>
      </c>
      <c r="AC2" s="11" t="s">
        <v>30</v>
      </c>
      <c r="AD2" s="43" t="s">
        <v>31</v>
      </c>
      <c r="AE2" s="11" t="s">
        <v>32</v>
      </c>
      <c r="AF2" s="11" t="s">
        <v>33</v>
      </c>
      <c r="AG2" s="11" t="s">
        <v>34</v>
      </c>
      <c r="AH2" s="1" t="s">
        <v>35</v>
      </c>
      <c r="AI2" s="1"/>
    </row>
    <row r="3" spans="1:35" x14ac:dyDescent="0.35">
      <c r="A3" s="17"/>
      <c r="B3" s="17"/>
      <c r="C3" s="5"/>
      <c r="D3" s="5"/>
      <c r="E3" s="5"/>
      <c r="F3" s="5" t="s">
        <v>37</v>
      </c>
      <c r="G3" s="5" t="s">
        <v>38</v>
      </c>
      <c r="H3" s="5" t="s">
        <v>38</v>
      </c>
      <c r="I3" s="5" t="s">
        <v>38</v>
      </c>
      <c r="J3" s="5" t="s">
        <v>38</v>
      </c>
      <c r="K3" s="5" t="s">
        <v>38</v>
      </c>
      <c r="L3" s="5" t="s">
        <v>39</v>
      </c>
      <c r="M3" s="5"/>
      <c r="N3" s="5" t="s">
        <v>39</v>
      </c>
      <c r="O3" s="5" t="s">
        <v>37</v>
      </c>
      <c r="P3" s="5" t="s">
        <v>37</v>
      </c>
      <c r="Q3" s="5" t="s">
        <v>40</v>
      </c>
      <c r="R3" s="5" t="s">
        <v>41</v>
      </c>
      <c r="S3" s="5" t="s">
        <v>37</v>
      </c>
      <c r="T3" s="44"/>
      <c r="U3" s="44"/>
      <c r="V3" s="5" t="s">
        <v>37</v>
      </c>
      <c r="W3" s="5" t="s">
        <v>37</v>
      </c>
      <c r="X3" s="5" t="s">
        <v>40</v>
      </c>
      <c r="Y3" s="5" t="s">
        <v>40</v>
      </c>
      <c r="Z3" s="5" t="s">
        <v>40</v>
      </c>
      <c r="AA3" s="5" t="s">
        <v>37</v>
      </c>
      <c r="AB3" s="45" t="s">
        <v>42</v>
      </c>
      <c r="AC3" s="5" t="s">
        <v>40</v>
      </c>
      <c r="AD3" s="45" t="s">
        <v>40</v>
      </c>
      <c r="AE3" s="5" t="s">
        <v>40</v>
      </c>
      <c r="AF3" s="5" t="s">
        <v>37</v>
      </c>
      <c r="AG3" s="5" t="s">
        <v>43</v>
      </c>
      <c r="AH3" s="5" t="s">
        <v>44</v>
      </c>
      <c r="AI3" s="5" t="s">
        <v>45</v>
      </c>
    </row>
    <row r="4" spans="1:35" x14ac:dyDescent="0.35">
      <c r="A4" s="17" t="s">
        <v>46</v>
      </c>
      <c r="B4" s="17" t="s">
        <v>1222</v>
      </c>
      <c r="C4" s="28" t="s">
        <v>1223</v>
      </c>
      <c r="D4" s="17" t="s">
        <v>426</v>
      </c>
      <c r="E4" s="17" t="s">
        <v>1224</v>
      </c>
      <c r="F4" s="20">
        <v>593.1</v>
      </c>
      <c r="G4" s="20">
        <v>139</v>
      </c>
      <c r="H4" s="19">
        <v>624</v>
      </c>
      <c r="I4" s="20">
        <v>323</v>
      </c>
      <c r="J4" s="20">
        <v>301</v>
      </c>
      <c r="K4" s="20">
        <v>24</v>
      </c>
      <c r="L4" s="57">
        <f t="shared" ref="L4:L10" si="0">K4/H4</f>
        <v>3.8461538461538464E-2</v>
      </c>
      <c r="M4" s="20">
        <v>199</v>
      </c>
      <c r="N4" s="57">
        <f t="shared" ref="N4:N10" si="1">M4/H4</f>
        <v>0.31891025641025639</v>
      </c>
      <c r="O4" s="46">
        <v>81.900000000000006</v>
      </c>
      <c r="P4" s="46">
        <v>0</v>
      </c>
      <c r="Q4" s="58" t="s">
        <v>51</v>
      </c>
      <c r="R4" s="58">
        <v>2019</v>
      </c>
      <c r="S4" s="58"/>
      <c r="T4" s="58"/>
      <c r="U4" s="58"/>
      <c r="V4" s="58"/>
      <c r="W4" s="58"/>
      <c r="X4" s="58" t="s">
        <v>51</v>
      </c>
      <c r="Y4" s="58"/>
      <c r="Z4" s="58"/>
      <c r="AA4" s="58"/>
      <c r="AB4" s="58"/>
      <c r="AC4" s="58" t="s">
        <v>51</v>
      </c>
      <c r="AD4" s="58"/>
      <c r="AE4" s="58"/>
      <c r="AF4" s="58"/>
      <c r="AG4" s="58"/>
      <c r="AH4" s="58"/>
      <c r="AI4" s="58"/>
    </row>
    <row r="5" spans="1:35" x14ac:dyDescent="0.35">
      <c r="A5" s="17" t="s">
        <v>46</v>
      </c>
      <c r="B5" s="17" t="s">
        <v>1222</v>
      </c>
      <c r="C5" s="28" t="s">
        <v>1223</v>
      </c>
      <c r="D5" s="17" t="s">
        <v>1225</v>
      </c>
      <c r="E5" s="17" t="s">
        <v>1226</v>
      </c>
      <c r="F5" s="20">
        <v>470.74</v>
      </c>
      <c r="G5" s="20">
        <v>209</v>
      </c>
      <c r="H5" s="19">
        <v>1080</v>
      </c>
      <c r="I5" s="20">
        <v>545</v>
      </c>
      <c r="J5" s="20">
        <v>535</v>
      </c>
      <c r="K5" s="20">
        <v>114</v>
      </c>
      <c r="L5" s="57">
        <f t="shared" si="0"/>
        <v>0.10555555555555556</v>
      </c>
      <c r="M5" s="20">
        <v>36</v>
      </c>
      <c r="N5" s="57">
        <f t="shared" si="1"/>
        <v>3.3333333333333333E-2</v>
      </c>
      <c r="O5" s="46">
        <v>111.92</v>
      </c>
      <c r="P5" s="46">
        <v>0</v>
      </c>
      <c r="Q5" s="58" t="s">
        <v>51</v>
      </c>
      <c r="R5" s="58">
        <v>2019</v>
      </c>
      <c r="S5" s="58"/>
      <c r="T5" s="58"/>
      <c r="U5" s="58"/>
      <c r="V5" s="58"/>
      <c r="W5" s="58"/>
      <c r="X5" s="58" t="s">
        <v>51</v>
      </c>
      <c r="Y5" s="58"/>
      <c r="Z5" s="58"/>
      <c r="AA5" s="58"/>
      <c r="AB5" s="58"/>
      <c r="AC5" s="58" t="s">
        <v>51</v>
      </c>
      <c r="AD5" s="58"/>
      <c r="AE5" s="58"/>
      <c r="AF5" s="58"/>
      <c r="AG5" s="58"/>
      <c r="AH5" s="58"/>
      <c r="AI5" s="58"/>
    </row>
    <row r="6" spans="1:35" x14ac:dyDescent="0.35">
      <c r="A6" s="17" t="s">
        <v>46</v>
      </c>
      <c r="B6" s="17" t="s">
        <v>1222</v>
      </c>
      <c r="C6" s="28" t="s">
        <v>1223</v>
      </c>
      <c r="D6" s="17" t="s">
        <v>662</v>
      </c>
      <c r="E6" s="17" t="s">
        <v>1227</v>
      </c>
      <c r="F6" s="20">
        <v>286.77</v>
      </c>
      <c r="G6" s="20">
        <v>78</v>
      </c>
      <c r="H6" s="19">
        <v>422</v>
      </c>
      <c r="I6" s="20">
        <v>206</v>
      </c>
      <c r="J6" s="20">
        <v>216</v>
      </c>
      <c r="K6" s="20">
        <v>151</v>
      </c>
      <c r="L6" s="57">
        <f t="shared" si="0"/>
        <v>0.35781990521327012</v>
      </c>
      <c r="M6" s="20">
        <v>0</v>
      </c>
      <c r="N6" s="57">
        <f t="shared" si="1"/>
        <v>0</v>
      </c>
      <c r="O6" s="46">
        <v>28.32</v>
      </c>
      <c r="P6" s="46">
        <v>0</v>
      </c>
      <c r="Q6" s="58" t="s">
        <v>562</v>
      </c>
      <c r="R6" s="58"/>
      <c r="S6" s="58"/>
      <c r="T6" s="58"/>
      <c r="U6" s="58"/>
      <c r="V6" s="58"/>
      <c r="W6" s="58"/>
      <c r="X6" s="58" t="s">
        <v>562</v>
      </c>
      <c r="Y6" s="58"/>
      <c r="Z6" s="58"/>
      <c r="AA6" s="58"/>
      <c r="AB6" s="58"/>
      <c r="AC6" s="58"/>
      <c r="AD6" s="58"/>
      <c r="AE6" s="58" t="s">
        <v>562</v>
      </c>
      <c r="AF6" s="58"/>
      <c r="AG6" s="58"/>
      <c r="AH6" s="58"/>
      <c r="AI6" s="58"/>
    </row>
    <row r="7" spans="1:35" x14ac:dyDescent="0.35">
      <c r="A7" s="17" t="s">
        <v>46</v>
      </c>
      <c r="B7" s="17" t="s">
        <v>1222</v>
      </c>
      <c r="C7" s="28" t="s">
        <v>1223</v>
      </c>
      <c r="D7" s="17" t="s">
        <v>1228</v>
      </c>
      <c r="E7" s="17" t="s">
        <v>1229</v>
      </c>
      <c r="F7" s="20">
        <v>444.38</v>
      </c>
      <c r="G7" s="20">
        <v>112</v>
      </c>
      <c r="H7" s="19">
        <v>523</v>
      </c>
      <c r="I7" s="20">
        <v>274</v>
      </c>
      <c r="J7" s="20">
        <v>249</v>
      </c>
      <c r="K7" s="20">
        <v>106</v>
      </c>
      <c r="L7" s="57">
        <f t="shared" si="0"/>
        <v>0.20267686424474188</v>
      </c>
      <c r="M7" s="20">
        <v>36</v>
      </c>
      <c r="N7" s="57">
        <f t="shared" si="1"/>
        <v>6.8833652007648183E-2</v>
      </c>
      <c r="O7" s="46">
        <v>51.93</v>
      </c>
      <c r="P7" s="46">
        <v>0</v>
      </c>
      <c r="Q7" s="58" t="s">
        <v>51</v>
      </c>
      <c r="R7" s="58">
        <v>2019</v>
      </c>
      <c r="S7" s="58"/>
      <c r="T7" s="58"/>
      <c r="U7" s="58"/>
      <c r="V7" s="58"/>
      <c r="W7" s="58"/>
      <c r="X7" s="58" t="s">
        <v>51</v>
      </c>
      <c r="Y7" s="58"/>
      <c r="Z7" s="58"/>
      <c r="AA7" s="58"/>
      <c r="AB7" s="58"/>
      <c r="AC7" s="58" t="s">
        <v>51</v>
      </c>
      <c r="AD7" s="58"/>
      <c r="AE7" s="58"/>
      <c r="AF7" s="58"/>
      <c r="AG7" s="58"/>
      <c r="AH7" s="58"/>
      <c r="AI7" s="58"/>
    </row>
    <row r="8" spans="1:35" x14ac:dyDescent="0.35">
      <c r="A8" s="17" t="s">
        <v>46</v>
      </c>
      <c r="B8" s="17" t="s">
        <v>1222</v>
      </c>
      <c r="C8" s="28" t="s">
        <v>1230</v>
      </c>
      <c r="D8" s="17" t="s">
        <v>1231</v>
      </c>
      <c r="E8" s="17" t="s">
        <v>1232</v>
      </c>
      <c r="F8" s="20">
        <v>1465.27</v>
      </c>
      <c r="G8" s="20">
        <v>623</v>
      </c>
      <c r="H8" s="19">
        <v>2926</v>
      </c>
      <c r="I8" s="20">
        <v>1505</v>
      </c>
      <c r="J8" s="20">
        <v>1421</v>
      </c>
      <c r="K8" s="20">
        <v>488</v>
      </c>
      <c r="L8" s="57">
        <f t="shared" si="0"/>
        <v>0.16678058783321942</v>
      </c>
      <c r="M8" s="20">
        <v>200</v>
      </c>
      <c r="N8" s="57">
        <f t="shared" si="1"/>
        <v>6.8352699931647304E-2</v>
      </c>
      <c r="O8" s="46">
        <v>258.75</v>
      </c>
      <c r="P8" s="46">
        <v>86.6</v>
      </c>
      <c r="Q8" s="58" t="s">
        <v>51</v>
      </c>
      <c r="R8" s="58">
        <v>2019</v>
      </c>
      <c r="S8" s="58"/>
      <c r="T8" s="58"/>
      <c r="U8" s="58"/>
      <c r="V8" s="58"/>
      <c r="W8" s="58"/>
      <c r="X8" s="58" t="s">
        <v>51</v>
      </c>
      <c r="Y8" s="58"/>
      <c r="Z8" s="58"/>
      <c r="AA8" s="58"/>
      <c r="AB8" s="58"/>
      <c r="AC8" s="58" t="s">
        <v>51</v>
      </c>
      <c r="AD8" s="58"/>
      <c r="AE8" s="58"/>
      <c r="AF8" s="58"/>
      <c r="AG8" s="58"/>
      <c r="AH8" s="58"/>
      <c r="AI8" s="58"/>
    </row>
    <row r="9" spans="1:35" x14ac:dyDescent="0.35">
      <c r="A9" s="17" t="s">
        <v>46</v>
      </c>
      <c r="B9" s="17" t="s">
        <v>1222</v>
      </c>
      <c r="C9" s="28" t="s">
        <v>1230</v>
      </c>
      <c r="D9" s="17" t="s">
        <v>1233</v>
      </c>
      <c r="E9" s="17" t="s">
        <v>1234</v>
      </c>
      <c r="F9" s="20">
        <v>227.32</v>
      </c>
      <c r="G9" s="20">
        <v>73</v>
      </c>
      <c r="H9" s="19">
        <v>335</v>
      </c>
      <c r="I9" s="20">
        <v>166</v>
      </c>
      <c r="J9" s="20">
        <v>169</v>
      </c>
      <c r="K9" s="20">
        <v>9</v>
      </c>
      <c r="L9" s="57">
        <f t="shared" si="0"/>
        <v>2.6865671641791045E-2</v>
      </c>
      <c r="M9" s="20">
        <v>23</v>
      </c>
      <c r="N9" s="57">
        <f t="shared" si="1"/>
        <v>6.8656716417910449E-2</v>
      </c>
      <c r="O9" s="46">
        <v>43.97</v>
      </c>
      <c r="P9" s="46">
        <v>0</v>
      </c>
      <c r="Q9" s="58" t="s">
        <v>51</v>
      </c>
      <c r="R9" s="58">
        <v>2019</v>
      </c>
      <c r="S9" s="58"/>
      <c r="T9" s="58"/>
      <c r="U9" s="58"/>
      <c r="V9" s="58"/>
      <c r="W9" s="58"/>
      <c r="X9" s="58" t="s">
        <v>51</v>
      </c>
      <c r="Y9" s="58"/>
      <c r="Z9" s="58"/>
      <c r="AA9" s="58"/>
      <c r="AB9" s="58"/>
      <c r="AC9" s="58" t="s">
        <v>51</v>
      </c>
      <c r="AD9" s="58"/>
      <c r="AE9" s="58"/>
      <c r="AF9" s="58"/>
      <c r="AG9" s="58"/>
      <c r="AH9" s="58"/>
      <c r="AI9" s="58"/>
    </row>
    <row r="10" spans="1:35" x14ac:dyDescent="0.35">
      <c r="A10" s="17" t="s">
        <v>46</v>
      </c>
      <c r="B10" s="17" t="s">
        <v>1222</v>
      </c>
      <c r="C10" s="28" t="s">
        <v>1230</v>
      </c>
      <c r="D10" s="17" t="s">
        <v>351</v>
      </c>
      <c r="E10" s="17" t="s">
        <v>1235</v>
      </c>
      <c r="F10" s="20">
        <v>323.24</v>
      </c>
      <c r="G10" s="20">
        <v>134</v>
      </c>
      <c r="H10" s="19">
        <v>633</v>
      </c>
      <c r="I10" s="20">
        <v>337</v>
      </c>
      <c r="J10" s="20">
        <v>296</v>
      </c>
      <c r="K10" s="20">
        <v>27</v>
      </c>
      <c r="L10" s="57">
        <f t="shared" si="0"/>
        <v>4.2654028436018961E-2</v>
      </c>
      <c r="M10" s="20">
        <v>143</v>
      </c>
      <c r="N10" s="57">
        <f t="shared" si="1"/>
        <v>0.2259083728278041</v>
      </c>
      <c r="O10" s="46">
        <v>82</v>
      </c>
      <c r="P10" s="46">
        <v>8.1</v>
      </c>
      <c r="Q10" s="58" t="s">
        <v>562</v>
      </c>
      <c r="R10" s="58"/>
      <c r="S10" s="58"/>
      <c r="T10" s="58"/>
      <c r="U10" s="58"/>
      <c r="V10" s="58"/>
      <c r="W10" s="58"/>
      <c r="X10" s="58" t="s">
        <v>562</v>
      </c>
      <c r="Y10" s="58"/>
      <c r="Z10" s="58"/>
      <c r="AA10" s="58"/>
      <c r="AB10" s="58"/>
      <c r="AC10" s="58"/>
      <c r="AD10" s="58"/>
      <c r="AE10" s="58" t="s">
        <v>562</v>
      </c>
      <c r="AF10" s="58"/>
      <c r="AG10" s="58"/>
      <c r="AH10" s="58"/>
      <c r="AI10" s="58"/>
    </row>
    <row r="11" spans="1:35" x14ac:dyDescent="0.35">
      <c r="A11" s="17" t="s">
        <v>46</v>
      </c>
      <c r="B11" s="17" t="s">
        <v>1222</v>
      </c>
      <c r="C11" s="28" t="s">
        <v>1223</v>
      </c>
      <c r="D11" s="17" t="s">
        <v>1236</v>
      </c>
      <c r="E11" s="17" t="s">
        <v>1237</v>
      </c>
      <c r="F11" s="28">
        <v>390.41</v>
      </c>
      <c r="G11" s="47"/>
      <c r="H11" s="19">
        <v>0</v>
      </c>
      <c r="I11" s="47"/>
      <c r="J11" s="47"/>
      <c r="K11" s="47"/>
      <c r="L11" s="57"/>
      <c r="M11" s="47"/>
      <c r="N11" s="57"/>
      <c r="O11" s="48">
        <v>0</v>
      </c>
      <c r="P11" s="48">
        <v>212.6</v>
      </c>
      <c r="Q11" s="58" t="s">
        <v>112</v>
      </c>
      <c r="R11" s="58"/>
      <c r="S11" s="58"/>
      <c r="T11" s="58"/>
      <c r="U11" s="58"/>
      <c r="V11" s="58"/>
      <c r="W11" s="58"/>
      <c r="X11" s="58" t="s">
        <v>112</v>
      </c>
      <c r="Y11" s="58"/>
      <c r="Z11" s="58"/>
      <c r="AA11" s="58"/>
      <c r="AB11" s="58"/>
      <c r="AC11" s="58" t="s">
        <v>112</v>
      </c>
      <c r="AD11" s="58"/>
      <c r="AE11" s="58"/>
      <c r="AF11" s="58"/>
      <c r="AG11" s="58"/>
      <c r="AH11" s="58"/>
      <c r="AI11" s="58"/>
    </row>
    <row r="12" spans="1:35" x14ac:dyDescent="0.35">
      <c r="A12" s="17" t="s">
        <v>46</v>
      </c>
      <c r="B12" s="17" t="s">
        <v>1222</v>
      </c>
      <c r="C12" s="28" t="s">
        <v>1223</v>
      </c>
      <c r="D12" s="17" t="s">
        <v>1238</v>
      </c>
      <c r="E12" s="17" t="s">
        <v>1239</v>
      </c>
      <c r="F12" s="20">
        <v>348.36</v>
      </c>
      <c r="G12" s="20">
        <v>138</v>
      </c>
      <c r="H12" s="19">
        <v>719</v>
      </c>
      <c r="I12" s="20">
        <v>366</v>
      </c>
      <c r="J12" s="20">
        <v>353</v>
      </c>
      <c r="K12" s="20">
        <v>36</v>
      </c>
      <c r="L12" s="57">
        <f t="shared" ref="L12:L22" si="2">K12/H12</f>
        <v>5.0069541029207229E-2</v>
      </c>
      <c r="M12" s="20">
        <v>215</v>
      </c>
      <c r="N12" s="57">
        <f t="shared" ref="N12:N22" si="3">M12/H12</f>
        <v>0.29902642559109877</v>
      </c>
      <c r="O12" s="46">
        <v>84.48</v>
      </c>
      <c r="P12" s="46">
        <v>48.4</v>
      </c>
      <c r="Q12" s="58" t="s">
        <v>51</v>
      </c>
      <c r="R12" s="58">
        <v>2019</v>
      </c>
      <c r="S12" s="58"/>
      <c r="T12" s="58"/>
      <c r="U12" s="58"/>
      <c r="V12" s="58"/>
      <c r="W12" s="58"/>
      <c r="X12" s="58" t="s">
        <v>51</v>
      </c>
      <c r="Y12" s="58"/>
      <c r="Z12" s="58"/>
      <c r="AA12" s="58"/>
      <c r="AB12" s="58"/>
      <c r="AC12" s="58" t="s">
        <v>51</v>
      </c>
      <c r="AD12" s="58"/>
      <c r="AE12" s="58"/>
      <c r="AF12" s="58"/>
      <c r="AG12" s="58"/>
      <c r="AH12" s="58"/>
      <c r="AI12" s="58"/>
    </row>
    <row r="13" spans="1:35" x14ac:dyDescent="0.35">
      <c r="A13" s="17" t="s">
        <v>46</v>
      </c>
      <c r="B13" s="17" t="s">
        <v>1222</v>
      </c>
      <c r="C13" s="28" t="s">
        <v>1223</v>
      </c>
      <c r="D13" s="17" t="s">
        <v>158</v>
      </c>
      <c r="E13" s="17" t="s">
        <v>1240</v>
      </c>
      <c r="F13" s="20">
        <v>544.07000000000005</v>
      </c>
      <c r="G13" s="20">
        <v>94</v>
      </c>
      <c r="H13" s="19">
        <v>448</v>
      </c>
      <c r="I13" s="20">
        <v>223</v>
      </c>
      <c r="J13" s="20">
        <v>225</v>
      </c>
      <c r="K13" s="20">
        <v>0</v>
      </c>
      <c r="L13" s="57">
        <f t="shared" si="2"/>
        <v>0</v>
      </c>
      <c r="M13" s="20">
        <v>440</v>
      </c>
      <c r="N13" s="57">
        <f t="shared" si="3"/>
        <v>0.9821428571428571</v>
      </c>
      <c r="O13" s="46">
        <v>60.5</v>
      </c>
      <c r="P13" s="46">
        <v>284.58999999999997</v>
      </c>
      <c r="Q13" s="58" t="s">
        <v>51</v>
      </c>
      <c r="R13" s="58">
        <v>2020</v>
      </c>
      <c r="S13" s="58"/>
      <c r="T13" s="58"/>
      <c r="U13" s="58"/>
      <c r="V13" s="58"/>
      <c r="W13" s="58"/>
      <c r="X13" s="58" t="s">
        <v>51</v>
      </c>
      <c r="Y13" s="58"/>
      <c r="Z13" s="58"/>
      <c r="AA13" s="58"/>
      <c r="AB13" s="58"/>
      <c r="AC13" s="58" t="s">
        <v>51</v>
      </c>
      <c r="AD13" s="58"/>
      <c r="AE13" s="58"/>
      <c r="AF13" s="58"/>
      <c r="AG13" s="58"/>
      <c r="AH13" s="58"/>
      <c r="AI13" s="58"/>
    </row>
    <row r="14" spans="1:35" x14ac:dyDescent="0.35">
      <c r="A14" s="17" t="s">
        <v>46</v>
      </c>
      <c r="B14" s="17" t="s">
        <v>1222</v>
      </c>
      <c r="C14" s="28" t="s">
        <v>1223</v>
      </c>
      <c r="D14" s="17" t="s">
        <v>1241</v>
      </c>
      <c r="E14" s="17" t="s">
        <v>1242</v>
      </c>
      <c r="F14" s="20">
        <v>581.32000000000005</v>
      </c>
      <c r="G14" s="20">
        <v>6</v>
      </c>
      <c r="H14" s="19">
        <v>28</v>
      </c>
      <c r="I14" s="20">
        <v>16</v>
      </c>
      <c r="J14" s="20">
        <v>12</v>
      </c>
      <c r="K14" s="20">
        <v>0</v>
      </c>
      <c r="L14" s="57">
        <f t="shared" si="2"/>
        <v>0</v>
      </c>
      <c r="M14" s="20">
        <v>0</v>
      </c>
      <c r="N14" s="57">
        <f t="shared" si="3"/>
        <v>0</v>
      </c>
      <c r="O14" s="46">
        <v>0</v>
      </c>
      <c r="P14" s="46">
        <v>427.39</v>
      </c>
      <c r="Q14" s="58" t="s">
        <v>562</v>
      </c>
      <c r="R14" s="58"/>
      <c r="S14" s="58"/>
      <c r="T14" s="58"/>
      <c r="U14" s="58"/>
      <c r="V14" s="58"/>
      <c r="W14" s="58"/>
      <c r="X14" s="58" t="s">
        <v>562</v>
      </c>
      <c r="Y14" s="58"/>
      <c r="Z14" s="58"/>
      <c r="AA14" s="58"/>
      <c r="AB14" s="58"/>
      <c r="AC14" s="58"/>
      <c r="AD14" s="58"/>
      <c r="AE14" s="58" t="s">
        <v>562</v>
      </c>
      <c r="AF14" s="58"/>
      <c r="AG14" s="58"/>
      <c r="AH14" s="58"/>
      <c r="AI14" s="58"/>
    </row>
    <row r="15" spans="1:35" x14ac:dyDescent="0.35">
      <c r="A15" s="17" t="s">
        <v>46</v>
      </c>
      <c r="B15" s="17" t="s">
        <v>1222</v>
      </c>
      <c r="C15" s="28" t="s">
        <v>1230</v>
      </c>
      <c r="D15" s="17" t="s">
        <v>1243</v>
      </c>
      <c r="E15" s="17" t="s">
        <v>1244</v>
      </c>
      <c r="F15" s="20">
        <v>403.69</v>
      </c>
      <c r="G15" s="20">
        <v>50</v>
      </c>
      <c r="H15" s="19">
        <v>290</v>
      </c>
      <c r="I15" s="20">
        <v>142</v>
      </c>
      <c r="J15" s="20">
        <v>148</v>
      </c>
      <c r="K15" s="20">
        <v>0</v>
      </c>
      <c r="L15" s="57">
        <f t="shared" si="2"/>
        <v>0</v>
      </c>
      <c r="M15" s="20">
        <v>43</v>
      </c>
      <c r="N15" s="57">
        <f t="shared" si="3"/>
        <v>0.14827586206896551</v>
      </c>
      <c r="O15" s="46">
        <v>0</v>
      </c>
      <c r="P15" s="46">
        <v>196.86</v>
      </c>
      <c r="Q15" s="58" t="s">
        <v>562</v>
      </c>
      <c r="R15" s="58"/>
      <c r="S15" s="58"/>
      <c r="T15" s="58"/>
      <c r="U15" s="58"/>
      <c r="V15" s="58"/>
      <c r="W15" s="58"/>
      <c r="X15" s="58" t="s">
        <v>562</v>
      </c>
      <c r="Y15" s="58"/>
      <c r="Z15" s="58"/>
      <c r="AA15" s="58"/>
      <c r="AB15" s="58"/>
      <c r="AC15" s="58"/>
      <c r="AD15" s="58"/>
      <c r="AE15" s="58" t="s">
        <v>562</v>
      </c>
      <c r="AF15" s="58"/>
      <c r="AG15" s="58"/>
      <c r="AH15" s="58"/>
      <c r="AI15" s="58"/>
    </row>
    <row r="16" spans="1:35" x14ac:dyDescent="0.35">
      <c r="A16" s="17" t="s">
        <v>46</v>
      </c>
      <c r="B16" s="17" t="s">
        <v>1222</v>
      </c>
      <c r="C16" s="28" t="s">
        <v>1245</v>
      </c>
      <c r="D16" s="17" t="s">
        <v>1246</v>
      </c>
      <c r="E16" s="17" t="s">
        <v>1247</v>
      </c>
      <c r="F16" s="20">
        <v>388.34</v>
      </c>
      <c r="G16" s="20">
        <v>204</v>
      </c>
      <c r="H16" s="19">
        <v>836</v>
      </c>
      <c r="I16" s="20">
        <v>436</v>
      </c>
      <c r="J16" s="20">
        <v>400</v>
      </c>
      <c r="K16" s="20">
        <v>530</v>
      </c>
      <c r="L16" s="57">
        <f t="shared" si="2"/>
        <v>0.63397129186602874</v>
      </c>
      <c r="M16" s="20">
        <v>27</v>
      </c>
      <c r="N16" s="57">
        <f t="shared" si="3"/>
        <v>3.2296650717703351E-2</v>
      </c>
      <c r="O16" s="46">
        <v>0</v>
      </c>
      <c r="P16" s="46">
        <v>30.95</v>
      </c>
      <c r="Q16" s="58" t="s">
        <v>562</v>
      </c>
      <c r="R16" s="58"/>
      <c r="S16" s="58"/>
      <c r="T16" s="58"/>
      <c r="U16" s="58"/>
      <c r="V16" s="58"/>
      <c r="W16" s="58"/>
      <c r="X16" s="58" t="s">
        <v>562</v>
      </c>
      <c r="Y16" s="58"/>
      <c r="Z16" s="58"/>
      <c r="AA16" s="58"/>
      <c r="AB16" s="58"/>
      <c r="AC16" s="58"/>
      <c r="AD16" s="58"/>
      <c r="AE16" s="58" t="s">
        <v>562</v>
      </c>
      <c r="AF16" s="58"/>
      <c r="AG16" s="58"/>
      <c r="AH16" s="58"/>
      <c r="AI16" s="58"/>
    </row>
    <row r="17" spans="1:35" x14ac:dyDescent="0.35">
      <c r="A17" s="17" t="s">
        <v>46</v>
      </c>
      <c r="B17" s="17" t="s">
        <v>1222</v>
      </c>
      <c r="C17" s="28" t="s">
        <v>1245</v>
      </c>
      <c r="D17" s="17" t="s">
        <v>1092</v>
      </c>
      <c r="E17" s="17" t="s">
        <v>1248</v>
      </c>
      <c r="F17" s="20">
        <v>1125.74</v>
      </c>
      <c r="G17" s="20">
        <v>126</v>
      </c>
      <c r="H17" s="19">
        <v>631</v>
      </c>
      <c r="I17" s="20">
        <v>331</v>
      </c>
      <c r="J17" s="20">
        <v>300</v>
      </c>
      <c r="K17" s="20">
        <v>71</v>
      </c>
      <c r="L17" s="57">
        <f t="shared" si="2"/>
        <v>0.11251980982567353</v>
      </c>
      <c r="M17" s="20">
        <v>118</v>
      </c>
      <c r="N17" s="57">
        <f t="shared" si="3"/>
        <v>0.18700475435816163</v>
      </c>
      <c r="O17" s="46">
        <v>0</v>
      </c>
      <c r="P17" s="46">
        <v>717.94</v>
      </c>
      <c r="Q17" s="58" t="s">
        <v>51</v>
      </c>
      <c r="R17" s="58">
        <v>2019</v>
      </c>
      <c r="S17" s="58"/>
      <c r="T17" s="58"/>
      <c r="U17" s="58"/>
      <c r="V17" s="58"/>
      <c r="W17" s="58"/>
      <c r="X17" s="58" t="s">
        <v>51</v>
      </c>
      <c r="Y17" s="58"/>
      <c r="Z17" s="58"/>
      <c r="AA17" s="58"/>
      <c r="AB17" s="58"/>
      <c r="AC17" s="58" t="s">
        <v>51</v>
      </c>
      <c r="AD17" s="58"/>
      <c r="AE17" s="58"/>
      <c r="AF17" s="58"/>
      <c r="AG17" s="58"/>
      <c r="AH17" s="58"/>
      <c r="AI17" s="58"/>
    </row>
    <row r="18" spans="1:35" x14ac:dyDescent="0.35">
      <c r="A18" s="17" t="s">
        <v>46</v>
      </c>
      <c r="B18" s="17" t="s">
        <v>1222</v>
      </c>
      <c r="C18" s="28" t="s">
        <v>1245</v>
      </c>
      <c r="D18" s="17" t="s">
        <v>492</v>
      </c>
      <c r="E18" s="17" t="s">
        <v>1249</v>
      </c>
      <c r="F18" s="20">
        <v>116.09</v>
      </c>
      <c r="G18" s="20">
        <v>81</v>
      </c>
      <c r="H18" s="19">
        <v>466</v>
      </c>
      <c r="I18" s="20">
        <v>221</v>
      </c>
      <c r="J18" s="20">
        <v>245</v>
      </c>
      <c r="K18" s="20">
        <v>96</v>
      </c>
      <c r="L18" s="57">
        <f t="shared" si="2"/>
        <v>0.20600858369098712</v>
      </c>
      <c r="M18" s="20">
        <v>239</v>
      </c>
      <c r="N18" s="57">
        <f t="shared" si="3"/>
        <v>0.51287553648068673</v>
      </c>
      <c r="O18" s="46">
        <v>0</v>
      </c>
      <c r="P18" s="46">
        <v>0</v>
      </c>
      <c r="Q18" s="58" t="s">
        <v>562</v>
      </c>
      <c r="R18" s="58"/>
      <c r="S18" s="58"/>
      <c r="T18" s="58"/>
      <c r="U18" s="58"/>
      <c r="V18" s="58"/>
      <c r="W18" s="58"/>
      <c r="X18" s="58" t="s">
        <v>562</v>
      </c>
      <c r="Y18" s="58"/>
      <c r="Z18" s="58"/>
      <c r="AA18" s="58"/>
      <c r="AB18" s="58"/>
      <c r="AC18" s="58"/>
      <c r="AD18" s="58"/>
      <c r="AE18" s="58" t="s">
        <v>562</v>
      </c>
      <c r="AF18" s="58"/>
      <c r="AG18" s="58"/>
      <c r="AH18" s="58"/>
      <c r="AI18" s="58"/>
    </row>
    <row r="19" spans="1:35" x14ac:dyDescent="0.35">
      <c r="A19" s="17" t="s">
        <v>46</v>
      </c>
      <c r="B19" s="17" t="s">
        <v>1222</v>
      </c>
      <c r="C19" s="28" t="s">
        <v>1250</v>
      </c>
      <c r="D19" s="17" t="s">
        <v>1251</v>
      </c>
      <c r="E19" s="17" t="s">
        <v>1252</v>
      </c>
      <c r="F19" s="20">
        <v>147.5</v>
      </c>
      <c r="G19" s="20">
        <v>194</v>
      </c>
      <c r="H19" s="19">
        <v>965</v>
      </c>
      <c r="I19" s="20">
        <v>516</v>
      </c>
      <c r="J19" s="20">
        <v>449</v>
      </c>
      <c r="K19" s="20">
        <v>2</v>
      </c>
      <c r="L19" s="57">
        <f t="shared" si="2"/>
        <v>2.0725388601036268E-3</v>
      </c>
      <c r="M19" s="20">
        <v>837</v>
      </c>
      <c r="N19" s="57">
        <f t="shared" si="3"/>
        <v>0.86735751295336783</v>
      </c>
      <c r="O19" s="46">
        <v>0</v>
      </c>
      <c r="P19" s="46">
        <v>0</v>
      </c>
      <c r="Q19" s="58" t="s">
        <v>562</v>
      </c>
      <c r="R19" s="58"/>
      <c r="S19" s="58"/>
      <c r="T19" s="58"/>
      <c r="U19" s="58"/>
      <c r="V19" s="58"/>
      <c r="W19" s="58"/>
      <c r="X19" s="58" t="s">
        <v>562</v>
      </c>
      <c r="Y19" s="58"/>
      <c r="Z19" s="58"/>
      <c r="AA19" s="58"/>
      <c r="AB19" s="58"/>
      <c r="AC19" s="58"/>
      <c r="AD19" s="58"/>
      <c r="AE19" s="58" t="s">
        <v>562</v>
      </c>
      <c r="AF19" s="58"/>
      <c r="AG19" s="58"/>
      <c r="AH19" s="58"/>
      <c r="AI19" s="58"/>
    </row>
    <row r="20" spans="1:35" x14ac:dyDescent="0.35">
      <c r="A20" s="17" t="s">
        <v>46</v>
      </c>
      <c r="B20" s="17" t="s">
        <v>1222</v>
      </c>
      <c r="C20" s="28" t="s">
        <v>1245</v>
      </c>
      <c r="D20" s="17" t="s">
        <v>1253</v>
      </c>
      <c r="E20" s="17" t="s">
        <v>1254</v>
      </c>
      <c r="F20" s="20">
        <v>1249.8800000000001</v>
      </c>
      <c r="G20" s="20">
        <v>67</v>
      </c>
      <c r="H20" s="19">
        <v>340</v>
      </c>
      <c r="I20" s="20">
        <v>163</v>
      </c>
      <c r="J20" s="20">
        <v>177</v>
      </c>
      <c r="K20" s="20">
        <v>26</v>
      </c>
      <c r="L20" s="57">
        <f t="shared" si="2"/>
        <v>7.6470588235294124E-2</v>
      </c>
      <c r="M20" s="20">
        <v>12</v>
      </c>
      <c r="N20" s="57">
        <f t="shared" si="3"/>
        <v>3.5294117647058823E-2</v>
      </c>
      <c r="O20" s="46">
        <v>83.75</v>
      </c>
      <c r="P20" s="46">
        <v>669.06</v>
      </c>
      <c r="Q20" s="58" t="s">
        <v>562</v>
      </c>
      <c r="R20" s="58"/>
      <c r="S20" s="58"/>
      <c r="T20" s="58"/>
      <c r="U20" s="58"/>
      <c r="V20" s="58"/>
      <c r="W20" s="58"/>
      <c r="X20" s="58" t="s">
        <v>562</v>
      </c>
      <c r="Y20" s="58"/>
      <c r="Z20" s="58"/>
      <c r="AA20" s="58"/>
      <c r="AB20" s="58"/>
      <c r="AC20" s="58"/>
      <c r="AD20" s="58"/>
      <c r="AE20" s="58" t="s">
        <v>562</v>
      </c>
      <c r="AF20" s="58"/>
      <c r="AG20" s="58"/>
      <c r="AH20" s="58"/>
      <c r="AI20" s="58"/>
    </row>
    <row r="21" spans="1:35" x14ac:dyDescent="0.35">
      <c r="A21" s="17" t="s">
        <v>46</v>
      </c>
      <c r="B21" s="17" t="s">
        <v>1222</v>
      </c>
      <c r="C21" s="28" t="s">
        <v>1245</v>
      </c>
      <c r="D21" s="17" t="s">
        <v>1255</v>
      </c>
      <c r="E21" s="17" t="s">
        <v>1256</v>
      </c>
      <c r="F21" s="20">
        <v>452.53</v>
      </c>
      <c r="G21" s="20">
        <v>176</v>
      </c>
      <c r="H21" s="19">
        <v>770</v>
      </c>
      <c r="I21" s="20">
        <v>382</v>
      </c>
      <c r="J21" s="20">
        <v>388</v>
      </c>
      <c r="K21" s="20">
        <v>19</v>
      </c>
      <c r="L21" s="57">
        <f t="shared" si="2"/>
        <v>2.4675324675324677E-2</v>
      </c>
      <c r="M21" s="20">
        <v>678</v>
      </c>
      <c r="N21" s="57">
        <f t="shared" si="3"/>
        <v>0.88051948051948048</v>
      </c>
      <c r="O21" s="46">
        <v>42.92</v>
      </c>
      <c r="P21" s="46">
        <v>153.30000000000001</v>
      </c>
      <c r="Q21" s="58" t="s">
        <v>562</v>
      </c>
      <c r="R21" s="58"/>
      <c r="S21" s="58"/>
      <c r="T21" s="58"/>
      <c r="U21" s="58"/>
      <c r="V21" s="58"/>
      <c r="W21" s="58"/>
      <c r="X21" s="58" t="s">
        <v>562</v>
      </c>
      <c r="Y21" s="58"/>
      <c r="Z21" s="58"/>
      <c r="AA21" s="58"/>
      <c r="AB21" s="58"/>
      <c r="AC21" s="58"/>
      <c r="AD21" s="58"/>
      <c r="AE21" s="58" t="s">
        <v>562</v>
      </c>
      <c r="AF21" s="58"/>
      <c r="AG21" s="58"/>
      <c r="AH21" s="58"/>
      <c r="AI21" s="58"/>
    </row>
    <row r="22" spans="1:35" x14ac:dyDescent="0.35">
      <c r="A22" s="17" t="s">
        <v>46</v>
      </c>
      <c r="B22" s="17" t="s">
        <v>1222</v>
      </c>
      <c r="C22" s="28" t="s">
        <v>1250</v>
      </c>
      <c r="D22" s="17" t="s">
        <v>1257</v>
      </c>
      <c r="E22" s="17" t="s">
        <v>1258</v>
      </c>
      <c r="F22" s="20">
        <v>1409.73</v>
      </c>
      <c r="G22" s="20">
        <v>345</v>
      </c>
      <c r="H22" s="19">
        <v>1738</v>
      </c>
      <c r="I22" s="20">
        <v>915</v>
      </c>
      <c r="J22" s="20">
        <v>823</v>
      </c>
      <c r="K22" s="20">
        <v>121</v>
      </c>
      <c r="L22" s="57">
        <f t="shared" si="2"/>
        <v>6.9620253164556958E-2</v>
      </c>
      <c r="M22" s="20">
        <v>889</v>
      </c>
      <c r="N22" s="57">
        <f t="shared" si="3"/>
        <v>0.51150747986191025</v>
      </c>
      <c r="O22" s="46">
        <v>5.4</v>
      </c>
      <c r="P22" s="46">
        <v>514.21</v>
      </c>
      <c r="Q22" s="58" t="s">
        <v>51</v>
      </c>
      <c r="R22" s="58">
        <v>2019</v>
      </c>
      <c r="S22" s="58"/>
      <c r="T22" s="58"/>
      <c r="U22" s="58"/>
      <c r="V22" s="58"/>
      <c r="W22" s="58"/>
      <c r="X22" s="58" t="s">
        <v>51</v>
      </c>
      <c r="Y22" s="58"/>
      <c r="Z22" s="58"/>
      <c r="AA22" s="58"/>
      <c r="AB22" s="58"/>
      <c r="AC22" s="58" t="s">
        <v>51</v>
      </c>
      <c r="AD22" s="58"/>
      <c r="AE22" s="58"/>
      <c r="AF22" s="58"/>
      <c r="AG22" s="58"/>
      <c r="AH22" s="58"/>
      <c r="AI22" s="58"/>
    </row>
    <row r="23" spans="1:35" x14ac:dyDescent="0.35">
      <c r="A23" s="17" t="s">
        <v>46</v>
      </c>
      <c r="B23" s="17" t="s">
        <v>1222</v>
      </c>
      <c r="C23" s="28" t="s">
        <v>1259</v>
      </c>
      <c r="D23" s="17" t="s">
        <v>1260</v>
      </c>
      <c r="E23" s="17" t="s">
        <v>1261</v>
      </c>
      <c r="F23" s="28">
        <v>97.6</v>
      </c>
      <c r="G23" s="47"/>
      <c r="H23" s="19">
        <v>0</v>
      </c>
      <c r="I23" s="47"/>
      <c r="J23" s="47"/>
      <c r="K23" s="47"/>
      <c r="L23" s="57"/>
      <c r="M23" s="47"/>
      <c r="N23" s="57"/>
      <c r="O23" s="48">
        <v>0</v>
      </c>
      <c r="P23" s="48">
        <v>0</v>
      </c>
      <c r="Q23" s="58" t="s">
        <v>112</v>
      </c>
      <c r="R23" s="58"/>
      <c r="S23" s="58"/>
      <c r="T23" s="58"/>
      <c r="U23" s="58"/>
      <c r="V23" s="58"/>
      <c r="W23" s="58"/>
      <c r="X23" s="58" t="s">
        <v>112</v>
      </c>
      <c r="Y23" s="58"/>
      <c r="Z23" s="58"/>
      <c r="AA23" s="58"/>
      <c r="AB23" s="58"/>
      <c r="AC23" s="58" t="s">
        <v>112</v>
      </c>
      <c r="AD23" s="58"/>
      <c r="AE23" s="58"/>
      <c r="AF23" s="58"/>
      <c r="AG23" s="58"/>
      <c r="AH23" s="58"/>
      <c r="AI23" s="58"/>
    </row>
    <row r="24" spans="1:35" x14ac:dyDescent="0.35">
      <c r="A24" s="17" t="s">
        <v>46</v>
      </c>
      <c r="B24" s="17" t="s">
        <v>1222</v>
      </c>
      <c r="C24" s="28" t="s">
        <v>1250</v>
      </c>
      <c r="D24" s="17" t="s">
        <v>1262</v>
      </c>
      <c r="E24" s="17" t="s">
        <v>1263</v>
      </c>
      <c r="F24" s="20">
        <v>402.43</v>
      </c>
      <c r="G24" s="20">
        <v>111</v>
      </c>
      <c r="H24" s="19">
        <v>602</v>
      </c>
      <c r="I24" s="20">
        <v>304</v>
      </c>
      <c r="J24" s="20">
        <v>298</v>
      </c>
      <c r="K24" s="20">
        <v>8</v>
      </c>
      <c r="L24" s="57">
        <f>K24/H24</f>
        <v>1.3289036544850499E-2</v>
      </c>
      <c r="M24" s="20">
        <v>461</v>
      </c>
      <c r="N24" s="57">
        <f>M24/H24</f>
        <v>0.76578073089700993</v>
      </c>
      <c r="O24" s="46">
        <v>0</v>
      </c>
      <c r="P24" s="46">
        <v>106.07</v>
      </c>
      <c r="Q24" s="58" t="s">
        <v>562</v>
      </c>
      <c r="R24" s="58"/>
      <c r="S24" s="58"/>
      <c r="T24" s="58"/>
      <c r="U24" s="58"/>
      <c r="V24" s="58"/>
      <c r="W24" s="58"/>
      <c r="X24" s="58" t="s">
        <v>562</v>
      </c>
      <c r="Y24" s="58"/>
      <c r="Z24" s="58"/>
      <c r="AA24" s="58"/>
      <c r="AB24" s="58"/>
      <c r="AC24" s="58"/>
      <c r="AD24" s="58"/>
      <c r="AE24" s="58" t="s">
        <v>562</v>
      </c>
      <c r="AF24" s="58"/>
      <c r="AG24" s="58"/>
      <c r="AH24" s="58"/>
      <c r="AI24" s="58"/>
    </row>
    <row r="25" spans="1:35" x14ac:dyDescent="0.35">
      <c r="A25" s="17" t="s">
        <v>46</v>
      </c>
      <c r="B25" s="17" t="s">
        <v>1222</v>
      </c>
      <c r="C25" s="28" t="s">
        <v>1250</v>
      </c>
      <c r="D25" s="17" t="s">
        <v>1264</v>
      </c>
      <c r="E25" s="17" t="s">
        <v>1265</v>
      </c>
      <c r="F25" s="20">
        <v>29.07</v>
      </c>
      <c r="G25" s="20">
        <v>20</v>
      </c>
      <c r="H25" s="19">
        <v>113</v>
      </c>
      <c r="I25" s="20">
        <v>63</v>
      </c>
      <c r="J25" s="20">
        <v>50</v>
      </c>
      <c r="K25" s="20">
        <v>0</v>
      </c>
      <c r="L25" s="57">
        <f>K25/H25</f>
        <v>0</v>
      </c>
      <c r="M25" s="20">
        <v>113</v>
      </c>
      <c r="N25" s="57">
        <f>M25/H25</f>
        <v>1</v>
      </c>
      <c r="O25" s="46">
        <v>0</v>
      </c>
      <c r="P25" s="46">
        <v>0</v>
      </c>
      <c r="Q25" s="58" t="s">
        <v>562</v>
      </c>
      <c r="R25" s="58"/>
      <c r="S25" s="58"/>
      <c r="T25" s="58"/>
      <c r="U25" s="58"/>
      <c r="V25" s="58"/>
      <c r="W25" s="58"/>
      <c r="X25" s="58" t="s">
        <v>562</v>
      </c>
      <c r="Y25" s="58"/>
      <c r="Z25" s="58"/>
      <c r="AA25" s="58"/>
      <c r="AB25" s="58"/>
      <c r="AC25" s="58"/>
      <c r="AD25" s="58"/>
      <c r="AE25" s="58" t="s">
        <v>562</v>
      </c>
      <c r="AF25" s="58"/>
      <c r="AG25" s="58"/>
      <c r="AH25" s="58"/>
      <c r="AI25" s="58"/>
    </row>
    <row r="26" spans="1:35" x14ac:dyDescent="0.35">
      <c r="A26" s="17" t="s">
        <v>46</v>
      </c>
      <c r="B26" s="17" t="s">
        <v>1222</v>
      </c>
      <c r="C26" s="28" t="s">
        <v>1250</v>
      </c>
      <c r="D26" s="17" t="s">
        <v>1266</v>
      </c>
      <c r="E26" s="17" t="s">
        <v>1267</v>
      </c>
      <c r="F26" s="28">
        <v>191.29</v>
      </c>
      <c r="G26" s="47"/>
      <c r="H26" s="19">
        <v>0</v>
      </c>
      <c r="I26" s="47"/>
      <c r="J26" s="47"/>
      <c r="K26" s="47"/>
      <c r="L26" s="57"/>
      <c r="M26" s="47"/>
      <c r="N26" s="57"/>
      <c r="O26" s="48">
        <v>0</v>
      </c>
      <c r="P26" s="48">
        <v>111.63</v>
      </c>
      <c r="Q26" s="58" t="s">
        <v>112</v>
      </c>
      <c r="R26" s="58"/>
      <c r="S26" s="58"/>
      <c r="T26" s="58"/>
      <c r="U26" s="58"/>
      <c r="V26" s="58"/>
      <c r="W26" s="58"/>
      <c r="X26" s="58" t="s">
        <v>112</v>
      </c>
      <c r="Y26" s="58"/>
      <c r="Z26" s="58"/>
      <c r="AA26" s="58"/>
      <c r="AB26" s="58"/>
      <c r="AC26" s="58" t="s">
        <v>112</v>
      </c>
      <c r="AD26" s="58"/>
      <c r="AE26" s="58"/>
      <c r="AF26" s="58"/>
      <c r="AG26" s="58"/>
      <c r="AH26" s="58"/>
      <c r="AI26" s="58"/>
    </row>
    <row r="27" spans="1:35" x14ac:dyDescent="0.35">
      <c r="A27" s="17" t="s">
        <v>46</v>
      </c>
      <c r="B27" s="17" t="s">
        <v>1222</v>
      </c>
      <c r="C27" s="28" t="s">
        <v>1259</v>
      </c>
      <c r="D27" s="17" t="s">
        <v>324</v>
      </c>
      <c r="E27" s="17" t="s">
        <v>1268</v>
      </c>
      <c r="F27" s="20">
        <v>37.21</v>
      </c>
      <c r="G27" s="20">
        <v>40</v>
      </c>
      <c r="H27" s="19">
        <v>154</v>
      </c>
      <c r="I27" s="20">
        <v>81</v>
      </c>
      <c r="J27" s="20">
        <v>73</v>
      </c>
      <c r="K27" s="20">
        <v>0</v>
      </c>
      <c r="L27" s="57">
        <f>K27/H27</f>
        <v>0</v>
      </c>
      <c r="M27" s="20">
        <v>96</v>
      </c>
      <c r="N27" s="57">
        <f>M27/H27</f>
        <v>0.62337662337662336</v>
      </c>
      <c r="O27" s="46">
        <v>0</v>
      </c>
      <c r="P27" s="46">
        <v>0</v>
      </c>
      <c r="Q27" s="58" t="s">
        <v>562</v>
      </c>
      <c r="R27" s="58"/>
      <c r="S27" s="58"/>
      <c r="T27" s="58"/>
      <c r="U27" s="58"/>
      <c r="V27" s="58"/>
      <c r="W27" s="58"/>
      <c r="X27" s="58" t="s">
        <v>562</v>
      </c>
      <c r="Y27" s="58"/>
      <c r="Z27" s="58"/>
      <c r="AA27" s="58"/>
      <c r="AB27" s="58"/>
      <c r="AC27" s="58"/>
      <c r="AD27" s="58"/>
      <c r="AE27" s="58" t="s">
        <v>562</v>
      </c>
      <c r="AF27" s="58"/>
      <c r="AG27" s="58"/>
      <c r="AH27" s="58"/>
      <c r="AI27" s="58"/>
    </row>
    <row r="28" spans="1:35" x14ac:dyDescent="0.35">
      <c r="A28" s="17" t="s">
        <v>46</v>
      </c>
      <c r="B28" s="17" t="s">
        <v>1222</v>
      </c>
      <c r="C28" s="28" t="s">
        <v>1259</v>
      </c>
      <c r="D28" s="17" t="s">
        <v>1222</v>
      </c>
      <c r="E28" s="17" t="s">
        <v>1269</v>
      </c>
      <c r="F28" s="20">
        <v>1694.6</v>
      </c>
      <c r="G28" s="20">
        <v>935</v>
      </c>
      <c r="H28" s="19">
        <v>4573</v>
      </c>
      <c r="I28" s="20">
        <v>2348</v>
      </c>
      <c r="J28" s="20">
        <v>2225</v>
      </c>
      <c r="K28" s="20">
        <v>578</v>
      </c>
      <c r="L28" s="57">
        <f>K28/H28</f>
        <v>0.12639405204460966</v>
      </c>
      <c r="M28" s="20">
        <v>218</v>
      </c>
      <c r="N28" s="57">
        <f>M28/H28</f>
        <v>4.767111305488738E-2</v>
      </c>
      <c r="O28" s="46">
        <v>10.73</v>
      </c>
      <c r="P28" s="46">
        <v>1034.6300000000001</v>
      </c>
      <c r="Q28" s="58" t="s">
        <v>51</v>
      </c>
      <c r="R28" s="58">
        <v>2019</v>
      </c>
      <c r="S28" s="58"/>
      <c r="T28" s="58"/>
      <c r="U28" s="58"/>
      <c r="V28" s="58"/>
      <c r="W28" s="58"/>
      <c r="X28" s="58" t="s">
        <v>51</v>
      </c>
      <c r="Y28" s="58"/>
      <c r="Z28" s="58"/>
      <c r="AA28" s="58"/>
      <c r="AB28" s="58"/>
      <c r="AC28" s="58" t="s">
        <v>51</v>
      </c>
      <c r="AD28" s="58"/>
      <c r="AE28" s="58"/>
      <c r="AF28" s="58"/>
      <c r="AG28" s="58"/>
      <c r="AH28" s="58"/>
      <c r="AI28" s="58"/>
    </row>
    <row r="29" spans="1:35" x14ac:dyDescent="0.35">
      <c r="A29" s="17" t="s">
        <v>46</v>
      </c>
      <c r="B29" s="17" t="s">
        <v>1222</v>
      </c>
      <c r="C29" s="28" t="s">
        <v>1270</v>
      </c>
      <c r="D29" s="17" t="s">
        <v>123</v>
      </c>
      <c r="E29" s="17" t="s">
        <v>1271</v>
      </c>
      <c r="F29" s="20">
        <v>869.59</v>
      </c>
      <c r="G29" s="20">
        <v>132</v>
      </c>
      <c r="H29" s="19">
        <v>683</v>
      </c>
      <c r="I29" s="20">
        <v>341</v>
      </c>
      <c r="J29" s="20">
        <v>342</v>
      </c>
      <c r="K29" s="20">
        <v>13</v>
      </c>
      <c r="L29" s="57">
        <f>K29/H29</f>
        <v>1.9033674963396779E-2</v>
      </c>
      <c r="M29" s="20">
        <v>629</v>
      </c>
      <c r="N29" s="57">
        <f>M29/H29</f>
        <v>0.92093704245973651</v>
      </c>
      <c r="O29" s="46">
        <v>3.51</v>
      </c>
      <c r="P29" s="46">
        <v>382.07</v>
      </c>
      <c r="Q29" s="58" t="s">
        <v>562</v>
      </c>
      <c r="R29" s="58"/>
      <c r="S29" s="58"/>
      <c r="T29" s="58"/>
      <c r="U29" s="58"/>
      <c r="V29" s="58"/>
      <c r="W29" s="58"/>
      <c r="X29" s="58" t="s">
        <v>562</v>
      </c>
      <c r="Y29" s="58"/>
      <c r="Z29" s="58"/>
      <c r="AA29" s="58"/>
      <c r="AB29" s="58"/>
      <c r="AC29" s="58"/>
      <c r="AD29" s="58"/>
      <c r="AE29" s="58" t="s">
        <v>562</v>
      </c>
      <c r="AF29" s="58"/>
      <c r="AG29" s="58"/>
      <c r="AH29" s="58"/>
      <c r="AI29" s="58"/>
    </row>
    <row r="30" spans="1:35" x14ac:dyDescent="0.35">
      <c r="A30" s="17" t="s">
        <v>46</v>
      </c>
      <c r="B30" s="17" t="s">
        <v>1222</v>
      </c>
      <c r="C30" s="28" t="s">
        <v>1270</v>
      </c>
      <c r="D30" s="17" t="s">
        <v>1272</v>
      </c>
      <c r="E30" s="17" t="s">
        <v>1273</v>
      </c>
      <c r="F30" s="20">
        <v>304.79000000000002</v>
      </c>
      <c r="G30" s="20">
        <v>169</v>
      </c>
      <c r="H30" s="19">
        <v>775</v>
      </c>
      <c r="I30" s="20">
        <v>422</v>
      </c>
      <c r="J30" s="20">
        <v>353</v>
      </c>
      <c r="K30" s="20">
        <v>15</v>
      </c>
      <c r="L30" s="57">
        <f>K30/H30</f>
        <v>1.935483870967742E-2</v>
      </c>
      <c r="M30" s="20">
        <v>623</v>
      </c>
      <c r="N30" s="57">
        <f>M30/H30</f>
        <v>0.80387096774193545</v>
      </c>
      <c r="O30" s="46">
        <v>0</v>
      </c>
      <c r="P30" s="46">
        <v>29.52</v>
      </c>
      <c r="Q30" s="58" t="s">
        <v>562</v>
      </c>
      <c r="R30" s="58"/>
      <c r="S30" s="58"/>
      <c r="T30" s="58"/>
      <c r="U30" s="58"/>
      <c r="V30" s="58"/>
      <c r="W30" s="58"/>
      <c r="X30" s="58" t="s">
        <v>562</v>
      </c>
      <c r="Y30" s="58"/>
      <c r="Z30" s="58"/>
      <c r="AA30" s="58"/>
      <c r="AB30" s="58"/>
      <c r="AC30" s="58"/>
      <c r="AD30" s="58"/>
      <c r="AE30" s="58" t="s">
        <v>562</v>
      </c>
      <c r="AF30" s="58"/>
      <c r="AG30" s="58"/>
      <c r="AH30" s="58"/>
      <c r="AI30" s="58"/>
    </row>
    <row r="31" spans="1:35" x14ac:dyDescent="0.35">
      <c r="A31" s="17" t="s">
        <v>46</v>
      </c>
      <c r="B31" s="17" t="s">
        <v>1222</v>
      </c>
      <c r="C31" s="28" t="s">
        <v>1259</v>
      </c>
      <c r="D31" s="17" t="s">
        <v>1274</v>
      </c>
      <c r="E31" s="17" t="s">
        <v>1275</v>
      </c>
      <c r="F31" s="28">
        <v>108.57</v>
      </c>
      <c r="G31" s="47"/>
      <c r="H31" s="19">
        <v>0</v>
      </c>
      <c r="I31" s="47"/>
      <c r="J31" s="47"/>
      <c r="K31" s="47"/>
      <c r="L31" s="57"/>
      <c r="M31" s="47"/>
      <c r="N31" s="57"/>
      <c r="O31" s="48">
        <v>0</v>
      </c>
      <c r="P31" s="48">
        <v>65.510000000000005</v>
      </c>
      <c r="Q31" s="58" t="s">
        <v>112</v>
      </c>
      <c r="R31" s="58"/>
      <c r="S31" s="58"/>
      <c r="T31" s="58"/>
      <c r="U31" s="58"/>
      <c r="V31" s="58"/>
      <c r="W31" s="58"/>
      <c r="X31" s="58" t="s">
        <v>112</v>
      </c>
      <c r="Y31" s="58"/>
      <c r="Z31" s="58"/>
      <c r="AA31" s="58"/>
      <c r="AB31" s="58"/>
      <c r="AC31" s="58" t="s">
        <v>112</v>
      </c>
      <c r="AD31" s="58"/>
      <c r="AE31" s="58"/>
      <c r="AF31" s="58"/>
      <c r="AG31" s="58"/>
      <c r="AH31" s="58"/>
      <c r="AI31" s="58"/>
    </row>
    <row r="32" spans="1:35" x14ac:dyDescent="0.35">
      <c r="A32" s="17" t="s">
        <v>46</v>
      </c>
      <c r="B32" s="17" t="s">
        <v>1222</v>
      </c>
      <c r="C32" s="28" t="s">
        <v>1270</v>
      </c>
      <c r="D32" s="17" t="s">
        <v>1276</v>
      </c>
      <c r="E32" s="17" t="s">
        <v>1277</v>
      </c>
      <c r="F32" s="20">
        <v>122.5</v>
      </c>
      <c r="G32" s="20">
        <v>22</v>
      </c>
      <c r="H32" s="19">
        <v>105</v>
      </c>
      <c r="I32" s="20">
        <v>53</v>
      </c>
      <c r="J32" s="20">
        <v>52</v>
      </c>
      <c r="K32" s="20">
        <v>0</v>
      </c>
      <c r="L32" s="57">
        <f t="shared" ref="L32:L49" si="4">K32/H32</f>
        <v>0</v>
      </c>
      <c r="M32" s="20">
        <v>102</v>
      </c>
      <c r="N32" s="57">
        <f t="shared" ref="N32:N49" si="5">M32/H32</f>
        <v>0.97142857142857142</v>
      </c>
      <c r="O32" s="46">
        <v>0</v>
      </c>
      <c r="P32" s="46">
        <v>20.25</v>
      </c>
      <c r="Q32" s="58" t="s">
        <v>562</v>
      </c>
      <c r="R32" s="58"/>
      <c r="S32" s="58"/>
      <c r="T32" s="58"/>
      <c r="U32" s="58"/>
      <c r="V32" s="58"/>
      <c r="W32" s="58"/>
      <c r="X32" s="58" t="s">
        <v>562</v>
      </c>
      <c r="Y32" s="58"/>
      <c r="Z32" s="58"/>
      <c r="AA32" s="58"/>
      <c r="AB32" s="58"/>
      <c r="AC32" s="58"/>
      <c r="AD32" s="58"/>
      <c r="AE32" s="58" t="s">
        <v>562</v>
      </c>
      <c r="AF32" s="58"/>
      <c r="AG32" s="58"/>
      <c r="AH32" s="58"/>
      <c r="AI32" s="58"/>
    </row>
    <row r="33" spans="1:35" x14ac:dyDescent="0.35">
      <c r="A33" s="17" t="s">
        <v>46</v>
      </c>
      <c r="B33" s="17" t="s">
        <v>1222</v>
      </c>
      <c r="C33" s="28" t="s">
        <v>1270</v>
      </c>
      <c r="D33" s="17" t="s">
        <v>1278</v>
      </c>
      <c r="E33" s="17" t="s">
        <v>1279</v>
      </c>
      <c r="F33" s="20">
        <v>120.48</v>
      </c>
      <c r="G33" s="20">
        <v>16</v>
      </c>
      <c r="H33" s="19">
        <v>52</v>
      </c>
      <c r="I33" s="20">
        <v>27</v>
      </c>
      <c r="J33" s="20">
        <v>25</v>
      </c>
      <c r="K33" s="20">
        <v>0</v>
      </c>
      <c r="L33" s="57">
        <f t="shared" si="4"/>
        <v>0</v>
      </c>
      <c r="M33" s="20">
        <v>30</v>
      </c>
      <c r="N33" s="57">
        <f t="shared" si="5"/>
        <v>0.57692307692307687</v>
      </c>
      <c r="O33" s="46">
        <v>0</v>
      </c>
      <c r="P33" s="46">
        <v>0</v>
      </c>
      <c r="Q33" s="58" t="s">
        <v>562</v>
      </c>
      <c r="R33" s="58"/>
      <c r="S33" s="58"/>
      <c r="T33" s="58"/>
      <c r="U33" s="58"/>
      <c r="V33" s="58"/>
      <c r="W33" s="58"/>
      <c r="X33" s="58" t="s">
        <v>562</v>
      </c>
      <c r="Y33" s="58"/>
      <c r="Z33" s="58"/>
      <c r="AA33" s="58"/>
      <c r="AB33" s="58"/>
      <c r="AC33" s="58"/>
      <c r="AD33" s="58"/>
      <c r="AE33" s="58" t="s">
        <v>562</v>
      </c>
      <c r="AF33" s="58"/>
      <c r="AG33" s="58"/>
      <c r="AH33" s="58"/>
      <c r="AI33" s="58"/>
    </row>
    <row r="34" spans="1:35" x14ac:dyDescent="0.35">
      <c r="A34" s="17" t="s">
        <v>46</v>
      </c>
      <c r="B34" s="17" t="s">
        <v>1222</v>
      </c>
      <c r="C34" s="28" t="s">
        <v>1270</v>
      </c>
      <c r="D34" s="17" t="s">
        <v>1280</v>
      </c>
      <c r="E34" s="17" t="s">
        <v>1281</v>
      </c>
      <c r="F34" s="20">
        <v>818.76</v>
      </c>
      <c r="G34" s="20">
        <v>164</v>
      </c>
      <c r="H34" s="19">
        <v>825</v>
      </c>
      <c r="I34" s="20">
        <v>425</v>
      </c>
      <c r="J34" s="20">
        <v>400</v>
      </c>
      <c r="K34" s="20">
        <v>25</v>
      </c>
      <c r="L34" s="57">
        <f t="shared" si="4"/>
        <v>3.0303030303030304E-2</v>
      </c>
      <c r="M34" s="20">
        <v>406</v>
      </c>
      <c r="N34" s="57">
        <f t="shared" si="5"/>
        <v>0.49212121212121213</v>
      </c>
      <c r="O34" s="46">
        <v>0</v>
      </c>
      <c r="P34" s="46">
        <v>571.83000000000004</v>
      </c>
      <c r="Q34" s="58" t="s">
        <v>562</v>
      </c>
      <c r="R34" s="58"/>
      <c r="S34" s="58"/>
      <c r="T34" s="58"/>
      <c r="U34" s="58"/>
      <c r="V34" s="58"/>
      <c r="W34" s="58"/>
      <c r="X34" s="58" t="s">
        <v>562</v>
      </c>
      <c r="Y34" s="58"/>
      <c r="Z34" s="58"/>
      <c r="AA34" s="58"/>
      <c r="AB34" s="58"/>
      <c r="AC34" s="58"/>
      <c r="AD34" s="58"/>
      <c r="AE34" s="58" t="s">
        <v>562</v>
      </c>
      <c r="AF34" s="58"/>
      <c r="AG34" s="58"/>
      <c r="AH34" s="58"/>
      <c r="AI34" s="58"/>
    </row>
    <row r="35" spans="1:35" x14ac:dyDescent="0.35">
      <c r="A35" s="17" t="s">
        <v>46</v>
      </c>
      <c r="B35" s="17" t="s">
        <v>1222</v>
      </c>
      <c r="C35" s="28" t="s">
        <v>1282</v>
      </c>
      <c r="D35" s="17" t="s">
        <v>1283</v>
      </c>
      <c r="E35" s="17" t="s">
        <v>1284</v>
      </c>
      <c r="F35" s="20">
        <v>378.16</v>
      </c>
      <c r="G35" s="20">
        <v>126</v>
      </c>
      <c r="H35" s="19">
        <v>645</v>
      </c>
      <c r="I35" s="20">
        <v>343</v>
      </c>
      <c r="J35" s="20">
        <v>302</v>
      </c>
      <c r="K35" s="20">
        <v>64</v>
      </c>
      <c r="L35" s="57">
        <f t="shared" si="4"/>
        <v>9.9224806201550386E-2</v>
      </c>
      <c r="M35" s="20">
        <v>406</v>
      </c>
      <c r="N35" s="57">
        <f t="shared" si="5"/>
        <v>0.62945736434108523</v>
      </c>
      <c r="O35" s="46">
        <v>44.43</v>
      </c>
      <c r="P35" s="46">
        <v>0.13</v>
      </c>
      <c r="Q35" s="58" t="s">
        <v>562</v>
      </c>
      <c r="R35" s="58"/>
      <c r="S35" s="58"/>
      <c r="T35" s="58"/>
      <c r="U35" s="58"/>
      <c r="V35" s="58"/>
      <c r="W35" s="58"/>
      <c r="X35" s="58" t="s">
        <v>562</v>
      </c>
      <c r="Y35" s="58"/>
      <c r="Z35" s="58"/>
      <c r="AA35" s="58"/>
      <c r="AB35" s="58"/>
      <c r="AC35" s="58"/>
      <c r="AD35" s="58"/>
      <c r="AE35" s="58" t="s">
        <v>562</v>
      </c>
      <c r="AF35" s="58"/>
      <c r="AG35" s="58"/>
      <c r="AH35" s="58"/>
      <c r="AI35" s="58"/>
    </row>
    <row r="36" spans="1:35" x14ac:dyDescent="0.35">
      <c r="A36" s="17" t="s">
        <v>46</v>
      </c>
      <c r="B36" s="17" t="s">
        <v>1222</v>
      </c>
      <c r="C36" s="28" t="s">
        <v>1282</v>
      </c>
      <c r="D36" s="17" t="s">
        <v>1285</v>
      </c>
      <c r="E36" s="17" t="s">
        <v>1286</v>
      </c>
      <c r="F36" s="20">
        <v>974.95</v>
      </c>
      <c r="G36" s="20">
        <v>135</v>
      </c>
      <c r="H36" s="19">
        <v>641</v>
      </c>
      <c r="I36" s="20">
        <v>329</v>
      </c>
      <c r="J36" s="20">
        <v>312</v>
      </c>
      <c r="K36" s="20">
        <v>16</v>
      </c>
      <c r="L36" s="57">
        <f t="shared" si="4"/>
        <v>2.4960998439937598E-2</v>
      </c>
      <c r="M36" s="20">
        <v>582</v>
      </c>
      <c r="N36" s="57">
        <f t="shared" si="5"/>
        <v>0.90795631825273015</v>
      </c>
      <c r="O36" s="46">
        <v>233.37</v>
      </c>
      <c r="P36" s="46">
        <v>422.71</v>
      </c>
      <c r="Q36" s="58" t="s">
        <v>51</v>
      </c>
      <c r="R36" s="58">
        <v>2019</v>
      </c>
      <c r="S36" s="58"/>
      <c r="T36" s="58"/>
      <c r="U36" s="58"/>
      <c r="V36" s="58"/>
      <c r="W36" s="58"/>
      <c r="X36" s="58" t="s">
        <v>51</v>
      </c>
      <c r="Y36" s="58"/>
      <c r="Z36" s="58"/>
      <c r="AA36" s="58"/>
      <c r="AB36" s="58"/>
      <c r="AC36" s="58" t="s">
        <v>51</v>
      </c>
      <c r="AD36" s="58"/>
      <c r="AE36" s="58"/>
      <c r="AF36" s="58"/>
      <c r="AG36" s="58"/>
      <c r="AH36" s="58"/>
      <c r="AI36" s="58"/>
    </row>
    <row r="37" spans="1:35" x14ac:dyDescent="0.35">
      <c r="A37" s="17" t="s">
        <v>46</v>
      </c>
      <c r="B37" s="17" t="s">
        <v>1222</v>
      </c>
      <c r="C37" s="28" t="s">
        <v>1287</v>
      </c>
      <c r="D37" s="17" t="s">
        <v>1288</v>
      </c>
      <c r="E37" s="17" t="s">
        <v>1289</v>
      </c>
      <c r="F37" s="20">
        <v>1743.38</v>
      </c>
      <c r="G37" s="20">
        <v>1561</v>
      </c>
      <c r="H37" s="19">
        <v>7309</v>
      </c>
      <c r="I37" s="20">
        <v>3839</v>
      </c>
      <c r="J37" s="20">
        <v>3470</v>
      </c>
      <c r="K37" s="20">
        <v>1243</v>
      </c>
      <c r="L37" s="57">
        <f t="shared" si="4"/>
        <v>0.17006430428239158</v>
      </c>
      <c r="M37" s="20">
        <v>909</v>
      </c>
      <c r="N37" s="57">
        <f t="shared" si="5"/>
        <v>0.12436721849774252</v>
      </c>
      <c r="O37" s="46">
        <v>282.91000000000003</v>
      </c>
      <c r="P37" s="46">
        <v>708.18</v>
      </c>
      <c r="Q37" s="58" t="s">
        <v>51</v>
      </c>
      <c r="R37" s="58">
        <v>2019</v>
      </c>
      <c r="S37" s="58"/>
      <c r="T37" s="58"/>
      <c r="U37" s="58"/>
      <c r="V37" s="58"/>
      <c r="W37" s="58"/>
      <c r="X37" s="58" t="s">
        <v>51</v>
      </c>
      <c r="Y37" s="58"/>
      <c r="Z37" s="58"/>
      <c r="AA37" s="58"/>
      <c r="AB37" s="58"/>
      <c r="AC37" s="58" t="s">
        <v>51</v>
      </c>
      <c r="AD37" s="58"/>
      <c r="AE37" s="58"/>
      <c r="AF37" s="58"/>
      <c r="AG37" s="58"/>
      <c r="AH37" s="58"/>
      <c r="AI37" s="58"/>
    </row>
    <row r="38" spans="1:35" x14ac:dyDescent="0.35">
      <c r="A38" s="17" t="s">
        <v>46</v>
      </c>
      <c r="B38" s="17" t="s">
        <v>1222</v>
      </c>
      <c r="C38" s="28" t="s">
        <v>1270</v>
      </c>
      <c r="D38" s="17" t="s">
        <v>1290</v>
      </c>
      <c r="E38" s="17" t="s">
        <v>1291</v>
      </c>
      <c r="F38" s="20">
        <v>362.76</v>
      </c>
      <c r="G38" s="20">
        <v>295</v>
      </c>
      <c r="H38" s="19">
        <v>1355</v>
      </c>
      <c r="I38" s="20">
        <v>832</v>
      </c>
      <c r="J38" s="20">
        <v>523</v>
      </c>
      <c r="K38" s="20">
        <v>293</v>
      </c>
      <c r="L38" s="57">
        <f t="shared" si="4"/>
        <v>0.21623616236162363</v>
      </c>
      <c r="M38" s="20">
        <v>64</v>
      </c>
      <c r="N38" s="57">
        <f t="shared" si="5"/>
        <v>4.7232472324723246E-2</v>
      </c>
      <c r="O38" s="46">
        <v>0</v>
      </c>
      <c r="P38" s="46">
        <v>41.47</v>
      </c>
      <c r="Q38" s="58" t="s">
        <v>562</v>
      </c>
      <c r="R38" s="58"/>
      <c r="S38" s="58"/>
      <c r="T38" s="58"/>
      <c r="U38" s="58"/>
      <c r="V38" s="58"/>
      <c r="W38" s="58"/>
      <c r="X38" s="58" t="s">
        <v>562</v>
      </c>
      <c r="Y38" s="58"/>
      <c r="Z38" s="58"/>
      <c r="AA38" s="58"/>
      <c r="AB38" s="58"/>
      <c r="AC38" s="58"/>
      <c r="AD38" s="58"/>
      <c r="AE38" s="58" t="s">
        <v>562</v>
      </c>
      <c r="AF38" s="58"/>
      <c r="AG38" s="58"/>
      <c r="AH38" s="58"/>
      <c r="AI38" s="58"/>
    </row>
    <row r="39" spans="1:35" x14ac:dyDescent="0.35">
      <c r="A39" s="17" t="s">
        <v>46</v>
      </c>
      <c r="B39" s="17" t="s">
        <v>1222</v>
      </c>
      <c r="C39" s="28" t="s">
        <v>1282</v>
      </c>
      <c r="D39" s="17" t="s">
        <v>1292</v>
      </c>
      <c r="E39" s="17" t="s">
        <v>1293</v>
      </c>
      <c r="F39" s="20">
        <v>232.63</v>
      </c>
      <c r="G39" s="20">
        <v>369</v>
      </c>
      <c r="H39" s="19">
        <v>1677</v>
      </c>
      <c r="I39" s="20">
        <v>877</v>
      </c>
      <c r="J39" s="20">
        <v>800</v>
      </c>
      <c r="K39" s="20">
        <v>447</v>
      </c>
      <c r="L39" s="57">
        <f t="shared" si="4"/>
        <v>0.26654740608228983</v>
      </c>
      <c r="M39" s="20">
        <v>832</v>
      </c>
      <c r="N39" s="57">
        <f t="shared" si="5"/>
        <v>0.49612403100775193</v>
      </c>
      <c r="O39" s="46">
        <v>0</v>
      </c>
      <c r="P39" s="46">
        <v>0</v>
      </c>
      <c r="Q39" s="58" t="s">
        <v>562</v>
      </c>
      <c r="R39" s="58"/>
      <c r="S39" s="58"/>
      <c r="T39" s="58"/>
      <c r="U39" s="58"/>
      <c r="V39" s="58"/>
      <c r="W39" s="58"/>
      <c r="X39" s="58" t="s">
        <v>562</v>
      </c>
      <c r="Y39" s="58"/>
      <c r="Z39" s="58"/>
      <c r="AA39" s="58"/>
      <c r="AB39" s="58"/>
      <c r="AC39" s="58"/>
      <c r="AD39" s="58"/>
      <c r="AE39" s="58" t="s">
        <v>562</v>
      </c>
      <c r="AF39" s="58"/>
      <c r="AG39" s="58"/>
      <c r="AH39" s="58"/>
      <c r="AI39" s="58"/>
    </row>
    <row r="40" spans="1:35" x14ac:dyDescent="0.35">
      <c r="A40" s="17" t="s">
        <v>46</v>
      </c>
      <c r="B40" s="17" t="s">
        <v>1222</v>
      </c>
      <c r="C40" s="28" t="s">
        <v>1282</v>
      </c>
      <c r="D40" s="17" t="s">
        <v>1294</v>
      </c>
      <c r="E40" s="17" t="s">
        <v>1295</v>
      </c>
      <c r="F40" s="20">
        <v>80.86</v>
      </c>
      <c r="G40" s="20">
        <v>19</v>
      </c>
      <c r="H40" s="19">
        <v>90</v>
      </c>
      <c r="I40" s="20">
        <v>52</v>
      </c>
      <c r="J40" s="20">
        <v>38</v>
      </c>
      <c r="K40" s="20">
        <v>4</v>
      </c>
      <c r="L40" s="57">
        <f t="shared" si="4"/>
        <v>4.4444444444444446E-2</v>
      </c>
      <c r="M40" s="20">
        <v>7</v>
      </c>
      <c r="N40" s="57">
        <f t="shared" si="5"/>
        <v>7.7777777777777779E-2</v>
      </c>
      <c r="O40" s="46">
        <v>0</v>
      </c>
      <c r="P40" s="46">
        <v>23.02</v>
      </c>
      <c r="Q40" s="58" t="s">
        <v>562</v>
      </c>
      <c r="R40" s="58"/>
      <c r="S40" s="58"/>
      <c r="T40" s="58"/>
      <c r="U40" s="58"/>
      <c r="V40" s="58"/>
      <c r="W40" s="58"/>
      <c r="X40" s="58" t="s">
        <v>562</v>
      </c>
      <c r="Y40" s="58"/>
      <c r="Z40" s="58"/>
      <c r="AA40" s="58"/>
      <c r="AB40" s="58"/>
      <c r="AC40" s="58"/>
      <c r="AD40" s="58"/>
      <c r="AE40" s="58" t="s">
        <v>562</v>
      </c>
      <c r="AF40" s="58"/>
      <c r="AG40" s="58"/>
      <c r="AH40" s="58"/>
      <c r="AI40" s="58"/>
    </row>
    <row r="41" spans="1:35" x14ac:dyDescent="0.35">
      <c r="A41" s="17" t="s">
        <v>46</v>
      </c>
      <c r="B41" s="17" t="s">
        <v>1222</v>
      </c>
      <c r="C41" s="28" t="s">
        <v>1270</v>
      </c>
      <c r="D41" s="17" t="s">
        <v>1296</v>
      </c>
      <c r="E41" s="17" t="s">
        <v>1297</v>
      </c>
      <c r="F41" s="20">
        <v>36.81</v>
      </c>
      <c r="G41" s="20">
        <v>7</v>
      </c>
      <c r="H41" s="19">
        <v>26</v>
      </c>
      <c r="I41" s="20">
        <v>16</v>
      </c>
      <c r="J41" s="20">
        <v>10</v>
      </c>
      <c r="K41" s="20">
        <v>0</v>
      </c>
      <c r="L41" s="57">
        <f t="shared" si="4"/>
        <v>0</v>
      </c>
      <c r="M41" s="20">
        <v>26</v>
      </c>
      <c r="N41" s="57">
        <f t="shared" si="5"/>
        <v>1</v>
      </c>
      <c r="O41" s="46">
        <v>0</v>
      </c>
      <c r="P41" s="46">
        <v>0</v>
      </c>
      <c r="Q41" s="58" t="s">
        <v>562</v>
      </c>
      <c r="R41" s="58"/>
      <c r="S41" s="58"/>
      <c r="T41" s="58"/>
      <c r="U41" s="58"/>
      <c r="V41" s="58"/>
      <c r="W41" s="58"/>
      <c r="X41" s="58" t="s">
        <v>562</v>
      </c>
      <c r="Y41" s="58"/>
      <c r="Z41" s="58"/>
      <c r="AA41" s="58"/>
      <c r="AB41" s="58"/>
      <c r="AC41" s="58"/>
      <c r="AD41" s="58"/>
      <c r="AE41" s="58" t="s">
        <v>562</v>
      </c>
      <c r="AF41" s="58"/>
      <c r="AG41" s="58"/>
      <c r="AH41" s="58"/>
      <c r="AI41" s="58"/>
    </row>
    <row r="42" spans="1:35" x14ac:dyDescent="0.35">
      <c r="A42" s="17" t="s">
        <v>46</v>
      </c>
      <c r="B42" s="17" t="s">
        <v>1222</v>
      </c>
      <c r="C42" s="28" t="s">
        <v>1298</v>
      </c>
      <c r="D42" s="17" t="s">
        <v>1299</v>
      </c>
      <c r="E42" s="17" t="s">
        <v>1300</v>
      </c>
      <c r="F42" s="20">
        <v>144.02000000000001</v>
      </c>
      <c r="G42" s="20">
        <v>3</v>
      </c>
      <c r="H42" s="19">
        <v>13</v>
      </c>
      <c r="I42" s="20">
        <v>9</v>
      </c>
      <c r="J42" s="20">
        <v>4</v>
      </c>
      <c r="K42" s="20">
        <v>5</v>
      </c>
      <c r="L42" s="57">
        <f t="shared" si="4"/>
        <v>0.38461538461538464</v>
      </c>
      <c r="M42" s="20">
        <v>2</v>
      </c>
      <c r="N42" s="57">
        <f t="shared" si="5"/>
        <v>0.15384615384615385</v>
      </c>
      <c r="O42" s="46">
        <v>0</v>
      </c>
      <c r="P42" s="46">
        <v>0</v>
      </c>
      <c r="Q42" s="58" t="s">
        <v>112</v>
      </c>
      <c r="R42" s="58"/>
      <c r="S42" s="58"/>
      <c r="T42" s="58"/>
      <c r="U42" s="58"/>
      <c r="V42" s="58"/>
      <c r="W42" s="58"/>
      <c r="X42" s="58" t="s">
        <v>112</v>
      </c>
      <c r="Y42" s="58"/>
      <c r="Z42" s="58"/>
      <c r="AA42" s="58"/>
      <c r="AB42" s="58"/>
      <c r="AC42" s="58" t="s">
        <v>112</v>
      </c>
      <c r="AD42" s="58"/>
      <c r="AE42" s="58"/>
      <c r="AF42" s="58"/>
      <c r="AG42" s="58"/>
      <c r="AH42" s="58"/>
      <c r="AI42" s="58"/>
    </row>
    <row r="43" spans="1:35" x14ac:dyDescent="0.35">
      <c r="A43" s="17" t="s">
        <v>46</v>
      </c>
      <c r="B43" s="17" t="s">
        <v>1222</v>
      </c>
      <c r="C43" s="28" t="s">
        <v>1270</v>
      </c>
      <c r="D43" s="17" t="s">
        <v>1301</v>
      </c>
      <c r="E43" s="17" t="s">
        <v>1302</v>
      </c>
      <c r="F43" s="20">
        <v>418.7</v>
      </c>
      <c r="G43" s="20">
        <v>112</v>
      </c>
      <c r="H43" s="19">
        <v>483</v>
      </c>
      <c r="I43" s="20">
        <v>246</v>
      </c>
      <c r="J43" s="20">
        <v>237</v>
      </c>
      <c r="K43" s="20">
        <v>6</v>
      </c>
      <c r="L43" s="57">
        <f t="shared" si="4"/>
        <v>1.2422360248447204E-2</v>
      </c>
      <c r="M43" s="20">
        <v>264</v>
      </c>
      <c r="N43" s="57">
        <f t="shared" si="5"/>
        <v>0.54658385093167705</v>
      </c>
      <c r="O43" s="46">
        <v>266.8</v>
      </c>
      <c r="P43" s="46">
        <v>0</v>
      </c>
      <c r="Q43" s="58" t="s">
        <v>562</v>
      </c>
      <c r="R43" s="58"/>
      <c r="S43" s="58"/>
      <c r="T43" s="58"/>
      <c r="U43" s="58"/>
      <c r="V43" s="58"/>
      <c r="W43" s="58"/>
      <c r="X43" s="58" t="s">
        <v>562</v>
      </c>
      <c r="Y43" s="58"/>
      <c r="Z43" s="58"/>
      <c r="AA43" s="58"/>
      <c r="AB43" s="58"/>
      <c r="AC43" s="58"/>
      <c r="AD43" s="58"/>
      <c r="AE43" s="58" t="s">
        <v>562</v>
      </c>
      <c r="AF43" s="58"/>
      <c r="AG43" s="58"/>
      <c r="AH43" s="58"/>
      <c r="AI43" s="58"/>
    </row>
    <row r="44" spans="1:35" x14ac:dyDescent="0.35">
      <c r="A44" s="17" t="s">
        <v>46</v>
      </c>
      <c r="B44" s="17" t="s">
        <v>1222</v>
      </c>
      <c r="C44" s="28" t="s">
        <v>1270</v>
      </c>
      <c r="D44" s="17" t="s">
        <v>1303</v>
      </c>
      <c r="E44" s="17" t="s">
        <v>1304</v>
      </c>
      <c r="F44" s="20">
        <v>201.26</v>
      </c>
      <c r="G44" s="20">
        <v>46</v>
      </c>
      <c r="H44" s="19">
        <v>230</v>
      </c>
      <c r="I44" s="20">
        <v>119</v>
      </c>
      <c r="J44" s="20">
        <v>111</v>
      </c>
      <c r="K44" s="20">
        <v>0</v>
      </c>
      <c r="L44" s="57">
        <f t="shared" si="4"/>
        <v>0</v>
      </c>
      <c r="M44" s="20">
        <v>18</v>
      </c>
      <c r="N44" s="57">
        <f t="shared" si="5"/>
        <v>7.8260869565217397E-2</v>
      </c>
      <c r="O44" s="46">
        <v>40.08</v>
      </c>
      <c r="P44" s="46">
        <v>0</v>
      </c>
      <c r="Q44" s="58" t="s">
        <v>562</v>
      </c>
      <c r="R44" s="58"/>
      <c r="S44" s="58"/>
      <c r="T44" s="58"/>
      <c r="U44" s="58"/>
      <c r="V44" s="58"/>
      <c r="W44" s="58"/>
      <c r="X44" s="58" t="s">
        <v>562</v>
      </c>
      <c r="Y44" s="58"/>
      <c r="Z44" s="58"/>
      <c r="AA44" s="58"/>
      <c r="AB44" s="58"/>
      <c r="AC44" s="58"/>
      <c r="AD44" s="58"/>
      <c r="AE44" s="58" t="s">
        <v>562</v>
      </c>
      <c r="AF44" s="58"/>
      <c r="AG44" s="58"/>
      <c r="AH44" s="58"/>
      <c r="AI44" s="58"/>
    </row>
    <row r="45" spans="1:35" x14ac:dyDescent="0.35">
      <c r="A45" s="17" t="s">
        <v>46</v>
      </c>
      <c r="B45" s="17" t="s">
        <v>1222</v>
      </c>
      <c r="C45" s="28" t="s">
        <v>1270</v>
      </c>
      <c r="D45" s="17" t="s">
        <v>419</v>
      </c>
      <c r="E45" s="17" t="s">
        <v>1305</v>
      </c>
      <c r="F45" s="20">
        <v>196.77</v>
      </c>
      <c r="G45" s="20">
        <v>77</v>
      </c>
      <c r="H45" s="19">
        <v>330</v>
      </c>
      <c r="I45" s="20">
        <v>169</v>
      </c>
      <c r="J45" s="20">
        <v>161</v>
      </c>
      <c r="K45" s="20">
        <v>26</v>
      </c>
      <c r="L45" s="57">
        <f t="shared" si="4"/>
        <v>7.8787878787878782E-2</v>
      </c>
      <c r="M45" s="20">
        <v>108</v>
      </c>
      <c r="N45" s="57">
        <f t="shared" si="5"/>
        <v>0.32727272727272727</v>
      </c>
      <c r="O45" s="46">
        <v>30.37</v>
      </c>
      <c r="P45" s="46">
        <v>0</v>
      </c>
      <c r="Q45" s="58" t="s">
        <v>562</v>
      </c>
      <c r="R45" s="58"/>
      <c r="S45" s="58"/>
      <c r="T45" s="58"/>
      <c r="U45" s="58"/>
      <c r="V45" s="58"/>
      <c r="W45" s="58"/>
      <c r="X45" s="58" t="s">
        <v>562</v>
      </c>
      <c r="Y45" s="58"/>
      <c r="Z45" s="58"/>
      <c r="AA45" s="58"/>
      <c r="AB45" s="58"/>
      <c r="AC45" s="58"/>
      <c r="AD45" s="58"/>
      <c r="AE45" s="58" t="s">
        <v>562</v>
      </c>
      <c r="AF45" s="58"/>
      <c r="AG45" s="58"/>
      <c r="AH45" s="58"/>
      <c r="AI45" s="58"/>
    </row>
    <row r="46" spans="1:35" x14ac:dyDescent="0.35">
      <c r="A46" s="17" t="s">
        <v>46</v>
      </c>
      <c r="B46" s="17" t="s">
        <v>1222</v>
      </c>
      <c r="C46" s="28" t="s">
        <v>1306</v>
      </c>
      <c r="D46" s="17" t="s">
        <v>1307</v>
      </c>
      <c r="E46" s="17" t="s">
        <v>1308</v>
      </c>
      <c r="F46" s="20">
        <v>313.76</v>
      </c>
      <c r="G46" s="20">
        <v>18</v>
      </c>
      <c r="H46" s="19">
        <v>90</v>
      </c>
      <c r="I46" s="20">
        <v>52</v>
      </c>
      <c r="J46" s="20">
        <v>38</v>
      </c>
      <c r="K46" s="20">
        <v>4</v>
      </c>
      <c r="L46" s="57">
        <f t="shared" si="4"/>
        <v>4.4444444444444446E-2</v>
      </c>
      <c r="M46" s="20">
        <v>78</v>
      </c>
      <c r="N46" s="57">
        <f t="shared" si="5"/>
        <v>0.8666666666666667</v>
      </c>
      <c r="O46" s="46">
        <v>0</v>
      </c>
      <c r="P46" s="46">
        <v>117.99</v>
      </c>
      <c r="Q46" s="58" t="s">
        <v>562</v>
      </c>
      <c r="R46" s="58"/>
      <c r="S46" s="58"/>
      <c r="T46" s="58"/>
      <c r="U46" s="58"/>
      <c r="V46" s="58"/>
      <c r="W46" s="58"/>
      <c r="X46" s="58" t="s">
        <v>562</v>
      </c>
      <c r="Y46" s="58"/>
      <c r="Z46" s="58"/>
      <c r="AA46" s="58"/>
      <c r="AB46" s="58"/>
      <c r="AC46" s="58"/>
      <c r="AD46" s="58"/>
      <c r="AE46" s="58" t="s">
        <v>562</v>
      </c>
      <c r="AF46" s="58"/>
      <c r="AG46" s="58"/>
      <c r="AH46" s="58"/>
      <c r="AI46" s="58"/>
    </row>
    <row r="47" spans="1:35" x14ac:dyDescent="0.35">
      <c r="A47" s="17" t="s">
        <v>46</v>
      </c>
      <c r="B47" s="17" t="s">
        <v>1222</v>
      </c>
      <c r="C47" s="28" t="s">
        <v>1306</v>
      </c>
      <c r="D47" s="17" t="s">
        <v>1309</v>
      </c>
      <c r="E47" s="17" t="s">
        <v>1310</v>
      </c>
      <c r="F47" s="20">
        <v>114.31</v>
      </c>
      <c r="G47" s="20">
        <v>46</v>
      </c>
      <c r="H47" s="19">
        <v>180</v>
      </c>
      <c r="I47" s="20">
        <v>91</v>
      </c>
      <c r="J47" s="20">
        <v>89</v>
      </c>
      <c r="K47" s="20">
        <v>111</v>
      </c>
      <c r="L47" s="57">
        <f t="shared" si="4"/>
        <v>0.6166666666666667</v>
      </c>
      <c r="M47" s="20">
        <v>65</v>
      </c>
      <c r="N47" s="57">
        <f t="shared" si="5"/>
        <v>0.3611111111111111</v>
      </c>
      <c r="O47" s="46">
        <v>0</v>
      </c>
      <c r="P47" s="46">
        <v>26.38</v>
      </c>
      <c r="Q47" s="58" t="s">
        <v>562</v>
      </c>
      <c r="R47" s="58"/>
      <c r="S47" s="58"/>
      <c r="T47" s="58"/>
      <c r="U47" s="58"/>
      <c r="V47" s="58"/>
      <c r="W47" s="58"/>
      <c r="X47" s="58" t="s">
        <v>562</v>
      </c>
      <c r="Y47" s="58"/>
      <c r="Z47" s="58"/>
      <c r="AA47" s="58"/>
      <c r="AB47" s="58"/>
      <c r="AC47" s="58"/>
      <c r="AD47" s="58"/>
      <c r="AE47" s="58" t="s">
        <v>562</v>
      </c>
      <c r="AF47" s="58"/>
      <c r="AG47" s="58"/>
      <c r="AH47" s="58"/>
      <c r="AI47" s="58"/>
    </row>
    <row r="48" spans="1:35" x14ac:dyDescent="0.35">
      <c r="A48" s="17" t="s">
        <v>46</v>
      </c>
      <c r="B48" s="17" t="s">
        <v>1222</v>
      </c>
      <c r="C48" s="28" t="s">
        <v>1311</v>
      </c>
      <c r="D48" s="17" t="s">
        <v>1312</v>
      </c>
      <c r="E48" s="17" t="s">
        <v>1313</v>
      </c>
      <c r="F48" s="20">
        <v>127.1</v>
      </c>
      <c r="G48" s="20">
        <v>40</v>
      </c>
      <c r="H48" s="19">
        <v>212</v>
      </c>
      <c r="I48" s="20">
        <v>101</v>
      </c>
      <c r="J48" s="20">
        <v>111</v>
      </c>
      <c r="K48" s="20">
        <v>0</v>
      </c>
      <c r="L48" s="57">
        <f t="shared" si="4"/>
        <v>0</v>
      </c>
      <c r="M48" s="20">
        <v>208</v>
      </c>
      <c r="N48" s="57">
        <f t="shared" si="5"/>
        <v>0.98113207547169812</v>
      </c>
      <c r="O48" s="46">
        <v>0</v>
      </c>
      <c r="P48" s="46">
        <v>0</v>
      </c>
      <c r="Q48" s="58" t="s">
        <v>562</v>
      </c>
      <c r="R48" s="58"/>
      <c r="S48" s="58"/>
      <c r="T48" s="58"/>
      <c r="U48" s="58"/>
      <c r="V48" s="58"/>
      <c r="W48" s="58"/>
      <c r="X48" s="58" t="s">
        <v>562</v>
      </c>
      <c r="Y48" s="58"/>
      <c r="Z48" s="58"/>
      <c r="AA48" s="58"/>
      <c r="AB48" s="58"/>
      <c r="AC48" s="58"/>
      <c r="AD48" s="58"/>
      <c r="AE48" s="58" t="s">
        <v>562</v>
      </c>
      <c r="AF48" s="58"/>
      <c r="AG48" s="58"/>
      <c r="AH48" s="58"/>
      <c r="AI48" s="58"/>
    </row>
    <row r="49" spans="1:35" x14ac:dyDescent="0.35">
      <c r="A49" s="17" t="s">
        <v>46</v>
      </c>
      <c r="B49" s="17" t="s">
        <v>1222</v>
      </c>
      <c r="C49" s="28" t="s">
        <v>1270</v>
      </c>
      <c r="D49" s="17" t="s">
        <v>213</v>
      </c>
      <c r="E49" s="17" t="s">
        <v>1314</v>
      </c>
      <c r="F49" s="20">
        <v>325.81</v>
      </c>
      <c r="G49" s="20">
        <v>106</v>
      </c>
      <c r="H49" s="19">
        <v>607</v>
      </c>
      <c r="I49" s="20">
        <v>322</v>
      </c>
      <c r="J49" s="20">
        <v>285</v>
      </c>
      <c r="K49" s="20">
        <v>8</v>
      </c>
      <c r="L49" s="57">
        <f t="shared" si="4"/>
        <v>1.3179571663920923E-2</v>
      </c>
      <c r="M49" s="20">
        <v>149</v>
      </c>
      <c r="N49" s="57">
        <f t="shared" si="5"/>
        <v>0.24546952224052718</v>
      </c>
      <c r="O49" s="46">
        <v>2.78</v>
      </c>
      <c r="P49" s="46">
        <v>0</v>
      </c>
      <c r="Q49" s="58" t="s">
        <v>562</v>
      </c>
      <c r="R49" s="58"/>
      <c r="S49" s="58"/>
      <c r="T49" s="58"/>
      <c r="U49" s="58"/>
      <c r="V49" s="58"/>
      <c r="W49" s="58"/>
      <c r="X49" s="58" t="s">
        <v>562</v>
      </c>
      <c r="Y49" s="58"/>
      <c r="Z49" s="58"/>
      <c r="AA49" s="58"/>
      <c r="AB49" s="58"/>
      <c r="AC49" s="58"/>
      <c r="AD49" s="58"/>
      <c r="AE49" s="58" t="s">
        <v>562</v>
      </c>
      <c r="AF49" s="58"/>
      <c r="AG49" s="58"/>
      <c r="AH49" s="58"/>
      <c r="AI49" s="58"/>
    </row>
    <row r="50" spans="1:35" x14ac:dyDescent="0.35">
      <c r="A50" s="17" t="s">
        <v>46</v>
      </c>
      <c r="B50" s="17" t="s">
        <v>1222</v>
      </c>
      <c r="C50" s="28" t="s">
        <v>1259</v>
      </c>
      <c r="D50" s="17" t="s">
        <v>1187</v>
      </c>
      <c r="E50" s="17" t="s">
        <v>1315</v>
      </c>
      <c r="F50" s="28">
        <v>44.88</v>
      </c>
      <c r="G50" s="47"/>
      <c r="H50" s="19">
        <v>0</v>
      </c>
      <c r="I50" s="47"/>
      <c r="J50" s="47"/>
      <c r="K50" s="47"/>
      <c r="L50" s="57"/>
      <c r="M50" s="47"/>
      <c r="N50" s="57"/>
      <c r="O50" s="48">
        <v>0</v>
      </c>
      <c r="P50" s="48">
        <v>0</v>
      </c>
      <c r="Q50" s="58" t="s">
        <v>112</v>
      </c>
      <c r="R50" s="58"/>
      <c r="S50" s="58"/>
      <c r="T50" s="58"/>
      <c r="U50" s="58"/>
      <c r="V50" s="58"/>
      <c r="W50" s="58"/>
      <c r="X50" s="58" t="s">
        <v>112</v>
      </c>
      <c r="Y50" s="58"/>
      <c r="Z50" s="58"/>
      <c r="AA50" s="58"/>
      <c r="AB50" s="58"/>
      <c r="AC50" s="58" t="s">
        <v>112</v>
      </c>
      <c r="AD50" s="58"/>
      <c r="AE50" s="58"/>
      <c r="AF50" s="58"/>
      <c r="AG50" s="58"/>
      <c r="AH50" s="58"/>
      <c r="AI50" s="58"/>
    </row>
    <row r="51" spans="1:35" x14ac:dyDescent="0.35">
      <c r="A51" s="17" t="s">
        <v>46</v>
      </c>
      <c r="B51" s="17" t="s">
        <v>1222</v>
      </c>
      <c r="C51" s="28" t="s">
        <v>1306</v>
      </c>
      <c r="D51" s="17" t="s">
        <v>1316</v>
      </c>
      <c r="E51" s="17" t="s">
        <v>1317</v>
      </c>
      <c r="F51" s="20">
        <v>254.87</v>
      </c>
      <c r="G51" s="20">
        <v>85</v>
      </c>
      <c r="H51" s="19">
        <v>351</v>
      </c>
      <c r="I51" s="20">
        <v>181</v>
      </c>
      <c r="J51" s="20">
        <v>170</v>
      </c>
      <c r="K51" s="20">
        <v>0</v>
      </c>
      <c r="L51" s="57">
        <f t="shared" ref="L51:L62" si="6">K51/H51</f>
        <v>0</v>
      </c>
      <c r="M51" s="20">
        <v>277</v>
      </c>
      <c r="N51" s="57">
        <f t="shared" ref="N51:N62" si="7">M51/H51</f>
        <v>0.78917378917378922</v>
      </c>
      <c r="O51" s="46">
        <v>0</v>
      </c>
      <c r="P51" s="46">
        <v>58.55</v>
      </c>
      <c r="Q51" s="58" t="s">
        <v>562</v>
      </c>
      <c r="R51" s="58"/>
      <c r="S51" s="58"/>
      <c r="T51" s="58"/>
      <c r="U51" s="58"/>
      <c r="V51" s="58"/>
      <c r="W51" s="58"/>
      <c r="X51" s="58" t="s">
        <v>562</v>
      </c>
      <c r="Y51" s="58"/>
      <c r="Z51" s="58"/>
      <c r="AA51" s="58"/>
      <c r="AB51" s="58"/>
      <c r="AC51" s="58"/>
      <c r="AD51" s="58"/>
      <c r="AE51" s="58" t="s">
        <v>562</v>
      </c>
      <c r="AF51" s="58"/>
      <c r="AG51" s="58"/>
      <c r="AH51" s="58"/>
      <c r="AI51" s="58"/>
    </row>
    <row r="52" spans="1:35" x14ac:dyDescent="0.35">
      <c r="A52" s="17" t="s">
        <v>46</v>
      </c>
      <c r="B52" s="17" t="s">
        <v>1222</v>
      </c>
      <c r="C52" s="28" t="s">
        <v>1306</v>
      </c>
      <c r="D52" s="17" t="s">
        <v>1318</v>
      </c>
      <c r="E52" s="17" t="s">
        <v>1319</v>
      </c>
      <c r="F52" s="20">
        <v>510.91</v>
      </c>
      <c r="G52" s="20">
        <v>95</v>
      </c>
      <c r="H52" s="19">
        <v>457</v>
      </c>
      <c r="I52" s="20">
        <v>231</v>
      </c>
      <c r="J52" s="20">
        <v>226</v>
      </c>
      <c r="K52" s="20">
        <v>111</v>
      </c>
      <c r="L52" s="57">
        <f t="shared" si="6"/>
        <v>0.24288840262582057</v>
      </c>
      <c r="M52" s="20">
        <v>189</v>
      </c>
      <c r="N52" s="57">
        <f t="shared" si="7"/>
        <v>0.41356673960612689</v>
      </c>
      <c r="O52" s="46">
        <v>0</v>
      </c>
      <c r="P52" s="46">
        <v>192.84</v>
      </c>
      <c r="Q52" s="58" t="s">
        <v>562</v>
      </c>
      <c r="R52" s="58"/>
      <c r="S52" s="58"/>
      <c r="T52" s="58"/>
      <c r="U52" s="58"/>
      <c r="V52" s="58"/>
      <c r="W52" s="58"/>
      <c r="X52" s="58" t="s">
        <v>562</v>
      </c>
      <c r="Y52" s="58"/>
      <c r="Z52" s="58"/>
      <c r="AA52" s="58"/>
      <c r="AB52" s="58"/>
      <c r="AC52" s="58"/>
      <c r="AD52" s="58"/>
      <c r="AE52" s="58" t="s">
        <v>562</v>
      </c>
      <c r="AF52" s="58"/>
      <c r="AG52" s="58"/>
      <c r="AH52" s="58"/>
      <c r="AI52" s="58"/>
    </row>
    <row r="53" spans="1:35" x14ac:dyDescent="0.35">
      <c r="A53" s="17" t="s">
        <v>46</v>
      </c>
      <c r="B53" s="17" t="s">
        <v>1222</v>
      </c>
      <c r="C53" s="28" t="s">
        <v>1306</v>
      </c>
      <c r="D53" s="17" t="s">
        <v>86</v>
      </c>
      <c r="E53" s="17" t="s">
        <v>1320</v>
      </c>
      <c r="F53" s="20">
        <v>1778.18</v>
      </c>
      <c r="G53" s="20">
        <v>192</v>
      </c>
      <c r="H53" s="19">
        <v>768</v>
      </c>
      <c r="I53" s="20">
        <v>391</v>
      </c>
      <c r="J53" s="20">
        <v>377</v>
      </c>
      <c r="K53" s="20">
        <v>26</v>
      </c>
      <c r="L53" s="57">
        <f t="shared" si="6"/>
        <v>3.3854166666666664E-2</v>
      </c>
      <c r="M53" s="20">
        <v>184</v>
      </c>
      <c r="N53" s="57">
        <f t="shared" si="7"/>
        <v>0.23958333333333334</v>
      </c>
      <c r="O53" s="46">
        <v>30.49</v>
      </c>
      <c r="P53" s="46">
        <v>1348.64</v>
      </c>
      <c r="Q53" s="58" t="s">
        <v>562</v>
      </c>
      <c r="R53" s="58"/>
      <c r="S53" s="58"/>
      <c r="T53" s="58"/>
      <c r="U53" s="58"/>
      <c r="V53" s="58"/>
      <c r="W53" s="58"/>
      <c r="X53" s="58" t="s">
        <v>562</v>
      </c>
      <c r="Y53" s="58"/>
      <c r="Z53" s="58"/>
      <c r="AA53" s="58"/>
      <c r="AB53" s="58"/>
      <c r="AC53" s="58"/>
      <c r="AD53" s="58"/>
      <c r="AE53" s="58" t="s">
        <v>562</v>
      </c>
      <c r="AF53" s="58"/>
      <c r="AG53" s="58"/>
      <c r="AH53" s="58"/>
      <c r="AI53" s="58"/>
    </row>
    <row r="54" spans="1:35" x14ac:dyDescent="0.35">
      <c r="A54" s="17" t="s">
        <v>46</v>
      </c>
      <c r="B54" s="17" t="s">
        <v>1222</v>
      </c>
      <c r="C54" s="28" t="s">
        <v>1306</v>
      </c>
      <c r="D54" s="17" t="s">
        <v>1321</v>
      </c>
      <c r="E54" s="17" t="s">
        <v>1322</v>
      </c>
      <c r="F54" s="20">
        <v>447.12</v>
      </c>
      <c r="G54" s="20">
        <v>70</v>
      </c>
      <c r="H54" s="19">
        <v>320</v>
      </c>
      <c r="I54" s="20">
        <v>166</v>
      </c>
      <c r="J54" s="20">
        <v>154</v>
      </c>
      <c r="K54" s="20">
        <v>0</v>
      </c>
      <c r="L54" s="57">
        <f t="shared" si="6"/>
        <v>0</v>
      </c>
      <c r="M54" s="20">
        <v>319</v>
      </c>
      <c r="N54" s="57">
        <f t="shared" si="7"/>
        <v>0.99687499999999996</v>
      </c>
      <c r="O54" s="46">
        <v>6.91</v>
      </c>
      <c r="P54" s="46">
        <v>295.14</v>
      </c>
      <c r="Q54" s="58" t="s">
        <v>562</v>
      </c>
      <c r="R54" s="58"/>
      <c r="S54" s="58"/>
      <c r="T54" s="58"/>
      <c r="U54" s="58"/>
      <c r="V54" s="58"/>
      <c r="W54" s="58"/>
      <c r="X54" s="58" t="s">
        <v>562</v>
      </c>
      <c r="Y54" s="58"/>
      <c r="Z54" s="58"/>
      <c r="AA54" s="58"/>
      <c r="AB54" s="58"/>
      <c r="AC54" s="58"/>
      <c r="AD54" s="58"/>
      <c r="AE54" s="58" t="s">
        <v>562</v>
      </c>
      <c r="AF54" s="58"/>
      <c r="AG54" s="58"/>
      <c r="AH54" s="58"/>
      <c r="AI54" s="58"/>
    </row>
    <row r="55" spans="1:35" x14ac:dyDescent="0.35">
      <c r="A55" s="17" t="s">
        <v>46</v>
      </c>
      <c r="B55" s="17" t="s">
        <v>1222</v>
      </c>
      <c r="C55" s="28" t="s">
        <v>1323</v>
      </c>
      <c r="D55" s="17" t="s">
        <v>118</v>
      </c>
      <c r="E55" s="17" t="s">
        <v>1324</v>
      </c>
      <c r="F55" s="20">
        <v>308.17</v>
      </c>
      <c r="G55" s="20">
        <v>73</v>
      </c>
      <c r="H55" s="19">
        <v>354</v>
      </c>
      <c r="I55" s="20">
        <v>177</v>
      </c>
      <c r="J55" s="20">
        <v>177</v>
      </c>
      <c r="K55" s="20">
        <v>135</v>
      </c>
      <c r="L55" s="57">
        <f t="shared" si="6"/>
        <v>0.38135593220338981</v>
      </c>
      <c r="M55" s="20">
        <v>0</v>
      </c>
      <c r="N55" s="57">
        <f t="shared" si="7"/>
        <v>0</v>
      </c>
      <c r="O55" s="46">
        <v>0</v>
      </c>
      <c r="P55" s="46">
        <v>155.47</v>
      </c>
      <c r="Q55" s="58" t="s">
        <v>562</v>
      </c>
      <c r="R55" s="58"/>
      <c r="S55" s="58"/>
      <c r="T55" s="58"/>
      <c r="U55" s="58"/>
      <c r="V55" s="58"/>
      <c r="W55" s="58"/>
      <c r="X55" s="58" t="s">
        <v>562</v>
      </c>
      <c r="Y55" s="58"/>
      <c r="Z55" s="58"/>
      <c r="AA55" s="58"/>
      <c r="AB55" s="58"/>
      <c r="AC55" s="58"/>
      <c r="AD55" s="58"/>
      <c r="AE55" s="58" t="s">
        <v>562</v>
      </c>
      <c r="AF55" s="58"/>
      <c r="AG55" s="58"/>
      <c r="AH55" s="58"/>
      <c r="AI55" s="58"/>
    </row>
    <row r="56" spans="1:35" x14ac:dyDescent="0.35">
      <c r="A56" s="17" t="s">
        <v>46</v>
      </c>
      <c r="B56" s="17" t="s">
        <v>1222</v>
      </c>
      <c r="C56" s="28" t="s">
        <v>1323</v>
      </c>
      <c r="D56" s="17" t="s">
        <v>1325</v>
      </c>
      <c r="E56" s="17" t="s">
        <v>1326</v>
      </c>
      <c r="F56" s="20">
        <v>572.4</v>
      </c>
      <c r="G56" s="20">
        <v>314</v>
      </c>
      <c r="H56" s="19">
        <v>1361</v>
      </c>
      <c r="I56" s="20">
        <v>697</v>
      </c>
      <c r="J56" s="20">
        <v>664</v>
      </c>
      <c r="K56" s="20">
        <v>61</v>
      </c>
      <c r="L56" s="57">
        <f t="shared" si="6"/>
        <v>4.4819985304922851E-2</v>
      </c>
      <c r="M56" s="20">
        <v>944</v>
      </c>
      <c r="N56" s="57">
        <f t="shared" si="7"/>
        <v>0.69360764144011755</v>
      </c>
      <c r="O56" s="46">
        <v>0</v>
      </c>
      <c r="P56" s="46">
        <v>353.54</v>
      </c>
      <c r="Q56" s="58" t="s">
        <v>562</v>
      </c>
      <c r="R56" s="58"/>
      <c r="S56" s="58"/>
      <c r="T56" s="58"/>
      <c r="U56" s="58"/>
      <c r="V56" s="58"/>
      <c r="W56" s="58"/>
      <c r="X56" s="58" t="s">
        <v>562</v>
      </c>
      <c r="Y56" s="58"/>
      <c r="Z56" s="58"/>
      <c r="AA56" s="58"/>
      <c r="AB56" s="58"/>
      <c r="AC56" s="58"/>
      <c r="AD56" s="58"/>
      <c r="AE56" s="58" t="s">
        <v>562</v>
      </c>
      <c r="AF56" s="58"/>
      <c r="AG56" s="58"/>
      <c r="AH56" s="58"/>
      <c r="AI56" s="58"/>
    </row>
    <row r="57" spans="1:35" x14ac:dyDescent="0.35">
      <c r="A57" s="17" t="s">
        <v>46</v>
      </c>
      <c r="B57" s="17" t="s">
        <v>1222</v>
      </c>
      <c r="C57" s="28" t="s">
        <v>1323</v>
      </c>
      <c r="D57" s="17" t="s">
        <v>1327</v>
      </c>
      <c r="E57" s="17" t="s">
        <v>1328</v>
      </c>
      <c r="F57" s="20">
        <v>592.15</v>
      </c>
      <c r="G57" s="20">
        <v>63</v>
      </c>
      <c r="H57" s="19">
        <v>317</v>
      </c>
      <c r="I57" s="20">
        <v>163</v>
      </c>
      <c r="J57" s="20">
        <v>154</v>
      </c>
      <c r="K57" s="20">
        <v>1</v>
      </c>
      <c r="L57" s="57">
        <f t="shared" si="6"/>
        <v>3.1545741324921135E-3</v>
      </c>
      <c r="M57" s="20">
        <v>7</v>
      </c>
      <c r="N57" s="57">
        <f t="shared" si="7"/>
        <v>2.2082018927444796E-2</v>
      </c>
      <c r="O57" s="46">
        <v>0</v>
      </c>
      <c r="P57" s="46">
        <v>504.52</v>
      </c>
      <c r="Q57" s="58" t="s">
        <v>562</v>
      </c>
      <c r="R57" s="58"/>
      <c r="S57" s="58"/>
      <c r="T57" s="58"/>
      <c r="U57" s="58"/>
      <c r="V57" s="58"/>
      <c r="W57" s="58"/>
      <c r="X57" s="58" t="s">
        <v>562</v>
      </c>
      <c r="Y57" s="58"/>
      <c r="Z57" s="58"/>
      <c r="AA57" s="58"/>
      <c r="AB57" s="58"/>
      <c r="AC57" s="58"/>
      <c r="AD57" s="58"/>
      <c r="AE57" s="58" t="s">
        <v>562</v>
      </c>
      <c r="AF57" s="58"/>
      <c r="AG57" s="58"/>
      <c r="AH57" s="58"/>
      <c r="AI57" s="58"/>
    </row>
    <row r="58" spans="1:35" x14ac:dyDescent="0.35">
      <c r="A58" s="17" t="s">
        <v>46</v>
      </c>
      <c r="B58" s="17" t="s">
        <v>1222</v>
      </c>
      <c r="C58" s="28" t="s">
        <v>1245</v>
      </c>
      <c r="D58" s="17" t="s">
        <v>1329</v>
      </c>
      <c r="E58" s="17" t="s">
        <v>1330</v>
      </c>
      <c r="F58" s="20">
        <v>6215.84</v>
      </c>
      <c r="G58" s="20">
        <v>268</v>
      </c>
      <c r="H58" s="19">
        <v>1300</v>
      </c>
      <c r="I58" s="20">
        <v>688</v>
      </c>
      <c r="J58" s="20">
        <v>612</v>
      </c>
      <c r="K58" s="20">
        <v>12</v>
      </c>
      <c r="L58" s="57">
        <f t="shared" si="6"/>
        <v>9.2307692307692316E-3</v>
      </c>
      <c r="M58" s="20">
        <v>1140</v>
      </c>
      <c r="N58" s="57">
        <f t="shared" si="7"/>
        <v>0.87692307692307692</v>
      </c>
      <c r="O58" s="46">
        <v>40.03</v>
      </c>
      <c r="P58" s="46">
        <v>5176.72</v>
      </c>
      <c r="Q58" s="58" t="s">
        <v>562</v>
      </c>
      <c r="R58" s="58"/>
      <c r="S58" s="58"/>
      <c r="T58" s="58"/>
      <c r="U58" s="58"/>
      <c r="V58" s="58"/>
      <c r="W58" s="58"/>
      <c r="X58" s="58" t="s">
        <v>562</v>
      </c>
      <c r="Y58" s="58"/>
      <c r="Z58" s="58"/>
      <c r="AA58" s="58"/>
      <c r="AB58" s="58"/>
      <c r="AC58" s="58"/>
      <c r="AD58" s="58"/>
      <c r="AE58" s="58" t="s">
        <v>562</v>
      </c>
      <c r="AF58" s="58"/>
      <c r="AG58" s="58"/>
      <c r="AH58" s="58"/>
      <c r="AI58" s="58"/>
    </row>
    <row r="59" spans="1:35" x14ac:dyDescent="0.35">
      <c r="A59" s="17" t="s">
        <v>46</v>
      </c>
      <c r="B59" s="17" t="s">
        <v>1222</v>
      </c>
      <c r="C59" s="28" t="s">
        <v>1331</v>
      </c>
      <c r="D59" s="17" t="s">
        <v>1332</v>
      </c>
      <c r="E59" s="17" t="s">
        <v>1333</v>
      </c>
      <c r="F59" s="20">
        <v>1633.77</v>
      </c>
      <c r="G59" s="20">
        <v>113</v>
      </c>
      <c r="H59" s="19">
        <v>526</v>
      </c>
      <c r="I59" s="20">
        <v>287</v>
      </c>
      <c r="J59" s="20">
        <v>239</v>
      </c>
      <c r="K59" s="20">
        <v>9</v>
      </c>
      <c r="L59" s="57">
        <f t="shared" si="6"/>
        <v>1.7110266159695818E-2</v>
      </c>
      <c r="M59" s="20">
        <v>499</v>
      </c>
      <c r="N59" s="57">
        <f t="shared" si="7"/>
        <v>0.9486692015209125</v>
      </c>
      <c r="O59" s="46">
        <v>27.53</v>
      </c>
      <c r="P59" s="46">
        <v>1125.5</v>
      </c>
      <c r="Q59" s="58" t="s">
        <v>562</v>
      </c>
      <c r="R59" s="58"/>
      <c r="S59" s="58"/>
      <c r="T59" s="58"/>
      <c r="U59" s="58"/>
      <c r="V59" s="58"/>
      <c r="W59" s="58"/>
      <c r="X59" s="58" t="s">
        <v>562</v>
      </c>
      <c r="Y59" s="58"/>
      <c r="Z59" s="58"/>
      <c r="AA59" s="58"/>
      <c r="AB59" s="58"/>
      <c r="AC59" s="58"/>
      <c r="AD59" s="58"/>
      <c r="AE59" s="58" t="s">
        <v>562</v>
      </c>
      <c r="AF59" s="58"/>
      <c r="AG59" s="58"/>
      <c r="AH59" s="58"/>
      <c r="AI59" s="58"/>
    </row>
    <row r="60" spans="1:35" x14ac:dyDescent="0.35">
      <c r="A60" s="17" t="s">
        <v>46</v>
      </c>
      <c r="B60" s="17" t="s">
        <v>1222</v>
      </c>
      <c r="C60" s="28" t="s">
        <v>1331</v>
      </c>
      <c r="D60" s="17" t="s">
        <v>1334</v>
      </c>
      <c r="E60" s="17" t="s">
        <v>1335</v>
      </c>
      <c r="F60" s="20">
        <v>1240.8599999999999</v>
      </c>
      <c r="G60" s="20">
        <v>204</v>
      </c>
      <c r="H60" s="19">
        <v>946</v>
      </c>
      <c r="I60" s="20">
        <v>486</v>
      </c>
      <c r="J60" s="20">
        <v>460</v>
      </c>
      <c r="K60" s="20">
        <v>0</v>
      </c>
      <c r="L60" s="57">
        <f t="shared" si="6"/>
        <v>0</v>
      </c>
      <c r="M60" s="20">
        <v>457</v>
      </c>
      <c r="N60" s="57">
        <f t="shared" si="7"/>
        <v>0.48308668076109934</v>
      </c>
      <c r="O60" s="46">
        <v>73.89</v>
      </c>
      <c r="P60" s="46">
        <v>119.07</v>
      </c>
      <c r="Q60" s="58" t="s">
        <v>51</v>
      </c>
      <c r="R60" s="58">
        <v>2020</v>
      </c>
      <c r="S60" s="58"/>
      <c r="T60" s="58"/>
      <c r="U60" s="58"/>
      <c r="V60" s="58"/>
      <c r="W60" s="58"/>
      <c r="X60" s="58" t="s">
        <v>51</v>
      </c>
      <c r="Y60" s="58"/>
      <c r="Z60" s="58"/>
      <c r="AA60" s="58"/>
      <c r="AB60" s="58"/>
      <c r="AC60" s="58" t="s">
        <v>51</v>
      </c>
      <c r="AD60" s="58"/>
      <c r="AE60" s="58"/>
      <c r="AF60" s="58"/>
      <c r="AG60" s="58"/>
      <c r="AH60" s="58"/>
      <c r="AI60" s="58"/>
    </row>
    <row r="61" spans="1:35" x14ac:dyDescent="0.35">
      <c r="A61" s="17" t="s">
        <v>46</v>
      </c>
      <c r="B61" s="17" t="s">
        <v>1222</v>
      </c>
      <c r="C61" s="28" t="s">
        <v>1331</v>
      </c>
      <c r="D61" s="17" t="s">
        <v>1336</v>
      </c>
      <c r="E61" s="17" t="s">
        <v>1337</v>
      </c>
      <c r="F61" s="20">
        <v>91.14</v>
      </c>
      <c r="G61" s="20">
        <v>23</v>
      </c>
      <c r="H61" s="19">
        <v>116</v>
      </c>
      <c r="I61" s="20">
        <v>61</v>
      </c>
      <c r="J61" s="20">
        <v>55</v>
      </c>
      <c r="K61" s="20">
        <v>0</v>
      </c>
      <c r="L61" s="57">
        <f t="shared" si="6"/>
        <v>0</v>
      </c>
      <c r="M61" s="20">
        <v>116</v>
      </c>
      <c r="N61" s="57">
        <f t="shared" si="7"/>
        <v>1</v>
      </c>
      <c r="O61" s="46">
        <v>17</v>
      </c>
      <c r="P61" s="46">
        <v>0</v>
      </c>
      <c r="Q61" s="58" t="s">
        <v>51</v>
      </c>
      <c r="R61" s="58">
        <v>2021</v>
      </c>
      <c r="S61" s="58"/>
      <c r="T61" s="58"/>
      <c r="U61" s="58"/>
      <c r="V61" s="58"/>
      <c r="W61" s="58"/>
      <c r="X61" s="58" t="s">
        <v>51</v>
      </c>
      <c r="Y61" s="58"/>
      <c r="Z61" s="58"/>
      <c r="AA61" s="58"/>
      <c r="AB61" s="58"/>
      <c r="AC61" s="58" t="s">
        <v>51</v>
      </c>
      <c r="AD61" s="58"/>
      <c r="AE61" s="58"/>
      <c r="AF61" s="58"/>
      <c r="AG61" s="58"/>
      <c r="AH61" s="58"/>
      <c r="AI61" s="58"/>
    </row>
    <row r="62" spans="1:35" x14ac:dyDescent="0.35">
      <c r="A62" s="17" t="s">
        <v>46</v>
      </c>
      <c r="B62" s="17" t="s">
        <v>1222</v>
      </c>
      <c r="C62" s="28" t="s">
        <v>1331</v>
      </c>
      <c r="D62" s="17" t="s">
        <v>123</v>
      </c>
      <c r="E62" s="17" t="s">
        <v>1338</v>
      </c>
      <c r="F62" s="20">
        <v>352.62</v>
      </c>
      <c r="G62" s="20">
        <v>186</v>
      </c>
      <c r="H62" s="19">
        <v>859</v>
      </c>
      <c r="I62" s="20">
        <v>459</v>
      </c>
      <c r="J62" s="20">
        <v>400</v>
      </c>
      <c r="K62" s="20">
        <v>116</v>
      </c>
      <c r="L62" s="57">
        <f t="shared" si="6"/>
        <v>0.1350407450523865</v>
      </c>
      <c r="M62" s="20">
        <v>144</v>
      </c>
      <c r="N62" s="57">
        <f t="shared" si="7"/>
        <v>0.16763678696158324</v>
      </c>
      <c r="O62" s="46">
        <v>64.680000000000007</v>
      </c>
      <c r="P62" s="46">
        <v>0</v>
      </c>
      <c r="Q62" s="58" t="s">
        <v>51</v>
      </c>
      <c r="R62" s="58">
        <v>2020</v>
      </c>
      <c r="S62" s="58"/>
      <c r="T62" s="58"/>
      <c r="U62" s="58"/>
      <c r="V62" s="58"/>
      <c r="W62" s="58"/>
      <c r="X62" s="58" t="s">
        <v>51</v>
      </c>
      <c r="Y62" s="58"/>
      <c r="Z62" s="58"/>
      <c r="AA62" s="58"/>
      <c r="AB62" s="58"/>
      <c r="AC62" s="58" t="s">
        <v>51</v>
      </c>
      <c r="AD62" s="58"/>
      <c r="AE62" s="58"/>
      <c r="AF62" s="58"/>
      <c r="AG62" s="58"/>
      <c r="AH62" s="58"/>
      <c r="AI62" s="58"/>
    </row>
    <row r="63" spans="1:35" x14ac:dyDescent="0.35">
      <c r="A63" s="17" t="s">
        <v>46</v>
      </c>
      <c r="B63" s="17" t="s">
        <v>1222</v>
      </c>
      <c r="C63" s="28" t="s">
        <v>1331</v>
      </c>
      <c r="D63" s="17" t="s">
        <v>465</v>
      </c>
      <c r="E63" s="17" t="s">
        <v>1339</v>
      </c>
      <c r="F63" s="28">
        <v>53.14</v>
      </c>
      <c r="G63" s="47"/>
      <c r="H63" s="19">
        <v>0</v>
      </c>
      <c r="I63" s="47"/>
      <c r="J63" s="47"/>
      <c r="K63" s="47"/>
      <c r="L63" s="57"/>
      <c r="M63" s="47"/>
      <c r="N63" s="57"/>
      <c r="O63" s="48">
        <v>0</v>
      </c>
      <c r="P63" s="48">
        <v>0</v>
      </c>
      <c r="Q63" s="58" t="s">
        <v>112</v>
      </c>
      <c r="R63" s="58"/>
      <c r="S63" s="58"/>
      <c r="T63" s="58"/>
      <c r="U63" s="58"/>
      <c r="V63" s="58"/>
      <c r="W63" s="58"/>
      <c r="X63" s="58" t="s">
        <v>112</v>
      </c>
      <c r="Y63" s="58"/>
      <c r="Z63" s="58"/>
      <c r="AA63" s="58"/>
      <c r="AB63" s="58"/>
      <c r="AC63" s="58" t="s">
        <v>112</v>
      </c>
      <c r="AD63" s="58"/>
      <c r="AE63" s="58"/>
      <c r="AF63" s="58"/>
      <c r="AG63" s="58"/>
      <c r="AH63" s="58"/>
      <c r="AI63" s="58"/>
    </row>
    <row r="64" spans="1:35" x14ac:dyDescent="0.35">
      <c r="A64" s="17" t="s">
        <v>46</v>
      </c>
      <c r="B64" s="17" t="s">
        <v>1222</v>
      </c>
      <c r="C64" s="28" t="s">
        <v>1331</v>
      </c>
      <c r="D64" s="17" t="s">
        <v>1340</v>
      </c>
      <c r="E64" s="17" t="s">
        <v>1341</v>
      </c>
      <c r="F64" s="20">
        <v>152.02000000000001</v>
      </c>
      <c r="G64" s="20">
        <v>60</v>
      </c>
      <c r="H64" s="19">
        <v>322</v>
      </c>
      <c r="I64" s="20">
        <v>164</v>
      </c>
      <c r="J64" s="20">
        <v>158</v>
      </c>
      <c r="K64" s="20">
        <v>5</v>
      </c>
      <c r="L64" s="57">
        <f t="shared" ref="L64:L81" si="8">K64/H64</f>
        <v>1.5527950310559006E-2</v>
      </c>
      <c r="M64" s="20">
        <v>3</v>
      </c>
      <c r="N64" s="57">
        <f t="shared" ref="N64:N81" si="9">M64/H64</f>
        <v>9.316770186335404E-3</v>
      </c>
      <c r="O64" s="46">
        <v>0</v>
      </c>
      <c r="P64" s="46">
        <v>0</v>
      </c>
      <c r="Q64" s="58" t="s">
        <v>562</v>
      </c>
      <c r="R64" s="58"/>
      <c r="S64" s="58"/>
      <c r="T64" s="58"/>
      <c r="U64" s="58"/>
      <c r="V64" s="58"/>
      <c r="W64" s="58"/>
      <c r="X64" s="58" t="s">
        <v>562</v>
      </c>
      <c r="Y64" s="58"/>
      <c r="Z64" s="58"/>
      <c r="AA64" s="58"/>
      <c r="AB64" s="58"/>
      <c r="AC64" s="58"/>
      <c r="AD64" s="58"/>
      <c r="AE64" s="58" t="s">
        <v>562</v>
      </c>
      <c r="AF64" s="58"/>
      <c r="AG64" s="58"/>
      <c r="AH64" s="58"/>
      <c r="AI64" s="58"/>
    </row>
    <row r="65" spans="1:35" x14ac:dyDescent="0.35">
      <c r="A65" s="17" t="s">
        <v>46</v>
      </c>
      <c r="B65" s="17" t="s">
        <v>1222</v>
      </c>
      <c r="C65" s="28" t="s">
        <v>1331</v>
      </c>
      <c r="D65" s="17" t="s">
        <v>180</v>
      </c>
      <c r="E65" s="17" t="s">
        <v>1342</v>
      </c>
      <c r="F65" s="20">
        <v>308.55</v>
      </c>
      <c r="G65" s="20">
        <v>51</v>
      </c>
      <c r="H65" s="19">
        <v>232</v>
      </c>
      <c r="I65" s="20">
        <v>120</v>
      </c>
      <c r="J65" s="20">
        <v>112</v>
      </c>
      <c r="K65" s="20">
        <v>0</v>
      </c>
      <c r="L65" s="57">
        <f t="shared" si="8"/>
        <v>0</v>
      </c>
      <c r="M65" s="20">
        <v>232</v>
      </c>
      <c r="N65" s="57">
        <f t="shared" si="9"/>
        <v>1</v>
      </c>
      <c r="O65" s="46">
        <v>17.93</v>
      </c>
      <c r="P65" s="46">
        <v>80.319999999999993</v>
      </c>
      <c r="Q65" s="58" t="s">
        <v>51</v>
      </c>
      <c r="R65" s="58">
        <v>2019</v>
      </c>
      <c r="S65" s="58"/>
      <c r="T65" s="58"/>
      <c r="U65" s="58"/>
      <c r="V65" s="58"/>
      <c r="W65" s="58"/>
      <c r="X65" s="58" t="s">
        <v>51</v>
      </c>
      <c r="Y65" s="58"/>
      <c r="Z65" s="58"/>
      <c r="AA65" s="58"/>
      <c r="AB65" s="58"/>
      <c r="AC65" s="58" t="s">
        <v>51</v>
      </c>
      <c r="AD65" s="58"/>
      <c r="AE65" s="58"/>
      <c r="AF65" s="58"/>
      <c r="AG65" s="58"/>
      <c r="AH65" s="58"/>
      <c r="AI65" s="58"/>
    </row>
    <row r="66" spans="1:35" x14ac:dyDescent="0.35">
      <c r="A66" s="17" t="s">
        <v>46</v>
      </c>
      <c r="B66" s="17" t="s">
        <v>1222</v>
      </c>
      <c r="C66" s="28" t="s">
        <v>1331</v>
      </c>
      <c r="D66" s="17" t="s">
        <v>1343</v>
      </c>
      <c r="E66" s="17" t="s">
        <v>1344</v>
      </c>
      <c r="F66" s="20">
        <v>279.52999999999997</v>
      </c>
      <c r="G66" s="20">
        <v>80</v>
      </c>
      <c r="H66" s="19">
        <v>418</v>
      </c>
      <c r="I66" s="20">
        <v>213</v>
      </c>
      <c r="J66" s="20">
        <v>205</v>
      </c>
      <c r="K66" s="20">
        <v>52</v>
      </c>
      <c r="L66" s="57">
        <f t="shared" si="8"/>
        <v>0.12440191387559808</v>
      </c>
      <c r="M66" s="20">
        <v>24</v>
      </c>
      <c r="N66" s="57">
        <f t="shared" si="9"/>
        <v>5.7416267942583733E-2</v>
      </c>
      <c r="O66" s="46">
        <v>25.47</v>
      </c>
      <c r="P66" s="46">
        <v>49.43</v>
      </c>
      <c r="Q66" s="58" t="s">
        <v>562</v>
      </c>
      <c r="R66" s="58"/>
      <c r="S66" s="58"/>
      <c r="T66" s="58"/>
      <c r="U66" s="58"/>
      <c r="V66" s="58"/>
      <c r="W66" s="58"/>
      <c r="X66" s="58" t="s">
        <v>562</v>
      </c>
      <c r="Y66" s="58"/>
      <c r="Z66" s="58"/>
      <c r="AA66" s="58"/>
      <c r="AB66" s="58"/>
      <c r="AC66" s="58"/>
      <c r="AD66" s="58"/>
      <c r="AE66" s="58" t="s">
        <v>562</v>
      </c>
      <c r="AF66" s="58"/>
      <c r="AG66" s="58"/>
      <c r="AH66" s="58"/>
      <c r="AI66" s="58"/>
    </row>
    <row r="67" spans="1:35" x14ac:dyDescent="0.35">
      <c r="A67" s="17" t="s">
        <v>46</v>
      </c>
      <c r="B67" s="17" t="s">
        <v>1222</v>
      </c>
      <c r="C67" s="28" t="s">
        <v>1331</v>
      </c>
      <c r="D67" s="17" t="s">
        <v>364</v>
      </c>
      <c r="E67" s="17" t="s">
        <v>1345</v>
      </c>
      <c r="F67" s="20">
        <v>235.77</v>
      </c>
      <c r="G67" s="20">
        <v>93</v>
      </c>
      <c r="H67" s="19">
        <v>477</v>
      </c>
      <c r="I67" s="20">
        <v>250</v>
      </c>
      <c r="J67" s="20">
        <v>227</v>
      </c>
      <c r="K67" s="20">
        <v>157</v>
      </c>
      <c r="L67" s="57">
        <f t="shared" si="8"/>
        <v>0.32914046121593293</v>
      </c>
      <c r="M67" s="20">
        <v>1</v>
      </c>
      <c r="N67" s="57">
        <f t="shared" si="9"/>
        <v>2.0964360587002098E-3</v>
      </c>
      <c r="O67" s="46">
        <v>0</v>
      </c>
      <c r="P67" s="46">
        <v>0</v>
      </c>
      <c r="Q67" s="58" t="s">
        <v>562</v>
      </c>
      <c r="R67" s="58"/>
      <c r="S67" s="58"/>
      <c r="T67" s="58"/>
      <c r="U67" s="58"/>
      <c r="V67" s="58"/>
      <c r="W67" s="58"/>
      <c r="X67" s="58" t="s">
        <v>562</v>
      </c>
      <c r="Y67" s="58"/>
      <c r="Z67" s="58"/>
      <c r="AA67" s="58"/>
      <c r="AB67" s="58"/>
      <c r="AC67" s="58"/>
      <c r="AD67" s="58"/>
      <c r="AE67" s="58" t="s">
        <v>562</v>
      </c>
      <c r="AF67" s="58"/>
      <c r="AG67" s="58"/>
      <c r="AH67" s="58"/>
      <c r="AI67" s="58"/>
    </row>
    <row r="68" spans="1:35" x14ac:dyDescent="0.35">
      <c r="A68" s="17" t="s">
        <v>46</v>
      </c>
      <c r="B68" s="17" t="s">
        <v>1222</v>
      </c>
      <c r="C68" s="28" t="s">
        <v>1346</v>
      </c>
      <c r="D68" s="17" t="s">
        <v>1347</v>
      </c>
      <c r="E68" s="17" t="s">
        <v>1348</v>
      </c>
      <c r="F68" s="20">
        <v>681.28</v>
      </c>
      <c r="G68" s="20">
        <v>65</v>
      </c>
      <c r="H68" s="19">
        <v>255</v>
      </c>
      <c r="I68" s="20">
        <v>136</v>
      </c>
      <c r="J68" s="20">
        <v>119</v>
      </c>
      <c r="K68" s="20">
        <v>0</v>
      </c>
      <c r="L68" s="57">
        <f t="shared" si="8"/>
        <v>0</v>
      </c>
      <c r="M68" s="20">
        <v>199</v>
      </c>
      <c r="N68" s="57">
        <f t="shared" si="9"/>
        <v>0.7803921568627451</v>
      </c>
      <c r="O68" s="46">
        <v>107.06</v>
      </c>
      <c r="P68" s="46">
        <v>90.03</v>
      </c>
      <c r="Q68" s="58" t="s">
        <v>562</v>
      </c>
      <c r="R68" s="58"/>
      <c r="S68" s="58"/>
      <c r="T68" s="58"/>
      <c r="U68" s="58"/>
      <c r="V68" s="58"/>
      <c r="W68" s="58"/>
      <c r="X68" s="58" t="s">
        <v>562</v>
      </c>
      <c r="Y68" s="58"/>
      <c r="Z68" s="58"/>
      <c r="AA68" s="58"/>
      <c r="AB68" s="58"/>
      <c r="AC68" s="58"/>
      <c r="AD68" s="58"/>
      <c r="AE68" s="58" t="s">
        <v>562</v>
      </c>
      <c r="AF68" s="58"/>
      <c r="AG68" s="58"/>
      <c r="AH68" s="58"/>
      <c r="AI68" s="58"/>
    </row>
    <row r="69" spans="1:35" x14ac:dyDescent="0.35">
      <c r="A69" s="17" t="s">
        <v>46</v>
      </c>
      <c r="B69" s="17" t="s">
        <v>1222</v>
      </c>
      <c r="C69" s="28" t="s">
        <v>1346</v>
      </c>
      <c r="D69" s="17" t="s">
        <v>1346</v>
      </c>
      <c r="E69" s="17" t="s">
        <v>1349</v>
      </c>
      <c r="F69" s="20">
        <v>1490.19</v>
      </c>
      <c r="G69" s="20">
        <v>184</v>
      </c>
      <c r="H69" s="19">
        <v>795</v>
      </c>
      <c r="I69" s="20">
        <v>399</v>
      </c>
      <c r="J69" s="20">
        <v>396</v>
      </c>
      <c r="K69" s="20">
        <v>166</v>
      </c>
      <c r="L69" s="57">
        <f t="shared" si="8"/>
        <v>0.20880503144654089</v>
      </c>
      <c r="M69" s="20">
        <v>475</v>
      </c>
      <c r="N69" s="57">
        <f t="shared" si="9"/>
        <v>0.59748427672955973</v>
      </c>
      <c r="O69" s="46">
        <v>62.67</v>
      </c>
      <c r="P69" s="46">
        <v>936.01</v>
      </c>
      <c r="Q69" s="58" t="s">
        <v>562</v>
      </c>
      <c r="R69" s="58"/>
      <c r="S69" s="58"/>
      <c r="T69" s="58"/>
      <c r="U69" s="58"/>
      <c r="V69" s="58"/>
      <c r="W69" s="58"/>
      <c r="X69" s="58" t="s">
        <v>562</v>
      </c>
      <c r="Y69" s="58"/>
      <c r="Z69" s="58"/>
      <c r="AA69" s="58"/>
      <c r="AB69" s="58"/>
      <c r="AC69" s="58"/>
      <c r="AD69" s="58"/>
      <c r="AE69" s="58" t="s">
        <v>562</v>
      </c>
      <c r="AF69" s="58"/>
      <c r="AG69" s="58"/>
      <c r="AH69" s="58"/>
      <c r="AI69" s="58"/>
    </row>
    <row r="70" spans="1:35" x14ac:dyDescent="0.35">
      <c r="A70" s="17" t="s">
        <v>46</v>
      </c>
      <c r="B70" s="17" t="s">
        <v>1222</v>
      </c>
      <c r="C70" s="28" t="s">
        <v>1346</v>
      </c>
      <c r="D70" s="17" t="s">
        <v>1350</v>
      </c>
      <c r="E70" s="17" t="s">
        <v>1351</v>
      </c>
      <c r="F70" s="20">
        <v>610.72</v>
      </c>
      <c r="G70" s="20">
        <v>121</v>
      </c>
      <c r="H70" s="19">
        <v>546</v>
      </c>
      <c r="I70" s="20">
        <v>276</v>
      </c>
      <c r="J70" s="20">
        <v>270</v>
      </c>
      <c r="K70" s="20">
        <v>0</v>
      </c>
      <c r="L70" s="57">
        <f t="shared" si="8"/>
        <v>0</v>
      </c>
      <c r="M70" s="20">
        <v>502</v>
      </c>
      <c r="N70" s="57">
        <f t="shared" si="9"/>
        <v>0.91941391941391937</v>
      </c>
      <c r="O70" s="46">
        <v>22.69</v>
      </c>
      <c r="P70" s="46">
        <v>162.85</v>
      </c>
      <c r="Q70" s="58" t="s">
        <v>562</v>
      </c>
      <c r="R70" s="58"/>
      <c r="S70" s="58"/>
      <c r="T70" s="58"/>
      <c r="U70" s="58"/>
      <c r="V70" s="58"/>
      <c r="W70" s="58"/>
      <c r="X70" s="58" t="s">
        <v>562</v>
      </c>
      <c r="Y70" s="58"/>
      <c r="Z70" s="58"/>
      <c r="AA70" s="58"/>
      <c r="AB70" s="58"/>
      <c r="AC70" s="58"/>
      <c r="AD70" s="58"/>
      <c r="AE70" s="58" t="s">
        <v>562</v>
      </c>
      <c r="AF70" s="58"/>
      <c r="AG70" s="58"/>
      <c r="AH70" s="58"/>
      <c r="AI70" s="58"/>
    </row>
    <row r="71" spans="1:35" x14ac:dyDescent="0.35">
      <c r="A71" s="17" t="s">
        <v>46</v>
      </c>
      <c r="B71" s="17" t="s">
        <v>1222</v>
      </c>
      <c r="C71" s="28" t="s">
        <v>1352</v>
      </c>
      <c r="D71" s="17" t="s">
        <v>1353</v>
      </c>
      <c r="E71" s="17" t="s">
        <v>1354</v>
      </c>
      <c r="F71" s="20">
        <v>388.29</v>
      </c>
      <c r="G71" s="20">
        <v>139</v>
      </c>
      <c r="H71" s="19">
        <v>598</v>
      </c>
      <c r="I71" s="20">
        <v>318</v>
      </c>
      <c r="J71" s="20">
        <v>280</v>
      </c>
      <c r="K71" s="20">
        <v>70</v>
      </c>
      <c r="L71" s="57">
        <f t="shared" si="8"/>
        <v>0.11705685618729098</v>
      </c>
      <c r="M71" s="20">
        <v>248</v>
      </c>
      <c r="N71" s="57">
        <f t="shared" si="9"/>
        <v>0.41471571906354515</v>
      </c>
      <c r="O71" s="46">
        <v>33.82</v>
      </c>
      <c r="P71" s="46">
        <v>0</v>
      </c>
      <c r="Q71" s="58" t="s">
        <v>51</v>
      </c>
      <c r="R71" s="58">
        <v>2020</v>
      </c>
      <c r="S71" s="58"/>
      <c r="T71" s="58"/>
      <c r="U71" s="58"/>
      <c r="V71" s="58"/>
      <c r="W71" s="58"/>
      <c r="X71" s="58" t="s">
        <v>51</v>
      </c>
      <c r="Y71" s="58"/>
      <c r="Z71" s="58"/>
      <c r="AA71" s="58"/>
      <c r="AB71" s="58"/>
      <c r="AC71" s="58" t="s">
        <v>51</v>
      </c>
      <c r="AD71" s="58"/>
      <c r="AE71" s="58"/>
      <c r="AF71" s="58"/>
      <c r="AG71" s="58"/>
      <c r="AH71" s="58"/>
      <c r="AI71" s="58"/>
    </row>
    <row r="72" spans="1:35" x14ac:dyDescent="0.35">
      <c r="A72" s="17" t="s">
        <v>46</v>
      </c>
      <c r="B72" s="17" t="s">
        <v>1222</v>
      </c>
      <c r="C72" s="28" t="s">
        <v>1352</v>
      </c>
      <c r="D72" s="17" t="s">
        <v>1355</v>
      </c>
      <c r="E72" s="17" t="s">
        <v>1356</v>
      </c>
      <c r="F72" s="20">
        <v>267.42</v>
      </c>
      <c r="G72" s="20">
        <v>173</v>
      </c>
      <c r="H72" s="19">
        <v>823</v>
      </c>
      <c r="I72" s="20">
        <v>425</v>
      </c>
      <c r="J72" s="20">
        <v>398</v>
      </c>
      <c r="K72" s="20">
        <v>79</v>
      </c>
      <c r="L72" s="57">
        <f t="shared" si="8"/>
        <v>9.5990279465370601E-2</v>
      </c>
      <c r="M72" s="20">
        <v>249</v>
      </c>
      <c r="N72" s="57">
        <f t="shared" si="9"/>
        <v>0.3025516403402187</v>
      </c>
      <c r="O72" s="46">
        <v>58.24</v>
      </c>
      <c r="P72" s="46">
        <v>0</v>
      </c>
      <c r="Q72" s="58" t="s">
        <v>51</v>
      </c>
      <c r="R72" s="58">
        <v>2021</v>
      </c>
      <c r="S72" s="58"/>
      <c r="T72" s="58"/>
      <c r="U72" s="58"/>
      <c r="V72" s="58"/>
      <c r="W72" s="58"/>
      <c r="X72" s="58" t="s">
        <v>51</v>
      </c>
      <c r="Y72" s="58"/>
      <c r="Z72" s="58"/>
      <c r="AA72" s="58"/>
      <c r="AB72" s="58"/>
      <c r="AC72" s="58" t="s">
        <v>51</v>
      </c>
      <c r="AD72" s="58"/>
      <c r="AE72" s="58"/>
      <c r="AF72" s="58"/>
      <c r="AG72" s="58"/>
      <c r="AH72" s="58"/>
      <c r="AI72" s="58"/>
    </row>
    <row r="73" spans="1:35" x14ac:dyDescent="0.35">
      <c r="A73" s="17" t="s">
        <v>46</v>
      </c>
      <c r="B73" s="17" t="s">
        <v>1222</v>
      </c>
      <c r="C73" s="28" t="s">
        <v>1352</v>
      </c>
      <c r="D73" s="17" t="s">
        <v>1357</v>
      </c>
      <c r="E73" s="17" t="s">
        <v>1358</v>
      </c>
      <c r="F73" s="20">
        <v>1255.42</v>
      </c>
      <c r="G73" s="20">
        <v>56</v>
      </c>
      <c r="H73" s="19">
        <v>211</v>
      </c>
      <c r="I73" s="20">
        <v>106</v>
      </c>
      <c r="J73" s="20">
        <v>105</v>
      </c>
      <c r="K73" s="20">
        <v>41</v>
      </c>
      <c r="L73" s="57">
        <f t="shared" si="8"/>
        <v>0.19431279620853081</v>
      </c>
      <c r="M73" s="20">
        <v>90</v>
      </c>
      <c r="N73" s="57">
        <f t="shared" si="9"/>
        <v>0.42654028436018959</v>
      </c>
      <c r="O73" s="46">
        <v>24.52</v>
      </c>
      <c r="P73" s="46">
        <v>779.04</v>
      </c>
      <c r="Q73" s="58" t="s">
        <v>51</v>
      </c>
      <c r="R73" s="58">
        <v>2021</v>
      </c>
      <c r="S73" s="58"/>
      <c r="T73" s="58"/>
      <c r="U73" s="58"/>
      <c r="V73" s="58"/>
      <c r="W73" s="58"/>
      <c r="X73" s="58" t="s">
        <v>51</v>
      </c>
      <c r="Y73" s="58"/>
      <c r="Z73" s="58"/>
      <c r="AA73" s="58"/>
      <c r="AB73" s="58"/>
      <c r="AC73" s="58" t="s">
        <v>51</v>
      </c>
      <c r="AD73" s="58"/>
      <c r="AE73" s="58"/>
      <c r="AF73" s="58"/>
      <c r="AG73" s="58"/>
      <c r="AH73" s="58"/>
      <c r="AI73" s="58"/>
    </row>
    <row r="74" spans="1:35" x14ac:dyDescent="0.35">
      <c r="A74" s="17" t="s">
        <v>46</v>
      </c>
      <c r="B74" s="17" t="s">
        <v>1222</v>
      </c>
      <c r="C74" s="28" t="s">
        <v>1352</v>
      </c>
      <c r="D74" s="17" t="s">
        <v>1359</v>
      </c>
      <c r="E74" s="17" t="s">
        <v>1360</v>
      </c>
      <c r="F74" s="20">
        <v>447.64</v>
      </c>
      <c r="G74" s="20">
        <v>48</v>
      </c>
      <c r="H74" s="19">
        <v>210</v>
      </c>
      <c r="I74" s="20">
        <v>113</v>
      </c>
      <c r="J74" s="20">
        <v>97</v>
      </c>
      <c r="K74" s="20">
        <v>5</v>
      </c>
      <c r="L74" s="57">
        <f t="shared" si="8"/>
        <v>2.3809523809523808E-2</v>
      </c>
      <c r="M74" s="20">
        <v>1</v>
      </c>
      <c r="N74" s="57">
        <f t="shared" si="9"/>
        <v>4.7619047619047623E-3</v>
      </c>
      <c r="O74" s="46">
        <v>17.93</v>
      </c>
      <c r="P74" s="46">
        <v>291.26</v>
      </c>
      <c r="Q74" s="58" t="s">
        <v>51</v>
      </c>
      <c r="R74" s="58">
        <v>2021</v>
      </c>
      <c r="S74" s="58"/>
      <c r="T74" s="58"/>
      <c r="U74" s="58"/>
      <c r="V74" s="58"/>
      <c r="W74" s="58"/>
      <c r="X74" s="58" t="s">
        <v>51</v>
      </c>
      <c r="Y74" s="58"/>
      <c r="Z74" s="58"/>
      <c r="AA74" s="58"/>
      <c r="AB74" s="58"/>
      <c r="AC74" s="58" t="s">
        <v>51</v>
      </c>
      <c r="AD74" s="58"/>
      <c r="AE74" s="58"/>
      <c r="AF74" s="58"/>
      <c r="AG74" s="58"/>
      <c r="AH74" s="58"/>
      <c r="AI74" s="58"/>
    </row>
    <row r="75" spans="1:35" x14ac:dyDescent="0.35">
      <c r="A75" s="17" t="s">
        <v>46</v>
      </c>
      <c r="B75" s="17" t="s">
        <v>1222</v>
      </c>
      <c r="C75" s="28" t="s">
        <v>1352</v>
      </c>
      <c r="D75" s="17" t="s">
        <v>1361</v>
      </c>
      <c r="E75" s="17" t="s">
        <v>1362</v>
      </c>
      <c r="F75" s="20">
        <v>72.180000000000007</v>
      </c>
      <c r="G75" s="20">
        <v>73</v>
      </c>
      <c r="H75" s="19">
        <v>325</v>
      </c>
      <c r="I75" s="20">
        <v>166</v>
      </c>
      <c r="J75" s="20">
        <v>159</v>
      </c>
      <c r="K75" s="20">
        <v>10</v>
      </c>
      <c r="L75" s="57">
        <f t="shared" si="8"/>
        <v>3.0769230769230771E-2</v>
      </c>
      <c r="M75" s="20">
        <v>0</v>
      </c>
      <c r="N75" s="57">
        <f t="shared" si="9"/>
        <v>0</v>
      </c>
      <c r="O75" s="46">
        <v>0</v>
      </c>
      <c r="P75" s="46">
        <v>0</v>
      </c>
      <c r="Q75" s="58" t="s">
        <v>562</v>
      </c>
      <c r="R75" s="58"/>
      <c r="S75" s="58"/>
      <c r="T75" s="58"/>
      <c r="U75" s="58"/>
      <c r="V75" s="58"/>
      <c r="W75" s="58"/>
      <c r="X75" s="58" t="s">
        <v>562</v>
      </c>
      <c r="Y75" s="58"/>
      <c r="Z75" s="58"/>
      <c r="AA75" s="58"/>
      <c r="AB75" s="58"/>
      <c r="AC75" s="58"/>
      <c r="AD75" s="58"/>
      <c r="AE75" s="58" t="s">
        <v>562</v>
      </c>
      <c r="AF75" s="58"/>
      <c r="AG75" s="58"/>
      <c r="AH75" s="58"/>
      <c r="AI75" s="58"/>
    </row>
    <row r="76" spans="1:35" x14ac:dyDescent="0.35">
      <c r="A76" s="17" t="s">
        <v>46</v>
      </c>
      <c r="B76" s="17" t="s">
        <v>1222</v>
      </c>
      <c r="C76" s="28" t="s">
        <v>1352</v>
      </c>
      <c r="D76" s="17" t="s">
        <v>1363</v>
      </c>
      <c r="E76" s="17" t="s">
        <v>1364</v>
      </c>
      <c r="F76" s="20">
        <v>79.66</v>
      </c>
      <c r="G76" s="20">
        <v>80</v>
      </c>
      <c r="H76" s="19">
        <v>370</v>
      </c>
      <c r="I76" s="20">
        <v>191</v>
      </c>
      <c r="J76" s="20">
        <v>179</v>
      </c>
      <c r="K76" s="20">
        <v>9</v>
      </c>
      <c r="L76" s="57">
        <f t="shared" si="8"/>
        <v>2.4324324324324326E-2</v>
      </c>
      <c r="M76" s="20">
        <v>0</v>
      </c>
      <c r="N76" s="57">
        <f t="shared" si="9"/>
        <v>0</v>
      </c>
      <c r="O76" s="46">
        <v>0</v>
      </c>
      <c r="P76" s="46">
        <v>0</v>
      </c>
      <c r="Q76" s="58" t="s">
        <v>562</v>
      </c>
      <c r="R76" s="58"/>
      <c r="S76" s="58"/>
      <c r="T76" s="58"/>
      <c r="U76" s="58"/>
      <c r="V76" s="58"/>
      <c r="W76" s="58"/>
      <c r="X76" s="58" t="s">
        <v>562</v>
      </c>
      <c r="Y76" s="58"/>
      <c r="Z76" s="58"/>
      <c r="AA76" s="58"/>
      <c r="AB76" s="58"/>
      <c r="AC76" s="58"/>
      <c r="AD76" s="58"/>
      <c r="AE76" s="58" t="s">
        <v>562</v>
      </c>
      <c r="AF76" s="58"/>
      <c r="AG76" s="58"/>
      <c r="AH76" s="58"/>
      <c r="AI76" s="58"/>
    </row>
    <row r="77" spans="1:35" x14ac:dyDescent="0.35">
      <c r="A77" s="17" t="s">
        <v>46</v>
      </c>
      <c r="B77" s="17" t="s">
        <v>1222</v>
      </c>
      <c r="C77" s="28" t="s">
        <v>1352</v>
      </c>
      <c r="D77" s="17" t="s">
        <v>1365</v>
      </c>
      <c r="E77" s="17" t="s">
        <v>1366</v>
      </c>
      <c r="F77" s="20">
        <v>173.33</v>
      </c>
      <c r="G77" s="20">
        <v>76</v>
      </c>
      <c r="H77" s="19">
        <v>337</v>
      </c>
      <c r="I77" s="20">
        <v>173</v>
      </c>
      <c r="J77" s="20">
        <v>164</v>
      </c>
      <c r="K77" s="20">
        <v>36</v>
      </c>
      <c r="L77" s="57">
        <f t="shared" si="8"/>
        <v>0.10682492581602374</v>
      </c>
      <c r="M77" s="20">
        <v>2</v>
      </c>
      <c r="N77" s="57">
        <f t="shared" si="9"/>
        <v>5.9347181008902079E-3</v>
      </c>
      <c r="O77" s="46">
        <v>12.99</v>
      </c>
      <c r="P77" s="46">
        <v>0</v>
      </c>
      <c r="Q77" s="58" t="s">
        <v>51</v>
      </c>
      <c r="R77" s="58">
        <v>2020</v>
      </c>
      <c r="S77" s="58"/>
      <c r="T77" s="58"/>
      <c r="U77" s="58"/>
      <c r="V77" s="58"/>
      <c r="W77" s="58"/>
      <c r="X77" s="58" t="s">
        <v>51</v>
      </c>
      <c r="Y77" s="58"/>
      <c r="Z77" s="58"/>
      <c r="AA77" s="58"/>
      <c r="AB77" s="58"/>
      <c r="AC77" s="58" t="s">
        <v>51</v>
      </c>
      <c r="AD77" s="58"/>
      <c r="AE77" s="58"/>
      <c r="AF77" s="58"/>
      <c r="AG77" s="58"/>
      <c r="AH77" s="58"/>
      <c r="AI77" s="58"/>
    </row>
    <row r="78" spans="1:35" x14ac:dyDescent="0.35">
      <c r="A78" s="17" t="s">
        <v>46</v>
      </c>
      <c r="B78" s="17" t="s">
        <v>1222</v>
      </c>
      <c r="C78" s="28" t="s">
        <v>1367</v>
      </c>
      <c r="D78" s="17" t="s">
        <v>1368</v>
      </c>
      <c r="E78" s="17" t="s">
        <v>1369</v>
      </c>
      <c r="F78" s="20">
        <v>1406.42</v>
      </c>
      <c r="G78" s="20">
        <v>352</v>
      </c>
      <c r="H78" s="19">
        <v>1729</v>
      </c>
      <c r="I78" s="20">
        <v>873</v>
      </c>
      <c r="J78" s="20">
        <v>856</v>
      </c>
      <c r="K78" s="20">
        <v>313</v>
      </c>
      <c r="L78" s="57">
        <f t="shared" si="8"/>
        <v>0.18102949681897051</v>
      </c>
      <c r="M78" s="20">
        <v>10</v>
      </c>
      <c r="N78" s="57">
        <f t="shared" si="9"/>
        <v>5.7836899942163098E-3</v>
      </c>
      <c r="O78" s="46">
        <v>130.07</v>
      </c>
      <c r="P78" s="46">
        <v>476.05</v>
      </c>
      <c r="Q78" s="58" t="s">
        <v>51</v>
      </c>
      <c r="R78" s="58">
        <v>2020</v>
      </c>
      <c r="S78" s="58"/>
      <c r="T78" s="58"/>
      <c r="U78" s="58"/>
      <c r="V78" s="58"/>
      <c r="W78" s="58"/>
      <c r="X78" s="58" t="s">
        <v>51</v>
      </c>
      <c r="Y78" s="58"/>
      <c r="Z78" s="58"/>
      <c r="AA78" s="58"/>
      <c r="AB78" s="58"/>
      <c r="AC78" s="58" t="s">
        <v>51</v>
      </c>
      <c r="AD78" s="58"/>
      <c r="AE78" s="58"/>
      <c r="AF78" s="58"/>
      <c r="AG78" s="58"/>
      <c r="AH78" s="58"/>
      <c r="AI78" s="58"/>
    </row>
    <row r="79" spans="1:35" x14ac:dyDescent="0.35">
      <c r="A79" s="17" t="s">
        <v>46</v>
      </c>
      <c r="B79" s="17" t="s">
        <v>1222</v>
      </c>
      <c r="C79" s="28" t="s">
        <v>1367</v>
      </c>
      <c r="D79" s="17" t="s">
        <v>167</v>
      </c>
      <c r="E79" s="17" t="s">
        <v>1370</v>
      </c>
      <c r="F79" s="20">
        <v>754.6</v>
      </c>
      <c r="G79" s="20">
        <v>191</v>
      </c>
      <c r="H79" s="19">
        <v>913</v>
      </c>
      <c r="I79" s="20">
        <v>454</v>
      </c>
      <c r="J79" s="20">
        <v>459</v>
      </c>
      <c r="K79" s="20">
        <v>140</v>
      </c>
      <c r="L79" s="57">
        <f t="shared" si="8"/>
        <v>0.1533406352683461</v>
      </c>
      <c r="M79" s="20">
        <v>540</v>
      </c>
      <c r="N79" s="57">
        <f t="shared" si="9"/>
        <v>0.59145673603504934</v>
      </c>
      <c r="O79" s="46">
        <v>109.68</v>
      </c>
      <c r="P79" s="46">
        <v>152.4</v>
      </c>
      <c r="Q79" s="58" t="s">
        <v>562</v>
      </c>
      <c r="R79" s="58"/>
      <c r="S79" s="58"/>
      <c r="T79" s="58"/>
      <c r="U79" s="58"/>
      <c r="V79" s="58"/>
      <c r="W79" s="58"/>
      <c r="X79" s="58" t="s">
        <v>562</v>
      </c>
      <c r="Y79" s="58"/>
      <c r="Z79" s="58"/>
      <c r="AA79" s="58"/>
      <c r="AB79" s="58"/>
      <c r="AC79" s="58"/>
      <c r="AD79" s="58"/>
      <c r="AE79" s="58" t="s">
        <v>562</v>
      </c>
      <c r="AF79" s="58"/>
      <c r="AG79" s="58"/>
      <c r="AH79" s="58"/>
      <c r="AI79" s="58"/>
    </row>
    <row r="80" spans="1:35" x14ac:dyDescent="0.35">
      <c r="A80" s="17" t="s">
        <v>46</v>
      </c>
      <c r="B80" s="17" t="s">
        <v>1222</v>
      </c>
      <c r="C80" s="28" t="s">
        <v>1352</v>
      </c>
      <c r="D80" s="17" t="s">
        <v>1371</v>
      </c>
      <c r="E80" s="17" t="s">
        <v>1372</v>
      </c>
      <c r="F80" s="20">
        <v>550.71</v>
      </c>
      <c r="G80" s="20">
        <v>65</v>
      </c>
      <c r="H80" s="19">
        <v>314</v>
      </c>
      <c r="I80" s="20">
        <v>169</v>
      </c>
      <c r="J80" s="20">
        <v>145</v>
      </c>
      <c r="K80" s="20">
        <v>5</v>
      </c>
      <c r="L80" s="57">
        <f t="shared" si="8"/>
        <v>1.5923566878980892E-2</v>
      </c>
      <c r="M80" s="20">
        <v>82</v>
      </c>
      <c r="N80" s="57">
        <f t="shared" si="9"/>
        <v>0.26114649681528662</v>
      </c>
      <c r="O80" s="46">
        <v>108.03</v>
      </c>
      <c r="P80" s="46">
        <v>273.56</v>
      </c>
      <c r="Q80" s="58" t="s">
        <v>51</v>
      </c>
      <c r="R80" s="58">
        <v>2020</v>
      </c>
      <c r="S80" s="58"/>
      <c r="T80" s="58"/>
      <c r="U80" s="58"/>
      <c r="V80" s="58"/>
      <c r="W80" s="58"/>
      <c r="X80" s="58" t="s">
        <v>51</v>
      </c>
      <c r="Y80" s="58"/>
      <c r="Z80" s="58"/>
      <c r="AA80" s="58"/>
      <c r="AB80" s="58"/>
      <c r="AC80" s="58" t="s">
        <v>51</v>
      </c>
      <c r="AD80" s="58"/>
      <c r="AE80" s="58"/>
      <c r="AF80" s="58"/>
      <c r="AG80" s="58"/>
      <c r="AH80" s="58"/>
      <c r="AI80" s="58"/>
    </row>
    <row r="81" spans="1:35" x14ac:dyDescent="0.35">
      <c r="A81" s="17" t="s">
        <v>46</v>
      </c>
      <c r="B81" s="17" t="s">
        <v>1222</v>
      </c>
      <c r="C81" s="28" t="s">
        <v>1373</v>
      </c>
      <c r="D81" s="17" t="s">
        <v>234</v>
      </c>
      <c r="E81" s="17" t="s">
        <v>1374</v>
      </c>
      <c r="F81" s="20">
        <v>731.18</v>
      </c>
      <c r="G81" s="20">
        <v>158</v>
      </c>
      <c r="H81" s="19">
        <v>739</v>
      </c>
      <c r="I81" s="20">
        <v>378</v>
      </c>
      <c r="J81" s="20">
        <v>361</v>
      </c>
      <c r="K81" s="20">
        <v>125</v>
      </c>
      <c r="L81" s="57">
        <f t="shared" si="8"/>
        <v>0.16914749661705006</v>
      </c>
      <c r="M81" s="20">
        <v>167</v>
      </c>
      <c r="N81" s="57">
        <f t="shared" si="9"/>
        <v>0.22598105548037889</v>
      </c>
      <c r="O81" s="46">
        <v>384.61</v>
      </c>
      <c r="P81" s="46">
        <v>158.86000000000001</v>
      </c>
      <c r="Q81" s="58" t="s">
        <v>562</v>
      </c>
      <c r="R81" s="58"/>
      <c r="S81" s="58"/>
      <c r="T81" s="58"/>
      <c r="U81" s="58"/>
      <c r="V81" s="58"/>
      <c r="W81" s="58"/>
      <c r="X81" s="58" t="s">
        <v>562</v>
      </c>
      <c r="Y81" s="58"/>
      <c r="Z81" s="58"/>
      <c r="AA81" s="58"/>
      <c r="AB81" s="58"/>
      <c r="AC81" s="58"/>
      <c r="AD81" s="58"/>
      <c r="AE81" s="58" t="s">
        <v>562</v>
      </c>
      <c r="AF81" s="58"/>
      <c r="AG81" s="58"/>
      <c r="AH81" s="58"/>
      <c r="AI81" s="58"/>
    </row>
    <row r="82" spans="1:35" x14ac:dyDescent="0.35">
      <c r="A82" s="17" t="s">
        <v>46</v>
      </c>
      <c r="B82" s="17" t="s">
        <v>1222</v>
      </c>
      <c r="C82" s="28" t="s">
        <v>1375</v>
      </c>
      <c r="D82" s="17" t="s">
        <v>1376</v>
      </c>
      <c r="E82" s="17" t="s">
        <v>1377</v>
      </c>
      <c r="F82" s="28">
        <v>239.15</v>
      </c>
      <c r="G82" s="47"/>
      <c r="H82" s="19">
        <v>0</v>
      </c>
      <c r="I82" s="47"/>
      <c r="J82" s="47"/>
      <c r="K82" s="47"/>
      <c r="L82" s="57"/>
      <c r="M82" s="47"/>
      <c r="N82" s="57"/>
      <c r="O82" s="48">
        <v>0</v>
      </c>
      <c r="P82" s="48">
        <v>87.04</v>
      </c>
      <c r="Q82" s="58" t="s">
        <v>112</v>
      </c>
      <c r="R82" s="58"/>
      <c r="S82" s="58"/>
      <c r="T82" s="58"/>
      <c r="U82" s="58"/>
      <c r="V82" s="58"/>
      <c r="W82" s="58"/>
      <c r="X82" s="58" t="s">
        <v>112</v>
      </c>
      <c r="Y82" s="58"/>
      <c r="Z82" s="58"/>
      <c r="AA82" s="58"/>
      <c r="AB82" s="58"/>
      <c r="AC82" s="58" t="s">
        <v>112</v>
      </c>
      <c r="AD82" s="58"/>
      <c r="AE82" s="58"/>
      <c r="AF82" s="58"/>
      <c r="AG82" s="58"/>
      <c r="AH82" s="58"/>
      <c r="AI82" s="58"/>
    </row>
    <row r="83" spans="1:35" x14ac:dyDescent="0.35">
      <c r="A83" s="17" t="s">
        <v>46</v>
      </c>
      <c r="B83" s="17" t="s">
        <v>1222</v>
      </c>
      <c r="C83" s="28" t="s">
        <v>1378</v>
      </c>
      <c r="D83" s="17" t="s">
        <v>1379</v>
      </c>
      <c r="E83" s="17" t="s">
        <v>1380</v>
      </c>
      <c r="F83" s="28">
        <v>482.11</v>
      </c>
      <c r="G83" s="47"/>
      <c r="H83" s="19">
        <v>0</v>
      </c>
      <c r="I83" s="47"/>
      <c r="J83" s="47"/>
      <c r="K83" s="47"/>
      <c r="L83" s="57"/>
      <c r="M83" s="47"/>
      <c r="N83" s="57"/>
      <c r="O83" s="48">
        <v>0</v>
      </c>
      <c r="P83" s="48">
        <v>159.82</v>
      </c>
      <c r="Q83" s="58" t="s">
        <v>112</v>
      </c>
      <c r="R83" s="58"/>
      <c r="S83" s="58"/>
      <c r="T83" s="58"/>
      <c r="U83" s="58"/>
      <c r="V83" s="58"/>
      <c r="W83" s="58"/>
      <c r="X83" s="58" t="s">
        <v>112</v>
      </c>
      <c r="Y83" s="58"/>
      <c r="Z83" s="58"/>
      <c r="AA83" s="58"/>
      <c r="AB83" s="58"/>
      <c r="AC83" s="58" t="s">
        <v>112</v>
      </c>
      <c r="AD83" s="58"/>
      <c r="AE83" s="58"/>
      <c r="AF83" s="58"/>
      <c r="AG83" s="58"/>
      <c r="AH83" s="58"/>
      <c r="AI83" s="58"/>
    </row>
    <row r="84" spans="1:35" x14ac:dyDescent="0.35">
      <c r="A84" s="17" t="s">
        <v>46</v>
      </c>
      <c r="B84" s="17" t="s">
        <v>1222</v>
      </c>
      <c r="C84" s="28" t="s">
        <v>1381</v>
      </c>
      <c r="D84" s="17" t="s">
        <v>1382</v>
      </c>
      <c r="E84" s="17" t="s">
        <v>1383</v>
      </c>
      <c r="F84" s="20">
        <v>1061.17</v>
      </c>
      <c r="G84" s="20">
        <v>71</v>
      </c>
      <c r="H84" s="19">
        <v>425</v>
      </c>
      <c r="I84" s="20">
        <v>212</v>
      </c>
      <c r="J84" s="20">
        <v>213</v>
      </c>
      <c r="K84" s="20">
        <v>0</v>
      </c>
      <c r="L84" s="57">
        <f t="shared" ref="L84:L94" si="10">K84/H84</f>
        <v>0</v>
      </c>
      <c r="M84" s="20">
        <v>0</v>
      </c>
      <c r="N84" s="57">
        <f t="shared" ref="N84:N94" si="11">M84/H84</f>
        <v>0</v>
      </c>
      <c r="O84" s="46">
        <v>0</v>
      </c>
      <c r="P84" s="46">
        <v>582.35</v>
      </c>
      <c r="Q84" s="58" t="s">
        <v>562</v>
      </c>
      <c r="R84" s="58"/>
      <c r="S84" s="58"/>
      <c r="T84" s="58"/>
      <c r="U84" s="58"/>
      <c r="V84" s="58"/>
      <c r="W84" s="58"/>
      <c r="X84" s="58" t="s">
        <v>562</v>
      </c>
      <c r="Y84" s="58"/>
      <c r="Z84" s="58"/>
      <c r="AA84" s="58"/>
      <c r="AB84" s="58"/>
      <c r="AC84" s="58"/>
      <c r="AD84" s="58"/>
      <c r="AE84" s="58" t="s">
        <v>562</v>
      </c>
      <c r="AF84" s="58"/>
      <c r="AG84" s="58"/>
      <c r="AH84" s="58"/>
      <c r="AI84" s="58"/>
    </row>
    <row r="85" spans="1:35" x14ac:dyDescent="0.35">
      <c r="A85" s="17" t="s">
        <v>46</v>
      </c>
      <c r="B85" s="17" t="s">
        <v>1222</v>
      </c>
      <c r="C85" s="28" t="s">
        <v>1373</v>
      </c>
      <c r="D85" s="17" t="s">
        <v>1384</v>
      </c>
      <c r="E85" s="17" t="s">
        <v>1385</v>
      </c>
      <c r="F85" s="20">
        <v>496.54</v>
      </c>
      <c r="G85" s="20">
        <v>135</v>
      </c>
      <c r="H85" s="19">
        <v>606</v>
      </c>
      <c r="I85" s="20">
        <v>309</v>
      </c>
      <c r="J85" s="20">
        <v>297</v>
      </c>
      <c r="K85" s="20">
        <v>60</v>
      </c>
      <c r="L85" s="57">
        <f t="shared" si="10"/>
        <v>9.9009900990099015E-2</v>
      </c>
      <c r="M85" s="20">
        <v>191</v>
      </c>
      <c r="N85" s="57">
        <f t="shared" si="11"/>
        <v>0.31518151815181517</v>
      </c>
      <c r="O85" s="46">
        <v>0</v>
      </c>
      <c r="P85" s="46">
        <v>242.57</v>
      </c>
      <c r="Q85" s="58" t="s">
        <v>562</v>
      </c>
      <c r="R85" s="58"/>
      <c r="S85" s="58"/>
      <c r="T85" s="58"/>
      <c r="U85" s="58"/>
      <c r="V85" s="58"/>
      <c r="W85" s="58"/>
      <c r="X85" s="58" t="s">
        <v>562</v>
      </c>
      <c r="Y85" s="58"/>
      <c r="Z85" s="58"/>
      <c r="AA85" s="58"/>
      <c r="AB85" s="58"/>
      <c r="AC85" s="58"/>
      <c r="AD85" s="58"/>
      <c r="AE85" s="58" t="s">
        <v>562</v>
      </c>
      <c r="AF85" s="58"/>
      <c r="AG85" s="58"/>
      <c r="AH85" s="58"/>
      <c r="AI85" s="58"/>
    </row>
    <row r="86" spans="1:35" x14ac:dyDescent="0.35">
      <c r="A86" s="17" t="s">
        <v>46</v>
      </c>
      <c r="B86" s="17" t="s">
        <v>1222</v>
      </c>
      <c r="C86" s="28" t="s">
        <v>1373</v>
      </c>
      <c r="D86" s="17" t="s">
        <v>1386</v>
      </c>
      <c r="E86" s="17" t="s">
        <v>1387</v>
      </c>
      <c r="F86" s="20">
        <v>825.54</v>
      </c>
      <c r="G86" s="20">
        <v>144</v>
      </c>
      <c r="H86" s="19">
        <v>715</v>
      </c>
      <c r="I86" s="20">
        <v>374</v>
      </c>
      <c r="J86" s="20">
        <v>341</v>
      </c>
      <c r="K86" s="20">
        <v>324</v>
      </c>
      <c r="L86" s="57">
        <f t="shared" si="10"/>
        <v>0.45314685314685316</v>
      </c>
      <c r="M86" s="20">
        <v>112</v>
      </c>
      <c r="N86" s="57">
        <f t="shared" si="11"/>
        <v>0.15664335664335666</v>
      </c>
      <c r="O86" s="46">
        <v>50.46</v>
      </c>
      <c r="P86" s="46">
        <v>392.29</v>
      </c>
      <c r="Q86" s="58" t="s">
        <v>562</v>
      </c>
      <c r="R86" s="58"/>
      <c r="S86" s="58"/>
      <c r="T86" s="58"/>
      <c r="U86" s="58"/>
      <c r="V86" s="58"/>
      <c r="W86" s="58"/>
      <c r="X86" s="58" t="s">
        <v>562</v>
      </c>
      <c r="Y86" s="58"/>
      <c r="Z86" s="58"/>
      <c r="AA86" s="58"/>
      <c r="AB86" s="58"/>
      <c r="AC86" s="58"/>
      <c r="AD86" s="58"/>
      <c r="AE86" s="58" t="s">
        <v>562</v>
      </c>
      <c r="AF86" s="58"/>
      <c r="AG86" s="58"/>
      <c r="AH86" s="58"/>
      <c r="AI86" s="58"/>
    </row>
    <row r="87" spans="1:35" x14ac:dyDescent="0.35">
      <c r="A87" s="17" t="s">
        <v>46</v>
      </c>
      <c r="B87" s="17" t="s">
        <v>1222</v>
      </c>
      <c r="C87" s="28" t="s">
        <v>1373</v>
      </c>
      <c r="D87" s="17" t="s">
        <v>1388</v>
      </c>
      <c r="E87" s="17" t="s">
        <v>1389</v>
      </c>
      <c r="F87" s="20">
        <v>326.79000000000002</v>
      </c>
      <c r="G87" s="20">
        <v>44</v>
      </c>
      <c r="H87" s="19">
        <v>204</v>
      </c>
      <c r="I87" s="20">
        <v>90</v>
      </c>
      <c r="J87" s="20">
        <v>114</v>
      </c>
      <c r="K87" s="20">
        <v>42</v>
      </c>
      <c r="L87" s="57">
        <f t="shared" si="10"/>
        <v>0.20588235294117646</v>
      </c>
      <c r="M87" s="20">
        <v>95</v>
      </c>
      <c r="N87" s="57">
        <f t="shared" si="11"/>
        <v>0.46568627450980393</v>
      </c>
      <c r="O87" s="46">
        <v>0</v>
      </c>
      <c r="P87" s="46">
        <v>157.36000000000001</v>
      </c>
      <c r="Q87" s="58" t="s">
        <v>562</v>
      </c>
      <c r="R87" s="58"/>
      <c r="S87" s="58"/>
      <c r="T87" s="58"/>
      <c r="U87" s="58"/>
      <c r="V87" s="58"/>
      <c r="W87" s="58"/>
      <c r="X87" s="58" t="s">
        <v>562</v>
      </c>
      <c r="Y87" s="58"/>
      <c r="Z87" s="58"/>
      <c r="AA87" s="58"/>
      <c r="AB87" s="58"/>
      <c r="AC87" s="58"/>
      <c r="AD87" s="58"/>
      <c r="AE87" s="58" t="s">
        <v>562</v>
      </c>
      <c r="AF87" s="58"/>
      <c r="AG87" s="58"/>
      <c r="AH87" s="58"/>
      <c r="AI87" s="58"/>
    </row>
    <row r="88" spans="1:35" x14ac:dyDescent="0.35">
      <c r="A88" s="17" t="s">
        <v>46</v>
      </c>
      <c r="B88" s="17" t="s">
        <v>1222</v>
      </c>
      <c r="C88" s="28" t="s">
        <v>1373</v>
      </c>
      <c r="D88" s="17" t="s">
        <v>1390</v>
      </c>
      <c r="E88" s="17" t="s">
        <v>1391</v>
      </c>
      <c r="F88" s="20">
        <v>206.32</v>
      </c>
      <c r="G88" s="20">
        <v>9</v>
      </c>
      <c r="H88" s="19">
        <v>52</v>
      </c>
      <c r="I88" s="20">
        <v>31</v>
      </c>
      <c r="J88" s="20">
        <v>21</v>
      </c>
      <c r="K88" s="20">
        <v>6</v>
      </c>
      <c r="L88" s="57">
        <f t="shared" si="10"/>
        <v>0.11538461538461539</v>
      </c>
      <c r="M88" s="20">
        <v>12</v>
      </c>
      <c r="N88" s="57">
        <f t="shared" si="11"/>
        <v>0.23076923076923078</v>
      </c>
      <c r="O88" s="46">
        <v>0</v>
      </c>
      <c r="P88" s="46">
        <v>0</v>
      </c>
      <c r="Q88" s="58" t="s">
        <v>562</v>
      </c>
      <c r="R88" s="58"/>
      <c r="S88" s="58"/>
      <c r="T88" s="58"/>
      <c r="U88" s="58"/>
      <c r="V88" s="58"/>
      <c r="W88" s="58"/>
      <c r="X88" s="58" t="s">
        <v>562</v>
      </c>
      <c r="Y88" s="58"/>
      <c r="Z88" s="58"/>
      <c r="AA88" s="58"/>
      <c r="AB88" s="58"/>
      <c r="AC88" s="58"/>
      <c r="AD88" s="58"/>
      <c r="AE88" s="58" t="s">
        <v>562</v>
      </c>
      <c r="AF88" s="58"/>
      <c r="AG88" s="58"/>
      <c r="AH88" s="58"/>
      <c r="AI88" s="58"/>
    </row>
    <row r="89" spans="1:35" x14ac:dyDescent="0.35">
      <c r="A89" s="17" t="s">
        <v>46</v>
      </c>
      <c r="B89" s="17" t="s">
        <v>1222</v>
      </c>
      <c r="C89" s="28" t="s">
        <v>1381</v>
      </c>
      <c r="D89" s="17" t="s">
        <v>160</v>
      </c>
      <c r="E89" s="17" t="s">
        <v>1392</v>
      </c>
      <c r="F89" s="20">
        <v>372</v>
      </c>
      <c r="G89" s="20">
        <v>107</v>
      </c>
      <c r="H89" s="19">
        <v>455</v>
      </c>
      <c r="I89" s="20">
        <v>237</v>
      </c>
      <c r="J89" s="20">
        <v>218</v>
      </c>
      <c r="K89" s="20">
        <v>0</v>
      </c>
      <c r="L89" s="57">
        <f t="shared" si="10"/>
        <v>0</v>
      </c>
      <c r="M89" s="20">
        <v>359</v>
      </c>
      <c r="N89" s="57">
        <f t="shared" si="11"/>
        <v>0.78901098901098898</v>
      </c>
      <c r="O89" s="46">
        <v>0</v>
      </c>
      <c r="P89" s="46">
        <v>0</v>
      </c>
      <c r="Q89" s="58" t="s">
        <v>562</v>
      </c>
      <c r="R89" s="58"/>
      <c r="S89" s="58"/>
      <c r="T89" s="58"/>
      <c r="U89" s="58"/>
      <c r="V89" s="58"/>
      <c r="W89" s="58"/>
      <c r="X89" s="58" t="s">
        <v>562</v>
      </c>
      <c r="Y89" s="58"/>
      <c r="Z89" s="58"/>
      <c r="AA89" s="58"/>
      <c r="AB89" s="58"/>
      <c r="AC89" s="58"/>
      <c r="AD89" s="58"/>
      <c r="AE89" s="58" t="s">
        <v>562</v>
      </c>
      <c r="AF89" s="58"/>
      <c r="AG89" s="58"/>
      <c r="AH89" s="58"/>
      <c r="AI89" s="58"/>
    </row>
    <row r="90" spans="1:35" x14ac:dyDescent="0.35">
      <c r="A90" s="17" t="s">
        <v>46</v>
      </c>
      <c r="B90" s="17" t="s">
        <v>1222</v>
      </c>
      <c r="C90" s="28" t="s">
        <v>1367</v>
      </c>
      <c r="D90" s="17" t="s">
        <v>1393</v>
      </c>
      <c r="E90" s="17" t="s">
        <v>1394</v>
      </c>
      <c r="F90" s="20">
        <v>153.69999999999999</v>
      </c>
      <c r="G90" s="20">
        <v>35</v>
      </c>
      <c r="H90" s="19">
        <v>180</v>
      </c>
      <c r="I90" s="20">
        <v>89</v>
      </c>
      <c r="J90" s="20">
        <v>91</v>
      </c>
      <c r="K90" s="20">
        <v>0</v>
      </c>
      <c r="L90" s="57">
        <f t="shared" si="10"/>
        <v>0</v>
      </c>
      <c r="M90" s="20">
        <v>69</v>
      </c>
      <c r="N90" s="57">
        <f t="shared" si="11"/>
        <v>0.38333333333333336</v>
      </c>
      <c r="O90" s="46">
        <v>0</v>
      </c>
      <c r="P90" s="46">
        <v>0</v>
      </c>
      <c r="Q90" s="58" t="s">
        <v>562</v>
      </c>
      <c r="R90" s="58"/>
      <c r="S90" s="58"/>
      <c r="T90" s="58"/>
      <c r="U90" s="58"/>
      <c r="V90" s="58"/>
      <c r="W90" s="58"/>
      <c r="X90" s="58" t="s">
        <v>562</v>
      </c>
      <c r="Y90" s="58"/>
      <c r="Z90" s="58"/>
      <c r="AA90" s="58"/>
      <c r="AB90" s="58"/>
      <c r="AC90" s="58"/>
      <c r="AD90" s="58"/>
      <c r="AE90" s="58" t="s">
        <v>562</v>
      </c>
      <c r="AF90" s="58"/>
      <c r="AG90" s="58"/>
      <c r="AH90" s="58"/>
      <c r="AI90" s="58"/>
    </row>
    <row r="91" spans="1:35" x14ac:dyDescent="0.35">
      <c r="A91" s="17" t="s">
        <v>46</v>
      </c>
      <c r="B91" s="17" t="s">
        <v>1222</v>
      </c>
      <c r="C91" s="28" t="s">
        <v>1367</v>
      </c>
      <c r="D91" s="17" t="s">
        <v>1395</v>
      </c>
      <c r="E91" s="17" t="s">
        <v>1396</v>
      </c>
      <c r="F91" s="20">
        <v>261.89</v>
      </c>
      <c r="G91" s="20">
        <v>64</v>
      </c>
      <c r="H91" s="19">
        <v>275</v>
      </c>
      <c r="I91" s="20">
        <v>141</v>
      </c>
      <c r="J91" s="20">
        <v>134</v>
      </c>
      <c r="K91" s="20">
        <v>0</v>
      </c>
      <c r="L91" s="57">
        <f t="shared" si="10"/>
        <v>0</v>
      </c>
      <c r="M91" s="20">
        <v>242</v>
      </c>
      <c r="N91" s="57">
        <f t="shared" si="11"/>
        <v>0.88</v>
      </c>
      <c r="O91" s="46">
        <v>0</v>
      </c>
      <c r="P91" s="46">
        <v>0</v>
      </c>
      <c r="Q91" s="58" t="s">
        <v>562</v>
      </c>
      <c r="R91" s="58"/>
      <c r="S91" s="58"/>
      <c r="T91" s="58"/>
      <c r="U91" s="58"/>
      <c r="V91" s="58"/>
      <c r="W91" s="58"/>
      <c r="X91" s="58" t="s">
        <v>562</v>
      </c>
      <c r="Y91" s="58"/>
      <c r="Z91" s="58"/>
      <c r="AA91" s="58"/>
      <c r="AB91" s="58"/>
      <c r="AC91" s="58"/>
      <c r="AD91" s="58"/>
      <c r="AE91" s="58" t="s">
        <v>562</v>
      </c>
      <c r="AF91" s="58"/>
      <c r="AG91" s="58"/>
      <c r="AH91" s="58"/>
      <c r="AI91" s="58"/>
    </row>
    <row r="92" spans="1:35" x14ac:dyDescent="0.35">
      <c r="A92" s="17" t="s">
        <v>46</v>
      </c>
      <c r="B92" s="17" t="s">
        <v>1222</v>
      </c>
      <c r="C92" s="28" t="s">
        <v>1346</v>
      </c>
      <c r="D92" s="17" t="s">
        <v>1397</v>
      </c>
      <c r="E92" s="17" t="s">
        <v>1398</v>
      </c>
      <c r="F92" s="20">
        <v>2037.5</v>
      </c>
      <c r="G92" s="20">
        <v>217</v>
      </c>
      <c r="H92" s="19">
        <v>1030</v>
      </c>
      <c r="I92" s="20">
        <v>508</v>
      </c>
      <c r="J92" s="20">
        <v>522</v>
      </c>
      <c r="K92" s="20">
        <v>23</v>
      </c>
      <c r="L92" s="57">
        <f t="shared" si="10"/>
        <v>2.2330097087378639E-2</v>
      </c>
      <c r="M92" s="20">
        <v>891</v>
      </c>
      <c r="N92" s="57">
        <f t="shared" si="11"/>
        <v>0.86504854368932038</v>
      </c>
      <c r="O92" s="46">
        <v>6.64</v>
      </c>
      <c r="P92" s="46">
        <v>0</v>
      </c>
      <c r="Q92" s="58" t="s">
        <v>562</v>
      </c>
      <c r="R92" s="58"/>
      <c r="S92" s="58"/>
      <c r="T92" s="58"/>
      <c r="U92" s="58"/>
      <c r="V92" s="58"/>
      <c r="W92" s="58"/>
      <c r="X92" s="58" t="s">
        <v>562</v>
      </c>
      <c r="Y92" s="58"/>
      <c r="Z92" s="58"/>
      <c r="AA92" s="58"/>
      <c r="AB92" s="58"/>
      <c r="AC92" s="58"/>
      <c r="AD92" s="58"/>
      <c r="AE92" s="58" t="s">
        <v>562</v>
      </c>
      <c r="AF92" s="58"/>
      <c r="AG92" s="58"/>
      <c r="AH92" s="58"/>
      <c r="AI92" s="58"/>
    </row>
    <row r="93" spans="1:35" x14ac:dyDescent="0.35">
      <c r="A93" s="17" t="s">
        <v>46</v>
      </c>
      <c r="B93" s="17" t="s">
        <v>1222</v>
      </c>
      <c r="C93" s="28" t="s">
        <v>1373</v>
      </c>
      <c r="D93" s="17" t="s">
        <v>1399</v>
      </c>
      <c r="E93" s="17" t="s">
        <v>1400</v>
      </c>
      <c r="F93" s="20">
        <v>79.05</v>
      </c>
      <c r="G93" s="20">
        <v>39</v>
      </c>
      <c r="H93" s="19">
        <v>167</v>
      </c>
      <c r="I93" s="20">
        <v>85</v>
      </c>
      <c r="J93" s="20">
        <v>82</v>
      </c>
      <c r="K93" s="20">
        <v>0</v>
      </c>
      <c r="L93" s="57">
        <f t="shared" si="10"/>
        <v>0</v>
      </c>
      <c r="M93" s="20">
        <v>167</v>
      </c>
      <c r="N93" s="57">
        <f t="shared" si="11"/>
        <v>1</v>
      </c>
      <c r="O93" s="46">
        <v>8.76</v>
      </c>
      <c r="P93" s="46">
        <v>0</v>
      </c>
      <c r="Q93" s="58" t="s">
        <v>562</v>
      </c>
      <c r="R93" s="58"/>
      <c r="S93" s="58"/>
      <c r="T93" s="58"/>
      <c r="U93" s="58"/>
      <c r="V93" s="58"/>
      <c r="W93" s="58"/>
      <c r="X93" s="58" t="s">
        <v>562</v>
      </c>
      <c r="Y93" s="58"/>
      <c r="Z93" s="58"/>
      <c r="AA93" s="58"/>
      <c r="AB93" s="58"/>
      <c r="AC93" s="58"/>
      <c r="AD93" s="58"/>
      <c r="AE93" s="58" t="s">
        <v>562</v>
      </c>
      <c r="AF93" s="58"/>
      <c r="AG93" s="58"/>
      <c r="AH93" s="58"/>
      <c r="AI93" s="58"/>
    </row>
    <row r="94" spans="1:35" x14ac:dyDescent="0.35">
      <c r="A94" s="17" t="s">
        <v>46</v>
      </c>
      <c r="B94" s="17" t="s">
        <v>1222</v>
      </c>
      <c r="C94" s="28" t="s">
        <v>1346</v>
      </c>
      <c r="D94" s="17" t="s">
        <v>1401</v>
      </c>
      <c r="E94" s="17" t="s">
        <v>1402</v>
      </c>
      <c r="F94" s="20">
        <v>148.08000000000001</v>
      </c>
      <c r="G94" s="20">
        <v>84</v>
      </c>
      <c r="H94" s="19">
        <v>372</v>
      </c>
      <c r="I94" s="20">
        <v>194</v>
      </c>
      <c r="J94" s="20">
        <v>178</v>
      </c>
      <c r="K94" s="20">
        <v>1</v>
      </c>
      <c r="L94" s="57">
        <f t="shared" si="10"/>
        <v>2.6881720430107529E-3</v>
      </c>
      <c r="M94" s="20">
        <v>324</v>
      </c>
      <c r="N94" s="57">
        <f t="shared" si="11"/>
        <v>0.87096774193548387</v>
      </c>
      <c r="O94" s="46">
        <v>0</v>
      </c>
      <c r="P94" s="46">
        <v>0</v>
      </c>
      <c r="Q94" s="58" t="s">
        <v>562</v>
      </c>
      <c r="R94" s="58"/>
      <c r="S94" s="58"/>
      <c r="T94" s="58"/>
      <c r="U94" s="58"/>
      <c r="V94" s="58"/>
      <c r="W94" s="58"/>
      <c r="X94" s="58" t="s">
        <v>562</v>
      </c>
      <c r="Y94" s="58"/>
      <c r="Z94" s="58"/>
      <c r="AA94" s="58"/>
      <c r="AB94" s="58"/>
      <c r="AC94" s="58"/>
      <c r="AD94" s="58"/>
      <c r="AE94" s="58" t="s">
        <v>562</v>
      </c>
      <c r="AF94" s="58"/>
      <c r="AG94" s="58"/>
      <c r="AH94" s="58"/>
      <c r="AI94" s="58"/>
    </row>
    <row r="95" spans="1:35" x14ac:dyDescent="0.35">
      <c r="A95" s="17" t="s">
        <v>46</v>
      </c>
      <c r="B95" s="17" t="s">
        <v>1222</v>
      </c>
      <c r="C95" s="28" t="s">
        <v>1378</v>
      </c>
      <c r="D95" s="17" t="s">
        <v>1403</v>
      </c>
      <c r="E95" s="17" t="s">
        <v>1404</v>
      </c>
      <c r="F95" s="28">
        <v>72.040000000000006</v>
      </c>
      <c r="G95" s="47"/>
      <c r="H95" s="19">
        <v>0</v>
      </c>
      <c r="I95" s="47"/>
      <c r="J95" s="47"/>
      <c r="K95" s="47"/>
      <c r="L95" s="57"/>
      <c r="M95" s="47"/>
      <c r="N95" s="57"/>
      <c r="O95" s="48">
        <v>0</v>
      </c>
      <c r="P95" s="48">
        <v>0</v>
      </c>
      <c r="Q95" s="58" t="s">
        <v>112</v>
      </c>
      <c r="R95" s="58"/>
      <c r="S95" s="58"/>
      <c r="T95" s="58"/>
      <c r="U95" s="58"/>
      <c r="V95" s="58"/>
      <c r="W95" s="58"/>
      <c r="X95" s="58" t="s">
        <v>112</v>
      </c>
      <c r="Y95" s="58"/>
      <c r="Z95" s="58"/>
      <c r="AA95" s="58"/>
      <c r="AB95" s="58"/>
      <c r="AC95" s="58" t="s">
        <v>112</v>
      </c>
      <c r="AD95" s="58"/>
      <c r="AE95" s="58"/>
      <c r="AF95" s="58"/>
      <c r="AG95" s="58"/>
      <c r="AH95" s="58"/>
      <c r="AI95" s="58"/>
    </row>
    <row r="96" spans="1:35" x14ac:dyDescent="0.35">
      <c r="A96" s="17" t="s">
        <v>46</v>
      </c>
      <c r="B96" s="17" t="s">
        <v>1222</v>
      </c>
      <c r="C96" s="28" t="s">
        <v>1378</v>
      </c>
      <c r="D96" s="17" t="s">
        <v>1405</v>
      </c>
      <c r="E96" s="17" t="s">
        <v>1406</v>
      </c>
      <c r="F96" s="28">
        <v>118.32</v>
      </c>
      <c r="G96" s="47"/>
      <c r="H96" s="19">
        <v>0</v>
      </c>
      <c r="I96" s="47"/>
      <c r="J96" s="47"/>
      <c r="K96" s="47"/>
      <c r="L96" s="57"/>
      <c r="M96" s="47"/>
      <c r="N96" s="57"/>
      <c r="O96" s="48">
        <v>0</v>
      </c>
      <c r="P96" s="48">
        <v>0</v>
      </c>
      <c r="Q96" s="58" t="s">
        <v>112</v>
      </c>
      <c r="R96" s="58"/>
      <c r="S96" s="58"/>
      <c r="T96" s="58"/>
      <c r="U96" s="58"/>
      <c r="V96" s="58"/>
      <c r="W96" s="58"/>
      <c r="X96" s="58" t="s">
        <v>112</v>
      </c>
      <c r="Y96" s="58"/>
      <c r="Z96" s="58"/>
      <c r="AA96" s="58"/>
      <c r="AB96" s="58"/>
      <c r="AC96" s="58" t="s">
        <v>112</v>
      </c>
      <c r="AD96" s="58"/>
      <c r="AE96" s="58"/>
      <c r="AF96" s="58"/>
      <c r="AG96" s="58"/>
      <c r="AH96" s="58"/>
      <c r="AI96" s="58"/>
    </row>
    <row r="97" spans="1:35" x14ac:dyDescent="0.35">
      <c r="A97" s="17" t="s">
        <v>46</v>
      </c>
      <c r="B97" s="17" t="s">
        <v>1222</v>
      </c>
      <c r="C97" s="28" t="s">
        <v>1346</v>
      </c>
      <c r="D97" s="17" t="s">
        <v>1407</v>
      </c>
      <c r="E97" s="17" t="s">
        <v>1408</v>
      </c>
      <c r="F97" s="20">
        <v>254.97</v>
      </c>
      <c r="G97" s="20">
        <v>70</v>
      </c>
      <c r="H97" s="19">
        <v>334</v>
      </c>
      <c r="I97" s="20">
        <v>167</v>
      </c>
      <c r="J97" s="20">
        <v>167</v>
      </c>
      <c r="K97" s="20">
        <v>36</v>
      </c>
      <c r="L97" s="57">
        <f>K97/H97</f>
        <v>0.10778443113772455</v>
      </c>
      <c r="M97" s="20">
        <v>250</v>
      </c>
      <c r="N97" s="57">
        <f>M97/H97</f>
        <v>0.74850299401197606</v>
      </c>
      <c r="O97" s="46">
        <v>0</v>
      </c>
      <c r="P97" s="46">
        <v>0</v>
      </c>
      <c r="Q97" s="58" t="s">
        <v>562</v>
      </c>
      <c r="R97" s="58"/>
      <c r="S97" s="58"/>
      <c r="T97" s="58"/>
      <c r="U97" s="58"/>
      <c r="V97" s="58"/>
      <c r="W97" s="58"/>
      <c r="X97" s="58" t="s">
        <v>562</v>
      </c>
      <c r="Y97" s="58"/>
      <c r="Z97" s="58"/>
      <c r="AA97" s="58"/>
      <c r="AB97" s="58"/>
      <c r="AC97" s="58"/>
      <c r="AD97" s="58"/>
      <c r="AE97" s="58" t="s">
        <v>562</v>
      </c>
      <c r="AF97" s="58"/>
      <c r="AG97" s="58"/>
      <c r="AH97" s="58"/>
      <c r="AI97" s="58"/>
    </row>
    <row r="98" spans="1:35" x14ac:dyDescent="0.35">
      <c r="A98" s="17" t="s">
        <v>46</v>
      </c>
      <c r="B98" s="17" t="s">
        <v>1222</v>
      </c>
      <c r="C98" s="28" t="s">
        <v>1298</v>
      </c>
      <c r="D98" s="17" t="s">
        <v>1409</v>
      </c>
      <c r="E98" s="17" t="s">
        <v>1410</v>
      </c>
      <c r="F98" s="28">
        <v>207.54</v>
      </c>
      <c r="G98" s="47"/>
      <c r="H98" s="19">
        <v>0</v>
      </c>
      <c r="I98" s="47"/>
      <c r="J98" s="47"/>
      <c r="K98" s="47"/>
      <c r="L98" s="57"/>
      <c r="M98" s="47"/>
      <c r="N98" s="57"/>
      <c r="O98" s="48">
        <v>0</v>
      </c>
      <c r="P98" s="48">
        <v>0</v>
      </c>
      <c r="Q98" s="58" t="s">
        <v>112</v>
      </c>
      <c r="R98" s="58"/>
      <c r="S98" s="58"/>
      <c r="T98" s="58"/>
      <c r="U98" s="58"/>
      <c r="V98" s="58"/>
      <c r="W98" s="58"/>
      <c r="X98" s="58" t="s">
        <v>112</v>
      </c>
      <c r="Y98" s="58"/>
      <c r="Z98" s="58"/>
      <c r="AA98" s="58"/>
      <c r="AB98" s="58"/>
      <c r="AC98" s="58" t="s">
        <v>112</v>
      </c>
      <c r="AD98" s="58"/>
      <c r="AE98" s="58"/>
      <c r="AF98" s="58"/>
      <c r="AG98" s="58"/>
      <c r="AH98" s="58"/>
      <c r="AI98" s="58"/>
    </row>
    <row r="99" spans="1:35" x14ac:dyDescent="0.35">
      <c r="A99" s="17" t="s">
        <v>46</v>
      </c>
      <c r="B99" s="17" t="s">
        <v>1222</v>
      </c>
      <c r="C99" s="28" t="s">
        <v>1378</v>
      </c>
      <c r="D99" s="17" t="s">
        <v>1411</v>
      </c>
      <c r="E99" s="17" t="s">
        <v>1412</v>
      </c>
      <c r="F99" s="28">
        <v>32.71</v>
      </c>
      <c r="G99" s="47"/>
      <c r="H99" s="19">
        <v>0</v>
      </c>
      <c r="I99" s="47"/>
      <c r="J99" s="47"/>
      <c r="K99" s="47"/>
      <c r="L99" s="57"/>
      <c r="M99" s="47"/>
      <c r="N99" s="57"/>
      <c r="O99" s="48">
        <v>0</v>
      </c>
      <c r="P99" s="48">
        <v>0</v>
      </c>
      <c r="Q99" s="58" t="s">
        <v>112</v>
      </c>
      <c r="R99" s="58"/>
      <c r="S99" s="58"/>
      <c r="T99" s="58"/>
      <c r="U99" s="58"/>
      <c r="V99" s="58"/>
      <c r="W99" s="58"/>
      <c r="X99" s="58" t="s">
        <v>112</v>
      </c>
      <c r="Y99" s="58"/>
      <c r="Z99" s="58"/>
      <c r="AA99" s="58"/>
      <c r="AB99" s="58"/>
      <c r="AC99" s="58" t="s">
        <v>112</v>
      </c>
      <c r="AD99" s="58"/>
      <c r="AE99" s="58"/>
      <c r="AF99" s="58"/>
      <c r="AG99" s="58"/>
      <c r="AH99" s="58"/>
      <c r="AI99" s="58"/>
    </row>
    <row r="100" spans="1:35" x14ac:dyDescent="0.35">
      <c r="A100" s="17" t="s">
        <v>46</v>
      </c>
      <c r="B100" s="17" t="s">
        <v>1222</v>
      </c>
      <c r="C100" s="28" t="s">
        <v>1378</v>
      </c>
      <c r="D100" s="17" t="s">
        <v>1413</v>
      </c>
      <c r="E100" s="17" t="s">
        <v>1414</v>
      </c>
      <c r="F100" s="28">
        <v>336.55</v>
      </c>
      <c r="G100" s="47"/>
      <c r="H100" s="19">
        <v>0</v>
      </c>
      <c r="I100" s="47"/>
      <c r="J100" s="47"/>
      <c r="K100" s="47"/>
      <c r="L100" s="57"/>
      <c r="M100" s="47"/>
      <c r="N100" s="57"/>
      <c r="O100" s="48">
        <v>0</v>
      </c>
      <c r="P100" s="48">
        <v>0</v>
      </c>
      <c r="Q100" s="58" t="s">
        <v>112</v>
      </c>
      <c r="R100" s="58"/>
      <c r="S100" s="58"/>
      <c r="T100" s="58"/>
      <c r="U100" s="58"/>
      <c r="V100" s="58"/>
      <c r="W100" s="58"/>
      <c r="X100" s="58" t="s">
        <v>112</v>
      </c>
      <c r="Y100" s="58"/>
      <c r="Z100" s="58"/>
      <c r="AA100" s="58"/>
      <c r="AB100" s="58"/>
      <c r="AC100" s="58" t="s">
        <v>112</v>
      </c>
      <c r="AD100" s="58"/>
      <c r="AE100" s="58"/>
      <c r="AF100" s="58"/>
      <c r="AG100" s="58"/>
      <c r="AH100" s="58"/>
      <c r="AI100" s="58"/>
    </row>
    <row r="101" spans="1:35" x14ac:dyDescent="0.35">
      <c r="A101" s="17" t="s">
        <v>46</v>
      </c>
      <c r="B101" s="17" t="s">
        <v>1222</v>
      </c>
      <c r="C101" s="28" t="s">
        <v>1378</v>
      </c>
      <c r="D101" s="17" t="s">
        <v>1415</v>
      </c>
      <c r="E101" s="17" t="s">
        <v>1416</v>
      </c>
      <c r="F101" s="20">
        <v>349.13</v>
      </c>
      <c r="G101" s="20">
        <v>16</v>
      </c>
      <c r="H101" s="19">
        <v>60</v>
      </c>
      <c r="I101" s="20">
        <v>29</v>
      </c>
      <c r="J101" s="20">
        <v>31</v>
      </c>
      <c r="K101" s="20">
        <v>0</v>
      </c>
      <c r="L101" s="57">
        <f>K101/H101</f>
        <v>0</v>
      </c>
      <c r="M101" s="20">
        <v>48</v>
      </c>
      <c r="N101" s="57">
        <f>M101/H101</f>
        <v>0.8</v>
      </c>
      <c r="O101" s="46">
        <v>3.45</v>
      </c>
      <c r="P101" s="46">
        <v>28.13</v>
      </c>
      <c r="Q101" s="58" t="s">
        <v>562</v>
      </c>
      <c r="R101" s="58"/>
      <c r="S101" s="58"/>
      <c r="T101" s="58"/>
      <c r="U101" s="58"/>
      <c r="V101" s="58"/>
      <c r="W101" s="58"/>
      <c r="X101" s="58" t="s">
        <v>562</v>
      </c>
      <c r="Y101" s="58"/>
      <c r="Z101" s="58"/>
      <c r="AA101" s="58"/>
      <c r="AB101" s="58"/>
      <c r="AC101" s="58"/>
      <c r="AD101" s="58"/>
      <c r="AE101" s="58" t="s">
        <v>562</v>
      </c>
      <c r="AF101" s="58"/>
      <c r="AG101" s="58"/>
      <c r="AH101" s="58"/>
      <c r="AI101" s="58"/>
    </row>
    <row r="102" spans="1:35" x14ac:dyDescent="0.35">
      <c r="A102" s="17" t="s">
        <v>46</v>
      </c>
      <c r="B102" s="17" t="s">
        <v>1222</v>
      </c>
      <c r="C102" s="28" t="s">
        <v>1311</v>
      </c>
      <c r="D102" s="17" t="s">
        <v>1417</v>
      </c>
      <c r="E102" s="17" t="s">
        <v>1418</v>
      </c>
      <c r="F102" s="20">
        <v>1284.5999999999999</v>
      </c>
      <c r="G102" s="20">
        <v>192</v>
      </c>
      <c r="H102" s="19">
        <v>843</v>
      </c>
      <c r="I102" s="20">
        <v>431</v>
      </c>
      <c r="J102" s="20">
        <v>412</v>
      </c>
      <c r="K102" s="20">
        <v>20</v>
      </c>
      <c r="L102" s="57">
        <f>K102/H102</f>
        <v>2.3724792408066429E-2</v>
      </c>
      <c r="M102" s="20">
        <v>796</v>
      </c>
      <c r="N102" s="57">
        <f>M102/H102</f>
        <v>0.94424673784104385</v>
      </c>
      <c r="O102" s="46">
        <v>45.74</v>
      </c>
      <c r="P102" s="46">
        <v>871.32</v>
      </c>
      <c r="Q102" s="58" t="s">
        <v>51</v>
      </c>
      <c r="R102" s="58">
        <v>2019</v>
      </c>
      <c r="S102" s="58"/>
      <c r="T102" s="58"/>
      <c r="U102" s="58"/>
      <c r="V102" s="58"/>
      <c r="W102" s="58"/>
      <c r="X102" s="58" t="s">
        <v>51</v>
      </c>
      <c r="Y102" s="58"/>
      <c r="Z102" s="58"/>
      <c r="AA102" s="58"/>
      <c r="AB102" s="58"/>
      <c r="AC102" s="58" t="s">
        <v>51</v>
      </c>
      <c r="AD102" s="58"/>
      <c r="AE102" s="58"/>
      <c r="AF102" s="58"/>
      <c r="AG102" s="58"/>
      <c r="AH102" s="58"/>
      <c r="AI102" s="58"/>
    </row>
    <row r="103" spans="1:35" x14ac:dyDescent="0.35">
      <c r="A103" s="17" t="s">
        <v>46</v>
      </c>
      <c r="B103" s="17" t="s">
        <v>1222</v>
      </c>
      <c r="C103" s="28" t="s">
        <v>1311</v>
      </c>
      <c r="D103" s="17" t="s">
        <v>1419</v>
      </c>
      <c r="E103" s="17" t="s">
        <v>1420</v>
      </c>
      <c r="F103" s="20">
        <v>1217.8900000000001</v>
      </c>
      <c r="G103" s="20">
        <v>81</v>
      </c>
      <c r="H103" s="19">
        <v>335</v>
      </c>
      <c r="I103" s="20">
        <v>161</v>
      </c>
      <c r="J103" s="20">
        <v>174</v>
      </c>
      <c r="K103" s="20">
        <v>7</v>
      </c>
      <c r="L103" s="57">
        <f>K103/H103</f>
        <v>2.0895522388059702E-2</v>
      </c>
      <c r="M103" s="20">
        <v>326</v>
      </c>
      <c r="N103" s="57">
        <f>M103/H103</f>
        <v>0.9731343283582089</v>
      </c>
      <c r="O103" s="46">
        <v>24.5</v>
      </c>
      <c r="P103" s="46">
        <v>0</v>
      </c>
      <c r="Q103" s="58" t="s">
        <v>562</v>
      </c>
      <c r="R103" s="58"/>
      <c r="S103" s="58"/>
      <c r="T103" s="58"/>
      <c r="U103" s="58"/>
      <c r="V103" s="58"/>
      <c r="W103" s="58"/>
      <c r="X103" s="58" t="s">
        <v>562</v>
      </c>
      <c r="Y103" s="58"/>
      <c r="Z103" s="58"/>
      <c r="AA103" s="58"/>
      <c r="AB103" s="58"/>
      <c r="AC103" s="58"/>
      <c r="AD103" s="58"/>
      <c r="AE103" s="58" t="s">
        <v>562</v>
      </c>
      <c r="AF103" s="58"/>
      <c r="AG103" s="58"/>
      <c r="AH103" s="58"/>
      <c r="AI103" s="58"/>
    </row>
    <row r="104" spans="1:35" x14ac:dyDescent="0.35">
      <c r="A104" s="17" t="s">
        <v>46</v>
      </c>
      <c r="B104" s="17" t="s">
        <v>1222</v>
      </c>
      <c r="C104" s="28" t="s">
        <v>1311</v>
      </c>
      <c r="D104" s="17" t="s">
        <v>1165</v>
      </c>
      <c r="E104" s="17" t="s">
        <v>1421</v>
      </c>
      <c r="F104" s="20">
        <v>239.63</v>
      </c>
      <c r="G104" s="20">
        <v>94</v>
      </c>
      <c r="H104" s="19">
        <v>362</v>
      </c>
      <c r="I104" s="20">
        <v>188</v>
      </c>
      <c r="J104" s="20">
        <v>174</v>
      </c>
      <c r="K104" s="20">
        <v>0</v>
      </c>
      <c r="L104" s="57">
        <f>K104/H104</f>
        <v>0</v>
      </c>
      <c r="M104" s="20">
        <v>362</v>
      </c>
      <c r="N104" s="57">
        <f>M104/H104</f>
        <v>1</v>
      </c>
      <c r="O104" s="46">
        <v>28.25</v>
      </c>
      <c r="P104" s="46">
        <v>0</v>
      </c>
      <c r="Q104" s="58" t="s">
        <v>51</v>
      </c>
      <c r="R104" s="58">
        <v>2019</v>
      </c>
      <c r="S104" s="58"/>
      <c r="T104" s="58"/>
      <c r="U104" s="58"/>
      <c r="V104" s="58"/>
      <c r="W104" s="58"/>
      <c r="X104" s="58" t="s">
        <v>51</v>
      </c>
      <c r="Y104" s="58"/>
      <c r="Z104" s="58"/>
      <c r="AA104" s="58"/>
      <c r="AB104" s="58"/>
      <c r="AC104" s="58" t="s">
        <v>51</v>
      </c>
      <c r="AD104" s="58"/>
      <c r="AE104" s="58"/>
      <c r="AF104" s="58"/>
      <c r="AG104" s="58"/>
      <c r="AH104" s="58"/>
      <c r="AI104" s="58"/>
    </row>
    <row r="105" spans="1:35" x14ac:dyDescent="0.35">
      <c r="A105" s="17" t="s">
        <v>46</v>
      </c>
      <c r="B105" s="17" t="s">
        <v>1222</v>
      </c>
      <c r="C105" s="28" t="s">
        <v>1311</v>
      </c>
      <c r="D105" s="17" t="s">
        <v>1422</v>
      </c>
      <c r="E105" s="17" t="s">
        <v>1423</v>
      </c>
      <c r="F105" s="28">
        <v>329.59</v>
      </c>
      <c r="G105" s="47"/>
      <c r="H105" s="19">
        <v>0</v>
      </c>
      <c r="I105" s="47"/>
      <c r="J105" s="47"/>
      <c r="K105" s="47"/>
      <c r="L105" s="57"/>
      <c r="M105" s="47"/>
      <c r="N105" s="57"/>
      <c r="O105" s="48">
        <v>328.38</v>
      </c>
      <c r="P105" s="48">
        <v>0</v>
      </c>
      <c r="Q105" s="58" t="s">
        <v>112</v>
      </c>
      <c r="R105" s="58"/>
      <c r="S105" s="58"/>
      <c r="T105" s="58"/>
      <c r="U105" s="58"/>
      <c r="V105" s="58"/>
      <c r="W105" s="58"/>
      <c r="X105" s="58" t="s">
        <v>112</v>
      </c>
      <c r="Y105" s="58"/>
      <c r="Z105" s="58"/>
      <c r="AA105" s="58"/>
      <c r="AB105" s="58"/>
      <c r="AC105" s="58" t="s">
        <v>112</v>
      </c>
      <c r="AD105" s="58"/>
      <c r="AE105" s="58"/>
      <c r="AF105" s="58"/>
      <c r="AG105" s="58"/>
      <c r="AH105" s="58"/>
      <c r="AI105" s="58"/>
    </row>
    <row r="106" spans="1:35" x14ac:dyDescent="0.35">
      <c r="A106" s="17" t="s">
        <v>46</v>
      </c>
      <c r="B106" s="17" t="s">
        <v>1222</v>
      </c>
      <c r="C106" s="28" t="s">
        <v>1311</v>
      </c>
      <c r="D106" s="17" t="s">
        <v>1424</v>
      </c>
      <c r="E106" s="17" t="s">
        <v>1425</v>
      </c>
      <c r="F106" s="20">
        <v>369.46</v>
      </c>
      <c r="G106" s="20">
        <v>48</v>
      </c>
      <c r="H106" s="19">
        <v>214</v>
      </c>
      <c r="I106" s="20">
        <v>109</v>
      </c>
      <c r="J106" s="20">
        <v>105</v>
      </c>
      <c r="K106" s="20">
        <v>10</v>
      </c>
      <c r="L106" s="57">
        <f t="shared" ref="L106:L111" si="12">K106/H106</f>
        <v>4.6728971962616821E-2</v>
      </c>
      <c r="M106" s="20">
        <v>188</v>
      </c>
      <c r="N106" s="57">
        <f t="shared" ref="N106:N111" si="13">M106/H106</f>
        <v>0.87850467289719625</v>
      </c>
      <c r="O106" s="46">
        <v>0.97</v>
      </c>
      <c r="P106" s="46">
        <v>0</v>
      </c>
      <c r="Q106" s="58" t="s">
        <v>562</v>
      </c>
      <c r="R106" s="58"/>
      <c r="S106" s="58"/>
      <c r="T106" s="58"/>
      <c r="U106" s="58"/>
      <c r="V106" s="58"/>
      <c r="W106" s="58"/>
      <c r="X106" s="58" t="s">
        <v>562</v>
      </c>
      <c r="Y106" s="58"/>
      <c r="Z106" s="58"/>
      <c r="AA106" s="58"/>
      <c r="AB106" s="58"/>
      <c r="AC106" s="58"/>
      <c r="AD106" s="58"/>
      <c r="AE106" s="58" t="s">
        <v>562</v>
      </c>
      <c r="AF106" s="58"/>
      <c r="AG106" s="58"/>
      <c r="AH106" s="58"/>
      <c r="AI106" s="58"/>
    </row>
    <row r="107" spans="1:35" x14ac:dyDescent="0.35">
      <c r="A107" s="17" t="s">
        <v>46</v>
      </c>
      <c r="B107" s="17" t="s">
        <v>1222</v>
      </c>
      <c r="C107" s="28" t="s">
        <v>1323</v>
      </c>
      <c r="D107" s="17" t="s">
        <v>1426</v>
      </c>
      <c r="E107" s="17" t="s">
        <v>1427</v>
      </c>
      <c r="F107" s="20">
        <v>1701.95</v>
      </c>
      <c r="G107" s="20">
        <v>155</v>
      </c>
      <c r="H107" s="19">
        <v>739</v>
      </c>
      <c r="I107" s="20">
        <v>388</v>
      </c>
      <c r="J107" s="20">
        <v>351</v>
      </c>
      <c r="K107" s="20">
        <v>0</v>
      </c>
      <c r="L107" s="57">
        <f t="shared" si="12"/>
        <v>0</v>
      </c>
      <c r="M107" s="20">
        <v>672</v>
      </c>
      <c r="N107" s="57">
        <f t="shared" si="13"/>
        <v>0.90933694181326119</v>
      </c>
      <c r="O107" s="46">
        <v>14.24</v>
      </c>
      <c r="P107" s="46">
        <v>1421.77</v>
      </c>
      <c r="Q107" s="58" t="s">
        <v>51</v>
      </c>
      <c r="R107" s="58">
        <v>2021</v>
      </c>
      <c r="S107" s="58"/>
      <c r="T107" s="58"/>
      <c r="U107" s="58"/>
      <c r="V107" s="58"/>
      <c r="W107" s="58"/>
      <c r="X107" s="58" t="s">
        <v>51</v>
      </c>
      <c r="Y107" s="58"/>
      <c r="Z107" s="58"/>
      <c r="AA107" s="58"/>
      <c r="AB107" s="58"/>
      <c r="AC107" s="58" t="s">
        <v>51</v>
      </c>
      <c r="AD107" s="58"/>
      <c r="AE107" s="58"/>
      <c r="AF107" s="58"/>
      <c r="AG107" s="58"/>
      <c r="AH107" s="58"/>
      <c r="AI107" s="58"/>
    </row>
    <row r="108" spans="1:35" x14ac:dyDescent="0.35">
      <c r="A108" s="17" t="s">
        <v>46</v>
      </c>
      <c r="B108" s="17" t="s">
        <v>1222</v>
      </c>
      <c r="C108" s="28" t="s">
        <v>1323</v>
      </c>
      <c r="D108" s="17" t="s">
        <v>1428</v>
      </c>
      <c r="E108" s="17" t="s">
        <v>1429</v>
      </c>
      <c r="F108" s="20">
        <v>504.47</v>
      </c>
      <c r="G108" s="20">
        <v>50</v>
      </c>
      <c r="H108" s="19">
        <v>253</v>
      </c>
      <c r="I108" s="20">
        <v>125</v>
      </c>
      <c r="J108" s="20">
        <v>128</v>
      </c>
      <c r="K108" s="20">
        <v>0</v>
      </c>
      <c r="L108" s="57">
        <f t="shared" si="12"/>
        <v>0</v>
      </c>
      <c r="M108" s="20">
        <v>216</v>
      </c>
      <c r="N108" s="57">
        <f t="shared" si="13"/>
        <v>0.85375494071146241</v>
      </c>
      <c r="O108" s="46">
        <v>0</v>
      </c>
      <c r="P108" s="46">
        <v>405.63</v>
      </c>
      <c r="Q108" s="58" t="s">
        <v>562</v>
      </c>
      <c r="R108" s="58"/>
      <c r="S108" s="58"/>
      <c r="T108" s="58"/>
      <c r="U108" s="58"/>
      <c r="V108" s="58"/>
      <c r="W108" s="58"/>
      <c r="X108" s="58" t="s">
        <v>562</v>
      </c>
      <c r="Y108" s="58"/>
      <c r="Z108" s="58"/>
      <c r="AA108" s="58"/>
      <c r="AB108" s="58"/>
      <c r="AC108" s="58"/>
      <c r="AD108" s="58"/>
      <c r="AE108" s="58" t="s">
        <v>562</v>
      </c>
      <c r="AF108" s="58"/>
      <c r="AG108" s="58"/>
      <c r="AH108" s="58"/>
      <c r="AI108" s="58"/>
    </row>
    <row r="109" spans="1:35" x14ac:dyDescent="0.35">
      <c r="A109" s="17" t="s">
        <v>46</v>
      </c>
      <c r="B109" s="17" t="s">
        <v>1222</v>
      </c>
      <c r="C109" s="28" t="s">
        <v>1430</v>
      </c>
      <c r="D109" s="17" t="s">
        <v>1431</v>
      </c>
      <c r="E109" s="17" t="s">
        <v>1432</v>
      </c>
      <c r="F109" s="20">
        <v>710.32</v>
      </c>
      <c r="G109" s="20">
        <v>199</v>
      </c>
      <c r="H109" s="19">
        <v>857</v>
      </c>
      <c r="I109" s="20">
        <v>436</v>
      </c>
      <c r="J109" s="20">
        <v>421</v>
      </c>
      <c r="K109" s="20">
        <v>0</v>
      </c>
      <c r="L109" s="57">
        <f t="shared" si="12"/>
        <v>0</v>
      </c>
      <c r="M109" s="20">
        <v>683</v>
      </c>
      <c r="N109" s="57">
        <f t="shared" si="13"/>
        <v>0.79696616102683782</v>
      </c>
      <c r="O109" s="46">
        <v>71.66</v>
      </c>
      <c r="P109" s="46">
        <v>352.34</v>
      </c>
      <c r="Q109" s="58" t="s">
        <v>562</v>
      </c>
      <c r="R109" s="58"/>
      <c r="S109" s="58"/>
      <c r="T109" s="58"/>
      <c r="U109" s="58"/>
      <c r="V109" s="58"/>
      <c r="W109" s="58"/>
      <c r="X109" s="58" t="s">
        <v>562</v>
      </c>
      <c r="Y109" s="58"/>
      <c r="Z109" s="58"/>
      <c r="AA109" s="58"/>
      <c r="AB109" s="58"/>
      <c r="AC109" s="58"/>
      <c r="AD109" s="58"/>
      <c r="AE109" s="58" t="s">
        <v>562</v>
      </c>
      <c r="AF109" s="58"/>
      <c r="AG109" s="58"/>
      <c r="AH109" s="58"/>
      <c r="AI109" s="58"/>
    </row>
    <row r="110" spans="1:35" x14ac:dyDescent="0.35">
      <c r="A110" s="17" t="s">
        <v>46</v>
      </c>
      <c r="B110" s="17" t="s">
        <v>1222</v>
      </c>
      <c r="C110" s="28" t="s">
        <v>1311</v>
      </c>
      <c r="D110" s="17" t="s">
        <v>116</v>
      </c>
      <c r="E110" s="17" t="s">
        <v>1433</v>
      </c>
      <c r="F110" s="20">
        <v>759.36</v>
      </c>
      <c r="G110" s="20">
        <v>100</v>
      </c>
      <c r="H110" s="19">
        <v>427</v>
      </c>
      <c r="I110" s="20">
        <v>209</v>
      </c>
      <c r="J110" s="20">
        <v>218</v>
      </c>
      <c r="K110" s="20">
        <v>0</v>
      </c>
      <c r="L110" s="57">
        <f t="shared" si="12"/>
        <v>0</v>
      </c>
      <c r="M110" s="20">
        <v>234</v>
      </c>
      <c r="N110" s="57">
        <f t="shared" si="13"/>
        <v>0.54800936768149888</v>
      </c>
      <c r="O110" s="46">
        <v>45.41</v>
      </c>
      <c r="P110" s="46">
        <v>618.42999999999995</v>
      </c>
      <c r="Q110" s="58" t="s">
        <v>51</v>
      </c>
      <c r="R110" s="58">
        <v>2019</v>
      </c>
      <c r="S110" s="58"/>
      <c r="T110" s="58"/>
      <c r="U110" s="58"/>
      <c r="V110" s="58"/>
      <c r="W110" s="58"/>
      <c r="X110" s="58" t="s">
        <v>51</v>
      </c>
      <c r="Y110" s="58"/>
      <c r="Z110" s="58"/>
      <c r="AA110" s="58"/>
      <c r="AB110" s="58"/>
      <c r="AC110" s="58" t="s">
        <v>51</v>
      </c>
      <c r="AD110" s="58"/>
      <c r="AE110" s="58"/>
      <c r="AF110" s="58"/>
      <c r="AG110" s="58"/>
      <c r="AH110" s="58"/>
      <c r="AI110" s="58"/>
    </row>
    <row r="111" spans="1:35" x14ac:dyDescent="0.35">
      <c r="A111" s="17" t="s">
        <v>46</v>
      </c>
      <c r="B111" s="17" t="s">
        <v>1222</v>
      </c>
      <c r="C111" s="28" t="s">
        <v>1311</v>
      </c>
      <c r="D111" s="17" t="s">
        <v>1434</v>
      </c>
      <c r="E111" s="17" t="s">
        <v>1435</v>
      </c>
      <c r="F111" s="20">
        <v>451.07</v>
      </c>
      <c r="G111" s="20">
        <v>5</v>
      </c>
      <c r="H111" s="19">
        <v>22</v>
      </c>
      <c r="I111" s="20">
        <v>12</v>
      </c>
      <c r="J111" s="20">
        <v>10</v>
      </c>
      <c r="K111" s="20">
        <v>0</v>
      </c>
      <c r="L111" s="57">
        <f t="shared" si="12"/>
        <v>0</v>
      </c>
      <c r="M111" s="20">
        <v>22</v>
      </c>
      <c r="N111" s="57">
        <f t="shared" si="13"/>
        <v>1</v>
      </c>
      <c r="O111" s="46">
        <v>0</v>
      </c>
      <c r="P111" s="46">
        <v>429.29</v>
      </c>
      <c r="Q111" s="58" t="s">
        <v>562</v>
      </c>
      <c r="R111" s="58"/>
      <c r="S111" s="58"/>
      <c r="T111" s="58"/>
      <c r="U111" s="58"/>
      <c r="V111" s="58"/>
      <c r="W111" s="58"/>
      <c r="X111" s="58" t="s">
        <v>562</v>
      </c>
      <c r="Y111" s="58"/>
      <c r="Z111" s="58"/>
      <c r="AA111" s="58"/>
      <c r="AB111" s="58"/>
      <c r="AC111" s="58"/>
      <c r="AD111" s="58"/>
      <c r="AE111" s="58" t="s">
        <v>562</v>
      </c>
      <c r="AF111" s="58"/>
      <c r="AG111" s="58"/>
      <c r="AH111" s="58"/>
      <c r="AI111" s="58"/>
    </row>
    <row r="112" spans="1:35" x14ac:dyDescent="0.35">
      <c r="A112" s="17" t="s">
        <v>46</v>
      </c>
      <c r="B112" s="17" t="s">
        <v>1222</v>
      </c>
      <c r="C112" s="28" t="s">
        <v>1311</v>
      </c>
      <c r="D112" s="17" t="s">
        <v>1436</v>
      </c>
      <c r="E112" s="17" t="s">
        <v>1437</v>
      </c>
      <c r="F112" s="28">
        <v>257.20999999999998</v>
      </c>
      <c r="G112" s="47"/>
      <c r="H112" s="19">
        <v>0</v>
      </c>
      <c r="I112" s="47"/>
      <c r="J112" s="47"/>
      <c r="K112" s="47"/>
      <c r="L112" s="57"/>
      <c r="M112" s="47"/>
      <c r="N112" s="57"/>
      <c r="O112" s="48">
        <v>0</v>
      </c>
      <c r="P112" s="48">
        <v>0</v>
      </c>
      <c r="Q112" s="58" t="s">
        <v>112</v>
      </c>
      <c r="R112" s="58"/>
      <c r="S112" s="58"/>
      <c r="T112" s="58"/>
      <c r="U112" s="58"/>
      <c r="V112" s="58"/>
      <c r="W112" s="58"/>
      <c r="X112" s="58" t="s">
        <v>112</v>
      </c>
      <c r="Y112" s="58"/>
      <c r="Z112" s="58"/>
      <c r="AA112" s="58"/>
      <c r="AB112" s="58"/>
      <c r="AC112" s="58" t="s">
        <v>112</v>
      </c>
      <c r="AD112" s="58"/>
      <c r="AE112" s="58"/>
      <c r="AF112" s="58"/>
      <c r="AG112" s="58"/>
      <c r="AH112" s="58"/>
      <c r="AI112" s="58"/>
    </row>
    <row r="113" spans="1:35" x14ac:dyDescent="0.35">
      <c r="A113" s="17" t="s">
        <v>46</v>
      </c>
      <c r="B113" s="17" t="s">
        <v>1222</v>
      </c>
      <c r="C113" s="28" t="s">
        <v>1298</v>
      </c>
      <c r="D113" s="17" t="s">
        <v>1438</v>
      </c>
      <c r="E113" s="17" t="s">
        <v>1439</v>
      </c>
      <c r="F113" s="28">
        <v>483.52</v>
      </c>
      <c r="G113" s="47"/>
      <c r="H113" s="19">
        <v>0</v>
      </c>
      <c r="I113" s="47"/>
      <c r="J113" s="47"/>
      <c r="K113" s="47"/>
      <c r="L113" s="57"/>
      <c r="M113" s="47"/>
      <c r="N113" s="57"/>
      <c r="O113" s="48">
        <v>0</v>
      </c>
      <c r="P113" s="48">
        <v>198.2</v>
      </c>
      <c r="Q113" s="58" t="s">
        <v>112</v>
      </c>
      <c r="R113" s="58"/>
      <c r="S113" s="58"/>
      <c r="T113" s="58"/>
      <c r="U113" s="58"/>
      <c r="V113" s="58"/>
      <c r="W113" s="58"/>
      <c r="X113" s="58" t="s">
        <v>112</v>
      </c>
      <c r="Y113" s="58"/>
      <c r="Z113" s="58"/>
      <c r="AA113" s="58"/>
      <c r="AB113" s="58"/>
      <c r="AC113" s="58" t="s">
        <v>112</v>
      </c>
      <c r="AD113" s="58"/>
      <c r="AE113" s="58"/>
      <c r="AF113" s="58"/>
      <c r="AG113" s="58"/>
      <c r="AH113" s="58"/>
      <c r="AI113" s="58"/>
    </row>
    <row r="114" spans="1:35" x14ac:dyDescent="0.35">
      <c r="A114" s="17" t="s">
        <v>46</v>
      </c>
      <c r="B114" s="17" t="s">
        <v>1222</v>
      </c>
      <c r="C114" s="28" t="s">
        <v>1270</v>
      </c>
      <c r="D114" s="17" t="s">
        <v>430</v>
      </c>
      <c r="E114" s="17" t="s">
        <v>1440</v>
      </c>
      <c r="F114" s="20">
        <v>247.66</v>
      </c>
      <c r="G114" s="20">
        <v>82</v>
      </c>
      <c r="H114" s="19">
        <v>400</v>
      </c>
      <c r="I114" s="20">
        <v>206</v>
      </c>
      <c r="J114" s="20">
        <v>194</v>
      </c>
      <c r="K114" s="20">
        <v>0</v>
      </c>
      <c r="L114" s="57">
        <f>K114/H114</f>
        <v>0</v>
      </c>
      <c r="M114" s="20">
        <v>399</v>
      </c>
      <c r="N114" s="57">
        <f>M114/H114</f>
        <v>0.99750000000000005</v>
      </c>
      <c r="O114" s="46">
        <v>14.36</v>
      </c>
      <c r="P114" s="46">
        <v>122.39</v>
      </c>
      <c r="Q114" s="58" t="s">
        <v>562</v>
      </c>
      <c r="R114" s="58"/>
      <c r="S114" s="58"/>
      <c r="T114" s="58"/>
      <c r="U114" s="58"/>
      <c r="V114" s="58"/>
      <c r="W114" s="58"/>
      <c r="X114" s="58" t="s">
        <v>562</v>
      </c>
      <c r="Y114" s="58"/>
      <c r="Z114" s="58"/>
      <c r="AA114" s="58"/>
      <c r="AB114" s="58"/>
      <c r="AC114" s="58"/>
      <c r="AD114" s="58"/>
      <c r="AE114" s="58" t="s">
        <v>562</v>
      </c>
      <c r="AF114" s="58"/>
      <c r="AG114" s="58"/>
      <c r="AH114" s="58"/>
      <c r="AI114" s="58"/>
    </row>
    <row r="115" spans="1:35" x14ac:dyDescent="0.35">
      <c r="A115" s="17" t="s">
        <v>46</v>
      </c>
      <c r="B115" s="17" t="s">
        <v>1222</v>
      </c>
      <c r="C115" s="28" t="s">
        <v>1441</v>
      </c>
      <c r="D115" s="17" t="s">
        <v>89</v>
      </c>
      <c r="E115" s="17" t="s">
        <v>1442</v>
      </c>
      <c r="F115" s="28">
        <v>713.51</v>
      </c>
      <c r="G115" s="47"/>
      <c r="H115" s="19">
        <v>0</v>
      </c>
      <c r="I115" s="47"/>
      <c r="J115" s="47"/>
      <c r="K115" s="47"/>
      <c r="L115" s="57"/>
      <c r="M115" s="47"/>
      <c r="N115" s="57"/>
      <c r="O115" s="48">
        <v>0</v>
      </c>
      <c r="P115" s="48">
        <v>166.54</v>
      </c>
      <c r="Q115" s="58" t="s">
        <v>112</v>
      </c>
      <c r="R115" s="58"/>
      <c r="S115" s="58"/>
      <c r="T115" s="58"/>
      <c r="U115" s="58"/>
      <c r="V115" s="58"/>
      <c r="W115" s="58"/>
      <c r="X115" s="58" t="s">
        <v>112</v>
      </c>
      <c r="Y115" s="58"/>
      <c r="Z115" s="58"/>
      <c r="AA115" s="58"/>
      <c r="AB115" s="58"/>
      <c r="AC115" s="58" t="s">
        <v>112</v>
      </c>
      <c r="AD115" s="58"/>
      <c r="AE115" s="58"/>
      <c r="AF115" s="58"/>
      <c r="AG115" s="58"/>
      <c r="AH115" s="58"/>
      <c r="AI115" s="58"/>
    </row>
    <row r="116" spans="1:35" x14ac:dyDescent="0.35">
      <c r="A116" s="17" t="s">
        <v>46</v>
      </c>
      <c r="B116" s="17" t="s">
        <v>1222</v>
      </c>
      <c r="C116" s="28" t="s">
        <v>1270</v>
      </c>
      <c r="D116" s="17" t="s">
        <v>1299</v>
      </c>
      <c r="E116" s="17" t="s">
        <v>1443</v>
      </c>
      <c r="F116" s="28">
        <v>148.29</v>
      </c>
      <c r="G116" s="47"/>
      <c r="H116" s="19">
        <v>0</v>
      </c>
      <c r="I116" s="47"/>
      <c r="J116" s="47"/>
      <c r="K116" s="47"/>
      <c r="L116" s="57"/>
      <c r="M116" s="47"/>
      <c r="N116" s="57"/>
      <c r="O116" s="48">
        <v>0</v>
      </c>
      <c r="P116" s="48">
        <v>50.43</v>
      </c>
      <c r="Q116" s="58" t="s">
        <v>112</v>
      </c>
      <c r="R116" s="58"/>
      <c r="S116" s="58"/>
      <c r="T116" s="58"/>
      <c r="U116" s="58"/>
      <c r="V116" s="58"/>
      <c r="W116" s="58"/>
      <c r="X116" s="58" t="s">
        <v>112</v>
      </c>
      <c r="Y116" s="58"/>
      <c r="Z116" s="58"/>
      <c r="AA116" s="58"/>
      <c r="AB116" s="58"/>
      <c r="AC116" s="58" t="s">
        <v>112</v>
      </c>
      <c r="AD116" s="58"/>
      <c r="AE116" s="58"/>
      <c r="AF116" s="58"/>
      <c r="AG116" s="58"/>
      <c r="AH116" s="58"/>
      <c r="AI116" s="58"/>
    </row>
    <row r="117" spans="1:35" x14ac:dyDescent="0.35">
      <c r="A117" s="17" t="s">
        <v>46</v>
      </c>
      <c r="B117" s="17" t="s">
        <v>1222</v>
      </c>
      <c r="C117" s="28" t="s">
        <v>1298</v>
      </c>
      <c r="D117" s="17" t="s">
        <v>48</v>
      </c>
      <c r="E117" s="17" t="s">
        <v>1444</v>
      </c>
      <c r="F117" s="28">
        <v>83.78</v>
      </c>
      <c r="G117" s="47"/>
      <c r="H117" s="19">
        <v>0</v>
      </c>
      <c r="I117" s="47"/>
      <c r="J117" s="47"/>
      <c r="K117" s="47"/>
      <c r="L117" s="57"/>
      <c r="M117" s="47"/>
      <c r="N117" s="57"/>
      <c r="O117" s="48">
        <v>0</v>
      </c>
      <c r="P117" s="48">
        <v>0</v>
      </c>
      <c r="Q117" s="58" t="s">
        <v>112</v>
      </c>
      <c r="R117" s="58"/>
      <c r="S117" s="58"/>
      <c r="T117" s="58"/>
      <c r="U117" s="58"/>
      <c r="V117" s="58"/>
      <c r="W117" s="58"/>
      <c r="X117" s="58" t="s">
        <v>112</v>
      </c>
      <c r="Y117" s="58"/>
      <c r="Z117" s="58"/>
      <c r="AA117" s="58"/>
      <c r="AB117" s="58"/>
      <c r="AC117" s="58" t="s">
        <v>112</v>
      </c>
      <c r="AD117" s="58"/>
      <c r="AE117" s="58"/>
      <c r="AF117" s="58"/>
      <c r="AG117" s="58"/>
      <c r="AH117" s="58"/>
      <c r="AI117" s="58"/>
    </row>
    <row r="118" spans="1:35" x14ac:dyDescent="0.35">
      <c r="A118" s="17" t="s">
        <v>46</v>
      </c>
      <c r="B118" s="17" t="s">
        <v>1222</v>
      </c>
      <c r="C118" s="28" t="s">
        <v>1445</v>
      </c>
      <c r="D118" s="17" t="s">
        <v>1390</v>
      </c>
      <c r="E118" s="17" t="s">
        <v>1446</v>
      </c>
      <c r="F118" s="28">
        <v>273.7</v>
      </c>
      <c r="G118" s="47"/>
      <c r="H118" s="19">
        <v>0</v>
      </c>
      <c r="I118" s="47"/>
      <c r="J118" s="47"/>
      <c r="K118" s="47"/>
      <c r="L118" s="57"/>
      <c r="M118" s="47"/>
      <c r="N118" s="57"/>
      <c r="O118" s="48">
        <v>0</v>
      </c>
      <c r="P118" s="48">
        <v>59.53</v>
      </c>
      <c r="Q118" s="58" t="s">
        <v>112</v>
      </c>
      <c r="R118" s="58"/>
      <c r="S118" s="58"/>
      <c r="T118" s="58"/>
      <c r="U118" s="58"/>
      <c r="V118" s="58"/>
      <c r="W118" s="58"/>
      <c r="X118" s="58" t="s">
        <v>112</v>
      </c>
      <c r="Y118" s="58"/>
      <c r="Z118" s="58"/>
      <c r="AA118" s="58"/>
      <c r="AB118" s="58"/>
      <c r="AC118" s="58" t="s">
        <v>112</v>
      </c>
      <c r="AD118" s="58"/>
      <c r="AE118" s="58"/>
      <c r="AF118" s="58"/>
      <c r="AG118" s="58"/>
      <c r="AH118" s="58"/>
      <c r="AI118" s="58"/>
    </row>
    <row r="119" spans="1:35" x14ac:dyDescent="0.35">
      <c r="A119" s="17" t="s">
        <v>46</v>
      </c>
      <c r="B119" s="17" t="s">
        <v>1222</v>
      </c>
      <c r="C119" s="28" t="s">
        <v>1298</v>
      </c>
      <c r="D119" s="17" t="s">
        <v>1447</v>
      </c>
      <c r="E119" s="17" t="s">
        <v>1448</v>
      </c>
      <c r="F119" s="28">
        <v>230.96</v>
      </c>
      <c r="G119" s="47"/>
      <c r="H119" s="19">
        <v>0</v>
      </c>
      <c r="I119" s="47"/>
      <c r="J119" s="47"/>
      <c r="K119" s="47"/>
      <c r="L119" s="57"/>
      <c r="M119" s="47"/>
      <c r="N119" s="57"/>
      <c r="O119" s="48">
        <v>0</v>
      </c>
      <c r="P119" s="48">
        <v>105.04</v>
      </c>
      <c r="Q119" s="58" t="s">
        <v>112</v>
      </c>
      <c r="R119" s="58"/>
      <c r="S119" s="58"/>
      <c r="T119" s="58"/>
      <c r="U119" s="58"/>
      <c r="V119" s="58"/>
      <c r="W119" s="58"/>
      <c r="X119" s="58" t="s">
        <v>112</v>
      </c>
      <c r="Y119" s="58"/>
      <c r="Z119" s="58"/>
      <c r="AA119" s="58"/>
      <c r="AB119" s="58"/>
      <c r="AC119" s="58" t="s">
        <v>112</v>
      </c>
      <c r="AD119" s="58"/>
      <c r="AE119" s="58"/>
      <c r="AF119" s="58"/>
      <c r="AG119" s="58"/>
      <c r="AH119" s="58"/>
      <c r="AI119" s="58"/>
    </row>
    <row r="120" spans="1:35" x14ac:dyDescent="0.35">
      <c r="A120" s="17" t="s">
        <v>46</v>
      </c>
      <c r="B120" s="17" t="s">
        <v>1222</v>
      </c>
      <c r="C120" s="28" t="s">
        <v>1298</v>
      </c>
      <c r="D120" s="17" t="s">
        <v>243</v>
      </c>
      <c r="E120" s="17" t="s">
        <v>1449</v>
      </c>
      <c r="F120" s="28">
        <v>626.17999999999995</v>
      </c>
      <c r="G120" s="47"/>
      <c r="H120" s="19">
        <v>0</v>
      </c>
      <c r="I120" s="47"/>
      <c r="J120" s="47"/>
      <c r="K120" s="47"/>
      <c r="L120" s="57"/>
      <c r="M120" s="47"/>
      <c r="N120" s="57"/>
      <c r="O120" s="48">
        <v>0</v>
      </c>
      <c r="P120" s="48">
        <v>465.34</v>
      </c>
      <c r="Q120" s="58" t="s">
        <v>112</v>
      </c>
      <c r="R120" s="58"/>
      <c r="S120" s="58"/>
      <c r="T120" s="58"/>
      <c r="U120" s="58"/>
      <c r="V120" s="58"/>
      <c r="W120" s="58"/>
      <c r="X120" s="58" t="s">
        <v>112</v>
      </c>
      <c r="Y120" s="58"/>
      <c r="Z120" s="58"/>
      <c r="AA120" s="58"/>
      <c r="AB120" s="58"/>
      <c r="AC120" s="58" t="s">
        <v>112</v>
      </c>
      <c r="AD120" s="58"/>
      <c r="AE120" s="58"/>
      <c r="AF120" s="58"/>
      <c r="AG120" s="58"/>
      <c r="AH120" s="58"/>
      <c r="AI120" s="58"/>
    </row>
    <row r="121" spans="1:35" x14ac:dyDescent="0.35">
      <c r="A121" s="17" t="s">
        <v>46</v>
      </c>
      <c r="B121" s="17" t="s">
        <v>1222</v>
      </c>
      <c r="C121" s="28" t="s">
        <v>1311</v>
      </c>
      <c r="D121" s="17" t="s">
        <v>1450</v>
      </c>
      <c r="E121" s="17" t="s">
        <v>1451</v>
      </c>
      <c r="F121" s="20">
        <v>1657.2</v>
      </c>
      <c r="G121" s="20">
        <v>220</v>
      </c>
      <c r="H121" s="19">
        <v>981</v>
      </c>
      <c r="I121" s="20">
        <v>490</v>
      </c>
      <c r="J121" s="20">
        <v>491</v>
      </c>
      <c r="K121" s="20">
        <v>74</v>
      </c>
      <c r="L121" s="57">
        <f>K121/H121</f>
        <v>7.5433231396534142E-2</v>
      </c>
      <c r="M121" s="20">
        <v>901</v>
      </c>
      <c r="N121" s="57">
        <f>M121/H121</f>
        <v>0.9184505606523955</v>
      </c>
      <c r="O121" s="46">
        <v>63.41</v>
      </c>
      <c r="P121" s="46">
        <v>453.45</v>
      </c>
      <c r="Q121" s="58" t="s">
        <v>51</v>
      </c>
      <c r="R121" s="58">
        <v>2019</v>
      </c>
      <c r="S121" s="58"/>
      <c r="T121" s="58"/>
      <c r="U121" s="58"/>
      <c r="V121" s="58"/>
      <c r="W121" s="58"/>
      <c r="X121" s="58" t="s">
        <v>51</v>
      </c>
      <c r="Y121" s="58"/>
      <c r="Z121" s="58"/>
      <c r="AA121" s="58"/>
      <c r="AB121" s="58"/>
      <c r="AC121" s="58" t="s">
        <v>51</v>
      </c>
      <c r="AD121" s="58"/>
      <c r="AE121" s="58"/>
      <c r="AF121" s="58"/>
      <c r="AG121" s="58"/>
      <c r="AH121" s="58"/>
      <c r="AI121" s="58"/>
    </row>
    <row r="122" spans="1:35" x14ac:dyDescent="0.35">
      <c r="A122" s="17" t="s">
        <v>46</v>
      </c>
      <c r="B122" s="17" t="s">
        <v>1222</v>
      </c>
      <c r="C122" s="28" t="s">
        <v>1311</v>
      </c>
      <c r="D122" s="17" t="s">
        <v>1452</v>
      </c>
      <c r="E122" s="17" t="s">
        <v>1453</v>
      </c>
      <c r="F122" s="28">
        <v>104.37</v>
      </c>
      <c r="G122" s="47"/>
      <c r="H122" s="19">
        <v>0</v>
      </c>
      <c r="I122" s="47"/>
      <c r="J122" s="47"/>
      <c r="K122" s="47"/>
      <c r="L122" s="57"/>
      <c r="M122" s="47"/>
      <c r="N122" s="57"/>
      <c r="O122" s="48">
        <v>0</v>
      </c>
      <c r="P122" s="48">
        <v>70.52</v>
      </c>
      <c r="Q122" s="58" t="s">
        <v>112</v>
      </c>
      <c r="R122" s="58"/>
      <c r="S122" s="58"/>
      <c r="T122" s="58"/>
      <c r="U122" s="58"/>
      <c r="V122" s="58"/>
      <c r="W122" s="58"/>
      <c r="X122" s="58" t="s">
        <v>112</v>
      </c>
      <c r="Y122" s="58"/>
      <c r="Z122" s="58"/>
      <c r="AA122" s="58"/>
      <c r="AB122" s="58"/>
      <c r="AC122" s="58" t="s">
        <v>112</v>
      </c>
      <c r="AD122" s="58"/>
      <c r="AE122" s="58"/>
      <c r="AF122" s="58"/>
      <c r="AG122" s="58"/>
      <c r="AH122" s="58"/>
      <c r="AI122" s="58"/>
    </row>
    <row r="123" spans="1:35" x14ac:dyDescent="0.35">
      <c r="A123" s="17" t="s">
        <v>46</v>
      </c>
      <c r="B123" s="17" t="s">
        <v>1222</v>
      </c>
      <c r="C123" s="28" t="s">
        <v>1454</v>
      </c>
      <c r="D123" s="17" t="s">
        <v>364</v>
      </c>
      <c r="E123" s="17" t="s">
        <v>1455</v>
      </c>
      <c r="F123" s="28">
        <v>41.84</v>
      </c>
      <c r="G123" s="47"/>
      <c r="H123" s="19">
        <v>0</v>
      </c>
      <c r="I123" s="47"/>
      <c r="J123" s="47"/>
      <c r="K123" s="47"/>
      <c r="L123" s="57"/>
      <c r="M123" s="47"/>
      <c r="N123" s="57"/>
      <c r="O123" s="48">
        <v>0</v>
      </c>
      <c r="P123" s="48">
        <v>0</v>
      </c>
      <c r="Q123" s="58" t="s">
        <v>112</v>
      </c>
      <c r="R123" s="58"/>
      <c r="S123" s="58"/>
      <c r="T123" s="58"/>
      <c r="U123" s="58"/>
      <c r="V123" s="58"/>
      <c r="W123" s="58"/>
      <c r="X123" s="58" t="s">
        <v>112</v>
      </c>
      <c r="Y123" s="58"/>
      <c r="Z123" s="58"/>
      <c r="AA123" s="58"/>
      <c r="AB123" s="58"/>
      <c r="AC123" s="58" t="s">
        <v>112</v>
      </c>
      <c r="AD123" s="58"/>
      <c r="AE123" s="58"/>
      <c r="AF123" s="58"/>
      <c r="AG123" s="58"/>
      <c r="AH123" s="58"/>
      <c r="AI123" s="58"/>
    </row>
    <row r="124" spans="1:35" x14ac:dyDescent="0.35">
      <c r="A124" s="17" t="s">
        <v>46</v>
      </c>
      <c r="B124" s="17" t="s">
        <v>1222</v>
      </c>
      <c r="C124" s="28" t="s">
        <v>1430</v>
      </c>
      <c r="D124" s="17" t="s">
        <v>1456</v>
      </c>
      <c r="E124" s="17" t="s">
        <v>1457</v>
      </c>
      <c r="F124" s="20">
        <v>829.78</v>
      </c>
      <c r="G124" s="20">
        <v>142</v>
      </c>
      <c r="H124" s="19">
        <v>624</v>
      </c>
      <c r="I124" s="20">
        <v>316</v>
      </c>
      <c r="J124" s="20">
        <v>308</v>
      </c>
      <c r="K124" s="20">
        <v>0</v>
      </c>
      <c r="L124" s="57">
        <f t="shared" ref="L124:L129" si="14">K124/H124</f>
        <v>0</v>
      </c>
      <c r="M124" s="20">
        <v>598</v>
      </c>
      <c r="N124" s="57">
        <f t="shared" ref="N124:N129" si="15">M124/H124</f>
        <v>0.95833333333333337</v>
      </c>
      <c r="O124" s="46">
        <v>17.07</v>
      </c>
      <c r="P124" s="46">
        <v>697.11</v>
      </c>
      <c r="Q124" s="58" t="s">
        <v>562</v>
      </c>
      <c r="R124" s="58"/>
      <c r="S124" s="58"/>
      <c r="T124" s="58"/>
      <c r="U124" s="58"/>
      <c r="V124" s="58"/>
      <c r="W124" s="58"/>
      <c r="X124" s="58" t="s">
        <v>562</v>
      </c>
      <c r="Y124" s="58"/>
      <c r="Z124" s="58"/>
      <c r="AA124" s="58"/>
      <c r="AB124" s="58"/>
      <c r="AC124" s="58"/>
      <c r="AD124" s="58"/>
      <c r="AE124" s="58" t="s">
        <v>562</v>
      </c>
      <c r="AF124" s="58"/>
      <c r="AG124" s="58"/>
      <c r="AH124" s="58"/>
      <c r="AI124" s="58"/>
    </row>
    <row r="125" spans="1:35" x14ac:dyDescent="0.35">
      <c r="A125" s="17" t="s">
        <v>46</v>
      </c>
      <c r="B125" s="17" t="s">
        <v>1222</v>
      </c>
      <c r="C125" s="28" t="s">
        <v>1430</v>
      </c>
      <c r="D125" s="17" t="s">
        <v>1458</v>
      </c>
      <c r="E125" s="17" t="s">
        <v>1459</v>
      </c>
      <c r="F125" s="20">
        <v>20.11</v>
      </c>
      <c r="G125" s="20">
        <v>43</v>
      </c>
      <c r="H125" s="19">
        <v>201</v>
      </c>
      <c r="I125" s="20">
        <v>113</v>
      </c>
      <c r="J125" s="20">
        <v>88</v>
      </c>
      <c r="K125" s="20">
        <v>0</v>
      </c>
      <c r="L125" s="57">
        <f t="shared" si="14"/>
        <v>0</v>
      </c>
      <c r="M125" s="20">
        <v>0</v>
      </c>
      <c r="N125" s="57">
        <f t="shared" si="15"/>
        <v>0</v>
      </c>
      <c r="O125" s="46">
        <v>0</v>
      </c>
      <c r="P125" s="46">
        <v>0</v>
      </c>
      <c r="Q125" s="58" t="s">
        <v>562</v>
      </c>
      <c r="R125" s="58"/>
      <c r="S125" s="58"/>
      <c r="T125" s="58"/>
      <c r="U125" s="58"/>
      <c r="V125" s="58"/>
      <c r="W125" s="58"/>
      <c r="X125" s="58" t="s">
        <v>562</v>
      </c>
      <c r="Y125" s="58"/>
      <c r="Z125" s="58"/>
      <c r="AA125" s="58"/>
      <c r="AB125" s="58"/>
      <c r="AC125" s="58"/>
      <c r="AD125" s="58"/>
      <c r="AE125" s="58" t="s">
        <v>562</v>
      </c>
      <c r="AF125" s="58"/>
      <c r="AG125" s="58"/>
      <c r="AH125" s="58"/>
      <c r="AI125" s="58"/>
    </row>
    <row r="126" spans="1:35" x14ac:dyDescent="0.35">
      <c r="A126" s="17" t="s">
        <v>46</v>
      </c>
      <c r="B126" s="17" t="s">
        <v>1222</v>
      </c>
      <c r="C126" s="28" t="s">
        <v>1430</v>
      </c>
      <c r="D126" s="17" t="s">
        <v>1460</v>
      </c>
      <c r="E126" s="17" t="s">
        <v>1461</v>
      </c>
      <c r="F126" s="20">
        <v>178.54</v>
      </c>
      <c r="G126" s="20">
        <v>127</v>
      </c>
      <c r="H126" s="19">
        <v>549</v>
      </c>
      <c r="I126" s="20">
        <v>286</v>
      </c>
      <c r="J126" s="20">
        <v>263</v>
      </c>
      <c r="K126" s="20">
        <v>8</v>
      </c>
      <c r="L126" s="57">
        <f t="shared" si="14"/>
        <v>1.4571948998178506E-2</v>
      </c>
      <c r="M126" s="20">
        <v>523</v>
      </c>
      <c r="N126" s="57">
        <f t="shared" si="15"/>
        <v>0.95264116575591984</v>
      </c>
      <c r="O126" s="46">
        <v>0</v>
      </c>
      <c r="P126" s="46">
        <v>30.24</v>
      </c>
      <c r="Q126" s="58" t="s">
        <v>562</v>
      </c>
      <c r="R126" s="58"/>
      <c r="S126" s="58"/>
      <c r="T126" s="58"/>
      <c r="U126" s="58"/>
      <c r="V126" s="58"/>
      <c r="W126" s="58"/>
      <c r="X126" s="58" t="s">
        <v>562</v>
      </c>
      <c r="Y126" s="58"/>
      <c r="Z126" s="58"/>
      <c r="AA126" s="58"/>
      <c r="AB126" s="58"/>
      <c r="AC126" s="58"/>
      <c r="AD126" s="58"/>
      <c r="AE126" s="58" t="s">
        <v>562</v>
      </c>
      <c r="AF126" s="58"/>
      <c r="AG126" s="58"/>
      <c r="AH126" s="58"/>
      <c r="AI126" s="58"/>
    </row>
    <row r="127" spans="1:35" x14ac:dyDescent="0.35">
      <c r="A127" s="17" t="s">
        <v>46</v>
      </c>
      <c r="B127" s="17" t="s">
        <v>1222</v>
      </c>
      <c r="C127" s="28" t="s">
        <v>1323</v>
      </c>
      <c r="D127" s="17" t="s">
        <v>1462</v>
      </c>
      <c r="E127" s="17" t="s">
        <v>1463</v>
      </c>
      <c r="F127" s="20">
        <v>203.37</v>
      </c>
      <c r="G127" s="20">
        <v>4</v>
      </c>
      <c r="H127" s="19">
        <v>17</v>
      </c>
      <c r="I127" s="20">
        <v>9</v>
      </c>
      <c r="J127" s="20">
        <v>8</v>
      </c>
      <c r="K127" s="20">
        <v>0</v>
      </c>
      <c r="L127" s="57">
        <f t="shared" si="14"/>
        <v>0</v>
      </c>
      <c r="M127" s="20">
        <v>17</v>
      </c>
      <c r="N127" s="57">
        <f t="shared" si="15"/>
        <v>1</v>
      </c>
      <c r="O127" s="46">
        <v>0</v>
      </c>
      <c r="P127" s="46">
        <v>110.96</v>
      </c>
      <c r="Q127" s="58" t="s">
        <v>562</v>
      </c>
      <c r="R127" s="58"/>
      <c r="S127" s="58"/>
      <c r="T127" s="58"/>
      <c r="U127" s="58"/>
      <c r="V127" s="58"/>
      <c r="W127" s="58"/>
      <c r="X127" s="58" t="s">
        <v>562</v>
      </c>
      <c r="Y127" s="58"/>
      <c r="Z127" s="58"/>
      <c r="AA127" s="58"/>
      <c r="AB127" s="58"/>
      <c r="AC127" s="58"/>
      <c r="AD127" s="58"/>
      <c r="AE127" s="58" t="s">
        <v>562</v>
      </c>
      <c r="AF127" s="58"/>
      <c r="AG127" s="58"/>
      <c r="AH127" s="58"/>
      <c r="AI127" s="58"/>
    </row>
    <row r="128" spans="1:35" x14ac:dyDescent="0.35">
      <c r="A128" s="17" t="s">
        <v>46</v>
      </c>
      <c r="B128" s="17" t="s">
        <v>1222</v>
      </c>
      <c r="C128" s="28" t="s">
        <v>1430</v>
      </c>
      <c r="D128" s="17" t="s">
        <v>1464</v>
      </c>
      <c r="E128" s="17" t="s">
        <v>1465</v>
      </c>
      <c r="F128" s="20">
        <v>105.28</v>
      </c>
      <c r="G128" s="20">
        <v>137</v>
      </c>
      <c r="H128" s="19">
        <v>612</v>
      </c>
      <c r="I128" s="20">
        <v>299</v>
      </c>
      <c r="J128" s="20">
        <v>313</v>
      </c>
      <c r="K128" s="20">
        <v>25</v>
      </c>
      <c r="L128" s="57">
        <f t="shared" si="14"/>
        <v>4.084967320261438E-2</v>
      </c>
      <c r="M128" s="20">
        <v>378</v>
      </c>
      <c r="N128" s="57">
        <f t="shared" si="15"/>
        <v>0.61764705882352944</v>
      </c>
      <c r="O128" s="46">
        <v>12.03</v>
      </c>
      <c r="P128" s="46">
        <v>26.16</v>
      </c>
      <c r="Q128" s="58" t="s">
        <v>562</v>
      </c>
      <c r="R128" s="58"/>
      <c r="S128" s="58"/>
      <c r="T128" s="58"/>
      <c r="U128" s="58"/>
      <c r="V128" s="58"/>
      <c r="W128" s="58"/>
      <c r="X128" s="58" t="s">
        <v>562</v>
      </c>
      <c r="Y128" s="58"/>
      <c r="Z128" s="58"/>
      <c r="AA128" s="58"/>
      <c r="AB128" s="58"/>
      <c r="AC128" s="58"/>
      <c r="AD128" s="58"/>
      <c r="AE128" s="58" t="s">
        <v>562</v>
      </c>
      <c r="AF128" s="58"/>
      <c r="AG128" s="58"/>
      <c r="AH128" s="58"/>
      <c r="AI128" s="58"/>
    </row>
    <row r="129" spans="1:35" x14ac:dyDescent="0.35">
      <c r="A129" s="17" t="s">
        <v>46</v>
      </c>
      <c r="B129" s="17" t="s">
        <v>1222</v>
      </c>
      <c r="C129" s="28" t="s">
        <v>1306</v>
      </c>
      <c r="D129" s="17" t="s">
        <v>1466</v>
      </c>
      <c r="E129" s="17" t="s">
        <v>1467</v>
      </c>
      <c r="F129" s="20">
        <v>153.79</v>
      </c>
      <c r="G129" s="20">
        <v>149</v>
      </c>
      <c r="H129" s="19">
        <v>821</v>
      </c>
      <c r="I129" s="20">
        <v>403</v>
      </c>
      <c r="J129" s="20">
        <v>418</v>
      </c>
      <c r="K129" s="20">
        <v>135</v>
      </c>
      <c r="L129" s="57">
        <f t="shared" si="14"/>
        <v>0.16443361753958588</v>
      </c>
      <c r="M129" s="20">
        <v>320</v>
      </c>
      <c r="N129" s="57">
        <f t="shared" si="15"/>
        <v>0.38976857490864797</v>
      </c>
      <c r="O129" s="46">
        <v>0</v>
      </c>
      <c r="P129" s="46">
        <v>8.33</v>
      </c>
      <c r="Q129" s="58" t="s">
        <v>562</v>
      </c>
      <c r="R129" s="58"/>
      <c r="S129" s="58"/>
      <c r="T129" s="58"/>
      <c r="U129" s="58"/>
      <c r="V129" s="58"/>
      <c r="W129" s="58"/>
      <c r="X129" s="58" t="s">
        <v>562</v>
      </c>
      <c r="Y129" s="58"/>
      <c r="Z129" s="58"/>
      <c r="AA129" s="58"/>
      <c r="AB129" s="58"/>
      <c r="AC129" s="58"/>
      <c r="AD129" s="58"/>
      <c r="AE129" s="58" t="s">
        <v>562</v>
      </c>
      <c r="AF129" s="58"/>
      <c r="AG129" s="58"/>
      <c r="AH129" s="58"/>
      <c r="AI129" s="58"/>
    </row>
    <row r="130" spans="1:35" x14ac:dyDescent="0.35">
      <c r="A130" s="17" t="s">
        <v>46</v>
      </c>
      <c r="B130" s="17" t="s">
        <v>1222</v>
      </c>
      <c r="C130" s="28" t="s">
        <v>1287</v>
      </c>
      <c r="D130" s="17" t="s">
        <v>141</v>
      </c>
      <c r="E130" s="17" t="s">
        <v>1468</v>
      </c>
      <c r="F130" s="28">
        <v>56.99</v>
      </c>
      <c r="G130" s="47"/>
      <c r="H130" s="19">
        <v>0</v>
      </c>
      <c r="I130" s="47"/>
      <c r="J130" s="47"/>
      <c r="K130" s="47"/>
      <c r="L130" s="57"/>
      <c r="M130" s="47"/>
      <c r="N130" s="57"/>
      <c r="O130" s="48">
        <v>0</v>
      </c>
      <c r="P130" s="48">
        <v>0</v>
      </c>
      <c r="Q130" s="58" t="s">
        <v>112</v>
      </c>
      <c r="R130" s="58"/>
      <c r="S130" s="58"/>
      <c r="T130" s="58"/>
      <c r="U130" s="58"/>
      <c r="V130" s="58"/>
      <c r="W130" s="58"/>
      <c r="X130" s="58" t="s">
        <v>112</v>
      </c>
      <c r="Y130" s="58"/>
      <c r="Z130" s="58"/>
      <c r="AA130" s="58"/>
      <c r="AB130" s="58"/>
      <c r="AC130" s="58" t="s">
        <v>112</v>
      </c>
      <c r="AD130" s="58"/>
      <c r="AE130" s="58"/>
      <c r="AF130" s="58"/>
      <c r="AG130" s="58"/>
      <c r="AH130" s="58"/>
      <c r="AI130" s="58"/>
    </row>
    <row r="131" spans="1:35" x14ac:dyDescent="0.35">
      <c r="A131" s="17" t="s">
        <v>46</v>
      </c>
      <c r="B131" s="17" t="s">
        <v>1222</v>
      </c>
      <c r="C131" s="28" t="s">
        <v>1430</v>
      </c>
      <c r="D131" s="17" t="s">
        <v>1469</v>
      </c>
      <c r="E131" s="17" t="s">
        <v>1470</v>
      </c>
      <c r="F131" s="28">
        <v>228.28</v>
      </c>
      <c r="G131" s="47"/>
      <c r="H131" s="19">
        <v>0</v>
      </c>
      <c r="I131" s="47"/>
      <c r="J131" s="47"/>
      <c r="K131" s="47"/>
      <c r="L131" s="57"/>
      <c r="M131" s="47"/>
      <c r="N131" s="57"/>
      <c r="O131" s="48">
        <v>0</v>
      </c>
      <c r="P131" s="48">
        <v>0</v>
      </c>
      <c r="Q131" s="58" t="s">
        <v>112</v>
      </c>
      <c r="R131" s="58"/>
      <c r="S131" s="58"/>
      <c r="T131" s="58"/>
      <c r="U131" s="58"/>
      <c r="V131" s="58"/>
      <c r="W131" s="58"/>
      <c r="X131" s="58" t="s">
        <v>112</v>
      </c>
      <c r="Y131" s="58"/>
      <c r="Z131" s="58"/>
      <c r="AA131" s="58"/>
      <c r="AB131" s="58"/>
      <c r="AC131" s="58" t="s">
        <v>112</v>
      </c>
      <c r="AD131" s="58"/>
      <c r="AE131" s="58"/>
      <c r="AF131" s="58"/>
      <c r="AG131" s="58"/>
      <c r="AH131" s="58"/>
      <c r="AI131" s="58"/>
    </row>
    <row r="132" spans="1:35" x14ac:dyDescent="0.35">
      <c r="A132" s="17" t="s">
        <v>46</v>
      </c>
      <c r="B132" s="17" t="s">
        <v>1222</v>
      </c>
      <c r="C132" s="28" t="s">
        <v>1430</v>
      </c>
      <c r="D132" s="17" t="s">
        <v>1471</v>
      </c>
      <c r="E132" s="17" t="s">
        <v>1472</v>
      </c>
      <c r="F132" s="28">
        <v>87.84</v>
      </c>
      <c r="G132" s="47"/>
      <c r="H132" s="19">
        <v>0</v>
      </c>
      <c r="I132" s="47"/>
      <c r="J132" s="47"/>
      <c r="K132" s="47"/>
      <c r="L132" s="57"/>
      <c r="M132" s="47"/>
      <c r="N132" s="57"/>
      <c r="O132" s="48">
        <v>0</v>
      </c>
      <c r="P132" s="48">
        <v>0</v>
      </c>
      <c r="Q132" s="58" t="s">
        <v>112</v>
      </c>
      <c r="R132" s="58"/>
      <c r="S132" s="58"/>
      <c r="T132" s="58"/>
      <c r="U132" s="58"/>
      <c r="V132" s="58"/>
      <c r="W132" s="58"/>
      <c r="X132" s="58" t="s">
        <v>112</v>
      </c>
      <c r="Y132" s="58"/>
      <c r="Z132" s="58"/>
      <c r="AA132" s="58"/>
      <c r="AB132" s="58"/>
      <c r="AC132" s="58" t="s">
        <v>112</v>
      </c>
      <c r="AD132" s="58"/>
      <c r="AE132" s="58"/>
      <c r="AF132" s="58"/>
      <c r="AG132" s="58"/>
      <c r="AH132" s="58"/>
      <c r="AI132" s="58"/>
    </row>
    <row r="133" spans="1:35" x14ac:dyDescent="0.35">
      <c r="A133" s="17" t="s">
        <v>46</v>
      </c>
      <c r="B133" s="17" t="s">
        <v>1222</v>
      </c>
      <c r="C133" s="28" t="s">
        <v>1430</v>
      </c>
      <c r="D133" s="17" t="s">
        <v>1473</v>
      </c>
      <c r="E133" s="17" t="s">
        <v>1474</v>
      </c>
      <c r="F133" s="28">
        <v>238.79</v>
      </c>
      <c r="G133" s="47"/>
      <c r="H133" s="19">
        <v>0</v>
      </c>
      <c r="I133" s="47"/>
      <c r="J133" s="47"/>
      <c r="K133" s="47"/>
      <c r="L133" s="57"/>
      <c r="M133" s="47"/>
      <c r="N133" s="57"/>
      <c r="O133" s="48">
        <v>0</v>
      </c>
      <c r="P133" s="48">
        <v>0</v>
      </c>
      <c r="Q133" s="58" t="s">
        <v>112</v>
      </c>
      <c r="R133" s="58"/>
      <c r="S133" s="58"/>
      <c r="T133" s="58"/>
      <c r="U133" s="58"/>
      <c r="V133" s="58"/>
      <c r="W133" s="58"/>
      <c r="X133" s="58" t="s">
        <v>112</v>
      </c>
      <c r="Y133" s="58"/>
      <c r="Z133" s="58"/>
      <c r="AA133" s="58"/>
      <c r="AB133" s="58"/>
      <c r="AC133" s="58" t="s">
        <v>112</v>
      </c>
      <c r="AD133" s="58"/>
      <c r="AE133" s="58"/>
      <c r="AF133" s="58"/>
      <c r="AG133" s="58"/>
      <c r="AH133" s="58"/>
      <c r="AI133" s="58"/>
    </row>
    <row r="134" spans="1:35" x14ac:dyDescent="0.35">
      <c r="A134" s="17" t="s">
        <v>46</v>
      </c>
      <c r="B134" s="17" t="s">
        <v>1222</v>
      </c>
      <c r="C134" s="28" t="s">
        <v>1430</v>
      </c>
      <c r="D134" s="17" t="s">
        <v>1475</v>
      </c>
      <c r="E134" s="17" t="s">
        <v>1476</v>
      </c>
      <c r="F134" s="28">
        <v>175.52</v>
      </c>
      <c r="G134" s="47"/>
      <c r="H134" s="19">
        <v>0</v>
      </c>
      <c r="I134" s="47"/>
      <c r="J134" s="47"/>
      <c r="K134" s="47"/>
      <c r="L134" s="57"/>
      <c r="M134" s="47"/>
      <c r="N134" s="57"/>
      <c r="O134" s="48">
        <v>0</v>
      </c>
      <c r="P134" s="48">
        <v>0</v>
      </c>
      <c r="Q134" s="58" t="s">
        <v>112</v>
      </c>
      <c r="R134" s="58"/>
      <c r="S134" s="58"/>
      <c r="T134" s="58"/>
      <c r="U134" s="58"/>
      <c r="V134" s="58"/>
      <c r="W134" s="58"/>
      <c r="X134" s="58" t="s">
        <v>112</v>
      </c>
      <c r="Y134" s="58"/>
      <c r="Z134" s="58"/>
      <c r="AA134" s="58"/>
      <c r="AB134" s="58"/>
      <c r="AC134" s="58" t="s">
        <v>112</v>
      </c>
      <c r="AD134" s="58"/>
      <c r="AE134" s="58"/>
      <c r="AF134" s="58"/>
      <c r="AG134" s="58"/>
      <c r="AH134" s="58"/>
      <c r="AI134" s="58"/>
    </row>
    <row r="135" spans="1:35" x14ac:dyDescent="0.35">
      <c r="A135" s="17" t="s">
        <v>46</v>
      </c>
      <c r="B135" s="17" t="s">
        <v>1222</v>
      </c>
      <c r="C135" s="28" t="s">
        <v>1430</v>
      </c>
      <c r="D135" s="17" t="s">
        <v>1477</v>
      </c>
      <c r="E135" s="17" t="s">
        <v>1478</v>
      </c>
      <c r="F135" s="28">
        <v>1409.31</v>
      </c>
      <c r="G135" s="47"/>
      <c r="H135" s="19">
        <v>0</v>
      </c>
      <c r="I135" s="47"/>
      <c r="J135" s="47"/>
      <c r="K135" s="47"/>
      <c r="L135" s="57"/>
      <c r="M135" s="47"/>
      <c r="N135" s="57"/>
      <c r="O135" s="48">
        <v>0</v>
      </c>
      <c r="P135" s="48">
        <v>0</v>
      </c>
      <c r="Q135" s="58" t="s">
        <v>112</v>
      </c>
      <c r="R135" s="58"/>
      <c r="S135" s="58"/>
      <c r="T135" s="58"/>
      <c r="U135" s="58"/>
      <c r="V135" s="58"/>
      <c r="W135" s="58"/>
      <c r="X135" s="58" t="s">
        <v>112</v>
      </c>
      <c r="Y135" s="58"/>
      <c r="Z135" s="58"/>
      <c r="AA135" s="58"/>
      <c r="AB135" s="58"/>
      <c r="AC135" s="58" t="s">
        <v>112</v>
      </c>
      <c r="AD135" s="58"/>
      <c r="AE135" s="58"/>
      <c r="AF135" s="58"/>
      <c r="AG135" s="58"/>
      <c r="AH135" s="58"/>
      <c r="AI135" s="58"/>
    </row>
    <row r="136" spans="1:35" x14ac:dyDescent="0.35">
      <c r="A136" s="17" t="s">
        <v>46</v>
      </c>
      <c r="B136" s="17" t="s">
        <v>1222</v>
      </c>
      <c r="C136" s="28" t="s">
        <v>1430</v>
      </c>
      <c r="D136" s="17" t="s">
        <v>1479</v>
      </c>
      <c r="E136" s="17" t="s">
        <v>1480</v>
      </c>
      <c r="F136" s="20">
        <v>205.1</v>
      </c>
      <c r="G136" s="20">
        <v>88</v>
      </c>
      <c r="H136" s="19">
        <v>379</v>
      </c>
      <c r="I136" s="20">
        <v>206</v>
      </c>
      <c r="J136" s="20">
        <v>173</v>
      </c>
      <c r="K136" s="20">
        <v>0</v>
      </c>
      <c r="L136" s="57">
        <f>K136/H136</f>
        <v>0</v>
      </c>
      <c r="M136" s="20">
        <v>319</v>
      </c>
      <c r="N136" s="57">
        <f>M136/H136</f>
        <v>0.84168865435356199</v>
      </c>
      <c r="O136" s="46">
        <v>5.08</v>
      </c>
      <c r="P136" s="46">
        <v>99.72</v>
      </c>
      <c r="Q136" s="58" t="s">
        <v>562</v>
      </c>
      <c r="R136" s="58"/>
      <c r="S136" s="58"/>
      <c r="T136" s="58"/>
      <c r="U136" s="58"/>
      <c r="V136" s="58"/>
      <c r="W136" s="58"/>
      <c r="X136" s="58" t="s">
        <v>562</v>
      </c>
      <c r="Y136" s="58"/>
      <c r="Z136" s="58"/>
      <c r="AA136" s="58"/>
      <c r="AB136" s="58"/>
      <c r="AC136" s="58"/>
      <c r="AD136" s="58"/>
      <c r="AE136" s="58" t="s">
        <v>562</v>
      </c>
      <c r="AF136" s="58"/>
      <c r="AG136" s="58"/>
      <c r="AH136" s="58"/>
      <c r="AI136" s="58"/>
    </row>
    <row r="137" spans="1:35" x14ac:dyDescent="0.35">
      <c r="A137" s="17" t="s">
        <v>46</v>
      </c>
      <c r="B137" s="17" t="s">
        <v>1222</v>
      </c>
      <c r="C137" s="28" t="s">
        <v>1430</v>
      </c>
      <c r="D137" s="17" t="s">
        <v>1481</v>
      </c>
      <c r="E137" s="17" t="s">
        <v>1482</v>
      </c>
      <c r="F137" s="20">
        <v>40.18</v>
      </c>
      <c r="G137" s="20">
        <v>50</v>
      </c>
      <c r="H137" s="19">
        <v>212</v>
      </c>
      <c r="I137" s="20">
        <v>109</v>
      </c>
      <c r="J137" s="20">
        <v>103</v>
      </c>
      <c r="K137" s="20">
        <v>2</v>
      </c>
      <c r="L137" s="57">
        <f>K137/H137</f>
        <v>9.433962264150943E-3</v>
      </c>
      <c r="M137" s="20">
        <v>210</v>
      </c>
      <c r="N137" s="57">
        <f>M137/H137</f>
        <v>0.99056603773584906</v>
      </c>
      <c r="O137" s="46">
        <v>5.41</v>
      </c>
      <c r="P137" s="46">
        <v>16.309999999999999</v>
      </c>
      <c r="Q137" s="58" t="s">
        <v>562</v>
      </c>
      <c r="R137" s="58"/>
      <c r="S137" s="58"/>
      <c r="T137" s="58"/>
      <c r="U137" s="58"/>
      <c r="V137" s="58"/>
      <c r="W137" s="58"/>
      <c r="X137" s="58" t="s">
        <v>562</v>
      </c>
      <c r="Y137" s="58"/>
      <c r="Z137" s="58"/>
      <c r="AA137" s="58"/>
      <c r="AB137" s="58"/>
      <c r="AC137" s="58"/>
      <c r="AD137" s="58"/>
      <c r="AE137" s="58" t="s">
        <v>562</v>
      </c>
      <c r="AF137" s="58"/>
      <c r="AG137" s="58"/>
      <c r="AH137" s="58"/>
      <c r="AI137" s="58"/>
    </row>
    <row r="138" spans="1:35" x14ac:dyDescent="0.35">
      <c r="A138" s="17" t="s">
        <v>46</v>
      </c>
      <c r="B138" s="17" t="s">
        <v>1222</v>
      </c>
      <c r="C138" s="28" t="s">
        <v>1430</v>
      </c>
      <c r="D138" s="17" t="s">
        <v>1483</v>
      </c>
      <c r="E138" s="17" t="s">
        <v>1484</v>
      </c>
      <c r="F138" s="20">
        <v>830.94</v>
      </c>
      <c r="G138" s="20">
        <v>115</v>
      </c>
      <c r="H138" s="19">
        <v>536</v>
      </c>
      <c r="I138" s="20">
        <v>283</v>
      </c>
      <c r="J138" s="20">
        <v>253</v>
      </c>
      <c r="K138" s="20">
        <v>87</v>
      </c>
      <c r="L138" s="57">
        <f>K138/H138</f>
        <v>0.16231343283582089</v>
      </c>
      <c r="M138" s="20">
        <v>179</v>
      </c>
      <c r="N138" s="57">
        <f>M138/H138</f>
        <v>0.33395522388059701</v>
      </c>
      <c r="O138" s="46">
        <v>4.32</v>
      </c>
      <c r="P138" s="46">
        <v>706.43</v>
      </c>
      <c r="Q138" s="58" t="s">
        <v>562</v>
      </c>
      <c r="R138" s="58"/>
      <c r="S138" s="58"/>
      <c r="T138" s="58"/>
      <c r="U138" s="58"/>
      <c r="V138" s="58"/>
      <c r="W138" s="58"/>
      <c r="X138" s="58" t="s">
        <v>562</v>
      </c>
      <c r="Y138" s="58"/>
      <c r="Z138" s="58"/>
      <c r="AA138" s="58"/>
      <c r="AB138" s="58"/>
      <c r="AC138" s="58"/>
      <c r="AD138" s="58"/>
      <c r="AE138" s="58" t="s">
        <v>562</v>
      </c>
      <c r="AF138" s="58"/>
      <c r="AG138" s="58"/>
      <c r="AH138" s="58"/>
      <c r="AI138" s="58"/>
    </row>
    <row r="139" spans="1:35" x14ac:dyDescent="0.35">
      <c r="A139" s="17" t="s">
        <v>46</v>
      </c>
      <c r="B139" s="17" t="s">
        <v>1222</v>
      </c>
      <c r="C139" s="28" t="s">
        <v>1430</v>
      </c>
      <c r="D139" s="17" t="s">
        <v>1485</v>
      </c>
      <c r="E139" s="17" t="s">
        <v>1486</v>
      </c>
      <c r="F139" s="28">
        <v>217.82</v>
      </c>
      <c r="G139" s="47"/>
      <c r="H139" s="19">
        <v>0</v>
      </c>
      <c r="I139" s="47"/>
      <c r="J139" s="47"/>
      <c r="K139" s="47"/>
      <c r="L139" s="57"/>
      <c r="M139" s="47"/>
      <c r="N139" s="57"/>
      <c r="O139" s="48">
        <v>0</v>
      </c>
      <c r="P139" s="48">
        <v>60.25</v>
      </c>
      <c r="Q139" s="58" t="s">
        <v>112</v>
      </c>
      <c r="R139" s="58"/>
      <c r="S139" s="58"/>
      <c r="T139" s="58"/>
      <c r="U139" s="58"/>
      <c r="V139" s="58"/>
      <c r="W139" s="58"/>
      <c r="X139" s="58" t="s">
        <v>112</v>
      </c>
      <c r="Y139" s="58"/>
      <c r="Z139" s="58"/>
      <c r="AA139" s="58"/>
      <c r="AB139" s="58"/>
      <c r="AC139" s="58" t="s">
        <v>112</v>
      </c>
      <c r="AD139" s="58"/>
      <c r="AE139" s="58"/>
      <c r="AF139" s="58"/>
      <c r="AG139" s="58"/>
      <c r="AH139" s="58"/>
      <c r="AI139" s="58"/>
    </row>
    <row r="140" spans="1:35" x14ac:dyDescent="0.35">
      <c r="A140" s="17" t="s">
        <v>46</v>
      </c>
      <c r="B140" s="17" t="s">
        <v>1222</v>
      </c>
      <c r="C140" s="28" t="s">
        <v>1430</v>
      </c>
      <c r="D140" s="17" t="s">
        <v>1487</v>
      </c>
      <c r="E140" s="17" t="s">
        <v>1488</v>
      </c>
      <c r="F140" s="28">
        <v>737.77</v>
      </c>
      <c r="G140" s="47"/>
      <c r="H140" s="19">
        <v>0</v>
      </c>
      <c r="I140" s="47"/>
      <c r="J140" s="47"/>
      <c r="K140" s="47"/>
      <c r="L140" s="57"/>
      <c r="M140" s="47"/>
      <c r="N140" s="57"/>
      <c r="O140" s="48">
        <v>0</v>
      </c>
      <c r="P140" s="48">
        <v>0</v>
      </c>
      <c r="Q140" s="58" t="s">
        <v>112</v>
      </c>
      <c r="R140" s="58"/>
      <c r="S140" s="58"/>
      <c r="T140" s="58"/>
      <c r="U140" s="58"/>
      <c r="V140" s="58"/>
      <c r="W140" s="58"/>
      <c r="X140" s="58" t="s">
        <v>112</v>
      </c>
      <c r="Y140" s="58"/>
      <c r="Z140" s="58"/>
      <c r="AA140" s="58"/>
      <c r="AB140" s="58"/>
      <c r="AC140" s="58" t="s">
        <v>112</v>
      </c>
      <c r="AD140" s="58"/>
      <c r="AE140" s="58"/>
      <c r="AF140" s="58"/>
      <c r="AG140" s="58"/>
      <c r="AH140" s="58"/>
      <c r="AI140" s="58"/>
    </row>
    <row r="141" spans="1:35" x14ac:dyDescent="0.35">
      <c r="A141" s="17" t="s">
        <v>46</v>
      </c>
      <c r="B141" s="17" t="s">
        <v>1222</v>
      </c>
      <c r="C141" s="28" t="s">
        <v>1430</v>
      </c>
      <c r="D141" s="17" t="s">
        <v>1489</v>
      </c>
      <c r="E141" s="17" t="s">
        <v>1490</v>
      </c>
      <c r="F141" s="28">
        <v>1853.3</v>
      </c>
      <c r="G141" s="47"/>
      <c r="H141" s="19">
        <v>0</v>
      </c>
      <c r="I141" s="47"/>
      <c r="J141" s="47"/>
      <c r="K141" s="47"/>
      <c r="L141" s="57"/>
      <c r="M141" s="47"/>
      <c r="N141" s="57"/>
      <c r="O141" s="48">
        <v>0</v>
      </c>
      <c r="P141" s="48">
        <v>933.8</v>
      </c>
      <c r="Q141" s="58" t="s">
        <v>112</v>
      </c>
      <c r="R141" s="58"/>
      <c r="S141" s="58"/>
      <c r="T141" s="58"/>
      <c r="U141" s="58"/>
      <c r="V141" s="58"/>
      <c r="W141" s="58"/>
      <c r="X141" s="58" t="s">
        <v>112</v>
      </c>
      <c r="Y141" s="58"/>
      <c r="Z141" s="58"/>
      <c r="AA141" s="58"/>
      <c r="AB141" s="58"/>
      <c r="AC141" s="58" t="s">
        <v>112</v>
      </c>
      <c r="AD141" s="58"/>
      <c r="AE141" s="58"/>
      <c r="AF141" s="58"/>
      <c r="AG141" s="58"/>
      <c r="AH141" s="58"/>
      <c r="AI141" s="58"/>
    </row>
    <row r="142" spans="1:35" x14ac:dyDescent="0.35">
      <c r="A142" s="17" t="s">
        <v>46</v>
      </c>
      <c r="B142" s="17" t="s">
        <v>1222</v>
      </c>
      <c r="C142" s="28" t="s">
        <v>1430</v>
      </c>
      <c r="D142" s="17" t="s">
        <v>1491</v>
      </c>
      <c r="E142" s="17" t="s">
        <v>1492</v>
      </c>
      <c r="F142" s="28">
        <v>343.02</v>
      </c>
      <c r="G142" s="47"/>
      <c r="H142" s="19">
        <v>0</v>
      </c>
      <c r="I142" s="47"/>
      <c r="J142" s="47"/>
      <c r="K142" s="47"/>
      <c r="L142" s="57"/>
      <c r="M142" s="47"/>
      <c r="N142" s="57"/>
      <c r="O142" s="48">
        <v>0</v>
      </c>
      <c r="P142" s="48">
        <v>313.81</v>
      </c>
      <c r="Q142" s="58" t="s">
        <v>112</v>
      </c>
      <c r="R142" s="58"/>
      <c r="S142" s="58"/>
      <c r="T142" s="58"/>
      <c r="U142" s="58"/>
      <c r="V142" s="58"/>
      <c r="W142" s="58"/>
      <c r="X142" s="58" t="s">
        <v>112</v>
      </c>
      <c r="Y142" s="58"/>
      <c r="Z142" s="58"/>
      <c r="AA142" s="58"/>
      <c r="AB142" s="58"/>
      <c r="AC142" s="58" t="s">
        <v>112</v>
      </c>
      <c r="AD142" s="58"/>
      <c r="AE142" s="58"/>
      <c r="AF142" s="58"/>
      <c r="AG142" s="58"/>
      <c r="AH142" s="58"/>
      <c r="AI142" s="58"/>
    </row>
    <row r="143" spans="1:35" x14ac:dyDescent="0.35">
      <c r="A143" s="17" t="s">
        <v>46</v>
      </c>
      <c r="B143" s="17" t="s">
        <v>1222</v>
      </c>
      <c r="C143" s="28" t="s">
        <v>1445</v>
      </c>
      <c r="D143" s="17" t="s">
        <v>1493</v>
      </c>
      <c r="E143" s="17" t="s">
        <v>1494</v>
      </c>
      <c r="F143" s="28">
        <v>207.52</v>
      </c>
      <c r="G143" s="47"/>
      <c r="H143" s="19">
        <v>0</v>
      </c>
      <c r="I143" s="47"/>
      <c r="J143" s="47"/>
      <c r="K143" s="47"/>
      <c r="L143" s="57"/>
      <c r="M143" s="47"/>
      <c r="N143" s="57"/>
      <c r="O143" s="48">
        <v>0</v>
      </c>
      <c r="P143" s="48">
        <v>0</v>
      </c>
      <c r="Q143" s="58" t="s">
        <v>112</v>
      </c>
      <c r="R143" s="58"/>
      <c r="S143" s="58"/>
      <c r="T143" s="58"/>
      <c r="U143" s="58"/>
      <c r="V143" s="58"/>
      <c r="W143" s="58"/>
      <c r="X143" s="58" t="s">
        <v>112</v>
      </c>
      <c r="Y143" s="58"/>
      <c r="Z143" s="58"/>
      <c r="AA143" s="58"/>
      <c r="AB143" s="58"/>
      <c r="AC143" s="58" t="s">
        <v>112</v>
      </c>
      <c r="AD143" s="58"/>
      <c r="AE143" s="58"/>
      <c r="AF143" s="58"/>
      <c r="AG143" s="58"/>
      <c r="AH143" s="58"/>
      <c r="AI143" s="58"/>
    </row>
    <row r="144" spans="1:35" x14ac:dyDescent="0.35">
      <c r="A144" s="17" t="s">
        <v>46</v>
      </c>
      <c r="B144" s="17" t="s">
        <v>1222</v>
      </c>
      <c r="C144" s="28" t="s">
        <v>1445</v>
      </c>
      <c r="D144" s="17" t="s">
        <v>1495</v>
      </c>
      <c r="E144" s="17" t="s">
        <v>1496</v>
      </c>
      <c r="F144" s="28">
        <v>234.02</v>
      </c>
      <c r="G144" s="47"/>
      <c r="H144" s="19">
        <v>0</v>
      </c>
      <c r="I144" s="47"/>
      <c r="J144" s="47"/>
      <c r="K144" s="47"/>
      <c r="L144" s="57"/>
      <c r="M144" s="47"/>
      <c r="N144" s="57"/>
      <c r="O144" s="48">
        <v>0</v>
      </c>
      <c r="P144" s="48">
        <v>0</v>
      </c>
      <c r="Q144" s="58" t="s">
        <v>112</v>
      </c>
      <c r="R144" s="58"/>
      <c r="S144" s="58"/>
      <c r="T144" s="58"/>
      <c r="U144" s="58"/>
      <c r="V144" s="58"/>
      <c r="W144" s="58"/>
      <c r="X144" s="58" t="s">
        <v>112</v>
      </c>
      <c r="Y144" s="58"/>
      <c r="Z144" s="58"/>
      <c r="AA144" s="58"/>
      <c r="AB144" s="58"/>
      <c r="AC144" s="58" t="s">
        <v>112</v>
      </c>
      <c r="AD144" s="58"/>
      <c r="AE144" s="58"/>
      <c r="AF144" s="58"/>
      <c r="AG144" s="58"/>
      <c r="AH144" s="58"/>
      <c r="AI144" s="58"/>
    </row>
    <row r="145" spans="1:35" x14ac:dyDescent="0.35">
      <c r="A145" s="17" t="s">
        <v>46</v>
      </c>
      <c r="B145" s="17" t="s">
        <v>1222</v>
      </c>
      <c r="C145" s="28" t="s">
        <v>1445</v>
      </c>
      <c r="D145" s="17" t="s">
        <v>1497</v>
      </c>
      <c r="E145" s="17" t="s">
        <v>1498</v>
      </c>
      <c r="F145" s="28">
        <v>204</v>
      </c>
      <c r="G145" s="47"/>
      <c r="H145" s="19">
        <v>0</v>
      </c>
      <c r="I145" s="47"/>
      <c r="J145" s="47"/>
      <c r="K145" s="47"/>
      <c r="L145" s="57"/>
      <c r="M145" s="47"/>
      <c r="N145" s="57"/>
      <c r="O145" s="48">
        <v>0</v>
      </c>
      <c r="P145" s="48">
        <v>0</v>
      </c>
      <c r="Q145" s="58" t="s">
        <v>112</v>
      </c>
      <c r="R145" s="58"/>
      <c r="S145" s="58"/>
      <c r="T145" s="58"/>
      <c r="U145" s="58"/>
      <c r="V145" s="58"/>
      <c r="W145" s="58"/>
      <c r="X145" s="58" t="s">
        <v>112</v>
      </c>
      <c r="Y145" s="58"/>
      <c r="Z145" s="58"/>
      <c r="AA145" s="58"/>
      <c r="AB145" s="58"/>
      <c r="AC145" s="58" t="s">
        <v>112</v>
      </c>
      <c r="AD145" s="58"/>
      <c r="AE145" s="58"/>
      <c r="AF145" s="58"/>
      <c r="AG145" s="58"/>
      <c r="AH145" s="58"/>
      <c r="AI145" s="58"/>
    </row>
    <row r="146" spans="1:35" x14ac:dyDescent="0.35">
      <c r="A146" s="17" t="s">
        <v>46</v>
      </c>
      <c r="B146" s="17" t="s">
        <v>1222</v>
      </c>
      <c r="C146" s="28" t="s">
        <v>1445</v>
      </c>
      <c r="D146" s="17" t="s">
        <v>1499</v>
      </c>
      <c r="E146" s="17" t="s">
        <v>1500</v>
      </c>
      <c r="F146" s="28">
        <v>94.02</v>
      </c>
      <c r="G146" s="47"/>
      <c r="H146" s="19">
        <v>0</v>
      </c>
      <c r="I146" s="47"/>
      <c r="J146" s="47"/>
      <c r="K146" s="47"/>
      <c r="L146" s="57"/>
      <c r="M146" s="47"/>
      <c r="N146" s="57"/>
      <c r="O146" s="48">
        <v>0</v>
      </c>
      <c r="P146" s="48">
        <v>0</v>
      </c>
      <c r="Q146" s="58" t="s">
        <v>112</v>
      </c>
      <c r="R146" s="58"/>
      <c r="S146" s="58"/>
      <c r="T146" s="58"/>
      <c r="U146" s="58"/>
      <c r="V146" s="58"/>
      <c r="W146" s="58"/>
      <c r="X146" s="58" t="s">
        <v>112</v>
      </c>
      <c r="Y146" s="58"/>
      <c r="Z146" s="58"/>
      <c r="AA146" s="58"/>
      <c r="AB146" s="58"/>
      <c r="AC146" s="58" t="s">
        <v>112</v>
      </c>
      <c r="AD146" s="58"/>
      <c r="AE146" s="58"/>
      <c r="AF146" s="58"/>
      <c r="AG146" s="58"/>
      <c r="AH146" s="58"/>
      <c r="AI146" s="58"/>
    </row>
    <row r="147" spans="1:35" x14ac:dyDescent="0.35">
      <c r="A147" s="17" t="s">
        <v>46</v>
      </c>
      <c r="B147" s="17" t="s">
        <v>1222</v>
      </c>
      <c r="C147" s="28" t="s">
        <v>1445</v>
      </c>
      <c r="D147" s="17" t="s">
        <v>1501</v>
      </c>
      <c r="E147" s="17" t="s">
        <v>1502</v>
      </c>
      <c r="F147" s="28">
        <v>79.58</v>
      </c>
      <c r="G147" s="47"/>
      <c r="H147" s="19">
        <v>0</v>
      </c>
      <c r="I147" s="47"/>
      <c r="J147" s="47"/>
      <c r="K147" s="47"/>
      <c r="L147" s="57"/>
      <c r="M147" s="47"/>
      <c r="N147" s="57"/>
      <c r="O147" s="48">
        <v>0</v>
      </c>
      <c r="P147" s="48">
        <v>0</v>
      </c>
      <c r="Q147" s="58" t="s">
        <v>112</v>
      </c>
      <c r="R147" s="58"/>
      <c r="S147" s="58"/>
      <c r="T147" s="58"/>
      <c r="U147" s="58"/>
      <c r="V147" s="58"/>
      <c r="W147" s="58"/>
      <c r="X147" s="58" t="s">
        <v>112</v>
      </c>
      <c r="Y147" s="58"/>
      <c r="Z147" s="58"/>
      <c r="AA147" s="58"/>
      <c r="AB147" s="58"/>
      <c r="AC147" s="58" t="s">
        <v>112</v>
      </c>
      <c r="AD147" s="58"/>
      <c r="AE147" s="58"/>
      <c r="AF147" s="58"/>
      <c r="AG147" s="58"/>
      <c r="AH147" s="58"/>
      <c r="AI147" s="58"/>
    </row>
    <row r="148" spans="1:35" x14ac:dyDescent="0.35">
      <c r="A148" s="17" t="s">
        <v>46</v>
      </c>
      <c r="B148" s="17" t="s">
        <v>1222</v>
      </c>
      <c r="C148" s="28" t="s">
        <v>1445</v>
      </c>
      <c r="D148" s="17" t="s">
        <v>1503</v>
      </c>
      <c r="E148" s="17" t="s">
        <v>1504</v>
      </c>
      <c r="F148" s="28">
        <v>2405.42</v>
      </c>
      <c r="G148" s="47"/>
      <c r="H148" s="19">
        <v>0</v>
      </c>
      <c r="I148" s="47"/>
      <c r="J148" s="47"/>
      <c r="K148" s="47"/>
      <c r="L148" s="57"/>
      <c r="M148" s="47"/>
      <c r="N148" s="57"/>
      <c r="O148" s="48">
        <v>0</v>
      </c>
      <c r="P148" s="48">
        <v>0</v>
      </c>
      <c r="Q148" s="58" t="s">
        <v>112</v>
      </c>
      <c r="R148" s="58"/>
      <c r="S148" s="58"/>
      <c r="T148" s="58"/>
      <c r="U148" s="58"/>
      <c r="V148" s="58"/>
      <c r="W148" s="58"/>
      <c r="X148" s="58" t="s">
        <v>112</v>
      </c>
      <c r="Y148" s="58"/>
      <c r="Z148" s="58"/>
      <c r="AA148" s="58"/>
      <c r="AB148" s="58"/>
      <c r="AC148" s="58" t="s">
        <v>112</v>
      </c>
      <c r="AD148" s="58"/>
      <c r="AE148" s="58"/>
      <c r="AF148" s="58"/>
      <c r="AG148" s="58"/>
      <c r="AH148" s="58"/>
      <c r="AI148" s="58"/>
    </row>
    <row r="149" spans="1:35" x14ac:dyDescent="0.35">
      <c r="A149" s="17" t="s">
        <v>46</v>
      </c>
      <c r="B149" s="17" t="s">
        <v>1222</v>
      </c>
      <c r="C149" s="28" t="s">
        <v>1287</v>
      </c>
      <c r="D149" s="17" t="s">
        <v>1505</v>
      </c>
      <c r="E149" s="17" t="s">
        <v>1506</v>
      </c>
      <c r="F149" s="28">
        <v>4146.68</v>
      </c>
      <c r="G149" s="47"/>
      <c r="H149" s="19">
        <v>0</v>
      </c>
      <c r="I149" s="47"/>
      <c r="J149" s="47"/>
      <c r="K149" s="47"/>
      <c r="L149" s="57"/>
      <c r="M149" s="47"/>
      <c r="N149" s="57"/>
      <c r="O149" s="48">
        <v>0</v>
      </c>
      <c r="P149" s="48">
        <v>1334.01</v>
      </c>
      <c r="Q149" s="58" t="s">
        <v>112</v>
      </c>
      <c r="R149" s="58"/>
      <c r="S149" s="58"/>
      <c r="T149" s="58"/>
      <c r="U149" s="58"/>
      <c r="V149" s="58"/>
      <c r="W149" s="58"/>
      <c r="X149" s="58" t="s">
        <v>112</v>
      </c>
      <c r="Y149" s="58"/>
      <c r="Z149" s="58"/>
      <c r="AA149" s="58"/>
      <c r="AB149" s="58"/>
      <c r="AC149" s="58" t="s">
        <v>112</v>
      </c>
      <c r="AD149" s="58"/>
      <c r="AE149" s="58"/>
      <c r="AF149" s="58"/>
      <c r="AG149" s="58"/>
      <c r="AH149" s="58"/>
      <c r="AI149" s="58"/>
    </row>
    <row r="150" spans="1:35" x14ac:dyDescent="0.35">
      <c r="A150" s="17" t="s">
        <v>46</v>
      </c>
      <c r="B150" s="17" t="s">
        <v>1222</v>
      </c>
      <c r="C150" s="28" t="s">
        <v>1287</v>
      </c>
      <c r="D150" s="17" t="s">
        <v>1507</v>
      </c>
      <c r="E150" s="17" t="s">
        <v>1508</v>
      </c>
      <c r="F150" s="20">
        <v>1181.1300000000001</v>
      </c>
      <c r="G150" s="20">
        <v>313</v>
      </c>
      <c r="H150" s="19">
        <v>1467</v>
      </c>
      <c r="I150" s="20">
        <v>779</v>
      </c>
      <c r="J150" s="20">
        <v>688</v>
      </c>
      <c r="K150" s="20">
        <v>53</v>
      </c>
      <c r="L150" s="57">
        <f>K150/H150</f>
        <v>3.6128152692569873E-2</v>
      </c>
      <c r="M150" s="20">
        <v>372</v>
      </c>
      <c r="N150" s="57">
        <f>M150/H150</f>
        <v>0.25357873210633947</v>
      </c>
      <c r="O150" s="46">
        <v>429.5</v>
      </c>
      <c r="P150" s="46">
        <v>538.87</v>
      </c>
      <c r="Q150" s="58" t="s">
        <v>51</v>
      </c>
      <c r="R150" s="58">
        <v>2019</v>
      </c>
      <c r="S150" s="58"/>
      <c r="T150" s="58"/>
      <c r="U150" s="58"/>
      <c r="V150" s="58"/>
      <c r="W150" s="58"/>
      <c r="X150" s="58" t="s">
        <v>51</v>
      </c>
      <c r="Y150" s="58"/>
      <c r="Z150" s="58"/>
      <c r="AA150" s="58"/>
      <c r="AB150" s="58"/>
      <c r="AC150" s="58" t="s">
        <v>51</v>
      </c>
      <c r="AD150" s="58"/>
      <c r="AE150" s="58"/>
      <c r="AF150" s="58"/>
      <c r="AG150" s="58"/>
      <c r="AH150" s="58"/>
      <c r="AI150" s="58"/>
    </row>
    <row r="151" spans="1:35" x14ac:dyDescent="0.35">
      <c r="A151" s="17" t="s">
        <v>46</v>
      </c>
      <c r="B151" s="17" t="s">
        <v>1222</v>
      </c>
      <c r="C151" s="28" t="s">
        <v>1509</v>
      </c>
      <c r="D151" s="17" t="s">
        <v>1510</v>
      </c>
      <c r="E151" s="17" t="s">
        <v>1511</v>
      </c>
      <c r="F151" s="20">
        <v>451.69</v>
      </c>
      <c r="G151" s="20">
        <v>118</v>
      </c>
      <c r="H151" s="19">
        <v>581</v>
      </c>
      <c r="I151" s="20">
        <v>293</v>
      </c>
      <c r="J151" s="20">
        <v>288</v>
      </c>
      <c r="K151" s="20">
        <v>32</v>
      </c>
      <c r="L151" s="57">
        <f>K151/H151</f>
        <v>5.5077452667814115E-2</v>
      </c>
      <c r="M151" s="20">
        <v>348</v>
      </c>
      <c r="N151" s="57">
        <f>M151/H151</f>
        <v>0.59896729776247848</v>
      </c>
      <c r="O151" s="46">
        <v>16.09</v>
      </c>
      <c r="P151" s="46">
        <v>219.78</v>
      </c>
      <c r="Q151" s="58" t="s">
        <v>562</v>
      </c>
      <c r="R151" s="58"/>
      <c r="S151" s="58"/>
      <c r="T151" s="58"/>
      <c r="U151" s="58"/>
      <c r="V151" s="58"/>
      <c r="W151" s="58"/>
      <c r="X151" s="58" t="s">
        <v>562</v>
      </c>
      <c r="Y151" s="58"/>
      <c r="Z151" s="58"/>
      <c r="AA151" s="58"/>
      <c r="AB151" s="58"/>
      <c r="AC151" s="58"/>
      <c r="AD151" s="58"/>
      <c r="AE151" s="58" t="s">
        <v>562</v>
      </c>
      <c r="AF151" s="58"/>
      <c r="AG151" s="58"/>
      <c r="AH151" s="58"/>
      <c r="AI151" s="58"/>
    </row>
    <row r="152" spans="1:35" x14ac:dyDescent="0.35">
      <c r="A152" s="17" t="s">
        <v>46</v>
      </c>
      <c r="B152" s="17" t="s">
        <v>1222</v>
      </c>
      <c r="C152" s="28" t="s">
        <v>1512</v>
      </c>
      <c r="D152" s="17" t="s">
        <v>565</v>
      </c>
      <c r="E152" s="17" t="s">
        <v>1513</v>
      </c>
      <c r="F152" s="28">
        <v>102.07</v>
      </c>
      <c r="G152" s="47"/>
      <c r="H152" s="19">
        <v>0</v>
      </c>
      <c r="I152" s="47"/>
      <c r="J152" s="47"/>
      <c r="K152" s="47"/>
      <c r="L152" s="57"/>
      <c r="M152" s="47"/>
      <c r="N152" s="57"/>
      <c r="O152" s="48">
        <v>0</v>
      </c>
      <c r="P152" s="48">
        <v>0</v>
      </c>
      <c r="Q152" s="58" t="s">
        <v>112</v>
      </c>
      <c r="R152" s="58"/>
      <c r="S152" s="58"/>
      <c r="T152" s="58"/>
      <c r="U152" s="58"/>
      <c r="V152" s="58"/>
      <c r="W152" s="58"/>
      <c r="X152" s="58" t="s">
        <v>112</v>
      </c>
      <c r="Y152" s="58"/>
      <c r="Z152" s="58"/>
      <c r="AA152" s="58"/>
      <c r="AB152" s="58"/>
      <c r="AC152" s="58" t="s">
        <v>112</v>
      </c>
      <c r="AD152" s="58"/>
      <c r="AE152" s="58"/>
      <c r="AF152" s="58"/>
      <c r="AG152" s="58"/>
      <c r="AH152" s="58"/>
      <c r="AI152" s="58"/>
    </row>
    <row r="153" spans="1:35" x14ac:dyDescent="0.35">
      <c r="A153" s="17" t="s">
        <v>46</v>
      </c>
      <c r="B153" s="17" t="s">
        <v>1222</v>
      </c>
      <c r="C153" s="28" t="s">
        <v>1514</v>
      </c>
      <c r="D153" s="17" t="s">
        <v>310</v>
      </c>
      <c r="E153" s="17" t="s">
        <v>1515</v>
      </c>
      <c r="F153" s="20">
        <v>173.16</v>
      </c>
      <c r="G153" s="20">
        <v>64</v>
      </c>
      <c r="H153" s="19">
        <v>307</v>
      </c>
      <c r="I153" s="20">
        <v>154</v>
      </c>
      <c r="J153" s="20">
        <v>153</v>
      </c>
      <c r="K153" s="20">
        <v>0</v>
      </c>
      <c r="L153" s="57">
        <f>K153/H153</f>
        <v>0</v>
      </c>
      <c r="M153" s="20">
        <v>307</v>
      </c>
      <c r="N153" s="57">
        <f>M153/H153</f>
        <v>1</v>
      </c>
      <c r="O153" s="46">
        <v>6.42</v>
      </c>
      <c r="P153" s="46">
        <v>113.65</v>
      </c>
      <c r="Q153" s="58" t="s">
        <v>562</v>
      </c>
      <c r="R153" s="58"/>
      <c r="S153" s="58"/>
      <c r="T153" s="58"/>
      <c r="U153" s="58"/>
      <c r="V153" s="58"/>
      <c r="W153" s="58"/>
      <c r="X153" s="58" t="s">
        <v>562</v>
      </c>
      <c r="Y153" s="58"/>
      <c r="Z153" s="58"/>
      <c r="AA153" s="58"/>
      <c r="AB153" s="58"/>
      <c r="AC153" s="58"/>
      <c r="AD153" s="58"/>
      <c r="AE153" s="58" t="s">
        <v>562</v>
      </c>
      <c r="AF153" s="58"/>
      <c r="AG153" s="58"/>
      <c r="AH153" s="58"/>
      <c r="AI153" s="58"/>
    </row>
    <row r="154" spans="1:35" x14ac:dyDescent="0.35">
      <c r="A154" s="17" t="s">
        <v>46</v>
      </c>
      <c r="B154" s="17" t="s">
        <v>1222</v>
      </c>
      <c r="C154" s="28" t="s">
        <v>1509</v>
      </c>
      <c r="D154" s="17" t="s">
        <v>1516</v>
      </c>
      <c r="E154" s="17" t="s">
        <v>1517</v>
      </c>
      <c r="F154" s="20">
        <v>1925.06</v>
      </c>
      <c r="G154" s="20">
        <v>402</v>
      </c>
      <c r="H154" s="19">
        <v>1832</v>
      </c>
      <c r="I154" s="20">
        <v>948</v>
      </c>
      <c r="J154" s="20">
        <v>884</v>
      </c>
      <c r="K154" s="20">
        <v>273</v>
      </c>
      <c r="L154" s="57">
        <f>K154/H154</f>
        <v>0.1490174672489083</v>
      </c>
      <c r="M154" s="20">
        <v>424</v>
      </c>
      <c r="N154" s="57">
        <f>M154/H154</f>
        <v>0.23144104803493451</v>
      </c>
      <c r="O154" s="46">
        <v>118.8</v>
      </c>
      <c r="P154" s="46">
        <v>754.76</v>
      </c>
      <c r="Q154" s="58" t="s">
        <v>51</v>
      </c>
      <c r="R154" s="58">
        <v>2020</v>
      </c>
      <c r="S154" s="58"/>
      <c r="T154" s="58"/>
      <c r="U154" s="58"/>
      <c r="V154" s="58"/>
      <c r="W154" s="58"/>
      <c r="X154" s="58" t="s">
        <v>51</v>
      </c>
      <c r="Y154" s="58"/>
      <c r="Z154" s="58"/>
      <c r="AA154" s="58"/>
      <c r="AB154" s="58"/>
      <c r="AC154" s="58" t="s">
        <v>51</v>
      </c>
      <c r="AD154" s="58"/>
      <c r="AE154" s="58"/>
      <c r="AF154" s="58"/>
      <c r="AG154" s="58"/>
      <c r="AH154" s="58"/>
      <c r="AI154" s="58"/>
    </row>
    <row r="155" spans="1:35" x14ac:dyDescent="0.35">
      <c r="A155" s="17" t="s">
        <v>46</v>
      </c>
      <c r="B155" s="17" t="s">
        <v>1222</v>
      </c>
      <c r="C155" s="28" t="s">
        <v>1509</v>
      </c>
      <c r="D155" s="17" t="s">
        <v>1518</v>
      </c>
      <c r="E155" s="17" t="s">
        <v>1519</v>
      </c>
      <c r="F155" s="28">
        <v>95.55</v>
      </c>
      <c r="G155" s="47"/>
      <c r="H155" s="19">
        <v>0</v>
      </c>
      <c r="I155" s="47"/>
      <c r="J155" s="47"/>
      <c r="K155" s="47"/>
      <c r="L155" s="57"/>
      <c r="M155" s="47"/>
      <c r="N155" s="57"/>
      <c r="O155" s="48">
        <v>0</v>
      </c>
      <c r="P155" s="48">
        <v>25.57</v>
      </c>
      <c r="Q155" s="58" t="s">
        <v>112</v>
      </c>
      <c r="R155" s="58"/>
      <c r="S155" s="58"/>
      <c r="T155" s="58"/>
      <c r="U155" s="58"/>
      <c r="V155" s="58"/>
      <c r="W155" s="58"/>
      <c r="X155" s="58" t="s">
        <v>112</v>
      </c>
      <c r="Y155" s="58"/>
      <c r="Z155" s="58"/>
      <c r="AA155" s="58"/>
      <c r="AB155" s="58"/>
      <c r="AC155" s="58" t="s">
        <v>112</v>
      </c>
      <c r="AD155" s="58"/>
      <c r="AE155" s="58"/>
      <c r="AF155" s="58"/>
      <c r="AG155" s="58"/>
      <c r="AH155" s="58"/>
      <c r="AI155" s="58"/>
    </row>
    <row r="156" spans="1:35" x14ac:dyDescent="0.35">
      <c r="A156" s="17" t="s">
        <v>46</v>
      </c>
      <c r="B156" s="17" t="s">
        <v>1222</v>
      </c>
      <c r="C156" s="28" t="s">
        <v>1373</v>
      </c>
      <c r="D156" s="17" t="s">
        <v>160</v>
      </c>
      <c r="E156" s="17" t="s">
        <v>1520</v>
      </c>
      <c r="F156" s="20">
        <v>73.03</v>
      </c>
      <c r="G156" s="20">
        <v>48</v>
      </c>
      <c r="H156" s="19">
        <v>197</v>
      </c>
      <c r="I156" s="20">
        <v>98</v>
      </c>
      <c r="J156" s="20">
        <v>99</v>
      </c>
      <c r="K156" s="20">
        <v>197</v>
      </c>
      <c r="L156" s="57">
        <f t="shared" ref="L156:L181" si="16">K156/H156</f>
        <v>1</v>
      </c>
      <c r="M156" s="20">
        <v>0</v>
      </c>
      <c r="N156" s="57">
        <f t="shared" ref="N156:N181" si="17">M156/H156</f>
        <v>0</v>
      </c>
      <c r="O156" s="46">
        <v>0</v>
      </c>
      <c r="P156" s="46">
        <v>0</v>
      </c>
      <c r="Q156" s="58" t="s">
        <v>562</v>
      </c>
      <c r="R156" s="58"/>
      <c r="S156" s="58"/>
      <c r="T156" s="58"/>
      <c r="U156" s="58"/>
      <c r="V156" s="58"/>
      <c r="W156" s="58"/>
      <c r="X156" s="58" t="s">
        <v>562</v>
      </c>
      <c r="Y156" s="58"/>
      <c r="Z156" s="58"/>
      <c r="AA156" s="58"/>
      <c r="AB156" s="58"/>
      <c r="AC156" s="58"/>
      <c r="AD156" s="58"/>
      <c r="AE156" s="58" t="s">
        <v>562</v>
      </c>
      <c r="AF156" s="58"/>
      <c r="AG156" s="58"/>
      <c r="AH156" s="58"/>
      <c r="AI156" s="58"/>
    </row>
    <row r="157" spans="1:35" x14ac:dyDescent="0.35">
      <c r="A157" s="17" t="s">
        <v>46</v>
      </c>
      <c r="B157" s="17" t="s">
        <v>1222</v>
      </c>
      <c r="C157" s="28" t="s">
        <v>1381</v>
      </c>
      <c r="D157" s="17" t="s">
        <v>1521</v>
      </c>
      <c r="E157" s="17" t="s">
        <v>1522</v>
      </c>
      <c r="F157" s="20">
        <v>88.42</v>
      </c>
      <c r="G157" s="20">
        <v>25</v>
      </c>
      <c r="H157" s="19">
        <v>110</v>
      </c>
      <c r="I157" s="20">
        <v>62</v>
      </c>
      <c r="J157" s="20">
        <v>48</v>
      </c>
      <c r="K157" s="20">
        <v>2</v>
      </c>
      <c r="L157" s="57">
        <f t="shared" si="16"/>
        <v>1.8181818181818181E-2</v>
      </c>
      <c r="M157" s="20">
        <v>30</v>
      </c>
      <c r="N157" s="57">
        <f t="shared" si="17"/>
        <v>0.27272727272727271</v>
      </c>
      <c r="O157" s="46">
        <v>0</v>
      </c>
      <c r="P157" s="46">
        <v>0</v>
      </c>
      <c r="Q157" s="58" t="s">
        <v>562</v>
      </c>
      <c r="R157" s="58"/>
      <c r="S157" s="58"/>
      <c r="T157" s="58"/>
      <c r="U157" s="58"/>
      <c r="V157" s="58"/>
      <c r="W157" s="58"/>
      <c r="X157" s="58" t="s">
        <v>562</v>
      </c>
      <c r="Y157" s="58"/>
      <c r="Z157" s="58"/>
      <c r="AA157" s="58"/>
      <c r="AB157" s="58"/>
      <c r="AC157" s="58"/>
      <c r="AD157" s="58"/>
      <c r="AE157" s="58" t="s">
        <v>562</v>
      </c>
      <c r="AF157" s="58"/>
      <c r="AG157" s="58"/>
      <c r="AH157" s="58"/>
      <c r="AI157" s="58"/>
    </row>
    <row r="158" spans="1:35" x14ac:dyDescent="0.35">
      <c r="A158" s="17" t="s">
        <v>46</v>
      </c>
      <c r="B158" s="17" t="s">
        <v>1222</v>
      </c>
      <c r="C158" s="28" t="s">
        <v>1509</v>
      </c>
      <c r="D158" s="17" t="s">
        <v>1523</v>
      </c>
      <c r="E158" s="17" t="s">
        <v>1524</v>
      </c>
      <c r="F158" s="20">
        <v>173.43</v>
      </c>
      <c r="G158" s="20">
        <v>17</v>
      </c>
      <c r="H158" s="19">
        <v>84</v>
      </c>
      <c r="I158" s="20">
        <v>40</v>
      </c>
      <c r="J158" s="20">
        <v>44</v>
      </c>
      <c r="K158" s="20">
        <v>0</v>
      </c>
      <c r="L158" s="57">
        <f t="shared" si="16"/>
        <v>0</v>
      </c>
      <c r="M158" s="20">
        <v>84</v>
      </c>
      <c r="N158" s="57">
        <f t="shared" si="17"/>
        <v>1</v>
      </c>
      <c r="O158" s="46">
        <v>0</v>
      </c>
      <c r="P158" s="46">
        <v>78.14</v>
      </c>
      <c r="Q158" s="58" t="s">
        <v>562</v>
      </c>
      <c r="R158" s="58"/>
      <c r="S158" s="58"/>
      <c r="T158" s="58"/>
      <c r="U158" s="58"/>
      <c r="V158" s="58"/>
      <c r="W158" s="58"/>
      <c r="X158" s="58" t="s">
        <v>562</v>
      </c>
      <c r="Y158" s="58"/>
      <c r="Z158" s="58"/>
      <c r="AA158" s="58"/>
      <c r="AB158" s="58"/>
      <c r="AC158" s="58"/>
      <c r="AD158" s="58"/>
      <c r="AE158" s="58" t="s">
        <v>562</v>
      </c>
      <c r="AF158" s="58"/>
      <c r="AG158" s="58"/>
      <c r="AH158" s="58"/>
      <c r="AI158" s="58"/>
    </row>
    <row r="159" spans="1:35" x14ac:dyDescent="0.35">
      <c r="A159" s="17" t="s">
        <v>46</v>
      </c>
      <c r="B159" s="17" t="s">
        <v>1222</v>
      </c>
      <c r="C159" s="28" t="s">
        <v>1512</v>
      </c>
      <c r="D159" s="17" t="s">
        <v>359</v>
      </c>
      <c r="E159" s="17" t="s">
        <v>1525</v>
      </c>
      <c r="F159" s="20">
        <v>204.46</v>
      </c>
      <c r="G159" s="20">
        <v>31</v>
      </c>
      <c r="H159" s="19">
        <v>167</v>
      </c>
      <c r="I159" s="20">
        <v>81</v>
      </c>
      <c r="J159" s="20">
        <v>86</v>
      </c>
      <c r="K159" s="20">
        <v>0</v>
      </c>
      <c r="L159" s="57">
        <f t="shared" si="16"/>
        <v>0</v>
      </c>
      <c r="M159" s="20">
        <v>165</v>
      </c>
      <c r="N159" s="57">
        <f t="shared" si="17"/>
        <v>0.9880239520958084</v>
      </c>
      <c r="O159" s="46">
        <v>38.07</v>
      </c>
      <c r="P159" s="46">
        <v>79.569999999999993</v>
      </c>
      <c r="Q159" s="58" t="s">
        <v>562</v>
      </c>
      <c r="R159" s="58"/>
      <c r="S159" s="58"/>
      <c r="T159" s="58"/>
      <c r="U159" s="58"/>
      <c r="V159" s="58"/>
      <c r="W159" s="58"/>
      <c r="X159" s="58" t="s">
        <v>562</v>
      </c>
      <c r="Y159" s="58"/>
      <c r="Z159" s="58"/>
      <c r="AA159" s="58"/>
      <c r="AB159" s="58"/>
      <c r="AC159" s="58"/>
      <c r="AD159" s="58"/>
      <c r="AE159" s="58" t="s">
        <v>562</v>
      </c>
      <c r="AF159" s="58"/>
      <c r="AG159" s="58"/>
      <c r="AH159" s="58"/>
      <c r="AI159" s="58"/>
    </row>
    <row r="160" spans="1:35" x14ac:dyDescent="0.35">
      <c r="A160" s="17" t="s">
        <v>46</v>
      </c>
      <c r="B160" s="17" t="s">
        <v>1222</v>
      </c>
      <c r="C160" s="28" t="s">
        <v>1381</v>
      </c>
      <c r="D160" s="17" t="s">
        <v>1526</v>
      </c>
      <c r="E160" s="17" t="s">
        <v>1527</v>
      </c>
      <c r="F160" s="20">
        <v>196.39</v>
      </c>
      <c r="G160" s="20">
        <v>23</v>
      </c>
      <c r="H160" s="19">
        <v>85</v>
      </c>
      <c r="I160" s="20">
        <v>49</v>
      </c>
      <c r="J160" s="20">
        <v>36</v>
      </c>
      <c r="K160" s="20">
        <v>0</v>
      </c>
      <c r="L160" s="57">
        <f t="shared" si="16"/>
        <v>0</v>
      </c>
      <c r="M160" s="20">
        <v>0</v>
      </c>
      <c r="N160" s="57">
        <f t="shared" si="17"/>
        <v>0</v>
      </c>
      <c r="O160" s="46">
        <v>6.63</v>
      </c>
      <c r="P160" s="46">
        <v>0</v>
      </c>
      <c r="Q160" s="58" t="s">
        <v>562</v>
      </c>
      <c r="R160" s="58"/>
      <c r="S160" s="58"/>
      <c r="T160" s="58"/>
      <c r="U160" s="58"/>
      <c r="V160" s="58"/>
      <c r="W160" s="58"/>
      <c r="X160" s="58" t="s">
        <v>562</v>
      </c>
      <c r="Y160" s="58"/>
      <c r="Z160" s="58"/>
      <c r="AA160" s="58"/>
      <c r="AB160" s="58"/>
      <c r="AC160" s="58"/>
      <c r="AD160" s="58"/>
      <c r="AE160" s="58" t="s">
        <v>562</v>
      </c>
      <c r="AF160" s="58"/>
      <c r="AG160" s="58"/>
      <c r="AH160" s="58"/>
      <c r="AI160" s="58"/>
    </row>
    <row r="161" spans="1:35" x14ac:dyDescent="0.35">
      <c r="A161" s="17" t="s">
        <v>46</v>
      </c>
      <c r="B161" s="17" t="s">
        <v>1222</v>
      </c>
      <c r="C161" s="28" t="s">
        <v>1381</v>
      </c>
      <c r="D161" s="17" t="s">
        <v>1528</v>
      </c>
      <c r="E161" s="17" t="s">
        <v>1529</v>
      </c>
      <c r="F161" s="20">
        <v>180.89</v>
      </c>
      <c r="G161" s="20">
        <v>4</v>
      </c>
      <c r="H161" s="19">
        <v>16</v>
      </c>
      <c r="I161" s="20">
        <v>9</v>
      </c>
      <c r="J161" s="20">
        <v>7</v>
      </c>
      <c r="K161" s="20">
        <v>6</v>
      </c>
      <c r="L161" s="57">
        <f t="shared" si="16"/>
        <v>0.375</v>
      </c>
      <c r="M161" s="20">
        <v>0</v>
      </c>
      <c r="N161" s="57">
        <f t="shared" si="17"/>
        <v>0</v>
      </c>
      <c r="O161" s="46">
        <v>0</v>
      </c>
      <c r="P161" s="46">
        <v>31.6</v>
      </c>
      <c r="Q161" s="58" t="s">
        <v>51</v>
      </c>
      <c r="R161" s="58">
        <v>2019</v>
      </c>
      <c r="S161" s="58"/>
      <c r="T161" s="58"/>
      <c r="U161" s="58"/>
      <c r="V161" s="58"/>
      <c r="W161" s="58"/>
      <c r="X161" s="58" t="s">
        <v>51</v>
      </c>
      <c r="Y161" s="58"/>
      <c r="Z161" s="58"/>
      <c r="AA161" s="58"/>
      <c r="AB161" s="58"/>
      <c r="AC161" s="58" t="s">
        <v>51</v>
      </c>
      <c r="AD161" s="58"/>
      <c r="AE161" s="58"/>
      <c r="AF161" s="58"/>
      <c r="AG161" s="58"/>
      <c r="AH161" s="58"/>
      <c r="AI161" s="58"/>
    </row>
    <row r="162" spans="1:35" x14ac:dyDescent="0.35">
      <c r="A162" s="17" t="s">
        <v>46</v>
      </c>
      <c r="B162" s="17" t="s">
        <v>1222</v>
      </c>
      <c r="C162" s="28" t="s">
        <v>1509</v>
      </c>
      <c r="D162" s="17" t="s">
        <v>1530</v>
      </c>
      <c r="E162" s="17" t="s">
        <v>1531</v>
      </c>
      <c r="F162" s="20">
        <v>329.37</v>
      </c>
      <c r="G162" s="20">
        <v>50</v>
      </c>
      <c r="H162" s="19">
        <v>252</v>
      </c>
      <c r="I162" s="20">
        <v>131</v>
      </c>
      <c r="J162" s="20">
        <v>121</v>
      </c>
      <c r="K162" s="20">
        <v>0</v>
      </c>
      <c r="L162" s="57">
        <f t="shared" si="16"/>
        <v>0</v>
      </c>
      <c r="M162" s="20">
        <v>252</v>
      </c>
      <c r="N162" s="57">
        <f t="shared" si="17"/>
        <v>1</v>
      </c>
      <c r="O162" s="46">
        <v>14.87</v>
      </c>
      <c r="P162" s="46">
        <v>152.65</v>
      </c>
      <c r="Q162" s="58" t="s">
        <v>562</v>
      </c>
      <c r="R162" s="58"/>
      <c r="S162" s="58"/>
      <c r="T162" s="58"/>
      <c r="U162" s="58"/>
      <c r="V162" s="58"/>
      <c r="W162" s="58"/>
      <c r="X162" s="58" t="s">
        <v>562</v>
      </c>
      <c r="Y162" s="58"/>
      <c r="Z162" s="58"/>
      <c r="AA162" s="58"/>
      <c r="AB162" s="58"/>
      <c r="AC162" s="58"/>
      <c r="AD162" s="58"/>
      <c r="AE162" s="58" t="s">
        <v>562</v>
      </c>
      <c r="AF162" s="58"/>
      <c r="AG162" s="58"/>
      <c r="AH162" s="58"/>
      <c r="AI162" s="58"/>
    </row>
    <row r="163" spans="1:35" x14ac:dyDescent="0.35">
      <c r="A163" s="17" t="s">
        <v>46</v>
      </c>
      <c r="B163" s="17" t="s">
        <v>1222</v>
      </c>
      <c r="C163" s="28" t="s">
        <v>1381</v>
      </c>
      <c r="D163" s="17" t="s">
        <v>1532</v>
      </c>
      <c r="E163" s="17" t="s">
        <v>1533</v>
      </c>
      <c r="F163" s="20">
        <v>340.23</v>
      </c>
      <c r="G163" s="20">
        <v>130</v>
      </c>
      <c r="H163" s="19">
        <v>628</v>
      </c>
      <c r="I163" s="20">
        <v>334</v>
      </c>
      <c r="J163" s="20">
        <v>294</v>
      </c>
      <c r="K163" s="20">
        <v>68</v>
      </c>
      <c r="L163" s="57">
        <f t="shared" si="16"/>
        <v>0.10828025477707007</v>
      </c>
      <c r="M163" s="20">
        <v>316</v>
      </c>
      <c r="N163" s="57">
        <f t="shared" si="17"/>
        <v>0.50318471337579618</v>
      </c>
      <c r="O163" s="46">
        <v>17.72</v>
      </c>
      <c r="P163" s="46">
        <v>39.43</v>
      </c>
      <c r="Q163" s="58" t="s">
        <v>51</v>
      </c>
      <c r="R163" s="58">
        <v>2019</v>
      </c>
      <c r="S163" s="58"/>
      <c r="T163" s="58"/>
      <c r="U163" s="58"/>
      <c r="V163" s="58"/>
      <c r="W163" s="58"/>
      <c r="X163" s="58" t="s">
        <v>51</v>
      </c>
      <c r="Y163" s="58"/>
      <c r="Z163" s="58"/>
      <c r="AA163" s="58"/>
      <c r="AB163" s="58"/>
      <c r="AC163" s="58" t="s">
        <v>51</v>
      </c>
      <c r="AD163" s="58"/>
      <c r="AE163" s="58"/>
      <c r="AF163" s="58"/>
      <c r="AG163" s="58"/>
      <c r="AH163" s="58"/>
      <c r="AI163" s="58"/>
    </row>
    <row r="164" spans="1:35" x14ac:dyDescent="0.35">
      <c r="A164" s="17" t="s">
        <v>46</v>
      </c>
      <c r="B164" s="17" t="s">
        <v>1222</v>
      </c>
      <c r="C164" s="28" t="s">
        <v>1534</v>
      </c>
      <c r="D164" s="17" t="s">
        <v>1535</v>
      </c>
      <c r="E164" s="17" t="s">
        <v>1536</v>
      </c>
      <c r="F164" s="20">
        <v>371.96</v>
      </c>
      <c r="G164" s="20">
        <v>30</v>
      </c>
      <c r="H164" s="19">
        <v>168</v>
      </c>
      <c r="I164" s="20">
        <v>87</v>
      </c>
      <c r="J164" s="20">
        <v>81</v>
      </c>
      <c r="K164" s="20">
        <v>0</v>
      </c>
      <c r="L164" s="57">
        <f t="shared" si="16"/>
        <v>0</v>
      </c>
      <c r="M164" s="20">
        <v>99</v>
      </c>
      <c r="N164" s="57">
        <f t="shared" si="17"/>
        <v>0.5892857142857143</v>
      </c>
      <c r="O164" s="46">
        <v>14.98</v>
      </c>
      <c r="P164" s="46">
        <v>0</v>
      </c>
      <c r="Q164" s="58" t="s">
        <v>562</v>
      </c>
      <c r="R164" s="58"/>
      <c r="S164" s="58"/>
      <c r="T164" s="58"/>
      <c r="U164" s="58"/>
      <c r="V164" s="58"/>
      <c r="W164" s="58"/>
      <c r="X164" s="58" t="s">
        <v>562</v>
      </c>
      <c r="Y164" s="58"/>
      <c r="Z164" s="58"/>
      <c r="AA164" s="58"/>
      <c r="AB164" s="58"/>
      <c r="AC164" s="58"/>
      <c r="AD164" s="58"/>
      <c r="AE164" s="58" t="s">
        <v>562</v>
      </c>
      <c r="AF164" s="58"/>
      <c r="AG164" s="58"/>
      <c r="AH164" s="58"/>
      <c r="AI164" s="58"/>
    </row>
    <row r="165" spans="1:35" x14ac:dyDescent="0.35">
      <c r="A165" s="17" t="s">
        <v>46</v>
      </c>
      <c r="B165" s="17" t="s">
        <v>1222</v>
      </c>
      <c r="C165" s="28" t="s">
        <v>1381</v>
      </c>
      <c r="D165" s="17" t="s">
        <v>1537</v>
      </c>
      <c r="E165" s="17" t="s">
        <v>1538</v>
      </c>
      <c r="F165" s="20">
        <v>634.39</v>
      </c>
      <c r="G165" s="20">
        <v>367</v>
      </c>
      <c r="H165" s="19">
        <v>1645</v>
      </c>
      <c r="I165" s="20">
        <v>854</v>
      </c>
      <c r="J165" s="20">
        <v>791</v>
      </c>
      <c r="K165" s="20">
        <v>416</v>
      </c>
      <c r="L165" s="57">
        <f t="shared" si="16"/>
        <v>0.252887537993921</v>
      </c>
      <c r="M165" s="20">
        <v>272</v>
      </c>
      <c r="N165" s="57">
        <f t="shared" si="17"/>
        <v>0.16534954407294833</v>
      </c>
      <c r="O165" s="46">
        <v>80.98</v>
      </c>
      <c r="P165" s="46">
        <v>0</v>
      </c>
      <c r="Q165" s="58" t="s">
        <v>51</v>
      </c>
      <c r="R165" s="58">
        <v>2020</v>
      </c>
      <c r="S165" s="58"/>
      <c r="T165" s="58"/>
      <c r="U165" s="58"/>
      <c r="V165" s="58"/>
      <c r="W165" s="58"/>
      <c r="X165" s="58" t="s">
        <v>51</v>
      </c>
      <c r="Y165" s="58"/>
      <c r="Z165" s="58"/>
      <c r="AA165" s="58"/>
      <c r="AB165" s="58"/>
      <c r="AC165" s="58" t="s">
        <v>51</v>
      </c>
      <c r="AD165" s="58"/>
      <c r="AE165" s="58"/>
      <c r="AF165" s="58"/>
      <c r="AG165" s="58"/>
      <c r="AH165" s="58"/>
      <c r="AI165" s="58"/>
    </row>
    <row r="166" spans="1:35" x14ac:dyDescent="0.35">
      <c r="A166" s="17" t="s">
        <v>46</v>
      </c>
      <c r="B166" s="17" t="s">
        <v>1222</v>
      </c>
      <c r="C166" s="28" t="s">
        <v>1512</v>
      </c>
      <c r="D166" s="17" t="s">
        <v>459</v>
      </c>
      <c r="E166" s="17" t="s">
        <v>1539</v>
      </c>
      <c r="F166" s="20">
        <v>1066.8699999999999</v>
      </c>
      <c r="G166" s="20">
        <v>56</v>
      </c>
      <c r="H166" s="19">
        <v>253</v>
      </c>
      <c r="I166" s="20">
        <v>135</v>
      </c>
      <c r="J166" s="20">
        <v>118</v>
      </c>
      <c r="K166" s="20">
        <v>35</v>
      </c>
      <c r="L166" s="57">
        <f t="shared" si="16"/>
        <v>0.13833992094861661</v>
      </c>
      <c r="M166" s="20">
        <v>66</v>
      </c>
      <c r="N166" s="57">
        <f t="shared" si="17"/>
        <v>0.2608695652173913</v>
      </c>
      <c r="O166" s="46">
        <v>3.3</v>
      </c>
      <c r="P166" s="46">
        <v>672.44</v>
      </c>
      <c r="Q166" s="58" t="s">
        <v>51</v>
      </c>
      <c r="R166" s="58">
        <v>2021</v>
      </c>
      <c r="S166" s="58"/>
      <c r="T166" s="58"/>
      <c r="U166" s="58"/>
      <c r="V166" s="58"/>
      <c r="W166" s="58"/>
      <c r="X166" s="58" t="s">
        <v>51</v>
      </c>
      <c r="Y166" s="58"/>
      <c r="Z166" s="58"/>
      <c r="AA166" s="58"/>
      <c r="AB166" s="58"/>
      <c r="AC166" s="58" t="s">
        <v>51</v>
      </c>
      <c r="AD166" s="58"/>
      <c r="AE166" s="58"/>
      <c r="AF166" s="58"/>
      <c r="AG166" s="58"/>
      <c r="AH166" s="58"/>
      <c r="AI166" s="58"/>
    </row>
    <row r="167" spans="1:35" x14ac:dyDescent="0.35">
      <c r="A167" s="17" t="s">
        <v>46</v>
      </c>
      <c r="B167" s="17" t="s">
        <v>1222</v>
      </c>
      <c r="C167" s="28" t="s">
        <v>1512</v>
      </c>
      <c r="D167" s="17" t="s">
        <v>1540</v>
      </c>
      <c r="E167" s="17" t="s">
        <v>1541</v>
      </c>
      <c r="F167" s="20">
        <v>938.49</v>
      </c>
      <c r="G167" s="20">
        <v>275</v>
      </c>
      <c r="H167" s="19">
        <v>1238</v>
      </c>
      <c r="I167" s="20">
        <v>618</v>
      </c>
      <c r="J167" s="20">
        <v>620</v>
      </c>
      <c r="K167" s="20">
        <v>606</v>
      </c>
      <c r="L167" s="57">
        <f t="shared" si="16"/>
        <v>0.48949919224555732</v>
      </c>
      <c r="M167" s="20">
        <v>43</v>
      </c>
      <c r="N167" s="57">
        <f t="shared" si="17"/>
        <v>3.4733441033925685E-2</v>
      </c>
      <c r="O167" s="46">
        <v>20.55</v>
      </c>
      <c r="P167" s="46">
        <v>258.42</v>
      </c>
      <c r="Q167" s="58" t="s">
        <v>51</v>
      </c>
      <c r="R167" s="58">
        <v>2020</v>
      </c>
      <c r="S167" s="58"/>
      <c r="T167" s="58"/>
      <c r="U167" s="58"/>
      <c r="V167" s="58"/>
      <c r="W167" s="58"/>
      <c r="X167" s="58" t="s">
        <v>51</v>
      </c>
      <c r="Y167" s="58"/>
      <c r="Z167" s="58"/>
      <c r="AA167" s="58"/>
      <c r="AB167" s="58"/>
      <c r="AC167" s="58" t="s">
        <v>51</v>
      </c>
      <c r="AD167" s="58"/>
      <c r="AE167" s="58"/>
      <c r="AF167" s="58"/>
      <c r="AG167" s="58"/>
      <c r="AH167" s="58"/>
      <c r="AI167" s="58"/>
    </row>
    <row r="168" spans="1:35" x14ac:dyDescent="0.35">
      <c r="A168" s="17" t="s">
        <v>46</v>
      </c>
      <c r="B168" s="17" t="s">
        <v>1222</v>
      </c>
      <c r="C168" s="28" t="s">
        <v>1512</v>
      </c>
      <c r="D168" s="17" t="s">
        <v>1542</v>
      </c>
      <c r="E168" s="17" t="s">
        <v>1543</v>
      </c>
      <c r="F168" s="20">
        <v>340.72</v>
      </c>
      <c r="G168" s="20">
        <v>78</v>
      </c>
      <c r="H168" s="19">
        <v>338</v>
      </c>
      <c r="I168" s="20">
        <v>179</v>
      </c>
      <c r="J168" s="20">
        <v>159</v>
      </c>
      <c r="K168" s="20">
        <v>0</v>
      </c>
      <c r="L168" s="57">
        <f t="shared" si="16"/>
        <v>0</v>
      </c>
      <c r="M168" s="20">
        <v>92</v>
      </c>
      <c r="N168" s="57">
        <f t="shared" si="17"/>
        <v>0.27218934911242604</v>
      </c>
      <c r="O168" s="46">
        <v>12.63</v>
      </c>
      <c r="P168" s="46">
        <v>192.86</v>
      </c>
      <c r="Q168" s="58" t="s">
        <v>562</v>
      </c>
      <c r="R168" s="58"/>
      <c r="S168" s="58"/>
      <c r="T168" s="58"/>
      <c r="U168" s="58"/>
      <c r="V168" s="58"/>
      <c r="W168" s="58"/>
      <c r="X168" s="58" t="s">
        <v>562</v>
      </c>
      <c r="Y168" s="58"/>
      <c r="Z168" s="58"/>
      <c r="AA168" s="58"/>
      <c r="AB168" s="58"/>
      <c r="AC168" s="58"/>
      <c r="AD168" s="58"/>
      <c r="AE168" s="58" t="s">
        <v>562</v>
      </c>
      <c r="AF168" s="58"/>
      <c r="AG168" s="58"/>
      <c r="AH168" s="58"/>
      <c r="AI168" s="58"/>
    </row>
    <row r="169" spans="1:35" x14ac:dyDescent="0.35">
      <c r="A169" s="17" t="s">
        <v>46</v>
      </c>
      <c r="B169" s="17" t="s">
        <v>1222</v>
      </c>
      <c r="C169" s="28" t="s">
        <v>1512</v>
      </c>
      <c r="D169" s="17" t="s">
        <v>1544</v>
      </c>
      <c r="E169" s="17" t="s">
        <v>1545</v>
      </c>
      <c r="F169" s="20">
        <v>400.29</v>
      </c>
      <c r="G169" s="20">
        <v>65</v>
      </c>
      <c r="H169" s="19">
        <v>293</v>
      </c>
      <c r="I169" s="20">
        <v>151</v>
      </c>
      <c r="J169" s="20">
        <v>142</v>
      </c>
      <c r="K169" s="20">
        <v>190</v>
      </c>
      <c r="L169" s="57">
        <f t="shared" si="16"/>
        <v>0.64846416382252559</v>
      </c>
      <c r="M169" s="20">
        <v>17</v>
      </c>
      <c r="N169" s="57">
        <f t="shared" si="17"/>
        <v>5.8020477815699661E-2</v>
      </c>
      <c r="O169" s="46">
        <v>14.58</v>
      </c>
      <c r="P169" s="46">
        <v>0</v>
      </c>
      <c r="Q169" s="58" t="s">
        <v>562</v>
      </c>
      <c r="R169" s="58"/>
      <c r="S169" s="58"/>
      <c r="T169" s="58"/>
      <c r="U169" s="58"/>
      <c r="V169" s="58"/>
      <c r="W169" s="58"/>
      <c r="X169" s="58" t="s">
        <v>562</v>
      </c>
      <c r="Y169" s="58"/>
      <c r="Z169" s="58"/>
      <c r="AA169" s="58"/>
      <c r="AB169" s="58"/>
      <c r="AC169" s="58"/>
      <c r="AD169" s="58"/>
      <c r="AE169" s="58" t="s">
        <v>562</v>
      </c>
      <c r="AF169" s="58"/>
      <c r="AG169" s="58"/>
      <c r="AH169" s="58"/>
      <c r="AI169" s="58"/>
    </row>
    <row r="170" spans="1:35" x14ac:dyDescent="0.35">
      <c r="A170" s="17" t="s">
        <v>46</v>
      </c>
      <c r="B170" s="17" t="s">
        <v>1222</v>
      </c>
      <c r="C170" s="28" t="s">
        <v>1378</v>
      </c>
      <c r="D170" s="17" t="s">
        <v>1546</v>
      </c>
      <c r="E170" s="17" t="s">
        <v>1547</v>
      </c>
      <c r="F170" s="20">
        <v>147.13</v>
      </c>
      <c r="G170" s="20">
        <v>34</v>
      </c>
      <c r="H170" s="19">
        <v>158</v>
      </c>
      <c r="I170" s="20">
        <v>78</v>
      </c>
      <c r="J170" s="20">
        <v>80</v>
      </c>
      <c r="K170" s="20">
        <v>0</v>
      </c>
      <c r="L170" s="57">
        <f t="shared" si="16"/>
        <v>0</v>
      </c>
      <c r="M170" s="20">
        <v>33</v>
      </c>
      <c r="N170" s="57">
        <f t="shared" si="17"/>
        <v>0.20886075949367089</v>
      </c>
      <c r="O170" s="46">
        <v>15.5</v>
      </c>
      <c r="P170" s="46">
        <v>0</v>
      </c>
      <c r="Q170" s="58" t="s">
        <v>562</v>
      </c>
      <c r="R170" s="58"/>
      <c r="S170" s="58"/>
      <c r="T170" s="58"/>
      <c r="U170" s="58"/>
      <c r="V170" s="58"/>
      <c r="W170" s="58"/>
      <c r="X170" s="58" t="s">
        <v>562</v>
      </c>
      <c r="Y170" s="58"/>
      <c r="Z170" s="58"/>
      <c r="AA170" s="58"/>
      <c r="AB170" s="58"/>
      <c r="AC170" s="58"/>
      <c r="AD170" s="58"/>
      <c r="AE170" s="58" t="s">
        <v>562</v>
      </c>
      <c r="AF170" s="58"/>
      <c r="AG170" s="58"/>
      <c r="AH170" s="58"/>
      <c r="AI170" s="58"/>
    </row>
    <row r="171" spans="1:35" x14ac:dyDescent="0.35">
      <c r="A171" s="17" t="s">
        <v>46</v>
      </c>
      <c r="B171" s="17" t="s">
        <v>1222</v>
      </c>
      <c r="C171" s="28" t="s">
        <v>1548</v>
      </c>
      <c r="D171" s="17" t="s">
        <v>1549</v>
      </c>
      <c r="E171" s="17" t="s">
        <v>1550</v>
      </c>
      <c r="F171" s="20">
        <v>232.37</v>
      </c>
      <c r="G171" s="20">
        <v>36</v>
      </c>
      <c r="H171" s="19">
        <v>158</v>
      </c>
      <c r="I171" s="20">
        <v>82</v>
      </c>
      <c r="J171" s="20">
        <v>76</v>
      </c>
      <c r="K171" s="20">
        <v>0</v>
      </c>
      <c r="L171" s="57">
        <f t="shared" si="16"/>
        <v>0</v>
      </c>
      <c r="M171" s="20">
        <v>158</v>
      </c>
      <c r="N171" s="57">
        <f t="shared" si="17"/>
        <v>1</v>
      </c>
      <c r="O171" s="46">
        <v>0</v>
      </c>
      <c r="P171" s="46">
        <v>30.9</v>
      </c>
      <c r="Q171" s="58" t="s">
        <v>562</v>
      </c>
      <c r="R171" s="58"/>
      <c r="S171" s="58"/>
      <c r="T171" s="58"/>
      <c r="U171" s="58"/>
      <c r="V171" s="58"/>
      <c r="W171" s="58"/>
      <c r="X171" s="58" t="s">
        <v>562</v>
      </c>
      <c r="Y171" s="58"/>
      <c r="Z171" s="58"/>
      <c r="AA171" s="58"/>
      <c r="AB171" s="58"/>
      <c r="AC171" s="58"/>
      <c r="AD171" s="58"/>
      <c r="AE171" s="58" t="s">
        <v>562</v>
      </c>
      <c r="AF171" s="58"/>
      <c r="AG171" s="58"/>
      <c r="AH171" s="58"/>
      <c r="AI171" s="58"/>
    </row>
    <row r="172" spans="1:35" x14ac:dyDescent="0.35">
      <c r="A172" s="17" t="s">
        <v>46</v>
      </c>
      <c r="B172" s="17" t="s">
        <v>1222</v>
      </c>
      <c r="C172" s="28" t="s">
        <v>1534</v>
      </c>
      <c r="D172" s="17" t="s">
        <v>1551</v>
      </c>
      <c r="E172" s="17" t="s">
        <v>1552</v>
      </c>
      <c r="F172" s="20">
        <v>684.43</v>
      </c>
      <c r="G172" s="20">
        <v>268</v>
      </c>
      <c r="H172" s="19">
        <v>1414</v>
      </c>
      <c r="I172" s="20">
        <v>748</v>
      </c>
      <c r="J172" s="20">
        <v>666</v>
      </c>
      <c r="K172" s="20">
        <v>267</v>
      </c>
      <c r="L172" s="57">
        <f t="shared" si="16"/>
        <v>0.18882602545968882</v>
      </c>
      <c r="M172" s="20">
        <v>8</v>
      </c>
      <c r="N172" s="57">
        <f t="shared" si="17"/>
        <v>5.6577086280056579E-3</v>
      </c>
      <c r="O172" s="46">
        <v>71.8</v>
      </c>
      <c r="P172" s="46">
        <v>0.68</v>
      </c>
      <c r="Q172" s="58" t="s">
        <v>51</v>
      </c>
      <c r="R172" s="58">
        <v>2020</v>
      </c>
      <c r="S172" s="58"/>
      <c r="T172" s="58"/>
      <c r="U172" s="58"/>
      <c r="V172" s="58"/>
      <c r="W172" s="58"/>
      <c r="X172" s="58" t="s">
        <v>51</v>
      </c>
      <c r="Y172" s="58"/>
      <c r="Z172" s="58"/>
      <c r="AA172" s="58"/>
      <c r="AB172" s="58"/>
      <c r="AC172" s="58" t="s">
        <v>51</v>
      </c>
      <c r="AD172" s="58"/>
      <c r="AE172" s="58"/>
      <c r="AF172" s="58"/>
      <c r="AG172" s="58"/>
      <c r="AH172" s="58"/>
      <c r="AI172" s="58"/>
    </row>
    <row r="173" spans="1:35" x14ac:dyDescent="0.35">
      <c r="A173" s="17" t="s">
        <v>46</v>
      </c>
      <c r="B173" s="17" t="s">
        <v>1222</v>
      </c>
      <c r="C173" s="28" t="s">
        <v>1548</v>
      </c>
      <c r="D173" s="17" t="s">
        <v>1553</v>
      </c>
      <c r="E173" s="17" t="s">
        <v>1554</v>
      </c>
      <c r="F173" s="20">
        <v>560.39</v>
      </c>
      <c r="G173" s="20">
        <v>178</v>
      </c>
      <c r="H173" s="19">
        <v>937</v>
      </c>
      <c r="I173" s="20">
        <v>499</v>
      </c>
      <c r="J173" s="20">
        <v>438</v>
      </c>
      <c r="K173" s="20">
        <v>148</v>
      </c>
      <c r="L173" s="57">
        <f t="shared" si="16"/>
        <v>0.15795090715048027</v>
      </c>
      <c r="M173" s="20">
        <v>186</v>
      </c>
      <c r="N173" s="57">
        <f t="shared" si="17"/>
        <v>0.19850586979722518</v>
      </c>
      <c r="O173" s="46">
        <v>57.08</v>
      </c>
      <c r="P173" s="46">
        <v>0</v>
      </c>
      <c r="Q173" s="58" t="s">
        <v>562</v>
      </c>
      <c r="R173" s="58"/>
      <c r="S173" s="58"/>
      <c r="T173" s="58"/>
      <c r="U173" s="58"/>
      <c r="V173" s="58"/>
      <c r="W173" s="58"/>
      <c r="X173" s="58" t="s">
        <v>562</v>
      </c>
      <c r="Y173" s="58"/>
      <c r="Z173" s="58"/>
      <c r="AA173" s="58"/>
      <c r="AB173" s="58"/>
      <c r="AC173" s="58"/>
      <c r="AD173" s="58"/>
      <c r="AE173" s="58" t="s">
        <v>562</v>
      </c>
      <c r="AF173" s="58"/>
      <c r="AG173" s="58"/>
      <c r="AH173" s="58"/>
      <c r="AI173" s="58"/>
    </row>
    <row r="174" spans="1:35" x14ac:dyDescent="0.35">
      <c r="A174" s="17" t="s">
        <v>46</v>
      </c>
      <c r="B174" s="17" t="s">
        <v>1222</v>
      </c>
      <c r="C174" s="28" t="s">
        <v>1534</v>
      </c>
      <c r="D174" s="17" t="s">
        <v>1555</v>
      </c>
      <c r="E174" s="17" t="s">
        <v>1556</v>
      </c>
      <c r="F174" s="20">
        <v>391.8</v>
      </c>
      <c r="G174" s="20">
        <v>229</v>
      </c>
      <c r="H174" s="19">
        <v>1142</v>
      </c>
      <c r="I174" s="20">
        <v>595</v>
      </c>
      <c r="J174" s="20">
        <v>547</v>
      </c>
      <c r="K174" s="20">
        <v>353</v>
      </c>
      <c r="L174" s="57">
        <f t="shared" si="16"/>
        <v>0.30910683012259194</v>
      </c>
      <c r="M174" s="20">
        <v>20</v>
      </c>
      <c r="N174" s="57">
        <f t="shared" si="17"/>
        <v>1.7513134851138354E-2</v>
      </c>
      <c r="O174" s="46">
        <v>60.1</v>
      </c>
      <c r="P174" s="46">
        <v>0</v>
      </c>
      <c r="Q174" s="58" t="s">
        <v>562</v>
      </c>
      <c r="R174" s="58"/>
      <c r="S174" s="58"/>
      <c r="T174" s="58"/>
      <c r="U174" s="58"/>
      <c r="V174" s="58"/>
      <c r="W174" s="58"/>
      <c r="X174" s="58" t="s">
        <v>562</v>
      </c>
      <c r="Y174" s="58"/>
      <c r="Z174" s="58"/>
      <c r="AA174" s="58"/>
      <c r="AB174" s="58"/>
      <c r="AC174" s="58"/>
      <c r="AD174" s="58"/>
      <c r="AE174" s="58" t="s">
        <v>562</v>
      </c>
      <c r="AF174" s="58"/>
      <c r="AG174" s="58"/>
      <c r="AH174" s="58"/>
      <c r="AI174" s="58"/>
    </row>
    <row r="175" spans="1:35" x14ac:dyDescent="0.35">
      <c r="A175" s="17" t="s">
        <v>46</v>
      </c>
      <c r="B175" s="17" t="s">
        <v>1222</v>
      </c>
      <c r="C175" s="28" t="s">
        <v>1548</v>
      </c>
      <c r="D175" s="17" t="s">
        <v>1557</v>
      </c>
      <c r="E175" s="17" t="s">
        <v>1558</v>
      </c>
      <c r="F175" s="20">
        <v>504.84</v>
      </c>
      <c r="G175" s="20">
        <v>114</v>
      </c>
      <c r="H175" s="19">
        <v>552</v>
      </c>
      <c r="I175" s="20">
        <v>299</v>
      </c>
      <c r="J175" s="20">
        <v>253</v>
      </c>
      <c r="K175" s="20">
        <v>142</v>
      </c>
      <c r="L175" s="57">
        <f t="shared" si="16"/>
        <v>0.25724637681159418</v>
      </c>
      <c r="M175" s="20">
        <v>60</v>
      </c>
      <c r="N175" s="57">
        <f t="shared" si="17"/>
        <v>0.10869565217391304</v>
      </c>
      <c r="O175" s="46">
        <v>39.32</v>
      </c>
      <c r="P175" s="46">
        <v>54.74</v>
      </c>
      <c r="Q175" s="58" t="s">
        <v>51</v>
      </c>
      <c r="R175" s="58">
        <v>2020</v>
      </c>
      <c r="S175" s="58"/>
      <c r="T175" s="58"/>
      <c r="U175" s="58"/>
      <c r="V175" s="58"/>
      <c r="W175" s="58"/>
      <c r="X175" s="58" t="s">
        <v>51</v>
      </c>
      <c r="Y175" s="58"/>
      <c r="Z175" s="58"/>
      <c r="AA175" s="58"/>
      <c r="AB175" s="58"/>
      <c r="AC175" s="58" t="s">
        <v>51</v>
      </c>
      <c r="AD175" s="58"/>
      <c r="AE175" s="58"/>
      <c r="AF175" s="58"/>
      <c r="AG175" s="58"/>
      <c r="AH175" s="58"/>
      <c r="AI175" s="58"/>
    </row>
    <row r="176" spans="1:35" x14ac:dyDescent="0.35">
      <c r="A176" s="17" t="s">
        <v>46</v>
      </c>
      <c r="B176" s="17" t="s">
        <v>1222</v>
      </c>
      <c r="C176" s="28" t="s">
        <v>1548</v>
      </c>
      <c r="D176" s="17" t="s">
        <v>1559</v>
      </c>
      <c r="E176" s="17" t="s">
        <v>1560</v>
      </c>
      <c r="F176" s="20">
        <v>206</v>
      </c>
      <c r="G176" s="20">
        <v>39</v>
      </c>
      <c r="H176" s="19">
        <v>244</v>
      </c>
      <c r="I176" s="20">
        <v>128</v>
      </c>
      <c r="J176" s="20">
        <v>116</v>
      </c>
      <c r="K176" s="20">
        <v>54</v>
      </c>
      <c r="L176" s="57">
        <f t="shared" si="16"/>
        <v>0.22131147540983606</v>
      </c>
      <c r="M176" s="20">
        <v>75</v>
      </c>
      <c r="N176" s="57">
        <f t="shared" si="17"/>
        <v>0.30737704918032788</v>
      </c>
      <c r="O176" s="46">
        <v>9.8000000000000007</v>
      </c>
      <c r="P176" s="46">
        <v>55.99</v>
      </c>
      <c r="Q176" s="58" t="s">
        <v>562</v>
      </c>
      <c r="R176" s="58"/>
      <c r="S176" s="58"/>
      <c r="T176" s="58"/>
      <c r="U176" s="58"/>
      <c r="V176" s="58"/>
      <c r="W176" s="58"/>
      <c r="X176" s="58" t="s">
        <v>562</v>
      </c>
      <c r="Y176" s="58"/>
      <c r="Z176" s="58"/>
      <c r="AA176" s="58"/>
      <c r="AB176" s="58"/>
      <c r="AC176" s="58"/>
      <c r="AD176" s="58"/>
      <c r="AE176" s="58" t="s">
        <v>562</v>
      </c>
      <c r="AF176" s="58"/>
      <c r="AG176" s="58"/>
      <c r="AH176" s="58"/>
      <c r="AI176" s="58"/>
    </row>
    <row r="177" spans="1:35" x14ac:dyDescent="0.35">
      <c r="A177" s="17" t="s">
        <v>46</v>
      </c>
      <c r="B177" s="17" t="s">
        <v>1222</v>
      </c>
      <c r="C177" s="28" t="s">
        <v>1548</v>
      </c>
      <c r="D177" s="17" t="s">
        <v>1561</v>
      </c>
      <c r="E177" s="17" t="s">
        <v>1562</v>
      </c>
      <c r="F177" s="20">
        <v>226.18</v>
      </c>
      <c r="G177" s="20">
        <v>74</v>
      </c>
      <c r="H177" s="19">
        <v>306</v>
      </c>
      <c r="I177" s="20">
        <v>165</v>
      </c>
      <c r="J177" s="20">
        <v>141</v>
      </c>
      <c r="K177" s="20">
        <v>0</v>
      </c>
      <c r="L177" s="57">
        <f t="shared" si="16"/>
        <v>0</v>
      </c>
      <c r="M177" s="20">
        <v>293</v>
      </c>
      <c r="N177" s="57">
        <f t="shared" si="17"/>
        <v>0.95751633986928109</v>
      </c>
      <c r="O177" s="46">
        <v>6.48</v>
      </c>
      <c r="P177" s="46">
        <v>58.34</v>
      </c>
      <c r="Q177" s="58" t="s">
        <v>562</v>
      </c>
      <c r="R177" s="58"/>
      <c r="S177" s="58"/>
      <c r="T177" s="58"/>
      <c r="U177" s="58"/>
      <c r="V177" s="58"/>
      <c r="W177" s="58"/>
      <c r="X177" s="58" t="s">
        <v>562</v>
      </c>
      <c r="Y177" s="58"/>
      <c r="Z177" s="58"/>
      <c r="AA177" s="58"/>
      <c r="AB177" s="58"/>
      <c r="AC177" s="58"/>
      <c r="AD177" s="58"/>
      <c r="AE177" s="58" t="s">
        <v>562</v>
      </c>
      <c r="AF177" s="58"/>
      <c r="AG177" s="58"/>
      <c r="AH177" s="58"/>
      <c r="AI177" s="58"/>
    </row>
    <row r="178" spans="1:35" x14ac:dyDescent="0.35">
      <c r="A178" s="17" t="s">
        <v>46</v>
      </c>
      <c r="B178" s="17" t="s">
        <v>1222</v>
      </c>
      <c r="C178" s="28" t="s">
        <v>1548</v>
      </c>
      <c r="D178" s="17" t="s">
        <v>1563</v>
      </c>
      <c r="E178" s="17" t="s">
        <v>1564</v>
      </c>
      <c r="F178" s="20">
        <v>777.69</v>
      </c>
      <c r="G178" s="20">
        <v>240</v>
      </c>
      <c r="H178" s="19">
        <v>1356</v>
      </c>
      <c r="I178" s="20">
        <v>712</v>
      </c>
      <c r="J178" s="20">
        <v>644</v>
      </c>
      <c r="K178" s="20">
        <v>340</v>
      </c>
      <c r="L178" s="57">
        <f t="shared" si="16"/>
        <v>0.25073746312684364</v>
      </c>
      <c r="M178" s="20">
        <v>178</v>
      </c>
      <c r="N178" s="57">
        <f t="shared" si="17"/>
        <v>0.13126843657817108</v>
      </c>
      <c r="O178" s="46">
        <v>70.13</v>
      </c>
      <c r="P178" s="46">
        <v>0</v>
      </c>
      <c r="Q178" s="58" t="s">
        <v>562</v>
      </c>
      <c r="R178" s="58"/>
      <c r="S178" s="58"/>
      <c r="T178" s="58"/>
      <c r="U178" s="58"/>
      <c r="V178" s="58"/>
      <c r="W178" s="58"/>
      <c r="X178" s="58" t="s">
        <v>562</v>
      </c>
      <c r="Y178" s="58"/>
      <c r="Z178" s="58"/>
      <c r="AA178" s="58"/>
      <c r="AB178" s="58"/>
      <c r="AC178" s="58"/>
      <c r="AD178" s="58"/>
      <c r="AE178" s="58" t="s">
        <v>562</v>
      </c>
      <c r="AF178" s="58"/>
      <c r="AG178" s="58"/>
      <c r="AH178" s="58"/>
      <c r="AI178" s="58"/>
    </row>
    <row r="179" spans="1:35" x14ac:dyDescent="0.35">
      <c r="A179" s="17" t="s">
        <v>46</v>
      </c>
      <c r="B179" s="17" t="s">
        <v>1222</v>
      </c>
      <c r="C179" s="28" t="s">
        <v>1565</v>
      </c>
      <c r="D179" s="17" t="s">
        <v>1566</v>
      </c>
      <c r="E179" s="17" t="s">
        <v>1567</v>
      </c>
      <c r="F179" s="20">
        <v>1077.1199999999999</v>
      </c>
      <c r="G179" s="20">
        <v>369</v>
      </c>
      <c r="H179" s="19">
        <v>1762</v>
      </c>
      <c r="I179" s="20">
        <v>914</v>
      </c>
      <c r="J179" s="20">
        <v>848</v>
      </c>
      <c r="K179" s="20">
        <v>102</v>
      </c>
      <c r="L179" s="57">
        <f t="shared" si="16"/>
        <v>5.7888762769580021E-2</v>
      </c>
      <c r="M179" s="20">
        <v>23</v>
      </c>
      <c r="N179" s="57">
        <f t="shared" si="17"/>
        <v>1.3053348467650397E-2</v>
      </c>
      <c r="O179" s="46">
        <v>31.46</v>
      </c>
      <c r="P179" s="46">
        <v>0</v>
      </c>
      <c r="Q179" s="58" t="s">
        <v>51</v>
      </c>
      <c r="R179" s="58">
        <v>2020</v>
      </c>
      <c r="S179" s="58"/>
      <c r="T179" s="58"/>
      <c r="U179" s="58"/>
      <c r="V179" s="58"/>
      <c r="W179" s="58"/>
      <c r="X179" s="58" t="s">
        <v>51</v>
      </c>
      <c r="Y179" s="58"/>
      <c r="Z179" s="58"/>
      <c r="AA179" s="58"/>
      <c r="AB179" s="58"/>
      <c r="AC179" s="58" t="s">
        <v>51</v>
      </c>
      <c r="AD179" s="58"/>
      <c r="AE179" s="58"/>
      <c r="AF179" s="58"/>
      <c r="AG179" s="58"/>
      <c r="AH179" s="58"/>
      <c r="AI179" s="58"/>
    </row>
    <row r="180" spans="1:35" x14ac:dyDescent="0.35">
      <c r="A180" s="17" t="s">
        <v>46</v>
      </c>
      <c r="B180" s="17" t="s">
        <v>1222</v>
      </c>
      <c r="C180" s="28" t="s">
        <v>1565</v>
      </c>
      <c r="D180" s="17" t="s">
        <v>1568</v>
      </c>
      <c r="E180" s="17" t="s">
        <v>1569</v>
      </c>
      <c r="F180" s="20">
        <v>524.76</v>
      </c>
      <c r="G180" s="20">
        <v>146</v>
      </c>
      <c r="H180" s="19">
        <v>708</v>
      </c>
      <c r="I180" s="20">
        <v>382</v>
      </c>
      <c r="J180" s="20">
        <v>326</v>
      </c>
      <c r="K180" s="20">
        <v>16</v>
      </c>
      <c r="L180" s="57">
        <f t="shared" si="16"/>
        <v>2.2598870056497175E-2</v>
      </c>
      <c r="M180" s="20">
        <v>391</v>
      </c>
      <c r="N180" s="57">
        <f t="shared" si="17"/>
        <v>0.55225988700564976</v>
      </c>
      <c r="O180" s="46">
        <v>45.95</v>
      </c>
      <c r="P180" s="46">
        <v>0</v>
      </c>
      <c r="Q180" s="58" t="s">
        <v>51</v>
      </c>
      <c r="R180" s="58">
        <v>2019</v>
      </c>
      <c r="S180" s="58"/>
      <c r="T180" s="58"/>
      <c r="U180" s="58"/>
      <c r="V180" s="58"/>
      <c r="W180" s="58"/>
      <c r="X180" s="58" t="s">
        <v>51</v>
      </c>
      <c r="Y180" s="58"/>
      <c r="Z180" s="58"/>
      <c r="AA180" s="58"/>
      <c r="AB180" s="58"/>
      <c r="AC180" s="58" t="s">
        <v>51</v>
      </c>
      <c r="AD180" s="58"/>
      <c r="AE180" s="58"/>
      <c r="AF180" s="58"/>
      <c r="AG180" s="58"/>
      <c r="AH180" s="58"/>
      <c r="AI180" s="58"/>
    </row>
    <row r="181" spans="1:35" x14ac:dyDescent="0.35">
      <c r="A181" s="17" t="s">
        <v>46</v>
      </c>
      <c r="B181" s="17" t="s">
        <v>1222</v>
      </c>
      <c r="C181" s="28" t="s">
        <v>1565</v>
      </c>
      <c r="D181" s="17" t="s">
        <v>1570</v>
      </c>
      <c r="E181" s="17" t="s">
        <v>1571</v>
      </c>
      <c r="F181" s="20">
        <v>597.12</v>
      </c>
      <c r="G181" s="20">
        <v>229</v>
      </c>
      <c r="H181" s="19">
        <v>1224</v>
      </c>
      <c r="I181" s="20">
        <v>633</v>
      </c>
      <c r="J181" s="20">
        <v>591</v>
      </c>
      <c r="K181" s="20">
        <v>81</v>
      </c>
      <c r="L181" s="57">
        <f t="shared" si="16"/>
        <v>6.6176470588235295E-2</v>
      </c>
      <c r="M181" s="20">
        <v>268</v>
      </c>
      <c r="N181" s="57">
        <f t="shared" si="17"/>
        <v>0.21895424836601307</v>
      </c>
      <c r="O181" s="46">
        <v>44.75</v>
      </c>
      <c r="P181" s="46">
        <v>26.04</v>
      </c>
      <c r="Q181" s="58" t="s">
        <v>562</v>
      </c>
      <c r="R181" s="58"/>
      <c r="S181" s="58"/>
      <c r="T181" s="58"/>
      <c r="U181" s="58"/>
      <c r="V181" s="58"/>
      <c r="W181" s="58"/>
      <c r="X181" s="58" t="s">
        <v>562</v>
      </c>
      <c r="Y181" s="58"/>
      <c r="Z181" s="58"/>
      <c r="AA181" s="58"/>
      <c r="AB181" s="58"/>
      <c r="AC181" s="58"/>
      <c r="AD181" s="58"/>
      <c r="AE181" s="58" t="s">
        <v>562</v>
      </c>
      <c r="AF181" s="58"/>
      <c r="AG181" s="58"/>
      <c r="AH181" s="58"/>
      <c r="AI181" s="58"/>
    </row>
    <row r="182" spans="1:35" x14ac:dyDescent="0.35">
      <c r="A182" s="17" t="s">
        <v>46</v>
      </c>
      <c r="B182" s="17" t="s">
        <v>1222</v>
      </c>
      <c r="C182" s="28" t="s">
        <v>1378</v>
      </c>
      <c r="D182" s="17" t="s">
        <v>123</v>
      </c>
      <c r="E182" s="17" t="s">
        <v>1572</v>
      </c>
      <c r="F182" s="28">
        <v>409.35</v>
      </c>
      <c r="G182" s="47"/>
      <c r="H182" s="19">
        <v>0</v>
      </c>
      <c r="I182" s="47"/>
      <c r="J182" s="47"/>
      <c r="K182" s="47"/>
      <c r="L182" s="57"/>
      <c r="M182" s="47"/>
      <c r="N182" s="57"/>
      <c r="O182" s="48">
        <v>0</v>
      </c>
      <c r="P182" s="48">
        <v>83.92</v>
      </c>
      <c r="Q182" s="58" t="s">
        <v>112</v>
      </c>
      <c r="R182" s="58"/>
      <c r="S182" s="58"/>
      <c r="T182" s="58"/>
      <c r="U182" s="58"/>
      <c r="V182" s="58"/>
      <c r="W182" s="58"/>
      <c r="X182" s="58" t="s">
        <v>112</v>
      </c>
      <c r="Y182" s="58"/>
      <c r="Z182" s="58"/>
      <c r="AA182" s="58"/>
      <c r="AB182" s="58"/>
      <c r="AC182" s="58" t="s">
        <v>112</v>
      </c>
      <c r="AD182" s="58"/>
      <c r="AE182" s="58"/>
      <c r="AF182" s="58"/>
      <c r="AG182" s="58"/>
      <c r="AH182" s="58"/>
      <c r="AI182" s="58"/>
    </row>
    <row r="183" spans="1:35" x14ac:dyDescent="0.35">
      <c r="A183" s="17" t="s">
        <v>46</v>
      </c>
      <c r="B183" s="17" t="s">
        <v>1222</v>
      </c>
      <c r="C183" s="28" t="s">
        <v>1565</v>
      </c>
      <c r="D183" s="17" t="s">
        <v>1573</v>
      </c>
      <c r="E183" s="17" t="s">
        <v>1574</v>
      </c>
      <c r="F183" s="20">
        <v>390.1</v>
      </c>
      <c r="G183" s="20">
        <v>147</v>
      </c>
      <c r="H183" s="19">
        <v>662</v>
      </c>
      <c r="I183" s="20">
        <v>344</v>
      </c>
      <c r="J183" s="20">
        <v>318</v>
      </c>
      <c r="K183" s="20">
        <v>8</v>
      </c>
      <c r="L183" s="57">
        <f t="shared" ref="L183:L188" si="18">K183/H183</f>
        <v>1.2084592145015106E-2</v>
      </c>
      <c r="M183" s="20">
        <v>297</v>
      </c>
      <c r="N183" s="57">
        <f t="shared" ref="N183:N188" si="19">M183/H183</f>
        <v>0.44864048338368578</v>
      </c>
      <c r="O183" s="46">
        <v>0</v>
      </c>
      <c r="P183" s="46">
        <v>140.38</v>
      </c>
      <c r="Q183" s="58" t="s">
        <v>562</v>
      </c>
      <c r="R183" s="58"/>
      <c r="S183" s="58"/>
      <c r="T183" s="58"/>
      <c r="U183" s="58"/>
      <c r="V183" s="58"/>
      <c r="W183" s="58"/>
      <c r="X183" s="58" t="s">
        <v>562</v>
      </c>
      <c r="Y183" s="58"/>
      <c r="Z183" s="58"/>
      <c r="AA183" s="58"/>
      <c r="AB183" s="58"/>
      <c r="AC183" s="58"/>
      <c r="AD183" s="58"/>
      <c r="AE183" s="58" t="s">
        <v>562</v>
      </c>
      <c r="AF183" s="58"/>
      <c r="AG183" s="58"/>
      <c r="AH183" s="58"/>
      <c r="AI183" s="58"/>
    </row>
    <row r="184" spans="1:35" x14ac:dyDescent="0.35">
      <c r="A184" s="17" t="s">
        <v>46</v>
      </c>
      <c r="B184" s="17" t="s">
        <v>1222</v>
      </c>
      <c r="C184" s="28" t="s">
        <v>1298</v>
      </c>
      <c r="D184" s="17" t="s">
        <v>89</v>
      </c>
      <c r="E184" s="17" t="s">
        <v>1575</v>
      </c>
      <c r="F184" s="20">
        <v>1056.05</v>
      </c>
      <c r="G184" s="20">
        <v>93</v>
      </c>
      <c r="H184" s="19">
        <v>516</v>
      </c>
      <c r="I184" s="20">
        <v>283</v>
      </c>
      <c r="J184" s="20">
        <v>233</v>
      </c>
      <c r="K184" s="20">
        <v>7</v>
      </c>
      <c r="L184" s="57">
        <f t="shared" si="18"/>
        <v>1.3565891472868217E-2</v>
      </c>
      <c r="M184" s="20">
        <v>155</v>
      </c>
      <c r="N184" s="57">
        <f t="shared" si="19"/>
        <v>0.30038759689922478</v>
      </c>
      <c r="O184" s="46">
        <v>1.19</v>
      </c>
      <c r="P184" s="46">
        <v>668.45</v>
      </c>
      <c r="Q184" s="58" t="s">
        <v>562</v>
      </c>
      <c r="R184" s="58"/>
      <c r="S184" s="58"/>
      <c r="T184" s="58"/>
      <c r="U184" s="58"/>
      <c r="V184" s="58"/>
      <c r="W184" s="58"/>
      <c r="X184" s="58" t="s">
        <v>562</v>
      </c>
      <c r="Y184" s="58"/>
      <c r="Z184" s="58"/>
      <c r="AA184" s="58"/>
      <c r="AB184" s="58"/>
      <c r="AC184" s="58"/>
      <c r="AD184" s="58"/>
      <c r="AE184" s="58" t="s">
        <v>562</v>
      </c>
      <c r="AF184" s="58"/>
      <c r="AG184" s="58"/>
      <c r="AH184" s="58"/>
      <c r="AI184" s="58"/>
    </row>
    <row r="185" spans="1:35" x14ac:dyDescent="0.35">
      <c r="A185" s="17" t="s">
        <v>46</v>
      </c>
      <c r="B185" s="17" t="s">
        <v>1222</v>
      </c>
      <c r="C185" s="28" t="s">
        <v>1441</v>
      </c>
      <c r="D185" s="17" t="s">
        <v>1576</v>
      </c>
      <c r="E185" s="17" t="s">
        <v>1577</v>
      </c>
      <c r="F185" s="20">
        <v>2098.0300000000002</v>
      </c>
      <c r="G185" s="20">
        <v>181</v>
      </c>
      <c r="H185" s="19">
        <v>846</v>
      </c>
      <c r="I185" s="20">
        <v>456</v>
      </c>
      <c r="J185" s="20">
        <v>390</v>
      </c>
      <c r="K185" s="20">
        <v>85</v>
      </c>
      <c r="L185" s="57">
        <f t="shared" si="18"/>
        <v>0.10047281323877069</v>
      </c>
      <c r="M185" s="20">
        <v>215</v>
      </c>
      <c r="N185" s="57">
        <f t="shared" si="19"/>
        <v>0.25413711583924348</v>
      </c>
      <c r="O185" s="46">
        <v>15.24</v>
      </c>
      <c r="P185" s="46">
        <v>121.93</v>
      </c>
      <c r="Q185" s="58" t="s">
        <v>562</v>
      </c>
      <c r="R185" s="58"/>
      <c r="S185" s="58"/>
      <c r="T185" s="58"/>
      <c r="U185" s="58"/>
      <c r="V185" s="58"/>
      <c r="W185" s="58"/>
      <c r="X185" s="58" t="s">
        <v>562</v>
      </c>
      <c r="Y185" s="58"/>
      <c r="Z185" s="58"/>
      <c r="AA185" s="58"/>
      <c r="AB185" s="58"/>
      <c r="AC185" s="58"/>
      <c r="AD185" s="58"/>
      <c r="AE185" s="58" t="s">
        <v>562</v>
      </c>
      <c r="AF185" s="58"/>
      <c r="AG185" s="58"/>
      <c r="AH185" s="58"/>
      <c r="AI185" s="58"/>
    </row>
    <row r="186" spans="1:35" x14ac:dyDescent="0.35">
      <c r="A186" s="17" t="s">
        <v>46</v>
      </c>
      <c r="B186" s="17" t="s">
        <v>1222</v>
      </c>
      <c r="C186" s="28" t="s">
        <v>1441</v>
      </c>
      <c r="D186" s="17" t="s">
        <v>1184</v>
      </c>
      <c r="E186" s="17" t="s">
        <v>1578</v>
      </c>
      <c r="F186" s="20">
        <v>1088.31</v>
      </c>
      <c r="G186" s="20">
        <v>420</v>
      </c>
      <c r="H186" s="19">
        <v>2071</v>
      </c>
      <c r="I186" s="20">
        <v>1053</v>
      </c>
      <c r="J186" s="20">
        <v>1018</v>
      </c>
      <c r="K186" s="20">
        <v>259</v>
      </c>
      <c r="L186" s="57">
        <f t="shared" si="18"/>
        <v>0.12506035731530663</v>
      </c>
      <c r="M186" s="20">
        <v>279</v>
      </c>
      <c r="N186" s="57">
        <f t="shared" si="19"/>
        <v>0.13471752776436505</v>
      </c>
      <c r="O186" s="46">
        <v>0</v>
      </c>
      <c r="P186" s="46">
        <v>714.32</v>
      </c>
      <c r="Q186" s="58" t="s">
        <v>562</v>
      </c>
      <c r="R186" s="58"/>
      <c r="S186" s="58"/>
      <c r="T186" s="58"/>
      <c r="U186" s="58"/>
      <c r="V186" s="58"/>
      <c r="W186" s="58"/>
      <c r="X186" s="58" t="s">
        <v>562</v>
      </c>
      <c r="Y186" s="58"/>
      <c r="Z186" s="58"/>
      <c r="AA186" s="58"/>
      <c r="AB186" s="58"/>
      <c r="AC186" s="58"/>
      <c r="AD186" s="58"/>
      <c r="AE186" s="58" t="s">
        <v>562</v>
      </c>
      <c r="AF186" s="58"/>
      <c r="AG186" s="58"/>
      <c r="AH186" s="58"/>
      <c r="AI186" s="58"/>
    </row>
    <row r="187" spans="1:35" x14ac:dyDescent="0.35">
      <c r="A187" s="17" t="s">
        <v>46</v>
      </c>
      <c r="B187" s="17" t="s">
        <v>1222</v>
      </c>
      <c r="C187" s="28" t="s">
        <v>1441</v>
      </c>
      <c r="D187" s="17" t="s">
        <v>1579</v>
      </c>
      <c r="E187" s="17" t="s">
        <v>1580</v>
      </c>
      <c r="F187" s="20">
        <v>241.13</v>
      </c>
      <c r="G187" s="20">
        <v>55</v>
      </c>
      <c r="H187" s="19">
        <v>268</v>
      </c>
      <c r="I187" s="20">
        <v>136</v>
      </c>
      <c r="J187" s="20">
        <v>132</v>
      </c>
      <c r="K187" s="20">
        <v>10</v>
      </c>
      <c r="L187" s="57">
        <f t="shared" si="18"/>
        <v>3.7313432835820892E-2</v>
      </c>
      <c r="M187" s="20">
        <v>241</v>
      </c>
      <c r="N187" s="57">
        <f t="shared" si="19"/>
        <v>0.89925373134328357</v>
      </c>
      <c r="O187" s="46">
        <v>6.05</v>
      </c>
      <c r="P187" s="46">
        <v>0</v>
      </c>
      <c r="Q187" s="58" t="s">
        <v>51</v>
      </c>
      <c r="R187" s="58">
        <v>2020</v>
      </c>
      <c r="S187" s="58"/>
      <c r="T187" s="58"/>
      <c r="U187" s="58"/>
      <c r="V187" s="58"/>
      <c r="W187" s="58"/>
      <c r="X187" s="58" t="s">
        <v>51</v>
      </c>
      <c r="Y187" s="58"/>
      <c r="Z187" s="58"/>
      <c r="AA187" s="58"/>
      <c r="AB187" s="58"/>
      <c r="AC187" s="58" t="s">
        <v>51</v>
      </c>
      <c r="AD187" s="58"/>
      <c r="AE187" s="58"/>
      <c r="AF187" s="58"/>
      <c r="AG187" s="58"/>
      <c r="AH187" s="58"/>
      <c r="AI187" s="58"/>
    </row>
    <row r="188" spans="1:35" x14ac:dyDescent="0.35">
      <c r="A188" s="17" t="s">
        <v>46</v>
      </c>
      <c r="B188" s="17" t="s">
        <v>1222</v>
      </c>
      <c r="C188" s="28" t="s">
        <v>1512</v>
      </c>
      <c r="D188" s="17" t="s">
        <v>1581</v>
      </c>
      <c r="E188" s="17" t="s">
        <v>1582</v>
      </c>
      <c r="F188" s="20">
        <v>953.45</v>
      </c>
      <c r="G188" s="20">
        <v>92</v>
      </c>
      <c r="H188" s="19">
        <v>435</v>
      </c>
      <c r="I188" s="20">
        <v>221</v>
      </c>
      <c r="J188" s="20">
        <v>214</v>
      </c>
      <c r="K188" s="20">
        <v>39</v>
      </c>
      <c r="L188" s="57">
        <f t="shared" si="18"/>
        <v>8.9655172413793102E-2</v>
      </c>
      <c r="M188" s="20">
        <v>95</v>
      </c>
      <c r="N188" s="57">
        <f t="shared" si="19"/>
        <v>0.21839080459770116</v>
      </c>
      <c r="O188" s="46">
        <v>31.67</v>
      </c>
      <c r="P188" s="46">
        <v>567.27</v>
      </c>
      <c r="Q188" s="58" t="s">
        <v>51</v>
      </c>
      <c r="R188" s="58">
        <v>2020</v>
      </c>
      <c r="S188" s="58"/>
      <c r="T188" s="58"/>
      <c r="U188" s="58"/>
      <c r="V188" s="58"/>
      <c r="W188" s="58"/>
      <c r="X188" s="58" t="s">
        <v>51</v>
      </c>
      <c r="Y188" s="58"/>
      <c r="Z188" s="58"/>
      <c r="AA188" s="58"/>
      <c r="AB188" s="58"/>
      <c r="AC188" s="58" t="s">
        <v>51</v>
      </c>
      <c r="AD188" s="58"/>
      <c r="AE188" s="58"/>
      <c r="AF188" s="58"/>
      <c r="AG188" s="58"/>
      <c r="AH188" s="58"/>
      <c r="AI188" s="58"/>
    </row>
    <row r="189" spans="1:35" x14ac:dyDescent="0.35">
      <c r="A189" s="17" t="s">
        <v>46</v>
      </c>
      <c r="B189" s="17" t="s">
        <v>1222</v>
      </c>
      <c r="C189" s="28" t="s">
        <v>1445</v>
      </c>
      <c r="D189" s="17" t="s">
        <v>1583</v>
      </c>
      <c r="E189" s="17" t="s">
        <v>1584</v>
      </c>
      <c r="F189" s="28">
        <v>3794.18</v>
      </c>
      <c r="G189" s="47"/>
      <c r="H189" s="19">
        <v>0</v>
      </c>
      <c r="I189" s="47"/>
      <c r="J189" s="47"/>
      <c r="K189" s="47"/>
      <c r="L189" s="57"/>
      <c r="M189" s="47"/>
      <c r="N189" s="57"/>
      <c r="O189" s="48">
        <v>0</v>
      </c>
      <c r="P189" s="48">
        <v>0</v>
      </c>
      <c r="Q189" s="58" t="s">
        <v>112</v>
      </c>
      <c r="R189" s="58"/>
      <c r="S189" s="58"/>
      <c r="T189" s="58"/>
      <c r="U189" s="58"/>
      <c r="V189" s="58"/>
      <c r="W189" s="58"/>
      <c r="X189" s="58" t="s">
        <v>112</v>
      </c>
      <c r="Y189" s="58"/>
      <c r="Z189" s="58"/>
      <c r="AA189" s="58"/>
      <c r="AB189" s="58"/>
      <c r="AC189" s="58" t="s">
        <v>112</v>
      </c>
      <c r="AD189" s="58"/>
      <c r="AE189" s="58"/>
      <c r="AF189" s="58"/>
      <c r="AG189" s="58"/>
      <c r="AH189" s="58"/>
      <c r="AI189" s="58"/>
    </row>
    <row r="190" spans="1:35" x14ac:dyDescent="0.35">
      <c r="A190" s="17" t="s">
        <v>46</v>
      </c>
      <c r="B190" s="17" t="s">
        <v>1222</v>
      </c>
      <c r="C190" s="28" t="s">
        <v>1445</v>
      </c>
      <c r="D190" s="17" t="s">
        <v>1585</v>
      </c>
      <c r="E190" s="17" t="s">
        <v>1586</v>
      </c>
      <c r="F190" s="20">
        <v>6731.67</v>
      </c>
      <c r="G190" s="20">
        <v>116</v>
      </c>
      <c r="H190" s="19">
        <v>711</v>
      </c>
      <c r="I190" s="20">
        <v>373</v>
      </c>
      <c r="J190" s="20">
        <v>338</v>
      </c>
      <c r="K190" s="20">
        <v>19</v>
      </c>
      <c r="L190" s="57">
        <f>K190/H190</f>
        <v>2.6722925457102673E-2</v>
      </c>
      <c r="M190" s="20">
        <v>34</v>
      </c>
      <c r="N190" s="57">
        <f>M190/H190</f>
        <v>4.7819971870604779E-2</v>
      </c>
      <c r="O190" s="46">
        <v>0</v>
      </c>
      <c r="P190" s="46">
        <v>2845.22</v>
      </c>
      <c r="Q190" s="58" t="s">
        <v>562</v>
      </c>
      <c r="R190" s="58"/>
      <c r="S190" s="58"/>
      <c r="T190" s="58"/>
      <c r="U190" s="58"/>
      <c r="V190" s="58"/>
      <c r="W190" s="58"/>
      <c r="X190" s="58" t="s">
        <v>562</v>
      </c>
      <c r="Y190" s="58"/>
      <c r="Z190" s="58"/>
      <c r="AA190" s="58"/>
      <c r="AB190" s="58"/>
      <c r="AC190" s="58"/>
      <c r="AD190" s="58"/>
      <c r="AE190" s="58" t="s">
        <v>562</v>
      </c>
      <c r="AF190" s="58"/>
      <c r="AG190" s="58"/>
      <c r="AH190" s="58"/>
      <c r="AI190" s="58"/>
    </row>
    <row r="191" spans="1:35" x14ac:dyDescent="0.35">
      <c r="A191" s="17" t="s">
        <v>46</v>
      </c>
      <c r="B191" s="17" t="s">
        <v>1222</v>
      </c>
      <c r="C191" s="28" t="s">
        <v>1378</v>
      </c>
      <c r="D191" s="17" t="s">
        <v>71</v>
      </c>
      <c r="E191" s="17" t="s">
        <v>1587</v>
      </c>
      <c r="F191" s="28">
        <v>121.4</v>
      </c>
      <c r="G191" s="47"/>
      <c r="H191" s="19">
        <v>0</v>
      </c>
      <c r="I191" s="47"/>
      <c r="J191" s="47"/>
      <c r="K191" s="47"/>
      <c r="L191" s="57"/>
      <c r="M191" s="47"/>
      <c r="N191" s="57"/>
      <c r="O191" s="48">
        <v>0</v>
      </c>
      <c r="P191" s="48">
        <v>0</v>
      </c>
      <c r="Q191" s="58" t="s">
        <v>112</v>
      </c>
      <c r="R191" s="58"/>
      <c r="S191" s="58"/>
      <c r="T191" s="58"/>
      <c r="U191" s="58"/>
      <c r="V191" s="58"/>
      <c r="W191" s="58"/>
      <c r="X191" s="58" t="s">
        <v>112</v>
      </c>
      <c r="Y191" s="58"/>
      <c r="Z191" s="58"/>
      <c r="AA191" s="58"/>
      <c r="AB191" s="58"/>
      <c r="AC191" s="58" t="s">
        <v>112</v>
      </c>
      <c r="AD191" s="58"/>
      <c r="AE191" s="58"/>
      <c r="AF191" s="58"/>
      <c r="AG191" s="58"/>
      <c r="AH191" s="58"/>
      <c r="AI191" s="58"/>
    </row>
    <row r="192" spans="1:35" x14ac:dyDescent="0.35">
      <c r="A192" s="17" t="s">
        <v>46</v>
      </c>
      <c r="B192" s="17" t="s">
        <v>1222</v>
      </c>
      <c r="C192" s="28" t="s">
        <v>1445</v>
      </c>
      <c r="D192" s="17" t="s">
        <v>851</v>
      </c>
      <c r="E192" s="17" t="s">
        <v>1588</v>
      </c>
      <c r="F192" s="20">
        <v>2614.41</v>
      </c>
      <c r="G192" s="20">
        <v>191</v>
      </c>
      <c r="H192" s="19">
        <v>932</v>
      </c>
      <c r="I192" s="20">
        <v>477</v>
      </c>
      <c r="J192" s="20">
        <v>455</v>
      </c>
      <c r="K192" s="20">
        <v>29</v>
      </c>
      <c r="L192" s="57">
        <f>K192/H192</f>
        <v>3.1115879828326181E-2</v>
      </c>
      <c r="M192" s="20">
        <v>340</v>
      </c>
      <c r="N192" s="57">
        <f>M192/H192</f>
        <v>0.36480686695278969</v>
      </c>
      <c r="O192" s="46">
        <v>0</v>
      </c>
      <c r="P192" s="46">
        <v>1839.1</v>
      </c>
      <c r="Q192" s="58" t="s">
        <v>562</v>
      </c>
      <c r="R192" s="58"/>
      <c r="S192" s="58"/>
      <c r="T192" s="58"/>
      <c r="U192" s="58"/>
      <c r="V192" s="58"/>
      <c r="W192" s="58"/>
      <c r="X192" s="58" t="s">
        <v>562</v>
      </c>
      <c r="Y192" s="58"/>
      <c r="Z192" s="58"/>
      <c r="AA192" s="58"/>
      <c r="AB192" s="58"/>
      <c r="AC192" s="58"/>
      <c r="AD192" s="58"/>
      <c r="AE192" s="58" t="s">
        <v>562</v>
      </c>
      <c r="AF192" s="58"/>
      <c r="AG192" s="58"/>
      <c r="AH192" s="58"/>
      <c r="AI192" s="58"/>
    </row>
    <row r="193" spans="1:35" x14ac:dyDescent="0.35">
      <c r="A193" s="17" t="s">
        <v>46</v>
      </c>
      <c r="B193" s="17" t="s">
        <v>1222</v>
      </c>
      <c r="C193" s="28" t="s">
        <v>1445</v>
      </c>
      <c r="D193" s="17" t="s">
        <v>1589</v>
      </c>
      <c r="E193" s="17" t="s">
        <v>1590</v>
      </c>
      <c r="F193" s="28">
        <v>359.31</v>
      </c>
      <c r="G193" s="47"/>
      <c r="H193" s="19">
        <v>0</v>
      </c>
      <c r="I193" s="47"/>
      <c r="J193" s="47"/>
      <c r="K193" s="47"/>
      <c r="L193" s="57"/>
      <c r="M193" s="47"/>
      <c r="N193" s="57"/>
      <c r="O193" s="48">
        <v>0</v>
      </c>
      <c r="P193" s="48">
        <v>68.099999999999994</v>
      </c>
      <c r="Q193" s="58" t="s">
        <v>112</v>
      </c>
      <c r="R193" s="58"/>
      <c r="S193" s="58"/>
      <c r="T193" s="58"/>
      <c r="U193" s="58"/>
      <c r="V193" s="58"/>
      <c r="W193" s="58"/>
      <c r="X193" s="58" t="s">
        <v>112</v>
      </c>
      <c r="Y193" s="58"/>
      <c r="Z193" s="58"/>
      <c r="AA193" s="58"/>
      <c r="AB193" s="58"/>
      <c r="AC193" s="58" t="s">
        <v>112</v>
      </c>
      <c r="AD193" s="58"/>
      <c r="AE193" s="58"/>
      <c r="AF193" s="58"/>
      <c r="AG193" s="58"/>
      <c r="AH193" s="58"/>
      <c r="AI193" s="58"/>
    </row>
    <row r="194" spans="1:35" x14ac:dyDescent="0.35">
      <c r="A194" s="17" t="s">
        <v>46</v>
      </c>
      <c r="B194" s="17" t="s">
        <v>1222</v>
      </c>
      <c r="C194" s="28" t="s">
        <v>1441</v>
      </c>
      <c r="D194" s="17" t="s">
        <v>262</v>
      </c>
      <c r="E194" s="17" t="s">
        <v>1591</v>
      </c>
      <c r="F194" s="28">
        <v>335.23</v>
      </c>
      <c r="G194" s="47"/>
      <c r="H194" s="19">
        <v>0</v>
      </c>
      <c r="I194" s="47"/>
      <c r="J194" s="47"/>
      <c r="K194" s="47"/>
      <c r="L194" s="57"/>
      <c r="M194" s="47"/>
      <c r="N194" s="57"/>
      <c r="O194" s="48">
        <v>0</v>
      </c>
      <c r="P194" s="48">
        <v>0</v>
      </c>
      <c r="Q194" s="58" t="s">
        <v>112</v>
      </c>
      <c r="R194" s="58"/>
      <c r="S194" s="58"/>
      <c r="T194" s="58"/>
      <c r="U194" s="58"/>
      <c r="V194" s="58"/>
      <c r="W194" s="58"/>
      <c r="X194" s="58" t="s">
        <v>112</v>
      </c>
      <c r="Y194" s="58"/>
      <c r="Z194" s="58"/>
      <c r="AA194" s="58"/>
      <c r="AB194" s="58"/>
      <c r="AC194" s="58" t="s">
        <v>112</v>
      </c>
      <c r="AD194" s="58"/>
      <c r="AE194" s="58"/>
      <c r="AF194" s="58"/>
      <c r="AG194" s="58"/>
      <c r="AH194" s="58"/>
      <c r="AI194" s="58"/>
    </row>
    <row r="195" spans="1:35" x14ac:dyDescent="0.35">
      <c r="A195" s="17" t="s">
        <v>46</v>
      </c>
      <c r="B195" s="17" t="s">
        <v>1222</v>
      </c>
      <c r="C195" s="28" t="s">
        <v>1298</v>
      </c>
      <c r="D195" s="17" t="s">
        <v>1390</v>
      </c>
      <c r="E195" s="17" t="s">
        <v>1592</v>
      </c>
      <c r="F195" s="28">
        <v>172</v>
      </c>
      <c r="G195" s="47"/>
      <c r="H195" s="19">
        <v>0</v>
      </c>
      <c r="I195" s="47"/>
      <c r="J195" s="47"/>
      <c r="K195" s="47"/>
      <c r="L195" s="57"/>
      <c r="M195" s="47"/>
      <c r="N195" s="57"/>
      <c r="O195" s="48">
        <v>0</v>
      </c>
      <c r="P195" s="48">
        <v>0</v>
      </c>
      <c r="Q195" s="58" t="s">
        <v>112</v>
      </c>
      <c r="R195" s="58"/>
      <c r="S195" s="58"/>
      <c r="T195" s="58"/>
      <c r="U195" s="58"/>
      <c r="V195" s="58"/>
      <c r="W195" s="58"/>
      <c r="X195" s="58" t="s">
        <v>112</v>
      </c>
      <c r="Y195" s="58"/>
      <c r="Z195" s="58"/>
      <c r="AA195" s="58"/>
      <c r="AB195" s="58"/>
      <c r="AC195" s="58" t="s">
        <v>112</v>
      </c>
      <c r="AD195" s="58"/>
      <c r="AE195" s="58"/>
      <c r="AF195" s="58"/>
      <c r="AG195" s="58"/>
      <c r="AH195" s="58"/>
      <c r="AI195" s="58"/>
    </row>
    <row r="196" spans="1:35" x14ac:dyDescent="0.35">
      <c r="A196" s="17" t="s">
        <v>46</v>
      </c>
      <c r="B196" s="17" t="s">
        <v>1222</v>
      </c>
      <c r="C196" s="28" t="s">
        <v>1445</v>
      </c>
      <c r="D196" s="17" t="s">
        <v>1593</v>
      </c>
      <c r="E196" s="17" t="s">
        <v>1594</v>
      </c>
      <c r="F196" s="28">
        <v>134.66</v>
      </c>
      <c r="G196" s="47"/>
      <c r="H196" s="19">
        <v>0</v>
      </c>
      <c r="I196" s="47"/>
      <c r="J196" s="47"/>
      <c r="K196" s="47"/>
      <c r="L196" s="57"/>
      <c r="M196" s="47"/>
      <c r="N196" s="57"/>
      <c r="O196" s="48">
        <v>0</v>
      </c>
      <c r="P196" s="48">
        <v>0</v>
      </c>
      <c r="Q196" s="58" t="s">
        <v>112</v>
      </c>
      <c r="R196" s="58"/>
      <c r="S196" s="58"/>
      <c r="T196" s="58"/>
      <c r="U196" s="58"/>
      <c r="V196" s="58"/>
      <c r="W196" s="58"/>
      <c r="X196" s="58" t="s">
        <v>112</v>
      </c>
      <c r="Y196" s="58"/>
      <c r="Z196" s="58"/>
      <c r="AA196" s="58"/>
      <c r="AB196" s="58"/>
      <c r="AC196" s="58" t="s">
        <v>112</v>
      </c>
      <c r="AD196" s="58"/>
      <c r="AE196" s="58"/>
      <c r="AF196" s="58"/>
      <c r="AG196" s="58"/>
      <c r="AH196" s="58"/>
      <c r="AI196" s="58"/>
    </row>
    <row r="197" spans="1:35" x14ac:dyDescent="0.35">
      <c r="A197" s="17" t="s">
        <v>46</v>
      </c>
      <c r="B197" s="17" t="s">
        <v>1222</v>
      </c>
      <c r="C197" s="28" t="s">
        <v>1445</v>
      </c>
      <c r="D197" s="17" t="s">
        <v>1595</v>
      </c>
      <c r="E197" s="17" t="s">
        <v>1596</v>
      </c>
      <c r="F197" s="28">
        <v>145.03</v>
      </c>
      <c r="G197" s="47"/>
      <c r="H197" s="19">
        <v>0</v>
      </c>
      <c r="I197" s="47"/>
      <c r="J197" s="47"/>
      <c r="K197" s="47"/>
      <c r="L197" s="57"/>
      <c r="M197" s="47"/>
      <c r="N197" s="57"/>
      <c r="O197" s="48">
        <v>0</v>
      </c>
      <c r="P197" s="48">
        <v>0</v>
      </c>
      <c r="Q197" s="58" t="s">
        <v>112</v>
      </c>
      <c r="R197" s="58"/>
      <c r="S197" s="58"/>
      <c r="T197" s="58"/>
      <c r="U197" s="58"/>
      <c r="V197" s="58"/>
      <c r="W197" s="58"/>
      <c r="X197" s="58" t="s">
        <v>112</v>
      </c>
      <c r="Y197" s="58"/>
      <c r="Z197" s="58"/>
      <c r="AA197" s="58"/>
      <c r="AB197" s="58"/>
      <c r="AC197" s="58" t="s">
        <v>112</v>
      </c>
      <c r="AD197" s="58"/>
      <c r="AE197" s="58"/>
      <c r="AF197" s="58"/>
      <c r="AG197" s="58"/>
      <c r="AH197" s="58"/>
      <c r="AI197" s="58"/>
    </row>
    <row r="198" spans="1:35" x14ac:dyDescent="0.35">
      <c r="A198" s="17" t="s">
        <v>46</v>
      </c>
      <c r="B198" s="17" t="s">
        <v>1222</v>
      </c>
      <c r="C198" s="28" t="s">
        <v>1445</v>
      </c>
      <c r="D198" s="17" t="s">
        <v>426</v>
      </c>
      <c r="E198" s="17" t="s">
        <v>1597</v>
      </c>
      <c r="F198" s="20">
        <v>1394.3</v>
      </c>
      <c r="G198" s="20">
        <v>59</v>
      </c>
      <c r="H198" s="19">
        <v>288</v>
      </c>
      <c r="I198" s="20">
        <v>140</v>
      </c>
      <c r="J198" s="20">
        <v>148</v>
      </c>
      <c r="K198" s="20">
        <v>0</v>
      </c>
      <c r="L198" s="57">
        <f>K198/H198</f>
        <v>0</v>
      </c>
      <c r="M198" s="20">
        <v>287</v>
      </c>
      <c r="N198" s="57">
        <f>M198/H198</f>
        <v>0.99652777777777779</v>
      </c>
      <c r="O198" s="46">
        <v>0</v>
      </c>
      <c r="P198" s="46">
        <v>1078.6199999999999</v>
      </c>
      <c r="Q198" s="58" t="s">
        <v>562</v>
      </c>
      <c r="R198" s="58"/>
      <c r="S198" s="58"/>
      <c r="T198" s="58"/>
      <c r="U198" s="58"/>
      <c r="V198" s="58"/>
      <c r="W198" s="58"/>
      <c r="X198" s="58" t="s">
        <v>562</v>
      </c>
      <c r="Y198" s="58"/>
      <c r="Z198" s="58"/>
      <c r="AA198" s="58"/>
      <c r="AB198" s="58"/>
      <c r="AC198" s="58"/>
      <c r="AD198" s="58"/>
      <c r="AE198" s="58" t="s">
        <v>562</v>
      </c>
      <c r="AF198" s="58"/>
      <c r="AG198" s="58"/>
      <c r="AH198" s="58"/>
      <c r="AI198" s="58"/>
    </row>
    <row r="199" spans="1:35" x14ac:dyDescent="0.35">
      <c r="A199" s="17" t="s">
        <v>46</v>
      </c>
      <c r="B199" s="17" t="s">
        <v>1222</v>
      </c>
      <c r="C199" s="28" t="s">
        <v>1445</v>
      </c>
      <c r="D199" s="17" t="s">
        <v>1598</v>
      </c>
      <c r="E199" s="17" t="s">
        <v>1599</v>
      </c>
      <c r="F199" s="20">
        <v>3375.55</v>
      </c>
      <c r="G199" s="20">
        <v>69</v>
      </c>
      <c r="H199" s="19">
        <v>323</v>
      </c>
      <c r="I199" s="20">
        <v>172</v>
      </c>
      <c r="J199" s="20">
        <v>151</v>
      </c>
      <c r="K199" s="20">
        <v>4</v>
      </c>
      <c r="L199" s="57">
        <f>K199/H199</f>
        <v>1.238390092879257E-2</v>
      </c>
      <c r="M199" s="20">
        <v>266</v>
      </c>
      <c r="N199" s="57">
        <f>M199/H199</f>
        <v>0.82352941176470584</v>
      </c>
      <c r="O199" s="46">
        <v>0</v>
      </c>
      <c r="P199" s="46">
        <v>2259.75</v>
      </c>
      <c r="Q199" s="58" t="s">
        <v>562</v>
      </c>
      <c r="R199" s="58"/>
      <c r="S199" s="58"/>
      <c r="T199" s="58"/>
      <c r="U199" s="58"/>
      <c r="V199" s="58"/>
      <c r="W199" s="58"/>
      <c r="X199" s="58" t="s">
        <v>562</v>
      </c>
      <c r="Y199" s="58"/>
      <c r="Z199" s="58"/>
      <c r="AA199" s="58"/>
      <c r="AB199" s="58"/>
      <c r="AC199" s="58"/>
      <c r="AD199" s="58"/>
      <c r="AE199" s="58" t="s">
        <v>562</v>
      </c>
      <c r="AF199" s="58"/>
      <c r="AG199" s="58"/>
      <c r="AH199" s="58"/>
      <c r="AI199" s="58"/>
    </row>
    <row r="200" spans="1:35" x14ac:dyDescent="0.35">
      <c r="A200" s="17" t="s">
        <v>46</v>
      </c>
      <c r="B200" s="17" t="s">
        <v>1222</v>
      </c>
      <c r="C200" s="28" t="s">
        <v>1445</v>
      </c>
      <c r="D200" s="17" t="s">
        <v>1600</v>
      </c>
      <c r="E200" s="17" t="s">
        <v>1601</v>
      </c>
      <c r="F200" s="28">
        <v>346.34</v>
      </c>
      <c r="G200" s="47"/>
      <c r="H200" s="19">
        <v>0</v>
      </c>
      <c r="I200" s="47"/>
      <c r="J200" s="47"/>
      <c r="K200" s="47"/>
      <c r="L200" s="57"/>
      <c r="M200" s="47"/>
      <c r="N200" s="57"/>
      <c r="O200" s="48">
        <v>0</v>
      </c>
      <c r="P200" s="48">
        <v>157.94</v>
      </c>
      <c r="Q200" s="58" t="s">
        <v>112</v>
      </c>
      <c r="R200" s="58"/>
      <c r="S200" s="58"/>
      <c r="T200" s="58"/>
      <c r="U200" s="58"/>
      <c r="V200" s="58"/>
      <c r="W200" s="58"/>
      <c r="X200" s="58" t="s">
        <v>112</v>
      </c>
      <c r="Y200" s="58"/>
      <c r="Z200" s="58"/>
      <c r="AA200" s="58"/>
      <c r="AB200" s="58"/>
      <c r="AC200" s="58" t="s">
        <v>112</v>
      </c>
      <c r="AD200" s="58"/>
      <c r="AE200" s="58"/>
      <c r="AF200" s="58"/>
      <c r="AG200" s="58"/>
      <c r="AH200" s="58"/>
      <c r="AI200" s="58"/>
    </row>
    <row r="201" spans="1:35" x14ac:dyDescent="0.35">
      <c r="A201" s="17" t="s">
        <v>46</v>
      </c>
      <c r="B201" s="17" t="s">
        <v>1222</v>
      </c>
      <c r="C201" s="28" t="s">
        <v>1445</v>
      </c>
      <c r="D201" s="17" t="s">
        <v>1602</v>
      </c>
      <c r="E201" s="17" t="s">
        <v>1603</v>
      </c>
      <c r="F201" s="28">
        <v>517.21</v>
      </c>
      <c r="G201" s="47"/>
      <c r="H201" s="19">
        <v>0</v>
      </c>
      <c r="I201" s="47"/>
      <c r="J201" s="47"/>
      <c r="K201" s="47"/>
      <c r="L201" s="57"/>
      <c r="M201" s="47"/>
      <c r="N201" s="57"/>
      <c r="O201" s="48">
        <v>0</v>
      </c>
      <c r="P201" s="48">
        <v>0</v>
      </c>
      <c r="Q201" s="58" t="s">
        <v>112</v>
      </c>
      <c r="R201" s="58"/>
      <c r="S201" s="58"/>
      <c r="T201" s="58"/>
      <c r="U201" s="58"/>
      <c r="V201" s="58"/>
      <c r="W201" s="58"/>
      <c r="X201" s="58" t="s">
        <v>112</v>
      </c>
      <c r="Y201" s="58"/>
      <c r="Z201" s="58"/>
      <c r="AA201" s="58"/>
      <c r="AB201" s="58"/>
      <c r="AC201" s="58" t="s">
        <v>112</v>
      </c>
      <c r="AD201" s="58"/>
      <c r="AE201" s="58"/>
      <c r="AF201" s="58"/>
      <c r="AG201" s="58"/>
      <c r="AH201" s="58"/>
      <c r="AI201" s="58"/>
    </row>
    <row r="202" spans="1:35" x14ac:dyDescent="0.35">
      <c r="A202" s="17" t="s">
        <v>46</v>
      </c>
      <c r="B202" s="17" t="s">
        <v>1222</v>
      </c>
      <c r="C202" s="28" t="s">
        <v>1445</v>
      </c>
      <c r="D202" s="17" t="s">
        <v>151</v>
      </c>
      <c r="E202" s="17" t="s">
        <v>1604</v>
      </c>
      <c r="F202" s="28">
        <v>1329.18</v>
      </c>
      <c r="G202" s="47"/>
      <c r="H202" s="19">
        <v>0</v>
      </c>
      <c r="I202" s="47"/>
      <c r="J202" s="47"/>
      <c r="K202" s="47"/>
      <c r="L202" s="57"/>
      <c r="M202" s="47"/>
      <c r="N202" s="57"/>
      <c r="O202" s="48">
        <v>0</v>
      </c>
      <c r="P202" s="48">
        <v>0</v>
      </c>
      <c r="Q202" s="58" t="s">
        <v>112</v>
      </c>
      <c r="R202" s="58"/>
      <c r="S202" s="58"/>
      <c r="T202" s="58"/>
      <c r="U202" s="58"/>
      <c r="V202" s="58"/>
      <c r="W202" s="58"/>
      <c r="X202" s="58" t="s">
        <v>112</v>
      </c>
      <c r="Y202" s="58"/>
      <c r="Z202" s="58"/>
      <c r="AA202" s="58"/>
      <c r="AB202" s="58"/>
      <c r="AC202" s="58" t="s">
        <v>112</v>
      </c>
      <c r="AD202" s="58"/>
      <c r="AE202" s="58"/>
      <c r="AF202" s="58"/>
      <c r="AG202" s="58"/>
      <c r="AH202" s="58"/>
      <c r="AI202" s="58"/>
    </row>
    <row r="203" spans="1:35" x14ac:dyDescent="0.35">
      <c r="A203" s="17" t="s">
        <v>46</v>
      </c>
      <c r="B203" s="17" t="s">
        <v>1222</v>
      </c>
      <c r="C203" s="28" t="s">
        <v>1298</v>
      </c>
      <c r="D203" s="17" t="s">
        <v>1605</v>
      </c>
      <c r="E203" s="17" t="s">
        <v>1606</v>
      </c>
      <c r="F203" s="28">
        <v>85.82</v>
      </c>
      <c r="G203" s="47"/>
      <c r="H203" s="19">
        <v>0</v>
      </c>
      <c r="I203" s="47"/>
      <c r="J203" s="47"/>
      <c r="K203" s="47"/>
      <c r="L203" s="57"/>
      <c r="M203" s="47"/>
      <c r="N203" s="57"/>
      <c r="O203" s="48">
        <v>0</v>
      </c>
      <c r="P203" s="48">
        <v>0</v>
      </c>
      <c r="Q203" s="58" t="s">
        <v>112</v>
      </c>
      <c r="R203" s="58"/>
      <c r="S203" s="58"/>
      <c r="T203" s="58"/>
      <c r="U203" s="58"/>
      <c r="V203" s="58"/>
      <c r="W203" s="58"/>
      <c r="X203" s="58" t="s">
        <v>112</v>
      </c>
      <c r="Y203" s="58"/>
      <c r="Z203" s="58"/>
      <c r="AA203" s="58"/>
      <c r="AB203" s="58"/>
      <c r="AC203" s="58" t="s">
        <v>112</v>
      </c>
      <c r="AD203" s="58"/>
      <c r="AE203" s="58"/>
      <c r="AF203" s="58"/>
      <c r="AG203" s="58"/>
      <c r="AH203" s="58"/>
      <c r="AI203" s="58"/>
    </row>
    <row r="204" spans="1:35" x14ac:dyDescent="0.35">
      <c r="A204" s="17" t="s">
        <v>46</v>
      </c>
      <c r="B204" s="17" t="s">
        <v>1222</v>
      </c>
      <c r="C204" s="28" t="s">
        <v>1298</v>
      </c>
      <c r="D204" s="17" t="s">
        <v>1607</v>
      </c>
      <c r="E204" s="17" t="s">
        <v>1608</v>
      </c>
      <c r="F204" s="20">
        <v>3143.04</v>
      </c>
      <c r="G204" s="20">
        <v>163</v>
      </c>
      <c r="H204" s="19">
        <v>845</v>
      </c>
      <c r="I204" s="20">
        <v>428</v>
      </c>
      <c r="J204" s="20">
        <v>417</v>
      </c>
      <c r="K204" s="20">
        <v>213</v>
      </c>
      <c r="L204" s="57">
        <f t="shared" ref="L204:L209" si="20">K204/H204</f>
        <v>0.25207100591715975</v>
      </c>
      <c r="M204" s="20">
        <v>129</v>
      </c>
      <c r="N204" s="57">
        <f t="shared" ref="N204:N209" si="21">M204/H204</f>
        <v>0.15266272189349112</v>
      </c>
      <c r="O204" s="46">
        <v>0</v>
      </c>
      <c r="P204" s="46">
        <v>1733.17</v>
      </c>
      <c r="Q204" s="58" t="s">
        <v>562</v>
      </c>
      <c r="R204" s="58"/>
      <c r="S204" s="58"/>
      <c r="T204" s="58"/>
      <c r="U204" s="58"/>
      <c r="V204" s="58"/>
      <c r="W204" s="58"/>
      <c r="X204" s="58" t="s">
        <v>562</v>
      </c>
      <c r="Y204" s="58"/>
      <c r="Z204" s="58"/>
      <c r="AA204" s="58"/>
      <c r="AB204" s="58"/>
      <c r="AC204" s="58"/>
      <c r="AD204" s="58"/>
      <c r="AE204" s="58" t="s">
        <v>562</v>
      </c>
      <c r="AF204" s="58"/>
      <c r="AG204" s="58"/>
      <c r="AH204" s="58"/>
      <c r="AI204" s="58"/>
    </row>
    <row r="205" spans="1:35" x14ac:dyDescent="0.35">
      <c r="A205" s="17" t="s">
        <v>46</v>
      </c>
      <c r="B205" s="17" t="s">
        <v>1222</v>
      </c>
      <c r="C205" s="28" t="s">
        <v>1298</v>
      </c>
      <c r="D205" s="17" t="s">
        <v>1609</v>
      </c>
      <c r="E205" s="17" t="s">
        <v>1610</v>
      </c>
      <c r="F205" s="20">
        <v>457.76</v>
      </c>
      <c r="G205" s="20">
        <v>42</v>
      </c>
      <c r="H205" s="19">
        <v>212</v>
      </c>
      <c r="I205" s="20">
        <v>103</v>
      </c>
      <c r="J205" s="20">
        <v>109</v>
      </c>
      <c r="K205" s="20">
        <v>0</v>
      </c>
      <c r="L205" s="57">
        <f t="shared" si="20"/>
        <v>0</v>
      </c>
      <c r="M205" s="20">
        <v>189</v>
      </c>
      <c r="N205" s="57">
        <f t="shared" si="21"/>
        <v>0.89150943396226412</v>
      </c>
      <c r="O205" s="46">
        <v>0</v>
      </c>
      <c r="P205" s="46">
        <v>132.4</v>
      </c>
      <c r="Q205" s="58" t="s">
        <v>562</v>
      </c>
      <c r="R205" s="58"/>
      <c r="S205" s="58"/>
      <c r="T205" s="58"/>
      <c r="U205" s="58"/>
      <c r="V205" s="58"/>
      <c r="W205" s="58"/>
      <c r="X205" s="58" t="s">
        <v>562</v>
      </c>
      <c r="Y205" s="58"/>
      <c r="Z205" s="58"/>
      <c r="AA205" s="58"/>
      <c r="AB205" s="58"/>
      <c r="AC205" s="58"/>
      <c r="AD205" s="58"/>
      <c r="AE205" s="58" t="s">
        <v>562</v>
      </c>
      <c r="AF205" s="58"/>
      <c r="AG205" s="58"/>
      <c r="AH205" s="58"/>
      <c r="AI205" s="58"/>
    </row>
    <row r="206" spans="1:35" x14ac:dyDescent="0.35">
      <c r="A206" s="17" t="s">
        <v>46</v>
      </c>
      <c r="B206" s="17" t="s">
        <v>1222</v>
      </c>
      <c r="C206" s="28" t="s">
        <v>1298</v>
      </c>
      <c r="D206" s="17" t="s">
        <v>1611</v>
      </c>
      <c r="E206" s="17" t="s">
        <v>1612</v>
      </c>
      <c r="F206" s="20">
        <v>1556.22</v>
      </c>
      <c r="G206" s="20">
        <v>43</v>
      </c>
      <c r="H206" s="19">
        <v>179</v>
      </c>
      <c r="I206" s="20">
        <v>90</v>
      </c>
      <c r="J206" s="20">
        <v>89</v>
      </c>
      <c r="K206" s="20">
        <v>88</v>
      </c>
      <c r="L206" s="57">
        <f t="shared" si="20"/>
        <v>0.49162011173184356</v>
      </c>
      <c r="M206" s="20">
        <v>0</v>
      </c>
      <c r="N206" s="57">
        <f t="shared" si="21"/>
        <v>0</v>
      </c>
      <c r="O206" s="46">
        <v>0</v>
      </c>
      <c r="P206" s="46">
        <v>889.38</v>
      </c>
      <c r="Q206" s="58" t="s">
        <v>562</v>
      </c>
      <c r="R206" s="58"/>
      <c r="S206" s="58"/>
      <c r="T206" s="58"/>
      <c r="U206" s="58"/>
      <c r="V206" s="58"/>
      <c r="W206" s="58"/>
      <c r="X206" s="58" t="s">
        <v>562</v>
      </c>
      <c r="Y206" s="58"/>
      <c r="Z206" s="58"/>
      <c r="AA206" s="58"/>
      <c r="AB206" s="58"/>
      <c r="AC206" s="58"/>
      <c r="AD206" s="58"/>
      <c r="AE206" s="58" t="s">
        <v>562</v>
      </c>
      <c r="AF206" s="58"/>
      <c r="AG206" s="58"/>
      <c r="AH206" s="58"/>
      <c r="AI206" s="58"/>
    </row>
    <row r="207" spans="1:35" x14ac:dyDescent="0.35">
      <c r="A207" s="17" t="s">
        <v>46</v>
      </c>
      <c r="B207" s="17" t="s">
        <v>1222</v>
      </c>
      <c r="C207" s="28" t="s">
        <v>1298</v>
      </c>
      <c r="D207" s="17" t="s">
        <v>1613</v>
      </c>
      <c r="E207" s="17" t="s">
        <v>1614</v>
      </c>
      <c r="F207" s="20">
        <v>1423</v>
      </c>
      <c r="G207" s="20">
        <v>115</v>
      </c>
      <c r="H207" s="19">
        <v>594</v>
      </c>
      <c r="I207" s="20">
        <v>324</v>
      </c>
      <c r="J207" s="20">
        <v>270</v>
      </c>
      <c r="K207" s="20">
        <v>3</v>
      </c>
      <c r="L207" s="57">
        <f t="shared" si="20"/>
        <v>5.0505050505050509E-3</v>
      </c>
      <c r="M207" s="20">
        <v>347</v>
      </c>
      <c r="N207" s="57">
        <f t="shared" si="21"/>
        <v>0.58417508417508412</v>
      </c>
      <c r="O207" s="46">
        <v>0</v>
      </c>
      <c r="P207" s="46">
        <v>619.38</v>
      </c>
      <c r="Q207" s="58" t="s">
        <v>562</v>
      </c>
      <c r="R207" s="58"/>
      <c r="S207" s="58"/>
      <c r="T207" s="58"/>
      <c r="U207" s="58"/>
      <c r="V207" s="58"/>
      <c r="W207" s="58"/>
      <c r="X207" s="58" t="s">
        <v>562</v>
      </c>
      <c r="Y207" s="58"/>
      <c r="Z207" s="58"/>
      <c r="AA207" s="58"/>
      <c r="AB207" s="58"/>
      <c r="AC207" s="58"/>
      <c r="AD207" s="58"/>
      <c r="AE207" s="58" t="s">
        <v>562</v>
      </c>
      <c r="AF207" s="58"/>
      <c r="AG207" s="58"/>
      <c r="AH207" s="58"/>
      <c r="AI207" s="58"/>
    </row>
    <row r="208" spans="1:35" x14ac:dyDescent="0.35">
      <c r="A208" s="17" t="s">
        <v>46</v>
      </c>
      <c r="B208" s="17" t="s">
        <v>1222</v>
      </c>
      <c r="C208" s="28" t="s">
        <v>1298</v>
      </c>
      <c r="D208" s="17" t="s">
        <v>396</v>
      </c>
      <c r="E208" s="17" t="s">
        <v>1615</v>
      </c>
      <c r="F208" s="20">
        <v>313.85000000000002</v>
      </c>
      <c r="G208" s="20">
        <v>37</v>
      </c>
      <c r="H208" s="19">
        <v>174</v>
      </c>
      <c r="I208" s="20">
        <v>92</v>
      </c>
      <c r="J208" s="20">
        <v>82</v>
      </c>
      <c r="K208" s="20">
        <v>0</v>
      </c>
      <c r="L208" s="57">
        <f t="shared" si="20"/>
        <v>0</v>
      </c>
      <c r="M208" s="20">
        <v>124</v>
      </c>
      <c r="N208" s="57">
        <f t="shared" si="21"/>
        <v>0.71264367816091956</v>
      </c>
      <c r="O208" s="46">
        <v>0</v>
      </c>
      <c r="P208" s="46">
        <v>0</v>
      </c>
      <c r="Q208" s="58" t="s">
        <v>562</v>
      </c>
      <c r="R208" s="58"/>
      <c r="S208" s="58"/>
      <c r="T208" s="58"/>
      <c r="U208" s="58"/>
      <c r="V208" s="58"/>
      <c r="W208" s="58"/>
      <c r="X208" s="58" t="s">
        <v>562</v>
      </c>
      <c r="Y208" s="58"/>
      <c r="Z208" s="58"/>
      <c r="AA208" s="58"/>
      <c r="AB208" s="58"/>
      <c r="AC208" s="58"/>
      <c r="AD208" s="58"/>
      <c r="AE208" s="58" t="s">
        <v>562</v>
      </c>
      <c r="AF208" s="58"/>
      <c r="AG208" s="58"/>
      <c r="AH208" s="58"/>
      <c r="AI208" s="58"/>
    </row>
    <row r="209" spans="1:35" x14ac:dyDescent="0.35">
      <c r="A209" s="17" t="s">
        <v>46</v>
      </c>
      <c r="B209" s="17" t="s">
        <v>1222</v>
      </c>
      <c r="C209" s="28" t="s">
        <v>1298</v>
      </c>
      <c r="D209" s="17" t="s">
        <v>1616</v>
      </c>
      <c r="E209" s="17" t="s">
        <v>1617</v>
      </c>
      <c r="F209" s="20">
        <v>1624.44</v>
      </c>
      <c r="G209" s="20">
        <v>102</v>
      </c>
      <c r="H209" s="19">
        <v>578</v>
      </c>
      <c r="I209" s="20">
        <v>292</v>
      </c>
      <c r="J209" s="20">
        <v>286</v>
      </c>
      <c r="K209" s="20">
        <v>0</v>
      </c>
      <c r="L209" s="57">
        <f t="shared" si="20"/>
        <v>0</v>
      </c>
      <c r="M209" s="20">
        <v>223</v>
      </c>
      <c r="N209" s="57">
        <f t="shared" si="21"/>
        <v>0.38581314878892736</v>
      </c>
      <c r="O209" s="46">
        <v>0</v>
      </c>
      <c r="P209" s="46">
        <v>706.36</v>
      </c>
      <c r="Q209" s="58" t="s">
        <v>562</v>
      </c>
      <c r="R209" s="58"/>
      <c r="S209" s="58"/>
      <c r="T209" s="58"/>
      <c r="U209" s="58"/>
      <c r="V209" s="58"/>
      <c r="W209" s="58"/>
      <c r="X209" s="58" t="s">
        <v>562</v>
      </c>
      <c r="Y209" s="58"/>
      <c r="Z209" s="58"/>
      <c r="AA209" s="58"/>
      <c r="AB209" s="58"/>
      <c r="AC209" s="58"/>
      <c r="AD209" s="58"/>
      <c r="AE209" s="58" t="s">
        <v>562</v>
      </c>
      <c r="AF209" s="58"/>
      <c r="AG209" s="58"/>
      <c r="AH209" s="58"/>
      <c r="AI209" s="58"/>
    </row>
    <row r="210" spans="1:35" x14ac:dyDescent="0.35">
      <c r="A210" s="17" t="s">
        <v>46</v>
      </c>
      <c r="B210" s="17" t="s">
        <v>1222</v>
      </c>
      <c r="C210" s="28" t="s">
        <v>1618</v>
      </c>
      <c r="D210" s="17" t="s">
        <v>1619</v>
      </c>
      <c r="E210" s="17" t="s">
        <v>1620</v>
      </c>
      <c r="F210" s="28">
        <v>40.549999999999997</v>
      </c>
      <c r="G210" s="47"/>
      <c r="H210" s="19">
        <v>0</v>
      </c>
      <c r="I210" s="47"/>
      <c r="J210" s="47"/>
      <c r="K210" s="47"/>
      <c r="L210" s="57"/>
      <c r="M210" s="47"/>
      <c r="N210" s="57"/>
      <c r="O210" s="48">
        <v>0</v>
      </c>
      <c r="P210" s="48">
        <v>0</v>
      </c>
      <c r="Q210" s="58" t="s">
        <v>112</v>
      </c>
      <c r="R210" s="58"/>
      <c r="S210" s="58"/>
      <c r="T210" s="58"/>
      <c r="U210" s="58"/>
      <c r="V210" s="58"/>
      <c r="W210" s="58"/>
      <c r="X210" s="58" t="s">
        <v>112</v>
      </c>
      <c r="Y210" s="58"/>
      <c r="Z210" s="58"/>
      <c r="AA210" s="58"/>
      <c r="AB210" s="58"/>
      <c r="AC210" s="58" t="s">
        <v>112</v>
      </c>
      <c r="AD210" s="58"/>
      <c r="AE210" s="58"/>
      <c r="AF210" s="58"/>
      <c r="AG210" s="58"/>
      <c r="AH210" s="58"/>
      <c r="AI210" s="58"/>
    </row>
    <row r="211" spans="1:35" x14ac:dyDescent="0.35">
      <c r="A211" s="17" t="s">
        <v>46</v>
      </c>
      <c r="B211" s="17" t="s">
        <v>1222</v>
      </c>
      <c r="C211" s="28" t="s">
        <v>1298</v>
      </c>
      <c r="D211" s="17" t="s">
        <v>361</v>
      </c>
      <c r="E211" s="17" t="s">
        <v>1621</v>
      </c>
      <c r="F211" s="20">
        <v>805.89</v>
      </c>
      <c r="G211" s="20">
        <v>113</v>
      </c>
      <c r="H211" s="19">
        <v>651</v>
      </c>
      <c r="I211" s="20">
        <v>342</v>
      </c>
      <c r="J211" s="20">
        <v>309</v>
      </c>
      <c r="K211" s="20">
        <v>4</v>
      </c>
      <c r="L211" s="57">
        <f>K211/H211</f>
        <v>6.1443932411674347E-3</v>
      </c>
      <c r="M211" s="20">
        <v>357</v>
      </c>
      <c r="N211" s="57">
        <f>M211/H211</f>
        <v>0.54838709677419351</v>
      </c>
      <c r="O211" s="46">
        <v>0</v>
      </c>
      <c r="P211" s="46">
        <v>219.39</v>
      </c>
      <c r="Q211" s="58" t="s">
        <v>562</v>
      </c>
      <c r="R211" s="58"/>
      <c r="S211" s="58"/>
      <c r="T211" s="58"/>
      <c r="U211" s="58"/>
      <c r="V211" s="58"/>
      <c r="W211" s="58"/>
      <c r="X211" s="58" t="s">
        <v>562</v>
      </c>
      <c r="Y211" s="58"/>
      <c r="Z211" s="58"/>
      <c r="AA211" s="58"/>
      <c r="AB211" s="58"/>
      <c r="AC211" s="58"/>
      <c r="AD211" s="58"/>
      <c r="AE211" s="58" t="s">
        <v>562</v>
      </c>
      <c r="AF211" s="58"/>
      <c r="AG211" s="58"/>
      <c r="AH211" s="58"/>
      <c r="AI211" s="58"/>
    </row>
    <row r="212" spans="1:35" x14ac:dyDescent="0.35">
      <c r="A212" s="17" t="s">
        <v>46</v>
      </c>
      <c r="B212" s="17" t="s">
        <v>1222</v>
      </c>
      <c r="C212" s="28" t="s">
        <v>1378</v>
      </c>
      <c r="D212" s="17" t="s">
        <v>1622</v>
      </c>
      <c r="E212" s="17" t="s">
        <v>1623</v>
      </c>
      <c r="F212" s="28">
        <v>152.78</v>
      </c>
      <c r="G212" s="47"/>
      <c r="H212" s="19">
        <v>0</v>
      </c>
      <c r="I212" s="47"/>
      <c r="J212" s="47"/>
      <c r="K212" s="47"/>
      <c r="L212" s="57"/>
      <c r="M212" s="47"/>
      <c r="N212" s="57"/>
      <c r="O212" s="48">
        <v>0</v>
      </c>
      <c r="P212" s="48">
        <v>0</v>
      </c>
      <c r="Q212" s="58" t="s">
        <v>112</v>
      </c>
      <c r="R212" s="58"/>
      <c r="S212" s="58"/>
      <c r="T212" s="58"/>
      <c r="U212" s="58"/>
      <c r="V212" s="58"/>
      <c r="W212" s="58"/>
      <c r="X212" s="58" t="s">
        <v>112</v>
      </c>
      <c r="Y212" s="58"/>
      <c r="Z212" s="58"/>
      <c r="AA212" s="58"/>
      <c r="AB212" s="58"/>
      <c r="AC212" s="58" t="s">
        <v>112</v>
      </c>
      <c r="AD212" s="58"/>
      <c r="AE212" s="58"/>
      <c r="AF212" s="58"/>
      <c r="AG212" s="58"/>
      <c r="AH212" s="58"/>
      <c r="AI212" s="58"/>
    </row>
    <row r="213" spans="1:35" x14ac:dyDescent="0.35">
      <c r="A213" s="17" t="s">
        <v>46</v>
      </c>
      <c r="B213" s="17" t="s">
        <v>1222</v>
      </c>
      <c r="C213" s="28" t="s">
        <v>1378</v>
      </c>
      <c r="D213" s="17" t="s">
        <v>346</v>
      </c>
      <c r="E213" s="17" t="s">
        <v>1624</v>
      </c>
      <c r="F213" s="28">
        <v>96.84</v>
      </c>
      <c r="G213" s="47"/>
      <c r="H213" s="19">
        <v>0</v>
      </c>
      <c r="I213" s="47"/>
      <c r="J213" s="47"/>
      <c r="K213" s="47"/>
      <c r="L213" s="57"/>
      <c r="M213" s="47"/>
      <c r="N213" s="57"/>
      <c r="O213" s="48">
        <v>0</v>
      </c>
      <c r="P213" s="48">
        <v>0</v>
      </c>
      <c r="Q213" s="58" t="s">
        <v>112</v>
      </c>
      <c r="R213" s="58"/>
      <c r="S213" s="58"/>
      <c r="T213" s="58"/>
      <c r="U213" s="58"/>
      <c r="V213" s="58"/>
      <c r="W213" s="58"/>
      <c r="X213" s="58" t="s">
        <v>112</v>
      </c>
      <c r="Y213" s="58"/>
      <c r="Z213" s="58"/>
      <c r="AA213" s="58"/>
      <c r="AB213" s="58"/>
      <c r="AC213" s="58" t="s">
        <v>112</v>
      </c>
      <c r="AD213" s="58"/>
      <c r="AE213" s="58"/>
      <c r="AF213" s="58"/>
      <c r="AG213" s="58"/>
      <c r="AH213" s="58"/>
      <c r="AI213" s="58"/>
    </row>
    <row r="214" spans="1:35" x14ac:dyDescent="0.35">
      <c r="A214" s="17" t="s">
        <v>46</v>
      </c>
      <c r="B214" s="17" t="s">
        <v>1222</v>
      </c>
      <c r="C214" s="28" t="s">
        <v>1378</v>
      </c>
      <c r="D214" s="17" t="s">
        <v>1625</v>
      </c>
      <c r="E214" s="17" t="s">
        <v>1626</v>
      </c>
      <c r="F214" s="20">
        <v>714.83</v>
      </c>
      <c r="G214" s="20">
        <v>118</v>
      </c>
      <c r="H214" s="19">
        <v>612</v>
      </c>
      <c r="I214" s="20">
        <v>314</v>
      </c>
      <c r="J214" s="20">
        <v>298</v>
      </c>
      <c r="K214" s="20">
        <v>101</v>
      </c>
      <c r="L214" s="57">
        <f>K214/H214</f>
        <v>0.16503267973856209</v>
      </c>
      <c r="M214" s="20">
        <v>501</v>
      </c>
      <c r="N214" s="57">
        <f>M214/H214</f>
        <v>0.81862745098039214</v>
      </c>
      <c r="O214" s="46">
        <v>0</v>
      </c>
      <c r="P214" s="46">
        <v>432.9</v>
      </c>
      <c r="Q214" s="58" t="s">
        <v>562</v>
      </c>
      <c r="R214" s="58"/>
      <c r="S214" s="58"/>
      <c r="T214" s="58"/>
      <c r="U214" s="58"/>
      <c r="V214" s="58"/>
      <c r="W214" s="58"/>
      <c r="X214" s="58" t="s">
        <v>562</v>
      </c>
      <c r="Y214" s="58"/>
      <c r="Z214" s="58"/>
      <c r="AA214" s="58"/>
      <c r="AB214" s="58"/>
      <c r="AC214" s="58"/>
      <c r="AD214" s="58"/>
      <c r="AE214" s="58" t="s">
        <v>562</v>
      </c>
      <c r="AF214" s="58"/>
      <c r="AG214" s="58"/>
      <c r="AH214" s="58"/>
      <c r="AI214" s="58"/>
    </row>
    <row r="215" spans="1:35" x14ac:dyDescent="0.35">
      <c r="A215" s="17" t="s">
        <v>46</v>
      </c>
      <c r="B215" s="17" t="s">
        <v>1222</v>
      </c>
      <c r="C215" s="28" t="s">
        <v>1378</v>
      </c>
      <c r="D215" s="17" t="s">
        <v>1627</v>
      </c>
      <c r="E215" s="17" t="s">
        <v>1628</v>
      </c>
      <c r="F215" s="28">
        <v>427.4</v>
      </c>
      <c r="G215" s="47"/>
      <c r="H215" s="19">
        <v>0</v>
      </c>
      <c r="I215" s="47"/>
      <c r="J215" s="47"/>
      <c r="K215" s="47"/>
      <c r="L215" s="57"/>
      <c r="M215" s="47"/>
      <c r="N215" s="57"/>
      <c r="O215" s="48">
        <v>0</v>
      </c>
      <c r="P215" s="48">
        <v>166.87</v>
      </c>
      <c r="Q215" s="58" t="s">
        <v>112</v>
      </c>
      <c r="R215" s="58"/>
      <c r="S215" s="58"/>
      <c r="T215" s="58"/>
      <c r="U215" s="58"/>
      <c r="V215" s="58"/>
      <c r="W215" s="58"/>
      <c r="X215" s="58" t="s">
        <v>112</v>
      </c>
      <c r="Y215" s="58"/>
      <c r="Z215" s="58"/>
      <c r="AA215" s="58"/>
      <c r="AB215" s="58"/>
      <c r="AC215" s="58" t="s">
        <v>112</v>
      </c>
      <c r="AD215" s="58"/>
      <c r="AE215" s="58"/>
      <c r="AF215" s="58"/>
      <c r="AG215" s="58"/>
      <c r="AH215" s="58"/>
      <c r="AI215" s="58"/>
    </row>
    <row r="216" spans="1:35" x14ac:dyDescent="0.35">
      <c r="A216" s="17" t="s">
        <v>46</v>
      </c>
      <c r="B216" s="17" t="s">
        <v>1222</v>
      </c>
      <c r="C216" s="28" t="s">
        <v>1445</v>
      </c>
      <c r="D216" s="17" t="s">
        <v>71</v>
      </c>
      <c r="E216" s="17" t="s">
        <v>1629</v>
      </c>
      <c r="F216" s="20">
        <v>842.71</v>
      </c>
      <c r="G216" s="20">
        <v>167</v>
      </c>
      <c r="H216" s="19">
        <v>805</v>
      </c>
      <c r="I216" s="20">
        <v>431</v>
      </c>
      <c r="J216" s="20">
        <v>374</v>
      </c>
      <c r="K216" s="20">
        <v>135</v>
      </c>
      <c r="L216" s="57">
        <f>K216/H216</f>
        <v>0.16770186335403728</v>
      </c>
      <c r="M216" s="20">
        <v>281</v>
      </c>
      <c r="N216" s="57">
        <f>M216/H216</f>
        <v>0.34906832298136647</v>
      </c>
      <c r="O216" s="46">
        <v>0</v>
      </c>
      <c r="P216" s="46">
        <v>167.57</v>
      </c>
      <c r="Q216" s="58" t="s">
        <v>562</v>
      </c>
      <c r="R216" s="58"/>
      <c r="S216" s="58"/>
      <c r="T216" s="58"/>
      <c r="U216" s="58"/>
      <c r="V216" s="58"/>
      <c r="W216" s="58"/>
      <c r="X216" s="58" t="s">
        <v>562</v>
      </c>
      <c r="Y216" s="58"/>
      <c r="Z216" s="58"/>
      <c r="AA216" s="58"/>
      <c r="AB216" s="58"/>
      <c r="AC216" s="58"/>
      <c r="AD216" s="58"/>
      <c r="AE216" s="58" t="s">
        <v>562</v>
      </c>
      <c r="AF216" s="58"/>
      <c r="AG216" s="58"/>
      <c r="AH216" s="58"/>
      <c r="AI216" s="58"/>
    </row>
    <row r="217" spans="1:35" x14ac:dyDescent="0.35">
      <c r="A217" s="17" t="s">
        <v>46</v>
      </c>
      <c r="B217" s="17" t="s">
        <v>1222</v>
      </c>
      <c r="C217" s="28" t="s">
        <v>1378</v>
      </c>
      <c r="D217" s="17" t="s">
        <v>1630</v>
      </c>
      <c r="E217" s="17" t="s">
        <v>1631</v>
      </c>
      <c r="F217" s="20">
        <v>1557.57</v>
      </c>
      <c r="G217" s="20">
        <v>276</v>
      </c>
      <c r="H217" s="19">
        <v>1258</v>
      </c>
      <c r="I217" s="20">
        <v>651</v>
      </c>
      <c r="J217" s="20">
        <v>607</v>
      </c>
      <c r="K217" s="20">
        <v>11</v>
      </c>
      <c r="L217" s="57">
        <f>K217/H217</f>
        <v>8.744038155802861E-3</v>
      </c>
      <c r="M217" s="20">
        <v>205</v>
      </c>
      <c r="N217" s="57">
        <f>M217/H217</f>
        <v>0.16295707472178061</v>
      </c>
      <c r="O217" s="46">
        <v>0</v>
      </c>
      <c r="P217" s="46">
        <v>1075.8900000000001</v>
      </c>
      <c r="Q217" s="58" t="s">
        <v>562</v>
      </c>
      <c r="R217" s="58"/>
      <c r="S217" s="58"/>
      <c r="T217" s="58"/>
      <c r="U217" s="58"/>
      <c r="V217" s="58"/>
      <c r="W217" s="58"/>
      <c r="X217" s="58" t="s">
        <v>562</v>
      </c>
      <c r="Y217" s="58"/>
      <c r="Z217" s="58"/>
      <c r="AA217" s="58"/>
      <c r="AB217" s="58"/>
      <c r="AC217" s="58"/>
      <c r="AD217" s="58"/>
      <c r="AE217" s="58" t="s">
        <v>562</v>
      </c>
      <c r="AF217" s="58"/>
      <c r="AG217" s="58"/>
      <c r="AH217" s="58"/>
      <c r="AI217" s="58"/>
    </row>
  </sheetData>
  <autoFilter ref="A2:AI217">
    <filterColumn colId="33" showButton="0"/>
  </autoFilter>
  <mergeCells count="1">
    <mergeCell ref="AH2:AI2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9"/>
  <sheetViews>
    <sheetView topLeftCell="O1" zoomScale="75" zoomScaleNormal="75" workbookViewId="0">
      <selection activeCell="O5" sqref="O5"/>
    </sheetView>
  </sheetViews>
  <sheetFormatPr defaultColWidth="9.1796875" defaultRowHeight="14.5" x14ac:dyDescent="0.35"/>
  <cols>
    <col min="4" max="4" width="18.6328125" customWidth="1"/>
    <col min="15" max="35" width="15" customWidth="1"/>
  </cols>
  <sheetData>
    <row r="1" spans="1:35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4"/>
      <c r="P1" s="4"/>
      <c r="Q1" s="38" t="s">
        <v>0</v>
      </c>
      <c r="R1" s="38" t="s">
        <v>0</v>
      </c>
      <c r="S1" s="38" t="s">
        <v>0</v>
      </c>
      <c r="T1" s="39" t="s">
        <v>0</v>
      </c>
      <c r="U1" s="39" t="s">
        <v>0</v>
      </c>
      <c r="V1" s="38" t="s">
        <v>1</v>
      </c>
      <c r="W1" s="38" t="s">
        <v>1</v>
      </c>
      <c r="X1" s="38" t="s">
        <v>1</v>
      </c>
      <c r="Y1" s="38" t="s">
        <v>1</v>
      </c>
      <c r="Z1" s="38" t="s">
        <v>1</v>
      </c>
      <c r="AA1" s="38" t="s">
        <v>1</v>
      </c>
      <c r="AB1" s="38" t="s">
        <v>2</v>
      </c>
      <c r="AC1" s="40" t="s">
        <v>3</v>
      </c>
      <c r="AD1" s="41" t="s">
        <v>3</v>
      </c>
      <c r="AE1" s="40" t="s">
        <v>3</v>
      </c>
      <c r="AF1" s="40" t="s">
        <v>3</v>
      </c>
      <c r="AG1" s="40" t="s">
        <v>3</v>
      </c>
      <c r="AH1" s="40" t="s">
        <v>3</v>
      </c>
      <c r="AI1" s="40" t="s">
        <v>3</v>
      </c>
    </row>
    <row r="2" spans="1:35" ht="136.25" customHeight="1" x14ac:dyDescent="0.3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5" t="s">
        <v>14</v>
      </c>
      <c r="L2" s="5"/>
      <c r="M2" s="5" t="s">
        <v>15</v>
      </c>
      <c r="N2" s="5"/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2" t="s">
        <v>21</v>
      </c>
      <c r="U2" s="42" t="s">
        <v>22</v>
      </c>
      <c r="V2" s="11" t="s">
        <v>23</v>
      </c>
      <c r="W2" s="4" t="s">
        <v>24</v>
      </c>
      <c r="X2" s="11" t="s">
        <v>25</v>
      </c>
      <c r="Y2" s="4" t="s">
        <v>26</v>
      </c>
      <c r="Z2" s="4" t="s">
        <v>27</v>
      </c>
      <c r="AA2" s="11" t="s">
        <v>28</v>
      </c>
      <c r="AB2" s="43" t="s">
        <v>29</v>
      </c>
      <c r="AC2" s="11" t="s">
        <v>30</v>
      </c>
      <c r="AD2" s="43" t="s">
        <v>31</v>
      </c>
      <c r="AE2" s="11" t="s">
        <v>32</v>
      </c>
      <c r="AF2" s="11" t="s">
        <v>33</v>
      </c>
      <c r="AG2" s="11" t="s">
        <v>34</v>
      </c>
      <c r="AH2" s="1" t="s">
        <v>35</v>
      </c>
      <c r="AI2" s="1"/>
    </row>
    <row r="3" spans="1:35" x14ac:dyDescent="0.35">
      <c r="A3" s="17"/>
      <c r="B3" s="17"/>
      <c r="C3" s="5"/>
      <c r="D3" s="5"/>
      <c r="E3" s="5"/>
      <c r="F3" s="5" t="s">
        <v>37</v>
      </c>
      <c r="G3" s="5" t="s">
        <v>38</v>
      </c>
      <c r="H3" s="5" t="s">
        <v>38</v>
      </c>
      <c r="I3" s="5" t="s">
        <v>38</v>
      </c>
      <c r="J3" s="5" t="s">
        <v>38</v>
      </c>
      <c r="K3" s="5" t="s">
        <v>38</v>
      </c>
      <c r="L3" s="5" t="s">
        <v>39</v>
      </c>
      <c r="M3" s="5"/>
      <c r="N3" s="5" t="s">
        <v>39</v>
      </c>
      <c r="O3" s="5" t="s">
        <v>37</v>
      </c>
      <c r="P3" s="5" t="s">
        <v>37</v>
      </c>
      <c r="Q3" s="5" t="s">
        <v>40</v>
      </c>
      <c r="R3" s="5" t="s">
        <v>41</v>
      </c>
      <c r="S3" s="5" t="s">
        <v>37</v>
      </c>
      <c r="T3" s="44"/>
      <c r="U3" s="44"/>
      <c r="V3" s="5" t="s">
        <v>37</v>
      </c>
      <c r="W3" s="5" t="s">
        <v>37</v>
      </c>
      <c r="X3" s="5" t="s">
        <v>40</v>
      </c>
      <c r="Y3" s="5" t="s">
        <v>40</v>
      </c>
      <c r="Z3" s="5" t="s">
        <v>40</v>
      </c>
      <c r="AA3" s="5" t="s">
        <v>37</v>
      </c>
      <c r="AB3" s="45" t="s">
        <v>42</v>
      </c>
      <c r="AC3" s="5" t="s">
        <v>40</v>
      </c>
      <c r="AD3" s="45" t="s">
        <v>40</v>
      </c>
      <c r="AE3" s="5" t="s">
        <v>40</v>
      </c>
      <c r="AF3" s="5" t="s">
        <v>37</v>
      </c>
      <c r="AG3" s="5" t="s">
        <v>43</v>
      </c>
      <c r="AH3" s="5" t="s">
        <v>44</v>
      </c>
      <c r="AI3" s="5" t="s">
        <v>45</v>
      </c>
    </row>
    <row r="4" spans="1:35" ht="15.5" x14ac:dyDescent="0.35">
      <c r="A4" s="63" t="s">
        <v>46</v>
      </c>
      <c r="B4" s="63" t="s">
        <v>1632</v>
      </c>
      <c r="C4" s="64" t="s">
        <v>1633</v>
      </c>
      <c r="D4" s="17" t="s">
        <v>1634</v>
      </c>
      <c r="E4" s="17" t="s">
        <v>1635</v>
      </c>
      <c r="F4" s="20">
        <v>131</v>
      </c>
      <c r="G4" s="20">
        <v>34</v>
      </c>
      <c r="H4" s="19">
        <v>92</v>
      </c>
      <c r="I4" s="20">
        <v>56</v>
      </c>
      <c r="J4" s="20">
        <v>36</v>
      </c>
      <c r="K4" s="20">
        <v>0</v>
      </c>
      <c r="L4" s="57">
        <f t="shared" ref="L4:L21" si="0">K4/H4</f>
        <v>0</v>
      </c>
      <c r="M4" s="20">
        <v>0</v>
      </c>
      <c r="N4" s="57">
        <f t="shared" ref="N4:N21" si="1">M4/H4</f>
        <v>0</v>
      </c>
      <c r="O4" s="46">
        <v>0</v>
      </c>
      <c r="P4" s="46">
        <v>0</v>
      </c>
      <c r="Q4" s="58" t="s">
        <v>562</v>
      </c>
      <c r="R4" s="65"/>
      <c r="S4" s="58"/>
      <c r="T4" s="58"/>
      <c r="U4" s="58"/>
      <c r="V4" s="58"/>
      <c r="W4" s="58"/>
      <c r="X4" s="58" t="s">
        <v>562</v>
      </c>
      <c r="Y4" s="58"/>
      <c r="Z4" s="58"/>
      <c r="AA4" s="58"/>
      <c r="AB4" s="58"/>
      <c r="AC4" s="58" t="s">
        <v>562</v>
      </c>
      <c r="AD4" s="58"/>
      <c r="AE4" s="58"/>
      <c r="AF4" s="58"/>
      <c r="AG4" s="58"/>
      <c r="AH4" s="58"/>
      <c r="AI4" s="58"/>
    </row>
    <row r="5" spans="1:35" ht="15.5" x14ac:dyDescent="0.35">
      <c r="A5" s="63" t="s">
        <v>46</v>
      </c>
      <c r="B5" s="63" t="s">
        <v>1632</v>
      </c>
      <c r="C5" s="64" t="s">
        <v>1633</v>
      </c>
      <c r="D5" s="17" t="s">
        <v>1636</v>
      </c>
      <c r="E5" s="17" t="s">
        <v>1637</v>
      </c>
      <c r="F5" s="20">
        <v>193</v>
      </c>
      <c r="G5" s="20">
        <v>75</v>
      </c>
      <c r="H5" s="19">
        <v>349</v>
      </c>
      <c r="I5" s="20">
        <v>178</v>
      </c>
      <c r="J5" s="20">
        <v>171</v>
      </c>
      <c r="K5" s="20">
        <v>11</v>
      </c>
      <c r="L5" s="57">
        <f t="shared" si="0"/>
        <v>3.151862464183381E-2</v>
      </c>
      <c r="M5" s="20">
        <v>124</v>
      </c>
      <c r="N5" s="57">
        <f t="shared" si="1"/>
        <v>0.35530085959885388</v>
      </c>
      <c r="O5" s="46">
        <v>21</v>
      </c>
      <c r="P5" s="46">
        <v>0</v>
      </c>
      <c r="Q5" s="58" t="s">
        <v>51</v>
      </c>
      <c r="R5" s="66">
        <v>2019</v>
      </c>
      <c r="S5" s="58"/>
      <c r="T5" s="58"/>
      <c r="U5" s="58"/>
      <c r="V5" s="58"/>
      <c r="W5" s="58"/>
      <c r="X5" s="58" t="s">
        <v>51</v>
      </c>
      <c r="Y5" s="58"/>
      <c r="Z5" s="58"/>
      <c r="AA5" s="58"/>
      <c r="AB5" s="58"/>
      <c r="AC5" s="58" t="s">
        <v>51</v>
      </c>
      <c r="AD5" s="58"/>
      <c r="AE5" s="58"/>
      <c r="AF5" s="58"/>
      <c r="AG5" s="58"/>
      <c r="AH5" s="58"/>
      <c r="AI5" s="58"/>
    </row>
    <row r="6" spans="1:35" ht="15.5" x14ac:dyDescent="0.35">
      <c r="A6" s="63" t="s">
        <v>46</v>
      </c>
      <c r="B6" s="63" t="s">
        <v>1632</v>
      </c>
      <c r="C6" s="64" t="s">
        <v>1633</v>
      </c>
      <c r="D6" s="17" t="s">
        <v>1638</v>
      </c>
      <c r="E6" s="17" t="s">
        <v>1639</v>
      </c>
      <c r="F6" s="20">
        <v>650</v>
      </c>
      <c r="G6" s="20">
        <v>112</v>
      </c>
      <c r="H6" s="19">
        <v>571</v>
      </c>
      <c r="I6" s="20">
        <v>293</v>
      </c>
      <c r="J6" s="20">
        <v>278</v>
      </c>
      <c r="K6" s="20">
        <v>181</v>
      </c>
      <c r="L6" s="57">
        <f t="shared" si="0"/>
        <v>0.31698774080560421</v>
      </c>
      <c r="M6" s="20">
        <v>38</v>
      </c>
      <c r="N6" s="57">
        <f t="shared" si="1"/>
        <v>6.6549912434325745E-2</v>
      </c>
      <c r="O6" s="46">
        <v>50</v>
      </c>
      <c r="P6" s="46">
        <v>0</v>
      </c>
      <c r="Q6" s="58" t="s">
        <v>562</v>
      </c>
      <c r="R6" s="65"/>
      <c r="S6" s="58"/>
      <c r="T6" s="58"/>
      <c r="U6" s="58"/>
      <c r="V6" s="58"/>
      <c r="W6" s="58"/>
      <c r="X6" s="58" t="s">
        <v>562</v>
      </c>
      <c r="Y6" s="58"/>
      <c r="Z6" s="58"/>
      <c r="AA6" s="58"/>
      <c r="AB6" s="58"/>
      <c r="AC6" s="58" t="s">
        <v>562</v>
      </c>
      <c r="AD6" s="58"/>
      <c r="AE6" s="58"/>
      <c r="AF6" s="58"/>
      <c r="AG6" s="58"/>
      <c r="AH6" s="58"/>
      <c r="AI6" s="58"/>
    </row>
    <row r="7" spans="1:35" ht="15.5" x14ac:dyDescent="0.35">
      <c r="A7" s="63" t="s">
        <v>46</v>
      </c>
      <c r="B7" s="63" t="s">
        <v>1632</v>
      </c>
      <c r="C7" s="64" t="s">
        <v>1633</v>
      </c>
      <c r="D7" s="17" t="s">
        <v>1640</v>
      </c>
      <c r="E7" s="17" t="s">
        <v>1641</v>
      </c>
      <c r="F7" s="20">
        <v>335</v>
      </c>
      <c r="G7" s="20">
        <v>130</v>
      </c>
      <c r="H7" s="19">
        <v>656</v>
      </c>
      <c r="I7" s="20">
        <v>344</v>
      </c>
      <c r="J7" s="20">
        <v>312</v>
      </c>
      <c r="K7" s="20">
        <v>82</v>
      </c>
      <c r="L7" s="57">
        <f t="shared" si="0"/>
        <v>0.125</v>
      </c>
      <c r="M7" s="20">
        <v>128</v>
      </c>
      <c r="N7" s="57">
        <f t="shared" si="1"/>
        <v>0.1951219512195122</v>
      </c>
      <c r="O7" s="46">
        <v>56</v>
      </c>
      <c r="P7" s="46">
        <v>0</v>
      </c>
      <c r="Q7" s="58" t="s">
        <v>51</v>
      </c>
      <c r="R7" s="66">
        <v>2019</v>
      </c>
      <c r="S7" s="58"/>
      <c r="T7" s="58"/>
      <c r="U7" s="58"/>
      <c r="V7" s="58"/>
      <c r="W7" s="58"/>
      <c r="X7" s="58" t="s">
        <v>51</v>
      </c>
      <c r="Y7" s="58"/>
      <c r="Z7" s="58"/>
      <c r="AA7" s="58"/>
      <c r="AB7" s="58"/>
      <c r="AC7" s="58" t="s">
        <v>51</v>
      </c>
      <c r="AD7" s="58"/>
      <c r="AE7" s="58"/>
      <c r="AF7" s="58"/>
      <c r="AG7" s="58"/>
      <c r="AH7" s="58"/>
      <c r="AI7" s="58"/>
    </row>
    <row r="8" spans="1:35" ht="15.5" x14ac:dyDescent="0.35">
      <c r="A8" s="63" t="s">
        <v>46</v>
      </c>
      <c r="B8" s="63" t="s">
        <v>1632</v>
      </c>
      <c r="C8" s="64" t="s">
        <v>1633</v>
      </c>
      <c r="D8" s="17" t="s">
        <v>312</v>
      </c>
      <c r="E8" s="17" t="s">
        <v>1642</v>
      </c>
      <c r="F8" s="20">
        <v>600</v>
      </c>
      <c r="G8" s="20">
        <v>249</v>
      </c>
      <c r="H8" s="19">
        <v>1101</v>
      </c>
      <c r="I8" s="20">
        <v>551</v>
      </c>
      <c r="J8" s="20">
        <v>550</v>
      </c>
      <c r="K8" s="20">
        <v>396</v>
      </c>
      <c r="L8" s="57">
        <f t="shared" si="0"/>
        <v>0.35967302452316074</v>
      </c>
      <c r="M8" s="20">
        <v>154</v>
      </c>
      <c r="N8" s="57">
        <f t="shared" si="1"/>
        <v>0.13987284287011809</v>
      </c>
      <c r="O8" s="46">
        <v>50</v>
      </c>
      <c r="P8" s="46">
        <v>0</v>
      </c>
      <c r="Q8" s="58" t="s">
        <v>51</v>
      </c>
      <c r="R8" s="66">
        <v>2019</v>
      </c>
      <c r="S8" s="58"/>
      <c r="T8" s="58"/>
      <c r="U8" s="58"/>
      <c r="V8" s="58"/>
      <c r="W8" s="58"/>
      <c r="X8" s="58" t="s">
        <v>51</v>
      </c>
      <c r="Y8" s="58"/>
      <c r="Z8" s="58"/>
      <c r="AA8" s="58"/>
      <c r="AB8" s="58"/>
      <c r="AC8" s="58" t="s">
        <v>51</v>
      </c>
      <c r="AD8" s="58"/>
      <c r="AE8" s="58"/>
      <c r="AF8" s="58"/>
      <c r="AG8" s="58"/>
      <c r="AH8" s="58"/>
      <c r="AI8" s="58"/>
    </row>
    <row r="9" spans="1:35" ht="15.5" x14ac:dyDescent="0.35">
      <c r="A9" s="63" t="s">
        <v>46</v>
      </c>
      <c r="B9" s="63" t="s">
        <v>1632</v>
      </c>
      <c r="C9" s="64" t="s">
        <v>1633</v>
      </c>
      <c r="D9" s="17" t="s">
        <v>1643</v>
      </c>
      <c r="E9" s="17" t="s">
        <v>1644</v>
      </c>
      <c r="F9" s="20">
        <v>302</v>
      </c>
      <c r="G9" s="20">
        <v>139</v>
      </c>
      <c r="H9" s="19">
        <v>660</v>
      </c>
      <c r="I9" s="20">
        <v>332</v>
      </c>
      <c r="J9" s="20">
        <v>328</v>
      </c>
      <c r="K9" s="20">
        <v>81</v>
      </c>
      <c r="L9" s="57">
        <f t="shared" si="0"/>
        <v>0.12272727272727273</v>
      </c>
      <c r="M9" s="20">
        <v>140</v>
      </c>
      <c r="N9" s="57">
        <f t="shared" si="1"/>
        <v>0.21212121212121213</v>
      </c>
      <c r="O9" s="46">
        <v>0</v>
      </c>
      <c r="P9" s="46">
        <v>0</v>
      </c>
      <c r="Q9" s="58" t="s">
        <v>562</v>
      </c>
      <c r="R9" s="65"/>
      <c r="S9" s="58"/>
      <c r="T9" s="58"/>
      <c r="U9" s="58"/>
      <c r="V9" s="58"/>
      <c r="W9" s="58"/>
      <c r="X9" s="58" t="s">
        <v>562</v>
      </c>
      <c r="Y9" s="58"/>
      <c r="Z9" s="58"/>
      <c r="AA9" s="58"/>
      <c r="AB9" s="58"/>
      <c r="AC9" s="58" t="s">
        <v>562</v>
      </c>
      <c r="AD9" s="58"/>
      <c r="AE9" s="58"/>
      <c r="AF9" s="58"/>
      <c r="AG9" s="58"/>
      <c r="AH9" s="58"/>
      <c r="AI9" s="58"/>
    </row>
    <row r="10" spans="1:35" ht="15.5" x14ac:dyDescent="0.35">
      <c r="A10" s="63" t="s">
        <v>46</v>
      </c>
      <c r="B10" s="63" t="s">
        <v>1632</v>
      </c>
      <c r="C10" s="64" t="s">
        <v>1633</v>
      </c>
      <c r="D10" s="17" t="s">
        <v>680</v>
      </c>
      <c r="E10" s="17" t="s">
        <v>1645</v>
      </c>
      <c r="F10" s="20">
        <v>115</v>
      </c>
      <c r="G10" s="20">
        <v>132</v>
      </c>
      <c r="H10" s="19">
        <v>549</v>
      </c>
      <c r="I10" s="20">
        <v>271</v>
      </c>
      <c r="J10" s="20">
        <v>278</v>
      </c>
      <c r="K10" s="20">
        <v>33</v>
      </c>
      <c r="L10" s="57">
        <f t="shared" si="0"/>
        <v>6.0109289617486336E-2</v>
      </c>
      <c r="M10" s="20">
        <v>128</v>
      </c>
      <c r="N10" s="57">
        <f t="shared" si="1"/>
        <v>0.2331511839708561</v>
      </c>
      <c r="O10" s="46">
        <v>0</v>
      </c>
      <c r="P10" s="46">
        <v>0</v>
      </c>
      <c r="Q10" s="58" t="s">
        <v>562</v>
      </c>
      <c r="R10" s="65"/>
      <c r="S10" s="58"/>
      <c r="T10" s="58"/>
      <c r="U10" s="58"/>
      <c r="V10" s="58"/>
      <c r="W10" s="58"/>
      <c r="X10" s="58" t="s">
        <v>562</v>
      </c>
      <c r="Y10" s="58"/>
      <c r="Z10" s="58"/>
      <c r="AA10" s="58"/>
      <c r="AB10" s="58"/>
      <c r="AC10" s="58" t="s">
        <v>562</v>
      </c>
      <c r="AD10" s="58"/>
      <c r="AE10" s="58"/>
      <c r="AF10" s="58"/>
      <c r="AG10" s="58"/>
      <c r="AH10" s="58"/>
      <c r="AI10" s="58"/>
    </row>
    <row r="11" spans="1:35" x14ac:dyDescent="0.35">
      <c r="A11" s="63" t="s">
        <v>46</v>
      </c>
      <c r="B11" s="63" t="s">
        <v>1632</v>
      </c>
      <c r="C11" s="64" t="s">
        <v>1646</v>
      </c>
      <c r="D11" s="17" t="s">
        <v>1647</v>
      </c>
      <c r="E11" s="17" t="s">
        <v>1648</v>
      </c>
      <c r="F11" s="20">
        <v>197</v>
      </c>
      <c r="G11" s="20">
        <v>67</v>
      </c>
      <c r="H11" s="19">
        <v>363</v>
      </c>
      <c r="I11" s="20">
        <v>184</v>
      </c>
      <c r="J11" s="20">
        <v>179</v>
      </c>
      <c r="K11" s="20">
        <v>42</v>
      </c>
      <c r="L11" s="57">
        <f t="shared" si="0"/>
        <v>0.11570247933884298</v>
      </c>
      <c r="M11" s="20">
        <v>33</v>
      </c>
      <c r="N11" s="57">
        <f t="shared" si="1"/>
        <v>9.0909090909090912E-2</v>
      </c>
      <c r="O11" s="46">
        <v>9</v>
      </c>
      <c r="P11" s="46">
        <v>0</v>
      </c>
      <c r="Q11" s="58" t="s">
        <v>51</v>
      </c>
      <c r="R11" s="58">
        <v>2019</v>
      </c>
      <c r="S11" s="58"/>
      <c r="T11" s="58"/>
      <c r="U11" s="58"/>
      <c r="V11" s="58"/>
      <c r="W11" s="58"/>
      <c r="X11" s="58" t="s">
        <v>51</v>
      </c>
      <c r="Y11" s="58"/>
      <c r="Z11" s="58"/>
      <c r="AA11" s="58"/>
      <c r="AB11" s="58"/>
      <c r="AC11" s="58" t="s">
        <v>51</v>
      </c>
      <c r="AD11" s="58"/>
      <c r="AE11" s="58"/>
      <c r="AF11" s="58"/>
      <c r="AG11" s="58"/>
      <c r="AH11" s="58"/>
      <c r="AI11" s="58"/>
    </row>
    <row r="12" spans="1:35" x14ac:dyDescent="0.35">
      <c r="A12" s="63" t="s">
        <v>46</v>
      </c>
      <c r="B12" s="63" t="s">
        <v>1632</v>
      </c>
      <c r="C12" s="64" t="s">
        <v>1646</v>
      </c>
      <c r="D12" s="17" t="s">
        <v>1649</v>
      </c>
      <c r="E12" s="17" t="s">
        <v>1650</v>
      </c>
      <c r="F12" s="20">
        <v>215</v>
      </c>
      <c r="G12" s="20">
        <v>75</v>
      </c>
      <c r="H12" s="19">
        <v>320</v>
      </c>
      <c r="I12" s="20">
        <v>159</v>
      </c>
      <c r="J12" s="20">
        <v>161</v>
      </c>
      <c r="K12" s="20">
        <v>9</v>
      </c>
      <c r="L12" s="57">
        <f t="shared" si="0"/>
        <v>2.8125000000000001E-2</v>
      </c>
      <c r="M12" s="20">
        <v>41</v>
      </c>
      <c r="N12" s="57">
        <f t="shared" si="1"/>
        <v>0.12812499999999999</v>
      </c>
      <c r="O12" s="46">
        <v>14</v>
      </c>
      <c r="P12" s="46">
        <v>0</v>
      </c>
      <c r="Q12" s="58" t="s">
        <v>51</v>
      </c>
      <c r="R12" s="58">
        <v>2019</v>
      </c>
      <c r="S12" s="58"/>
      <c r="T12" s="58"/>
      <c r="U12" s="58"/>
      <c r="V12" s="58"/>
      <c r="W12" s="58"/>
      <c r="X12" s="58" t="s">
        <v>51</v>
      </c>
      <c r="Y12" s="58"/>
      <c r="Z12" s="58"/>
      <c r="AA12" s="58"/>
      <c r="AB12" s="58"/>
      <c r="AC12" s="58" t="s">
        <v>51</v>
      </c>
      <c r="AD12" s="58"/>
      <c r="AE12" s="58"/>
      <c r="AF12" s="58"/>
      <c r="AG12" s="58"/>
      <c r="AH12" s="58"/>
      <c r="AI12" s="58"/>
    </row>
    <row r="13" spans="1:35" x14ac:dyDescent="0.35">
      <c r="A13" s="63" t="s">
        <v>46</v>
      </c>
      <c r="B13" s="63" t="s">
        <v>1632</v>
      </c>
      <c r="C13" s="64" t="s">
        <v>1646</v>
      </c>
      <c r="D13" s="17" t="s">
        <v>1651</v>
      </c>
      <c r="E13" s="17" t="s">
        <v>1652</v>
      </c>
      <c r="F13" s="20">
        <v>152</v>
      </c>
      <c r="G13" s="20">
        <v>99</v>
      </c>
      <c r="H13" s="19">
        <v>393</v>
      </c>
      <c r="I13" s="20">
        <v>197</v>
      </c>
      <c r="J13" s="20">
        <v>196</v>
      </c>
      <c r="K13" s="20">
        <v>0</v>
      </c>
      <c r="L13" s="57">
        <f t="shared" si="0"/>
        <v>0</v>
      </c>
      <c r="M13" s="20">
        <v>0</v>
      </c>
      <c r="N13" s="57">
        <f t="shared" si="1"/>
        <v>0</v>
      </c>
      <c r="O13" s="46">
        <v>18</v>
      </c>
      <c r="P13" s="46">
        <v>0</v>
      </c>
      <c r="Q13" s="58" t="s">
        <v>51</v>
      </c>
      <c r="R13" s="58">
        <v>2019</v>
      </c>
      <c r="S13" s="58"/>
      <c r="T13" s="58"/>
      <c r="U13" s="58"/>
      <c r="V13" s="58"/>
      <c r="W13" s="58"/>
      <c r="X13" s="58" t="s">
        <v>51</v>
      </c>
      <c r="Y13" s="58"/>
      <c r="Z13" s="58"/>
      <c r="AA13" s="58"/>
      <c r="AB13" s="58"/>
      <c r="AC13" s="58" t="s">
        <v>51</v>
      </c>
      <c r="AD13" s="58"/>
      <c r="AE13" s="58"/>
      <c r="AF13" s="58"/>
      <c r="AG13" s="58"/>
      <c r="AH13" s="58"/>
      <c r="AI13" s="58"/>
    </row>
    <row r="14" spans="1:35" x14ac:dyDescent="0.35">
      <c r="A14" s="63" t="s">
        <v>46</v>
      </c>
      <c r="B14" s="63" t="s">
        <v>1632</v>
      </c>
      <c r="C14" s="64" t="s">
        <v>1646</v>
      </c>
      <c r="D14" s="17" t="s">
        <v>1653</v>
      </c>
      <c r="E14" s="17" t="s">
        <v>1654</v>
      </c>
      <c r="F14" s="20">
        <v>438</v>
      </c>
      <c r="G14" s="20">
        <v>272</v>
      </c>
      <c r="H14" s="19">
        <v>1316</v>
      </c>
      <c r="I14" s="20">
        <v>667</v>
      </c>
      <c r="J14" s="20">
        <v>649</v>
      </c>
      <c r="K14" s="20">
        <v>86</v>
      </c>
      <c r="L14" s="57">
        <f t="shared" si="0"/>
        <v>6.5349544072948323E-2</v>
      </c>
      <c r="M14" s="20">
        <v>76</v>
      </c>
      <c r="N14" s="57">
        <f t="shared" si="1"/>
        <v>5.7750759878419454E-2</v>
      </c>
      <c r="O14" s="46">
        <v>69</v>
      </c>
      <c r="P14" s="46">
        <v>0</v>
      </c>
      <c r="Q14" s="58" t="s">
        <v>51</v>
      </c>
      <c r="R14" s="58">
        <v>2020</v>
      </c>
      <c r="S14" s="58"/>
      <c r="T14" s="58"/>
      <c r="U14" s="58"/>
      <c r="V14" s="58"/>
      <c r="W14" s="58"/>
      <c r="X14" s="58" t="s">
        <v>51</v>
      </c>
      <c r="Y14" s="58"/>
      <c r="Z14" s="58"/>
      <c r="AA14" s="58"/>
      <c r="AB14" s="58"/>
      <c r="AC14" s="58" t="s">
        <v>51</v>
      </c>
      <c r="AD14" s="58"/>
      <c r="AE14" s="58"/>
      <c r="AF14" s="58"/>
      <c r="AG14" s="58"/>
      <c r="AH14" s="58"/>
      <c r="AI14" s="58"/>
    </row>
    <row r="15" spans="1:35" x14ac:dyDescent="0.35">
      <c r="A15" s="63" t="s">
        <v>46</v>
      </c>
      <c r="B15" s="63" t="s">
        <v>1632</v>
      </c>
      <c r="C15" s="64" t="s">
        <v>1655</v>
      </c>
      <c r="D15" s="17" t="s">
        <v>1656</v>
      </c>
      <c r="E15" s="17" t="s">
        <v>1657</v>
      </c>
      <c r="F15" s="20">
        <v>2771</v>
      </c>
      <c r="G15" s="20">
        <v>987</v>
      </c>
      <c r="H15" s="19">
        <v>4747</v>
      </c>
      <c r="I15" s="20">
        <v>2422</v>
      </c>
      <c r="J15" s="20">
        <v>2325</v>
      </c>
      <c r="K15" s="20">
        <v>1102</v>
      </c>
      <c r="L15" s="57">
        <f t="shared" si="0"/>
        <v>0.23214661891721086</v>
      </c>
      <c r="M15" s="20">
        <v>71</v>
      </c>
      <c r="N15" s="57">
        <f t="shared" si="1"/>
        <v>1.4956814830419211E-2</v>
      </c>
      <c r="O15" s="46">
        <v>198</v>
      </c>
      <c r="P15" s="46">
        <v>0</v>
      </c>
      <c r="Q15" s="58" t="s">
        <v>51</v>
      </c>
      <c r="R15" s="58">
        <v>2020</v>
      </c>
      <c r="S15" s="58"/>
      <c r="T15" s="58"/>
      <c r="U15" s="58"/>
      <c r="V15" s="58"/>
      <c r="W15" s="58"/>
      <c r="X15" s="58" t="s">
        <v>51</v>
      </c>
      <c r="Y15" s="58"/>
      <c r="Z15" s="58"/>
      <c r="AA15" s="58"/>
      <c r="AB15" s="58"/>
      <c r="AC15" s="58" t="s">
        <v>51</v>
      </c>
      <c r="AD15" s="58"/>
      <c r="AE15" s="58"/>
      <c r="AF15" s="58"/>
      <c r="AG15" s="58"/>
      <c r="AH15" s="58"/>
      <c r="AI15" s="58"/>
    </row>
    <row r="16" spans="1:35" x14ac:dyDescent="0.35">
      <c r="A16" s="63" t="s">
        <v>46</v>
      </c>
      <c r="B16" s="63" t="s">
        <v>1632</v>
      </c>
      <c r="C16" s="64" t="s">
        <v>1655</v>
      </c>
      <c r="D16" s="17" t="s">
        <v>1146</v>
      </c>
      <c r="E16" s="17" t="s">
        <v>1658</v>
      </c>
      <c r="F16" s="20">
        <v>200</v>
      </c>
      <c r="G16" s="20">
        <v>89</v>
      </c>
      <c r="H16" s="19">
        <v>462</v>
      </c>
      <c r="I16" s="20">
        <v>240</v>
      </c>
      <c r="J16" s="20">
        <v>222</v>
      </c>
      <c r="K16" s="20">
        <v>35</v>
      </c>
      <c r="L16" s="57">
        <f t="shared" si="0"/>
        <v>7.575757575757576E-2</v>
      </c>
      <c r="M16" s="20">
        <v>40</v>
      </c>
      <c r="N16" s="57">
        <f t="shared" si="1"/>
        <v>8.6580086580086577E-2</v>
      </c>
      <c r="O16" s="46">
        <v>0</v>
      </c>
      <c r="P16" s="46">
        <v>0</v>
      </c>
      <c r="Q16" s="58" t="s">
        <v>562</v>
      </c>
      <c r="R16" s="58"/>
      <c r="S16" s="58"/>
      <c r="T16" s="58"/>
      <c r="U16" s="58"/>
      <c r="V16" s="58"/>
      <c r="W16" s="58"/>
      <c r="X16" s="58" t="s">
        <v>562</v>
      </c>
      <c r="Y16" s="58"/>
      <c r="Z16" s="58"/>
      <c r="AA16" s="58"/>
      <c r="AB16" s="58"/>
      <c r="AC16" s="58" t="s">
        <v>562</v>
      </c>
      <c r="AD16" s="58"/>
      <c r="AE16" s="58"/>
      <c r="AF16" s="58"/>
      <c r="AG16" s="58"/>
      <c r="AH16" s="58"/>
      <c r="AI16" s="58"/>
    </row>
    <row r="17" spans="1:35" x14ac:dyDescent="0.35">
      <c r="A17" s="63" t="s">
        <v>46</v>
      </c>
      <c r="B17" s="63" t="s">
        <v>1632</v>
      </c>
      <c r="C17" s="64" t="s">
        <v>1646</v>
      </c>
      <c r="D17" s="17" t="s">
        <v>1659</v>
      </c>
      <c r="E17" s="17" t="s">
        <v>1660</v>
      </c>
      <c r="F17" s="20">
        <v>386</v>
      </c>
      <c r="G17" s="20">
        <v>106</v>
      </c>
      <c r="H17" s="19">
        <v>473</v>
      </c>
      <c r="I17" s="20">
        <v>253</v>
      </c>
      <c r="J17" s="20">
        <v>220</v>
      </c>
      <c r="K17" s="20">
        <v>86</v>
      </c>
      <c r="L17" s="57">
        <f t="shared" si="0"/>
        <v>0.18181818181818182</v>
      </c>
      <c r="M17" s="20">
        <v>2</v>
      </c>
      <c r="N17" s="57">
        <f t="shared" si="1"/>
        <v>4.2283298097251587E-3</v>
      </c>
      <c r="O17" s="46">
        <v>22</v>
      </c>
      <c r="P17" s="46">
        <v>0</v>
      </c>
      <c r="Q17" s="58" t="s">
        <v>51</v>
      </c>
      <c r="R17" s="58">
        <v>2019</v>
      </c>
      <c r="S17" s="58"/>
      <c r="T17" s="58"/>
      <c r="U17" s="58"/>
      <c r="V17" s="58"/>
      <c r="W17" s="58"/>
      <c r="X17" s="58" t="s">
        <v>51</v>
      </c>
      <c r="Y17" s="58"/>
      <c r="Z17" s="58"/>
      <c r="AA17" s="58"/>
      <c r="AB17" s="58"/>
      <c r="AC17" s="58" t="s">
        <v>51</v>
      </c>
      <c r="AD17" s="58"/>
      <c r="AE17" s="58"/>
      <c r="AF17" s="58"/>
      <c r="AG17" s="58"/>
      <c r="AH17" s="58"/>
      <c r="AI17" s="58"/>
    </row>
    <row r="18" spans="1:35" x14ac:dyDescent="0.35">
      <c r="A18" s="63" t="s">
        <v>46</v>
      </c>
      <c r="B18" s="63" t="s">
        <v>1632</v>
      </c>
      <c r="C18" s="64" t="s">
        <v>1661</v>
      </c>
      <c r="D18" s="17" t="s">
        <v>1662</v>
      </c>
      <c r="E18" s="17" t="s">
        <v>1663</v>
      </c>
      <c r="F18" s="20">
        <v>863</v>
      </c>
      <c r="G18" s="20">
        <v>252</v>
      </c>
      <c r="H18" s="19">
        <v>1304</v>
      </c>
      <c r="I18" s="20">
        <v>677</v>
      </c>
      <c r="J18" s="20">
        <v>627</v>
      </c>
      <c r="K18" s="20">
        <v>70</v>
      </c>
      <c r="L18" s="57">
        <f t="shared" si="0"/>
        <v>5.3680981595092027E-2</v>
      </c>
      <c r="M18" s="20">
        <v>309</v>
      </c>
      <c r="N18" s="57">
        <f t="shared" si="1"/>
        <v>0.23696319018404907</v>
      </c>
      <c r="O18" s="46">
        <v>151</v>
      </c>
      <c r="P18" s="46">
        <v>0</v>
      </c>
      <c r="Q18" s="58" t="s">
        <v>51</v>
      </c>
      <c r="R18" s="58">
        <v>2019</v>
      </c>
      <c r="S18" s="58"/>
      <c r="T18" s="58"/>
      <c r="U18" s="58"/>
      <c r="V18" s="58"/>
      <c r="W18" s="58"/>
      <c r="X18" s="58" t="s">
        <v>51</v>
      </c>
      <c r="Y18" s="58"/>
      <c r="Z18" s="58"/>
      <c r="AA18" s="58"/>
      <c r="AB18" s="58"/>
      <c r="AC18" s="58" t="s">
        <v>51</v>
      </c>
      <c r="AD18" s="58"/>
      <c r="AE18" s="58"/>
      <c r="AF18" s="58"/>
      <c r="AG18" s="58"/>
      <c r="AH18" s="58"/>
      <c r="AI18" s="58"/>
    </row>
    <row r="19" spans="1:35" x14ac:dyDescent="0.35">
      <c r="A19" s="63" t="s">
        <v>46</v>
      </c>
      <c r="B19" s="63" t="s">
        <v>1632</v>
      </c>
      <c r="C19" s="64" t="s">
        <v>1646</v>
      </c>
      <c r="D19" s="17" t="s">
        <v>1664</v>
      </c>
      <c r="E19" s="17" t="s">
        <v>1665</v>
      </c>
      <c r="F19" s="20">
        <v>438</v>
      </c>
      <c r="G19" s="20">
        <v>143</v>
      </c>
      <c r="H19" s="19">
        <v>768</v>
      </c>
      <c r="I19" s="20">
        <v>392</v>
      </c>
      <c r="J19" s="20">
        <v>376</v>
      </c>
      <c r="K19" s="20">
        <v>94</v>
      </c>
      <c r="L19" s="57">
        <f t="shared" si="0"/>
        <v>0.12239583333333333</v>
      </c>
      <c r="M19" s="20">
        <v>131</v>
      </c>
      <c r="N19" s="57">
        <f t="shared" si="1"/>
        <v>0.17057291666666666</v>
      </c>
      <c r="O19" s="46">
        <v>32</v>
      </c>
      <c r="P19" s="46">
        <v>0</v>
      </c>
      <c r="Q19" s="58" t="s">
        <v>51</v>
      </c>
      <c r="R19" s="58">
        <v>2019</v>
      </c>
      <c r="S19" s="58"/>
      <c r="T19" s="58"/>
      <c r="U19" s="58"/>
      <c r="V19" s="58"/>
      <c r="W19" s="58"/>
      <c r="X19" s="58" t="s">
        <v>51</v>
      </c>
      <c r="Y19" s="58"/>
      <c r="Z19" s="58"/>
      <c r="AA19" s="58"/>
      <c r="AB19" s="58"/>
      <c r="AC19" s="58" t="s">
        <v>51</v>
      </c>
      <c r="AD19" s="58"/>
      <c r="AE19" s="58"/>
      <c r="AF19" s="58"/>
      <c r="AG19" s="58"/>
      <c r="AH19" s="58"/>
      <c r="AI19" s="58"/>
    </row>
    <row r="20" spans="1:35" x14ac:dyDescent="0.35">
      <c r="A20" s="63" t="s">
        <v>46</v>
      </c>
      <c r="B20" s="63" t="s">
        <v>1632</v>
      </c>
      <c r="C20" s="64" t="s">
        <v>1661</v>
      </c>
      <c r="D20" s="17" t="s">
        <v>1666</v>
      </c>
      <c r="E20" s="17" t="s">
        <v>1667</v>
      </c>
      <c r="F20" s="20">
        <v>264</v>
      </c>
      <c r="G20" s="20">
        <v>80</v>
      </c>
      <c r="H20" s="19">
        <v>308</v>
      </c>
      <c r="I20" s="20">
        <v>147</v>
      </c>
      <c r="J20" s="20">
        <v>161</v>
      </c>
      <c r="K20" s="20">
        <v>34</v>
      </c>
      <c r="L20" s="57">
        <f t="shared" si="0"/>
        <v>0.11038961038961038</v>
      </c>
      <c r="M20" s="20">
        <v>184</v>
      </c>
      <c r="N20" s="57">
        <f t="shared" si="1"/>
        <v>0.59740259740259738</v>
      </c>
      <c r="O20" s="46">
        <v>16</v>
      </c>
      <c r="P20" s="46">
        <v>0</v>
      </c>
      <c r="Q20" s="58" t="s">
        <v>51</v>
      </c>
      <c r="R20" s="58">
        <v>2019</v>
      </c>
      <c r="S20" s="58"/>
      <c r="T20" s="58"/>
      <c r="U20" s="58"/>
      <c r="V20" s="58"/>
      <c r="W20" s="58"/>
      <c r="X20" s="58" t="s">
        <v>51</v>
      </c>
      <c r="Y20" s="58"/>
      <c r="Z20" s="58"/>
      <c r="AA20" s="58"/>
      <c r="AB20" s="58"/>
      <c r="AC20" s="58" t="s">
        <v>51</v>
      </c>
      <c r="AD20" s="58"/>
      <c r="AE20" s="58"/>
      <c r="AF20" s="58"/>
      <c r="AG20" s="58"/>
      <c r="AH20" s="58"/>
      <c r="AI20" s="58"/>
    </row>
    <row r="21" spans="1:35" x14ac:dyDescent="0.35">
      <c r="A21" s="63" t="s">
        <v>46</v>
      </c>
      <c r="B21" s="63" t="s">
        <v>1632</v>
      </c>
      <c r="C21" s="64" t="s">
        <v>1646</v>
      </c>
      <c r="D21" s="17" t="s">
        <v>1668</v>
      </c>
      <c r="E21" s="17" t="s">
        <v>1669</v>
      </c>
      <c r="F21" s="20">
        <v>730</v>
      </c>
      <c r="G21" s="20">
        <v>186</v>
      </c>
      <c r="H21" s="19">
        <v>878</v>
      </c>
      <c r="I21" s="20">
        <v>450</v>
      </c>
      <c r="J21" s="20">
        <v>428</v>
      </c>
      <c r="K21" s="20">
        <v>109</v>
      </c>
      <c r="L21" s="57">
        <f t="shared" si="0"/>
        <v>0.12414578587699317</v>
      </c>
      <c r="M21" s="20">
        <v>169</v>
      </c>
      <c r="N21" s="57">
        <f t="shared" si="1"/>
        <v>0.19248291571753987</v>
      </c>
      <c r="O21" s="46">
        <v>63</v>
      </c>
      <c r="P21" s="46">
        <v>0</v>
      </c>
      <c r="Q21" s="58" t="s">
        <v>51</v>
      </c>
      <c r="R21" s="58">
        <v>2019</v>
      </c>
      <c r="S21" s="58"/>
      <c r="T21" s="58"/>
      <c r="U21" s="58"/>
      <c r="V21" s="58"/>
      <c r="W21" s="58"/>
      <c r="X21" s="58" t="s">
        <v>51</v>
      </c>
      <c r="Y21" s="58"/>
      <c r="Z21" s="58"/>
      <c r="AA21" s="58"/>
      <c r="AB21" s="58"/>
      <c r="AC21" s="58" t="s">
        <v>51</v>
      </c>
      <c r="AD21" s="58"/>
      <c r="AE21" s="58"/>
      <c r="AF21" s="58"/>
      <c r="AG21" s="58"/>
      <c r="AH21" s="58"/>
      <c r="AI21" s="58"/>
    </row>
    <row r="22" spans="1:35" x14ac:dyDescent="0.35">
      <c r="A22" s="63" t="s">
        <v>46</v>
      </c>
      <c r="B22" s="63" t="s">
        <v>1632</v>
      </c>
      <c r="C22" s="64" t="s">
        <v>1670</v>
      </c>
      <c r="D22" s="17" t="s">
        <v>1671</v>
      </c>
      <c r="E22" s="17" t="s">
        <v>1672</v>
      </c>
      <c r="F22" s="28">
        <v>127</v>
      </c>
      <c r="G22" s="47"/>
      <c r="H22" s="19">
        <v>0</v>
      </c>
      <c r="I22" s="47"/>
      <c r="J22" s="47"/>
      <c r="K22" s="47"/>
      <c r="L22" s="57"/>
      <c r="M22" s="47"/>
      <c r="N22" s="57"/>
      <c r="O22" s="48">
        <v>6</v>
      </c>
      <c r="P22" s="48">
        <v>0</v>
      </c>
      <c r="Q22" s="58" t="s">
        <v>112</v>
      </c>
      <c r="R22" s="58"/>
      <c r="S22" s="58"/>
      <c r="T22" s="58"/>
      <c r="U22" s="58"/>
      <c r="V22" s="58"/>
      <c r="W22" s="58"/>
      <c r="X22" s="58" t="s">
        <v>112</v>
      </c>
      <c r="Y22" s="58"/>
      <c r="Z22" s="58"/>
      <c r="AA22" s="58"/>
      <c r="AB22" s="58"/>
      <c r="AC22" s="58" t="s">
        <v>112</v>
      </c>
      <c r="AD22" s="58"/>
      <c r="AE22" s="58"/>
      <c r="AF22" s="58"/>
      <c r="AG22" s="58"/>
      <c r="AH22" s="58"/>
      <c r="AI22" s="58"/>
    </row>
    <row r="23" spans="1:35" x14ac:dyDescent="0.35">
      <c r="A23" s="63" t="s">
        <v>46</v>
      </c>
      <c r="B23" s="63" t="s">
        <v>1632</v>
      </c>
      <c r="C23" s="64" t="s">
        <v>1673</v>
      </c>
      <c r="D23" s="17" t="s">
        <v>1674</v>
      </c>
      <c r="E23" s="17" t="s">
        <v>1675</v>
      </c>
      <c r="F23" s="20">
        <v>811</v>
      </c>
      <c r="G23" s="20">
        <v>290</v>
      </c>
      <c r="H23" s="19">
        <v>1281</v>
      </c>
      <c r="I23" s="20">
        <v>632</v>
      </c>
      <c r="J23" s="20">
        <v>649</v>
      </c>
      <c r="K23" s="20">
        <v>136</v>
      </c>
      <c r="L23" s="57">
        <f t="shared" ref="L23:L43" si="2">K23/H23</f>
        <v>0.10616705698672912</v>
      </c>
      <c r="M23" s="20">
        <v>113</v>
      </c>
      <c r="N23" s="57">
        <f t="shared" ref="N23:N43" si="3">M23/H23</f>
        <v>8.8212334113973459E-2</v>
      </c>
      <c r="O23" s="46">
        <v>64</v>
      </c>
      <c r="P23" s="46">
        <v>0</v>
      </c>
      <c r="Q23" s="58" t="s">
        <v>51</v>
      </c>
      <c r="R23" s="58">
        <v>2019</v>
      </c>
      <c r="S23" s="58"/>
      <c r="T23" s="58"/>
      <c r="U23" s="58"/>
      <c r="V23" s="58"/>
      <c r="W23" s="58"/>
      <c r="X23" s="58" t="s">
        <v>51</v>
      </c>
      <c r="Y23" s="58"/>
      <c r="Z23" s="58"/>
      <c r="AA23" s="58"/>
      <c r="AB23" s="58"/>
      <c r="AC23" s="58" t="s">
        <v>51</v>
      </c>
      <c r="AD23" s="58"/>
      <c r="AE23" s="58"/>
      <c r="AF23" s="58"/>
      <c r="AG23" s="58"/>
      <c r="AH23" s="58"/>
      <c r="AI23" s="58"/>
    </row>
    <row r="24" spans="1:35" x14ac:dyDescent="0.35">
      <c r="A24" s="63" t="s">
        <v>46</v>
      </c>
      <c r="B24" s="63" t="s">
        <v>1632</v>
      </c>
      <c r="C24" s="64" t="s">
        <v>1676</v>
      </c>
      <c r="D24" s="17" t="s">
        <v>1677</v>
      </c>
      <c r="E24" s="17" t="s">
        <v>1678</v>
      </c>
      <c r="F24" s="20">
        <v>305</v>
      </c>
      <c r="G24" s="20">
        <v>157</v>
      </c>
      <c r="H24" s="19">
        <v>667</v>
      </c>
      <c r="I24" s="20">
        <v>341</v>
      </c>
      <c r="J24" s="20">
        <v>326</v>
      </c>
      <c r="K24" s="20">
        <v>89</v>
      </c>
      <c r="L24" s="57">
        <f t="shared" si="2"/>
        <v>0.13343328335832083</v>
      </c>
      <c r="M24" s="20">
        <v>45</v>
      </c>
      <c r="N24" s="57">
        <f t="shared" si="3"/>
        <v>6.7466266866566718E-2</v>
      </c>
      <c r="O24" s="46">
        <v>24</v>
      </c>
      <c r="P24" s="46">
        <v>0</v>
      </c>
      <c r="Q24" s="58" t="s">
        <v>51</v>
      </c>
      <c r="R24" s="58">
        <v>2019</v>
      </c>
      <c r="S24" s="58"/>
      <c r="T24" s="58"/>
      <c r="U24" s="58"/>
      <c r="V24" s="58"/>
      <c r="W24" s="58"/>
      <c r="X24" s="58" t="s">
        <v>51</v>
      </c>
      <c r="Y24" s="58"/>
      <c r="Z24" s="58"/>
      <c r="AA24" s="58"/>
      <c r="AB24" s="58"/>
      <c r="AC24" s="58" t="s">
        <v>51</v>
      </c>
      <c r="AD24" s="58"/>
      <c r="AE24" s="58"/>
      <c r="AF24" s="58"/>
      <c r="AG24" s="58"/>
      <c r="AH24" s="58"/>
      <c r="AI24" s="58"/>
    </row>
    <row r="25" spans="1:35" x14ac:dyDescent="0.35">
      <c r="A25" s="63" t="s">
        <v>46</v>
      </c>
      <c r="B25" s="63" t="s">
        <v>1632</v>
      </c>
      <c r="C25" s="64" t="s">
        <v>1676</v>
      </c>
      <c r="D25" s="17" t="s">
        <v>1099</v>
      </c>
      <c r="E25" s="17" t="s">
        <v>1679</v>
      </c>
      <c r="F25" s="20">
        <v>111</v>
      </c>
      <c r="G25" s="20">
        <v>11</v>
      </c>
      <c r="H25" s="19">
        <v>49</v>
      </c>
      <c r="I25" s="20">
        <v>26</v>
      </c>
      <c r="J25" s="20">
        <v>23</v>
      </c>
      <c r="K25" s="20">
        <v>1</v>
      </c>
      <c r="L25" s="57">
        <f t="shared" si="2"/>
        <v>2.0408163265306121E-2</v>
      </c>
      <c r="M25" s="20">
        <v>0</v>
      </c>
      <c r="N25" s="57">
        <f t="shared" si="3"/>
        <v>0</v>
      </c>
      <c r="O25" s="46">
        <v>0</v>
      </c>
      <c r="P25" s="46">
        <v>0</v>
      </c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</row>
    <row r="26" spans="1:35" x14ac:dyDescent="0.35">
      <c r="A26" s="63" t="s">
        <v>46</v>
      </c>
      <c r="B26" s="63" t="s">
        <v>1632</v>
      </c>
      <c r="C26" s="64" t="s">
        <v>1661</v>
      </c>
      <c r="D26" s="17" t="s">
        <v>1680</v>
      </c>
      <c r="E26" s="17" t="s">
        <v>1681</v>
      </c>
      <c r="F26" s="20">
        <v>344</v>
      </c>
      <c r="G26" s="20">
        <v>94</v>
      </c>
      <c r="H26" s="19">
        <v>397</v>
      </c>
      <c r="I26" s="20">
        <v>192</v>
      </c>
      <c r="J26" s="20">
        <v>205</v>
      </c>
      <c r="K26" s="20">
        <v>48</v>
      </c>
      <c r="L26" s="57">
        <f t="shared" si="2"/>
        <v>0.12090680100755667</v>
      </c>
      <c r="M26" s="20">
        <v>84</v>
      </c>
      <c r="N26" s="57">
        <f t="shared" si="3"/>
        <v>0.21158690176322417</v>
      </c>
      <c r="O26" s="46">
        <v>42</v>
      </c>
      <c r="P26" s="46">
        <v>0</v>
      </c>
      <c r="Q26" s="58" t="s">
        <v>51</v>
      </c>
      <c r="R26" s="58">
        <v>2019</v>
      </c>
      <c r="S26" s="58"/>
      <c r="T26" s="58"/>
      <c r="U26" s="58"/>
      <c r="V26" s="58"/>
      <c r="W26" s="58"/>
      <c r="X26" s="58" t="s">
        <v>51</v>
      </c>
      <c r="Y26" s="58"/>
      <c r="Z26" s="58"/>
      <c r="AA26" s="58"/>
      <c r="AB26" s="58"/>
      <c r="AC26" s="58" t="s">
        <v>51</v>
      </c>
      <c r="AD26" s="58"/>
      <c r="AE26" s="58"/>
      <c r="AF26" s="58"/>
      <c r="AG26" s="58"/>
      <c r="AH26" s="58"/>
      <c r="AI26" s="58"/>
    </row>
    <row r="27" spans="1:35" x14ac:dyDescent="0.35">
      <c r="A27" s="63" t="s">
        <v>46</v>
      </c>
      <c r="B27" s="63" t="s">
        <v>1632</v>
      </c>
      <c r="C27" s="64" t="s">
        <v>1661</v>
      </c>
      <c r="D27" s="17" t="s">
        <v>1682</v>
      </c>
      <c r="E27" s="17" t="s">
        <v>1683</v>
      </c>
      <c r="F27" s="20">
        <v>75</v>
      </c>
      <c r="G27" s="20">
        <v>32</v>
      </c>
      <c r="H27" s="19">
        <v>143</v>
      </c>
      <c r="I27" s="20">
        <v>79</v>
      </c>
      <c r="J27" s="20">
        <v>64</v>
      </c>
      <c r="K27" s="20">
        <v>6</v>
      </c>
      <c r="L27" s="57">
        <f t="shared" si="2"/>
        <v>4.195804195804196E-2</v>
      </c>
      <c r="M27" s="20">
        <v>23</v>
      </c>
      <c r="N27" s="57">
        <f t="shared" si="3"/>
        <v>0.16083916083916083</v>
      </c>
      <c r="O27" s="46">
        <v>10</v>
      </c>
      <c r="P27" s="46">
        <v>0</v>
      </c>
      <c r="Q27" s="58" t="s">
        <v>51</v>
      </c>
      <c r="R27" s="58">
        <v>2019</v>
      </c>
      <c r="S27" s="58"/>
      <c r="T27" s="58"/>
      <c r="U27" s="58"/>
      <c r="V27" s="58"/>
      <c r="W27" s="58"/>
      <c r="X27" s="58" t="s">
        <v>51</v>
      </c>
      <c r="Y27" s="58"/>
      <c r="Z27" s="58"/>
      <c r="AA27" s="58"/>
      <c r="AB27" s="58"/>
      <c r="AC27" s="58" t="s">
        <v>51</v>
      </c>
      <c r="AD27" s="58"/>
      <c r="AE27" s="58"/>
      <c r="AF27" s="58"/>
      <c r="AG27" s="58"/>
      <c r="AH27" s="58"/>
      <c r="AI27" s="58"/>
    </row>
    <row r="28" spans="1:35" x14ac:dyDescent="0.35">
      <c r="A28" s="63" t="s">
        <v>46</v>
      </c>
      <c r="B28" s="63" t="s">
        <v>1632</v>
      </c>
      <c r="C28" s="64" t="s">
        <v>1661</v>
      </c>
      <c r="D28" s="17" t="s">
        <v>1684</v>
      </c>
      <c r="E28" s="17" t="s">
        <v>1685</v>
      </c>
      <c r="F28" s="20">
        <v>811</v>
      </c>
      <c r="G28" s="20">
        <v>257</v>
      </c>
      <c r="H28" s="19">
        <v>1196</v>
      </c>
      <c r="I28" s="20">
        <v>569</v>
      </c>
      <c r="J28" s="20">
        <v>627</v>
      </c>
      <c r="K28" s="20">
        <v>213</v>
      </c>
      <c r="L28" s="57">
        <f t="shared" si="2"/>
        <v>0.17809364548494983</v>
      </c>
      <c r="M28" s="20">
        <v>338</v>
      </c>
      <c r="N28" s="57">
        <f t="shared" si="3"/>
        <v>0.28260869565217389</v>
      </c>
      <c r="O28" s="46">
        <v>72</v>
      </c>
      <c r="P28" s="46">
        <v>0</v>
      </c>
      <c r="Q28" s="58" t="s">
        <v>51</v>
      </c>
      <c r="R28" s="58">
        <v>2019</v>
      </c>
      <c r="S28" s="58"/>
      <c r="T28" s="58"/>
      <c r="U28" s="58"/>
      <c r="V28" s="58"/>
      <c r="W28" s="58"/>
      <c r="X28" s="58" t="s">
        <v>51</v>
      </c>
      <c r="Y28" s="58"/>
      <c r="Z28" s="58"/>
      <c r="AA28" s="58"/>
      <c r="AB28" s="58"/>
      <c r="AC28" s="58" t="s">
        <v>51</v>
      </c>
      <c r="AD28" s="58"/>
      <c r="AE28" s="58"/>
      <c r="AF28" s="58"/>
      <c r="AG28" s="58"/>
      <c r="AH28" s="58"/>
      <c r="AI28" s="58"/>
    </row>
    <row r="29" spans="1:35" x14ac:dyDescent="0.35">
      <c r="A29" s="63" t="s">
        <v>46</v>
      </c>
      <c r="B29" s="63" t="s">
        <v>1632</v>
      </c>
      <c r="C29" s="64" t="s">
        <v>1686</v>
      </c>
      <c r="D29" s="17" t="s">
        <v>1687</v>
      </c>
      <c r="E29" s="17" t="s">
        <v>1688</v>
      </c>
      <c r="F29" s="20">
        <v>401</v>
      </c>
      <c r="G29" s="20">
        <v>140</v>
      </c>
      <c r="H29" s="19">
        <v>673</v>
      </c>
      <c r="I29" s="20">
        <v>342</v>
      </c>
      <c r="J29" s="20">
        <v>331</v>
      </c>
      <c r="K29" s="20">
        <v>168</v>
      </c>
      <c r="L29" s="57">
        <f t="shared" si="2"/>
        <v>0.24962852897473997</v>
      </c>
      <c r="M29" s="20">
        <v>94</v>
      </c>
      <c r="N29" s="57">
        <f t="shared" si="3"/>
        <v>0.13967310549777118</v>
      </c>
      <c r="O29" s="46">
        <v>65</v>
      </c>
      <c r="P29" s="46">
        <v>0</v>
      </c>
      <c r="Q29" s="58" t="s">
        <v>51</v>
      </c>
      <c r="R29" s="58">
        <v>2019</v>
      </c>
      <c r="S29" s="58"/>
      <c r="T29" s="58"/>
      <c r="U29" s="58"/>
      <c r="V29" s="58"/>
      <c r="W29" s="58"/>
      <c r="X29" s="58" t="s">
        <v>51</v>
      </c>
      <c r="Y29" s="58"/>
      <c r="Z29" s="58"/>
      <c r="AA29" s="58"/>
      <c r="AB29" s="58"/>
      <c r="AC29" s="58" t="s">
        <v>51</v>
      </c>
      <c r="AD29" s="58"/>
      <c r="AE29" s="58"/>
      <c r="AF29" s="58"/>
      <c r="AG29" s="58"/>
      <c r="AH29" s="58"/>
      <c r="AI29" s="58"/>
    </row>
    <row r="30" spans="1:35" x14ac:dyDescent="0.35">
      <c r="A30" s="63" t="s">
        <v>46</v>
      </c>
      <c r="B30" s="63" t="s">
        <v>1632</v>
      </c>
      <c r="C30" s="64" t="s">
        <v>1686</v>
      </c>
      <c r="D30" s="17" t="s">
        <v>1689</v>
      </c>
      <c r="E30" s="17" t="s">
        <v>1690</v>
      </c>
      <c r="F30" s="20">
        <v>202</v>
      </c>
      <c r="G30" s="20">
        <v>113</v>
      </c>
      <c r="H30" s="19">
        <v>519</v>
      </c>
      <c r="I30" s="20">
        <v>272</v>
      </c>
      <c r="J30" s="20">
        <v>247</v>
      </c>
      <c r="K30" s="20">
        <v>10</v>
      </c>
      <c r="L30" s="57">
        <f t="shared" si="2"/>
        <v>1.9267822736030827E-2</v>
      </c>
      <c r="M30" s="20">
        <v>254</v>
      </c>
      <c r="N30" s="57">
        <f t="shared" si="3"/>
        <v>0.48940269749518306</v>
      </c>
      <c r="O30" s="46">
        <v>12</v>
      </c>
      <c r="P30" s="46">
        <v>0</v>
      </c>
      <c r="Q30" s="58" t="s">
        <v>51</v>
      </c>
      <c r="R30" s="58">
        <v>2019</v>
      </c>
      <c r="S30" s="58"/>
      <c r="T30" s="58"/>
      <c r="U30" s="58"/>
      <c r="V30" s="58"/>
      <c r="W30" s="58"/>
      <c r="X30" s="58" t="s">
        <v>51</v>
      </c>
      <c r="Y30" s="58"/>
      <c r="Z30" s="58"/>
      <c r="AA30" s="58"/>
      <c r="AB30" s="58"/>
      <c r="AC30" s="58" t="s">
        <v>51</v>
      </c>
      <c r="AD30" s="58"/>
      <c r="AE30" s="58"/>
      <c r="AF30" s="58"/>
      <c r="AG30" s="58"/>
      <c r="AH30" s="58"/>
      <c r="AI30" s="58"/>
    </row>
    <row r="31" spans="1:35" ht="15.5" x14ac:dyDescent="0.35">
      <c r="A31" s="63" t="s">
        <v>46</v>
      </c>
      <c r="B31" s="63" t="s">
        <v>1632</v>
      </c>
      <c r="C31" s="64" t="s">
        <v>1691</v>
      </c>
      <c r="D31" s="17" t="s">
        <v>805</v>
      </c>
      <c r="E31" s="17" t="s">
        <v>1692</v>
      </c>
      <c r="F31" s="20">
        <v>1049</v>
      </c>
      <c r="G31" s="20">
        <v>214</v>
      </c>
      <c r="H31" s="19">
        <v>1020</v>
      </c>
      <c r="I31" s="20">
        <v>534</v>
      </c>
      <c r="J31" s="20">
        <v>486</v>
      </c>
      <c r="K31" s="20">
        <v>143</v>
      </c>
      <c r="L31" s="57">
        <f t="shared" si="2"/>
        <v>0.14019607843137255</v>
      </c>
      <c r="M31" s="20">
        <v>199</v>
      </c>
      <c r="N31" s="57">
        <f t="shared" si="3"/>
        <v>0.19509803921568628</v>
      </c>
      <c r="O31" s="46">
        <v>71</v>
      </c>
      <c r="P31" s="46">
        <v>0</v>
      </c>
      <c r="Q31" s="58" t="s">
        <v>51</v>
      </c>
      <c r="R31" s="66">
        <v>2019</v>
      </c>
      <c r="S31" s="58"/>
      <c r="T31" s="58"/>
      <c r="U31" s="58"/>
      <c r="V31" s="58"/>
      <c r="W31" s="58"/>
      <c r="X31" s="58" t="s">
        <v>51</v>
      </c>
      <c r="Y31" s="58"/>
      <c r="Z31" s="58"/>
      <c r="AA31" s="58"/>
      <c r="AB31" s="58"/>
      <c r="AC31" s="58" t="s">
        <v>51</v>
      </c>
      <c r="AD31" s="58"/>
      <c r="AE31" s="58"/>
      <c r="AF31" s="58"/>
      <c r="AG31" s="58"/>
      <c r="AH31" s="58"/>
      <c r="AI31" s="58"/>
    </row>
    <row r="32" spans="1:35" ht="15.5" x14ac:dyDescent="0.35">
      <c r="A32" s="63" t="s">
        <v>46</v>
      </c>
      <c r="B32" s="63" t="s">
        <v>1632</v>
      </c>
      <c r="C32" s="64" t="s">
        <v>1686</v>
      </c>
      <c r="D32" s="17" t="s">
        <v>183</v>
      </c>
      <c r="E32" s="17" t="s">
        <v>1693</v>
      </c>
      <c r="F32" s="20">
        <v>408</v>
      </c>
      <c r="G32" s="20">
        <v>141</v>
      </c>
      <c r="H32" s="19">
        <v>600</v>
      </c>
      <c r="I32" s="20">
        <v>304</v>
      </c>
      <c r="J32" s="20">
        <v>296</v>
      </c>
      <c r="K32" s="20">
        <v>52</v>
      </c>
      <c r="L32" s="57">
        <f t="shared" si="2"/>
        <v>8.666666666666667E-2</v>
      </c>
      <c r="M32" s="20">
        <v>228</v>
      </c>
      <c r="N32" s="57">
        <f t="shared" si="3"/>
        <v>0.38</v>
      </c>
      <c r="O32" s="46">
        <v>72</v>
      </c>
      <c r="P32" s="46">
        <v>0</v>
      </c>
      <c r="Q32" s="58" t="s">
        <v>51</v>
      </c>
      <c r="R32" s="66">
        <v>2019</v>
      </c>
      <c r="S32" s="58"/>
      <c r="T32" s="58"/>
      <c r="U32" s="58"/>
      <c r="V32" s="58"/>
      <c r="W32" s="58"/>
      <c r="X32" s="58" t="s">
        <v>51</v>
      </c>
      <c r="Y32" s="58"/>
      <c r="Z32" s="58"/>
      <c r="AA32" s="58"/>
      <c r="AB32" s="58"/>
      <c r="AC32" s="58" t="s">
        <v>51</v>
      </c>
      <c r="AD32" s="58"/>
      <c r="AE32" s="58"/>
      <c r="AF32" s="58"/>
      <c r="AG32" s="58"/>
      <c r="AH32" s="58"/>
      <c r="AI32" s="58"/>
    </row>
    <row r="33" spans="1:35" ht="15.5" x14ac:dyDescent="0.35">
      <c r="A33" s="63" t="s">
        <v>46</v>
      </c>
      <c r="B33" s="63" t="s">
        <v>1632</v>
      </c>
      <c r="C33" s="64" t="s">
        <v>1686</v>
      </c>
      <c r="D33" s="17" t="s">
        <v>1694</v>
      </c>
      <c r="E33" s="17" t="s">
        <v>1695</v>
      </c>
      <c r="F33" s="20">
        <v>205</v>
      </c>
      <c r="G33" s="20">
        <v>74</v>
      </c>
      <c r="H33" s="19">
        <v>345</v>
      </c>
      <c r="I33" s="20">
        <v>171</v>
      </c>
      <c r="J33" s="20">
        <v>174</v>
      </c>
      <c r="K33" s="20">
        <v>88</v>
      </c>
      <c r="L33" s="57">
        <f t="shared" si="2"/>
        <v>0.25507246376811593</v>
      </c>
      <c r="M33" s="20">
        <v>44</v>
      </c>
      <c r="N33" s="57">
        <f t="shared" si="3"/>
        <v>0.12753623188405797</v>
      </c>
      <c r="O33" s="46">
        <v>8</v>
      </c>
      <c r="P33" s="46">
        <v>0</v>
      </c>
      <c r="Q33" s="58" t="s">
        <v>51</v>
      </c>
      <c r="R33" s="66">
        <v>2019</v>
      </c>
      <c r="S33" s="58"/>
      <c r="T33" s="58"/>
      <c r="U33" s="58"/>
      <c r="V33" s="58"/>
      <c r="W33" s="58"/>
      <c r="X33" s="58" t="s">
        <v>51</v>
      </c>
      <c r="Y33" s="58"/>
      <c r="Z33" s="58"/>
      <c r="AA33" s="58"/>
      <c r="AB33" s="58"/>
      <c r="AC33" s="58" t="s">
        <v>51</v>
      </c>
      <c r="AD33" s="58"/>
      <c r="AE33" s="58"/>
      <c r="AF33" s="58"/>
      <c r="AG33" s="58"/>
      <c r="AH33" s="58"/>
      <c r="AI33" s="58"/>
    </row>
    <row r="34" spans="1:35" x14ac:dyDescent="0.35">
      <c r="A34" s="63" t="s">
        <v>46</v>
      </c>
      <c r="B34" s="63" t="s">
        <v>1632</v>
      </c>
      <c r="C34" s="64" t="s">
        <v>1696</v>
      </c>
      <c r="D34" s="17" t="s">
        <v>1697</v>
      </c>
      <c r="E34" s="17" t="s">
        <v>1698</v>
      </c>
      <c r="F34" s="20">
        <v>1557</v>
      </c>
      <c r="G34" s="20">
        <v>1123</v>
      </c>
      <c r="H34" s="19">
        <v>5558</v>
      </c>
      <c r="I34" s="20">
        <v>2838</v>
      </c>
      <c r="J34" s="20">
        <v>2720</v>
      </c>
      <c r="K34" s="20">
        <v>896</v>
      </c>
      <c r="L34" s="57">
        <f t="shared" si="2"/>
        <v>0.16120906801007556</v>
      </c>
      <c r="M34" s="20">
        <v>497</v>
      </c>
      <c r="N34" s="57">
        <f t="shared" si="3"/>
        <v>8.9420654911838787E-2</v>
      </c>
      <c r="O34" s="46">
        <v>95</v>
      </c>
      <c r="P34" s="46">
        <v>0</v>
      </c>
      <c r="Q34" s="58" t="s">
        <v>51</v>
      </c>
      <c r="R34" s="58">
        <v>2019</v>
      </c>
      <c r="S34" s="58"/>
      <c r="T34" s="58"/>
      <c r="U34" s="58"/>
      <c r="V34" s="58"/>
      <c r="W34" s="58"/>
      <c r="X34" s="58" t="s">
        <v>51</v>
      </c>
      <c r="Y34" s="58"/>
      <c r="Z34" s="58"/>
      <c r="AA34" s="58"/>
      <c r="AB34" s="58"/>
      <c r="AC34" s="58" t="s">
        <v>51</v>
      </c>
      <c r="AD34" s="58"/>
      <c r="AE34" s="58"/>
      <c r="AF34" s="58"/>
      <c r="AG34" s="58"/>
      <c r="AH34" s="58"/>
      <c r="AI34" s="58"/>
    </row>
    <row r="35" spans="1:35" x14ac:dyDescent="0.35">
      <c r="A35" s="63" t="s">
        <v>46</v>
      </c>
      <c r="B35" s="63" t="s">
        <v>1632</v>
      </c>
      <c r="C35" s="64" t="s">
        <v>1699</v>
      </c>
      <c r="D35" s="17" t="s">
        <v>1700</v>
      </c>
      <c r="E35" s="17" t="s">
        <v>1701</v>
      </c>
      <c r="F35" s="20">
        <v>540</v>
      </c>
      <c r="G35" s="20">
        <v>307</v>
      </c>
      <c r="H35" s="19">
        <v>1435</v>
      </c>
      <c r="I35" s="20">
        <v>696</v>
      </c>
      <c r="J35" s="20">
        <v>739</v>
      </c>
      <c r="K35" s="20">
        <v>230</v>
      </c>
      <c r="L35" s="57">
        <f t="shared" si="2"/>
        <v>0.16027874564459929</v>
      </c>
      <c r="M35" s="20">
        <v>418</v>
      </c>
      <c r="N35" s="57">
        <f t="shared" si="3"/>
        <v>0.29128919860627178</v>
      </c>
      <c r="O35" s="46">
        <v>50</v>
      </c>
      <c r="P35" s="46">
        <v>0</v>
      </c>
      <c r="Q35" s="58" t="s">
        <v>51</v>
      </c>
      <c r="R35" s="58">
        <v>2019</v>
      </c>
      <c r="S35" s="58"/>
      <c r="T35" s="58"/>
      <c r="U35" s="58"/>
      <c r="V35" s="58"/>
      <c r="W35" s="58"/>
      <c r="X35" s="58" t="s">
        <v>51</v>
      </c>
      <c r="Y35" s="58"/>
      <c r="Z35" s="58"/>
      <c r="AA35" s="58"/>
      <c r="AB35" s="58"/>
      <c r="AC35" s="58" t="s">
        <v>51</v>
      </c>
      <c r="AD35" s="58"/>
      <c r="AE35" s="58"/>
      <c r="AF35" s="58"/>
      <c r="AG35" s="58"/>
      <c r="AH35" s="58"/>
      <c r="AI35" s="58"/>
    </row>
    <row r="36" spans="1:35" x14ac:dyDescent="0.35">
      <c r="A36" s="63" t="s">
        <v>46</v>
      </c>
      <c r="B36" s="63" t="s">
        <v>1632</v>
      </c>
      <c r="C36" s="64" t="s">
        <v>1699</v>
      </c>
      <c r="D36" s="17" t="s">
        <v>1702</v>
      </c>
      <c r="E36" s="17" t="s">
        <v>1703</v>
      </c>
      <c r="F36" s="20">
        <v>447</v>
      </c>
      <c r="G36" s="20">
        <v>184</v>
      </c>
      <c r="H36" s="19">
        <v>825</v>
      </c>
      <c r="I36" s="20">
        <v>428</v>
      </c>
      <c r="J36" s="20">
        <v>397</v>
      </c>
      <c r="K36" s="20">
        <v>263</v>
      </c>
      <c r="L36" s="57">
        <f t="shared" si="2"/>
        <v>0.31878787878787879</v>
      </c>
      <c r="M36" s="20">
        <v>14</v>
      </c>
      <c r="N36" s="57">
        <f t="shared" si="3"/>
        <v>1.6969696969696971E-2</v>
      </c>
      <c r="O36" s="46">
        <v>46</v>
      </c>
      <c r="P36" s="46">
        <v>0</v>
      </c>
      <c r="Q36" s="58" t="s">
        <v>51</v>
      </c>
      <c r="R36" s="58">
        <v>2019</v>
      </c>
      <c r="S36" s="58"/>
      <c r="T36" s="58"/>
      <c r="U36" s="58"/>
      <c r="V36" s="58"/>
      <c r="W36" s="58"/>
      <c r="X36" s="58" t="s">
        <v>51</v>
      </c>
      <c r="Y36" s="58"/>
      <c r="Z36" s="58"/>
      <c r="AA36" s="58"/>
      <c r="AB36" s="58"/>
      <c r="AC36" s="58" t="s">
        <v>51</v>
      </c>
      <c r="AD36" s="58"/>
      <c r="AE36" s="58"/>
      <c r="AF36" s="58"/>
      <c r="AG36" s="58"/>
      <c r="AH36" s="58"/>
      <c r="AI36" s="58"/>
    </row>
    <row r="37" spans="1:35" x14ac:dyDescent="0.35">
      <c r="A37" s="63" t="s">
        <v>46</v>
      </c>
      <c r="B37" s="63" t="s">
        <v>1632</v>
      </c>
      <c r="C37" s="64" t="s">
        <v>1699</v>
      </c>
      <c r="D37" s="17" t="s">
        <v>1704</v>
      </c>
      <c r="E37" s="17" t="s">
        <v>1705</v>
      </c>
      <c r="F37" s="20">
        <v>202</v>
      </c>
      <c r="G37" s="20">
        <v>60</v>
      </c>
      <c r="H37" s="19">
        <v>252</v>
      </c>
      <c r="I37" s="20">
        <v>121</v>
      </c>
      <c r="J37" s="20">
        <v>131</v>
      </c>
      <c r="K37" s="20">
        <v>7</v>
      </c>
      <c r="L37" s="57">
        <f t="shared" si="2"/>
        <v>2.7777777777777776E-2</v>
      </c>
      <c r="M37" s="20">
        <v>48</v>
      </c>
      <c r="N37" s="57">
        <f t="shared" si="3"/>
        <v>0.19047619047619047</v>
      </c>
      <c r="O37" s="46">
        <v>43</v>
      </c>
      <c r="P37" s="46">
        <v>0</v>
      </c>
      <c r="Q37" s="58" t="s">
        <v>51</v>
      </c>
      <c r="R37" s="58">
        <v>2019</v>
      </c>
      <c r="S37" s="58"/>
      <c r="T37" s="58"/>
      <c r="U37" s="58"/>
      <c r="V37" s="58"/>
      <c r="W37" s="58"/>
      <c r="X37" s="58" t="s">
        <v>51</v>
      </c>
      <c r="Y37" s="58"/>
      <c r="Z37" s="58"/>
      <c r="AA37" s="58"/>
      <c r="AB37" s="58"/>
      <c r="AC37" s="58" t="s">
        <v>51</v>
      </c>
      <c r="AD37" s="58"/>
      <c r="AE37" s="58"/>
      <c r="AF37" s="58"/>
      <c r="AG37" s="58"/>
      <c r="AH37" s="58"/>
      <c r="AI37" s="58"/>
    </row>
    <row r="38" spans="1:35" x14ac:dyDescent="0.35">
      <c r="A38" s="63" t="s">
        <v>46</v>
      </c>
      <c r="B38" s="63" t="s">
        <v>1632</v>
      </c>
      <c r="C38" s="64" t="s">
        <v>1699</v>
      </c>
      <c r="D38" s="17" t="s">
        <v>1706</v>
      </c>
      <c r="E38" s="17" t="s">
        <v>1707</v>
      </c>
      <c r="F38" s="20">
        <v>937</v>
      </c>
      <c r="G38" s="20">
        <v>327</v>
      </c>
      <c r="H38" s="19">
        <v>1543</v>
      </c>
      <c r="I38" s="20">
        <v>772</v>
      </c>
      <c r="J38" s="20">
        <v>771</v>
      </c>
      <c r="K38" s="20">
        <v>105</v>
      </c>
      <c r="L38" s="57">
        <f t="shared" si="2"/>
        <v>6.8049254698639011E-2</v>
      </c>
      <c r="M38" s="20">
        <v>263</v>
      </c>
      <c r="N38" s="57">
        <f t="shared" si="3"/>
        <v>0.17044718081659105</v>
      </c>
      <c r="O38" s="46">
        <v>119</v>
      </c>
      <c r="P38" s="46">
        <v>0</v>
      </c>
      <c r="Q38" s="58" t="s">
        <v>51</v>
      </c>
      <c r="R38" s="58">
        <v>2019</v>
      </c>
      <c r="S38" s="58"/>
      <c r="T38" s="58"/>
      <c r="U38" s="58"/>
      <c r="V38" s="58"/>
      <c r="W38" s="58"/>
      <c r="X38" s="58" t="s">
        <v>51</v>
      </c>
      <c r="Y38" s="58"/>
      <c r="Z38" s="58"/>
      <c r="AA38" s="58"/>
      <c r="AB38" s="58"/>
      <c r="AC38" s="58" t="s">
        <v>51</v>
      </c>
      <c r="AD38" s="58"/>
      <c r="AE38" s="58"/>
      <c r="AF38" s="58"/>
      <c r="AG38" s="58"/>
      <c r="AH38" s="58"/>
      <c r="AI38" s="58"/>
    </row>
    <row r="39" spans="1:35" x14ac:dyDescent="0.35">
      <c r="A39" s="63" t="s">
        <v>46</v>
      </c>
      <c r="B39" s="63" t="s">
        <v>1632</v>
      </c>
      <c r="C39" s="64" t="s">
        <v>1708</v>
      </c>
      <c r="D39" s="17" t="s">
        <v>1709</v>
      </c>
      <c r="E39" s="17" t="s">
        <v>1710</v>
      </c>
      <c r="F39" s="20">
        <v>438</v>
      </c>
      <c r="G39" s="20">
        <v>114</v>
      </c>
      <c r="H39" s="19">
        <v>570</v>
      </c>
      <c r="I39" s="20">
        <v>288</v>
      </c>
      <c r="J39" s="20">
        <v>282</v>
      </c>
      <c r="K39" s="20">
        <v>46</v>
      </c>
      <c r="L39" s="57">
        <f t="shared" si="2"/>
        <v>8.0701754385964913E-2</v>
      </c>
      <c r="M39" s="20">
        <v>74</v>
      </c>
      <c r="N39" s="57">
        <f t="shared" si="3"/>
        <v>0.12982456140350876</v>
      </c>
      <c r="O39" s="46">
        <v>62</v>
      </c>
      <c r="P39" s="46">
        <v>0</v>
      </c>
      <c r="Q39" s="58" t="s">
        <v>51</v>
      </c>
      <c r="R39" s="58">
        <v>2019</v>
      </c>
      <c r="S39" s="58"/>
      <c r="T39" s="58"/>
      <c r="U39" s="58"/>
      <c r="V39" s="58"/>
      <c r="W39" s="58"/>
      <c r="X39" s="58" t="s">
        <v>51</v>
      </c>
      <c r="Y39" s="58"/>
      <c r="Z39" s="58"/>
      <c r="AA39" s="58"/>
      <c r="AB39" s="58"/>
      <c r="AC39" s="58" t="s">
        <v>51</v>
      </c>
      <c r="AD39" s="58"/>
      <c r="AE39" s="58"/>
      <c r="AF39" s="58"/>
      <c r="AG39" s="58"/>
      <c r="AH39" s="58"/>
      <c r="AI39" s="58"/>
    </row>
    <row r="40" spans="1:35" x14ac:dyDescent="0.35">
      <c r="A40" s="63" t="s">
        <v>46</v>
      </c>
      <c r="B40" s="63" t="s">
        <v>1632</v>
      </c>
      <c r="C40" s="64" t="s">
        <v>1708</v>
      </c>
      <c r="D40" s="17" t="s">
        <v>1711</v>
      </c>
      <c r="E40" s="17" t="s">
        <v>1712</v>
      </c>
      <c r="F40" s="20">
        <v>325</v>
      </c>
      <c r="G40" s="20">
        <v>272</v>
      </c>
      <c r="H40" s="19">
        <v>1250</v>
      </c>
      <c r="I40" s="20">
        <v>607</v>
      </c>
      <c r="J40" s="20">
        <v>643</v>
      </c>
      <c r="K40" s="20">
        <v>1</v>
      </c>
      <c r="L40" s="57">
        <f t="shared" si="2"/>
        <v>8.0000000000000004E-4</v>
      </c>
      <c r="M40" s="20">
        <v>152</v>
      </c>
      <c r="N40" s="57">
        <f t="shared" si="3"/>
        <v>0.1216</v>
      </c>
      <c r="O40" s="46">
        <v>13</v>
      </c>
      <c r="P40" s="46">
        <v>0</v>
      </c>
      <c r="Q40" s="58" t="s">
        <v>51</v>
      </c>
      <c r="R40" s="58">
        <v>2020</v>
      </c>
      <c r="S40" s="58"/>
      <c r="T40" s="58"/>
      <c r="U40" s="58"/>
      <c r="V40" s="58"/>
      <c r="W40" s="58"/>
      <c r="X40" s="58" t="s">
        <v>51</v>
      </c>
      <c r="Y40" s="58"/>
      <c r="Z40" s="58"/>
      <c r="AA40" s="58"/>
      <c r="AB40" s="58"/>
      <c r="AC40" s="58" t="s">
        <v>51</v>
      </c>
      <c r="AD40" s="58"/>
      <c r="AE40" s="58"/>
      <c r="AF40" s="58"/>
      <c r="AG40" s="58"/>
      <c r="AH40" s="58"/>
      <c r="AI40" s="58"/>
    </row>
    <row r="41" spans="1:35" x14ac:dyDescent="0.35">
      <c r="A41" s="63" t="s">
        <v>46</v>
      </c>
      <c r="B41" s="63" t="s">
        <v>1632</v>
      </c>
      <c r="C41" s="64" t="s">
        <v>1708</v>
      </c>
      <c r="D41" s="17" t="s">
        <v>1713</v>
      </c>
      <c r="E41" s="17" t="s">
        <v>1714</v>
      </c>
      <c r="F41" s="20">
        <v>1112</v>
      </c>
      <c r="G41" s="20">
        <v>406</v>
      </c>
      <c r="H41" s="19">
        <v>1810</v>
      </c>
      <c r="I41" s="20">
        <v>929</v>
      </c>
      <c r="J41" s="20">
        <v>881</v>
      </c>
      <c r="K41" s="20">
        <v>569</v>
      </c>
      <c r="L41" s="57">
        <f t="shared" si="2"/>
        <v>0.31436464088397792</v>
      </c>
      <c r="M41" s="20">
        <v>183</v>
      </c>
      <c r="N41" s="57">
        <f t="shared" si="3"/>
        <v>0.1011049723756906</v>
      </c>
      <c r="O41" s="46">
        <v>140</v>
      </c>
      <c r="P41" s="46">
        <v>0</v>
      </c>
      <c r="Q41" s="58" t="s">
        <v>51</v>
      </c>
      <c r="R41" s="58">
        <v>2019</v>
      </c>
      <c r="S41" s="58"/>
      <c r="T41" s="58"/>
      <c r="U41" s="58"/>
      <c r="V41" s="58"/>
      <c r="W41" s="58"/>
      <c r="X41" s="58" t="s">
        <v>51</v>
      </c>
      <c r="Y41" s="58"/>
      <c r="Z41" s="58"/>
      <c r="AA41" s="58"/>
      <c r="AB41" s="58"/>
      <c r="AC41" s="58" t="s">
        <v>51</v>
      </c>
      <c r="AD41" s="58"/>
      <c r="AE41" s="58"/>
      <c r="AF41" s="58"/>
      <c r="AG41" s="58"/>
      <c r="AH41" s="58"/>
      <c r="AI41" s="58"/>
    </row>
    <row r="42" spans="1:35" x14ac:dyDescent="0.35">
      <c r="A42" s="63" t="s">
        <v>46</v>
      </c>
      <c r="B42" s="63" t="s">
        <v>1632</v>
      </c>
      <c r="C42" s="64" t="s">
        <v>1715</v>
      </c>
      <c r="D42" s="17" t="s">
        <v>1716</v>
      </c>
      <c r="E42" s="17" t="s">
        <v>1717</v>
      </c>
      <c r="F42" s="20">
        <v>780</v>
      </c>
      <c r="G42" s="20">
        <v>264</v>
      </c>
      <c r="H42" s="19">
        <v>1168</v>
      </c>
      <c r="I42" s="20">
        <v>569</v>
      </c>
      <c r="J42" s="20">
        <v>599</v>
      </c>
      <c r="K42" s="20">
        <v>213</v>
      </c>
      <c r="L42" s="57">
        <f t="shared" si="2"/>
        <v>0.18236301369863014</v>
      </c>
      <c r="M42" s="20">
        <v>249</v>
      </c>
      <c r="N42" s="57">
        <f t="shared" si="3"/>
        <v>0.21318493150684931</v>
      </c>
      <c r="O42" s="46">
        <v>62</v>
      </c>
      <c r="P42" s="46">
        <v>0</v>
      </c>
      <c r="Q42" s="58" t="s">
        <v>51</v>
      </c>
      <c r="R42" s="58">
        <v>2019</v>
      </c>
      <c r="S42" s="58"/>
      <c r="T42" s="58"/>
      <c r="U42" s="58"/>
      <c r="V42" s="58"/>
      <c r="W42" s="58"/>
      <c r="X42" s="58" t="s">
        <v>51</v>
      </c>
      <c r="Y42" s="58"/>
      <c r="Z42" s="58"/>
      <c r="AA42" s="58"/>
      <c r="AB42" s="58"/>
      <c r="AC42" s="58" t="s">
        <v>51</v>
      </c>
      <c r="AD42" s="58"/>
      <c r="AE42" s="58"/>
      <c r="AF42" s="58"/>
      <c r="AG42" s="58"/>
      <c r="AH42" s="58"/>
      <c r="AI42" s="58"/>
    </row>
    <row r="43" spans="1:35" x14ac:dyDescent="0.35">
      <c r="A43" s="63" t="s">
        <v>46</v>
      </c>
      <c r="B43" s="63" t="s">
        <v>1632</v>
      </c>
      <c r="C43" s="64" t="s">
        <v>1686</v>
      </c>
      <c r="D43" s="17" t="s">
        <v>1718</v>
      </c>
      <c r="E43" s="17" t="s">
        <v>1719</v>
      </c>
      <c r="F43" s="20">
        <v>268</v>
      </c>
      <c r="G43" s="20">
        <v>152</v>
      </c>
      <c r="H43" s="19">
        <v>758</v>
      </c>
      <c r="I43" s="20">
        <v>389</v>
      </c>
      <c r="J43" s="20">
        <v>369</v>
      </c>
      <c r="K43" s="20">
        <v>89</v>
      </c>
      <c r="L43" s="57">
        <f t="shared" si="2"/>
        <v>0.11741424802110818</v>
      </c>
      <c r="M43" s="20">
        <v>223</v>
      </c>
      <c r="N43" s="57">
        <f t="shared" si="3"/>
        <v>0.29419525065963059</v>
      </c>
      <c r="O43" s="46">
        <v>34</v>
      </c>
      <c r="P43" s="46">
        <v>0</v>
      </c>
      <c r="Q43" s="58" t="s">
        <v>51</v>
      </c>
      <c r="R43" s="58">
        <v>2019</v>
      </c>
      <c r="S43" s="58"/>
      <c r="T43" s="58"/>
      <c r="U43" s="58"/>
      <c r="V43" s="58"/>
      <c r="W43" s="58"/>
      <c r="X43" s="58" t="s">
        <v>51</v>
      </c>
      <c r="Y43" s="58"/>
      <c r="Z43" s="58"/>
      <c r="AA43" s="58"/>
      <c r="AB43" s="58"/>
      <c r="AC43" s="58" t="s">
        <v>51</v>
      </c>
      <c r="AD43" s="58"/>
      <c r="AE43" s="58"/>
      <c r="AF43" s="58"/>
      <c r="AG43" s="58"/>
      <c r="AH43" s="58"/>
      <c r="AI43" s="58"/>
    </row>
    <row r="44" spans="1:35" x14ac:dyDescent="0.35">
      <c r="A44" s="63" t="s">
        <v>46</v>
      </c>
      <c r="B44" s="63" t="s">
        <v>1632</v>
      </c>
      <c r="C44" s="64" t="s">
        <v>1715</v>
      </c>
      <c r="D44" s="17" t="s">
        <v>1720</v>
      </c>
      <c r="E44" s="17" t="s">
        <v>1721</v>
      </c>
      <c r="F44" s="28">
        <v>891</v>
      </c>
      <c r="G44" s="47"/>
      <c r="H44" s="19">
        <v>0</v>
      </c>
      <c r="I44" s="47"/>
      <c r="J44" s="47"/>
      <c r="K44" s="47"/>
      <c r="L44" s="57"/>
      <c r="M44" s="47"/>
      <c r="N44" s="57"/>
      <c r="O44" s="48">
        <v>0</v>
      </c>
      <c r="P44" s="48">
        <v>0</v>
      </c>
      <c r="Q44" s="58" t="s">
        <v>112</v>
      </c>
      <c r="R44" s="58"/>
      <c r="S44" s="58"/>
      <c r="T44" s="58"/>
      <c r="U44" s="58"/>
      <c r="V44" s="58"/>
      <c r="W44" s="58"/>
      <c r="X44" s="58" t="s">
        <v>112</v>
      </c>
      <c r="Y44" s="58"/>
      <c r="Z44" s="58"/>
      <c r="AA44" s="58"/>
      <c r="AB44" s="58"/>
      <c r="AC44" s="58" t="s">
        <v>112</v>
      </c>
      <c r="AD44" s="58"/>
      <c r="AE44" s="58"/>
      <c r="AF44" s="58"/>
      <c r="AG44" s="58"/>
      <c r="AH44" s="58"/>
      <c r="AI44" s="58"/>
    </row>
    <row r="45" spans="1:35" x14ac:dyDescent="0.35">
      <c r="A45" s="63" t="s">
        <v>46</v>
      </c>
      <c r="B45" s="63" t="s">
        <v>1632</v>
      </c>
      <c r="C45" s="64" t="s">
        <v>1715</v>
      </c>
      <c r="D45" s="17" t="s">
        <v>1722</v>
      </c>
      <c r="E45" s="17" t="s">
        <v>1723</v>
      </c>
      <c r="F45" s="20">
        <v>767</v>
      </c>
      <c r="G45" s="20">
        <v>1116</v>
      </c>
      <c r="H45" s="19">
        <v>5136</v>
      </c>
      <c r="I45" s="20">
        <v>2591</v>
      </c>
      <c r="J45" s="20">
        <v>2545</v>
      </c>
      <c r="K45" s="20">
        <v>709</v>
      </c>
      <c r="L45" s="57">
        <f t="shared" ref="L45:L89" si="4">K45/H45</f>
        <v>0.13804517133956387</v>
      </c>
      <c r="M45" s="20">
        <v>442</v>
      </c>
      <c r="N45" s="57">
        <f t="shared" ref="N45:N89" si="5">M45/H45</f>
        <v>8.6059190031152644E-2</v>
      </c>
      <c r="O45" s="46">
        <v>37</v>
      </c>
      <c r="P45" s="46">
        <v>0</v>
      </c>
      <c r="Q45" s="58" t="s">
        <v>51</v>
      </c>
      <c r="R45" s="58">
        <v>2020</v>
      </c>
      <c r="S45" s="58"/>
      <c r="T45" s="58"/>
      <c r="U45" s="58"/>
      <c r="V45" s="58"/>
      <c r="W45" s="58"/>
      <c r="X45" s="58" t="s">
        <v>51</v>
      </c>
      <c r="Y45" s="58"/>
      <c r="Z45" s="58"/>
      <c r="AA45" s="58"/>
      <c r="AB45" s="58"/>
      <c r="AC45" s="58" t="s">
        <v>51</v>
      </c>
      <c r="AD45" s="58"/>
      <c r="AE45" s="58"/>
      <c r="AF45" s="58"/>
      <c r="AG45" s="58"/>
      <c r="AH45" s="58"/>
      <c r="AI45" s="58"/>
    </row>
    <row r="46" spans="1:35" x14ac:dyDescent="0.35">
      <c r="A46" s="63" t="s">
        <v>46</v>
      </c>
      <c r="B46" s="63" t="s">
        <v>1632</v>
      </c>
      <c r="C46" s="64" t="s">
        <v>1676</v>
      </c>
      <c r="D46" s="17" t="s">
        <v>1724</v>
      </c>
      <c r="E46" s="17" t="s">
        <v>1725</v>
      </c>
      <c r="F46" s="20">
        <v>466</v>
      </c>
      <c r="G46" s="20">
        <v>358</v>
      </c>
      <c r="H46" s="19">
        <v>1507</v>
      </c>
      <c r="I46" s="20">
        <v>772</v>
      </c>
      <c r="J46" s="20">
        <v>735</v>
      </c>
      <c r="K46" s="20">
        <v>304</v>
      </c>
      <c r="L46" s="57">
        <f t="shared" si="4"/>
        <v>0.20172528201725282</v>
      </c>
      <c r="M46" s="20">
        <v>221</v>
      </c>
      <c r="N46" s="57">
        <f t="shared" si="5"/>
        <v>0.14664897146648972</v>
      </c>
      <c r="O46" s="46">
        <v>27</v>
      </c>
      <c r="P46" s="46">
        <v>0</v>
      </c>
      <c r="Q46" s="58" t="s">
        <v>51</v>
      </c>
      <c r="R46" s="58">
        <v>2019</v>
      </c>
      <c r="S46" s="58"/>
      <c r="T46" s="58"/>
      <c r="U46" s="58"/>
      <c r="V46" s="58"/>
      <c r="W46" s="58"/>
      <c r="X46" s="58" t="s">
        <v>51</v>
      </c>
      <c r="Y46" s="58"/>
      <c r="Z46" s="58"/>
      <c r="AA46" s="58"/>
      <c r="AB46" s="58"/>
      <c r="AC46" s="58" t="s">
        <v>51</v>
      </c>
      <c r="AD46" s="58"/>
      <c r="AE46" s="58"/>
      <c r="AF46" s="58"/>
      <c r="AG46" s="58"/>
      <c r="AH46" s="58"/>
      <c r="AI46" s="58"/>
    </row>
    <row r="47" spans="1:35" x14ac:dyDescent="0.35">
      <c r="A47" s="63" t="s">
        <v>46</v>
      </c>
      <c r="B47" s="63" t="s">
        <v>1632</v>
      </c>
      <c r="C47" s="64" t="s">
        <v>1676</v>
      </c>
      <c r="D47" s="17" t="s">
        <v>1726</v>
      </c>
      <c r="E47" s="17" t="s">
        <v>1727</v>
      </c>
      <c r="F47" s="20">
        <v>119</v>
      </c>
      <c r="G47" s="20">
        <v>95</v>
      </c>
      <c r="H47" s="19">
        <v>387</v>
      </c>
      <c r="I47" s="20">
        <v>197</v>
      </c>
      <c r="J47" s="20">
        <v>190</v>
      </c>
      <c r="K47" s="20">
        <v>106</v>
      </c>
      <c r="L47" s="57">
        <f t="shared" si="4"/>
        <v>0.27390180878552972</v>
      </c>
      <c r="M47" s="20">
        <v>87</v>
      </c>
      <c r="N47" s="57">
        <f t="shared" si="5"/>
        <v>0.22480620155038761</v>
      </c>
      <c r="O47" s="46">
        <v>8</v>
      </c>
      <c r="P47" s="46">
        <v>0</v>
      </c>
      <c r="Q47" s="58" t="s">
        <v>51</v>
      </c>
      <c r="R47" s="58">
        <v>2019</v>
      </c>
      <c r="S47" s="58"/>
      <c r="T47" s="58"/>
      <c r="U47" s="58"/>
      <c r="V47" s="58"/>
      <c r="W47" s="58"/>
      <c r="X47" s="58" t="s">
        <v>51</v>
      </c>
      <c r="Y47" s="58"/>
      <c r="Z47" s="58"/>
      <c r="AA47" s="58"/>
      <c r="AB47" s="58"/>
      <c r="AC47" s="58" t="s">
        <v>51</v>
      </c>
      <c r="AD47" s="58"/>
      <c r="AE47" s="58"/>
      <c r="AF47" s="58"/>
      <c r="AG47" s="58"/>
      <c r="AH47" s="58"/>
      <c r="AI47" s="58"/>
    </row>
    <row r="48" spans="1:35" x14ac:dyDescent="0.35">
      <c r="A48" s="63" t="s">
        <v>46</v>
      </c>
      <c r="B48" s="63" t="s">
        <v>1632</v>
      </c>
      <c r="C48" s="64" t="s">
        <v>1676</v>
      </c>
      <c r="D48" s="17" t="s">
        <v>1505</v>
      </c>
      <c r="E48" s="17" t="s">
        <v>1728</v>
      </c>
      <c r="F48" s="20">
        <v>125</v>
      </c>
      <c r="G48" s="20">
        <v>42</v>
      </c>
      <c r="H48" s="19">
        <v>231</v>
      </c>
      <c r="I48" s="20">
        <v>114</v>
      </c>
      <c r="J48" s="20">
        <v>117</v>
      </c>
      <c r="K48" s="20">
        <v>9</v>
      </c>
      <c r="L48" s="57">
        <f t="shared" si="4"/>
        <v>3.896103896103896E-2</v>
      </c>
      <c r="M48" s="20">
        <v>11</v>
      </c>
      <c r="N48" s="57">
        <f t="shared" si="5"/>
        <v>4.7619047619047616E-2</v>
      </c>
      <c r="O48" s="46">
        <v>17</v>
      </c>
      <c r="P48" s="46">
        <v>0</v>
      </c>
      <c r="Q48" s="58" t="s">
        <v>51</v>
      </c>
      <c r="R48" s="58">
        <v>2019</v>
      </c>
      <c r="S48" s="58"/>
      <c r="T48" s="58"/>
      <c r="U48" s="58"/>
      <c r="V48" s="58"/>
      <c r="W48" s="58"/>
      <c r="X48" s="58" t="s">
        <v>51</v>
      </c>
      <c r="Y48" s="58"/>
      <c r="Z48" s="58"/>
      <c r="AA48" s="58"/>
      <c r="AB48" s="58"/>
      <c r="AC48" s="58" t="s">
        <v>51</v>
      </c>
      <c r="AD48" s="58"/>
      <c r="AE48" s="58"/>
      <c r="AF48" s="58"/>
      <c r="AG48" s="58"/>
      <c r="AH48" s="58"/>
      <c r="AI48" s="58"/>
    </row>
    <row r="49" spans="1:35" x14ac:dyDescent="0.35">
      <c r="A49" s="63" t="s">
        <v>46</v>
      </c>
      <c r="B49" s="63" t="s">
        <v>1632</v>
      </c>
      <c r="C49" s="64" t="s">
        <v>1676</v>
      </c>
      <c r="D49" s="17" t="s">
        <v>1729</v>
      </c>
      <c r="E49" s="17" t="s">
        <v>1730</v>
      </c>
      <c r="F49" s="20">
        <v>308</v>
      </c>
      <c r="G49" s="20">
        <v>87</v>
      </c>
      <c r="H49" s="19">
        <v>402</v>
      </c>
      <c r="I49" s="20">
        <v>199</v>
      </c>
      <c r="J49" s="20">
        <v>203</v>
      </c>
      <c r="K49" s="20">
        <v>6</v>
      </c>
      <c r="L49" s="57">
        <f t="shared" si="4"/>
        <v>1.4925373134328358E-2</v>
      </c>
      <c r="M49" s="20">
        <v>51</v>
      </c>
      <c r="N49" s="57">
        <f t="shared" si="5"/>
        <v>0.12686567164179105</v>
      </c>
      <c r="O49" s="46">
        <v>26</v>
      </c>
      <c r="P49" s="46">
        <v>0</v>
      </c>
      <c r="Q49" s="58" t="s">
        <v>51</v>
      </c>
      <c r="R49" s="58">
        <v>2019</v>
      </c>
      <c r="S49" s="58"/>
      <c r="T49" s="58"/>
      <c r="U49" s="58"/>
      <c r="V49" s="58"/>
      <c r="W49" s="58"/>
      <c r="X49" s="58" t="s">
        <v>51</v>
      </c>
      <c r="Y49" s="58"/>
      <c r="Z49" s="58"/>
      <c r="AA49" s="58"/>
      <c r="AB49" s="58"/>
      <c r="AC49" s="58" t="s">
        <v>51</v>
      </c>
      <c r="AD49" s="58"/>
      <c r="AE49" s="58"/>
      <c r="AF49" s="58"/>
      <c r="AG49" s="58"/>
      <c r="AH49" s="58"/>
      <c r="AI49" s="58"/>
    </row>
    <row r="50" spans="1:35" ht="15.5" x14ac:dyDescent="0.35">
      <c r="A50" s="63" t="s">
        <v>46</v>
      </c>
      <c r="B50" s="63" t="s">
        <v>1632</v>
      </c>
      <c r="C50" s="64" t="s">
        <v>1691</v>
      </c>
      <c r="D50" s="17" t="s">
        <v>1731</v>
      </c>
      <c r="E50" s="17" t="s">
        <v>1732</v>
      </c>
      <c r="F50" s="20">
        <v>928</v>
      </c>
      <c r="G50" s="20">
        <v>313</v>
      </c>
      <c r="H50" s="19">
        <v>1352</v>
      </c>
      <c r="I50" s="20">
        <v>672</v>
      </c>
      <c r="J50" s="20">
        <v>680</v>
      </c>
      <c r="K50" s="20">
        <v>194</v>
      </c>
      <c r="L50" s="57">
        <f t="shared" si="4"/>
        <v>0.14349112426035504</v>
      </c>
      <c r="M50" s="20">
        <v>176</v>
      </c>
      <c r="N50" s="57">
        <f t="shared" si="5"/>
        <v>0.13017751479289941</v>
      </c>
      <c r="O50" s="46">
        <v>97</v>
      </c>
      <c r="P50" s="46">
        <v>0</v>
      </c>
      <c r="Q50" s="58" t="s">
        <v>51</v>
      </c>
      <c r="R50" s="66">
        <v>2019</v>
      </c>
      <c r="S50" s="58"/>
      <c r="T50" s="58"/>
      <c r="U50" s="58"/>
      <c r="V50" s="58"/>
      <c r="W50" s="58"/>
      <c r="X50" s="58" t="s">
        <v>51</v>
      </c>
      <c r="Y50" s="58"/>
      <c r="Z50" s="58"/>
      <c r="AA50" s="58"/>
      <c r="AB50" s="58"/>
      <c r="AC50" s="58" t="s">
        <v>51</v>
      </c>
      <c r="AD50" s="58"/>
      <c r="AE50" s="58"/>
      <c r="AF50" s="58"/>
      <c r="AG50" s="58"/>
      <c r="AH50" s="58"/>
      <c r="AI50" s="58"/>
    </row>
    <row r="51" spans="1:35" ht="15.5" x14ac:dyDescent="0.35">
      <c r="A51" s="63" t="s">
        <v>46</v>
      </c>
      <c r="B51" s="63" t="s">
        <v>1632</v>
      </c>
      <c r="C51" s="64" t="s">
        <v>1691</v>
      </c>
      <c r="D51" s="17" t="s">
        <v>1733</v>
      </c>
      <c r="E51" s="17" t="s">
        <v>1734</v>
      </c>
      <c r="F51" s="20">
        <v>836</v>
      </c>
      <c r="G51" s="20">
        <v>306</v>
      </c>
      <c r="H51" s="19">
        <v>1122</v>
      </c>
      <c r="I51" s="20">
        <v>552</v>
      </c>
      <c r="J51" s="20">
        <v>570</v>
      </c>
      <c r="K51" s="20">
        <v>213</v>
      </c>
      <c r="L51" s="57">
        <f t="shared" si="4"/>
        <v>0.18983957219251338</v>
      </c>
      <c r="M51" s="20">
        <v>195</v>
      </c>
      <c r="N51" s="57">
        <f t="shared" si="5"/>
        <v>0.17379679144385027</v>
      </c>
      <c r="O51" s="46">
        <v>37</v>
      </c>
      <c r="P51" s="46">
        <v>0</v>
      </c>
      <c r="Q51" s="58" t="s">
        <v>51</v>
      </c>
      <c r="R51" s="66">
        <v>2019</v>
      </c>
      <c r="S51" s="58"/>
      <c r="T51" s="58"/>
      <c r="U51" s="58"/>
      <c r="V51" s="58"/>
      <c r="W51" s="58"/>
      <c r="X51" s="58" t="s">
        <v>51</v>
      </c>
      <c r="Y51" s="58"/>
      <c r="Z51" s="58"/>
      <c r="AA51" s="58"/>
      <c r="AB51" s="58"/>
      <c r="AC51" s="58" t="s">
        <v>51</v>
      </c>
      <c r="AD51" s="58"/>
      <c r="AE51" s="58"/>
      <c r="AF51" s="58"/>
      <c r="AG51" s="58"/>
      <c r="AH51" s="58"/>
      <c r="AI51" s="58"/>
    </row>
    <row r="52" spans="1:35" x14ac:dyDescent="0.35">
      <c r="A52" s="63" t="s">
        <v>46</v>
      </c>
      <c r="B52" s="63" t="s">
        <v>1632</v>
      </c>
      <c r="C52" s="64" t="s">
        <v>1686</v>
      </c>
      <c r="D52" s="17" t="s">
        <v>805</v>
      </c>
      <c r="E52" s="17" t="s">
        <v>1735</v>
      </c>
      <c r="F52" s="20">
        <v>256</v>
      </c>
      <c r="G52" s="20">
        <v>68</v>
      </c>
      <c r="H52" s="19">
        <v>308</v>
      </c>
      <c r="I52" s="20">
        <v>160</v>
      </c>
      <c r="J52" s="20">
        <v>148</v>
      </c>
      <c r="K52" s="20">
        <v>30</v>
      </c>
      <c r="L52" s="57">
        <f t="shared" si="4"/>
        <v>9.7402597402597407E-2</v>
      </c>
      <c r="M52" s="20">
        <v>0</v>
      </c>
      <c r="N52" s="57">
        <f t="shared" si="5"/>
        <v>0</v>
      </c>
      <c r="O52" s="46">
        <v>25</v>
      </c>
      <c r="P52" s="46">
        <v>0</v>
      </c>
      <c r="Q52" s="58" t="s">
        <v>51</v>
      </c>
      <c r="R52" s="58">
        <v>2019</v>
      </c>
      <c r="S52" s="58"/>
      <c r="T52" s="58"/>
      <c r="U52" s="58"/>
      <c r="V52" s="58"/>
      <c r="W52" s="58"/>
      <c r="X52" s="58" t="s">
        <v>51</v>
      </c>
      <c r="Y52" s="58"/>
      <c r="Z52" s="58"/>
      <c r="AA52" s="58"/>
      <c r="AB52" s="58"/>
      <c r="AC52" s="58" t="s">
        <v>51</v>
      </c>
      <c r="AD52" s="58"/>
      <c r="AE52" s="58"/>
      <c r="AF52" s="58"/>
      <c r="AG52" s="58"/>
      <c r="AH52" s="58"/>
      <c r="AI52" s="58"/>
    </row>
    <row r="53" spans="1:35" x14ac:dyDescent="0.35">
      <c r="A53" s="63" t="s">
        <v>46</v>
      </c>
      <c r="B53" s="63" t="s">
        <v>1632</v>
      </c>
      <c r="C53" s="64" t="s">
        <v>1673</v>
      </c>
      <c r="D53" s="17" t="s">
        <v>1736</v>
      </c>
      <c r="E53" s="17" t="s">
        <v>1737</v>
      </c>
      <c r="F53" s="20">
        <v>782</v>
      </c>
      <c r="G53" s="20">
        <v>427</v>
      </c>
      <c r="H53" s="19">
        <v>1734</v>
      </c>
      <c r="I53" s="20">
        <v>854</v>
      </c>
      <c r="J53" s="20">
        <v>880</v>
      </c>
      <c r="K53" s="20">
        <v>450</v>
      </c>
      <c r="L53" s="57">
        <f t="shared" si="4"/>
        <v>0.25951557093425603</v>
      </c>
      <c r="M53" s="20">
        <v>64</v>
      </c>
      <c r="N53" s="57">
        <f t="shared" si="5"/>
        <v>3.690888119953864E-2</v>
      </c>
      <c r="O53" s="46">
        <v>103</v>
      </c>
      <c r="P53" s="46">
        <v>0</v>
      </c>
      <c r="Q53" s="58" t="s">
        <v>51</v>
      </c>
      <c r="R53" s="58">
        <v>2019</v>
      </c>
      <c r="S53" s="58"/>
      <c r="T53" s="58"/>
      <c r="U53" s="58"/>
      <c r="V53" s="58"/>
      <c r="W53" s="58"/>
      <c r="X53" s="58" t="s">
        <v>51</v>
      </c>
      <c r="Y53" s="58"/>
      <c r="Z53" s="58"/>
      <c r="AA53" s="58"/>
      <c r="AB53" s="58"/>
      <c r="AC53" s="58" t="s">
        <v>51</v>
      </c>
      <c r="AD53" s="58"/>
      <c r="AE53" s="58"/>
      <c r="AF53" s="58"/>
      <c r="AG53" s="58"/>
      <c r="AH53" s="58"/>
      <c r="AI53" s="58"/>
    </row>
    <row r="54" spans="1:35" x14ac:dyDescent="0.35">
      <c r="A54" s="63" t="s">
        <v>46</v>
      </c>
      <c r="B54" s="63" t="s">
        <v>1632</v>
      </c>
      <c r="C54" s="64" t="s">
        <v>1673</v>
      </c>
      <c r="D54" s="17" t="s">
        <v>1738</v>
      </c>
      <c r="E54" s="17" t="s">
        <v>1739</v>
      </c>
      <c r="F54" s="20">
        <v>309</v>
      </c>
      <c r="G54" s="20">
        <v>89</v>
      </c>
      <c r="H54" s="19">
        <v>364</v>
      </c>
      <c r="I54" s="20">
        <v>178</v>
      </c>
      <c r="J54" s="20">
        <v>186</v>
      </c>
      <c r="K54" s="20">
        <v>72</v>
      </c>
      <c r="L54" s="57">
        <f t="shared" si="4"/>
        <v>0.19780219780219779</v>
      </c>
      <c r="M54" s="20">
        <v>193</v>
      </c>
      <c r="N54" s="57">
        <f t="shared" si="5"/>
        <v>0.53021978021978022</v>
      </c>
      <c r="O54" s="46">
        <v>16</v>
      </c>
      <c r="P54" s="46">
        <v>0</v>
      </c>
      <c r="Q54" s="58" t="s">
        <v>51</v>
      </c>
      <c r="R54" s="58">
        <v>2019</v>
      </c>
      <c r="S54" s="58"/>
      <c r="T54" s="58"/>
      <c r="U54" s="58"/>
      <c r="V54" s="58"/>
      <c r="W54" s="58"/>
      <c r="X54" s="58" t="s">
        <v>51</v>
      </c>
      <c r="Y54" s="58"/>
      <c r="Z54" s="58"/>
      <c r="AA54" s="58"/>
      <c r="AB54" s="58"/>
      <c r="AC54" s="58" t="s">
        <v>51</v>
      </c>
      <c r="AD54" s="58"/>
      <c r="AE54" s="58"/>
      <c r="AF54" s="58"/>
      <c r="AG54" s="58"/>
      <c r="AH54" s="58"/>
      <c r="AI54" s="58"/>
    </row>
    <row r="55" spans="1:35" x14ac:dyDescent="0.35">
      <c r="A55" s="63" t="s">
        <v>46</v>
      </c>
      <c r="B55" s="63" t="s">
        <v>1632</v>
      </c>
      <c r="C55" s="64" t="s">
        <v>1740</v>
      </c>
      <c r="D55" s="17" t="s">
        <v>1741</v>
      </c>
      <c r="E55" s="17" t="s">
        <v>1742</v>
      </c>
      <c r="F55" s="20">
        <v>291</v>
      </c>
      <c r="G55" s="20">
        <v>191</v>
      </c>
      <c r="H55" s="19">
        <v>885</v>
      </c>
      <c r="I55" s="20">
        <v>452</v>
      </c>
      <c r="J55" s="20">
        <v>433</v>
      </c>
      <c r="K55" s="20">
        <v>164</v>
      </c>
      <c r="L55" s="57">
        <f t="shared" si="4"/>
        <v>0.18531073446327684</v>
      </c>
      <c r="M55" s="20">
        <v>118</v>
      </c>
      <c r="N55" s="57">
        <f t="shared" si="5"/>
        <v>0.13333333333333333</v>
      </c>
      <c r="O55" s="46">
        <v>10</v>
      </c>
      <c r="P55" s="46">
        <v>0</v>
      </c>
      <c r="Q55" s="58" t="s">
        <v>51</v>
      </c>
      <c r="R55" s="58">
        <v>2019</v>
      </c>
      <c r="S55" s="58"/>
      <c r="T55" s="58"/>
      <c r="U55" s="58"/>
      <c r="V55" s="58"/>
      <c r="W55" s="58"/>
      <c r="X55" s="58" t="s">
        <v>51</v>
      </c>
      <c r="Y55" s="58"/>
      <c r="Z55" s="58"/>
      <c r="AA55" s="58"/>
      <c r="AB55" s="58"/>
      <c r="AC55" s="58" t="s">
        <v>51</v>
      </c>
      <c r="AD55" s="58"/>
      <c r="AE55" s="58"/>
      <c r="AF55" s="58"/>
      <c r="AG55" s="58"/>
      <c r="AH55" s="58"/>
      <c r="AI55" s="58"/>
    </row>
    <row r="56" spans="1:35" x14ac:dyDescent="0.35">
      <c r="A56" s="63" t="s">
        <v>46</v>
      </c>
      <c r="B56" s="63" t="s">
        <v>1632</v>
      </c>
      <c r="C56" s="64" t="s">
        <v>1740</v>
      </c>
      <c r="D56" s="17" t="s">
        <v>1743</v>
      </c>
      <c r="E56" s="17" t="s">
        <v>1744</v>
      </c>
      <c r="F56" s="20">
        <v>271</v>
      </c>
      <c r="G56" s="20">
        <v>137</v>
      </c>
      <c r="H56" s="19">
        <v>621</v>
      </c>
      <c r="I56" s="20">
        <v>303</v>
      </c>
      <c r="J56" s="20">
        <v>318</v>
      </c>
      <c r="K56" s="20">
        <v>109</v>
      </c>
      <c r="L56" s="57">
        <f t="shared" si="4"/>
        <v>0.17552334943639292</v>
      </c>
      <c r="M56" s="20">
        <v>105</v>
      </c>
      <c r="N56" s="57">
        <f t="shared" si="5"/>
        <v>0.16908212560386474</v>
      </c>
      <c r="O56" s="46">
        <v>3</v>
      </c>
      <c r="P56" s="46">
        <v>0</v>
      </c>
      <c r="Q56" s="58" t="s">
        <v>51</v>
      </c>
      <c r="R56" s="58">
        <v>2019</v>
      </c>
      <c r="S56" s="58"/>
      <c r="T56" s="58"/>
      <c r="U56" s="58"/>
      <c r="V56" s="58"/>
      <c r="W56" s="58"/>
      <c r="X56" s="58" t="s">
        <v>51</v>
      </c>
      <c r="Y56" s="58"/>
      <c r="Z56" s="58"/>
      <c r="AA56" s="58"/>
      <c r="AB56" s="58"/>
      <c r="AC56" s="58" t="s">
        <v>51</v>
      </c>
      <c r="AD56" s="58"/>
      <c r="AE56" s="58"/>
      <c r="AF56" s="58"/>
      <c r="AG56" s="58"/>
      <c r="AH56" s="58"/>
      <c r="AI56" s="58"/>
    </row>
    <row r="57" spans="1:35" x14ac:dyDescent="0.35">
      <c r="A57" s="63" t="s">
        <v>46</v>
      </c>
      <c r="B57" s="63" t="s">
        <v>1632</v>
      </c>
      <c r="C57" s="64" t="s">
        <v>1740</v>
      </c>
      <c r="D57" s="17" t="s">
        <v>1745</v>
      </c>
      <c r="E57" s="17" t="s">
        <v>1746</v>
      </c>
      <c r="F57" s="20">
        <v>345</v>
      </c>
      <c r="G57" s="20">
        <v>97</v>
      </c>
      <c r="H57" s="19">
        <v>368</v>
      </c>
      <c r="I57" s="20">
        <v>183</v>
      </c>
      <c r="J57" s="20">
        <v>185</v>
      </c>
      <c r="K57" s="20">
        <v>31</v>
      </c>
      <c r="L57" s="57">
        <f t="shared" si="4"/>
        <v>8.4239130434782608E-2</v>
      </c>
      <c r="M57" s="20">
        <v>47</v>
      </c>
      <c r="N57" s="57">
        <f t="shared" si="5"/>
        <v>0.12771739130434784</v>
      </c>
      <c r="O57" s="46">
        <v>53</v>
      </c>
      <c r="P57" s="46">
        <v>0</v>
      </c>
      <c r="Q57" s="58" t="s">
        <v>51</v>
      </c>
      <c r="R57" s="58">
        <v>2019</v>
      </c>
      <c r="S57" s="58"/>
      <c r="T57" s="58"/>
      <c r="U57" s="58"/>
      <c r="V57" s="58"/>
      <c r="W57" s="58"/>
      <c r="X57" s="58" t="s">
        <v>51</v>
      </c>
      <c r="Y57" s="58"/>
      <c r="Z57" s="58"/>
      <c r="AA57" s="58"/>
      <c r="AB57" s="58"/>
      <c r="AC57" s="58" t="s">
        <v>51</v>
      </c>
      <c r="AD57" s="58"/>
      <c r="AE57" s="58"/>
      <c r="AF57" s="58"/>
      <c r="AG57" s="58"/>
      <c r="AH57" s="58"/>
      <c r="AI57" s="58"/>
    </row>
    <row r="58" spans="1:35" ht="15.5" x14ac:dyDescent="0.35">
      <c r="A58" s="63" t="s">
        <v>46</v>
      </c>
      <c r="B58" s="63" t="s">
        <v>1632</v>
      </c>
      <c r="C58" s="64" t="s">
        <v>1747</v>
      </c>
      <c r="D58" s="17" t="s">
        <v>1748</v>
      </c>
      <c r="E58" s="17" t="s">
        <v>1749</v>
      </c>
      <c r="F58" s="20">
        <v>1899</v>
      </c>
      <c r="G58" s="20">
        <v>2023</v>
      </c>
      <c r="H58" s="19">
        <v>9839</v>
      </c>
      <c r="I58" s="20">
        <v>4975</v>
      </c>
      <c r="J58" s="20">
        <v>4864</v>
      </c>
      <c r="K58" s="20">
        <v>2220</v>
      </c>
      <c r="L58" s="57">
        <f t="shared" si="4"/>
        <v>0.2256326862486025</v>
      </c>
      <c r="M58" s="20">
        <v>615</v>
      </c>
      <c r="N58" s="57">
        <f t="shared" si="5"/>
        <v>6.2506352271572307E-2</v>
      </c>
      <c r="O58" s="46">
        <v>219</v>
      </c>
      <c r="P58" s="46">
        <v>0</v>
      </c>
      <c r="Q58" s="58" t="s">
        <v>51</v>
      </c>
      <c r="R58" s="67" t="s">
        <v>936</v>
      </c>
      <c r="S58" s="58"/>
      <c r="T58" s="58"/>
      <c r="U58" s="58"/>
      <c r="V58" s="58"/>
      <c r="W58" s="58"/>
      <c r="X58" s="58" t="s">
        <v>51</v>
      </c>
      <c r="Y58" s="58"/>
      <c r="Z58" s="58"/>
      <c r="AA58" s="58"/>
      <c r="AB58" s="58"/>
      <c r="AC58" s="58" t="s">
        <v>51</v>
      </c>
      <c r="AD58" s="58"/>
      <c r="AE58" s="58"/>
      <c r="AF58" s="58"/>
      <c r="AG58" s="58"/>
      <c r="AH58" s="58"/>
      <c r="AI58" s="58"/>
    </row>
    <row r="59" spans="1:35" ht="15.5" x14ac:dyDescent="0.35">
      <c r="A59" s="63" t="s">
        <v>46</v>
      </c>
      <c r="B59" s="63" t="s">
        <v>1632</v>
      </c>
      <c r="C59" s="64" t="s">
        <v>1747</v>
      </c>
      <c r="D59" s="17" t="s">
        <v>1750</v>
      </c>
      <c r="E59" s="17" t="s">
        <v>1751</v>
      </c>
      <c r="F59" s="20">
        <v>294</v>
      </c>
      <c r="G59" s="20">
        <v>133</v>
      </c>
      <c r="H59" s="19">
        <v>557</v>
      </c>
      <c r="I59" s="20">
        <v>259</v>
      </c>
      <c r="J59" s="20">
        <v>298</v>
      </c>
      <c r="K59" s="20">
        <v>39</v>
      </c>
      <c r="L59" s="57">
        <f t="shared" si="4"/>
        <v>7.0017953321364457E-2</v>
      </c>
      <c r="M59" s="20">
        <v>168</v>
      </c>
      <c r="N59" s="57">
        <f t="shared" si="5"/>
        <v>0.30161579892280072</v>
      </c>
      <c r="O59" s="46">
        <v>34</v>
      </c>
      <c r="P59" s="46">
        <v>0</v>
      </c>
      <c r="Q59" s="58" t="s">
        <v>51</v>
      </c>
      <c r="R59" s="67" t="s">
        <v>936</v>
      </c>
      <c r="S59" s="58"/>
      <c r="T59" s="58"/>
      <c r="U59" s="58"/>
      <c r="V59" s="58"/>
      <c r="W59" s="58"/>
      <c r="X59" s="58" t="s">
        <v>51</v>
      </c>
      <c r="Y59" s="58"/>
      <c r="Z59" s="58"/>
      <c r="AA59" s="58"/>
      <c r="AB59" s="58"/>
      <c r="AC59" s="58" t="s">
        <v>51</v>
      </c>
      <c r="AD59" s="58"/>
      <c r="AE59" s="58"/>
      <c r="AF59" s="58"/>
      <c r="AG59" s="58"/>
      <c r="AH59" s="58"/>
      <c r="AI59" s="58"/>
    </row>
    <row r="60" spans="1:35" ht="15.5" x14ac:dyDescent="0.35">
      <c r="A60" s="63" t="s">
        <v>46</v>
      </c>
      <c r="B60" s="63" t="s">
        <v>1632</v>
      </c>
      <c r="C60" s="64" t="s">
        <v>1747</v>
      </c>
      <c r="D60" s="17" t="s">
        <v>215</v>
      </c>
      <c r="E60" s="17" t="s">
        <v>1752</v>
      </c>
      <c r="F60" s="20">
        <v>275</v>
      </c>
      <c r="G60" s="20">
        <v>152</v>
      </c>
      <c r="H60" s="19">
        <v>653</v>
      </c>
      <c r="I60" s="20">
        <v>318</v>
      </c>
      <c r="J60" s="20">
        <v>335</v>
      </c>
      <c r="K60" s="20">
        <v>137</v>
      </c>
      <c r="L60" s="57">
        <f t="shared" si="4"/>
        <v>0.20980091883614088</v>
      </c>
      <c r="M60" s="20">
        <v>95</v>
      </c>
      <c r="N60" s="57">
        <f t="shared" si="5"/>
        <v>0.14548238897396631</v>
      </c>
      <c r="O60" s="46">
        <v>35</v>
      </c>
      <c r="P60" s="46">
        <v>0</v>
      </c>
      <c r="Q60" s="58" t="s">
        <v>51</v>
      </c>
      <c r="R60" s="67" t="s">
        <v>936</v>
      </c>
      <c r="S60" s="58"/>
      <c r="T60" s="58"/>
      <c r="U60" s="58"/>
      <c r="V60" s="58"/>
      <c r="W60" s="58"/>
      <c r="X60" s="58" t="s">
        <v>51</v>
      </c>
      <c r="Y60" s="58"/>
      <c r="Z60" s="58"/>
      <c r="AA60" s="58"/>
      <c r="AB60" s="58"/>
      <c r="AC60" s="58" t="s">
        <v>51</v>
      </c>
      <c r="AD60" s="58"/>
      <c r="AE60" s="58"/>
      <c r="AF60" s="58"/>
      <c r="AG60" s="58"/>
      <c r="AH60" s="58"/>
      <c r="AI60" s="58"/>
    </row>
    <row r="61" spans="1:35" x14ac:dyDescent="0.35">
      <c r="A61" s="63" t="s">
        <v>46</v>
      </c>
      <c r="B61" s="63" t="s">
        <v>1632</v>
      </c>
      <c r="C61" s="64" t="s">
        <v>1753</v>
      </c>
      <c r="D61" s="17" t="s">
        <v>1754</v>
      </c>
      <c r="E61" s="17" t="s">
        <v>1755</v>
      </c>
      <c r="F61" s="20">
        <v>519.88</v>
      </c>
      <c r="G61" s="20">
        <v>202</v>
      </c>
      <c r="H61" s="19">
        <v>958</v>
      </c>
      <c r="I61" s="20">
        <v>468</v>
      </c>
      <c r="J61" s="20">
        <v>490</v>
      </c>
      <c r="K61" s="20">
        <v>147</v>
      </c>
      <c r="L61" s="57">
        <f t="shared" si="4"/>
        <v>0.1534446764091858</v>
      </c>
      <c r="M61" s="20">
        <v>231</v>
      </c>
      <c r="N61" s="57">
        <f t="shared" si="5"/>
        <v>0.24112734864300625</v>
      </c>
      <c r="O61" s="46">
        <v>51.44</v>
      </c>
      <c r="P61" s="46">
        <v>0</v>
      </c>
      <c r="Q61" s="58" t="s">
        <v>562</v>
      </c>
      <c r="R61" s="58"/>
      <c r="S61" s="58"/>
      <c r="T61" s="58"/>
      <c r="U61" s="58"/>
      <c r="V61" s="58"/>
      <c r="W61" s="58"/>
      <c r="X61" s="58" t="s">
        <v>562</v>
      </c>
      <c r="Y61" s="58"/>
      <c r="Z61" s="58"/>
      <c r="AA61" s="58"/>
      <c r="AB61" s="58"/>
      <c r="AC61" s="58" t="s">
        <v>562</v>
      </c>
      <c r="AD61" s="58"/>
      <c r="AE61" s="58"/>
      <c r="AF61" s="58"/>
      <c r="AG61" s="58"/>
      <c r="AH61" s="58"/>
      <c r="AI61" s="58"/>
    </row>
    <row r="62" spans="1:35" x14ac:dyDescent="0.35">
      <c r="A62" s="63" t="s">
        <v>46</v>
      </c>
      <c r="B62" s="63" t="s">
        <v>1632</v>
      </c>
      <c r="C62" s="64" t="s">
        <v>1753</v>
      </c>
      <c r="D62" s="17" t="s">
        <v>1756</v>
      </c>
      <c r="E62" s="17" t="s">
        <v>1757</v>
      </c>
      <c r="F62" s="20">
        <v>422.45</v>
      </c>
      <c r="G62" s="20">
        <v>329</v>
      </c>
      <c r="H62" s="19">
        <v>1568</v>
      </c>
      <c r="I62" s="20">
        <v>812</v>
      </c>
      <c r="J62" s="20">
        <v>756</v>
      </c>
      <c r="K62" s="20">
        <v>40</v>
      </c>
      <c r="L62" s="57">
        <f t="shared" si="4"/>
        <v>2.5510204081632654E-2</v>
      </c>
      <c r="M62" s="20">
        <v>340</v>
      </c>
      <c r="N62" s="57">
        <f t="shared" si="5"/>
        <v>0.21683673469387754</v>
      </c>
      <c r="O62" s="46">
        <v>45.54</v>
      </c>
      <c r="P62" s="46">
        <v>0</v>
      </c>
      <c r="Q62" s="58" t="s">
        <v>51</v>
      </c>
      <c r="R62" s="58">
        <v>2020</v>
      </c>
      <c r="S62" s="58"/>
      <c r="T62" s="58"/>
      <c r="U62" s="58"/>
      <c r="V62" s="58"/>
      <c r="W62" s="58"/>
      <c r="X62" s="58" t="s">
        <v>51</v>
      </c>
      <c r="Y62" s="58"/>
      <c r="Z62" s="58"/>
      <c r="AA62" s="58"/>
      <c r="AB62" s="58"/>
      <c r="AC62" s="58" t="s">
        <v>51</v>
      </c>
      <c r="AD62" s="58"/>
      <c r="AE62" s="58"/>
      <c r="AF62" s="58"/>
      <c r="AG62" s="58"/>
      <c r="AH62" s="58"/>
      <c r="AI62" s="58"/>
    </row>
    <row r="63" spans="1:35" x14ac:dyDescent="0.35">
      <c r="A63" s="63" t="s">
        <v>46</v>
      </c>
      <c r="B63" s="63" t="s">
        <v>1632</v>
      </c>
      <c r="C63" s="64" t="s">
        <v>1758</v>
      </c>
      <c r="D63" s="17" t="s">
        <v>1759</v>
      </c>
      <c r="E63" s="17" t="s">
        <v>1760</v>
      </c>
      <c r="F63" s="20">
        <v>1057.8699999999999</v>
      </c>
      <c r="G63" s="20">
        <v>485</v>
      </c>
      <c r="H63" s="19">
        <v>2293</v>
      </c>
      <c r="I63" s="20">
        <v>1135</v>
      </c>
      <c r="J63" s="20">
        <v>1158</v>
      </c>
      <c r="K63" s="20">
        <v>443</v>
      </c>
      <c r="L63" s="57">
        <f t="shared" si="4"/>
        <v>0.19319668556476233</v>
      </c>
      <c r="M63" s="20">
        <v>261</v>
      </c>
      <c r="N63" s="57">
        <f t="shared" si="5"/>
        <v>0.11382468382032272</v>
      </c>
      <c r="O63" s="46">
        <v>82.93</v>
      </c>
      <c r="P63" s="46">
        <v>0</v>
      </c>
      <c r="Q63" s="58" t="s">
        <v>51</v>
      </c>
      <c r="R63" s="58">
        <v>2020</v>
      </c>
      <c r="S63" s="58"/>
      <c r="T63" s="58"/>
      <c r="U63" s="58"/>
      <c r="V63" s="58"/>
      <c r="W63" s="58"/>
      <c r="X63" s="58" t="s">
        <v>51</v>
      </c>
      <c r="Y63" s="58"/>
      <c r="Z63" s="58"/>
      <c r="AA63" s="58"/>
      <c r="AB63" s="58"/>
      <c r="AC63" s="58" t="s">
        <v>51</v>
      </c>
      <c r="AD63" s="58"/>
      <c r="AE63" s="58"/>
      <c r="AF63" s="58"/>
      <c r="AG63" s="58"/>
      <c r="AH63" s="58"/>
      <c r="AI63" s="58"/>
    </row>
    <row r="64" spans="1:35" x14ac:dyDescent="0.35">
      <c r="A64" s="63" t="s">
        <v>46</v>
      </c>
      <c r="B64" s="63" t="s">
        <v>1632</v>
      </c>
      <c r="C64" s="64" t="s">
        <v>1758</v>
      </c>
      <c r="D64" s="17" t="s">
        <v>1761</v>
      </c>
      <c r="E64" s="17" t="s">
        <v>1762</v>
      </c>
      <c r="F64" s="20">
        <v>494.05</v>
      </c>
      <c r="G64" s="20">
        <v>236</v>
      </c>
      <c r="H64" s="19">
        <v>1246</v>
      </c>
      <c r="I64" s="20">
        <v>602</v>
      </c>
      <c r="J64" s="20">
        <v>644</v>
      </c>
      <c r="K64" s="20">
        <v>169</v>
      </c>
      <c r="L64" s="57">
        <f t="shared" si="4"/>
        <v>0.13563402889245585</v>
      </c>
      <c r="M64" s="20">
        <v>358</v>
      </c>
      <c r="N64" s="57">
        <f t="shared" si="5"/>
        <v>0.28731942215088285</v>
      </c>
      <c r="O64" s="46">
        <v>45.63</v>
      </c>
      <c r="P64" s="46">
        <v>0</v>
      </c>
      <c r="Q64" s="58" t="s">
        <v>51</v>
      </c>
      <c r="R64" s="58">
        <v>2020</v>
      </c>
      <c r="S64" s="58"/>
      <c r="T64" s="58"/>
      <c r="U64" s="58"/>
      <c r="V64" s="58"/>
      <c r="W64" s="58"/>
      <c r="X64" s="58" t="s">
        <v>51</v>
      </c>
      <c r="Y64" s="58"/>
      <c r="Z64" s="58"/>
      <c r="AA64" s="58"/>
      <c r="AB64" s="58"/>
      <c r="AC64" s="58" t="s">
        <v>51</v>
      </c>
      <c r="AD64" s="58"/>
      <c r="AE64" s="58"/>
      <c r="AF64" s="58"/>
      <c r="AG64" s="58"/>
      <c r="AH64" s="58"/>
      <c r="AI64" s="58"/>
    </row>
    <row r="65" spans="1:35" x14ac:dyDescent="0.35">
      <c r="A65" s="63" t="s">
        <v>46</v>
      </c>
      <c r="B65" s="63" t="s">
        <v>1632</v>
      </c>
      <c r="C65" s="64" t="s">
        <v>1763</v>
      </c>
      <c r="D65" s="17" t="s">
        <v>1764</v>
      </c>
      <c r="E65" s="17" t="s">
        <v>1765</v>
      </c>
      <c r="F65" s="20">
        <v>301.08</v>
      </c>
      <c r="G65" s="20">
        <v>106</v>
      </c>
      <c r="H65" s="19">
        <v>550</v>
      </c>
      <c r="I65" s="20">
        <v>271</v>
      </c>
      <c r="J65" s="20">
        <v>279</v>
      </c>
      <c r="K65" s="20">
        <v>19</v>
      </c>
      <c r="L65" s="57">
        <f t="shared" si="4"/>
        <v>3.4545454545454546E-2</v>
      </c>
      <c r="M65" s="20">
        <v>156</v>
      </c>
      <c r="N65" s="57">
        <f t="shared" si="5"/>
        <v>0.28363636363636363</v>
      </c>
      <c r="O65" s="46">
        <v>36.43</v>
      </c>
      <c r="P65" s="46">
        <v>0</v>
      </c>
      <c r="Q65" s="58" t="s">
        <v>562</v>
      </c>
      <c r="R65" s="58"/>
      <c r="S65" s="58"/>
      <c r="T65" s="58"/>
      <c r="U65" s="58"/>
      <c r="V65" s="58"/>
      <c r="W65" s="58"/>
      <c r="X65" s="58" t="s">
        <v>562</v>
      </c>
      <c r="Y65" s="58"/>
      <c r="Z65" s="58"/>
      <c r="AA65" s="58"/>
      <c r="AB65" s="58"/>
      <c r="AC65" s="58" t="s">
        <v>562</v>
      </c>
      <c r="AD65" s="58"/>
      <c r="AE65" s="58"/>
      <c r="AF65" s="58"/>
      <c r="AG65" s="58"/>
      <c r="AH65" s="58"/>
      <c r="AI65" s="58"/>
    </row>
    <row r="66" spans="1:35" x14ac:dyDescent="0.35">
      <c r="A66" s="63" t="s">
        <v>46</v>
      </c>
      <c r="B66" s="63" t="s">
        <v>1632</v>
      </c>
      <c r="C66" s="64" t="s">
        <v>1766</v>
      </c>
      <c r="D66" s="17" t="s">
        <v>1767</v>
      </c>
      <c r="E66" s="17" t="s">
        <v>1768</v>
      </c>
      <c r="F66" s="20">
        <v>497.61</v>
      </c>
      <c r="G66" s="20">
        <v>230</v>
      </c>
      <c r="H66" s="19">
        <v>1021</v>
      </c>
      <c r="I66" s="20">
        <v>537</v>
      </c>
      <c r="J66" s="20">
        <v>484</v>
      </c>
      <c r="K66" s="20">
        <v>145</v>
      </c>
      <c r="L66" s="57">
        <f t="shared" si="4"/>
        <v>0.14201762977473065</v>
      </c>
      <c r="M66" s="20">
        <v>431</v>
      </c>
      <c r="N66" s="57">
        <f t="shared" si="5"/>
        <v>0.42213516160626835</v>
      </c>
      <c r="O66" s="46">
        <v>35.840000000000003</v>
      </c>
      <c r="P66" s="46">
        <v>0</v>
      </c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</row>
    <row r="67" spans="1:35" x14ac:dyDescent="0.35">
      <c r="A67" s="63" t="s">
        <v>46</v>
      </c>
      <c r="B67" s="63" t="s">
        <v>1632</v>
      </c>
      <c r="C67" s="64" t="s">
        <v>1766</v>
      </c>
      <c r="D67" s="17" t="s">
        <v>71</v>
      </c>
      <c r="E67" s="17" t="s">
        <v>1769</v>
      </c>
      <c r="F67" s="20">
        <v>182.59</v>
      </c>
      <c r="G67" s="20">
        <v>123</v>
      </c>
      <c r="H67" s="19">
        <v>576</v>
      </c>
      <c r="I67" s="20">
        <v>294</v>
      </c>
      <c r="J67" s="20">
        <v>282</v>
      </c>
      <c r="K67" s="20">
        <v>16</v>
      </c>
      <c r="L67" s="57">
        <f t="shared" si="4"/>
        <v>2.7777777777777776E-2</v>
      </c>
      <c r="M67" s="20">
        <v>196</v>
      </c>
      <c r="N67" s="57">
        <f t="shared" si="5"/>
        <v>0.34027777777777779</v>
      </c>
      <c r="O67" s="46">
        <v>20.28</v>
      </c>
      <c r="P67" s="46">
        <v>0</v>
      </c>
      <c r="Q67" s="58" t="s">
        <v>51</v>
      </c>
      <c r="R67" s="58">
        <v>2020</v>
      </c>
      <c r="S67" s="58"/>
      <c r="T67" s="58"/>
      <c r="U67" s="58"/>
      <c r="V67" s="58"/>
      <c r="W67" s="58"/>
      <c r="X67" s="58" t="s">
        <v>51</v>
      </c>
      <c r="Y67" s="58"/>
      <c r="Z67" s="58"/>
      <c r="AA67" s="58"/>
      <c r="AB67" s="58"/>
      <c r="AC67" s="58" t="s">
        <v>51</v>
      </c>
      <c r="AD67" s="58"/>
      <c r="AE67" s="58"/>
      <c r="AF67" s="58"/>
      <c r="AG67" s="58"/>
      <c r="AH67" s="58"/>
      <c r="AI67" s="58"/>
    </row>
    <row r="68" spans="1:35" x14ac:dyDescent="0.35">
      <c r="A68" s="63" t="s">
        <v>46</v>
      </c>
      <c r="B68" s="63" t="s">
        <v>1632</v>
      </c>
      <c r="C68" s="64" t="s">
        <v>1766</v>
      </c>
      <c r="D68" s="17" t="s">
        <v>160</v>
      </c>
      <c r="E68" s="17" t="s">
        <v>1770</v>
      </c>
      <c r="F68" s="20">
        <v>84.38</v>
      </c>
      <c r="G68" s="20">
        <v>39</v>
      </c>
      <c r="H68" s="19">
        <v>166</v>
      </c>
      <c r="I68" s="20">
        <v>77</v>
      </c>
      <c r="J68" s="20">
        <v>89</v>
      </c>
      <c r="K68" s="20">
        <v>0</v>
      </c>
      <c r="L68" s="57">
        <f t="shared" si="4"/>
        <v>0</v>
      </c>
      <c r="M68" s="20">
        <v>0</v>
      </c>
      <c r="N68" s="57">
        <f t="shared" si="5"/>
        <v>0</v>
      </c>
      <c r="O68" s="46">
        <v>8.61</v>
      </c>
      <c r="P68" s="46">
        <v>0</v>
      </c>
      <c r="Q68" s="58" t="s">
        <v>562</v>
      </c>
      <c r="R68" s="58"/>
      <c r="S68" s="58"/>
      <c r="T68" s="58"/>
      <c r="U68" s="58"/>
      <c r="V68" s="58"/>
      <c r="W68" s="58"/>
      <c r="X68" s="58" t="s">
        <v>562</v>
      </c>
      <c r="Y68" s="58"/>
      <c r="Z68" s="58"/>
      <c r="AA68" s="58"/>
      <c r="AB68" s="58"/>
      <c r="AC68" s="58" t="s">
        <v>562</v>
      </c>
      <c r="AD68" s="58"/>
      <c r="AE68" s="58"/>
      <c r="AF68" s="58"/>
      <c r="AG68" s="58"/>
      <c r="AH68" s="58"/>
      <c r="AI68" s="58"/>
    </row>
    <row r="69" spans="1:35" x14ac:dyDescent="0.35">
      <c r="A69" s="63" t="s">
        <v>46</v>
      </c>
      <c r="B69" s="63" t="s">
        <v>1632</v>
      </c>
      <c r="C69" s="64" t="s">
        <v>1766</v>
      </c>
      <c r="D69" s="17" t="s">
        <v>1401</v>
      </c>
      <c r="E69" s="17" t="s">
        <v>1771</v>
      </c>
      <c r="F69" s="20">
        <v>41.82</v>
      </c>
      <c r="G69" s="20">
        <v>44</v>
      </c>
      <c r="H69" s="19">
        <v>218</v>
      </c>
      <c r="I69" s="20">
        <v>107</v>
      </c>
      <c r="J69" s="20">
        <v>111</v>
      </c>
      <c r="K69" s="20">
        <v>35</v>
      </c>
      <c r="L69" s="57">
        <f t="shared" si="4"/>
        <v>0.16055045871559634</v>
      </c>
      <c r="M69" s="20">
        <v>79</v>
      </c>
      <c r="N69" s="57">
        <f t="shared" si="5"/>
        <v>0.36238532110091742</v>
      </c>
      <c r="O69" s="46">
        <v>0</v>
      </c>
      <c r="P69" s="46">
        <v>0</v>
      </c>
      <c r="Q69" s="58" t="s">
        <v>51</v>
      </c>
      <c r="R69" s="58">
        <v>2020</v>
      </c>
      <c r="S69" s="58"/>
      <c r="T69" s="58"/>
      <c r="U69" s="58"/>
      <c r="V69" s="58"/>
      <c r="W69" s="58"/>
      <c r="X69" s="58" t="s">
        <v>51</v>
      </c>
      <c r="Y69" s="58"/>
      <c r="Z69" s="58"/>
      <c r="AA69" s="58"/>
      <c r="AB69" s="58"/>
      <c r="AC69" s="58" t="s">
        <v>51</v>
      </c>
      <c r="AD69" s="58"/>
      <c r="AE69" s="58"/>
      <c r="AF69" s="58"/>
      <c r="AG69" s="58"/>
      <c r="AH69" s="58"/>
      <c r="AI69" s="58"/>
    </row>
    <row r="70" spans="1:35" x14ac:dyDescent="0.35">
      <c r="A70" s="63" t="s">
        <v>46</v>
      </c>
      <c r="B70" s="63" t="s">
        <v>1632</v>
      </c>
      <c r="C70" s="64" t="s">
        <v>1766</v>
      </c>
      <c r="D70" s="17" t="s">
        <v>1772</v>
      </c>
      <c r="E70" s="17" t="s">
        <v>1773</v>
      </c>
      <c r="F70" s="20">
        <v>466.48</v>
      </c>
      <c r="G70" s="20">
        <v>152</v>
      </c>
      <c r="H70" s="19">
        <v>747</v>
      </c>
      <c r="I70" s="20">
        <v>370</v>
      </c>
      <c r="J70" s="20">
        <v>377</v>
      </c>
      <c r="K70" s="20">
        <v>62</v>
      </c>
      <c r="L70" s="57">
        <f t="shared" si="4"/>
        <v>8.2998661311914329E-2</v>
      </c>
      <c r="M70" s="20">
        <v>297</v>
      </c>
      <c r="N70" s="57">
        <f t="shared" si="5"/>
        <v>0.39759036144578314</v>
      </c>
      <c r="O70" s="46">
        <v>40.15</v>
      </c>
      <c r="P70" s="46">
        <v>0</v>
      </c>
      <c r="Q70" s="58" t="s">
        <v>562</v>
      </c>
      <c r="R70" s="58"/>
      <c r="S70" s="58"/>
      <c r="T70" s="58"/>
      <c r="U70" s="58"/>
      <c r="V70" s="58"/>
      <c r="W70" s="58"/>
      <c r="X70" s="58" t="s">
        <v>562</v>
      </c>
      <c r="Y70" s="58"/>
      <c r="Z70" s="58"/>
      <c r="AA70" s="58"/>
      <c r="AB70" s="58"/>
      <c r="AC70" s="58" t="s">
        <v>562</v>
      </c>
      <c r="AD70" s="58"/>
      <c r="AE70" s="58"/>
      <c r="AF70" s="58"/>
      <c r="AG70" s="58"/>
      <c r="AH70" s="58"/>
      <c r="AI70" s="58"/>
    </row>
    <row r="71" spans="1:35" x14ac:dyDescent="0.35">
      <c r="A71" s="63" t="s">
        <v>46</v>
      </c>
      <c r="B71" s="63" t="s">
        <v>1632</v>
      </c>
      <c r="C71" s="64" t="s">
        <v>1753</v>
      </c>
      <c r="D71" s="17" t="s">
        <v>1774</v>
      </c>
      <c r="E71" s="17" t="s">
        <v>1775</v>
      </c>
      <c r="F71" s="20">
        <v>163.94</v>
      </c>
      <c r="G71" s="20">
        <v>101</v>
      </c>
      <c r="H71" s="19">
        <v>417</v>
      </c>
      <c r="I71" s="20">
        <v>206</v>
      </c>
      <c r="J71" s="20">
        <v>211</v>
      </c>
      <c r="K71" s="20">
        <v>12</v>
      </c>
      <c r="L71" s="57">
        <f t="shared" si="4"/>
        <v>2.8776978417266189E-2</v>
      </c>
      <c r="M71" s="20">
        <v>163</v>
      </c>
      <c r="N71" s="57">
        <f t="shared" si="5"/>
        <v>0.39088729016786572</v>
      </c>
      <c r="O71" s="46">
        <v>21.61</v>
      </c>
      <c r="P71" s="46">
        <v>0</v>
      </c>
      <c r="Q71" s="58" t="s">
        <v>562</v>
      </c>
      <c r="R71" s="58"/>
      <c r="S71" s="58"/>
      <c r="T71" s="58"/>
      <c r="U71" s="58"/>
      <c r="V71" s="58"/>
      <c r="W71" s="58"/>
      <c r="X71" s="58" t="s">
        <v>562</v>
      </c>
      <c r="Y71" s="58"/>
      <c r="Z71" s="58"/>
      <c r="AA71" s="58"/>
      <c r="AB71" s="58"/>
      <c r="AC71" s="58" t="s">
        <v>562</v>
      </c>
      <c r="AD71" s="58"/>
      <c r="AE71" s="58"/>
      <c r="AF71" s="58"/>
      <c r="AG71" s="58"/>
      <c r="AH71" s="58"/>
      <c r="AI71" s="58"/>
    </row>
    <row r="72" spans="1:35" x14ac:dyDescent="0.35">
      <c r="A72" s="63" t="s">
        <v>46</v>
      </c>
      <c r="B72" s="63" t="s">
        <v>1632</v>
      </c>
      <c r="C72" s="64" t="s">
        <v>1766</v>
      </c>
      <c r="D72" s="17" t="s">
        <v>1776</v>
      </c>
      <c r="E72" s="17" t="s">
        <v>1777</v>
      </c>
      <c r="F72" s="20">
        <v>149.41999999999999</v>
      </c>
      <c r="G72" s="20">
        <v>55</v>
      </c>
      <c r="H72" s="19">
        <v>262</v>
      </c>
      <c r="I72" s="20">
        <v>129</v>
      </c>
      <c r="J72" s="20">
        <v>133</v>
      </c>
      <c r="K72" s="20">
        <v>53</v>
      </c>
      <c r="L72" s="57">
        <f t="shared" si="4"/>
        <v>0.20229007633587787</v>
      </c>
      <c r="M72" s="20">
        <v>207</v>
      </c>
      <c r="N72" s="57">
        <f t="shared" si="5"/>
        <v>0.79007633587786263</v>
      </c>
      <c r="O72" s="46">
        <v>8.81</v>
      </c>
      <c r="P72" s="46">
        <v>0</v>
      </c>
      <c r="Q72" s="58" t="s">
        <v>51</v>
      </c>
      <c r="R72" s="58">
        <v>2020</v>
      </c>
      <c r="S72" s="58"/>
      <c r="T72" s="58"/>
      <c r="U72" s="58"/>
      <c r="V72" s="58"/>
      <c r="W72" s="58"/>
      <c r="X72" s="58" t="s">
        <v>51</v>
      </c>
      <c r="Y72" s="58"/>
      <c r="Z72" s="58"/>
      <c r="AA72" s="58"/>
      <c r="AB72" s="58"/>
      <c r="AC72" s="58" t="s">
        <v>51</v>
      </c>
      <c r="AD72" s="58"/>
      <c r="AE72" s="58"/>
      <c r="AF72" s="58"/>
      <c r="AG72" s="58"/>
      <c r="AH72" s="58"/>
      <c r="AI72" s="58"/>
    </row>
    <row r="73" spans="1:35" x14ac:dyDescent="0.35">
      <c r="A73" s="63" t="s">
        <v>46</v>
      </c>
      <c r="B73" s="63" t="s">
        <v>1632</v>
      </c>
      <c r="C73" s="64" t="s">
        <v>1766</v>
      </c>
      <c r="D73" s="17" t="s">
        <v>403</v>
      </c>
      <c r="E73" s="17" t="s">
        <v>1778</v>
      </c>
      <c r="F73" s="20">
        <v>185.25</v>
      </c>
      <c r="G73" s="20">
        <v>111</v>
      </c>
      <c r="H73" s="19">
        <v>471</v>
      </c>
      <c r="I73" s="20">
        <v>236</v>
      </c>
      <c r="J73" s="20">
        <v>235</v>
      </c>
      <c r="K73" s="20">
        <v>99</v>
      </c>
      <c r="L73" s="57">
        <f t="shared" si="4"/>
        <v>0.21019108280254778</v>
      </c>
      <c r="M73" s="20">
        <v>84</v>
      </c>
      <c r="N73" s="57">
        <f t="shared" si="5"/>
        <v>0.17834394904458598</v>
      </c>
      <c r="O73" s="46">
        <v>3.72</v>
      </c>
      <c r="P73" s="46">
        <v>0</v>
      </c>
      <c r="Q73" s="58" t="s">
        <v>51</v>
      </c>
      <c r="R73" s="58">
        <v>2020</v>
      </c>
      <c r="S73" s="58"/>
      <c r="T73" s="58"/>
      <c r="U73" s="58"/>
      <c r="V73" s="58"/>
      <c r="W73" s="58"/>
      <c r="X73" s="58" t="s">
        <v>51</v>
      </c>
      <c r="Y73" s="58"/>
      <c r="Z73" s="58"/>
      <c r="AA73" s="58"/>
      <c r="AB73" s="58"/>
      <c r="AC73" s="58" t="s">
        <v>51</v>
      </c>
      <c r="AD73" s="58"/>
      <c r="AE73" s="58"/>
      <c r="AF73" s="58"/>
      <c r="AG73" s="58"/>
      <c r="AH73" s="58"/>
      <c r="AI73" s="58"/>
    </row>
    <row r="74" spans="1:35" x14ac:dyDescent="0.35">
      <c r="A74" s="63" t="s">
        <v>46</v>
      </c>
      <c r="B74" s="63" t="s">
        <v>1632</v>
      </c>
      <c r="C74" s="64" t="s">
        <v>1779</v>
      </c>
      <c r="D74" s="17" t="s">
        <v>1780</v>
      </c>
      <c r="E74" s="17" t="s">
        <v>1781</v>
      </c>
      <c r="F74" s="20">
        <v>59</v>
      </c>
      <c r="G74" s="20">
        <v>73</v>
      </c>
      <c r="H74" s="19">
        <v>391</v>
      </c>
      <c r="I74" s="20">
        <v>202</v>
      </c>
      <c r="J74" s="20">
        <v>189</v>
      </c>
      <c r="K74" s="20">
        <v>168</v>
      </c>
      <c r="L74" s="57">
        <f t="shared" si="4"/>
        <v>0.42966751918158569</v>
      </c>
      <c r="M74" s="20">
        <v>77</v>
      </c>
      <c r="N74" s="57">
        <f t="shared" si="5"/>
        <v>0.1969309462915601</v>
      </c>
      <c r="O74" s="46">
        <v>6</v>
      </c>
      <c r="P74" s="46">
        <v>0</v>
      </c>
      <c r="Q74" s="58" t="s">
        <v>51</v>
      </c>
      <c r="R74" s="58">
        <v>2020</v>
      </c>
      <c r="S74" s="58"/>
      <c r="T74" s="58"/>
      <c r="U74" s="58"/>
      <c r="V74" s="58"/>
      <c r="W74" s="58"/>
      <c r="X74" s="58" t="s">
        <v>51</v>
      </c>
      <c r="Y74" s="58"/>
      <c r="Z74" s="58"/>
      <c r="AA74" s="58"/>
      <c r="AB74" s="58"/>
      <c r="AC74" s="58" t="s">
        <v>51</v>
      </c>
      <c r="AD74" s="58"/>
      <c r="AE74" s="58"/>
      <c r="AF74" s="58"/>
      <c r="AG74" s="58"/>
      <c r="AH74" s="58"/>
      <c r="AI74" s="58"/>
    </row>
    <row r="75" spans="1:35" x14ac:dyDescent="0.35">
      <c r="A75" s="63" t="s">
        <v>46</v>
      </c>
      <c r="B75" s="63" t="s">
        <v>1632</v>
      </c>
      <c r="C75" s="64" t="s">
        <v>1779</v>
      </c>
      <c r="D75" s="17" t="s">
        <v>1782</v>
      </c>
      <c r="E75" s="17" t="s">
        <v>1783</v>
      </c>
      <c r="F75" s="28">
        <v>11</v>
      </c>
      <c r="G75" s="47"/>
      <c r="H75" s="19">
        <v>0</v>
      </c>
      <c r="I75" s="47"/>
      <c r="J75" s="47"/>
      <c r="K75" s="47"/>
      <c r="L75" s="57" t="e">
        <f t="shared" si="4"/>
        <v>#DIV/0!</v>
      </c>
      <c r="M75" s="47"/>
      <c r="N75" s="57" t="e">
        <f t="shared" si="5"/>
        <v>#DIV/0!</v>
      </c>
      <c r="O75" s="48">
        <v>0</v>
      </c>
      <c r="P75" s="48">
        <v>0</v>
      </c>
      <c r="Q75" s="58" t="s">
        <v>112</v>
      </c>
      <c r="R75" s="58"/>
      <c r="S75" s="58"/>
      <c r="T75" s="58"/>
      <c r="U75" s="58"/>
      <c r="V75" s="58"/>
      <c r="W75" s="58"/>
      <c r="X75" s="58" t="s">
        <v>112</v>
      </c>
      <c r="Y75" s="58"/>
      <c r="Z75" s="58"/>
      <c r="AA75" s="58"/>
      <c r="AB75" s="58"/>
      <c r="AC75" s="58" t="s">
        <v>112</v>
      </c>
      <c r="AD75" s="58"/>
      <c r="AE75" s="58"/>
      <c r="AF75" s="58"/>
      <c r="AG75" s="58"/>
      <c r="AH75" s="58"/>
      <c r="AI75" s="58"/>
    </row>
    <row r="76" spans="1:35" x14ac:dyDescent="0.35">
      <c r="A76" s="63" t="s">
        <v>46</v>
      </c>
      <c r="B76" s="63" t="s">
        <v>1632</v>
      </c>
      <c r="C76" s="64" t="s">
        <v>1784</v>
      </c>
      <c r="D76" s="17" t="s">
        <v>465</v>
      </c>
      <c r="E76" s="17" t="s">
        <v>1785</v>
      </c>
      <c r="F76" s="20">
        <v>440</v>
      </c>
      <c r="G76" s="20">
        <v>87</v>
      </c>
      <c r="H76" s="19">
        <v>453</v>
      </c>
      <c r="I76" s="20">
        <v>226</v>
      </c>
      <c r="J76" s="20">
        <v>227</v>
      </c>
      <c r="K76" s="20">
        <v>125</v>
      </c>
      <c r="L76" s="57">
        <f t="shared" si="4"/>
        <v>0.27593818984547464</v>
      </c>
      <c r="M76" s="20">
        <v>0</v>
      </c>
      <c r="N76" s="57">
        <f t="shared" si="5"/>
        <v>0</v>
      </c>
      <c r="O76" s="46">
        <v>22</v>
      </c>
      <c r="P76" s="46">
        <v>0</v>
      </c>
      <c r="Q76" s="58" t="s">
        <v>562</v>
      </c>
      <c r="R76" s="58"/>
      <c r="S76" s="58"/>
      <c r="T76" s="58"/>
      <c r="U76" s="58"/>
      <c r="V76" s="58"/>
      <c r="W76" s="58"/>
      <c r="X76" s="58" t="s">
        <v>562</v>
      </c>
      <c r="Y76" s="58"/>
      <c r="Z76" s="58"/>
      <c r="AA76" s="58"/>
      <c r="AB76" s="58"/>
      <c r="AC76" s="58" t="s">
        <v>562</v>
      </c>
      <c r="AD76" s="58"/>
      <c r="AE76" s="58"/>
      <c r="AF76" s="58"/>
      <c r="AG76" s="58"/>
      <c r="AH76" s="58"/>
      <c r="AI76" s="58"/>
    </row>
    <row r="77" spans="1:35" x14ac:dyDescent="0.35">
      <c r="A77" s="63" t="s">
        <v>46</v>
      </c>
      <c r="B77" s="63" t="s">
        <v>1632</v>
      </c>
      <c r="C77" s="64" t="s">
        <v>1779</v>
      </c>
      <c r="D77" s="17" t="s">
        <v>1786</v>
      </c>
      <c r="E77" s="17" t="s">
        <v>1787</v>
      </c>
      <c r="F77" s="20">
        <v>69</v>
      </c>
      <c r="G77" s="20">
        <v>8</v>
      </c>
      <c r="H77" s="19">
        <v>39</v>
      </c>
      <c r="I77" s="20">
        <v>24</v>
      </c>
      <c r="J77" s="20">
        <v>15</v>
      </c>
      <c r="K77" s="20">
        <v>0</v>
      </c>
      <c r="L77" s="57">
        <f t="shared" si="4"/>
        <v>0</v>
      </c>
      <c r="M77" s="20">
        <v>0</v>
      </c>
      <c r="N77" s="57">
        <f t="shared" si="5"/>
        <v>0</v>
      </c>
      <c r="O77" s="46">
        <v>0</v>
      </c>
      <c r="P77" s="46">
        <v>0</v>
      </c>
      <c r="Q77" s="58" t="s">
        <v>51</v>
      </c>
      <c r="R77" s="58">
        <v>2020</v>
      </c>
      <c r="S77" s="58"/>
      <c r="T77" s="58"/>
      <c r="U77" s="58"/>
      <c r="V77" s="58"/>
      <c r="W77" s="58"/>
      <c r="X77" s="58" t="s">
        <v>51</v>
      </c>
      <c r="Y77" s="58"/>
      <c r="Z77" s="58"/>
      <c r="AA77" s="58"/>
      <c r="AB77" s="58"/>
      <c r="AC77" s="58" t="s">
        <v>51</v>
      </c>
      <c r="AD77" s="58"/>
      <c r="AE77" s="58"/>
      <c r="AF77" s="58"/>
      <c r="AG77" s="58"/>
      <c r="AH77" s="58"/>
      <c r="AI77" s="58"/>
    </row>
    <row r="78" spans="1:35" x14ac:dyDescent="0.35">
      <c r="A78" s="63" t="s">
        <v>46</v>
      </c>
      <c r="B78" s="63" t="s">
        <v>1632</v>
      </c>
      <c r="C78" s="64" t="s">
        <v>1779</v>
      </c>
      <c r="D78" s="17" t="s">
        <v>1788</v>
      </c>
      <c r="E78" s="17" t="s">
        <v>1789</v>
      </c>
      <c r="F78" s="20">
        <v>356</v>
      </c>
      <c r="G78" s="20">
        <v>94</v>
      </c>
      <c r="H78" s="19">
        <v>401</v>
      </c>
      <c r="I78" s="20">
        <v>198</v>
      </c>
      <c r="J78" s="20">
        <v>203</v>
      </c>
      <c r="K78" s="20">
        <v>0</v>
      </c>
      <c r="L78" s="57">
        <f t="shared" si="4"/>
        <v>0</v>
      </c>
      <c r="M78" s="20">
        <v>91</v>
      </c>
      <c r="N78" s="57">
        <f t="shared" si="5"/>
        <v>0.22693266832917705</v>
      </c>
      <c r="O78" s="46">
        <v>24</v>
      </c>
      <c r="P78" s="46">
        <v>0</v>
      </c>
      <c r="Q78" s="58" t="s">
        <v>51</v>
      </c>
      <c r="R78" s="58">
        <v>2020</v>
      </c>
      <c r="S78" s="58"/>
      <c r="T78" s="58"/>
      <c r="U78" s="58"/>
      <c r="V78" s="58"/>
      <c r="W78" s="58"/>
      <c r="X78" s="58" t="s">
        <v>51</v>
      </c>
      <c r="Y78" s="58"/>
      <c r="Z78" s="58"/>
      <c r="AA78" s="58"/>
      <c r="AB78" s="58"/>
      <c r="AC78" s="58" t="s">
        <v>51</v>
      </c>
      <c r="AD78" s="58"/>
      <c r="AE78" s="58"/>
      <c r="AF78" s="58"/>
      <c r="AG78" s="58"/>
      <c r="AH78" s="58"/>
      <c r="AI78" s="58"/>
    </row>
    <row r="79" spans="1:35" x14ac:dyDescent="0.35">
      <c r="A79" s="63" t="s">
        <v>46</v>
      </c>
      <c r="B79" s="63" t="s">
        <v>1632</v>
      </c>
      <c r="C79" s="64" t="s">
        <v>1790</v>
      </c>
      <c r="D79" s="17" t="s">
        <v>1791</v>
      </c>
      <c r="E79" s="17" t="s">
        <v>1792</v>
      </c>
      <c r="F79" s="20">
        <v>97</v>
      </c>
      <c r="G79" s="20">
        <v>3</v>
      </c>
      <c r="H79" s="19">
        <v>11</v>
      </c>
      <c r="I79" s="20">
        <v>7</v>
      </c>
      <c r="J79" s="20">
        <v>4</v>
      </c>
      <c r="K79" s="20">
        <v>0</v>
      </c>
      <c r="L79" s="57">
        <f t="shared" si="4"/>
        <v>0</v>
      </c>
      <c r="M79" s="20">
        <v>0</v>
      </c>
      <c r="N79" s="57">
        <f t="shared" si="5"/>
        <v>0</v>
      </c>
      <c r="O79" s="46">
        <v>0</v>
      </c>
      <c r="P79" s="46">
        <v>0</v>
      </c>
      <c r="Q79" s="58" t="s">
        <v>562</v>
      </c>
      <c r="R79" s="58"/>
      <c r="S79" s="58"/>
      <c r="T79" s="58"/>
      <c r="U79" s="58"/>
      <c r="V79" s="58"/>
      <c r="W79" s="58"/>
      <c r="X79" s="58" t="s">
        <v>562</v>
      </c>
      <c r="Y79" s="58"/>
      <c r="Z79" s="58"/>
      <c r="AA79" s="58"/>
      <c r="AB79" s="58"/>
      <c r="AC79" s="58" t="s">
        <v>562</v>
      </c>
      <c r="AD79" s="58"/>
      <c r="AE79" s="58"/>
      <c r="AF79" s="58"/>
      <c r="AG79" s="58"/>
      <c r="AH79" s="58"/>
      <c r="AI79" s="58"/>
    </row>
    <row r="80" spans="1:35" x14ac:dyDescent="0.35">
      <c r="A80" s="63" t="s">
        <v>46</v>
      </c>
      <c r="B80" s="63" t="s">
        <v>1632</v>
      </c>
      <c r="C80" s="64" t="s">
        <v>1790</v>
      </c>
      <c r="D80" s="17" t="s">
        <v>959</v>
      </c>
      <c r="E80" s="17" t="s">
        <v>1793</v>
      </c>
      <c r="F80" s="20">
        <v>452</v>
      </c>
      <c r="G80" s="20">
        <v>168</v>
      </c>
      <c r="H80" s="19">
        <v>895</v>
      </c>
      <c r="I80" s="20">
        <v>468</v>
      </c>
      <c r="J80" s="20">
        <v>427</v>
      </c>
      <c r="K80" s="20">
        <v>194</v>
      </c>
      <c r="L80" s="57">
        <f t="shared" si="4"/>
        <v>0.21675977653631284</v>
      </c>
      <c r="M80" s="20">
        <v>231</v>
      </c>
      <c r="N80" s="57">
        <f t="shared" si="5"/>
        <v>0.25810055865921788</v>
      </c>
      <c r="O80" s="46">
        <v>0</v>
      </c>
      <c r="P80" s="46">
        <v>0</v>
      </c>
      <c r="Q80" s="58" t="s">
        <v>562</v>
      </c>
      <c r="R80" s="58"/>
      <c r="S80" s="58"/>
      <c r="T80" s="58"/>
      <c r="U80" s="58"/>
      <c r="V80" s="58"/>
      <c r="W80" s="58"/>
      <c r="X80" s="58" t="s">
        <v>562</v>
      </c>
      <c r="Y80" s="58"/>
      <c r="Z80" s="58"/>
      <c r="AA80" s="58"/>
      <c r="AB80" s="58"/>
      <c r="AC80" s="58" t="s">
        <v>562</v>
      </c>
      <c r="AD80" s="58"/>
      <c r="AE80" s="58"/>
      <c r="AF80" s="58"/>
      <c r="AG80" s="58"/>
      <c r="AH80" s="58"/>
      <c r="AI80" s="58"/>
    </row>
    <row r="81" spans="1:35" x14ac:dyDescent="0.35">
      <c r="A81" s="63" t="s">
        <v>46</v>
      </c>
      <c r="B81" s="63" t="s">
        <v>1632</v>
      </c>
      <c r="C81" s="64" t="s">
        <v>1790</v>
      </c>
      <c r="D81" s="17" t="s">
        <v>1794</v>
      </c>
      <c r="E81" s="17" t="s">
        <v>1795</v>
      </c>
      <c r="F81" s="20">
        <v>246</v>
      </c>
      <c r="G81" s="20">
        <v>137</v>
      </c>
      <c r="H81" s="19">
        <v>633</v>
      </c>
      <c r="I81" s="20">
        <v>340</v>
      </c>
      <c r="J81" s="20">
        <v>293</v>
      </c>
      <c r="K81" s="20">
        <v>70</v>
      </c>
      <c r="L81" s="57">
        <f t="shared" si="4"/>
        <v>0.11058451816745656</v>
      </c>
      <c r="M81" s="20">
        <v>261</v>
      </c>
      <c r="N81" s="57">
        <f t="shared" si="5"/>
        <v>0.41232227488151657</v>
      </c>
      <c r="O81" s="46">
        <v>26</v>
      </c>
      <c r="P81" s="46">
        <v>0</v>
      </c>
      <c r="Q81" s="58" t="s">
        <v>51</v>
      </c>
      <c r="R81" s="58">
        <v>2020</v>
      </c>
      <c r="S81" s="58"/>
      <c r="T81" s="58"/>
      <c r="U81" s="58"/>
      <c r="V81" s="58"/>
      <c r="W81" s="58"/>
      <c r="X81" s="58" t="s">
        <v>51</v>
      </c>
      <c r="Y81" s="58"/>
      <c r="Z81" s="58"/>
      <c r="AA81" s="58"/>
      <c r="AB81" s="58"/>
      <c r="AC81" s="58" t="s">
        <v>51</v>
      </c>
      <c r="AD81" s="58"/>
      <c r="AE81" s="58"/>
      <c r="AF81" s="58"/>
      <c r="AG81" s="58"/>
      <c r="AH81" s="58"/>
      <c r="AI81" s="58"/>
    </row>
    <row r="82" spans="1:35" x14ac:dyDescent="0.35">
      <c r="A82" s="63" t="s">
        <v>46</v>
      </c>
      <c r="B82" s="63" t="s">
        <v>1632</v>
      </c>
      <c r="C82" s="64" t="s">
        <v>1790</v>
      </c>
      <c r="D82" s="17" t="s">
        <v>1796</v>
      </c>
      <c r="E82" s="17" t="s">
        <v>1797</v>
      </c>
      <c r="F82" s="20">
        <v>1549</v>
      </c>
      <c r="G82" s="20">
        <v>677</v>
      </c>
      <c r="H82" s="19">
        <v>3276</v>
      </c>
      <c r="I82" s="20">
        <v>1656</v>
      </c>
      <c r="J82" s="20">
        <v>1620</v>
      </c>
      <c r="K82" s="20">
        <v>836</v>
      </c>
      <c r="L82" s="57">
        <f t="shared" si="4"/>
        <v>0.25518925518925517</v>
      </c>
      <c r="M82" s="20">
        <v>251</v>
      </c>
      <c r="N82" s="57">
        <f t="shared" si="5"/>
        <v>7.6617826617826623E-2</v>
      </c>
      <c r="O82" s="46">
        <v>168</v>
      </c>
      <c r="P82" s="46">
        <v>0</v>
      </c>
      <c r="Q82" s="58" t="s">
        <v>51</v>
      </c>
      <c r="R82" s="58">
        <v>2020</v>
      </c>
      <c r="S82" s="58"/>
      <c r="T82" s="58"/>
      <c r="U82" s="58"/>
      <c r="V82" s="58"/>
      <c r="W82" s="58"/>
      <c r="X82" s="58" t="s">
        <v>51</v>
      </c>
      <c r="Y82" s="58"/>
      <c r="Z82" s="58"/>
      <c r="AA82" s="58"/>
      <c r="AB82" s="58"/>
      <c r="AC82" s="58" t="s">
        <v>51</v>
      </c>
      <c r="AD82" s="58"/>
      <c r="AE82" s="58"/>
      <c r="AF82" s="58"/>
      <c r="AG82" s="58"/>
      <c r="AH82" s="58"/>
      <c r="AI82" s="58"/>
    </row>
    <row r="83" spans="1:35" x14ac:dyDescent="0.35">
      <c r="A83" s="63" t="s">
        <v>46</v>
      </c>
      <c r="B83" s="63" t="s">
        <v>1632</v>
      </c>
      <c r="C83" s="64" t="s">
        <v>1779</v>
      </c>
      <c r="D83" s="17" t="s">
        <v>1798</v>
      </c>
      <c r="E83" s="17" t="s">
        <v>1799</v>
      </c>
      <c r="F83" s="20">
        <v>220</v>
      </c>
      <c r="G83" s="20">
        <v>97</v>
      </c>
      <c r="H83" s="19">
        <v>410</v>
      </c>
      <c r="I83" s="20">
        <v>196</v>
      </c>
      <c r="J83" s="20">
        <v>214</v>
      </c>
      <c r="K83" s="20">
        <v>20</v>
      </c>
      <c r="L83" s="57">
        <f t="shared" si="4"/>
        <v>4.878048780487805E-2</v>
      </c>
      <c r="M83" s="20">
        <v>0</v>
      </c>
      <c r="N83" s="57">
        <f t="shared" si="5"/>
        <v>0</v>
      </c>
      <c r="O83" s="46">
        <v>23</v>
      </c>
      <c r="P83" s="46">
        <v>0</v>
      </c>
      <c r="Q83" s="58" t="s">
        <v>51</v>
      </c>
      <c r="R83" s="58">
        <v>2020</v>
      </c>
      <c r="S83" s="58"/>
      <c r="T83" s="58"/>
      <c r="U83" s="58"/>
      <c r="V83" s="58"/>
      <c r="W83" s="58"/>
      <c r="X83" s="58" t="s">
        <v>51</v>
      </c>
      <c r="Y83" s="58"/>
      <c r="Z83" s="58"/>
      <c r="AA83" s="58"/>
      <c r="AB83" s="58"/>
      <c r="AC83" s="58" t="s">
        <v>51</v>
      </c>
      <c r="AD83" s="58"/>
      <c r="AE83" s="58"/>
      <c r="AF83" s="58"/>
      <c r="AG83" s="58"/>
      <c r="AH83" s="58"/>
      <c r="AI83" s="58"/>
    </row>
    <row r="84" spans="1:35" x14ac:dyDescent="0.35">
      <c r="A84" s="63" t="s">
        <v>46</v>
      </c>
      <c r="B84" s="63" t="s">
        <v>1632</v>
      </c>
      <c r="C84" s="64" t="s">
        <v>1779</v>
      </c>
      <c r="D84" s="17" t="s">
        <v>1800</v>
      </c>
      <c r="E84" s="17" t="s">
        <v>1801</v>
      </c>
      <c r="F84" s="20">
        <v>187</v>
      </c>
      <c r="G84" s="20">
        <v>98</v>
      </c>
      <c r="H84" s="19">
        <v>432</v>
      </c>
      <c r="I84" s="20">
        <v>225</v>
      </c>
      <c r="J84" s="20">
        <v>207</v>
      </c>
      <c r="K84" s="20">
        <v>7</v>
      </c>
      <c r="L84" s="57">
        <f t="shared" si="4"/>
        <v>1.6203703703703703E-2</v>
      </c>
      <c r="M84" s="20">
        <v>0</v>
      </c>
      <c r="N84" s="57">
        <f t="shared" si="5"/>
        <v>0</v>
      </c>
      <c r="O84" s="46">
        <v>7</v>
      </c>
      <c r="P84" s="46">
        <v>0</v>
      </c>
      <c r="Q84" s="58" t="s">
        <v>51</v>
      </c>
      <c r="R84" s="58">
        <v>2020</v>
      </c>
      <c r="S84" s="58"/>
      <c r="T84" s="58"/>
      <c r="U84" s="58"/>
      <c r="V84" s="58"/>
      <c r="W84" s="58"/>
      <c r="X84" s="58" t="s">
        <v>51</v>
      </c>
      <c r="Y84" s="58"/>
      <c r="Z84" s="58"/>
      <c r="AA84" s="58"/>
      <c r="AB84" s="58"/>
      <c r="AC84" s="58" t="s">
        <v>51</v>
      </c>
      <c r="AD84" s="58"/>
      <c r="AE84" s="58"/>
      <c r="AF84" s="58"/>
      <c r="AG84" s="58"/>
      <c r="AH84" s="58"/>
      <c r="AI84" s="58"/>
    </row>
    <row r="85" spans="1:35" x14ac:dyDescent="0.35">
      <c r="A85" s="63" t="s">
        <v>46</v>
      </c>
      <c r="B85" s="63" t="s">
        <v>1632</v>
      </c>
      <c r="C85" s="64" t="s">
        <v>1779</v>
      </c>
      <c r="D85" s="17" t="s">
        <v>1802</v>
      </c>
      <c r="E85" s="17" t="s">
        <v>1803</v>
      </c>
      <c r="F85" s="20">
        <v>179</v>
      </c>
      <c r="G85" s="20">
        <v>123</v>
      </c>
      <c r="H85" s="19">
        <v>514</v>
      </c>
      <c r="I85" s="20">
        <v>255</v>
      </c>
      <c r="J85" s="20">
        <v>259</v>
      </c>
      <c r="K85" s="20">
        <v>121</v>
      </c>
      <c r="L85" s="57">
        <f t="shared" si="4"/>
        <v>0.23540856031128404</v>
      </c>
      <c r="M85" s="20">
        <v>140</v>
      </c>
      <c r="N85" s="57">
        <f t="shared" si="5"/>
        <v>0.2723735408560311</v>
      </c>
      <c r="O85" s="46">
        <v>0</v>
      </c>
      <c r="P85" s="46">
        <v>0</v>
      </c>
      <c r="Q85" s="58" t="s">
        <v>562</v>
      </c>
      <c r="R85" s="58"/>
      <c r="S85" s="58"/>
      <c r="T85" s="58"/>
      <c r="U85" s="58"/>
      <c r="V85" s="58"/>
      <c r="W85" s="58"/>
      <c r="X85" s="58" t="s">
        <v>562</v>
      </c>
      <c r="Y85" s="58"/>
      <c r="Z85" s="58"/>
      <c r="AA85" s="58"/>
      <c r="AB85" s="58"/>
      <c r="AC85" s="58" t="s">
        <v>562</v>
      </c>
      <c r="AD85" s="58"/>
      <c r="AE85" s="58"/>
      <c r="AF85" s="58"/>
      <c r="AG85" s="58"/>
      <c r="AH85" s="58"/>
      <c r="AI85" s="58"/>
    </row>
    <row r="86" spans="1:35" x14ac:dyDescent="0.35">
      <c r="A86" s="63" t="s">
        <v>46</v>
      </c>
      <c r="B86" s="63" t="s">
        <v>1632</v>
      </c>
      <c r="C86" s="64" t="s">
        <v>1779</v>
      </c>
      <c r="D86" s="17" t="s">
        <v>1804</v>
      </c>
      <c r="E86" s="17" t="s">
        <v>1805</v>
      </c>
      <c r="F86" s="20">
        <v>459</v>
      </c>
      <c r="G86" s="20">
        <v>173</v>
      </c>
      <c r="H86" s="19">
        <v>711</v>
      </c>
      <c r="I86" s="20">
        <v>353</v>
      </c>
      <c r="J86" s="20">
        <v>358</v>
      </c>
      <c r="K86" s="20">
        <v>159</v>
      </c>
      <c r="L86" s="57">
        <f t="shared" si="4"/>
        <v>0.22362869198312235</v>
      </c>
      <c r="M86" s="20">
        <v>87</v>
      </c>
      <c r="N86" s="57">
        <f t="shared" si="5"/>
        <v>0.12236286919831224</v>
      </c>
      <c r="O86" s="46">
        <v>51</v>
      </c>
      <c r="P86" s="46">
        <v>0</v>
      </c>
      <c r="Q86" s="58" t="s">
        <v>51</v>
      </c>
      <c r="R86" s="58">
        <v>2020</v>
      </c>
      <c r="S86" s="58"/>
      <c r="T86" s="58"/>
      <c r="U86" s="58"/>
      <c r="V86" s="58"/>
      <c r="W86" s="58"/>
      <c r="X86" s="58" t="s">
        <v>51</v>
      </c>
      <c r="Y86" s="58"/>
      <c r="Z86" s="58"/>
      <c r="AA86" s="58"/>
      <c r="AB86" s="58"/>
      <c r="AC86" s="58" t="s">
        <v>51</v>
      </c>
      <c r="AD86" s="58"/>
      <c r="AE86" s="58"/>
      <c r="AF86" s="58"/>
      <c r="AG86" s="58"/>
      <c r="AH86" s="58"/>
      <c r="AI86" s="58"/>
    </row>
    <row r="87" spans="1:35" x14ac:dyDescent="0.35">
      <c r="A87" s="63" t="s">
        <v>46</v>
      </c>
      <c r="B87" s="63" t="s">
        <v>1632</v>
      </c>
      <c r="C87" s="64" t="s">
        <v>1740</v>
      </c>
      <c r="D87" s="17" t="s">
        <v>1806</v>
      </c>
      <c r="E87" s="17" t="s">
        <v>1807</v>
      </c>
      <c r="F87" s="20">
        <v>793</v>
      </c>
      <c r="G87" s="20">
        <v>238</v>
      </c>
      <c r="H87" s="19">
        <v>1089</v>
      </c>
      <c r="I87" s="20">
        <v>545</v>
      </c>
      <c r="J87" s="20">
        <v>544</v>
      </c>
      <c r="K87" s="20">
        <v>247</v>
      </c>
      <c r="L87" s="57">
        <f t="shared" si="4"/>
        <v>0.22681359044995408</v>
      </c>
      <c r="M87" s="20">
        <v>262</v>
      </c>
      <c r="N87" s="57">
        <f t="shared" si="5"/>
        <v>0.24058769513314968</v>
      </c>
      <c r="O87" s="46">
        <v>43</v>
      </c>
      <c r="P87" s="46">
        <v>0</v>
      </c>
      <c r="Q87" s="58" t="s">
        <v>51</v>
      </c>
      <c r="R87" s="58">
        <v>2019</v>
      </c>
      <c r="S87" s="58"/>
      <c r="T87" s="58"/>
      <c r="U87" s="58"/>
      <c r="V87" s="58"/>
      <c r="W87" s="58"/>
      <c r="X87" s="58" t="s">
        <v>51</v>
      </c>
      <c r="Y87" s="58"/>
      <c r="Z87" s="58"/>
      <c r="AA87" s="58"/>
      <c r="AB87" s="58"/>
      <c r="AC87" s="58" t="s">
        <v>51</v>
      </c>
      <c r="AD87" s="58"/>
      <c r="AE87" s="58"/>
      <c r="AF87" s="58"/>
      <c r="AG87" s="58"/>
      <c r="AH87" s="58"/>
      <c r="AI87" s="58"/>
    </row>
    <row r="88" spans="1:35" x14ac:dyDescent="0.35">
      <c r="A88" s="63" t="s">
        <v>46</v>
      </c>
      <c r="B88" s="63" t="s">
        <v>1632</v>
      </c>
      <c r="C88" s="64" t="s">
        <v>1740</v>
      </c>
      <c r="D88" s="17" t="s">
        <v>1808</v>
      </c>
      <c r="E88" s="17" t="s">
        <v>1809</v>
      </c>
      <c r="F88" s="20">
        <v>429</v>
      </c>
      <c r="G88" s="20">
        <v>140</v>
      </c>
      <c r="H88" s="19">
        <v>649</v>
      </c>
      <c r="I88" s="20">
        <v>329</v>
      </c>
      <c r="J88" s="20">
        <v>320</v>
      </c>
      <c r="K88" s="20">
        <v>90</v>
      </c>
      <c r="L88" s="57">
        <f t="shared" si="4"/>
        <v>0.13867488443759629</v>
      </c>
      <c r="M88" s="20">
        <v>68</v>
      </c>
      <c r="N88" s="57">
        <f t="shared" si="5"/>
        <v>0.10477657935285054</v>
      </c>
      <c r="O88" s="46">
        <v>49</v>
      </c>
      <c r="P88" s="46">
        <v>0</v>
      </c>
      <c r="Q88" s="58" t="s">
        <v>51</v>
      </c>
      <c r="R88" s="58">
        <v>2019</v>
      </c>
      <c r="S88" s="58"/>
      <c r="T88" s="58"/>
      <c r="U88" s="58"/>
      <c r="V88" s="58"/>
      <c r="W88" s="58"/>
      <c r="X88" s="58" t="s">
        <v>51</v>
      </c>
      <c r="Y88" s="58"/>
      <c r="Z88" s="58"/>
      <c r="AA88" s="58"/>
      <c r="AB88" s="58"/>
      <c r="AC88" s="58" t="s">
        <v>51</v>
      </c>
      <c r="AD88" s="58"/>
      <c r="AE88" s="58"/>
      <c r="AF88" s="58"/>
      <c r="AG88" s="58"/>
      <c r="AH88" s="58"/>
      <c r="AI88" s="58"/>
    </row>
    <row r="89" spans="1:35" x14ac:dyDescent="0.35">
      <c r="A89" s="63" t="s">
        <v>46</v>
      </c>
      <c r="B89" s="63" t="s">
        <v>1632</v>
      </c>
      <c r="C89" s="64" t="s">
        <v>1779</v>
      </c>
      <c r="D89" s="17" t="s">
        <v>1810</v>
      </c>
      <c r="E89" s="17" t="s">
        <v>1811</v>
      </c>
      <c r="F89" s="20">
        <v>129</v>
      </c>
      <c r="G89" s="20">
        <v>58</v>
      </c>
      <c r="H89" s="19">
        <v>225</v>
      </c>
      <c r="I89" s="20">
        <v>121</v>
      </c>
      <c r="J89" s="20">
        <v>104</v>
      </c>
      <c r="K89" s="20">
        <v>16</v>
      </c>
      <c r="L89" s="57">
        <f t="shared" si="4"/>
        <v>7.1111111111111111E-2</v>
      </c>
      <c r="M89" s="20">
        <v>22</v>
      </c>
      <c r="N89" s="57">
        <f t="shared" si="5"/>
        <v>9.7777777777777783E-2</v>
      </c>
      <c r="O89" s="46">
        <v>18</v>
      </c>
      <c r="P89" s="46">
        <v>0</v>
      </c>
      <c r="Q89" s="58" t="s">
        <v>51</v>
      </c>
      <c r="R89" s="58">
        <v>2020</v>
      </c>
      <c r="S89" s="58"/>
      <c r="T89" s="58"/>
      <c r="U89" s="58"/>
      <c r="V89" s="58"/>
      <c r="W89" s="58"/>
      <c r="X89" s="58" t="s">
        <v>51</v>
      </c>
      <c r="Y89" s="58"/>
      <c r="Z89" s="58"/>
      <c r="AA89" s="58"/>
      <c r="AB89" s="58"/>
      <c r="AC89" s="58" t="s">
        <v>51</v>
      </c>
      <c r="AD89" s="58"/>
      <c r="AE89" s="58"/>
      <c r="AF89" s="58"/>
      <c r="AG89" s="58"/>
      <c r="AH89" s="58"/>
      <c r="AI89" s="58"/>
    </row>
  </sheetData>
  <autoFilter ref="A2:AI89">
    <filterColumn colId="33" showButton="0"/>
  </autoFilter>
  <mergeCells count="1">
    <mergeCell ref="AH2:AI2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3"/>
  <sheetViews>
    <sheetView topLeftCell="J1" zoomScale="75" zoomScaleNormal="75" workbookViewId="0">
      <selection activeCell="S7" sqref="S7"/>
    </sheetView>
  </sheetViews>
  <sheetFormatPr defaultColWidth="9.1796875" defaultRowHeight="14.5" x14ac:dyDescent="0.35"/>
  <cols>
    <col min="15" max="35" width="14.1796875" customWidth="1"/>
  </cols>
  <sheetData>
    <row r="1" spans="1:35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4"/>
      <c r="P1" s="4"/>
      <c r="Q1" s="38" t="s">
        <v>0</v>
      </c>
      <c r="R1" s="38" t="s">
        <v>0</v>
      </c>
      <c r="S1" s="38" t="s">
        <v>0</v>
      </c>
      <c r="T1" s="39" t="s">
        <v>0</v>
      </c>
      <c r="U1" s="39" t="s">
        <v>0</v>
      </c>
      <c r="V1" s="38" t="s">
        <v>1</v>
      </c>
      <c r="W1" s="38" t="s">
        <v>1</v>
      </c>
      <c r="X1" s="38" t="s">
        <v>1</v>
      </c>
      <c r="Y1" s="38" t="s">
        <v>1</v>
      </c>
      <c r="Z1" s="38" t="s">
        <v>1</v>
      </c>
      <c r="AA1" s="38" t="s">
        <v>1</v>
      </c>
      <c r="AB1" s="38" t="s">
        <v>2</v>
      </c>
      <c r="AC1" s="40" t="s">
        <v>3</v>
      </c>
      <c r="AD1" s="41" t="s">
        <v>3</v>
      </c>
      <c r="AE1" s="40" t="s">
        <v>3</v>
      </c>
      <c r="AF1" s="40" t="s">
        <v>3</v>
      </c>
      <c r="AG1" s="40" t="s">
        <v>3</v>
      </c>
      <c r="AH1" s="40" t="s">
        <v>3</v>
      </c>
      <c r="AI1" s="40" t="s">
        <v>3</v>
      </c>
    </row>
    <row r="2" spans="1:35" ht="136.25" customHeight="1" x14ac:dyDescent="0.3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5" t="s">
        <v>14</v>
      </c>
      <c r="L2" s="5"/>
      <c r="M2" s="5" t="s">
        <v>15</v>
      </c>
      <c r="N2" s="5"/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2" t="s">
        <v>21</v>
      </c>
      <c r="U2" s="42" t="s">
        <v>22</v>
      </c>
      <c r="V2" s="11" t="s">
        <v>23</v>
      </c>
      <c r="W2" s="4" t="s">
        <v>24</v>
      </c>
      <c r="X2" s="11" t="s">
        <v>25</v>
      </c>
      <c r="Y2" s="4" t="s">
        <v>26</v>
      </c>
      <c r="Z2" s="4" t="s">
        <v>27</v>
      </c>
      <c r="AA2" s="11" t="s">
        <v>28</v>
      </c>
      <c r="AB2" s="43" t="s">
        <v>29</v>
      </c>
      <c r="AC2" s="11" t="s">
        <v>30</v>
      </c>
      <c r="AD2" s="43" t="s">
        <v>31</v>
      </c>
      <c r="AE2" s="11" t="s">
        <v>32</v>
      </c>
      <c r="AF2" s="11" t="s">
        <v>33</v>
      </c>
      <c r="AG2" s="11" t="s">
        <v>34</v>
      </c>
      <c r="AH2" s="1" t="s">
        <v>35</v>
      </c>
      <c r="AI2" s="1"/>
    </row>
    <row r="3" spans="1:35" x14ac:dyDescent="0.35">
      <c r="A3" s="17"/>
      <c r="B3" s="17"/>
      <c r="C3" s="5"/>
      <c r="D3" s="5"/>
      <c r="E3" s="5"/>
      <c r="F3" s="5" t="s">
        <v>37</v>
      </c>
      <c r="G3" s="5" t="s">
        <v>38</v>
      </c>
      <c r="H3" s="5" t="s">
        <v>38</v>
      </c>
      <c r="I3" s="5" t="s">
        <v>38</v>
      </c>
      <c r="J3" s="5" t="s">
        <v>38</v>
      </c>
      <c r="K3" s="5" t="s">
        <v>38</v>
      </c>
      <c r="L3" s="5" t="s">
        <v>39</v>
      </c>
      <c r="M3" s="5"/>
      <c r="N3" s="5" t="s">
        <v>39</v>
      </c>
      <c r="O3" s="5" t="s">
        <v>37</v>
      </c>
      <c r="P3" s="5" t="s">
        <v>37</v>
      </c>
      <c r="Q3" s="5" t="s">
        <v>40</v>
      </c>
      <c r="R3" s="5" t="s">
        <v>41</v>
      </c>
      <c r="S3" s="5" t="s">
        <v>37</v>
      </c>
      <c r="T3" s="44"/>
      <c r="U3" s="44"/>
      <c r="V3" s="5" t="s">
        <v>37</v>
      </c>
      <c r="W3" s="5" t="s">
        <v>37</v>
      </c>
      <c r="X3" s="5" t="s">
        <v>40</v>
      </c>
      <c r="Y3" s="5" t="s">
        <v>40</v>
      </c>
      <c r="Z3" s="5" t="s">
        <v>40</v>
      </c>
      <c r="AA3" s="5" t="s">
        <v>37</v>
      </c>
      <c r="AB3" s="45" t="s">
        <v>42</v>
      </c>
      <c r="AC3" s="5" t="s">
        <v>40</v>
      </c>
      <c r="AD3" s="45" t="s">
        <v>40</v>
      </c>
      <c r="AE3" s="5" t="s">
        <v>40</v>
      </c>
      <c r="AF3" s="5" t="s">
        <v>37</v>
      </c>
      <c r="AG3" s="5" t="s">
        <v>43</v>
      </c>
      <c r="AH3" s="5" t="s">
        <v>44</v>
      </c>
      <c r="AI3" s="5" t="s">
        <v>45</v>
      </c>
    </row>
    <row r="4" spans="1:35" x14ac:dyDescent="0.35">
      <c r="A4" s="17" t="s">
        <v>46</v>
      </c>
      <c r="B4" s="17" t="s">
        <v>46</v>
      </c>
      <c r="C4" s="28" t="s">
        <v>1812</v>
      </c>
      <c r="D4" s="17" t="s">
        <v>1097</v>
      </c>
      <c r="E4" s="17" t="s">
        <v>1813</v>
      </c>
      <c r="F4" s="20">
        <v>149.68</v>
      </c>
      <c r="G4" s="20">
        <v>41</v>
      </c>
      <c r="H4" s="19">
        <v>157</v>
      </c>
      <c r="I4" s="20">
        <v>83</v>
      </c>
      <c r="J4" s="20">
        <v>74</v>
      </c>
      <c r="K4" s="20">
        <v>44</v>
      </c>
      <c r="L4" s="57">
        <f t="shared" ref="L4:L67" si="0">K4/H4</f>
        <v>0.28025477707006369</v>
      </c>
      <c r="M4" s="20">
        <v>0</v>
      </c>
      <c r="N4" s="57">
        <f t="shared" ref="N4:N67" si="1">M4/H4</f>
        <v>0</v>
      </c>
      <c r="O4" s="46">
        <v>11.7</v>
      </c>
      <c r="P4" s="46">
        <v>0</v>
      </c>
      <c r="Q4" s="58" t="s">
        <v>562</v>
      </c>
      <c r="R4" s="58"/>
      <c r="S4" s="58"/>
      <c r="T4" s="58"/>
      <c r="U4" s="58"/>
      <c r="V4" s="58"/>
      <c r="W4" s="58"/>
      <c r="X4" s="58" t="s">
        <v>562</v>
      </c>
      <c r="Y4" s="58"/>
      <c r="Z4" s="58"/>
      <c r="AA4" s="58"/>
      <c r="AB4" s="58"/>
      <c r="AC4" s="58" t="s">
        <v>562</v>
      </c>
      <c r="AD4" s="58"/>
      <c r="AE4" s="58"/>
      <c r="AF4" s="58"/>
      <c r="AG4" s="58"/>
      <c r="AH4" s="58"/>
      <c r="AI4" s="58"/>
    </row>
    <row r="5" spans="1:35" x14ac:dyDescent="0.35">
      <c r="A5" s="17" t="s">
        <v>46</v>
      </c>
      <c r="B5" s="17" t="s">
        <v>46</v>
      </c>
      <c r="C5" s="28" t="s">
        <v>1814</v>
      </c>
      <c r="D5" s="17" t="s">
        <v>123</v>
      </c>
      <c r="E5" s="17" t="s">
        <v>1815</v>
      </c>
      <c r="F5" s="20">
        <v>282.49</v>
      </c>
      <c r="G5" s="20">
        <v>169</v>
      </c>
      <c r="H5" s="19">
        <v>719</v>
      </c>
      <c r="I5" s="20">
        <v>368</v>
      </c>
      <c r="J5" s="20">
        <v>351</v>
      </c>
      <c r="K5" s="20">
        <v>269</v>
      </c>
      <c r="L5" s="57">
        <f t="shared" si="0"/>
        <v>0.37413073713490957</v>
      </c>
      <c r="M5" s="20">
        <v>66</v>
      </c>
      <c r="N5" s="57">
        <f t="shared" si="1"/>
        <v>9.1794158553546598E-2</v>
      </c>
      <c r="O5" s="46">
        <v>29.65</v>
      </c>
      <c r="P5" s="46">
        <v>0</v>
      </c>
      <c r="Q5" s="58" t="s">
        <v>51</v>
      </c>
      <c r="R5" s="58">
        <v>2019</v>
      </c>
      <c r="S5" s="58"/>
      <c r="T5" s="58"/>
      <c r="U5" s="58"/>
      <c r="V5" s="58"/>
      <c r="W5" s="58"/>
      <c r="X5" s="58" t="s">
        <v>51</v>
      </c>
      <c r="Y5" s="58"/>
      <c r="Z5" s="58"/>
      <c r="AA5" s="58"/>
      <c r="AB5" s="58"/>
      <c r="AC5" s="58" t="s">
        <v>51</v>
      </c>
      <c r="AD5" s="58"/>
      <c r="AE5" s="58"/>
      <c r="AF5" s="58"/>
      <c r="AG5" s="58"/>
      <c r="AH5" s="58"/>
      <c r="AI5" s="58"/>
    </row>
    <row r="6" spans="1:35" x14ac:dyDescent="0.35">
      <c r="A6" s="17" t="s">
        <v>46</v>
      </c>
      <c r="B6" s="17" t="s">
        <v>46</v>
      </c>
      <c r="C6" s="28" t="s">
        <v>1816</v>
      </c>
      <c r="D6" s="17" t="s">
        <v>1817</v>
      </c>
      <c r="E6" s="17" t="s">
        <v>1818</v>
      </c>
      <c r="F6" s="20">
        <v>545.01</v>
      </c>
      <c r="G6" s="20">
        <v>165</v>
      </c>
      <c r="H6" s="19">
        <v>722</v>
      </c>
      <c r="I6" s="20">
        <v>374</v>
      </c>
      <c r="J6" s="20">
        <v>348</v>
      </c>
      <c r="K6" s="20">
        <v>122</v>
      </c>
      <c r="L6" s="57">
        <f t="shared" si="0"/>
        <v>0.16897506925207756</v>
      </c>
      <c r="M6" s="20">
        <v>53</v>
      </c>
      <c r="N6" s="57">
        <f t="shared" si="1"/>
        <v>7.3407202216066489E-2</v>
      </c>
      <c r="O6" s="46">
        <v>61.13</v>
      </c>
      <c r="P6" s="46">
        <v>0</v>
      </c>
      <c r="Q6" s="58" t="s">
        <v>51</v>
      </c>
      <c r="R6" s="58">
        <v>2020</v>
      </c>
      <c r="S6" s="58"/>
      <c r="T6" s="58"/>
      <c r="U6" s="58"/>
      <c r="V6" s="58"/>
      <c r="W6" s="58"/>
      <c r="X6" s="58" t="s">
        <v>51</v>
      </c>
      <c r="Y6" s="58"/>
      <c r="Z6" s="58"/>
      <c r="AA6" s="58"/>
      <c r="AB6" s="58"/>
      <c r="AC6" s="58" t="s">
        <v>51</v>
      </c>
      <c r="AD6" s="58"/>
      <c r="AE6" s="58"/>
      <c r="AF6" s="58"/>
      <c r="AG6" s="58"/>
      <c r="AH6" s="58"/>
      <c r="AI6" s="58"/>
    </row>
    <row r="7" spans="1:35" x14ac:dyDescent="0.35">
      <c r="A7" s="17" t="s">
        <v>46</v>
      </c>
      <c r="B7" s="17" t="s">
        <v>46</v>
      </c>
      <c r="C7" s="28" t="s">
        <v>1819</v>
      </c>
      <c r="D7" s="17" t="s">
        <v>1820</v>
      </c>
      <c r="E7" s="17" t="s">
        <v>1821</v>
      </c>
      <c r="F7" s="20">
        <v>682.25</v>
      </c>
      <c r="G7" s="20">
        <v>176</v>
      </c>
      <c r="H7" s="19">
        <v>833</v>
      </c>
      <c r="I7" s="20">
        <v>431</v>
      </c>
      <c r="J7" s="20">
        <v>402</v>
      </c>
      <c r="K7" s="20">
        <v>136</v>
      </c>
      <c r="L7" s="57">
        <f t="shared" si="0"/>
        <v>0.16326530612244897</v>
      </c>
      <c r="M7" s="20">
        <v>49</v>
      </c>
      <c r="N7" s="57">
        <f t="shared" si="1"/>
        <v>5.8823529411764705E-2</v>
      </c>
      <c r="O7" s="46">
        <v>105.41</v>
      </c>
      <c r="P7" s="46">
        <v>0</v>
      </c>
      <c r="Q7" s="58" t="s">
        <v>51</v>
      </c>
      <c r="R7" s="58">
        <v>2020</v>
      </c>
      <c r="S7" s="58"/>
      <c r="T7" s="58"/>
      <c r="U7" s="58"/>
      <c r="V7" s="58"/>
      <c r="W7" s="58"/>
      <c r="X7" s="58" t="s">
        <v>51</v>
      </c>
      <c r="Y7" s="58"/>
      <c r="Z7" s="58"/>
      <c r="AA7" s="58"/>
      <c r="AB7" s="58"/>
      <c r="AC7" s="58" t="s">
        <v>51</v>
      </c>
      <c r="AD7" s="58"/>
      <c r="AE7" s="58"/>
      <c r="AF7" s="58"/>
      <c r="AG7" s="58"/>
      <c r="AH7" s="58"/>
      <c r="AI7" s="58"/>
    </row>
    <row r="8" spans="1:35" x14ac:dyDescent="0.35">
      <c r="A8" s="17" t="s">
        <v>46</v>
      </c>
      <c r="B8" s="17" t="s">
        <v>46</v>
      </c>
      <c r="C8" s="28" t="s">
        <v>1819</v>
      </c>
      <c r="D8" s="17" t="s">
        <v>1822</v>
      </c>
      <c r="E8" s="17" t="s">
        <v>1823</v>
      </c>
      <c r="F8" s="20">
        <v>60.16</v>
      </c>
      <c r="G8" s="20">
        <v>77</v>
      </c>
      <c r="H8" s="19">
        <v>389</v>
      </c>
      <c r="I8" s="20">
        <v>207</v>
      </c>
      <c r="J8" s="20">
        <v>182</v>
      </c>
      <c r="K8" s="20">
        <v>20</v>
      </c>
      <c r="L8" s="57">
        <f t="shared" si="0"/>
        <v>5.1413881748071981E-2</v>
      </c>
      <c r="M8" s="20">
        <v>0</v>
      </c>
      <c r="N8" s="57">
        <f t="shared" si="1"/>
        <v>0</v>
      </c>
      <c r="O8" s="46">
        <v>3.03</v>
      </c>
      <c r="P8" s="46">
        <v>0</v>
      </c>
      <c r="Q8" s="58" t="s">
        <v>51</v>
      </c>
      <c r="R8" s="58">
        <v>2020</v>
      </c>
      <c r="S8" s="58"/>
      <c r="T8" s="58"/>
      <c r="U8" s="58"/>
      <c r="V8" s="58"/>
      <c r="W8" s="58"/>
      <c r="X8" s="58" t="s">
        <v>51</v>
      </c>
      <c r="Y8" s="58"/>
      <c r="Z8" s="58"/>
      <c r="AA8" s="58"/>
      <c r="AB8" s="58"/>
      <c r="AC8" s="58" t="s">
        <v>51</v>
      </c>
      <c r="AD8" s="58"/>
      <c r="AE8" s="58"/>
      <c r="AF8" s="58"/>
      <c r="AG8" s="58"/>
      <c r="AH8" s="58"/>
      <c r="AI8" s="58"/>
    </row>
    <row r="9" spans="1:35" x14ac:dyDescent="0.35">
      <c r="A9" s="17" t="s">
        <v>46</v>
      </c>
      <c r="B9" s="17" t="s">
        <v>46</v>
      </c>
      <c r="C9" s="28" t="s">
        <v>1824</v>
      </c>
      <c r="D9" s="17" t="s">
        <v>1825</v>
      </c>
      <c r="E9" s="17" t="s">
        <v>1826</v>
      </c>
      <c r="F9" s="20">
        <v>463</v>
      </c>
      <c r="G9" s="20">
        <v>154</v>
      </c>
      <c r="H9" s="19">
        <v>781</v>
      </c>
      <c r="I9" s="20">
        <v>368</v>
      </c>
      <c r="J9" s="20">
        <v>413</v>
      </c>
      <c r="K9" s="20">
        <v>20</v>
      </c>
      <c r="L9" s="57">
        <f t="shared" si="0"/>
        <v>2.5608194622279128E-2</v>
      </c>
      <c r="M9" s="20">
        <v>129</v>
      </c>
      <c r="N9" s="57">
        <f t="shared" si="1"/>
        <v>0.16517285531370038</v>
      </c>
      <c r="O9" s="46">
        <v>38</v>
      </c>
      <c r="P9" s="46">
        <v>0</v>
      </c>
      <c r="Q9" s="58" t="s">
        <v>51</v>
      </c>
      <c r="R9" s="58">
        <v>2019</v>
      </c>
      <c r="S9" s="58"/>
      <c r="T9" s="58"/>
      <c r="U9" s="58"/>
      <c r="V9" s="58"/>
      <c r="W9" s="58"/>
      <c r="X9" s="58" t="s">
        <v>51</v>
      </c>
      <c r="Y9" s="58"/>
      <c r="Z9" s="58"/>
      <c r="AA9" s="58"/>
      <c r="AB9" s="58"/>
      <c r="AC9" s="58" t="s">
        <v>51</v>
      </c>
      <c r="AD9" s="58"/>
      <c r="AE9" s="58"/>
      <c r="AF9" s="58"/>
      <c r="AG9" s="58"/>
      <c r="AH9" s="58"/>
      <c r="AI9" s="58"/>
    </row>
    <row r="10" spans="1:35" x14ac:dyDescent="0.35">
      <c r="A10" s="17" t="s">
        <v>46</v>
      </c>
      <c r="B10" s="17" t="s">
        <v>46</v>
      </c>
      <c r="C10" s="28" t="s">
        <v>1819</v>
      </c>
      <c r="D10" s="17" t="s">
        <v>1827</v>
      </c>
      <c r="E10" s="17" t="s">
        <v>1828</v>
      </c>
      <c r="F10" s="20">
        <v>543.69000000000005</v>
      </c>
      <c r="G10" s="20">
        <v>495</v>
      </c>
      <c r="H10" s="19">
        <v>2466</v>
      </c>
      <c r="I10" s="20">
        <v>1229</v>
      </c>
      <c r="J10" s="20">
        <v>1237</v>
      </c>
      <c r="K10" s="20">
        <v>272</v>
      </c>
      <c r="L10" s="57">
        <f t="shared" si="0"/>
        <v>0.11030008110300081</v>
      </c>
      <c r="M10" s="20">
        <v>107</v>
      </c>
      <c r="N10" s="57">
        <f t="shared" si="1"/>
        <v>4.3390105433901052E-2</v>
      </c>
      <c r="O10" s="46">
        <v>28.02</v>
      </c>
      <c r="P10" s="46">
        <v>30.64</v>
      </c>
      <c r="Q10" s="58" t="s">
        <v>51</v>
      </c>
      <c r="R10" s="58">
        <v>2020</v>
      </c>
      <c r="S10" s="58"/>
      <c r="T10" s="58"/>
      <c r="U10" s="58"/>
      <c r="V10" s="58"/>
      <c r="W10" s="58"/>
      <c r="X10" s="58" t="s">
        <v>51</v>
      </c>
      <c r="Y10" s="58"/>
      <c r="Z10" s="58"/>
      <c r="AA10" s="58"/>
      <c r="AB10" s="58"/>
      <c r="AC10" s="58" t="s">
        <v>51</v>
      </c>
      <c r="AD10" s="58"/>
      <c r="AE10" s="58"/>
      <c r="AF10" s="58"/>
      <c r="AG10" s="58"/>
      <c r="AH10" s="58"/>
      <c r="AI10" s="58"/>
    </row>
    <row r="11" spans="1:35" x14ac:dyDescent="0.35">
      <c r="A11" s="17" t="s">
        <v>46</v>
      </c>
      <c r="B11" s="17" t="s">
        <v>46</v>
      </c>
      <c r="C11" s="28" t="s">
        <v>1819</v>
      </c>
      <c r="D11" s="17" t="s">
        <v>1829</v>
      </c>
      <c r="E11" s="17" t="s">
        <v>1830</v>
      </c>
      <c r="F11" s="20">
        <v>701.51</v>
      </c>
      <c r="G11" s="20">
        <v>141</v>
      </c>
      <c r="H11" s="19">
        <v>628</v>
      </c>
      <c r="I11" s="20">
        <v>330</v>
      </c>
      <c r="J11" s="20">
        <v>298</v>
      </c>
      <c r="K11" s="20">
        <v>96</v>
      </c>
      <c r="L11" s="57">
        <f t="shared" si="0"/>
        <v>0.15286624203821655</v>
      </c>
      <c r="M11" s="20">
        <v>128</v>
      </c>
      <c r="N11" s="57">
        <f t="shared" si="1"/>
        <v>0.20382165605095542</v>
      </c>
      <c r="O11" s="46">
        <v>41.16</v>
      </c>
      <c r="P11" s="46">
        <v>331.99</v>
      </c>
      <c r="Q11" s="58" t="s">
        <v>51</v>
      </c>
      <c r="R11" s="58">
        <v>2020</v>
      </c>
      <c r="S11" s="58"/>
      <c r="T11" s="58"/>
      <c r="U11" s="58"/>
      <c r="V11" s="58"/>
      <c r="W11" s="58"/>
      <c r="X11" s="58" t="s">
        <v>51</v>
      </c>
      <c r="Y11" s="58"/>
      <c r="Z11" s="58"/>
      <c r="AA11" s="58"/>
      <c r="AB11" s="58"/>
      <c r="AC11" s="58" t="s">
        <v>51</v>
      </c>
      <c r="AD11" s="58"/>
      <c r="AE11" s="58"/>
      <c r="AF11" s="58"/>
      <c r="AG11" s="58"/>
      <c r="AH11" s="58"/>
      <c r="AI11" s="58"/>
    </row>
    <row r="12" spans="1:35" x14ac:dyDescent="0.35">
      <c r="A12" s="17" t="s">
        <v>46</v>
      </c>
      <c r="B12" s="17" t="s">
        <v>46</v>
      </c>
      <c r="C12" s="28" t="s">
        <v>1819</v>
      </c>
      <c r="D12" s="17" t="s">
        <v>1831</v>
      </c>
      <c r="E12" s="17" t="s">
        <v>1832</v>
      </c>
      <c r="F12" s="20">
        <v>383.86</v>
      </c>
      <c r="G12" s="20">
        <v>196</v>
      </c>
      <c r="H12" s="19">
        <v>911</v>
      </c>
      <c r="I12" s="20">
        <v>441</v>
      </c>
      <c r="J12" s="20">
        <v>470</v>
      </c>
      <c r="K12" s="20">
        <v>101</v>
      </c>
      <c r="L12" s="57">
        <f t="shared" si="0"/>
        <v>0.11086717892425905</v>
      </c>
      <c r="M12" s="20">
        <v>38</v>
      </c>
      <c r="N12" s="57">
        <f t="shared" si="1"/>
        <v>4.1712403951701428E-2</v>
      </c>
      <c r="O12" s="46">
        <v>27.65</v>
      </c>
      <c r="P12" s="46">
        <v>0</v>
      </c>
      <c r="Q12" s="58" t="s">
        <v>51</v>
      </c>
      <c r="R12" s="58">
        <v>2020</v>
      </c>
      <c r="S12" s="58"/>
      <c r="T12" s="58"/>
      <c r="U12" s="58"/>
      <c r="V12" s="58"/>
      <c r="W12" s="58"/>
      <c r="X12" s="58" t="s">
        <v>51</v>
      </c>
      <c r="Y12" s="58"/>
      <c r="Z12" s="58"/>
      <c r="AA12" s="58"/>
      <c r="AB12" s="58"/>
      <c r="AC12" s="58" t="s">
        <v>51</v>
      </c>
      <c r="AD12" s="58"/>
      <c r="AE12" s="58"/>
      <c r="AF12" s="58"/>
      <c r="AG12" s="58"/>
      <c r="AH12" s="58"/>
      <c r="AI12" s="58"/>
    </row>
    <row r="13" spans="1:35" x14ac:dyDescent="0.35">
      <c r="A13" s="17" t="s">
        <v>46</v>
      </c>
      <c r="B13" s="17" t="s">
        <v>46</v>
      </c>
      <c r="C13" s="28" t="s">
        <v>1819</v>
      </c>
      <c r="D13" s="17" t="s">
        <v>1833</v>
      </c>
      <c r="E13" s="17" t="s">
        <v>1834</v>
      </c>
      <c r="F13" s="20">
        <v>161.91999999999999</v>
      </c>
      <c r="G13" s="20">
        <v>86</v>
      </c>
      <c r="H13" s="19">
        <v>358</v>
      </c>
      <c r="I13" s="20">
        <v>179</v>
      </c>
      <c r="J13" s="20">
        <v>179</v>
      </c>
      <c r="K13" s="20">
        <v>8</v>
      </c>
      <c r="L13" s="57">
        <f t="shared" si="0"/>
        <v>2.23463687150838E-2</v>
      </c>
      <c r="M13" s="20">
        <v>37</v>
      </c>
      <c r="N13" s="57">
        <f t="shared" si="1"/>
        <v>0.10335195530726257</v>
      </c>
      <c r="O13" s="46">
        <v>33.47</v>
      </c>
      <c r="P13" s="46">
        <v>0</v>
      </c>
      <c r="Q13" s="58" t="s">
        <v>51</v>
      </c>
      <c r="R13" s="58">
        <v>2020</v>
      </c>
      <c r="S13" s="58"/>
      <c r="T13" s="58"/>
      <c r="U13" s="58"/>
      <c r="V13" s="58"/>
      <c r="W13" s="58"/>
      <c r="X13" s="58" t="s">
        <v>51</v>
      </c>
      <c r="Y13" s="58"/>
      <c r="Z13" s="58"/>
      <c r="AA13" s="58"/>
      <c r="AB13" s="58"/>
      <c r="AC13" s="58" t="s">
        <v>51</v>
      </c>
      <c r="AD13" s="58"/>
      <c r="AE13" s="58"/>
      <c r="AF13" s="58"/>
      <c r="AG13" s="58"/>
      <c r="AH13" s="58"/>
      <c r="AI13" s="58"/>
    </row>
    <row r="14" spans="1:35" x14ac:dyDescent="0.35">
      <c r="A14" s="17" t="s">
        <v>46</v>
      </c>
      <c r="B14" s="17" t="s">
        <v>46</v>
      </c>
      <c r="C14" s="28" t="s">
        <v>1824</v>
      </c>
      <c r="D14" s="17" t="s">
        <v>1835</v>
      </c>
      <c r="E14" s="17" t="s">
        <v>1836</v>
      </c>
      <c r="F14" s="20">
        <v>459</v>
      </c>
      <c r="G14" s="20">
        <v>567</v>
      </c>
      <c r="H14" s="19">
        <v>2502</v>
      </c>
      <c r="I14" s="20">
        <v>1312</v>
      </c>
      <c r="J14" s="20">
        <v>1190</v>
      </c>
      <c r="K14" s="20">
        <v>1112</v>
      </c>
      <c r="L14" s="57">
        <f t="shared" si="0"/>
        <v>0.44444444444444442</v>
      </c>
      <c r="M14" s="20">
        <v>225</v>
      </c>
      <c r="N14" s="57">
        <f t="shared" si="1"/>
        <v>8.9928057553956831E-2</v>
      </c>
      <c r="O14" s="46">
        <v>70</v>
      </c>
      <c r="P14" s="46">
        <v>0</v>
      </c>
      <c r="Q14" s="58" t="s">
        <v>51</v>
      </c>
      <c r="R14" s="58">
        <v>2019</v>
      </c>
      <c r="S14" s="58"/>
      <c r="T14" s="58"/>
      <c r="U14" s="58"/>
      <c r="V14" s="58"/>
      <c r="W14" s="58"/>
      <c r="X14" s="58" t="s">
        <v>51</v>
      </c>
      <c r="Y14" s="58"/>
      <c r="Z14" s="58"/>
      <c r="AA14" s="58"/>
      <c r="AB14" s="58"/>
      <c r="AC14" s="58" t="s">
        <v>51</v>
      </c>
      <c r="AD14" s="58"/>
      <c r="AE14" s="58"/>
      <c r="AF14" s="58"/>
      <c r="AG14" s="58"/>
      <c r="AH14" s="58"/>
      <c r="AI14" s="58"/>
    </row>
    <row r="15" spans="1:35" x14ac:dyDescent="0.35">
      <c r="A15" s="17" t="s">
        <v>46</v>
      </c>
      <c r="B15" s="17" t="s">
        <v>46</v>
      </c>
      <c r="C15" s="28" t="s">
        <v>1824</v>
      </c>
      <c r="D15" s="17" t="s">
        <v>403</v>
      </c>
      <c r="E15" s="17" t="s">
        <v>1837</v>
      </c>
      <c r="F15" s="20">
        <v>336</v>
      </c>
      <c r="G15" s="20">
        <v>126</v>
      </c>
      <c r="H15" s="19">
        <v>558</v>
      </c>
      <c r="I15" s="20">
        <v>271</v>
      </c>
      <c r="J15" s="20">
        <v>287</v>
      </c>
      <c r="K15" s="20">
        <v>55</v>
      </c>
      <c r="L15" s="57">
        <f t="shared" si="0"/>
        <v>9.8566308243727599E-2</v>
      </c>
      <c r="M15" s="20">
        <v>109</v>
      </c>
      <c r="N15" s="57">
        <f t="shared" si="1"/>
        <v>0.19534050179211471</v>
      </c>
      <c r="O15" s="46">
        <v>38</v>
      </c>
      <c r="P15" s="46">
        <v>0</v>
      </c>
      <c r="Q15" s="58" t="s">
        <v>51</v>
      </c>
      <c r="R15" s="58">
        <v>2019</v>
      </c>
      <c r="S15" s="58"/>
      <c r="T15" s="58"/>
      <c r="U15" s="58"/>
      <c r="V15" s="58"/>
      <c r="W15" s="58"/>
      <c r="X15" s="58" t="s">
        <v>51</v>
      </c>
      <c r="Y15" s="58"/>
      <c r="Z15" s="58"/>
      <c r="AA15" s="58"/>
      <c r="AB15" s="58"/>
      <c r="AC15" s="58" t="s">
        <v>51</v>
      </c>
      <c r="AD15" s="58"/>
      <c r="AE15" s="58"/>
      <c r="AF15" s="58"/>
      <c r="AG15" s="58"/>
      <c r="AH15" s="58"/>
      <c r="AI15" s="58"/>
    </row>
    <row r="16" spans="1:35" x14ac:dyDescent="0.35">
      <c r="A16" s="17" t="s">
        <v>46</v>
      </c>
      <c r="B16" s="17" t="s">
        <v>46</v>
      </c>
      <c r="C16" s="28" t="s">
        <v>1838</v>
      </c>
      <c r="D16" s="17" t="s">
        <v>1839</v>
      </c>
      <c r="E16" s="17" t="s">
        <v>1840</v>
      </c>
      <c r="F16" s="20">
        <v>1247.32</v>
      </c>
      <c r="G16" s="20">
        <v>656</v>
      </c>
      <c r="H16" s="19">
        <v>3254</v>
      </c>
      <c r="I16" s="20">
        <v>1625</v>
      </c>
      <c r="J16" s="20">
        <v>1629</v>
      </c>
      <c r="K16" s="20">
        <v>763</v>
      </c>
      <c r="L16" s="57">
        <f t="shared" si="0"/>
        <v>0.23448063921327597</v>
      </c>
      <c r="M16" s="20">
        <v>334</v>
      </c>
      <c r="N16" s="57">
        <f t="shared" si="1"/>
        <v>0.10264290104486785</v>
      </c>
      <c r="O16" s="46">
        <v>150.19999999999999</v>
      </c>
      <c r="P16" s="46">
        <v>0</v>
      </c>
      <c r="Q16" s="58" t="s">
        <v>51</v>
      </c>
      <c r="R16" s="58">
        <v>2020</v>
      </c>
      <c r="S16" s="58"/>
      <c r="T16" s="58"/>
      <c r="U16" s="58"/>
      <c r="V16" s="58"/>
      <c r="W16" s="58"/>
      <c r="X16" s="58" t="s">
        <v>51</v>
      </c>
      <c r="Y16" s="58"/>
      <c r="Z16" s="58"/>
      <c r="AA16" s="58"/>
      <c r="AB16" s="58"/>
      <c r="AC16" s="58" t="s">
        <v>51</v>
      </c>
      <c r="AD16" s="58"/>
      <c r="AE16" s="58"/>
      <c r="AF16" s="58"/>
      <c r="AG16" s="58"/>
      <c r="AH16" s="58"/>
      <c r="AI16" s="58"/>
    </row>
    <row r="17" spans="1:35" x14ac:dyDescent="0.35">
      <c r="A17" s="17" t="s">
        <v>46</v>
      </c>
      <c r="B17" s="17" t="s">
        <v>46</v>
      </c>
      <c r="C17" s="28" t="s">
        <v>1838</v>
      </c>
      <c r="D17" s="17" t="s">
        <v>1841</v>
      </c>
      <c r="E17" s="17" t="s">
        <v>1842</v>
      </c>
      <c r="F17" s="20">
        <v>466.06</v>
      </c>
      <c r="G17" s="20">
        <v>218</v>
      </c>
      <c r="H17" s="19">
        <v>873</v>
      </c>
      <c r="I17" s="20">
        <v>417</v>
      </c>
      <c r="J17" s="20">
        <v>456</v>
      </c>
      <c r="K17" s="20">
        <v>61</v>
      </c>
      <c r="L17" s="57">
        <f t="shared" si="0"/>
        <v>6.9873997709049257E-2</v>
      </c>
      <c r="M17" s="20">
        <v>87</v>
      </c>
      <c r="N17" s="57">
        <f t="shared" si="1"/>
        <v>9.9656357388316158E-2</v>
      </c>
      <c r="O17" s="46">
        <v>67.400000000000006</v>
      </c>
      <c r="P17" s="46">
        <v>0</v>
      </c>
      <c r="Q17" s="58" t="s">
        <v>51</v>
      </c>
      <c r="R17" s="58">
        <v>2020</v>
      </c>
      <c r="S17" s="58"/>
      <c r="T17" s="58"/>
      <c r="U17" s="58"/>
      <c r="V17" s="58"/>
      <c r="W17" s="58"/>
      <c r="X17" s="58" t="s">
        <v>51</v>
      </c>
      <c r="Y17" s="58"/>
      <c r="Z17" s="58"/>
      <c r="AA17" s="58"/>
      <c r="AB17" s="58"/>
      <c r="AC17" s="58" t="s">
        <v>51</v>
      </c>
      <c r="AD17" s="58"/>
      <c r="AE17" s="58"/>
      <c r="AF17" s="58"/>
      <c r="AG17" s="58"/>
      <c r="AH17" s="58"/>
      <c r="AI17" s="58"/>
    </row>
    <row r="18" spans="1:35" x14ac:dyDescent="0.35">
      <c r="A18" s="17" t="s">
        <v>46</v>
      </c>
      <c r="B18" s="17" t="s">
        <v>46</v>
      </c>
      <c r="C18" s="28" t="s">
        <v>1843</v>
      </c>
      <c r="D18" s="17" t="s">
        <v>1844</v>
      </c>
      <c r="E18" s="17" t="s">
        <v>1845</v>
      </c>
      <c r="F18" s="20">
        <v>814.49</v>
      </c>
      <c r="G18" s="20">
        <v>280</v>
      </c>
      <c r="H18" s="19">
        <v>1296</v>
      </c>
      <c r="I18" s="20">
        <v>658</v>
      </c>
      <c r="J18" s="20">
        <v>638</v>
      </c>
      <c r="K18" s="20">
        <v>262</v>
      </c>
      <c r="L18" s="57">
        <f t="shared" si="0"/>
        <v>0.2021604938271605</v>
      </c>
      <c r="M18" s="20">
        <v>24</v>
      </c>
      <c r="N18" s="57">
        <f t="shared" si="1"/>
        <v>1.8518518518518517E-2</v>
      </c>
      <c r="O18" s="46">
        <v>71.61</v>
      </c>
      <c r="P18" s="46">
        <v>0</v>
      </c>
      <c r="Q18" s="58" t="s">
        <v>51</v>
      </c>
      <c r="R18" s="58">
        <v>2020</v>
      </c>
      <c r="S18" s="58"/>
      <c r="T18" s="58"/>
      <c r="U18" s="58"/>
      <c r="V18" s="58"/>
      <c r="W18" s="58"/>
      <c r="X18" s="58" t="s">
        <v>51</v>
      </c>
      <c r="Y18" s="58"/>
      <c r="Z18" s="58"/>
      <c r="AA18" s="58"/>
      <c r="AB18" s="58"/>
      <c r="AC18" s="58" t="s">
        <v>51</v>
      </c>
      <c r="AD18" s="58"/>
      <c r="AE18" s="58"/>
      <c r="AF18" s="58"/>
      <c r="AG18" s="58"/>
      <c r="AH18" s="58"/>
      <c r="AI18" s="58"/>
    </row>
    <row r="19" spans="1:35" x14ac:dyDescent="0.35">
      <c r="A19" s="17" t="s">
        <v>46</v>
      </c>
      <c r="B19" s="17" t="s">
        <v>46</v>
      </c>
      <c r="C19" s="28" t="s">
        <v>1816</v>
      </c>
      <c r="D19" s="17" t="s">
        <v>1846</v>
      </c>
      <c r="E19" s="17" t="s">
        <v>1847</v>
      </c>
      <c r="F19" s="20">
        <v>938.81</v>
      </c>
      <c r="G19" s="20">
        <v>521</v>
      </c>
      <c r="H19" s="19">
        <v>2224</v>
      </c>
      <c r="I19" s="20">
        <v>1117</v>
      </c>
      <c r="J19" s="20">
        <v>1107</v>
      </c>
      <c r="K19" s="20">
        <v>909</v>
      </c>
      <c r="L19" s="57">
        <f t="shared" si="0"/>
        <v>0.40872302158273383</v>
      </c>
      <c r="M19" s="20">
        <v>12</v>
      </c>
      <c r="N19" s="57">
        <f t="shared" si="1"/>
        <v>5.3956834532374104E-3</v>
      </c>
      <c r="O19" s="46">
        <v>94.32</v>
      </c>
      <c r="P19" s="46">
        <v>0</v>
      </c>
      <c r="Q19" s="58" t="s">
        <v>51</v>
      </c>
      <c r="R19" s="58">
        <v>2020</v>
      </c>
      <c r="S19" s="58"/>
      <c r="T19" s="58"/>
      <c r="U19" s="58"/>
      <c r="V19" s="58"/>
      <c r="W19" s="58"/>
      <c r="X19" s="58" t="s">
        <v>51</v>
      </c>
      <c r="Y19" s="58"/>
      <c r="Z19" s="58"/>
      <c r="AA19" s="58"/>
      <c r="AB19" s="58"/>
      <c r="AC19" s="58" t="s">
        <v>51</v>
      </c>
      <c r="AD19" s="58"/>
      <c r="AE19" s="58"/>
      <c r="AF19" s="58"/>
      <c r="AG19" s="58"/>
      <c r="AH19" s="58"/>
      <c r="AI19" s="58"/>
    </row>
    <row r="20" spans="1:35" x14ac:dyDescent="0.35">
      <c r="A20" s="17" t="s">
        <v>46</v>
      </c>
      <c r="B20" s="17" t="s">
        <v>46</v>
      </c>
      <c r="C20" s="28" t="s">
        <v>1816</v>
      </c>
      <c r="D20" s="17" t="s">
        <v>1848</v>
      </c>
      <c r="E20" s="17" t="s">
        <v>1849</v>
      </c>
      <c r="F20" s="20">
        <v>368.41</v>
      </c>
      <c r="G20" s="20">
        <v>128</v>
      </c>
      <c r="H20" s="19">
        <v>616</v>
      </c>
      <c r="I20" s="20">
        <v>316</v>
      </c>
      <c r="J20" s="20">
        <v>300</v>
      </c>
      <c r="K20" s="20">
        <v>64</v>
      </c>
      <c r="L20" s="57">
        <f t="shared" si="0"/>
        <v>0.1038961038961039</v>
      </c>
      <c r="M20" s="20">
        <v>44</v>
      </c>
      <c r="N20" s="57">
        <f t="shared" si="1"/>
        <v>7.1428571428571425E-2</v>
      </c>
      <c r="O20" s="46">
        <v>19.829999999999998</v>
      </c>
      <c r="P20" s="46">
        <v>0</v>
      </c>
      <c r="Q20" s="58" t="s">
        <v>51</v>
      </c>
      <c r="R20" s="58">
        <v>2020</v>
      </c>
      <c r="S20" s="58"/>
      <c r="T20" s="58"/>
      <c r="U20" s="58"/>
      <c r="V20" s="58"/>
      <c r="W20" s="58"/>
      <c r="X20" s="58" t="s">
        <v>51</v>
      </c>
      <c r="Y20" s="58"/>
      <c r="Z20" s="58"/>
      <c r="AA20" s="58"/>
      <c r="AB20" s="58"/>
      <c r="AC20" s="58" t="s">
        <v>51</v>
      </c>
      <c r="AD20" s="58"/>
      <c r="AE20" s="58"/>
      <c r="AF20" s="58"/>
      <c r="AG20" s="58"/>
      <c r="AH20" s="58"/>
      <c r="AI20" s="58"/>
    </row>
    <row r="21" spans="1:35" x14ac:dyDescent="0.35">
      <c r="A21" s="17" t="s">
        <v>46</v>
      </c>
      <c r="B21" s="17" t="s">
        <v>46</v>
      </c>
      <c r="C21" s="28" t="s">
        <v>1843</v>
      </c>
      <c r="D21" s="17" t="s">
        <v>1674</v>
      </c>
      <c r="E21" s="17" t="s">
        <v>1850</v>
      </c>
      <c r="F21" s="20">
        <v>236.77</v>
      </c>
      <c r="G21" s="20">
        <v>126</v>
      </c>
      <c r="H21" s="19">
        <v>649</v>
      </c>
      <c r="I21" s="20">
        <v>321</v>
      </c>
      <c r="J21" s="20">
        <v>328</v>
      </c>
      <c r="K21" s="20">
        <v>107</v>
      </c>
      <c r="L21" s="57">
        <f t="shared" si="0"/>
        <v>0.16486902927580893</v>
      </c>
      <c r="M21" s="20">
        <v>0</v>
      </c>
      <c r="N21" s="57">
        <f t="shared" si="1"/>
        <v>0</v>
      </c>
      <c r="O21" s="46">
        <v>19.68</v>
      </c>
      <c r="P21" s="46">
        <v>0</v>
      </c>
      <c r="Q21" s="58" t="s">
        <v>51</v>
      </c>
      <c r="R21" s="58">
        <v>2020</v>
      </c>
      <c r="S21" s="58"/>
      <c r="T21" s="58"/>
      <c r="U21" s="58"/>
      <c r="V21" s="58"/>
      <c r="W21" s="58"/>
      <c r="X21" s="58" t="s">
        <v>51</v>
      </c>
      <c r="Y21" s="58"/>
      <c r="Z21" s="58"/>
      <c r="AA21" s="58"/>
      <c r="AB21" s="58"/>
      <c r="AC21" s="58" t="s">
        <v>51</v>
      </c>
      <c r="AD21" s="58"/>
      <c r="AE21" s="58"/>
      <c r="AF21" s="58"/>
      <c r="AG21" s="58"/>
      <c r="AH21" s="58"/>
      <c r="AI21" s="58"/>
    </row>
    <row r="22" spans="1:35" x14ac:dyDescent="0.35">
      <c r="A22" s="17" t="s">
        <v>46</v>
      </c>
      <c r="B22" s="17" t="s">
        <v>46</v>
      </c>
      <c r="C22" s="28" t="s">
        <v>1843</v>
      </c>
      <c r="D22" s="17" t="s">
        <v>1851</v>
      </c>
      <c r="E22" s="17" t="s">
        <v>1852</v>
      </c>
      <c r="F22" s="20">
        <v>560.52</v>
      </c>
      <c r="G22" s="20">
        <v>201</v>
      </c>
      <c r="H22" s="19">
        <v>873</v>
      </c>
      <c r="I22" s="20">
        <v>431</v>
      </c>
      <c r="J22" s="20">
        <v>442</v>
      </c>
      <c r="K22" s="20">
        <v>71</v>
      </c>
      <c r="L22" s="57">
        <f t="shared" si="0"/>
        <v>8.1328751431844218E-2</v>
      </c>
      <c r="M22" s="20">
        <v>35</v>
      </c>
      <c r="N22" s="57">
        <f t="shared" si="1"/>
        <v>4.0091638029782363E-2</v>
      </c>
      <c r="O22" s="46">
        <v>38.58</v>
      </c>
      <c r="P22" s="46">
        <v>0</v>
      </c>
      <c r="Q22" s="58" t="s">
        <v>51</v>
      </c>
      <c r="R22" s="58">
        <v>2020</v>
      </c>
      <c r="S22" s="58"/>
      <c r="T22" s="58"/>
      <c r="U22" s="58"/>
      <c r="V22" s="58"/>
      <c r="W22" s="58"/>
      <c r="X22" s="58" t="s">
        <v>51</v>
      </c>
      <c r="Y22" s="58"/>
      <c r="Z22" s="58"/>
      <c r="AA22" s="58"/>
      <c r="AB22" s="58"/>
      <c r="AC22" s="58" t="s">
        <v>51</v>
      </c>
      <c r="AD22" s="58"/>
      <c r="AE22" s="58"/>
      <c r="AF22" s="58"/>
      <c r="AG22" s="58"/>
      <c r="AH22" s="58"/>
      <c r="AI22" s="58"/>
    </row>
    <row r="23" spans="1:35" x14ac:dyDescent="0.35">
      <c r="A23" s="17" t="s">
        <v>46</v>
      </c>
      <c r="B23" s="17" t="s">
        <v>46</v>
      </c>
      <c r="C23" s="28" t="s">
        <v>1843</v>
      </c>
      <c r="D23" s="17" t="s">
        <v>1853</v>
      </c>
      <c r="E23" s="17" t="s">
        <v>1854</v>
      </c>
      <c r="F23" s="20">
        <v>514.84</v>
      </c>
      <c r="G23" s="20">
        <v>233</v>
      </c>
      <c r="H23" s="19">
        <v>1117</v>
      </c>
      <c r="I23" s="20">
        <v>567</v>
      </c>
      <c r="J23" s="20">
        <v>550</v>
      </c>
      <c r="K23" s="20">
        <v>137</v>
      </c>
      <c r="L23" s="57">
        <f t="shared" si="0"/>
        <v>0.12264995523724262</v>
      </c>
      <c r="M23" s="20">
        <v>193</v>
      </c>
      <c r="N23" s="57">
        <f t="shared" si="1"/>
        <v>0.17278424350940019</v>
      </c>
      <c r="O23" s="46">
        <v>33.42</v>
      </c>
      <c r="P23" s="46">
        <v>0</v>
      </c>
      <c r="Q23" s="58" t="s">
        <v>51</v>
      </c>
      <c r="R23" s="58">
        <v>2020</v>
      </c>
      <c r="S23" s="58"/>
      <c r="T23" s="58"/>
      <c r="U23" s="58"/>
      <c r="V23" s="58"/>
      <c r="W23" s="58"/>
      <c r="X23" s="58" t="s">
        <v>51</v>
      </c>
      <c r="Y23" s="58"/>
      <c r="Z23" s="58"/>
      <c r="AA23" s="58"/>
      <c r="AB23" s="58"/>
      <c r="AC23" s="58" t="s">
        <v>51</v>
      </c>
      <c r="AD23" s="58"/>
      <c r="AE23" s="58"/>
      <c r="AF23" s="58"/>
      <c r="AG23" s="58"/>
      <c r="AH23" s="58"/>
      <c r="AI23" s="58"/>
    </row>
    <row r="24" spans="1:35" x14ac:dyDescent="0.35">
      <c r="A24" s="17" t="s">
        <v>46</v>
      </c>
      <c r="B24" s="17" t="s">
        <v>46</v>
      </c>
      <c r="C24" s="28" t="s">
        <v>1855</v>
      </c>
      <c r="D24" s="17" t="s">
        <v>1856</v>
      </c>
      <c r="E24" s="17" t="s">
        <v>1857</v>
      </c>
      <c r="F24" s="20">
        <v>127.47</v>
      </c>
      <c r="G24" s="20">
        <v>84</v>
      </c>
      <c r="H24" s="19">
        <v>433</v>
      </c>
      <c r="I24" s="20">
        <v>236</v>
      </c>
      <c r="J24" s="20">
        <v>197</v>
      </c>
      <c r="K24" s="20">
        <v>3</v>
      </c>
      <c r="L24" s="57">
        <f t="shared" si="0"/>
        <v>6.9284064665127024E-3</v>
      </c>
      <c r="M24" s="20">
        <v>19</v>
      </c>
      <c r="N24" s="57">
        <f t="shared" si="1"/>
        <v>4.3879907621247112E-2</v>
      </c>
      <c r="O24" s="46">
        <v>12</v>
      </c>
      <c r="P24" s="46">
        <v>0</v>
      </c>
      <c r="Q24" s="58" t="s">
        <v>562</v>
      </c>
      <c r="R24" s="58"/>
      <c r="S24" s="58"/>
      <c r="T24" s="58"/>
      <c r="U24" s="58"/>
      <c r="V24" s="58"/>
      <c r="W24" s="58"/>
      <c r="X24" s="58" t="s">
        <v>562</v>
      </c>
      <c r="Y24" s="58"/>
      <c r="Z24" s="58"/>
      <c r="AA24" s="58"/>
      <c r="AB24" s="58"/>
      <c r="AC24" s="58" t="s">
        <v>562</v>
      </c>
      <c r="AD24" s="58"/>
      <c r="AE24" s="58"/>
      <c r="AF24" s="58"/>
      <c r="AG24" s="58"/>
      <c r="AH24" s="58"/>
      <c r="AI24" s="58"/>
    </row>
    <row r="25" spans="1:35" x14ac:dyDescent="0.35">
      <c r="A25" s="17" t="s">
        <v>46</v>
      </c>
      <c r="B25" s="17" t="s">
        <v>46</v>
      </c>
      <c r="C25" s="28" t="s">
        <v>1855</v>
      </c>
      <c r="D25" s="17" t="s">
        <v>1858</v>
      </c>
      <c r="E25" s="17" t="s">
        <v>1859</v>
      </c>
      <c r="F25" s="20">
        <v>1126.23</v>
      </c>
      <c r="G25" s="20">
        <v>558</v>
      </c>
      <c r="H25" s="19">
        <v>2393</v>
      </c>
      <c r="I25" s="20">
        <v>1232</v>
      </c>
      <c r="J25" s="20">
        <v>1161</v>
      </c>
      <c r="K25" s="20">
        <v>414</v>
      </c>
      <c r="L25" s="57">
        <f t="shared" si="0"/>
        <v>0.17300459674049309</v>
      </c>
      <c r="M25" s="20">
        <v>247</v>
      </c>
      <c r="N25" s="57">
        <f t="shared" si="1"/>
        <v>0.10321771834517342</v>
      </c>
      <c r="O25" s="46">
        <v>102</v>
      </c>
      <c r="P25" s="46">
        <v>0</v>
      </c>
      <c r="Q25" s="58" t="s">
        <v>562</v>
      </c>
      <c r="R25" s="58"/>
      <c r="S25" s="58"/>
      <c r="T25" s="58"/>
      <c r="U25" s="58"/>
      <c r="V25" s="58"/>
      <c r="W25" s="58"/>
      <c r="X25" s="58" t="s">
        <v>562</v>
      </c>
      <c r="Y25" s="58"/>
      <c r="Z25" s="58"/>
      <c r="AA25" s="58"/>
      <c r="AB25" s="58"/>
      <c r="AC25" s="58" t="s">
        <v>562</v>
      </c>
      <c r="AD25" s="58"/>
      <c r="AE25" s="58"/>
      <c r="AF25" s="58"/>
      <c r="AG25" s="58"/>
      <c r="AH25" s="58"/>
      <c r="AI25" s="58"/>
    </row>
    <row r="26" spans="1:35" x14ac:dyDescent="0.35">
      <c r="A26" s="17" t="s">
        <v>46</v>
      </c>
      <c r="B26" s="17" t="s">
        <v>46</v>
      </c>
      <c r="C26" s="28" t="s">
        <v>1855</v>
      </c>
      <c r="D26" s="17" t="s">
        <v>1860</v>
      </c>
      <c r="E26" s="17" t="s">
        <v>1861</v>
      </c>
      <c r="F26" s="20">
        <v>418.7</v>
      </c>
      <c r="G26" s="20">
        <v>171</v>
      </c>
      <c r="H26" s="19">
        <v>669</v>
      </c>
      <c r="I26" s="20">
        <v>349</v>
      </c>
      <c r="J26" s="20">
        <v>320</v>
      </c>
      <c r="K26" s="20">
        <v>132</v>
      </c>
      <c r="L26" s="57">
        <f t="shared" si="0"/>
        <v>0.19730941704035873</v>
      </c>
      <c r="M26" s="20">
        <v>122</v>
      </c>
      <c r="N26" s="57">
        <f t="shared" si="1"/>
        <v>0.18236173393124067</v>
      </c>
      <c r="O26" s="46">
        <v>47</v>
      </c>
      <c r="P26" s="46">
        <v>0</v>
      </c>
      <c r="Q26" s="58" t="s">
        <v>562</v>
      </c>
      <c r="R26" s="58"/>
      <c r="S26" s="58"/>
      <c r="T26" s="58"/>
      <c r="U26" s="58"/>
      <c r="V26" s="58"/>
      <c r="W26" s="58"/>
      <c r="X26" s="58" t="s">
        <v>562</v>
      </c>
      <c r="Y26" s="58"/>
      <c r="Z26" s="58"/>
      <c r="AA26" s="58"/>
      <c r="AB26" s="58"/>
      <c r="AC26" s="58" t="s">
        <v>562</v>
      </c>
      <c r="AD26" s="58"/>
      <c r="AE26" s="58"/>
      <c r="AF26" s="58"/>
      <c r="AG26" s="58"/>
      <c r="AH26" s="58"/>
      <c r="AI26" s="58"/>
    </row>
    <row r="27" spans="1:35" x14ac:dyDescent="0.35">
      <c r="A27" s="17" t="s">
        <v>46</v>
      </c>
      <c r="B27" s="17" t="s">
        <v>46</v>
      </c>
      <c r="C27" s="28" t="s">
        <v>1855</v>
      </c>
      <c r="D27" s="17" t="s">
        <v>1862</v>
      </c>
      <c r="E27" s="17" t="s">
        <v>1863</v>
      </c>
      <c r="F27" s="20">
        <v>295.27999999999997</v>
      </c>
      <c r="G27" s="20">
        <v>149</v>
      </c>
      <c r="H27" s="19">
        <v>635</v>
      </c>
      <c r="I27" s="20">
        <v>331</v>
      </c>
      <c r="J27" s="20">
        <v>304</v>
      </c>
      <c r="K27" s="20">
        <v>196</v>
      </c>
      <c r="L27" s="57">
        <f t="shared" si="0"/>
        <v>0.30866141732283464</v>
      </c>
      <c r="M27" s="20">
        <v>31</v>
      </c>
      <c r="N27" s="57">
        <f t="shared" si="1"/>
        <v>4.8818897637795275E-2</v>
      </c>
      <c r="O27" s="46">
        <v>44</v>
      </c>
      <c r="P27" s="46">
        <v>0</v>
      </c>
      <c r="Q27" s="58" t="s">
        <v>562</v>
      </c>
      <c r="R27" s="58"/>
      <c r="S27" s="58"/>
      <c r="T27" s="58"/>
      <c r="U27" s="58"/>
      <c r="V27" s="58"/>
      <c r="W27" s="58"/>
      <c r="X27" s="58" t="s">
        <v>562</v>
      </c>
      <c r="Y27" s="58"/>
      <c r="Z27" s="58"/>
      <c r="AA27" s="58"/>
      <c r="AB27" s="58"/>
      <c r="AC27" s="58" t="s">
        <v>562</v>
      </c>
      <c r="AD27" s="58"/>
      <c r="AE27" s="58"/>
      <c r="AF27" s="58"/>
      <c r="AG27" s="58"/>
      <c r="AH27" s="58"/>
      <c r="AI27" s="58"/>
    </row>
    <row r="28" spans="1:35" x14ac:dyDescent="0.35">
      <c r="A28" s="17" t="s">
        <v>46</v>
      </c>
      <c r="B28" s="17" t="s">
        <v>46</v>
      </c>
      <c r="C28" s="28" t="s">
        <v>1864</v>
      </c>
      <c r="D28" s="17" t="s">
        <v>1865</v>
      </c>
      <c r="E28" s="17" t="s">
        <v>1866</v>
      </c>
      <c r="F28" s="20">
        <v>365.83</v>
      </c>
      <c r="G28" s="20">
        <v>154</v>
      </c>
      <c r="H28" s="19">
        <v>708</v>
      </c>
      <c r="I28" s="20">
        <v>368</v>
      </c>
      <c r="J28" s="20">
        <v>340</v>
      </c>
      <c r="K28" s="20">
        <v>246</v>
      </c>
      <c r="L28" s="57">
        <f t="shared" si="0"/>
        <v>0.34745762711864409</v>
      </c>
      <c r="M28" s="20">
        <v>67</v>
      </c>
      <c r="N28" s="57">
        <f t="shared" si="1"/>
        <v>9.4632768361581923E-2</v>
      </c>
      <c r="O28" s="46">
        <v>31.92</v>
      </c>
      <c r="P28" s="46">
        <v>0</v>
      </c>
      <c r="Q28" s="58" t="s">
        <v>51</v>
      </c>
      <c r="R28" s="58">
        <v>2020</v>
      </c>
      <c r="S28" s="58"/>
      <c r="T28" s="58"/>
      <c r="U28" s="58"/>
      <c r="V28" s="58"/>
      <c r="W28" s="58"/>
      <c r="X28" s="58" t="s">
        <v>51</v>
      </c>
      <c r="Y28" s="58"/>
      <c r="Z28" s="58"/>
      <c r="AA28" s="58"/>
      <c r="AB28" s="58"/>
      <c r="AC28" s="58" t="s">
        <v>51</v>
      </c>
      <c r="AD28" s="58"/>
      <c r="AE28" s="58"/>
      <c r="AF28" s="58"/>
      <c r="AG28" s="58"/>
      <c r="AH28" s="58"/>
      <c r="AI28" s="58"/>
    </row>
    <row r="29" spans="1:35" x14ac:dyDescent="0.35">
      <c r="A29" s="17" t="s">
        <v>46</v>
      </c>
      <c r="B29" s="17" t="s">
        <v>46</v>
      </c>
      <c r="C29" s="28" t="s">
        <v>1864</v>
      </c>
      <c r="D29" s="17" t="s">
        <v>151</v>
      </c>
      <c r="E29" s="17" t="s">
        <v>1867</v>
      </c>
      <c r="F29" s="20">
        <v>84.42</v>
      </c>
      <c r="G29" s="20">
        <v>89</v>
      </c>
      <c r="H29" s="19">
        <v>464</v>
      </c>
      <c r="I29" s="20">
        <v>228</v>
      </c>
      <c r="J29" s="20">
        <v>236</v>
      </c>
      <c r="K29" s="20">
        <v>71</v>
      </c>
      <c r="L29" s="57">
        <f t="shared" si="0"/>
        <v>0.15301724137931033</v>
      </c>
      <c r="M29" s="20">
        <v>0</v>
      </c>
      <c r="N29" s="57">
        <f t="shared" si="1"/>
        <v>0</v>
      </c>
      <c r="O29" s="46">
        <v>17.5</v>
      </c>
      <c r="P29" s="46">
        <v>0</v>
      </c>
      <c r="Q29" s="58" t="s">
        <v>51</v>
      </c>
      <c r="R29" s="58">
        <v>2019</v>
      </c>
      <c r="S29" s="58"/>
      <c r="T29" s="58"/>
      <c r="U29" s="58"/>
      <c r="V29" s="58"/>
      <c r="W29" s="58"/>
      <c r="X29" s="58" t="s">
        <v>51</v>
      </c>
      <c r="Y29" s="58"/>
      <c r="Z29" s="58"/>
      <c r="AA29" s="58"/>
      <c r="AB29" s="58"/>
      <c r="AC29" s="58" t="s">
        <v>51</v>
      </c>
      <c r="AD29" s="58"/>
      <c r="AE29" s="58"/>
      <c r="AF29" s="58"/>
      <c r="AG29" s="58"/>
      <c r="AH29" s="58"/>
      <c r="AI29" s="58"/>
    </row>
    <row r="30" spans="1:35" x14ac:dyDescent="0.35">
      <c r="A30" s="17" t="s">
        <v>46</v>
      </c>
      <c r="B30" s="17" t="s">
        <v>46</v>
      </c>
      <c r="C30" s="28" t="s">
        <v>1868</v>
      </c>
      <c r="D30" s="17" t="s">
        <v>1869</v>
      </c>
      <c r="E30" s="17" t="s">
        <v>1870</v>
      </c>
      <c r="F30" s="20">
        <v>336</v>
      </c>
      <c r="G30" s="20">
        <v>198</v>
      </c>
      <c r="H30" s="19">
        <v>858</v>
      </c>
      <c r="I30" s="20">
        <v>436</v>
      </c>
      <c r="J30" s="20">
        <v>422</v>
      </c>
      <c r="K30" s="20">
        <v>69</v>
      </c>
      <c r="L30" s="57">
        <f t="shared" si="0"/>
        <v>8.0419580419580416E-2</v>
      </c>
      <c r="M30" s="20">
        <v>86</v>
      </c>
      <c r="N30" s="57">
        <f t="shared" si="1"/>
        <v>0.10023310023310024</v>
      </c>
      <c r="O30" s="46">
        <v>54</v>
      </c>
      <c r="P30" s="46">
        <v>0</v>
      </c>
      <c r="Q30" s="58" t="s">
        <v>51</v>
      </c>
      <c r="R30" s="58">
        <v>2020</v>
      </c>
      <c r="S30" s="58"/>
      <c r="T30" s="58"/>
      <c r="U30" s="58"/>
      <c r="V30" s="58"/>
      <c r="W30" s="58"/>
      <c r="X30" s="58" t="s">
        <v>51</v>
      </c>
      <c r="Y30" s="58"/>
      <c r="Z30" s="58"/>
      <c r="AA30" s="58"/>
      <c r="AB30" s="58"/>
      <c r="AC30" s="58" t="s">
        <v>51</v>
      </c>
      <c r="AD30" s="58"/>
      <c r="AE30" s="58"/>
      <c r="AF30" s="58"/>
      <c r="AG30" s="58"/>
      <c r="AH30" s="58"/>
      <c r="AI30" s="58"/>
    </row>
    <row r="31" spans="1:35" x14ac:dyDescent="0.35">
      <c r="A31" s="17" t="s">
        <v>46</v>
      </c>
      <c r="B31" s="17" t="s">
        <v>46</v>
      </c>
      <c r="C31" s="28" t="s">
        <v>1868</v>
      </c>
      <c r="D31" s="17" t="s">
        <v>1871</v>
      </c>
      <c r="E31" s="17" t="s">
        <v>1872</v>
      </c>
      <c r="F31" s="20">
        <v>886</v>
      </c>
      <c r="G31" s="20">
        <v>394</v>
      </c>
      <c r="H31" s="19">
        <v>1760</v>
      </c>
      <c r="I31" s="20">
        <v>877</v>
      </c>
      <c r="J31" s="20">
        <v>883</v>
      </c>
      <c r="K31" s="20">
        <v>334</v>
      </c>
      <c r="L31" s="57">
        <f t="shared" si="0"/>
        <v>0.18977272727272726</v>
      </c>
      <c r="M31" s="20">
        <v>126</v>
      </c>
      <c r="N31" s="57">
        <f t="shared" si="1"/>
        <v>7.1590909090909094E-2</v>
      </c>
      <c r="O31" s="46">
        <v>109</v>
      </c>
      <c r="P31" s="46">
        <v>0</v>
      </c>
      <c r="Q31" s="58" t="s">
        <v>51</v>
      </c>
      <c r="R31" s="58">
        <v>2020</v>
      </c>
      <c r="S31" s="58"/>
      <c r="T31" s="58"/>
      <c r="U31" s="58"/>
      <c r="V31" s="58"/>
      <c r="W31" s="58"/>
      <c r="X31" s="58" t="s">
        <v>51</v>
      </c>
      <c r="Y31" s="58"/>
      <c r="Z31" s="58"/>
      <c r="AA31" s="58"/>
      <c r="AB31" s="58"/>
      <c r="AC31" s="58" t="s">
        <v>51</v>
      </c>
      <c r="AD31" s="58"/>
      <c r="AE31" s="58"/>
      <c r="AF31" s="58"/>
      <c r="AG31" s="58"/>
      <c r="AH31" s="58"/>
      <c r="AI31" s="58"/>
    </row>
    <row r="32" spans="1:35" x14ac:dyDescent="0.35">
      <c r="A32" s="17" t="s">
        <v>46</v>
      </c>
      <c r="B32" s="17" t="s">
        <v>46</v>
      </c>
      <c r="C32" s="28" t="s">
        <v>1873</v>
      </c>
      <c r="D32" s="17" t="s">
        <v>1874</v>
      </c>
      <c r="E32" s="17" t="s">
        <v>1875</v>
      </c>
      <c r="F32" s="20">
        <v>753</v>
      </c>
      <c r="G32" s="20">
        <v>310</v>
      </c>
      <c r="H32" s="19">
        <v>1321</v>
      </c>
      <c r="I32" s="20">
        <v>647</v>
      </c>
      <c r="J32" s="20">
        <v>674</v>
      </c>
      <c r="K32" s="20">
        <v>89</v>
      </c>
      <c r="L32" s="57">
        <f t="shared" si="0"/>
        <v>6.737320211960636E-2</v>
      </c>
      <c r="M32" s="20">
        <v>172</v>
      </c>
      <c r="N32" s="57">
        <f t="shared" si="1"/>
        <v>0.13020439061317185</v>
      </c>
      <c r="O32" s="46">
        <v>92</v>
      </c>
      <c r="P32" s="46">
        <v>35</v>
      </c>
      <c r="Q32" s="58" t="s">
        <v>51</v>
      </c>
      <c r="R32" s="58">
        <v>2020</v>
      </c>
      <c r="S32" s="58"/>
      <c r="T32" s="58"/>
      <c r="U32" s="58"/>
      <c r="V32" s="58"/>
      <c r="W32" s="58"/>
      <c r="X32" s="58" t="s">
        <v>51</v>
      </c>
      <c r="Y32" s="58"/>
      <c r="Z32" s="58"/>
      <c r="AA32" s="58"/>
      <c r="AB32" s="58"/>
      <c r="AC32" s="58" t="s">
        <v>51</v>
      </c>
      <c r="AD32" s="58"/>
      <c r="AE32" s="58"/>
      <c r="AF32" s="58"/>
      <c r="AG32" s="58"/>
      <c r="AH32" s="58"/>
      <c r="AI32" s="58"/>
    </row>
    <row r="33" spans="1:35" x14ac:dyDescent="0.35">
      <c r="A33" s="17" t="s">
        <v>46</v>
      </c>
      <c r="B33" s="17" t="s">
        <v>46</v>
      </c>
      <c r="C33" s="28" t="s">
        <v>1873</v>
      </c>
      <c r="D33" s="17" t="s">
        <v>1876</v>
      </c>
      <c r="E33" s="17" t="s">
        <v>1877</v>
      </c>
      <c r="F33" s="20">
        <v>291</v>
      </c>
      <c r="G33" s="20">
        <v>80</v>
      </c>
      <c r="H33" s="19">
        <v>381</v>
      </c>
      <c r="I33" s="20">
        <v>188</v>
      </c>
      <c r="J33" s="20">
        <v>193</v>
      </c>
      <c r="K33" s="20">
        <v>12</v>
      </c>
      <c r="L33" s="57">
        <f t="shared" si="0"/>
        <v>3.1496062992125984E-2</v>
      </c>
      <c r="M33" s="20">
        <v>78</v>
      </c>
      <c r="N33" s="57">
        <f t="shared" si="1"/>
        <v>0.20472440944881889</v>
      </c>
      <c r="O33" s="46">
        <v>43</v>
      </c>
      <c r="P33" s="46">
        <v>0</v>
      </c>
      <c r="Q33" s="58" t="s">
        <v>51</v>
      </c>
      <c r="R33" s="58">
        <v>2020</v>
      </c>
      <c r="S33" s="58"/>
      <c r="T33" s="58"/>
      <c r="U33" s="58"/>
      <c r="V33" s="58"/>
      <c r="W33" s="58"/>
      <c r="X33" s="58" t="s">
        <v>51</v>
      </c>
      <c r="Y33" s="58"/>
      <c r="Z33" s="58"/>
      <c r="AA33" s="58"/>
      <c r="AB33" s="58"/>
      <c r="AC33" s="58" t="s">
        <v>51</v>
      </c>
      <c r="AD33" s="58"/>
      <c r="AE33" s="58"/>
      <c r="AF33" s="58"/>
      <c r="AG33" s="58"/>
      <c r="AH33" s="58"/>
      <c r="AI33" s="58"/>
    </row>
    <row r="34" spans="1:35" x14ac:dyDescent="0.35">
      <c r="A34" s="17" t="s">
        <v>46</v>
      </c>
      <c r="B34" s="17" t="s">
        <v>46</v>
      </c>
      <c r="C34" s="28" t="s">
        <v>1878</v>
      </c>
      <c r="D34" s="17" t="s">
        <v>1879</v>
      </c>
      <c r="E34" s="17" t="s">
        <v>1880</v>
      </c>
      <c r="F34" s="20">
        <v>542</v>
      </c>
      <c r="G34" s="20">
        <v>460</v>
      </c>
      <c r="H34" s="19">
        <v>2565</v>
      </c>
      <c r="I34" s="20">
        <v>1304</v>
      </c>
      <c r="J34" s="20">
        <v>1261</v>
      </c>
      <c r="K34" s="20">
        <v>399</v>
      </c>
      <c r="L34" s="57">
        <f t="shared" si="0"/>
        <v>0.15555555555555556</v>
      </c>
      <c r="M34" s="20">
        <v>9</v>
      </c>
      <c r="N34" s="57">
        <f t="shared" si="1"/>
        <v>3.5087719298245615E-3</v>
      </c>
      <c r="O34" s="46">
        <v>43</v>
      </c>
      <c r="P34" s="46">
        <v>0</v>
      </c>
      <c r="Q34" s="58" t="s">
        <v>51</v>
      </c>
      <c r="R34" s="58">
        <v>2020</v>
      </c>
      <c r="S34" s="58"/>
      <c r="T34" s="58"/>
      <c r="U34" s="58"/>
      <c r="V34" s="58"/>
      <c r="W34" s="58"/>
      <c r="X34" s="58" t="s">
        <v>51</v>
      </c>
      <c r="Y34" s="58"/>
      <c r="Z34" s="58"/>
      <c r="AA34" s="58"/>
      <c r="AB34" s="58"/>
      <c r="AC34" s="58" t="s">
        <v>51</v>
      </c>
      <c r="AD34" s="58"/>
      <c r="AE34" s="58"/>
      <c r="AF34" s="58"/>
      <c r="AG34" s="58"/>
      <c r="AH34" s="58"/>
      <c r="AI34" s="58"/>
    </row>
    <row r="35" spans="1:35" x14ac:dyDescent="0.35">
      <c r="A35" s="17" t="s">
        <v>46</v>
      </c>
      <c r="B35" s="17" t="s">
        <v>46</v>
      </c>
      <c r="C35" s="28" t="s">
        <v>1873</v>
      </c>
      <c r="D35" s="17" t="s">
        <v>1881</v>
      </c>
      <c r="E35" s="17" t="s">
        <v>1882</v>
      </c>
      <c r="F35" s="20">
        <v>212</v>
      </c>
      <c r="G35" s="20">
        <v>150</v>
      </c>
      <c r="H35" s="19">
        <v>668</v>
      </c>
      <c r="I35" s="20">
        <v>336</v>
      </c>
      <c r="J35" s="20">
        <v>332</v>
      </c>
      <c r="K35" s="20">
        <v>60</v>
      </c>
      <c r="L35" s="57">
        <f t="shared" si="0"/>
        <v>8.9820359281437126E-2</v>
      </c>
      <c r="M35" s="20">
        <v>3</v>
      </c>
      <c r="N35" s="57">
        <f t="shared" si="1"/>
        <v>4.4910179640718561E-3</v>
      </c>
      <c r="O35" s="46">
        <v>40</v>
      </c>
      <c r="P35" s="46">
        <v>0</v>
      </c>
      <c r="Q35" s="58" t="s">
        <v>51</v>
      </c>
      <c r="R35" s="58">
        <v>2020</v>
      </c>
      <c r="S35" s="58"/>
      <c r="T35" s="58"/>
      <c r="U35" s="58"/>
      <c r="V35" s="58"/>
      <c r="W35" s="58"/>
      <c r="X35" s="58" t="s">
        <v>51</v>
      </c>
      <c r="Y35" s="58"/>
      <c r="Z35" s="58"/>
      <c r="AA35" s="58"/>
      <c r="AB35" s="58"/>
      <c r="AC35" s="58" t="s">
        <v>51</v>
      </c>
      <c r="AD35" s="58"/>
      <c r="AE35" s="58"/>
      <c r="AF35" s="58"/>
      <c r="AG35" s="58"/>
      <c r="AH35" s="58"/>
      <c r="AI35" s="58"/>
    </row>
    <row r="36" spans="1:35" x14ac:dyDescent="0.35">
      <c r="A36" s="17" t="s">
        <v>46</v>
      </c>
      <c r="B36" s="17" t="s">
        <v>46</v>
      </c>
      <c r="C36" s="28" t="s">
        <v>1873</v>
      </c>
      <c r="D36" s="17" t="s">
        <v>1883</v>
      </c>
      <c r="E36" s="17" t="s">
        <v>1884</v>
      </c>
      <c r="F36" s="20">
        <v>279</v>
      </c>
      <c r="G36" s="20">
        <v>855</v>
      </c>
      <c r="H36" s="19">
        <v>3223</v>
      </c>
      <c r="I36" s="20">
        <v>1658</v>
      </c>
      <c r="J36" s="20">
        <v>1565</v>
      </c>
      <c r="K36" s="20">
        <v>316</v>
      </c>
      <c r="L36" s="57">
        <f t="shared" si="0"/>
        <v>9.8045299410487119E-2</v>
      </c>
      <c r="M36" s="20">
        <v>236</v>
      </c>
      <c r="N36" s="57">
        <f t="shared" si="1"/>
        <v>7.3223704623022023E-2</v>
      </c>
      <c r="O36" s="46">
        <v>12</v>
      </c>
      <c r="P36" s="46">
        <v>0</v>
      </c>
      <c r="Q36" s="58" t="s">
        <v>562</v>
      </c>
      <c r="R36" s="58"/>
      <c r="S36" s="58"/>
      <c r="T36" s="58"/>
      <c r="U36" s="58"/>
      <c r="V36" s="58"/>
      <c r="W36" s="58"/>
      <c r="X36" s="58" t="s">
        <v>562</v>
      </c>
      <c r="Y36" s="58"/>
      <c r="Z36" s="58"/>
      <c r="AA36" s="58"/>
      <c r="AB36" s="58"/>
      <c r="AC36" s="58" t="s">
        <v>562</v>
      </c>
      <c r="AD36" s="58"/>
      <c r="AE36" s="58"/>
      <c r="AF36" s="58"/>
      <c r="AG36" s="58"/>
      <c r="AH36" s="58"/>
      <c r="AI36" s="58"/>
    </row>
    <row r="37" spans="1:35" x14ac:dyDescent="0.35">
      <c r="A37" s="17" t="s">
        <v>46</v>
      </c>
      <c r="B37" s="17" t="s">
        <v>46</v>
      </c>
      <c r="C37" s="28" t="s">
        <v>1878</v>
      </c>
      <c r="D37" s="17" t="s">
        <v>1885</v>
      </c>
      <c r="E37" s="17" t="s">
        <v>1886</v>
      </c>
      <c r="F37" s="20">
        <v>290</v>
      </c>
      <c r="G37" s="20">
        <v>379</v>
      </c>
      <c r="H37" s="19">
        <v>1795</v>
      </c>
      <c r="I37" s="20">
        <v>888</v>
      </c>
      <c r="J37" s="20">
        <v>907</v>
      </c>
      <c r="K37" s="20">
        <v>716</v>
      </c>
      <c r="L37" s="57">
        <f t="shared" si="0"/>
        <v>0.39888579387186629</v>
      </c>
      <c r="M37" s="20">
        <v>109</v>
      </c>
      <c r="N37" s="57">
        <f t="shared" si="1"/>
        <v>6.0724233983286906E-2</v>
      </c>
      <c r="O37" s="46">
        <v>14</v>
      </c>
      <c r="P37" s="46">
        <v>0</v>
      </c>
      <c r="Q37" s="58" t="s">
        <v>51</v>
      </c>
      <c r="R37" s="58">
        <v>2020</v>
      </c>
      <c r="S37" s="58"/>
      <c r="T37" s="58"/>
      <c r="U37" s="58"/>
      <c r="V37" s="58"/>
      <c r="W37" s="58"/>
      <c r="X37" s="58" t="s">
        <v>51</v>
      </c>
      <c r="Y37" s="58"/>
      <c r="Z37" s="58"/>
      <c r="AA37" s="58"/>
      <c r="AB37" s="58"/>
      <c r="AC37" s="58" t="s">
        <v>51</v>
      </c>
      <c r="AD37" s="58"/>
      <c r="AE37" s="58"/>
      <c r="AF37" s="58"/>
      <c r="AG37" s="58"/>
      <c r="AH37" s="58"/>
      <c r="AI37" s="58"/>
    </row>
    <row r="38" spans="1:35" x14ac:dyDescent="0.35">
      <c r="A38" s="17" t="s">
        <v>46</v>
      </c>
      <c r="B38" s="17" t="s">
        <v>46</v>
      </c>
      <c r="C38" s="28" t="s">
        <v>1878</v>
      </c>
      <c r="D38" s="17" t="s">
        <v>1887</v>
      </c>
      <c r="E38" s="17" t="s">
        <v>1888</v>
      </c>
      <c r="F38" s="20">
        <v>359</v>
      </c>
      <c r="G38" s="20">
        <v>331</v>
      </c>
      <c r="H38" s="19">
        <v>1644</v>
      </c>
      <c r="I38" s="20">
        <v>861</v>
      </c>
      <c r="J38" s="20">
        <v>783</v>
      </c>
      <c r="K38" s="20">
        <v>273</v>
      </c>
      <c r="L38" s="57">
        <f t="shared" si="0"/>
        <v>0.16605839416058393</v>
      </c>
      <c r="M38" s="20">
        <v>160</v>
      </c>
      <c r="N38" s="57">
        <f t="shared" si="1"/>
        <v>9.7323600973236016E-2</v>
      </c>
      <c r="O38" s="46">
        <v>40</v>
      </c>
      <c r="P38" s="46">
        <v>0</v>
      </c>
      <c r="Q38" s="58" t="s">
        <v>51</v>
      </c>
      <c r="R38" s="58">
        <v>2020</v>
      </c>
      <c r="S38" s="58"/>
      <c r="T38" s="58"/>
      <c r="U38" s="58"/>
      <c r="V38" s="58"/>
      <c r="W38" s="58"/>
      <c r="X38" s="58" t="s">
        <v>51</v>
      </c>
      <c r="Y38" s="58"/>
      <c r="Z38" s="58"/>
      <c r="AA38" s="58"/>
      <c r="AB38" s="58"/>
      <c r="AC38" s="58" t="s">
        <v>51</v>
      </c>
      <c r="AD38" s="58"/>
      <c r="AE38" s="58"/>
      <c r="AF38" s="58"/>
      <c r="AG38" s="58"/>
      <c r="AH38" s="58"/>
      <c r="AI38" s="58"/>
    </row>
    <row r="39" spans="1:35" x14ac:dyDescent="0.35">
      <c r="A39" s="17" t="s">
        <v>46</v>
      </c>
      <c r="B39" s="17" t="s">
        <v>46</v>
      </c>
      <c r="C39" s="28" t="s">
        <v>1878</v>
      </c>
      <c r="D39" s="17" t="s">
        <v>1889</v>
      </c>
      <c r="E39" s="17" t="s">
        <v>1890</v>
      </c>
      <c r="F39" s="20">
        <v>429</v>
      </c>
      <c r="G39" s="20">
        <v>26</v>
      </c>
      <c r="H39" s="19">
        <v>126</v>
      </c>
      <c r="I39" s="20">
        <v>64</v>
      </c>
      <c r="J39" s="20">
        <v>62</v>
      </c>
      <c r="K39" s="20">
        <v>0</v>
      </c>
      <c r="L39" s="57">
        <f t="shared" si="0"/>
        <v>0</v>
      </c>
      <c r="M39" s="20">
        <v>45</v>
      </c>
      <c r="N39" s="57">
        <f t="shared" si="1"/>
        <v>0.35714285714285715</v>
      </c>
      <c r="O39" s="46">
        <v>34</v>
      </c>
      <c r="P39" s="46">
        <v>0</v>
      </c>
      <c r="Q39" s="58" t="s">
        <v>51</v>
      </c>
      <c r="R39" s="58">
        <v>2020</v>
      </c>
      <c r="S39" s="58"/>
      <c r="T39" s="58"/>
      <c r="U39" s="58"/>
      <c r="V39" s="58"/>
      <c r="W39" s="58"/>
      <c r="X39" s="58" t="s">
        <v>51</v>
      </c>
      <c r="Y39" s="58"/>
      <c r="Z39" s="58"/>
      <c r="AA39" s="58"/>
      <c r="AB39" s="58"/>
      <c r="AC39" s="58" t="s">
        <v>51</v>
      </c>
      <c r="AD39" s="58"/>
      <c r="AE39" s="58"/>
      <c r="AF39" s="58"/>
      <c r="AG39" s="58"/>
      <c r="AH39" s="58"/>
      <c r="AI39" s="58"/>
    </row>
    <row r="40" spans="1:35" x14ac:dyDescent="0.35">
      <c r="A40" s="17" t="s">
        <v>46</v>
      </c>
      <c r="B40" s="17" t="s">
        <v>46</v>
      </c>
      <c r="C40" s="28" t="s">
        <v>1891</v>
      </c>
      <c r="D40" s="17" t="s">
        <v>1892</v>
      </c>
      <c r="E40" s="17" t="s">
        <v>1893</v>
      </c>
      <c r="F40" s="20">
        <v>181.7</v>
      </c>
      <c r="G40" s="20">
        <v>17</v>
      </c>
      <c r="H40" s="19">
        <v>90</v>
      </c>
      <c r="I40" s="20">
        <v>47</v>
      </c>
      <c r="J40" s="20">
        <v>43</v>
      </c>
      <c r="K40" s="20">
        <v>0</v>
      </c>
      <c r="L40" s="57">
        <f t="shared" si="0"/>
        <v>0</v>
      </c>
      <c r="M40" s="20">
        <v>0</v>
      </c>
      <c r="N40" s="57">
        <f t="shared" si="1"/>
        <v>0</v>
      </c>
      <c r="O40" s="46">
        <v>18.14</v>
      </c>
      <c r="P40" s="46">
        <v>0</v>
      </c>
      <c r="Q40" s="58" t="s">
        <v>51</v>
      </c>
      <c r="R40" s="58">
        <v>2020</v>
      </c>
      <c r="S40" s="58"/>
      <c r="T40" s="58"/>
      <c r="U40" s="58"/>
      <c r="V40" s="58"/>
      <c r="W40" s="58"/>
      <c r="X40" s="58" t="s">
        <v>51</v>
      </c>
      <c r="Y40" s="58"/>
      <c r="Z40" s="58"/>
      <c r="AA40" s="58"/>
      <c r="AB40" s="58"/>
      <c r="AC40" s="58" t="s">
        <v>51</v>
      </c>
      <c r="AD40" s="58"/>
      <c r="AE40" s="58"/>
      <c r="AF40" s="58"/>
      <c r="AG40" s="58"/>
      <c r="AH40" s="58"/>
      <c r="AI40" s="58"/>
    </row>
    <row r="41" spans="1:35" x14ac:dyDescent="0.35">
      <c r="A41" s="17" t="s">
        <v>46</v>
      </c>
      <c r="B41" s="17" t="s">
        <v>46</v>
      </c>
      <c r="C41" s="28" t="s">
        <v>1891</v>
      </c>
      <c r="D41" s="17" t="s">
        <v>1894</v>
      </c>
      <c r="E41" s="17" t="s">
        <v>1895</v>
      </c>
      <c r="F41" s="20">
        <v>342.22</v>
      </c>
      <c r="G41" s="20">
        <v>160</v>
      </c>
      <c r="H41" s="19">
        <v>766</v>
      </c>
      <c r="I41" s="20">
        <v>394</v>
      </c>
      <c r="J41" s="20">
        <v>372</v>
      </c>
      <c r="K41" s="20">
        <v>158</v>
      </c>
      <c r="L41" s="57">
        <f t="shared" si="0"/>
        <v>0.20626631853785901</v>
      </c>
      <c r="M41" s="20">
        <v>182</v>
      </c>
      <c r="N41" s="57">
        <f t="shared" si="1"/>
        <v>0.23759791122715404</v>
      </c>
      <c r="O41" s="46">
        <v>50.19</v>
      </c>
      <c r="P41" s="46">
        <v>0</v>
      </c>
      <c r="Q41" s="58" t="s">
        <v>562</v>
      </c>
      <c r="R41" s="58"/>
      <c r="S41" s="58"/>
      <c r="T41" s="58"/>
      <c r="U41" s="58"/>
      <c r="V41" s="58"/>
      <c r="W41" s="58"/>
      <c r="X41" s="58" t="s">
        <v>562</v>
      </c>
      <c r="Y41" s="58"/>
      <c r="Z41" s="58"/>
      <c r="AA41" s="58"/>
      <c r="AB41" s="58"/>
      <c r="AC41" s="58" t="s">
        <v>562</v>
      </c>
      <c r="AD41" s="58"/>
      <c r="AE41" s="58"/>
      <c r="AF41" s="58"/>
      <c r="AG41" s="58"/>
      <c r="AH41" s="58"/>
      <c r="AI41" s="58"/>
    </row>
    <row r="42" spans="1:35" x14ac:dyDescent="0.35">
      <c r="A42" s="17" t="s">
        <v>46</v>
      </c>
      <c r="B42" s="17" t="s">
        <v>46</v>
      </c>
      <c r="C42" s="28" t="s">
        <v>1891</v>
      </c>
      <c r="D42" s="17" t="s">
        <v>1896</v>
      </c>
      <c r="E42" s="17" t="s">
        <v>1897</v>
      </c>
      <c r="F42" s="20">
        <v>470.81</v>
      </c>
      <c r="G42" s="20">
        <v>249</v>
      </c>
      <c r="H42" s="19">
        <v>1160</v>
      </c>
      <c r="I42" s="20">
        <v>592</v>
      </c>
      <c r="J42" s="20">
        <v>568</v>
      </c>
      <c r="K42" s="20">
        <v>581</v>
      </c>
      <c r="L42" s="57">
        <f t="shared" si="0"/>
        <v>0.50086206896551722</v>
      </c>
      <c r="M42" s="20">
        <v>61</v>
      </c>
      <c r="N42" s="57">
        <f t="shared" si="1"/>
        <v>5.2586206896551725E-2</v>
      </c>
      <c r="O42" s="46">
        <v>33.729999999999997</v>
      </c>
      <c r="P42" s="46">
        <v>159.9</v>
      </c>
      <c r="Q42" s="58" t="s">
        <v>51</v>
      </c>
      <c r="R42" s="58">
        <v>2020</v>
      </c>
      <c r="S42" s="58"/>
      <c r="T42" s="58"/>
      <c r="U42" s="58"/>
      <c r="V42" s="58"/>
      <c r="W42" s="58"/>
      <c r="X42" s="58" t="s">
        <v>51</v>
      </c>
      <c r="Y42" s="58"/>
      <c r="Z42" s="58"/>
      <c r="AA42" s="58"/>
      <c r="AB42" s="58"/>
      <c r="AC42" s="58" t="s">
        <v>51</v>
      </c>
      <c r="AD42" s="58"/>
      <c r="AE42" s="58"/>
      <c r="AF42" s="58"/>
      <c r="AG42" s="58"/>
      <c r="AH42" s="58"/>
      <c r="AI42" s="58"/>
    </row>
    <row r="43" spans="1:35" x14ac:dyDescent="0.35">
      <c r="A43" s="17" t="s">
        <v>46</v>
      </c>
      <c r="B43" s="17" t="s">
        <v>46</v>
      </c>
      <c r="C43" s="28" t="s">
        <v>1891</v>
      </c>
      <c r="D43" s="17" t="s">
        <v>1898</v>
      </c>
      <c r="E43" s="17" t="s">
        <v>1899</v>
      </c>
      <c r="F43" s="20">
        <v>97.39</v>
      </c>
      <c r="G43" s="20">
        <v>53</v>
      </c>
      <c r="H43" s="19">
        <v>270</v>
      </c>
      <c r="I43" s="20">
        <v>143</v>
      </c>
      <c r="J43" s="20">
        <v>127</v>
      </c>
      <c r="K43" s="20">
        <v>0</v>
      </c>
      <c r="L43" s="57">
        <f t="shared" si="0"/>
        <v>0</v>
      </c>
      <c r="M43" s="20">
        <v>52</v>
      </c>
      <c r="N43" s="57">
        <f t="shared" si="1"/>
        <v>0.19259259259259259</v>
      </c>
      <c r="O43" s="46">
        <v>22.51</v>
      </c>
      <c r="P43" s="46">
        <v>0</v>
      </c>
      <c r="Q43" s="58" t="s">
        <v>51</v>
      </c>
      <c r="R43" s="58">
        <v>2020</v>
      </c>
      <c r="S43" s="58"/>
      <c r="T43" s="58"/>
      <c r="U43" s="58"/>
      <c r="V43" s="58"/>
      <c r="W43" s="58"/>
      <c r="X43" s="58" t="s">
        <v>51</v>
      </c>
      <c r="Y43" s="58"/>
      <c r="Z43" s="58"/>
      <c r="AA43" s="58"/>
      <c r="AB43" s="58"/>
      <c r="AC43" s="58" t="s">
        <v>51</v>
      </c>
      <c r="AD43" s="58"/>
      <c r="AE43" s="58"/>
      <c r="AF43" s="58"/>
      <c r="AG43" s="58"/>
      <c r="AH43" s="58"/>
      <c r="AI43" s="58"/>
    </row>
    <row r="44" spans="1:35" x14ac:dyDescent="0.35">
      <c r="A44" s="17" t="s">
        <v>46</v>
      </c>
      <c r="B44" s="17" t="s">
        <v>46</v>
      </c>
      <c r="C44" s="28" t="s">
        <v>1900</v>
      </c>
      <c r="D44" s="17" t="s">
        <v>1901</v>
      </c>
      <c r="E44" s="17" t="s">
        <v>1902</v>
      </c>
      <c r="F44" s="20">
        <v>107.33</v>
      </c>
      <c r="G44" s="20">
        <v>299</v>
      </c>
      <c r="H44" s="19">
        <v>1205</v>
      </c>
      <c r="I44" s="20">
        <v>634</v>
      </c>
      <c r="J44" s="20">
        <v>571</v>
      </c>
      <c r="K44" s="20">
        <v>1051</v>
      </c>
      <c r="L44" s="57">
        <f t="shared" si="0"/>
        <v>0.87219917012448134</v>
      </c>
      <c r="M44" s="20">
        <v>5</v>
      </c>
      <c r="N44" s="57">
        <f t="shared" si="1"/>
        <v>4.1493775933609959E-3</v>
      </c>
      <c r="O44" s="46">
        <v>7.38</v>
      </c>
      <c r="P44" s="46">
        <v>0</v>
      </c>
      <c r="Q44" s="58" t="s">
        <v>51</v>
      </c>
      <c r="R44" s="58">
        <v>2020</v>
      </c>
      <c r="S44" s="58"/>
      <c r="T44" s="58"/>
      <c r="U44" s="58"/>
      <c r="V44" s="58"/>
      <c r="W44" s="58"/>
      <c r="X44" s="58" t="s">
        <v>51</v>
      </c>
      <c r="Y44" s="58"/>
      <c r="Z44" s="58"/>
      <c r="AA44" s="58"/>
      <c r="AB44" s="58"/>
      <c r="AC44" s="58" t="s">
        <v>51</v>
      </c>
      <c r="AD44" s="58"/>
      <c r="AE44" s="58"/>
      <c r="AF44" s="58"/>
      <c r="AG44" s="58"/>
      <c r="AH44" s="58"/>
      <c r="AI44" s="58"/>
    </row>
    <row r="45" spans="1:35" x14ac:dyDescent="0.35">
      <c r="A45" s="17" t="s">
        <v>46</v>
      </c>
      <c r="B45" s="17" t="s">
        <v>46</v>
      </c>
      <c r="C45" s="28" t="s">
        <v>1891</v>
      </c>
      <c r="D45" s="17" t="s">
        <v>1903</v>
      </c>
      <c r="E45" s="17" t="s">
        <v>1904</v>
      </c>
      <c r="F45" s="20">
        <v>554.26</v>
      </c>
      <c r="G45" s="20">
        <v>342</v>
      </c>
      <c r="H45" s="19">
        <v>1726</v>
      </c>
      <c r="I45" s="20">
        <v>877</v>
      </c>
      <c r="J45" s="20">
        <v>849</v>
      </c>
      <c r="K45" s="20">
        <v>167</v>
      </c>
      <c r="L45" s="57">
        <f t="shared" si="0"/>
        <v>9.6755504055619931E-2</v>
      </c>
      <c r="M45" s="20">
        <v>212</v>
      </c>
      <c r="N45" s="57">
        <f t="shared" si="1"/>
        <v>0.12282734646581692</v>
      </c>
      <c r="O45" s="46">
        <v>13.38</v>
      </c>
      <c r="P45" s="46">
        <v>24.27</v>
      </c>
      <c r="Q45" s="58" t="s">
        <v>51</v>
      </c>
      <c r="R45" s="58">
        <v>2020</v>
      </c>
      <c r="S45" s="58"/>
      <c r="T45" s="58"/>
      <c r="U45" s="58"/>
      <c r="V45" s="58"/>
      <c r="W45" s="58"/>
      <c r="X45" s="58" t="s">
        <v>51</v>
      </c>
      <c r="Y45" s="58"/>
      <c r="Z45" s="58"/>
      <c r="AA45" s="58"/>
      <c r="AB45" s="58"/>
      <c r="AC45" s="58" t="s">
        <v>51</v>
      </c>
      <c r="AD45" s="58"/>
      <c r="AE45" s="58"/>
      <c r="AF45" s="58"/>
      <c r="AG45" s="58"/>
      <c r="AH45" s="58"/>
      <c r="AI45" s="58"/>
    </row>
    <row r="46" spans="1:35" x14ac:dyDescent="0.35">
      <c r="A46" s="17" t="s">
        <v>46</v>
      </c>
      <c r="B46" s="17" t="s">
        <v>46</v>
      </c>
      <c r="C46" s="28" t="s">
        <v>1900</v>
      </c>
      <c r="D46" s="17" t="s">
        <v>565</v>
      </c>
      <c r="E46" s="17" t="s">
        <v>1905</v>
      </c>
      <c r="F46" s="20">
        <v>419.92</v>
      </c>
      <c r="G46" s="20">
        <v>518</v>
      </c>
      <c r="H46" s="19">
        <v>2766</v>
      </c>
      <c r="I46" s="20">
        <v>1383</v>
      </c>
      <c r="J46" s="20">
        <v>1383</v>
      </c>
      <c r="K46" s="20">
        <v>977</v>
      </c>
      <c r="L46" s="57">
        <f t="shared" si="0"/>
        <v>0.35321764280549528</v>
      </c>
      <c r="M46" s="20">
        <v>221</v>
      </c>
      <c r="N46" s="57">
        <f t="shared" si="1"/>
        <v>7.9898770788141726E-2</v>
      </c>
      <c r="O46" s="46">
        <v>42.62</v>
      </c>
      <c r="P46" s="46">
        <v>0</v>
      </c>
      <c r="Q46" s="58" t="s">
        <v>562</v>
      </c>
      <c r="R46" s="58"/>
      <c r="S46" s="58"/>
      <c r="T46" s="58"/>
      <c r="U46" s="58"/>
      <c r="V46" s="58"/>
      <c r="W46" s="58"/>
      <c r="X46" s="58" t="s">
        <v>562</v>
      </c>
      <c r="Y46" s="58"/>
      <c r="Z46" s="58"/>
      <c r="AA46" s="58"/>
      <c r="AB46" s="58"/>
      <c r="AC46" s="58" t="s">
        <v>562</v>
      </c>
      <c r="AD46" s="58"/>
      <c r="AE46" s="58"/>
      <c r="AF46" s="58"/>
      <c r="AG46" s="58"/>
      <c r="AH46" s="58"/>
      <c r="AI46" s="58"/>
    </row>
    <row r="47" spans="1:35" x14ac:dyDescent="0.35">
      <c r="A47" s="17" t="s">
        <v>46</v>
      </c>
      <c r="B47" s="17" t="s">
        <v>46</v>
      </c>
      <c r="C47" s="28" t="s">
        <v>1906</v>
      </c>
      <c r="D47" s="17" t="s">
        <v>1907</v>
      </c>
      <c r="E47" s="17" t="s">
        <v>1908</v>
      </c>
      <c r="F47" s="20">
        <v>111.54</v>
      </c>
      <c r="G47" s="20">
        <v>283</v>
      </c>
      <c r="H47" s="19">
        <v>1273</v>
      </c>
      <c r="I47" s="20">
        <v>640</v>
      </c>
      <c r="J47" s="20">
        <v>633</v>
      </c>
      <c r="K47" s="20">
        <v>122</v>
      </c>
      <c r="L47" s="57">
        <f t="shared" si="0"/>
        <v>9.5836606441476832E-2</v>
      </c>
      <c r="M47" s="20">
        <v>369</v>
      </c>
      <c r="N47" s="57">
        <f t="shared" si="1"/>
        <v>0.28986645718774551</v>
      </c>
      <c r="O47" s="46">
        <v>0</v>
      </c>
      <c r="P47" s="46">
        <v>0</v>
      </c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</row>
    <row r="48" spans="1:35" x14ac:dyDescent="0.35">
      <c r="A48" s="17" t="s">
        <v>46</v>
      </c>
      <c r="B48" s="17" t="s">
        <v>46</v>
      </c>
      <c r="C48" s="28" t="s">
        <v>1909</v>
      </c>
      <c r="D48" s="17" t="s">
        <v>1910</v>
      </c>
      <c r="E48" s="17" t="s">
        <v>1911</v>
      </c>
      <c r="F48" s="20">
        <v>236.5</v>
      </c>
      <c r="G48" s="20">
        <v>63</v>
      </c>
      <c r="H48" s="19">
        <v>290</v>
      </c>
      <c r="I48" s="20">
        <v>144</v>
      </c>
      <c r="J48" s="20">
        <v>146</v>
      </c>
      <c r="K48" s="20">
        <v>37</v>
      </c>
      <c r="L48" s="57">
        <f t="shared" si="0"/>
        <v>0.12758620689655173</v>
      </c>
      <c r="M48" s="20">
        <v>98</v>
      </c>
      <c r="N48" s="57">
        <f t="shared" si="1"/>
        <v>0.33793103448275863</v>
      </c>
      <c r="O48" s="46">
        <v>26.17</v>
      </c>
      <c r="P48" s="46">
        <v>0</v>
      </c>
      <c r="Q48" s="58" t="s">
        <v>51</v>
      </c>
      <c r="R48" s="58">
        <v>2020</v>
      </c>
      <c r="S48" s="58"/>
      <c r="T48" s="58"/>
      <c r="U48" s="58"/>
      <c r="V48" s="58"/>
      <c r="W48" s="58"/>
      <c r="X48" s="58" t="s">
        <v>51</v>
      </c>
      <c r="Y48" s="58"/>
      <c r="Z48" s="58"/>
      <c r="AA48" s="58"/>
      <c r="AB48" s="58"/>
      <c r="AC48" s="58" t="s">
        <v>51</v>
      </c>
      <c r="AD48" s="58"/>
      <c r="AE48" s="58"/>
      <c r="AF48" s="58"/>
      <c r="AG48" s="58"/>
      <c r="AH48" s="58"/>
      <c r="AI48" s="58"/>
    </row>
    <row r="49" spans="1:35" x14ac:dyDescent="0.35">
      <c r="A49" s="17" t="s">
        <v>46</v>
      </c>
      <c r="B49" s="17" t="s">
        <v>46</v>
      </c>
      <c r="C49" s="28" t="s">
        <v>1912</v>
      </c>
      <c r="D49" s="17" t="s">
        <v>1913</v>
      </c>
      <c r="E49" s="17" t="s">
        <v>1914</v>
      </c>
      <c r="F49" s="20">
        <v>345.11</v>
      </c>
      <c r="G49" s="20">
        <v>29</v>
      </c>
      <c r="H49" s="19">
        <v>136</v>
      </c>
      <c r="I49" s="20">
        <v>64</v>
      </c>
      <c r="J49" s="20">
        <v>72</v>
      </c>
      <c r="K49" s="20">
        <v>0</v>
      </c>
      <c r="L49" s="57">
        <f t="shared" si="0"/>
        <v>0</v>
      </c>
      <c r="M49" s="20">
        <v>74</v>
      </c>
      <c r="N49" s="57">
        <f t="shared" si="1"/>
        <v>0.54411764705882348</v>
      </c>
      <c r="O49" s="46">
        <v>7</v>
      </c>
      <c r="P49" s="46">
        <v>274.3</v>
      </c>
      <c r="Q49" s="58" t="s">
        <v>51</v>
      </c>
      <c r="R49" s="58">
        <v>2020</v>
      </c>
      <c r="S49" s="58"/>
      <c r="T49" s="58"/>
      <c r="U49" s="58"/>
      <c r="V49" s="58"/>
      <c r="W49" s="58"/>
      <c r="X49" s="58" t="s">
        <v>51</v>
      </c>
      <c r="Y49" s="58"/>
      <c r="Z49" s="58"/>
      <c r="AA49" s="58"/>
      <c r="AB49" s="58"/>
      <c r="AC49" s="58" t="s">
        <v>51</v>
      </c>
      <c r="AD49" s="58"/>
      <c r="AE49" s="58"/>
      <c r="AF49" s="58"/>
      <c r="AG49" s="58"/>
      <c r="AH49" s="58"/>
      <c r="AI49" s="58"/>
    </row>
    <row r="50" spans="1:35" x14ac:dyDescent="0.35">
      <c r="A50" s="17" t="s">
        <v>46</v>
      </c>
      <c r="B50" s="17" t="s">
        <v>46</v>
      </c>
      <c r="C50" s="28" t="s">
        <v>1912</v>
      </c>
      <c r="D50" s="17" t="s">
        <v>1915</v>
      </c>
      <c r="E50" s="17" t="s">
        <v>1916</v>
      </c>
      <c r="F50" s="20">
        <v>303.43</v>
      </c>
      <c r="G50" s="20">
        <v>102</v>
      </c>
      <c r="H50" s="19">
        <v>499</v>
      </c>
      <c r="I50" s="20">
        <v>266</v>
      </c>
      <c r="J50" s="20">
        <v>233</v>
      </c>
      <c r="K50" s="20">
        <v>170</v>
      </c>
      <c r="L50" s="57">
        <f t="shared" si="0"/>
        <v>0.34068136272545091</v>
      </c>
      <c r="M50" s="20">
        <v>226</v>
      </c>
      <c r="N50" s="57">
        <f t="shared" si="1"/>
        <v>0.4529058116232465</v>
      </c>
      <c r="O50" s="46">
        <v>12.1</v>
      </c>
      <c r="P50" s="46">
        <v>31</v>
      </c>
      <c r="Q50" s="58" t="s">
        <v>51</v>
      </c>
      <c r="R50" s="58">
        <v>2019</v>
      </c>
      <c r="S50" s="58"/>
      <c r="T50" s="58"/>
      <c r="U50" s="58"/>
      <c r="V50" s="58"/>
      <c r="W50" s="58"/>
      <c r="X50" s="58" t="s">
        <v>51</v>
      </c>
      <c r="Y50" s="58"/>
      <c r="Z50" s="58"/>
      <c r="AA50" s="58"/>
      <c r="AB50" s="58"/>
      <c r="AC50" s="58" t="s">
        <v>51</v>
      </c>
      <c r="AD50" s="58"/>
      <c r="AE50" s="58"/>
      <c r="AF50" s="58"/>
      <c r="AG50" s="58"/>
      <c r="AH50" s="58"/>
      <c r="AI50" s="58"/>
    </row>
    <row r="51" spans="1:35" x14ac:dyDescent="0.35">
      <c r="A51" s="17" t="s">
        <v>46</v>
      </c>
      <c r="B51" s="17" t="s">
        <v>46</v>
      </c>
      <c r="C51" s="28" t="s">
        <v>1912</v>
      </c>
      <c r="D51" s="17" t="s">
        <v>1917</v>
      </c>
      <c r="E51" s="17" t="s">
        <v>1918</v>
      </c>
      <c r="F51" s="20">
        <v>484.14</v>
      </c>
      <c r="G51" s="20">
        <v>364</v>
      </c>
      <c r="H51" s="19">
        <v>1741</v>
      </c>
      <c r="I51" s="20">
        <v>891</v>
      </c>
      <c r="J51" s="20">
        <v>850</v>
      </c>
      <c r="K51" s="20">
        <v>708</v>
      </c>
      <c r="L51" s="57">
        <f t="shared" si="0"/>
        <v>0.40666283744974152</v>
      </c>
      <c r="M51" s="20">
        <v>0</v>
      </c>
      <c r="N51" s="57">
        <f t="shared" si="1"/>
        <v>0</v>
      </c>
      <c r="O51" s="46">
        <v>0</v>
      </c>
      <c r="P51" s="46">
        <v>96.04</v>
      </c>
      <c r="Q51" s="58" t="s">
        <v>562</v>
      </c>
      <c r="R51" s="58"/>
      <c r="S51" s="58"/>
      <c r="T51" s="58"/>
      <c r="U51" s="58"/>
      <c r="V51" s="58"/>
      <c r="W51" s="58"/>
      <c r="X51" s="58" t="s">
        <v>562</v>
      </c>
      <c r="Y51" s="58"/>
      <c r="Z51" s="58"/>
      <c r="AA51" s="58"/>
      <c r="AB51" s="58"/>
      <c r="AC51" s="58" t="s">
        <v>562</v>
      </c>
      <c r="AD51" s="58"/>
      <c r="AE51" s="58"/>
      <c r="AF51" s="58"/>
      <c r="AG51" s="58"/>
      <c r="AH51" s="58"/>
      <c r="AI51" s="58"/>
    </row>
    <row r="52" spans="1:35" x14ac:dyDescent="0.35">
      <c r="A52" s="17" t="s">
        <v>46</v>
      </c>
      <c r="B52" s="17" t="s">
        <v>46</v>
      </c>
      <c r="C52" s="28" t="s">
        <v>1912</v>
      </c>
      <c r="D52" s="17" t="s">
        <v>1919</v>
      </c>
      <c r="E52" s="17" t="s">
        <v>1920</v>
      </c>
      <c r="F52" s="20">
        <v>464.15</v>
      </c>
      <c r="G52" s="20">
        <v>147</v>
      </c>
      <c r="H52" s="19">
        <v>671</v>
      </c>
      <c r="I52" s="20">
        <v>329</v>
      </c>
      <c r="J52" s="20">
        <v>342</v>
      </c>
      <c r="K52" s="20">
        <v>287</v>
      </c>
      <c r="L52" s="57">
        <f t="shared" si="0"/>
        <v>0.42771982116244411</v>
      </c>
      <c r="M52" s="20">
        <v>13</v>
      </c>
      <c r="N52" s="57">
        <f t="shared" si="1"/>
        <v>1.9374068554396422E-2</v>
      </c>
      <c r="O52" s="46">
        <v>0</v>
      </c>
      <c r="P52" s="46">
        <v>92.08</v>
      </c>
      <c r="Q52" s="58" t="s">
        <v>51</v>
      </c>
      <c r="R52" s="58">
        <v>2019</v>
      </c>
      <c r="S52" s="58"/>
      <c r="T52" s="58"/>
      <c r="U52" s="58"/>
      <c r="V52" s="58"/>
      <c r="W52" s="58"/>
      <c r="X52" s="58" t="s">
        <v>51</v>
      </c>
      <c r="Y52" s="58"/>
      <c r="Z52" s="58"/>
      <c r="AA52" s="58"/>
      <c r="AB52" s="58"/>
      <c r="AC52" s="58" t="s">
        <v>51</v>
      </c>
      <c r="AD52" s="58"/>
      <c r="AE52" s="58"/>
      <c r="AF52" s="58"/>
      <c r="AG52" s="58"/>
      <c r="AH52" s="58"/>
      <c r="AI52" s="58"/>
    </row>
    <row r="53" spans="1:35" x14ac:dyDescent="0.35">
      <c r="A53" s="17" t="s">
        <v>46</v>
      </c>
      <c r="B53" s="17" t="s">
        <v>46</v>
      </c>
      <c r="C53" s="28" t="s">
        <v>1912</v>
      </c>
      <c r="D53" s="17" t="s">
        <v>1921</v>
      </c>
      <c r="E53" s="17" t="s">
        <v>1922</v>
      </c>
      <c r="F53" s="20">
        <v>704.86</v>
      </c>
      <c r="G53" s="20">
        <v>190</v>
      </c>
      <c r="H53" s="19">
        <v>979</v>
      </c>
      <c r="I53" s="20">
        <v>505</v>
      </c>
      <c r="J53" s="20">
        <v>474</v>
      </c>
      <c r="K53" s="20">
        <v>67</v>
      </c>
      <c r="L53" s="57">
        <f t="shared" si="0"/>
        <v>6.8437180796731362E-2</v>
      </c>
      <c r="M53" s="20">
        <v>2</v>
      </c>
      <c r="N53" s="57">
        <f t="shared" si="1"/>
        <v>2.0429009193054137E-3</v>
      </c>
      <c r="O53" s="46">
        <v>0</v>
      </c>
      <c r="P53" s="46">
        <v>139.83000000000001</v>
      </c>
      <c r="Q53" s="58" t="s">
        <v>51</v>
      </c>
      <c r="R53" s="58">
        <v>2019</v>
      </c>
      <c r="S53" s="58"/>
      <c r="T53" s="58"/>
      <c r="U53" s="58"/>
      <c r="V53" s="58"/>
      <c r="W53" s="58"/>
      <c r="X53" s="58" t="s">
        <v>51</v>
      </c>
      <c r="Y53" s="58"/>
      <c r="Z53" s="58"/>
      <c r="AA53" s="58"/>
      <c r="AB53" s="58"/>
      <c r="AC53" s="58" t="s">
        <v>51</v>
      </c>
      <c r="AD53" s="58"/>
      <c r="AE53" s="58"/>
      <c r="AF53" s="58"/>
      <c r="AG53" s="58"/>
      <c r="AH53" s="58"/>
      <c r="AI53" s="58"/>
    </row>
    <row r="54" spans="1:35" x14ac:dyDescent="0.35">
      <c r="A54" s="17" t="s">
        <v>46</v>
      </c>
      <c r="B54" s="17" t="s">
        <v>46</v>
      </c>
      <c r="C54" s="28" t="s">
        <v>1912</v>
      </c>
      <c r="D54" s="17" t="s">
        <v>1923</v>
      </c>
      <c r="E54" s="17" t="s">
        <v>1924</v>
      </c>
      <c r="F54" s="20">
        <v>496.38</v>
      </c>
      <c r="G54" s="20">
        <v>331</v>
      </c>
      <c r="H54" s="19">
        <v>1496</v>
      </c>
      <c r="I54" s="20">
        <v>755</v>
      </c>
      <c r="J54" s="20">
        <v>741</v>
      </c>
      <c r="K54" s="20">
        <v>342</v>
      </c>
      <c r="L54" s="57">
        <f t="shared" si="0"/>
        <v>0.2286096256684492</v>
      </c>
      <c r="M54" s="20">
        <v>175</v>
      </c>
      <c r="N54" s="57">
        <f t="shared" si="1"/>
        <v>0.11697860962566844</v>
      </c>
      <c r="O54" s="46">
        <v>32.1</v>
      </c>
      <c r="P54" s="46">
        <v>0</v>
      </c>
      <c r="Q54" s="58" t="s">
        <v>51</v>
      </c>
      <c r="R54" s="58">
        <v>2019</v>
      </c>
      <c r="S54" s="58"/>
      <c r="T54" s="58"/>
      <c r="U54" s="58"/>
      <c r="V54" s="58"/>
      <c r="W54" s="58"/>
      <c r="X54" s="58" t="s">
        <v>51</v>
      </c>
      <c r="Y54" s="58"/>
      <c r="Z54" s="58"/>
      <c r="AA54" s="58"/>
      <c r="AB54" s="58"/>
      <c r="AC54" s="58" t="s">
        <v>51</v>
      </c>
      <c r="AD54" s="58"/>
      <c r="AE54" s="58"/>
      <c r="AF54" s="58"/>
      <c r="AG54" s="58"/>
      <c r="AH54" s="58"/>
      <c r="AI54" s="58"/>
    </row>
    <row r="55" spans="1:35" x14ac:dyDescent="0.35">
      <c r="A55" s="17" t="s">
        <v>46</v>
      </c>
      <c r="B55" s="17" t="s">
        <v>46</v>
      </c>
      <c r="C55" s="28" t="s">
        <v>1925</v>
      </c>
      <c r="D55" s="17" t="s">
        <v>201</v>
      </c>
      <c r="E55" s="17" t="s">
        <v>1926</v>
      </c>
      <c r="F55" s="20">
        <v>154.31</v>
      </c>
      <c r="G55" s="20">
        <v>98</v>
      </c>
      <c r="H55" s="19">
        <v>488</v>
      </c>
      <c r="I55" s="20">
        <v>250</v>
      </c>
      <c r="J55" s="20">
        <v>238</v>
      </c>
      <c r="K55" s="20">
        <v>111</v>
      </c>
      <c r="L55" s="57">
        <f t="shared" si="0"/>
        <v>0.22745901639344263</v>
      </c>
      <c r="M55" s="20">
        <v>0</v>
      </c>
      <c r="N55" s="57">
        <f t="shared" si="1"/>
        <v>0</v>
      </c>
      <c r="O55" s="46">
        <v>3.39</v>
      </c>
      <c r="P55" s="46">
        <v>0</v>
      </c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</row>
    <row r="56" spans="1:35" x14ac:dyDescent="0.35">
      <c r="A56" s="17" t="s">
        <v>46</v>
      </c>
      <c r="B56" s="17" t="s">
        <v>46</v>
      </c>
      <c r="C56" s="28" t="s">
        <v>1927</v>
      </c>
      <c r="D56" s="17" t="s">
        <v>1928</v>
      </c>
      <c r="E56" s="17" t="s">
        <v>1929</v>
      </c>
      <c r="F56" s="20">
        <v>1184</v>
      </c>
      <c r="G56" s="20">
        <v>632</v>
      </c>
      <c r="H56" s="19">
        <v>2993</v>
      </c>
      <c r="I56" s="20">
        <v>1505</v>
      </c>
      <c r="J56" s="20">
        <v>1488</v>
      </c>
      <c r="K56" s="20">
        <v>239</v>
      </c>
      <c r="L56" s="57">
        <f t="shared" si="0"/>
        <v>7.9852990310725028E-2</v>
      </c>
      <c r="M56" s="20">
        <v>371</v>
      </c>
      <c r="N56" s="57">
        <f t="shared" si="1"/>
        <v>0.12395589709321751</v>
      </c>
      <c r="O56" s="46">
        <v>171</v>
      </c>
      <c r="P56" s="46">
        <v>195</v>
      </c>
      <c r="Q56" s="58" t="s">
        <v>51</v>
      </c>
      <c r="R56" s="58">
        <v>2020</v>
      </c>
      <c r="S56" s="58"/>
      <c r="T56" s="58"/>
      <c r="U56" s="58"/>
      <c r="V56" s="58"/>
      <c r="W56" s="58"/>
      <c r="X56" s="58" t="s">
        <v>51</v>
      </c>
      <c r="Y56" s="58"/>
      <c r="Z56" s="58"/>
      <c r="AA56" s="58"/>
      <c r="AB56" s="58"/>
      <c r="AC56" s="58" t="s">
        <v>51</v>
      </c>
      <c r="AD56" s="58"/>
      <c r="AE56" s="58"/>
      <c r="AF56" s="58"/>
      <c r="AG56" s="58"/>
      <c r="AH56" s="58"/>
      <c r="AI56" s="58"/>
    </row>
    <row r="57" spans="1:35" x14ac:dyDescent="0.35">
      <c r="A57" s="17" t="s">
        <v>46</v>
      </c>
      <c r="B57" s="17" t="s">
        <v>46</v>
      </c>
      <c r="C57" s="28" t="s">
        <v>1927</v>
      </c>
      <c r="D57" s="17" t="s">
        <v>1930</v>
      </c>
      <c r="E57" s="17" t="s">
        <v>1931</v>
      </c>
      <c r="F57" s="20">
        <v>1308</v>
      </c>
      <c r="G57" s="20">
        <v>389</v>
      </c>
      <c r="H57" s="19">
        <v>1661</v>
      </c>
      <c r="I57" s="20">
        <v>828</v>
      </c>
      <c r="J57" s="20">
        <v>833</v>
      </c>
      <c r="K57" s="20">
        <v>314</v>
      </c>
      <c r="L57" s="57">
        <f t="shared" si="0"/>
        <v>0.18904274533413606</v>
      </c>
      <c r="M57" s="20">
        <v>727</v>
      </c>
      <c r="N57" s="57">
        <f t="shared" si="1"/>
        <v>0.43768813967489462</v>
      </c>
      <c r="O57" s="46">
        <v>90</v>
      </c>
      <c r="P57" s="46">
        <v>461</v>
      </c>
      <c r="Q57" s="58" t="s">
        <v>51</v>
      </c>
      <c r="R57" s="58">
        <v>2020</v>
      </c>
      <c r="S57" s="58"/>
      <c r="T57" s="58"/>
      <c r="U57" s="58"/>
      <c r="V57" s="58"/>
      <c r="W57" s="58"/>
      <c r="X57" s="58" t="s">
        <v>51</v>
      </c>
      <c r="Y57" s="58"/>
      <c r="Z57" s="58"/>
      <c r="AA57" s="58"/>
      <c r="AB57" s="58"/>
      <c r="AC57" s="58" t="s">
        <v>51</v>
      </c>
      <c r="AD57" s="58"/>
      <c r="AE57" s="58"/>
      <c r="AF57" s="58"/>
      <c r="AG57" s="58"/>
      <c r="AH57" s="58"/>
      <c r="AI57" s="58"/>
    </row>
    <row r="58" spans="1:35" x14ac:dyDescent="0.35">
      <c r="A58" s="17" t="s">
        <v>46</v>
      </c>
      <c r="B58" s="17" t="s">
        <v>46</v>
      </c>
      <c r="C58" s="28" t="s">
        <v>1932</v>
      </c>
      <c r="D58" s="17" t="s">
        <v>102</v>
      </c>
      <c r="E58" s="17" t="s">
        <v>1933</v>
      </c>
      <c r="F58" s="20">
        <v>280.82</v>
      </c>
      <c r="G58" s="20">
        <v>161</v>
      </c>
      <c r="H58" s="19">
        <v>769</v>
      </c>
      <c r="I58" s="20">
        <v>388</v>
      </c>
      <c r="J58" s="20">
        <v>381</v>
      </c>
      <c r="K58" s="20">
        <v>176</v>
      </c>
      <c r="L58" s="57">
        <f t="shared" si="0"/>
        <v>0.22886866059817945</v>
      </c>
      <c r="M58" s="20">
        <v>217</v>
      </c>
      <c r="N58" s="57">
        <f t="shared" si="1"/>
        <v>0.28218465539661897</v>
      </c>
      <c r="O58" s="46">
        <v>21.75</v>
      </c>
      <c r="P58" s="46">
        <v>0</v>
      </c>
      <c r="Q58" s="58" t="s">
        <v>51</v>
      </c>
      <c r="R58" s="58">
        <v>2019</v>
      </c>
      <c r="S58" s="58"/>
      <c r="T58" s="58"/>
      <c r="U58" s="58"/>
      <c r="V58" s="58"/>
      <c r="W58" s="58"/>
      <c r="X58" s="58" t="s">
        <v>51</v>
      </c>
      <c r="Y58" s="58"/>
      <c r="Z58" s="58"/>
      <c r="AA58" s="58"/>
      <c r="AB58" s="58"/>
      <c r="AC58" s="58" t="s">
        <v>51</v>
      </c>
      <c r="AD58" s="58"/>
      <c r="AE58" s="58"/>
      <c r="AF58" s="58"/>
      <c r="AG58" s="58"/>
      <c r="AH58" s="58"/>
      <c r="AI58" s="58"/>
    </row>
    <row r="59" spans="1:35" x14ac:dyDescent="0.35">
      <c r="A59" s="17" t="s">
        <v>46</v>
      </c>
      <c r="B59" s="17" t="s">
        <v>46</v>
      </c>
      <c r="C59" s="28" t="s">
        <v>1932</v>
      </c>
      <c r="D59" s="17" t="s">
        <v>1934</v>
      </c>
      <c r="E59" s="17" t="s">
        <v>1935</v>
      </c>
      <c r="F59" s="20">
        <v>846.22</v>
      </c>
      <c r="G59" s="20">
        <v>260</v>
      </c>
      <c r="H59" s="19">
        <v>1052</v>
      </c>
      <c r="I59" s="20">
        <v>523</v>
      </c>
      <c r="J59" s="20">
        <v>529</v>
      </c>
      <c r="K59" s="20">
        <v>352</v>
      </c>
      <c r="L59" s="57">
        <f t="shared" si="0"/>
        <v>0.33460076045627374</v>
      </c>
      <c r="M59" s="20">
        <v>404</v>
      </c>
      <c r="N59" s="57">
        <f t="shared" si="1"/>
        <v>0.38403041825095058</v>
      </c>
      <c r="O59" s="46">
        <v>69.7</v>
      </c>
      <c r="P59" s="46">
        <v>0</v>
      </c>
      <c r="Q59" s="58" t="s">
        <v>562</v>
      </c>
      <c r="R59" s="58"/>
      <c r="S59" s="58"/>
      <c r="T59" s="58"/>
      <c r="U59" s="58"/>
      <c r="V59" s="58"/>
      <c r="W59" s="58"/>
      <c r="X59" s="58" t="s">
        <v>562</v>
      </c>
      <c r="Y59" s="58"/>
      <c r="Z59" s="58"/>
      <c r="AA59" s="58"/>
      <c r="AB59" s="58"/>
      <c r="AC59" s="58" t="s">
        <v>562</v>
      </c>
      <c r="AD59" s="58"/>
      <c r="AE59" s="58"/>
      <c r="AF59" s="58"/>
      <c r="AG59" s="58"/>
      <c r="AH59" s="58"/>
      <c r="AI59" s="58"/>
    </row>
    <row r="60" spans="1:35" x14ac:dyDescent="0.35">
      <c r="A60" s="17" t="s">
        <v>46</v>
      </c>
      <c r="B60" s="17" t="s">
        <v>46</v>
      </c>
      <c r="C60" s="28" t="s">
        <v>1932</v>
      </c>
      <c r="D60" s="17" t="s">
        <v>1936</v>
      </c>
      <c r="E60" s="17" t="s">
        <v>1937</v>
      </c>
      <c r="F60" s="20">
        <v>218.28</v>
      </c>
      <c r="G60" s="20">
        <v>117</v>
      </c>
      <c r="H60" s="19">
        <v>563</v>
      </c>
      <c r="I60" s="20">
        <v>286</v>
      </c>
      <c r="J60" s="20">
        <v>277</v>
      </c>
      <c r="K60" s="20">
        <v>156</v>
      </c>
      <c r="L60" s="57">
        <f t="shared" si="0"/>
        <v>0.27708703374777977</v>
      </c>
      <c r="M60" s="20">
        <v>124</v>
      </c>
      <c r="N60" s="57">
        <f t="shared" si="1"/>
        <v>0.2202486678507993</v>
      </c>
      <c r="O60" s="46">
        <v>27.16</v>
      </c>
      <c r="P60" s="46">
        <v>0</v>
      </c>
      <c r="Q60" s="58" t="s">
        <v>51</v>
      </c>
      <c r="R60" s="58">
        <v>2019</v>
      </c>
      <c r="S60" s="58"/>
      <c r="T60" s="58"/>
      <c r="U60" s="58"/>
      <c r="V60" s="58"/>
      <c r="W60" s="58"/>
      <c r="X60" s="58" t="s">
        <v>51</v>
      </c>
      <c r="Y60" s="58"/>
      <c r="Z60" s="58"/>
      <c r="AA60" s="58"/>
      <c r="AB60" s="58"/>
      <c r="AC60" s="58" t="s">
        <v>51</v>
      </c>
      <c r="AD60" s="58"/>
      <c r="AE60" s="58"/>
      <c r="AF60" s="58"/>
      <c r="AG60" s="58"/>
      <c r="AH60" s="58"/>
      <c r="AI60" s="58"/>
    </row>
    <row r="61" spans="1:35" x14ac:dyDescent="0.35">
      <c r="A61" s="17" t="s">
        <v>46</v>
      </c>
      <c r="B61" s="17" t="s">
        <v>46</v>
      </c>
      <c r="C61" s="28" t="s">
        <v>1932</v>
      </c>
      <c r="D61" s="17" t="s">
        <v>1938</v>
      </c>
      <c r="E61" s="17" t="s">
        <v>1939</v>
      </c>
      <c r="F61" s="20">
        <v>278.35000000000002</v>
      </c>
      <c r="G61" s="20">
        <v>122</v>
      </c>
      <c r="H61" s="19">
        <v>535</v>
      </c>
      <c r="I61" s="20">
        <v>266</v>
      </c>
      <c r="J61" s="20">
        <v>269</v>
      </c>
      <c r="K61" s="20">
        <v>85</v>
      </c>
      <c r="L61" s="57">
        <f t="shared" si="0"/>
        <v>0.15887850467289719</v>
      </c>
      <c r="M61" s="20">
        <v>130</v>
      </c>
      <c r="N61" s="57">
        <f t="shared" si="1"/>
        <v>0.24299065420560748</v>
      </c>
      <c r="O61" s="46">
        <v>43.12</v>
      </c>
      <c r="P61" s="46">
        <v>0</v>
      </c>
      <c r="Q61" s="58" t="s">
        <v>51</v>
      </c>
      <c r="R61" s="58">
        <v>2019</v>
      </c>
      <c r="S61" s="58"/>
      <c r="T61" s="58"/>
      <c r="U61" s="58"/>
      <c r="V61" s="58"/>
      <c r="W61" s="58"/>
      <c r="X61" s="58" t="s">
        <v>51</v>
      </c>
      <c r="Y61" s="58"/>
      <c r="Z61" s="58"/>
      <c r="AA61" s="58"/>
      <c r="AB61" s="58"/>
      <c r="AC61" s="58" t="s">
        <v>51</v>
      </c>
      <c r="AD61" s="58"/>
      <c r="AE61" s="58"/>
      <c r="AF61" s="58"/>
      <c r="AG61" s="58"/>
      <c r="AH61" s="58"/>
      <c r="AI61" s="58"/>
    </row>
    <row r="62" spans="1:35" x14ac:dyDescent="0.35">
      <c r="A62" s="17" t="s">
        <v>46</v>
      </c>
      <c r="B62" s="17" t="s">
        <v>46</v>
      </c>
      <c r="C62" s="28" t="s">
        <v>1932</v>
      </c>
      <c r="D62" s="17" t="s">
        <v>1940</v>
      </c>
      <c r="E62" s="17" t="s">
        <v>1941</v>
      </c>
      <c r="F62" s="20">
        <v>450.47</v>
      </c>
      <c r="G62" s="20">
        <v>116</v>
      </c>
      <c r="H62" s="19">
        <v>489</v>
      </c>
      <c r="I62" s="20">
        <v>228</v>
      </c>
      <c r="J62" s="20">
        <v>261</v>
      </c>
      <c r="K62" s="20">
        <v>0</v>
      </c>
      <c r="L62" s="57">
        <f t="shared" si="0"/>
        <v>0</v>
      </c>
      <c r="M62" s="20">
        <v>91</v>
      </c>
      <c r="N62" s="57">
        <f t="shared" si="1"/>
        <v>0.18609406952965235</v>
      </c>
      <c r="O62" s="46">
        <v>36.57</v>
      </c>
      <c r="P62" s="46">
        <v>0</v>
      </c>
      <c r="Q62" s="58" t="s">
        <v>562</v>
      </c>
      <c r="R62" s="58"/>
      <c r="S62" s="58"/>
      <c r="T62" s="58"/>
      <c r="U62" s="58"/>
      <c r="V62" s="58"/>
      <c r="W62" s="58"/>
      <c r="X62" s="58" t="s">
        <v>562</v>
      </c>
      <c r="Y62" s="58"/>
      <c r="Z62" s="58"/>
      <c r="AA62" s="58"/>
      <c r="AB62" s="58"/>
      <c r="AC62" s="58" t="s">
        <v>562</v>
      </c>
      <c r="AD62" s="58"/>
      <c r="AE62" s="58"/>
      <c r="AF62" s="58"/>
      <c r="AG62" s="58"/>
      <c r="AH62" s="58"/>
      <c r="AI62" s="58"/>
    </row>
    <row r="63" spans="1:35" x14ac:dyDescent="0.35">
      <c r="A63" s="17" t="s">
        <v>46</v>
      </c>
      <c r="B63" s="17" t="s">
        <v>46</v>
      </c>
      <c r="C63" s="28" t="s">
        <v>1812</v>
      </c>
      <c r="D63" s="17" t="s">
        <v>1942</v>
      </c>
      <c r="E63" s="17" t="s">
        <v>1943</v>
      </c>
      <c r="F63" s="20">
        <v>98.74</v>
      </c>
      <c r="G63" s="20">
        <v>63</v>
      </c>
      <c r="H63" s="19">
        <v>309</v>
      </c>
      <c r="I63" s="20">
        <v>164</v>
      </c>
      <c r="J63" s="20">
        <v>145</v>
      </c>
      <c r="K63" s="20">
        <v>0</v>
      </c>
      <c r="L63" s="57">
        <f t="shared" si="0"/>
        <v>0</v>
      </c>
      <c r="M63" s="20">
        <v>0</v>
      </c>
      <c r="N63" s="57">
        <f t="shared" si="1"/>
        <v>0</v>
      </c>
      <c r="O63" s="46">
        <v>13.3</v>
      </c>
      <c r="P63" s="46">
        <v>0</v>
      </c>
      <c r="Q63" s="58" t="s">
        <v>51</v>
      </c>
      <c r="R63" s="58">
        <v>2019</v>
      </c>
      <c r="S63" s="58"/>
      <c r="T63" s="58"/>
      <c r="U63" s="58"/>
      <c r="V63" s="58"/>
      <c r="W63" s="58"/>
      <c r="X63" s="58" t="s">
        <v>51</v>
      </c>
      <c r="Y63" s="58"/>
      <c r="Z63" s="58"/>
      <c r="AA63" s="58"/>
      <c r="AB63" s="58"/>
      <c r="AC63" s="58" t="s">
        <v>51</v>
      </c>
      <c r="AD63" s="58"/>
      <c r="AE63" s="58"/>
      <c r="AF63" s="58"/>
      <c r="AG63" s="58"/>
      <c r="AH63" s="58"/>
      <c r="AI63" s="58"/>
    </row>
    <row r="64" spans="1:35" x14ac:dyDescent="0.35">
      <c r="A64" s="17" t="s">
        <v>46</v>
      </c>
      <c r="B64" s="17" t="s">
        <v>46</v>
      </c>
      <c r="C64" s="28" t="s">
        <v>1944</v>
      </c>
      <c r="D64" s="17" t="s">
        <v>1346</v>
      </c>
      <c r="E64" s="17" t="s">
        <v>1945</v>
      </c>
      <c r="F64" s="20">
        <v>1973.26</v>
      </c>
      <c r="G64" s="20">
        <v>2362</v>
      </c>
      <c r="H64" s="19">
        <v>11743</v>
      </c>
      <c r="I64" s="20">
        <v>5991</v>
      </c>
      <c r="J64" s="20">
        <v>5752</v>
      </c>
      <c r="K64" s="20">
        <v>2131</v>
      </c>
      <c r="L64" s="57">
        <f t="shared" si="0"/>
        <v>0.18146981180277613</v>
      </c>
      <c r="M64" s="20">
        <v>288</v>
      </c>
      <c r="N64" s="57">
        <f t="shared" si="1"/>
        <v>2.4525249084561013E-2</v>
      </c>
      <c r="O64" s="46">
        <v>190.56</v>
      </c>
      <c r="P64" s="46">
        <v>370.44</v>
      </c>
      <c r="Q64" s="58" t="s">
        <v>562</v>
      </c>
      <c r="R64" s="58"/>
      <c r="S64" s="58"/>
      <c r="T64" s="58"/>
      <c r="U64" s="58"/>
      <c r="V64" s="58"/>
      <c r="W64" s="58"/>
      <c r="X64" s="58" t="s">
        <v>562</v>
      </c>
      <c r="Y64" s="58"/>
      <c r="Z64" s="58"/>
      <c r="AA64" s="58"/>
      <c r="AB64" s="58"/>
      <c r="AC64" s="58" t="s">
        <v>562</v>
      </c>
      <c r="AD64" s="58"/>
      <c r="AE64" s="58"/>
      <c r="AF64" s="58"/>
      <c r="AG64" s="58"/>
      <c r="AH64" s="58"/>
      <c r="AI64" s="58"/>
    </row>
    <row r="65" spans="1:35" x14ac:dyDescent="0.35">
      <c r="A65" s="17" t="s">
        <v>46</v>
      </c>
      <c r="B65" s="17" t="s">
        <v>46</v>
      </c>
      <c r="C65" s="28" t="s">
        <v>1946</v>
      </c>
      <c r="D65" s="17" t="s">
        <v>1947</v>
      </c>
      <c r="E65" s="17" t="s">
        <v>1948</v>
      </c>
      <c r="F65" s="20">
        <v>149.47</v>
      </c>
      <c r="G65" s="20">
        <v>43</v>
      </c>
      <c r="H65" s="19">
        <v>156</v>
      </c>
      <c r="I65" s="20">
        <v>78</v>
      </c>
      <c r="J65" s="20">
        <v>78</v>
      </c>
      <c r="K65" s="20">
        <v>34</v>
      </c>
      <c r="L65" s="57">
        <f t="shared" si="0"/>
        <v>0.21794871794871795</v>
      </c>
      <c r="M65" s="20">
        <v>0</v>
      </c>
      <c r="N65" s="57">
        <f t="shared" si="1"/>
        <v>0</v>
      </c>
      <c r="O65" s="46">
        <v>21.63</v>
      </c>
      <c r="P65" s="46">
        <v>0</v>
      </c>
      <c r="Q65" s="58" t="s">
        <v>51</v>
      </c>
      <c r="R65" s="58">
        <v>2020</v>
      </c>
      <c r="S65" s="58"/>
      <c r="T65" s="58"/>
      <c r="U65" s="58"/>
      <c r="V65" s="58"/>
      <c r="W65" s="58"/>
      <c r="X65" s="58" t="s">
        <v>51</v>
      </c>
      <c r="Y65" s="58"/>
      <c r="Z65" s="58"/>
      <c r="AA65" s="58"/>
      <c r="AB65" s="58"/>
      <c r="AC65" s="58" t="s">
        <v>51</v>
      </c>
      <c r="AD65" s="58"/>
      <c r="AE65" s="58"/>
      <c r="AF65" s="58"/>
      <c r="AG65" s="58"/>
      <c r="AH65" s="58"/>
      <c r="AI65" s="58"/>
    </row>
    <row r="66" spans="1:35" x14ac:dyDescent="0.35">
      <c r="A66" s="17" t="s">
        <v>46</v>
      </c>
      <c r="B66" s="17" t="s">
        <v>46</v>
      </c>
      <c r="C66" s="28" t="s">
        <v>1812</v>
      </c>
      <c r="D66" s="17" t="s">
        <v>1949</v>
      </c>
      <c r="E66" s="17" t="s">
        <v>1950</v>
      </c>
      <c r="F66" s="20">
        <v>335.78</v>
      </c>
      <c r="G66" s="20">
        <v>208</v>
      </c>
      <c r="H66" s="19">
        <v>940</v>
      </c>
      <c r="I66" s="20">
        <v>475</v>
      </c>
      <c r="J66" s="20">
        <v>465</v>
      </c>
      <c r="K66" s="20">
        <v>321</v>
      </c>
      <c r="L66" s="57">
        <f t="shared" si="0"/>
        <v>0.34148936170212768</v>
      </c>
      <c r="M66" s="20">
        <v>11</v>
      </c>
      <c r="N66" s="57">
        <f t="shared" si="1"/>
        <v>1.1702127659574468E-2</v>
      </c>
      <c r="O66" s="46">
        <v>38.1</v>
      </c>
      <c r="P66" s="46">
        <v>0</v>
      </c>
      <c r="Q66" s="58" t="s">
        <v>51</v>
      </c>
      <c r="R66" s="58">
        <v>2019</v>
      </c>
      <c r="S66" s="58"/>
      <c r="T66" s="58"/>
      <c r="U66" s="58"/>
      <c r="V66" s="58"/>
      <c r="W66" s="58"/>
      <c r="X66" s="58" t="s">
        <v>51</v>
      </c>
      <c r="Y66" s="58"/>
      <c r="Z66" s="58"/>
      <c r="AA66" s="58"/>
      <c r="AB66" s="58"/>
      <c r="AC66" s="58" t="s">
        <v>51</v>
      </c>
      <c r="AD66" s="58"/>
      <c r="AE66" s="58"/>
      <c r="AF66" s="58"/>
      <c r="AG66" s="58"/>
      <c r="AH66" s="58"/>
      <c r="AI66" s="58"/>
    </row>
    <row r="67" spans="1:35" x14ac:dyDescent="0.35">
      <c r="A67" s="17" t="s">
        <v>46</v>
      </c>
      <c r="B67" s="17" t="s">
        <v>46</v>
      </c>
      <c r="C67" s="28" t="s">
        <v>1816</v>
      </c>
      <c r="D67" s="17" t="s">
        <v>1097</v>
      </c>
      <c r="E67" s="17" t="s">
        <v>1951</v>
      </c>
      <c r="F67" s="20">
        <v>144.54</v>
      </c>
      <c r="G67" s="20">
        <v>76</v>
      </c>
      <c r="H67" s="19">
        <v>340</v>
      </c>
      <c r="I67" s="20">
        <v>167</v>
      </c>
      <c r="J67" s="20">
        <v>173</v>
      </c>
      <c r="K67" s="20">
        <v>1</v>
      </c>
      <c r="L67" s="57">
        <f t="shared" si="0"/>
        <v>2.9411764705882353E-3</v>
      </c>
      <c r="M67" s="20">
        <v>326</v>
      </c>
      <c r="N67" s="57">
        <f t="shared" si="1"/>
        <v>0.95882352941176474</v>
      </c>
      <c r="O67" s="46">
        <v>11.9</v>
      </c>
      <c r="P67" s="46">
        <v>0</v>
      </c>
      <c r="Q67" s="58" t="s">
        <v>562</v>
      </c>
      <c r="R67" s="58"/>
      <c r="S67" s="58"/>
      <c r="T67" s="58"/>
      <c r="U67" s="58"/>
      <c r="V67" s="58"/>
      <c r="W67" s="58"/>
      <c r="X67" s="58" t="s">
        <v>562</v>
      </c>
      <c r="Y67" s="58"/>
      <c r="Z67" s="58"/>
      <c r="AA67" s="58"/>
      <c r="AB67" s="58"/>
      <c r="AC67" s="58" t="s">
        <v>562</v>
      </c>
      <c r="AD67" s="58"/>
      <c r="AE67" s="58"/>
      <c r="AF67" s="58"/>
      <c r="AG67" s="58"/>
      <c r="AH67" s="58"/>
      <c r="AI67" s="58"/>
    </row>
    <row r="68" spans="1:35" x14ac:dyDescent="0.35">
      <c r="A68" s="17" t="s">
        <v>46</v>
      </c>
      <c r="B68" s="17" t="s">
        <v>46</v>
      </c>
      <c r="C68" s="28" t="s">
        <v>1812</v>
      </c>
      <c r="D68" s="17" t="s">
        <v>1952</v>
      </c>
      <c r="E68" s="17" t="s">
        <v>1953</v>
      </c>
      <c r="F68" s="20">
        <v>235.36</v>
      </c>
      <c r="G68" s="20">
        <v>66</v>
      </c>
      <c r="H68" s="19">
        <v>308</v>
      </c>
      <c r="I68" s="20">
        <v>153</v>
      </c>
      <c r="J68" s="20">
        <v>155</v>
      </c>
      <c r="K68" s="20">
        <v>45</v>
      </c>
      <c r="L68" s="57">
        <f t="shared" ref="L68:L131" si="2">K68/H68</f>
        <v>0.1461038961038961</v>
      </c>
      <c r="M68" s="20">
        <v>261</v>
      </c>
      <c r="N68" s="57">
        <f t="shared" ref="N68:N131" si="3">M68/H68</f>
        <v>0.84740259740259738</v>
      </c>
      <c r="O68" s="46">
        <v>21.6</v>
      </c>
      <c r="P68" s="46">
        <v>0</v>
      </c>
      <c r="Q68" s="58" t="s">
        <v>51</v>
      </c>
      <c r="R68" s="58">
        <v>2019</v>
      </c>
      <c r="S68" s="58"/>
      <c r="T68" s="58"/>
      <c r="U68" s="58"/>
      <c r="V68" s="58"/>
      <c r="W68" s="58"/>
      <c r="X68" s="58" t="s">
        <v>51</v>
      </c>
      <c r="Y68" s="58"/>
      <c r="Z68" s="58"/>
      <c r="AA68" s="58"/>
      <c r="AB68" s="58"/>
      <c r="AC68" s="58" t="s">
        <v>51</v>
      </c>
      <c r="AD68" s="58"/>
      <c r="AE68" s="58"/>
      <c r="AF68" s="58"/>
      <c r="AG68" s="58"/>
      <c r="AH68" s="58"/>
      <c r="AI68" s="58"/>
    </row>
    <row r="69" spans="1:35" x14ac:dyDescent="0.35">
      <c r="A69" s="17" t="s">
        <v>46</v>
      </c>
      <c r="B69" s="17" t="s">
        <v>46</v>
      </c>
      <c r="C69" s="28" t="s">
        <v>1812</v>
      </c>
      <c r="D69" s="17" t="s">
        <v>1954</v>
      </c>
      <c r="E69" s="17" t="s">
        <v>1955</v>
      </c>
      <c r="F69" s="20">
        <v>251.76</v>
      </c>
      <c r="G69" s="20">
        <v>7</v>
      </c>
      <c r="H69" s="19">
        <v>38</v>
      </c>
      <c r="I69" s="20">
        <v>19</v>
      </c>
      <c r="J69" s="20">
        <v>19</v>
      </c>
      <c r="K69" s="20">
        <v>0</v>
      </c>
      <c r="L69" s="57">
        <f t="shared" si="2"/>
        <v>0</v>
      </c>
      <c r="M69" s="20">
        <v>5</v>
      </c>
      <c r="N69" s="57">
        <f t="shared" si="3"/>
        <v>0.13157894736842105</v>
      </c>
      <c r="O69" s="46">
        <v>14.97</v>
      </c>
      <c r="P69" s="46">
        <v>0</v>
      </c>
      <c r="Q69" s="58" t="s">
        <v>51</v>
      </c>
      <c r="R69" s="58">
        <v>2019</v>
      </c>
      <c r="S69" s="58"/>
      <c r="T69" s="58"/>
      <c r="U69" s="58"/>
      <c r="V69" s="58"/>
      <c r="W69" s="58"/>
      <c r="X69" s="58" t="s">
        <v>51</v>
      </c>
      <c r="Y69" s="58"/>
      <c r="Z69" s="58"/>
      <c r="AA69" s="58"/>
      <c r="AB69" s="58"/>
      <c r="AC69" s="58" t="s">
        <v>51</v>
      </c>
      <c r="AD69" s="58"/>
      <c r="AE69" s="58"/>
      <c r="AF69" s="58"/>
      <c r="AG69" s="58"/>
      <c r="AH69" s="58"/>
      <c r="AI69" s="58"/>
    </row>
    <row r="70" spans="1:35" x14ac:dyDescent="0.35">
      <c r="A70" s="17" t="s">
        <v>46</v>
      </c>
      <c r="B70" s="17" t="s">
        <v>46</v>
      </c>
      <c r="C70" s="28" t="s">
        <v>1812</v>
      </c>
      <c r="D70" s="17" t="s">
        <v>1956</v>
      </c>
      <c r="E70" s="17" t="s">
        <v>1957</v>
      </c>
      <c r="F70" s="20">
        <v>568.17999999999995</v>
      </c>
      <c r="G70" s="20">
        <v>206</v>
      </c>
      <c r="H70" s="19">
        <v>907</v>
      </c>
      <c r="I70" s="20">
        <v>455</v>
      </c>
      <c r="J70" s="20">
        <v>452</v>
      </c>
      <c r="K70" s="20">
        <v>1</v>
      </c>
      <c r="L70" s="57">
        <f t="shared" si="2"/>
        <v>1.1025358324145535E-3</v>
      </c>
      <c r="M70" s="20">
        <v>126</v>
      </c>
      <c r="N70" s="57">
        <f t="shared" si="3"/>
        <v>0.13891951488423374</v>
      </c>
      <c r="O70" s="46">
        <v>71.95</v>
      </c>
      <c r="P70" s="46">
        <v>0</v>
      </c>
      <c r="Q70" s="58" t="s">
        <v>51</v>
      </c>
      <c r="R70" s="58">
        <v>2019</v>
      </c>
      <c r="S70" s="58"/>
      <c r="T70" s="58"/>
      <c r="U70" s="58"/>
      <c r="V70" s="58"/>
      <c r="W70" s="58"/>
      <c r="X70" s="58" t="s">
        <v>51</v>
      </c>
      <c r="Y70" s="58"/>
      <c r="Z70" s="58"/>
      <c r="AA70" s="58"/>
      <c r="AB70" s="58"/>
      <c r="AC70" s="58" t="s">
        <v>51</v>
      </c>
      <c r="AD70" s="58"/>
      <c r="AE70" s="58"/>
      <c r="AF70" s="58"/>
      <c r="AG70" s="58"/>
      <c r="AH70" s="58"/>
      <c r="AI70" s="58"/>
    </row>
    <row r="71" spans="1:35" x14ac:dyDescent="0.35">
      <c r="A71" s="17" t="s">
        <v>46</v>
      </c>
      <c r="B71" s="17" t="s">
        <v>46</v>
      </c>
      <c r="C71" s="28" t="s">
        <v>1812</v>
      </c>
      <c r="D71" s="17" t="s">
        <v>1958</v>
      </c>
      <c r="E71" s="17" t="s">
        <v>1959</v>
      </c>
      <c r="F71" s="20">
        <v>352.09</v>
      </c>
      <c r="G71" s="20">
        <v>163</v>
      </c>
      <c r="H71" s="19">
        <v>750</v>
      </c>
      <c r="I71" s="20">
        <v>397</v>
      </c>
      <c r="J71" s="20">
        <v>353</v>
      </c>
      <c r="K71" s="20">
        <v>423</v>
      </c>
      <c r="L71" s="57">
        <f t="shared" si="2"/>
        <v>0.56399999999999995</v>
      </c>
      <c r="M71" s="20">
        <v>30</v>
      </c>
      <c r="N71" s="57">
        <f t="shared" si="3"/>
        <v>0.04</v>
      </c>
      <c r="O71" s="46">
        <v>32.42</v>
      </c>
      <c r="P71" s="46">
        <v>0</v>
      </c>
      <c r="Q71" s="58" t="s">
        <v>51</v>
      </c>
      <c r="R71" s="58">
        <v>2019</v>
      </c>
      <c r="S71" s="58"/>
      <c r="T71" s="58"/>
      <c r="U71" s="58"/>
      <c r="V71" s="58"/>
      <c r="W71" s="58"/>
      <c r="X71" s="58" t="s">
        <v>51</v>
      </c>
      <c r="Y71" s="58"/>
      <c r="Z71" s="58"/>
      <c r="AA71" s="58"/>
      <c r="AB71" s="58"/>
      <c r="AC71" s="58" t="s">
        <v>51</v>
      </c>
      <c r="AD71" s="58"/>
      <c r="AE71" s="58"/>
      <c r="AF71" s="58"/>
      <c r="AG71" s="58"/>
      <c r="AH71" s="58"/>
      <c r="AI71" s="58"/>
    </row>
    <row r="72" spans="1:35" x14ac:dyDescent="0.35">
      <c r="A72" s="17" t="s">
        <v>46</v>
      </c>
      <c r="B72" s="17" t="s">
        <v>46</v>
      </c>
      <c r="C72" s="28" t="s">
        <v>1812</v>
      </c>
      <c r="D72" s="17" t="s">
        <v>1960</v>
      </c>
      <c r="E72" s="17" t="s">
        <v>1961</v>
      </c>
      <c r="F72" s="20">
        <v>253.7</v>
      </c>
      <c r="G72" s="20">
        <v>80</v>
      </c>
      <c r="H72" s="19">
        <v>355</v>
      </c>
      <c r="I72" s="20">
        <v>170</v>
      </c>
      <c r="J72" s="20">
        <v>185</v>
      </c>
      <c r="K72" s="20">
        <v>34</v>
      </c>
      <c r="L72" s="57">
        <f t="shared" si="2"/>
        <v>9.5774647887323941E-2</v>
      </c>
      <c r="M72" s="20">
        <v>0</v>
      </c>
      <c r="N72" s="57">
        <f t="shared" si="3"/>
        <v>0</v>
      </c>
      <c r="O72" s="46">
        <v>36.409999999999997</v>
      </c>
      <c r="P72" s="46">
        <v>0</v>
      </c>
      <c r="Q72" s="58" t="s">
        <v>51</v>
      </c>
      <c r="R72" s="58">
        <v>2019</v>
      </c>
      <c r="S72" s="58"/>
      <c r="T72" s="58"/>
      <c r="U72" s="58"/>
      <c r="V72" s="58"/>
      <c r="W72" s="58"/>
      <c r="X72" s="58" t="s">
        <v>51</v>
      </c>
      <c r="Y72" s="58"/>
      <c r="Z72" s="58"/>
      <c r="AA72" s="58"/>
      <c r="AB72" s="58"/>
      <c r="AC72" s="58" t="s">
        <v>51</v>
      </c>
      <c r="AD72" s="58"/>
      <c r="AE72" s="58"/>
      <c r="AF72" s="58"/>
      <c r="AG72" s="58"/>
      <c r="AH72" s="58"/>
      <c r="AI72" s="58"/>
    </row>
    <row r="73" spans="1:35" x14ac:dyDescent="0.35">
      <c r="A73" s="17" t="s">
        <v>46</v>
      </c>
      <c r="B73" s="17" t="s">
        <v>46</v>
      </c>
      <c r="C73" s="28" t="s">
        <v>1962</v>
      </c>
      <c r="D73" s="17" t="s">
        <v>1963</v>
      </c>
      <c r="E73" s="17" t="s">
        <v>1964</v>
      </c>
      <c r="F73" s="20">
        <v>365.81</v>
      </c>
      <c r="G73" s="20">
        <v>178</v>
      </c>
      <c r="H73" s="19">
        <v>792</v>
      </c>
      <c r="I73" s="20">
        <v>400</v>
      </c>
      <c r="J73" s="20">
        <v>392</v>
      </c>
      <c r="K73" s="20">
        <v>30</v>
      </c>
      <c r="L73" s="57">
        <f t="shared" si="2"/>
        <v>3.787878787878788E-2</v>
      </c>
      <c r="M73" s="20">
        <v>82</v>
      </c>
      <c r="N73" s="57">
        <f t="shared" si="3"/>
        <v>0.10353535353535354</v>
      </c>
      <c r="O73" s="46">
        <v>33.33</v>
      </c>
      <c r="P73" s="46">
        <v>0</v>
      </c>
      <c r="Q73" s="58" t="s">
        <v>51</v>
      </c>
      <c r="R73" s="58">
        <v>2019</v>
      </c>
      <c r="S73" s="58"/>
      <c r="T73" s="58"/>
      <c r="U73" s="58"/>
      <c r="V73" s="58"/>
      <c r="W73" s="58"/>
      <c r="X73" s="58" t="s">
        <v>51</v>
      </c>
      <c r="Y73" s="58"/>
      <c r="Z73" s="58"/>
      <c r="AA73" s="58"/>
      <c r="AB73" s="58"/>
      <c r="AC73" s="58" t="s">
        <v>51</v>
      </c>
      <c r="AD73" s="58"/>
      <c r="AE73" s="58"/>
      <c r="AF73" s="58"/>
      <c r="AG73" s="58"/>
      <c r="AH73" s="58"/>
      <c r="AI73" s="58"/>
    </row>
    <row r="74" spans="1:35" x14ac:dyDescent="0.35">
      <c r="A74" s="17" t="s">
        <v>46</v>
      </c>
      <c r="B74" s="17" t="s">
        <v>46</v>
      </c>
      <c r="C74" s="28" t="s">
        <v>1962</v>
      </c>
      <c r="D74" s="17" t="s">
        <v>475</v>
      </c>
      <c r="E74" s="17" t="s">
        <v>1965</v>
      </c>
      <c r="F74" s="20">
        <v>173.18</v>
      </c>
      <c r="G74" s="20">
        <v>151</v>
      </c>
      <c r="H74" s="19">
        <v>726</v>
      </c>
      <c r="I74" s="20">
        <v>353</v>
      </c>
      <c r="J74" s="20">
        <v>373</v>
      </c>
      <c r="K74" s="20">
        <v>84</v>
      </c>
      <c r="L74" s="57">
        <f t="shared" si="2"/>
        <v>0.11570247933884298</v>
      </c>
      <c r="M74" s="20">
        <v>7</v>
      </c>
      <c r="N74" s="57">
        <f t="shared" si="3"/>
        <v>9.6418732782369149E-3</v>
      </c>
      <c r="O74" s="46">
        <v>35.99</v>
      </c>
      <c r="P74" s="46">
        <v>0</v>
      </c>
      <c r="Q74" s="58" t="s">
        <v>51</v>
      </c>
      <c r="R74" s="58">
        <v>2019</v>
      </c>
      <c r="S74" s="58"/>
      <c r="T74" s="58"/>
      <c r="U74" s="58"/>
      <c r="V74" s="58"/>
      <c r="W74" s="58"/>
      <c r="X74" s="58" t="s">
        <v>51</v>
      </c>
      <c r="Y74" s="58"/>
      <c r="Z74" s="58"/>
      <c r="AA74" s="58"/>
      <c r="AB74" s="58"/>
      <c r="AC74" s="58" t="s">
        <v>51</v>
      </c>
      <c r="AD74" s="58"/>
      <c r="AE74" s="58"/>
      <c r="AF74" s="58"/>
      <c r="AG74" s="58"/>
      <c r="AH74" s="58"/>
      <c r="AI74" s="58"/>
    </row>
    <row r="75" spans="1:35" x14ac:dyDescent="0.35">
      <c r="A75" s="17" t="s">
        <v>46</v>
      </c>
      <c r="B75" s="17" t="s">
        <v>46</v>
      </c>
      <c r="C75" s="28" t="s">
        <v>1962</v>
      </c>
      <c r="D75" s="17" t="s">
        <v>1966</v>
      </c>
      <c r="E75" s="17" t="s">
        <v>1967</v>
      </c>
      <c r="F75" s="20">
        <v>638.14</v>
      </c>
      <c r="G75" s="20">
        <v>186</v>
      </c>
      <c r="H75" s="19">
        <v>946</v>
      </c>
      <c r="I75" s="20">
        <v>467</v>
      </c>
      <c r="J75" s="20">
        <v>479</v>
      </c>
      <c r="K75" s="20">
        <v>430</v>
      </c>
      <c r="L75" s="57">
        <f t="shared" si="2"/>
        <v>0.45454545454545453</v>
      </c>
      <c r="M75" s="20">
        <v>87</v>
      </c>
      <c r="N75" s="57">
        <f t="shared" si="3"/>
        <v>9.1966173361522199E-2</v>
      </c>
      <c r="O75" s="46">
        <v>6.91</v>
      </c>
      <c r="P75" s="46">
        <v>310.67</v>
      </c>
      <c r="Q75" s="58" t="s">
        <v>51</v>
      </c>
      <c r="R75" s="58">
        <v>2020</v>
      </c>
      <c r="S75" s="58"/>
      <c r="T75" s="58"/>
      <c r="U75" s="58"/>
      <c r="V75" s="58"/>
      <c r="W75" s="58"/>
      <c r="X75" s="58" t="s">
        <v>51</v>
      </c>
      <c r="Y75" s="58"/>
      <c r="Z75" s="58"/>
      <c r="AA75" s="58"/>
      <c r="AB75" s="58"/>
      <c r="AC75" s="58" t="s">
        <v>51</v>
      </c>
      <c r="AD75" s="58"/>
      <c r="AE75" s="58"/>
      <c r="AF75" s="58"/>
      <c r="AG75" s="58"/>
      <c r="AH75" s="58"/>
      <c r="AI75" s="58"/>
    </row>
    <row r="76" spans="1:35" x14ac:dyDescent="0.35">
      <c r="A76" s="17" t="s">
        <v>46</v>
      </c>
      <c r="B76" s="17" t="s">
        <v>46</v>
      </c>
      <c r="C76" s="28" t="s">
        <v>1962</v>
      </c>
      <c r="D76" s="17" t="s">
        <v>346</v>
      </c>
      <c r="E76" s="17" t="s">
        <v>1968</v>
      </c>
      <c r="F76" s="20">
        <v>280.01</v>
      </c>
      <c r="G76" s="20">
        <v>99</v>
      </c>
      <c r="H76" s="19">
        <v>506</v>
      </c>
      <c r="I76" s="20">
        <v>263</v>
      </c>
      <c r="J76" s="20">
        <v>243</v>
      </c>
      <c r="K76" s="20">
        <v>20</v>
      </c>
      <c r="L76" s="57">
        <f t="shared" si="2"/>
        <v>3.9525691699604744E-2</v>
      </c>
      <c r="M76" s="20">
        <v>30</v>
      </c>
      <c r="N76" s="57">
        <f t="shared" si="3"/>
        <v>5.9288537549407112E-2</v>
      </c>
      <c r="O76" s="46">
        <v>53.55</v>
      </c>
      <c r="P76" s="46">
        <v>40.78</v>
      </c>
      <c r="Q76" s="58" t="s">
        <v>51</v>
      </c>
      <c r="R76" s="58">
        <v>2019</v>
      </c>
      <c r="S76" s="58"/>
      <c r="T76" s="58"/>
      <c r="U76" s="58"/>
      <c r="V76" s="58"/>
      <c r="W76" s="58"/>
      <c r="X76" s="58" t="s">
        <v>51</v>
      </c>
      <c r="Y76" s="58"/>
      <c r="Z76" s="58"/>
      <c r="AA76" s="58"/>
      <c r="AB76" s="58"/>
      <c r="AC76" s="58" t="s">
        <v>51</v>
      </c>
      <c r="AD76" s="58"/>
      <c r="AE76" s="58"/>
      <c r="AF76" s="58"/>
      <c r="AG76" s="58"/>
      <c r="AH76" s="58"/>
      <c r="AI76" s="58"/>
    </row>
    <row r="77" spans="1:35" x14ac:dyDescent="0.35">
      <c r="A77" s="17" t="s">
        <v>46</v>
      </c>
      <c r="B77" s="17" t="s">
        <v>46</v>
      </c>
      <c r="C77" s="28" t="s">
        <v>1962</v>
      </c>
      <c r="D77" s="17" t="s">
        <v>373</v>
      </c>
      <c r="E77" s="17" t="s">
        <v>1969</v>
      </c>
      <c r="F77" s="20">
        <v>2020.89</v>
      </c>
      <c r="G77" s="20">
        <v>408</v>
      </c>
      <c r="H77" s="19">
        <v>2027</v>
      </c>
      <c r="I77" s="20">
        <v>1013</v>
      </c>
      <c r="J77" s="20">
        <v>1014</v>
      </c>
      <c r="K77" s="20">
        <v>257</v>
      </c>
      <c r="L77" s="57">
        <f t="shared" si="2"/>
        <v>0.1267883571780957</v>
      </c>
      <c r="M77" s="20">
        <v>183</v>
      </c>
      <c r="N77" s="57">
        <f t="shared" si="3"/>
        <v>9.0281203749383324E-2</v>
      </c>
      <c r="O77" s="46">
        <v>104.77</v>
      </c>
      <c r="P77" s="46">
        <v>1166.82</v>
      </c>
      <c r="Q77" s="58" t="s">
        <v>51</v>
      </c>
      <c r="R77" s="58">
        <v>2019</v>
      </c>
      <c r="S77" s="58"/>
      <c r="T77" s="58"/>
      <c r="U77" s="58"/>
      <c r="V77" s="58"/>
      <c r="W77" s="58"/>
      <c r="X77" s="58" t="s">
        <v>51</v>
      </c>
      <c r="Y77" s="58"/>
      <c r="Z77" s="58"/>
      <c r="AA77" s="58"/>
      <c r="AB77" s="58"/>
      <c r="AC77" s="58" t="s">
        <v>51</v>
      </c>
      <c r="AD77" s="58"/>
      <c r="AE77" s="58"/>
      <c r="AF77" s="58"/>
      <c r="AG77" s="58"/>
      <c r="AH77" s="58"/>
      <c r="AI77" s="58"/>
    </row>
    <row r="78" spans="1:35" x14ac:dyDescent="0.35">
      <c r="A78" s="17" t="s">
        <v>46</v>
      </c>
      <c r="B78" s="17" t="s">
        <v>46</v>
      </c>
      <c r="C78" s="28" t="s">
        <v>1970</v>
      </c>
      <c r="D78" s="17" t="s">
        <v>1971</v>
      </c>
      <c r="E78" s="17" t="s">
        <v>1972</v>
      </c>
      <c r="F78" s="20">
        <v>215.49</v>
      </c>
      <c r="G78" s="20">
        <v>15</v>
      </c>
      <c r="H78" s="19">
        <v>72</v>
      </c>
      <c r="I78" s="20">
        <v>40</v>
      </c>
      <c r="J78" s="20">
        <v>32</v>
      </c>
      <c r="K78" s="20">
        <v>0</v>
      </c>
      <c r="L78" s="57">
        <f t="shared" si="2"/>
        <v>0</v>
      </c>
      <c r="M78" s="20">
        <v>72</v>
      </c>
      <c r="N78" s="57">
        <f t="shared" si="3"/>
        <v>1</v>
      </c>
      <c r="O78" s="46">
        <v>9.77</v>
      </c>
      <c r="P78" s="46">
        <v>157.81</v>
      </c>
      <c r="Q78" s="58" t="s">
        <v>562</v>
      </c>
      <c r="R78" s="58"/>
      <c r="S78" s="58"/>
      <c r="T78" s="58"/>
      <c r="U78" s="58"/>
      <c r="V78" s="58"/>
      <c r="W78" s="58"/>
      <c r="X78" s="58" t="s">
        <v>562</v>
      </c>
      <c r="Y78" s="58"/>
      <c r="Z78" s="58"/>
      <c r="AA78" s="58"/>
      <c r="AB78" s="58"/>
      <c r="AC78" s="58" t="s">
        <v>562</v>
      </c>
      <c r="AD78" s="58"/>
      <c r="AE78" s="58"/>
      <c r="AF78" s="58"/>
      <c r="AG78" s="58"/>
      <c r="AH78" s="58"/>
      <c r="AI78" s="58"/>
    </row>
    <row r="79" spans="1:35" x14ac:dyDescent="0.35">
      <c r="A79" s="17" t="s">
        <v>46</v>
      </c>
      <c r="B79" s="17" t="s">
        <v>46</v>
      </c>
      <c r="C79" s="28" t="s">
        <v>1970</v>
      </c>
      <c r="D79" s="17" t="s">
        <v>1973</v>
      </c>
      <c r="E79" s="17" t="s">
        <v>1974</v>
      </c>
      <c r="F79" s="20">
        <v>147.28</v>
      </c>
      <c r="G79" s="20">
        <v>22</v>
      </c>
      <c r="H79" s="19">
        <v>109</v>
      </c>
      <c r="I79" s="20">
        <v>59</v>
      </c>
      <c r="J79" s="20">
        <v>50</v>
      </c>
      <c r="K79" s="20">
        <v>0</v>
      </c>
      <c r="L79" s="57">
        <f t="shared" si="2"/>
        <v>0</v>
      </c>
      <c r="M79" s="20">
        <v>6</v>
      </c>
      <c r="N79" s="57">
        <f t="shared" si="3"/>
        <v>5.5045871559633031E-2</v>
      </c>
      <c r="O79" s="46">
        <v>0</v>
      </c>
      <c r="P79" s="46">
        <v>0</v>
      </c>
      <c r="Q79" s="58" t="s">
        <v>562</v>
      </c>
      <c r="R79" s="58"/>
      <c r="S79" s="58"/>
      <c r="T79" s="58"/>
      <c r="U79" s="58"/>
      <c r="V79" s="58"/>
      <c r="W79" s="58"/>
      <c r="X79" s="58" t="s">
        <v>562</v>
      </c>
      <c r="Y79" s="58"/>
      <c r="Z79" s="58"/>
      <c r="AA79" s="58"/>
      <c r="AB79" s="58"/>
      <c r="AC79" s="58" t="s">
        <v>562</v>
      </c>
      <c r="AD79" s="58"/>
      <c r="AE79" s="58"/>
      <c r="AF79" s="58"/>
      <c r="AG79" s="58"/>
      <c r="AH79" s="58"/>
      <c r="AI79" s="58"/>
    </row>
    <row r="80" spans="1:35" x14ac:dyDescent="0.35">
      <c r="A80" s="17" t="s">
        <v>46</v>
      </c>
      <c r="B80" s="17" t="s">
        <v>46</v>
      </c>
      <c r="C80" s="28" t="s">
        <v>1970</v>
      </c>
      <c r="D80" s="17" t="s">
        <v>1975</v>
      </c>
      <c r="E80" s="17" t="s">
        <v>1976</v>
      </c>
      <c r="F80" s="20">
        <v>377.13</v>
      </c>
      <c r="G80" s="20">
        <v>50</v>
      </c>
      <c r="H80" s="19">
        <v>262</v>
      </c>
      <c r="I80" s="20">
        <v>125</v>
      </c>
      <c r="J80" s="20">
        <v>137</v>
      </c>
      <c r="K80" s="20">
        <v>42</v>
      </c>
      <c r="L80" s="57">
        <f t="shared" si="2"/>
        <v>0.16030534351145037</v>
      </c>
      <c r="M80" s="20">
        <v>85</v>
      </c>
      <c r="N80" s="57">
        <f t="shared" si="3"/>
        <v>0.32442748091603052</v>
      </c>
      <c r="O80" s="46">
        <v>14.21</v>
      </c>
      <c r="P80" s="46">
        <v>241.81</v>
      </c>
      <c r="Q80" s="58" t="s">
        <v>51</v>
      </c>
      <c r="R80" s="58">
        <v>2019</v>
      </c>
      <c r="S80" s="58"/>
      <c r="T80" s="58"/>
      <c r="U80" s="58"/>
      <c r="V80" s="58"/>
      <c r="W80" s="58"/>
      <c r="X80" s="58" t="s">
        <v>51</v>
      </c>
      <c r="Y80" s="58"/>
      <c r="Z80" s="58"/>
      <c r="AA80" s="58"/>
      <c r="AB80" s="58"/>
      <c r="AC80" s="58" t="s">
        <v>51</v>
      </c>
      <c r="AD80" s="58"/>
      <c r="AE80" s="58"/>
      <c r="AF80" s="58"/>
      <c r="AG80" s="58"/>
      <c r="AH80" s="58"/>
      <c r="AI80" s="58"/>
    </row>
    <row r="81" spans="1:35" x14ac:dyDescent="0.35">
      <c r="A81" s="17" t="s">
        <v>46</v>
      </c>
      <c r="B81" s="17" t="s">
        <v>46</v>
      </c>
      <c r="C81" s="28" t="s">
        <v>1970</v>
      </c>
      <c r="D81" s="17" t="s">
        <v>1977</v>
      </c>
      <c r="E81" s="17" t="s">
        <v>1978</v>
      </c>
      <c r="F81" s="20">
        <v>261.77999999999997</v>
      </c>
      <c r="G81" s="20">
        <v>45</v>
      </c>
      <c r="H81" s="19">
        <v>193</v>
      </c>
      <c r="I81" s="20">
        <v>96</v>
      </c>
      <c r="J81" s="20">
        <v>97</v>
      </c>
      <c r="K81" s="20">
        <v>0</v>
      </c>
      <c r="L81" s="57">
        <f t="shared" si="2"/>
        <v>0</v>
      </c>
      <c r="M81" s="20">
        <v>193</v>
      </c>
      <c r="N81" s="57">
        <f t="shared" si="3"/>
        <v>1</v>
      </c>
      <c r="O81" s="46">
        <v>8.64</v>
      </c>
      <c r="P81" s="46">
        <v>189.2</v>
      </c>
      <c r="Q81" s="58" t="s">
        <v>562</v>
      </c>
      <c r="R81" s="58"/>
      <c r="S81" s="58"/>
      <c r="T81" s="58"/>
      <c r="U81" s="58"/>
      <c r="V81" s="58"/>
      <c r="W81" s="58"/>
      <c r="X81" s="58" t="s">
        <v>562</v>
      </c>
      <c r="Y81" s="58"/>
      <c r="Z81" s="58"/>
      <c r="AA81" s="58"/>
      <c r="AB81" s="58"/>
      <c r="AC81" s="58" t="s">
        <v>562</v>
      </c>
      <c r="AD81" s="58"/>
      <c r="AE81" s="58"/>
      <c r="AF81" s="58"/>
      <c r="AG81" s="58"/>
      <c r="AH81" s="58"/>
      <c r="AI81" s="58"/>
    </row>
    <row r="82" spans="1:35" x14ac:dyDescent="0.35">
      <c r="A82" s="17" t="s">
        <v>46</v>
      </c>
      <c r="B82" s="17" t="s">
        <v>46</v>
      </c>
      <c r="C82" s="28" t="s">
        <v>1970</v>
      </c>
      <c r="D82" s="17" t="s">
        <v>1979</v>
      </c>
      <c r="E82" s="17" t="s">
        <v>1980</v>
      </c>
      <c r="F82" s="20">
        <v>216.51</v>
      </c>
      <c r="G82" s="20">
        <v>101</v>
      </c>
      <c r="H82" s="19">
        <v>389</v>
      </c>
      <c r="I82" s="20">
        <v>215</v>
      </c>
      <c r="J82" s="20">
        <v>174</v>
      </c>
      <c r="K82" s="20">
        <v>3</v>
      </c>
      <c r="L82" s="57">
        <f t="shared" si="2"/>
        <v>7.7120822622107968E-3</v>
      </c>
      <c r="M82" s="20">
        <v>361</v>
      </c>
      <c r="N82" s="57">
        <f t="shared" si="3"/>
        <v>0.92802056555269918</v>
      </c>
      <c r="O82" s="46">
        <v>4.82</v>
      </c>
      <c r="P82" s="46">
        <v>156.5</v>
      </c>
      <c r="Q82" s="58" t="s">
        <v>562</v>
      </c>
      <c r="R82" s="58"/>
      <c r="S82" s="58"/>
      <c r="T82" s="58"/>
      <c r="U82" s="58"/>
      <c r="V82" s="58"/>
      <c r="W82" s="58"/>
      <c r="X82" s="58" t="s">
        <v>562</v>
      </c>
      <c r="Y82" s="58"/>
      <c r="Z82" s="58"/>
      <c r="AA82" s="58"/>
      <c r="AB82" s="58"/>
      <c r="AC82" s="58" t="s">
        <v>562</v>
      </c>
      <c r="AD82" s="58"/>
      <c r="AE82" s="58"/>
      <c r="AF82" s="58"/>
      <c r="AG82" s="58"/>
      <c r="AH82" s="58"/>
      <c r="AI82" s="58"/>
    </row>
    <row r="83" spans="1:35" x14ac:dyDescent="0.35">
      <c r="A83" s="17" t="s">
        <v>46</v>
      </c>
      <c r="B83" s="17" t="s">
        <v>46</v>
      </c>
      <c r="C83" s="28" t="s">
        <v>1970</v>
      </c>
      <c r="D83" s="17" t="s">
        <v>1981</v>
      </c>
      <c r="E83" s="17" t="s">
        <v>1982</v>
      </c>
      <c r="F83" s="20">
        <v>246.22</v>
      </c>
      <c r="G83" s="20">
        <v>21</v>
      </c>
      <c r="H83" s="19">
        <v>88</v>
      </c>
      <c r="I83" s="20">
        <v>41</v>
      </c>
      <c r="J83" s="20">
        <v>47</v>
      </c>
      <c r="K83" s="20">
        <v>0</v>
      </c>
      <c r="L83" s="57">
        <f t="shared" si="2"/>
        <v>0</v>
      </c>
      <c r="M83" s="20">
        <v>88</v>
      </c>
      <c r="N83" s="57">
        <f t="shared" si="3"/>
        <v>1</v>
      </c>
      <c r="O83" s="46">
        <v>0</v>
      </c>
      <c r="P83" s="46">
        <v>157.27000000000001</v>
      </c>
      <c r="Q83" s="58" t="s">
        <v>562</v>
      </c>
      <c r="R83" s="58"/>
      <c r="S83" s="58"/>
      <c r="T83" s="58"/>
      <c r="U83" s="58"/>
      <c r="V83" s="58"/>
      <c r="W83" s="58"/>
      <c r="X83" s="58" t="s">
        <v>562</v>
      </c>
      <c r="Y83" s="58"/>
      <c r="Z83" s="58"/>
      <c r="AA83" s="58"/>
      <c r="AB83" s="58"/>
      <c r="AC83" s="58" t="s">
        <v>562</v>
      </c>
      <c r="AD83" s="58"/>
      <c r="AE83" s="58"/>
      <c r="AF83" s="58"/>
      <c r="AG83" s="58"/>
      <c r="AH83" s="58"/>
      <c r="AI83" s="58"/>
    </row>
    <row r="84" spans="1:35" x14ac:dyDescent="0.35">
      <c r="A84" s="17" t="s">
        <v>46</v>
      </c>
      <c r="B84" s="17" t="s">
        <v>46</v>
      </c>
      <c r="C84" s="28" t="s">
        <v>1983</v>
      </c>
      <c r="D84" s="17" t="s">
        <v>432</v>
      </c>
      <c r="E84" s="17" t="s">
        <v>1984</v>
      </c>
      <c r="F84" s="20">
        <v>211.91</v>
      </c>
      <c r="G84" s="20">
        <v>4</v>
      </c>
      <c r="H84" s="19">
        <v>11</v>
      </c>
      <c r="I84" s="20">
        <v>5</v>
      </c>
      <c r="J84" s="20">
        <v>6</v>
      </c>
      <c r="K84" s="20">
        <v>2</v>
      </c>
      <c r="L84" s="57">
        <f t="shared" si="2"/>
        <v>0.18181818181818182</v>
      </c>
      <c r="M84" s="20">
        <v>9</v>
      </c>
      <c r="N84" s="57">
        <f t="shared" si="3"/>
        <v>0.81818181818181823</v>
      </c>
      <c r="O84" s="46">
        <v>0</v>
      </c>
      <c r="P84" s="46">
        <v>141.32</v>
      </c>
      <c r="Q84" s="58" t="s">
        <v>562</v>
      </c>
      <c r="R84" s="58"/>
      <c r="S84" s="58"/>
      <c r="T84" s="58"/>
      <c r="U84" s="58"/>
      <c r="V84" s="58"/>
      <c r="W84" s="58"/>
      <c r="X84" s="58" t="s">
        <v>562</v>
      </c>
      <c r="Y84" s="58"/>
      <c r="Z84" s="58"/>
      <c r="AA84" s="58"/>
      <c r="AB84" s="58"/>
      <c r="AC84" s="58" t="s">
        <v>562</v>
      </c>
      <c r="AD84" s="58"/>
      <c r="AE84" s="58"/>
      <c r="AF84" s="58"/>
      <c r="AG84" s="58"/>
      <c r="AH84" s="58"/>
      <c r="AI84" s="58"/>
    </row>
    <row r="85" spans="1:35" x14ac:dyDescent="0.35">
      <c r="A85" s="17" t="s">
        <v>46</v>
      </c>
      <c r="B85" s="17" t="s">
        <v>46</v>
      </c>
      <c r="C85" s="28" t="s">
        <v>1970</v>
      </c>
      <c r="D85" s="17" t="s">
        <v>1985</v>
      </c>
      <c r="E85" s="17" t="s">
        <v>1986</v>
      </c>
      <c r="F85" s="20">
        <v>262</v>
      </c>
      <c r="G85" s="20">
        <v>57</v>
      </c>
      <c r="H85" s="19">
        <v>233</v>
      </c>
      <c r="I85" s="20">
        <v>124</v>
      </c>
      <c r="J85" s="20">
        <v>109</v>
      </c>
      <c r="K85" s="20">
        <v>5</v>
      </c>
      <c r="L85" s="57">
        <f t="shared" si="2"/>
        <v>2.1459227467811159E-2</v>
      </c>
      <c r="M85" s="20">
        <v>227</v>
      </c>
      <c r="N85" s="57">
        <f t="shared" si="3"/>
        <v>0.97424892703862664</v>
      </c>
      <c r="O85" s="46">
        <v>18.05</v>
      </c>
      <c r="P85" s="46">
        <v>115.41</v>
      </c>
      <c r="Q85" s="58" t="s">
        <v>51</v>
      </c>
      <c r="R85" s="58">
        <v>2020</v>
      </c>
      <c r="S85" s="58"/>
      <c r="T85" s="58"/>
      <c r="U85" s="58"/>
      <c r="V85" s="58"/>
      <c r="W85" s="58"/>
      <c r="X85" s="58" t="s">
        <v>51</v>
      </c>
      <c r="Y85" s="58"/>
      <c r="Z85" s="58"/>
      <c r="AA85" s="58"/>
      <c r="AB85" s="58"/>
      <c r="AC85" s="58" t="s">
        <v>51</v>
      </c>
      <c r="AD85" s="58"/>
      <c r="AE85" s="58"/>
      <c r="AF85" s="58"/>
      <c r="AG85" s="58"/>
      <c r="AH85" s="58"/>
      <c r="AI85" s="58"/>
    </row>
    <row r="86" spans="1:35" x14ac:dyDescent="0.35">
      <c r="A86" s="17" t="s">
        <v>46</v>
      </c>
      <c r="B86" s="17" t="s">
        <v>46</v>
      </c>
      <c r="C86" s="28" t="s">
        <v>1987</v>
      </c>
      <c r="D86" s="17" t="s">
        <v>1988</v>
      </c>
      <c r="E86" s="17" t="s">
        <v>1989</v>
      </c>
      <c r="F86" s="20">
        <v>289.48</v>
      </c>
      <c r="G86" s="20">
        <v>78</v>
      </c>
      <c r="H86" s="19">
        <v>307</v>
      </c>
      <c r="I86" s="20">
        <v>148</v>
      </c>
      <c r="J86" s="20">
        <v>159</v>
      </c>
      <c r="K86" s="20">
        <v>47</v>
      </c>
      <c r="L86" s="57">
        <f t="shared" si="2"/>
        <v>0.15309446254071662</v>
      </c>
      <c r="M86" s="20">
        <v>260</v>
      </c>
      <c r="N86" s="57">
        <f t="shared" si="3"/>
        <v>0.84690553745928343</v>
      </c>
      <c r="O86" s="46">
        <v>9.85</v>
      </c>
      <c r="P86" s="46">
        <v>182.95</v>
      </c>
      <c r="Q86" s="58" t="s">
        <v>51</v>
      </c>
      <c r="R86" s="58">
        <v>2020</v>
      </c>
      <c r="S86" s="58"/>
      <c r="T86" s="58"/>
      <c r="U86" s="58"/>
      <c r="V86" s="58"/>
      <c r="W86" s="58"/>
      <c r="X86" s="58" t="s">
        <v>51</v>
      </c>
      <c r="Y86" s="58"/>
      <c r="Z86" s="58"/>
      <c r="AA86" s="58"/>
      <c r="AB86" s="58"/>
      <c r="AC86" s="58" t="s">
        <v>51</v>
      </c>
      <c r="AD86" s="58"/>
      <c r="AE86" s="58"/>
      <c r="AF86" s="58"/>
      <c r="AG86" s="58"/>
      <c r="AH86" s="58"/>
      <c r="AI86" s="58"/>
    </row>
    <row r="87" spans="1:35" x14ac:dyDescent="0.35">
      <c r="A87" s="17" t="s">
        <v>46</v>
      </c>
      <c r="B87" s="17" t="s">
        <v>46</v>
      </c>
      <c r="C87" s="28" t="s">
        <v>1970</v>
      </c>
      <c r="D87" s="17" t="s">
        <v>1625</v>
      </c>
      <c r="E87" s="17" t="s">
        <v>1990</v>
      </c>
      <c r="F87" s="20">
        <v>242.8</v>
      </c>
      <c r="G87" s="20">
        <v>81</v>
      </c>
      <c r="H87" s="19">
        <v>327</v>
      </c>
      <c r="I87" s="20">
        <v>162</v>
      </c>
      <c r="J87" s="20">
        <v>165</v>
      </c>
      <c r="K87" s="20">
        <v>85</v>
      </c>
      <c r="L87" s="57">
        <f t="shared" si="2"/>
        <v>0.25993883792048927</v>
      </c>
      <c r="M87" s="20">
        <v>167</v>
      </c>
      <c r="N87" s="57">
        <f t="shared" si="3"/>
        <v>0.5107033639143731</v>
      </c>
      <c r="O87" s="46">
        <v>9.08</v>
      </c>
      <c r="P87" s="46">
        <v>92.57</v>
      </c>
      <c r="Q87" s="58" t="s">
        <v>562</v>
      </c>
      <c r="R87" s="58"/>
      <c r="S87" s="58"/>
      <c r="T87" s="58"/>
      <c r="U87" s="58"/>
      <c r="V87" s="58"/>
      <c r="W87" s="58"/>
      <c r="X87" s="58" t="s">
        <v>562</v>
      </c>
      <c r="Y87" s="58"/>
      <c r="Z87" s="58"/>
      <c r="AA87" s="58"/>
      <c r="AB87" s="58"/>
      <c r="AC87" s="58" t="s">
        <v>562</v>
      </c>
      <c r="AD87" s="58"/>
      <c r="AE87" s="58"/>
      <c r="AF87" s="58"/>
      <c r="AG87" s="58"/>
      <c r="AH87" s="58"/>
      <c r="AI87" s="58"/>
    </row>
    <row r="88" spans="1:35" x14ac:dyDescent="0.35">
      <c r="A88" s="17" t="s">
        <v>46</v>
      </c>
      <c r="B88" s="17" t="s">
        <v>46</v>
      </c>
      <c r="C88" s="28" t="s">
        <v>1970</v>
      </c>
      <c r="D88" s="17" t="s">
        <v>1991</v>
      </c>
      <c r="E88" s="17" t="s">
        <v>1992</v>
      </c>
      <c r="F88" s="20">
        <v>216.35</v>
      </c>
      <c r="G88" s="20">
        <v>24</v>
      </c>
      <c r="H88" s="19">
        <v>94</v>
      </c>
      <c r="I88" s="20">
        <v>51</v>
      </c>
      <c r="J88" s="20">
        <v>43</v>
      </c>
      <c r="K88" s="20">
        <v>0</v>
      </c>
      <c r="L88" s="57">
        <f t="shared" si="2"/>
        <v>0</v>
      </c>
      <c r="M88" s="20">
        <v>0</v>
      </c>
      <c r="N88" s="57">
        <f t="shared" si="3"/>
        <v>0</v>
      </c>
      <c r="O88" s="46">
        <v>0</v>
      </c>
      <c r="P88" s="46">
        <v>128.28</v>
      </c>
      <c r="Q88" s="58" t="s">
        <v>562</v>
      </c>
      <c r="R88" s="58"/>
      <c r="S88" s="58"/>
      <c r="T88" s="58"/>
      <c r="U88" s="58"/>
      <c r="V88" s="58"/>
      <c r="W88" s="58"/>
      <c r="X88" s="58" t="s">
        <v>562</v>
      </c>
      <c r="Y88" s="58"/>
      <c r="Z88" s="58"/>
      <c r="AA88" s="58"/>
      <c r="AB88" s="58"/>
      <c r="AC88" s="58" t="s">
        <v>562</v>
      </c>
      <c r="AD88" s="58"/>
      <c r="AE88" s="58"/>
      <c r="AF88" s="58"/>
      <c r="AG88" s="58"/>
      <c r="AH88" s="58"/>
      <c r="AI88" s="58"/>
    </row>
    <row r="89" spans="1:35" x14ac:dyDescent="0.35">
      <c r="A89" s="17" t="s">
        <v>46</v>
      </c>
      <c r="B89" s="17" t="s">
        <v>46</v>
      </c>
      <c r="C89" s="28" t="s">
        <v>1970</v>
      </c>
      <c r="D89" s="17" t="s">
        <v>1993</v>
      </c>
      <c r="E89" s="17" t="s">
        <v>1994</v>
      </c>
      <c r="F89" s="20">
        <v>328.86</v>
      </c>
      <c r="G89" s="20">
        <v>64</v>
      </c>
      <c r="H89" s="19">
        <v>270</v>
      </c>
      <c r="I89" s="20">
        <v>137</v>
      </c>
      <c r="J89" s="20">
        <v>133</v>
      </c>
      <c r="K89" s="20">
        <v>122</v>
      </c>
      <c r="L89" s="57">
        <f t="shared" si="2"/>
        <v>0.45185185185185184</v>
      </c>
      <c r="M89" s="20">
        <v>43</v>
      </c>
      <c r="N89" s="57">
        <f t="shared" si="3"/>
        <v>0.15925925925925927</v>
      </c>
      <c r="O89" s="46">
        <v>8.82</v>
      </c>
      <c r="P89" s="46">
        <v>195.71</v>
      </c>
      <c r="Q89" s="58" t="s">
        <v>562</v>
      </c>
      <c r="R89" s="58"/>
      <c r="S89" s="58"/>
      <c r="T89" s="58"/>
      <c r="U89" s="58"/>
      <c r="V89" s="58"/>
      <c r="W89" s="58"/>
      <c r="X89" s="58" t="s">
        <v>562</v>
      </c>
      <c r="Y89" s="58"/>
      <c r="Z89" s="58"/>
      <c r="AA89" s="58"/>
      <c r="AB89" s="58"/>
      <c r="AC89" s="58" t="s">
        <v>562</v>
      </c>
      <c r="AD89" s="58"/>
      <c r="AE89" s="58"/>
      <c r="AF89" s="58"/>
      <c r="AG89" s="58"/>
      <c r="AH89" s="58"/>
      <c r="AI89" s="58"/>
    </row>
    <row r="90" spans="1:35" x14ac:dyDescent="0.35">
      <c r="A90" s="17" t="s">
        <v>46</v>
      </c>
      <c r="B90" s="17" t="s">
        <v>46</v>
      </c>
      <c r="C90" s="28" t="s">
        <v>1970</v>
      </c>
      <c r="D90" s="17" t="s">
        <v>1995</v>
      </c>
      <c r="E90" s="17" t="s">
        <v>1996</v>
      </c>
      <c r="F90" s="20">
        <v>151.26</v>
      </c>
      <c r="G90" s="20">
        <v>45</v>
      </c>
      <c r="H90" s="19">
        <v>176</v>
      </c>
      <c r="I90" s="20">
        <v>94</v>
      </c>
      <c r="J90" s="20">
        <v>82</v>
      </c>
      <c r="K90" s="20">
        <v>0</v>
      </c>
      <c r="L90" s="57">
        <f t="shared" si="2"/>
        <v>0</v>
      </c>
      <c r="M90" s="20">
        <v>133</v>
      </c>
      <c r="N90" s="57">
        <f t="shared" si="3"/>
        <v>0.75568181818181823</v>
      </c>
      <c r="O90" s="46">
        <v>7.32</v>
      </c>
      <c r="P90" s="46">
        <v>94.75</v>
      </c>
      <c r="Q90" s="58" t="s">
        <v>562</v>
      </c>
      <c r="R90" s="58"/>
      <c r="S90" s="58"/>
      <c r="T90" s="58"/>
      <c r="U90" s="58"/>
      <c r="V90" s="58"/>
      <c r="W90" s="58"/>
      <c r="X90" s="58" t="s">
        <v>562</v>
      </c>
      <c r="Y90" s="58"/>
      <c r="Z90" s="58"/>
      <c r="AA90" s="58"/>
      <c r="AB90" s="58"/>
      <c r="AC90" s="58" t="s">
        <v>562</v>
      </c>
      <c r="AD90" s="58"/>
      <c r="AE90" s="58"/>
      <c r="AF90" s="58"/>
      <c r="AG90" s="58"/>
      <c r="AH90" s="58"/>
      <c r="AI90" s="58"/>
    </row>
    <row r="91" spans="1:35" x14ac:dyDescent="0.35">
      <c r="A91" s="17" t="s">
        <v>46</v>
      </c>
      <c r="B91" s="17" t="s">
        <v>46</v>
      </c>
      <c r="C91" s="28" t="s">
        <v>1997</v>
      </c>
      <c r="D91" s="17" t="s">
        <v>1998</v>
      </c>
      <c r="E91" s="17" t="s">
        <v>1999</v>
      </c>
      <c r="F91" s="28">
        <v>55.6</v>
      </c>
      <c r="G91" s="47"/>
      <c r="H91" s="19">
        <v>0</v>
      </c>
      <c r="I91" s="47"/>
      <c r="J91" s="47"/>
      <c r="K91" s="47"/>
      <c r="L91" s="57" t="e">
        <f t="shared" si="2"/>
        <v>#DIV/0!</v>
      </c>
      <c r="M91" s="47"/>
      <c r="N91" s="57" t="e">
        <f t="shared" si="3"/>
        <v>#DIV/0!</v>
      </c>
      <c r="O91" s="48">
        <v>5.49</v>
      </c>
      <c r="P91" s="48">
        <v>5.22</v>
      </c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</row>
    <row r="92" spans="1:35" x14ac:dyDescent="0.35">
      <c r="A92" s="17" t="s">
        <v>46</v>
      </c>
      <c r="B92" s="17" t="s">
        <v>46</v>
      </c>
      <c r="C92" s="28" t="s">
        <v>1970</v>
      </c>
      <c r="D92" s="17" t="s">
        <v>2000</v>
      </c>
      <c r="E92" s="17" t="s">
        <v>2001</v>
      </c>
      <c r="F92" s="20">
        <v>568.76</v>
      </c>
      <c r="G92" s="20">
        <v>180</v>
      </c>
      <c r="H92" s="19">
        <v>771</v>
      </c>
      <c r="I92" s="20">
        <v>387</v>
      </c>
      <c r="J92" s="20">
        <v>384</v>
      </c>
      <c r="K92" s="20">
        <v>79</v>
      </c>
      <c r="L92" s="57">
        <f t="shared" si="2"/>
        <v>0.10246433203631647</v>
      </c>
      <c r="M92" s="20">
        <v>196</v>
      </c>
      <c r="N92" s="57">
        <f t="shared" si="3"/>
        <v>0.25421530479896237</v>
      </c>
      <c r="O92" s="46">
        <v>32.22</v>
      </c>
      <c r="P92" s="46">
        <v>212.67</v>
      </c>
      <c r="Q92" s="58" t="s">
        <v>51</v>
      </c>
      <c r="R92" s="58">
        <v>2020</v>
      </c>
      <c r="S92" s="58"/>
      <c r="T92" s="58"/>
      <c r="U92" s="58"/>
      <c r="V92" s="58"/>
      <c r="W92" s="58"/>
      <c r="X92" s="58" t="s">
        <v>51</v>
      </c>
      <c r="Y92" s="58"/>
      <c r="Z92" s="58"/>
      <c r="AA92" s="58"/>
      <c r="AB92" s="58"/>
      <c r="AC92" s="58" t="s">
        <v>51</v>
      </c>
      <c r="AD92" s="58"/>
      <c r="AE92" s="58"/>
      <c r="AF92" s="58"/>
      <c r="AG92" s="58"/>
      <c r="AH92" s="58"/>
      <c r="AI92" s="58"/>
    </row>
    <row r="93" spans="1:35" x14ac:dyDescent="0.35">
      <c r="A93" s="17" t="s">
        <v>46</v>
      </c>
      <c r="B93" s="17" t="s">
        <v>46</v>
      </c>
      <c r="C93" s="28" t="s">
        <v>1997</v>
      </c>
      <c r="D93" s="17" t="s">
        <v>2002</v>
      </c>
      <c r="E93" s="17" t="s">
        <v>2003</v>
      </c>
      <c r="F93" s="20">
        <v>249.88</v>
      </c>
      <c r="G93" s="20">
        <v>247</v>
      </c>
      <c r="H93" s="19">
        <v>1096</v>
      </c>
      <c r="I93" s="20">
        <v>554</v>
      </c>
      <c r="J93" s="20">
        <v>542</v>
      </c>
      <c r="K93" s="20">
        <v>61</v>
      </c>
      <c r="L93" s="57">
        <f t="shared" si="2"/>
        <v>5.5656934306569344E-2</v>
      </c>
      <c r="M93" s="20">
        <v>42</v>
      </c>
      <c r="N93" s="57">
        <f t="shared" si="3"/>
        <v>3.8321167883211681E-2</v>
      </c>
      <c r="O93" s="46">
        <v>48.7</v>
      </c>
      <c r="P93" s="46">
        <v>46.17</v>
      </c>
      <c r="Q93" s="58" t="s">
        <v>51</v>
      </c>
      <c r="R93" s="58">
        <v>2020</v>
      </c>
      <c r="S93" s="58"/>
      <c r="T93" s="58"/>
      <c r="U93" s="58"/>
      <c r="V93" s="58"/>
      <c r="W93" s="58"/>
      <c r="X93" s="58" t="s">
        <v>51</v>
      </c>
      <c r="Y93" s="58"/>
      <c r="Z93" s="58"/>
      <c r="AA93" s="58"/>
      <c r="AB93" s="58"/>
      <c r="AC93" s="58" t="s">
        <v>51</v>
      </c>
      <c r="AD93" s="58"/>
      <c r="AE93" s="58"/>
      <c r="AF93" s="58"/>
      <c r="AG93" s="58"/>
      <c r="AH93" s="58"/>
      <c r="AI93" s="58"/>
    </row>
    <row r="94" spans="1:35" x14ac:dyDescent="0.35">
      <c r="A94" s="17" t="s">
        <v>46</v>
      </c>
      <c r="B94" s="17" t="s">
        <v>46</v>
      </c>
      <c r="C94" s="28" t="s">
        <v>1997</v>
      </c>
      <c r="D94" s="17" t="s">
        <v>2004</v>
      </c>
      <c r="E94" s="17" t="s">
        <v>2005</v>
      </c>
      <c r="F94" s="20">
        <v>1527.17</v>
      </c>
      <c r="G94" s="20">
        <v>140</v>
      </c>
      <c r="H94" s="19">
        <v>727</v>
      </c>
      <c r="I94" s="20">
        <v>361</v>
      </c>
      <c r="J94" s="20">
        <v>366</v>
      </c>
      <c r="K94" s="20">
        <v>49</v>
      </c>
      <c r="L94" s="57">
        <f t="shared" si="2"/>
        <v>6.7400275103163682E-2</v>
      </c>
      <c r="M94" s="20">
        <v>113</v>
      </c>
      <c r="N94" s="57">
        <f t="shared" si="3"/>
        <v>0.15543328748280605</v>
      </c>
      <c r="O94" s="46">
        <v>110.11</v>
      </c>
      <c r="P94" s="46">
        <v>360.9</v>
      </c>
      <c r="Q94" s="58" t="s">
        <v>51</v>
      </c>
      <c r="R94" s="58">
        <v>2019</v>
      </c>
      <c r="S94" s="58"/>
      <c r="T94" s="58"/>
      <c r="U94" s="58"/>
      <c r="V94" s="58"/>
      <c r="W94" s="58"/>
      <c r="X94" s="58" t="s">
        <v>51</v>
      </c>
      <c r="Y94" s="58"/>
      <c r="Z94" s="58"/>
      <c r="AA94" s="58"/>
      <c r="AB94" s="58"/>
      <c r="AC94" s="58" t="s">
        <v>51</v>
      </c>
      <c r="AD94" s="58"/>
      <c r="AE94" s="58"/>
      <c r="AF94" s="58"/>
      <c r="AG94" s="58"/>
      <c r="AH94" s="58"/>
      <c r="AI94" s="58"/>
    </row>
    <row r="95" spans="1:35" x14ac:dyDescent="0.35">
      <c r="A95" s="17" t="s">
        <v>46</v>
      </c>
      <c r="B95" s="17" t="s">
        <v>46</v>
      </c>
      <c r="C95" s="28" t="s">
        <v>1909</v>
      </c>
      <c r="D95" s="17" t="s">
        <v>2006</v>
      </c>
      <c r="E95" s="17" t="s">
        <v>2007</v>
      </c>
      <c r="F95" s="20">
        <v>149.87</v>
      </c>
      <c r="G95" s="20">
        <v>86</v>
      </c>
      <c r="H95" s="19">
        <v>375</v>
      </c>
      <c r="I95" s="20">
        <v>196</v>
      </c>
      <c r="J95" s="20">
        <v>179</v>
      </c>
      <c r="K95" s="20">
        <v>53</v>
      </c>
      <c r="L95" s="57">
        <f t="shared" si="2"/>
        <v>0.14133333333333334</v>
      </c>
      <c r="M95" s="20">
        <v>127</v>
      </c>
      <c r="N95" s="57">
        <f t="shared" si="3"/>
        <v>0.33866666666666667</v>
      </c>
      <c r="O95" s="46">
        <v>19.25</v>
      </c>
      <c r="P95" s="46">
        <v>0</v>
      </c>
      <c r="Q95" s="58" t="s">
        <v>51</v>
      </c>
      <c r="R95" s="58">
        <v>2020</v>
      </c>
      <c r="S95" s="58"/>
      <c r="T95" s="58"/>
      <c r="U95" s="58"/>
      <c r="V95" s="58"/>
      <c r="W95" s="58"/>
      <c r="X95" s="58" t="s">
        <v>51</v>
      </c>
      <c r="Y95" s="58"/>
      <c r="Z95" s="58"/>
      <c r="AA95" s="58"/>
      <c r="AB95" s="58"/>
      <c r="AC95" s="58" t="s">
        <v>51</v>
      </c>
      <c r="AD95" s="58"/>
      <c r="AE95" s="58"/>
      <c r="AF95" s="58"/>
      <c r="AG95" s="58"/>
      <c r="AH95" s="58"/>
      <c r="AI95" s="58"/>
    </row>
    <row r="96" spans="1:35" x14ac:dyDescent="0.35">
      <c r="A96" s="17" t="s">
        <v>46</v>
      </c>
      <c r="B96" s="17" t="s">
        <v>46</v>
      </c>
      <c r="C96" s="28" t="s">
        <v>1909</v>
      </c>
      <c r="D96" s="17" t="s">
        <v>2008</v>
      </c>
      <c r="E96" s="17" t="s">
        <v>2009</v>
      </c>
      <c r="F96" s="20">
        <v>129.63</v>
      </c>
      <c r="G96" s="20">
        <v>42</v>
      </c>
      <c r="H96" s="19">
        <v>205</v>
      </c>
      <c r="I96" s="20">
        <v>98</v>
      </c>
      <c r="J96" s="20">
        <v>107</v>
      </c>
      <c r="K96" s="20">
        <v>0</v>
      </c>
      <c r="L96" s="57">
        <f t="shared" si="2"/>
        <v>0</v>
      </c>
      <c r="M96" s="20">
        <v>103</v>
      </c>
      <c r="N96" s="57">
        <f t="shared" si="3"/>
        <v>0.5024390243902439</v>
      </c>
      <c r="O96" s="46">
        <v>20.7</v>
      </c>
      <c r="P96" s="46">
        <v>0</v>
      </c>
      <c r="Q96" s="58" t="s">
        <v>51</v>
      </c>
      <c r="R96" s="58">
        <v>2020</v>
      </c>
      <c r="S96" s="58"/>
      <c r="T96" s="58"/>
      <c r="U96" s="58"/>
      <c r="V96" s="58"/>
      <c r="W96" s="58"/>
      <c r="X96" s="58" t="s">
        <v>51</v>
      </c>
      <c r="Y96" s="58"/>
      <c r="Z96" s="58"/>
      <c r="AA96" s="58"/>
      <c r="AB96" s="58"/>
      <c r="AC96" s="58" t="s">
        <v>51</v>
      </c>
      <c r="AD96" s="58"/>
      <c r="AE96" s="58"/>
      <c r="AF96" s="58"/>
      <c r="AG96" s="58"/>
      <c r="AH96" s="58"/>
      <c r="AI96" s="58"/>
    </row>
    <row r="97" spans="1:35" x14ac:dyDescent="0.35">
      <c r="A97" s="17" t="s">
        <v>46</v>
      </c>
      <c r="B97" s="17" t="s">
        <v>46</v>
      </c>
      <c r="C97" s="28" t="s">
        <v>1997</v>
      </c>
      <c r="D97" s="17" t="s">
        <v>2010</v>
      </c>
      <c r="E97" s="17" t="s">
        <v>2011</v>
      </c>
      <c r="F97" s="20">
        <v>268.68</v>
      </c>
      <c r="G97" s="20">
        <v>86</v>
      </c>
      <c r="H97" s="19">
        <v>337</v>
      </c>
      <c r="I97" s="20">
        <v>170</v>
      </c>
      <c r="J97" s="20">
        <v>167</v>
      </c>
      <c r="K97" s="20">
        <v>105</v>
      </c>
      <c r="L97" s="57">
        <f t="shared" si="2"/>
        <v>0.31157270029673589</v>
      </c>
      <c r="M97" s="20">
        <v>40</v>
      </c>
      <c r="N97" s="57">
        <f t="shared" si="3"/>
        <v>0.11869436201780416</v>
      </c>
      <c r="O97" s="46">
        <v>104.1</v>
      </c>
      <c r="P97" s="46">
        <v>70.599999999999994</v>
      </c>
      <c r="Q97" s="58" t="s">
        <v>51</v>
      </c>
      <c r="R97" s="58">
        <v>2019</v>
      </c>
      <c r="S97" s="58"/>
      <c r="T97" s="58"/>
      <c r="U97" s="58"/>
      <c r="V97" s="58"/>
      <c r="W97" s="58"/>
      <c r="X97" s="58" t="s">
        <v>51</v>
      </c>
      <c r="Y97" s="58"/>
      <c r="Z97" s="58"/>
      <c r="AA97" s="58"/>
      <c r="AB97" s="58"/>
      <c r="AC97" s="58" t="s">
        <v>51</v>
      </c>
      <c r="AD97" s="58"/>
      <c r="AE97" s="58"/>
      <c r="AF97" s="58"/>
      <c r="AG97" s="58"/>
      <c r="AH97" s="58"/>
      <c r="AI97" s="58"/>
    </row>
    <row r="98" spans="1:35" x14ac:dyDescent="0.35">
      <c r="A98" s="17" t="s">
        <v>46</v>
      </c>
      <c r="B98" s="17" t="s">
        <v>46</v>
      </c>
      <c r="C98" s="28" t="s">
        <v>1997</v>
      </c>
      <c r="D98" s="17" t="s">
        <v>2012</v>
      </c>
      <c r="E98" s="17" t="s">
        <v>2013</v>
      </c>
      <c r="F98" s="20">
        <v>166.47</v>
      </c>
      <c r="G98" s="20">
        <v>39</v>
      </c>
      <c r="H98" s="19">
        <v>145</v>
      </c>
      <c r="I98" s="20">
        <v>78</v>
      </c>
      <c r="J98" s="20">
        <v>67</v>
      </c>
      <c r="K98" s="20">
        <v>0</v>
      </c>
      <c r="L98" s="57">
        <f t="shared" si="2"/>
        <v>0</v>
      </c>
      <c r="M98" s="20">
        <v>74</v>
      </c>
      <c r="N98" s="57">
        <f t="shared" si="3"/>
        <v>0.51034482758620692</v>
      </c>
      <c r="O98" s="46">
        <v>17.329999999999998</v>
      </c>
      <c r="P98" s="46">
        <v>27.05</v>
      </c>
      <c r="Q98" s="58" t="s">
        <v>51</v>
      </c>
      <c r="R98" s="58">
        <v>2020</v>
      </c>
      <c r="S98" s="58"/>
      <c r="T98" s="58"/>
      <c r="U98" s="58"/>
      <c r="V98" s="58"/>
      <c r="W98" s="58"/>
      <c r="X98" s="58" t="s">
        <v>51</v>
      </c>
      <c r="Y98" s="58"/>
      <c r="Z98" s="58"/>
      <c r="AA98" s="58"/>
      <c r="AB98" s="58"/>
      <c r="AC98" s="58" t="s">
        <v>51</v>
      </c>
      <c r="AD98" s="58"/>
      <c r="AE98" s="58"/>
      <c r="AF98" s="58"/>
      <c r="AG98" s="58"/>
      <c r="AH98" s="58"/>
      <c r="AI98" s="58"/>
    </row>
    <row r="99" spans="1:35" x14ac:dyDescent="0.35">
      <c r="A99" s="17" t="s">
        <v>46</v>
      </c>
      <c r="B99" s="17" t="s">
        <v>46</v>
      </c>
      <c r="C99" s="28" t="s">
        <v>1997</v>
      </c>
      <c r="D99" s="17" t="s">
        <v>2014</v>
      </c>
      <c r="E99" s="17" t="s">
        <v>2015</v>
      </c>
      <c r="F99" s="20">
        <v>97.56</v>
      </c>
      <c r="G99" s="20">
        <v>41</v>
      </c>
      <c r="H99" s="19">
        <v>160</v>
      </c>
      <c r="I99" s="20">
        <v>90</v>
      </c>
      <c r="J99" s="20">
        <v>70</v>
      </c>
      <c r="K99" s="20">
        <v>0</v>
      </c>
      <c r="L99" s="57">
        <f t="shared" si="2"/>
        <v>0</v>
      </c>
      <c r="M99" s="20">
        <v>0</v>
      </c>
      <c r="N99" s="57">
        <f t="shared" si="3"/>
        <v>0</v>
      </c>
      <c r="O99" s="46">
        <v>8.4</v>
      </c>
      <c r="P99" s="46">
        <v>7.5</v>
      </c>
      <c r="Q99" s="58" t="s">
        <v>51</v>
      </c>
      <c r="R99" s="58">
        <v>2020</v>
      </c>
      <c r="S99" s="58"/>
      <c r="T99" s="58"/>
      <c r="U99" s="58"/>
      <c r="V99" s="58"/>
      <c r="W99" s="58"/>
      <c r="X99" s="58" t="s">
        <v>51</v>
      </c>
      <c r="Y99" s="58"/>
      <c r="Z99" s="58"/>
      <c r="AA99" s="58"/>
      <c r="AB99" s="58"/>
      <c r="AC99" s="58" t="s">
        <v>51</v>
      </c>
      <c r="AD99" s="58"/>
      <c r="AE99" s="58"/>
      <c r="AF99" s="58"/>
      <c r="AG99" s="58"/>
      <c r="AH99" s="58"/>
      <c r="AI99" s="58"/>
    </row>
    <row r="100" spans="1:35" x14ac:dyDescent="0.35">
      <c r="A100" s="17" t="s">
        <v>46</v>
      </c>
      <c r="B100" s="17" t="s">
        <v>46</v>
      </c>
      <c r="C100" s="28" t="s">
        <v>1997</v>
      </c>
      <c r="D100" s="17" t="s">
        <v>2016</v>
      </c>
      <c r="E100" s="17" t="s">
        <v>2017</v>
      </c>
      <c r="F100" s="20">
        <v>289.58</v>
      </c>
      <c r="G100" s="20">
        <v>32</v>
      </c>
      <c r="H100" s="19">
        <v>142</v>
      </c>
      <c r="I100" s="20">
        <v>73</v>
      </c>
      <c r="J100" s="20">
        <v>69</v>
      </c>
      <c r="K100" s="20">
        <v>37</v>
      </c>
      <c r="L100" s="57">
        <f t="shared" si="2"/>
        <v>0.26056338028169013</v>
      </c>
      <c r="M100" s="20">
        <v>0</v>
      </c>
      <c r="N100" s="57">
        <f t="shared" si="3"/>
        <v>0</v>
      </c>
      <c r="O100" s="46">
        <v>27.01</v>
      </c>
      <c r="P100" s="46">
        <v>58.98</v>
      </c>
      <c r="Q100" s="58" t="s">
        <v>51</v>
      </c>
      <c r="R100" s="58">
        <v>2020</v>
      </c>
      <c r="S100" s="58"/>
      <c r="T100" s="58"/>
      <c r="U100" s="58"/>
      <c r="V100" s="58"/>
      <c r="W100" s="58"/>
      <c r="X100" s="58" t="s">
        <v>51</v>
      </c>
      <c r="Y100" s="58"/>
      <c r="Z100" s="58"/>
      <c r="AA100" s="58"/>
      <c r="AB100" s="58"/>
      <c r="AC100" s="58" t="s">
        <v>51</v>
      </c>
      <c r="AD100" s="58"/>
      <c r="AE100" s="58"/>
      <c r="AF100" s="58"/>
      <c r="AG100" s="58"/>
      <c r="AH100" s="58"/>
      <c r="AI100" s="58"/>
    </row>
    <row r="101" spans="1:35" x14ac:dyDescent="0.35">
      <c r="A101" s="17" t="s">
        <v>46</v>
      </c>
      <c r="B101" s="17" t="s">
        <v>46</v>
      </c>
      <c r="C101" s="28" t="s">
        <v>2018</v>
      </c>
      <c r="D101" s="17" t="s">
        <v>2019</v>
      </c>
      <c r="E101" s="17" t="s">
        <v>2020</v>
      </c>
      <c r="F101" s="20">
        <v>83.71</v>
      </c>
      <c r="G101" s="20">
        <v>22</v>
      </c>
      <c r="H101" s="19">
        <v>90</v>
      </c>
      <c r="I101" s="20">
        <v>41</v>
      </c>
      <c r="J101" s="20">
        <v>49</v>
      </c>
      <c r="K101" s="20">
        <v>0</v>
      </c>
      <c r="L101" s="57">
        <f t="shared" si="2"/>
        <v>0</v>
      </c>
      <c r="M101" s="20">
        <v>15</v>
      </c>
      <c r="N101" s="57">
        <f t="shared" si="3"/>
        <v>0.16666666666666666</v>
      </c>
      <c r="O101" s="46">
        <v>12.32</v>
      </c>
      <c r="P101" s="46">
        <v>0</v>
      </c>
      <c r="Q101" s="58" t="s">
        <v>562</v>
      </c>
      <c r="R101" s="58"/>
      <c r="S101" s="58"/>
      <c r="T101" s="58"/>
      <c r="U101" s="58"/>
      <c r="V101" s="58"/>
      <c r="W101" s="58"/>
      <c r="X101" s="58" t="s">
        <v>562</v>
      </c>
      <c r="Y101" s="58"/>
      <c r="Z101" s="58"/>
      <c r="AA101" s="58"/>
      <c r="AB101" s="58"/>
      <c r="AC101" s="58" t="s">
        <v>562</v>
      </c>
      <c r="AD101" s="58"/>
      <c r="AE101" s="58"/>
      <c r="AF101" s="58"/>
      <c r="AG101" s="58"/>
      <c r="AH101" s="58"/>
      <c r="AI101" s="58"/>
    </row>
    <row r="102" spans="1:35" x14ac:dyDescent="0.35">
      <c r="A102" s="17" t="s">
        <v>46</v>
      </c>
      <c r="B102" s="17" t="s">
        <v>46</v>
      </c>
      <c r="C102" s="28" t="s">
        <v>2018</v>
      </c>
      <c r="D102" s="17" t="s">
        <v>2021</v>
      </c>
      <c r="E102" s="17" t="s">
        <v>2022</v>
      </c>
      <c r="F102" s="20">
        <v>490.75</v>
      </c>
      <c r="G102" s="20">
        <v>163</v>
      </c>
      <c r="H102" s="19">
        <v>603</v>
      </c>
      <c r="I102" s="20">
        <v>312</v>
      </c>
      <c r="J102" s="20">
        <v>291</v>
      </c>
      <c r="K102" s="20">
        <v>12</v>
      </c>
      <c r="L102" s="57">
        <f t="shared" si="2"/>
        <v>1.9900497512437811E-2</v>
      </c>
      <c r="M102" s="20">
        <v>218</v>
      </c>
      <c r="N102" s="57">
        <f t="shared" si="3"/>
        <v>0.36152570480928692</v>
      </c>
      <c r="O102" s="46">
        <v>21.45</v>
      </c>
      <c r="P102" s="46">
        <v>274.70999999999998</v>
      </c>
      <c r="Q102" s="58" t="s">
        <v>51</v>
      </c>
      <c r="R102" s="58">
        <v>2020</v>
      </c>
      <c r="S102" s="58"/>
      <c r="T102" s="58"/>
      <c r="U102" s="58"/>
      <c r="V102" s="58"/>
      <c r="W102" s="58"/>
      <c r="X102" s="58" t="s">
        <v>51</v>
      </c>
      <c r="Y102" s="58"/>
      <c r="Z102" s="58"/>
      <c r="AA102" s="58"/>
      <c r="AB102" s="58"/>
      <c r="AC102" s="58" t="s">
        <v>51</v>
      </c>
      <c r="AD102" s="58"/>
      <c r="AE102" s="58"/>
      <c r="AF102" s="58"/>
      <c r="AG102" s="58"/>
      <c r="AH102" s="58"/>
      <c r="AI102" s="58"/>
    </row>
    <row r="103" spans="1:35" x14ac:dyDescent="0.35">
      <c r="A103" s="17" t="s">
        <v>46</v>
      </c>
      <c r="B103" s="17" t="s">
        <v>46</v>
      </c>
      <c r="C103" s="28" t="s">
        <v>1970</v>
      </c>
      <c r="D103" s="17" t="s">
        <v>2023</v>
      </c>
      <c r="E103" s="17" t="s">
        <v>2024</v>
      </c>
      <c r="F103" s="20">
        <v>315.64999999999998</v>
      </c>
      <c r="G103" s="20">
        <v>102</v>
      </c>
      <c r="H103" s="19">
        <v>443</v>
      </c>
      <c r="I103" s="20">
        <v>236</v>
      </c>
      <c r="J103" s="20">
        <v>207</v>
      </c>
      <c r="K103" s="20">
        <v>225</v>
      </c>
      <c r="L103" s="57">
        <f t="shared" si="2"/>
        <v>0.50790067720090293</v>
      </c>
      <c r="M103" s="20">
        <v>96</v>
      </c>
      <c r="N103" s="57">
        <f t="shared" si="3"/>
        <v>0.21670428893905191</v>
      </c>
      <c r="O103" s="46">
        <v>10.6</v>
      </c>
      <c r="P103" s="46">
        <v>150.65</v>
      </c>
      <c r="Q103" s="58" t="s">
        <v>562</v>
      </c>
      <c r="R103" s="58"/>
      <c r="S103" s="58"/>
      <c r="T103" s="58"/>
      <c r="U103" s="58"/>
      <c r="V103" s="58"/>
      <c r="W103" s="58"/>
      <c r="X103" s="58" t="s">
        <v>562</v>
      </c>
      <c r="Y103" s="58"/>
      <c r="Z103" s="58"/>
      <c r="AA103" s="58"/>
      <c r="AB103" s="58"/>
      <c r="AC103" s="58" t="s">
        <v>562</v>
      </c>
      <c r="AD103" s="58"/>
      <c r="AE103" s="58"/>
      <c r="AF103" s="58"/>
      <c r="AG103" s="58"/>
      <c r="AH103" s="58"/>
      <c r="AI103" s="58"/>
    </row>
    <row r="104" spans="1:35" x14ac:dyDescent="0.35">
      <c r="A104" s="17" t="s">
        <v>46</v>
      </c>
      <c r="B104" s="17" t="s">
        <v>46</v>
      </c>
      <c r="C104" s="28" t="s">
        <v>2018</v>
      </c>
      <c r="D104" s="17" t="s">
        <v>2025</v>
      </c>
      <c r="E104" s="17" t="s">
        <v>2026</v>
      </c>
      <c r="F104" s="20">
        <v>174.71</v>
      </c>
      <c r="G104" s="20">
        <v>46</v>
      </c>
      <c r="H104" s="19">
        <v>220</v>
      </c>
      <c r="I104" s="20">
        <v>112</v>
      </c>
      <c r="J104" s="20">
        <v>108</v>
      </c>
      <c r="K104" s="20">
        <v>0</v>
      </c>
      <c r="L104" s="57">
        <f t="shared" si="2"/>
        <v>0</v>
      </c>
      <c r="M104" s="20">
        <v>99</v>
      </c>
      <c r="N104" s="57">
        <f t="shared" si="3"/>
        <v>0.45</v>
      </c>
      <c r="O104" s="46">
        <v>14.59</v>
      </c>
      <c r="P104" s="46">
        <v>73.64</v>
      </c>
      <c r="Q104" s="58" t="s">
        <v>51</v>
      </c>
      <c r="R104" s="58">
        <v>2020</v>
      </c>
      <c r="S104" s="58"/>
      <c r="T104" s="58"/>
      <c r="U104" s="58"/>
      <c r="V104" s="58"/>
      <c r="W104" s="58"/>
      <c r="X104" s="58" t="s">
        <v>51</v>
      </c>
      <c r="Y104" s="58"/>
      <c r="Z104" s="58"/>
      <c r="AA104" s="58"/>
      <c r="AB104" s="58"/>
      <c r="AC104" s="58" t="s">
        <v>51</v>
      </c>
      <c r="AD104" s="58"/>
      <c r="AE104" s="58"/>
      <c r="AF104" s="58"/>
      <c r="AG104" s="58"/>
      <c r="AH104" s="58"/>
      <c r="AI104" s="58"/>
    </row>
    <row r="105" spans="1:35" x14ac:dyDescent="0.35">
      <c r="A105" s="17" t="s">
        <v>46</v>
      </c>
      <c r="B105" s="17" t="s">
        <v>46</v>
      </c>
      <c r="C105" s="28" t="s">
        <v>2018</v>
      </c>
      <c r="D105" s="17" t="s">
        <v>2027</v>
      </c>
      <c r="E105" s="17" t="s">
        <v>2028</v>
      </c>
      <c r="F105" s="20">
        <v>78.7</v>
      </c>
      <c r="G105" s="20">
        <v>16</v>
      </c>
      <c r="H105" s="19">
        <v>77</v>
      </c>
      <c r="I105" s="20">
        <v>41</v>
      </c>
      <c r="J105" s="20">
        <v>36</v>
      </c>
      <c r="K105" s="20">
        <v>0</v>
      </c>
      <c r="L105" s="57">
        <f t="shared" si="2"/>
        <v>0</v>
      </c>
      <c r="M105" s="20">
        <v>47</v>
      </c>
      <c r="N105" s="57">
        <f t="shared" si="3"/>
        <v>0.61038961038961037</v>
      </c>
      <c r="O105" s="46">
        <v>0</v>
      </c>
      <c r="P105" s="46">
        <v>0</v>
      </c>
      <c r="Q105" s="58" t="s">
        <v>562</v>
      </c>
      <c r="R105" s="58"/>
      <c r="S105" s="58"/>
      <c r="T105" s="58"/>
      <c r="U105" s="58"/>
      <c r="V105" s="58"/>
      <c r="W105" s="58"/>
      <c r="X105" s="58" t="s">
        <v>562</v>
      </c>
      <c r="Y105" s="58"/>
      <c r="Z105" s="58"/>
      <c r="AA105" s="58"/>
      <c r="AB105" s="58"/>
      <c r="AC105" s="58" t="s">
        <v>562</v>
      </c>
      <c r="AD105" s="58"/>
      <c r="AE105" s="58"/>
      <c r="AF105" s="58"/>
      <c r="AG105" s="58"/>
      <c r="AH105" s="58"/>
      <c r="AI105" s="58"/>
    </row>
    <row r="106" spans="1:35" x14ac:dyDescent="0.35">
      <c r="A106" s="17" t="s">
        <v>46</v>
      </c>
      <c r="B106" s="17" t="s">
        <v>46</v>
      </c>
      <c r="C106" s="28" t="s">
        <v>2018</v>
      </c>
      <c r="D106" s="17" t="s">
        <v>2029</v>
      </c>
      <c r="E106" s="17" t="s">
        <v>2030</v>
      </c>
      <c r="F106" s="28">
        <v>120.67</v>
      </c>
      <c r="G106" s="47"/>
      <c r="H106" s="19">
        <v>0</v>
      </c>
      <c r="I106" s="47"/>
      <c r="J106" s="47"/>
      <c r="K106" s="47"/>
      <c r="L106" s="57" t="e">
        <f t="shared" si="2"/>
        <v>#DIV/0!</v>
      </c>
      <c r="M106" s="47"/>
      <c r="N106" s="57" t="e">
        <f t="shared" si="3"/>
        <v>#DIV/0!</v>
      </c>
      <c r="O106" s="48">
        <v>2.2000000000000002</v>
      </c>
      <c r="P106" s="48">
        <v>0</v>
      </c>
      <c r="Q106" s="58" t="s">
        <v>51</v>
      </c>
      <c r="R106" s="58">
        <v>2020</v>
      </c>
      <c r="S106" s="58"/>
      <c r="T106" s="58"/>
      <c r="U106" s="58"/>
      <c r="V106" s="58"/>
      <c r="W106" s="58"/>
      <c r="X106" s="58" t="s">
        <v>51</v>
      </c>
      <c r="Y106" s="58"/>
      <c r="Z106" s="58"/>
      <c r="AA106" s="58"/>
      <c r="AB106" s="58"/>
      <c r="AC106" s="58" t="s">
        <v>51</v>
      </c>
      <c r="AD106" s="58"/>
      <c r="AE106" s="58"/>
      <c r="AF106" s="58"/>
      <c r="AG106" s="58"/>
      <c r="AH106" s="58"/>
      <c r="AI106" s="58"/>
    </row>
    <row r="107" spans="1:35" x14ac:dyDescent="0.35">
      <c r="A107" s="17" t="s">
        <v>46</v>
      </c>
      <c r="B107" s="17" t="s">
        <v>46</v>
      </c>
      <c r="C107" s="28" t="s">
        <v>2018</v>
      </c>
      <c r="D107" s="17" t="s">
        <v>2031</v>
      </c>
      <c r="E107" s="17" t="s">
        <v>2032</v>
      </c>
      <c r="F107" s="20">
        <v>853.27</v>
      </c>
      <c r="G107" s="20">
        <v>904</v>
      </c>
      <c r="H107" s="19">
        <v>4171</v>
      </c>
      <c r="I107" s="20">
        <v>2148</v>
      </c>
      <c r="J107" s="20">
        <v>2023</v>
      </c>
      <c r="K107" s="20">
        <v>1061</v>
      </c>
      <c r="L107" s="57">
        <f t="shared" si="2"/>
        <v>0.2543754495324862</v>
      </c>
      <c r="M107" s="20">
        <v>98</v>
      </c>
      <c r="N107" s="57">
        <f t="shared" si="3"/>
        <v>2.3495564612802684E-2</v>
      </c>
      <c r="O107" s="46">
        <v>56.27</v>
      </c>
      <c r="P107" s="46">
        <v>0</v>
      </c>
      <c r="Q107" s="58" t="s">
        <v>51</v>
      </c>
      <c r="R107" s="58">
        <v>2020</v>
      </c>
      <c r="S107" s="58"/>
      <c r="T107" s="58"/>
      <c r="U107" s="58"/>
      <c r="V107" s="58"/>
      <c r="W107" s="58"/>
      <c r="X107" s="58" t="s">
        <v>51</v>
      </c>
      <c r="Y107" s="58"/>
      <c r="Z107" s="58"/>
      <c r="AA107" s="58"/>
      <c r="AB107" s="58"/>
      <c r="AC107" s="58" t="s">
        <v>51</v>
      </c>
      <c r="AD107" s="58"/>
      <c r="AE107" s="58"/>
      <c r="AF107" s="58"/>
      <c r="AG107" s="58"/>
      <c r="AH107" s="58"/>
      <c r="AI107" s="58"/>
    </row>
    <row r="108" spans="1:35" x14ac:dyDescent="0.35">
      <c r="A108" s="17" t="s">
        <v>46</v>
      </c>
      <c r="B108" s="17" t="s">
        <v>46</v>
      </c>
      <c r="C108" s="28" t="s">
        <v>2018</v>
      </c>
      <c r="D108" s="17" t="s">
        <v>2033</v>
      </c>
      <c r="E108" s="17" t="s">
        <v>2034</v>
      </c>
      <c r="F108" s="20">
        <v>94.61</v>
      </c>
      <c r="G108" s="20">
        <v>41</v>
      </c>
      <c r="H108" s="19">
        <v>170</v>
      </c>
      <c r="I108" s="20">
        <v>92</v>
      </c>
      <c r="J108" s="20">
        <v>78</v>
      </c>
      <c r="K108" s="20">
        <v>44</v>
      </c>
      <c r="L108" s="57">
        <f t="shared" si="2"/>
        <v>0.25882352941176473</v>
      </c>
      <c r="M108" s="20">
        <v>37</v>
      </c>
      <c r="N108" s="57">
        <f t="shared" si="3"/>
        <v>0.21764705882352942</v>
      </c>
      <c r="O108" s="46">
        <v>12.49</v>
      </c>
      <c r="P108" s="46">
        <v>0</v>
      </c>
      <c r="Q108" s="58" t="s">
        <v>51</v>
      </c>
      <c r="R108" s="58">
        <v>2020</v>
      </c>
      <c r="S108" s="58"/>
      <c r="T108" s="58"/>
      <c r="U108" s="58"/>
      <c r="V108" s="58"/>
      <c r="W108" s="58"/>
      <c r="X108" s="58" t="s">
        <v>51</v>
      </c>
      <c r="Y108" s="58"/>
      <c r="Z108" s="58"/>
      <c r="AA108" s="58"/>
      <c r="AB108" s="58"/>
      <c r="AC108" s="58" t="s">
        <v>51</v>
      </c>
      <c r="AD108" s="58"/>
      <c r="AE108" s="58"/>
      <c r="AF108" s="58"/>
      <c r="AG108" s="58"/>
      <c r="AH108" s="58"/>
      <c r="AI108" s="58"/>
    </row>
    <row r="109" spans="1:35" x14ac:dyDescent="0.35">
      <c r="A109" s="17" t="s">
        <v>46</v>
      </c>
      <c r="B109" s="17" t="s">
        <v>46</v>
      </c>
      <c r="C109" s="28" t="s">
        <v>2035</v>
      </c>
      <c r="D109" s="17" t="s">
        <v>2036</v>
      </c>
      <c r="E109" s="17" t="s">
        <v>2037</v>
      </c>
      <c r="F109" s="20">
        <v>83</v>
      </c>
      <c r="G109" s="20">
        <v>42</v>
      </c>
      <c r="H109" s="19">
        <v>189</v>
      </c>
      <c r="I109" s="20">
        <v>93</v>
      </c>
      <c r="J109" s="20">
        <v>96</v>
      </c>
      <c r="K109" s="20">
        <v>1</v>
      </c>
      <c r="L109" s="57">
        <f t="shared" si="2"/>
        <v>5.2910052910052907E-3</v>
      </c>
      <c r="M109" s="20">
        <v>68</v>
      </c>
      <c r="N109" s="57">
        <f t="shared" si="3"/>
        <v>0.35978835978835977</v>
      </c>
      <c r="O109" s="46">
        <v>24</v>
      </c>
      <c r="P109" s="46">
        <v>3</v>
      </c>
      <c r="Q109" s="58" t="s">
        <v>51</v>
      </c>
      <c r="R109" s="58">
        <v>2020</v>
      </c>
      <c r="S109" s="58"/>
      <c r="T109" s="58"/>
      <c r="U109" s="58"/>
      <c r="V109" s="58"/>
      <c r="W109" s="58"/>
      <c r="X109" s="58" t="s">
        <v>51</v>
      </c>
      <c r="Y109" s="58"/>
      <c r="Z109" s="58"/>
      <c r="AA109" s="58"/>
      <c r="AB109" s="58"/>
      <c r="AC109" s="58" t="s">
        <v>51</v>
      </c>
      <c r="AD109" s="58"/>
      <c r="AE109" s="58"/>
      <c r="AF109" s="58"/>
      <c r="AG109" s="58"/>
      <c r="AH109" s="58"/>
      <c r="AI109" s="58"/>
    </row>
    <row r="110" spans="1:35" x14ac:dyDescent="0.35">
      <c r="A110" s="17" t="s">
        <v>46</v>
      </c>
      <c r="B110" s="17" t="s">
        <v>46</v>
      </c>
      <c r="C110" s="28" t="s">
        <v>2035</v>
      </c>
      <c r="D110" s="17" t="s">
        <v>2038</v>
      </c>
      <c r="E110" s="17" t="s">
        <v>2039</v>
      </c>
      <c r="F110" s="20">
        <v>157</v>
      </c>
      <c r="G110" s="20">
        <v>65</v>
      </c>
      <c r="H110" s="19">
        <v>315</v>
      </c>
      <c r="I110" s="20">
        <v>159</v>
      </c>
      <c r="J110" s="20">
        <v>156</v>
      </c>
      <c r="K110" s="20">
        <v>114</v>
      </c>
      <c r="L110" s="57">
        <f t="shared" si="2"/>
        <v>0.3619047619047619</v>
      </c>
      <c r="M110" s="20">
        <v>47</v>
      </c>
      <c r="N110" s="57">
        <f t="shared" si="3"/>
        <v>0.1492063492063492</v>
      </c>
      <c r="O110" s="46">
        <v>11</v>
      </c>
      <c r="P110" s="46">
        <v>0</v>
      </c>
      <c r="Q110" s="58" t="s">
        <v>51</v>
      </c>
      <c r="R110" s="58">
        <v>2020</v>
      </c>
      <c r="S110" s="58"/>
      <c r="T110" s="58"/>
      <c r="U110" s="58"/>
      <c r="V110" s="58"/>
      <c r="W110" s="58"/>
      <c r="X110" s="58" t="s">
        <v>51</v>
      </c>
      <c r="Y110" s="58"/>
      <c r="Z110" s="58"/>
      <c r="AA110" s="58"/>
      <c r="AB110" s="58"/>
      <c r="AC110" s="58" t="s">
        <v>51</v>
      </c>
      <c r="AD110" s="58"/>
      <c r="AE110" s="58"/>
      <c r="AF110" s="58"/>
      <c r="AG110" s="58"/>
      <c r="AH110" s="58"/>
      <c r="AI110" s="58"/>
    </row>
    <row r="111" spans="1:35" x14ac:dyDescent="0.35">
      <c r="A111" s="17" t="s">
        <v>46</v>
      </c>
      <c r="B111" s="17" t="s">
        <v>46</v>
      </c>
      <c r="C111" s="28" t="s">
        <v>2035</v>
      </c>
      <c r="D111" s="17" t="s">
        <v>2040</v>
      </c>
      <c r="E111" s="17" t="s">
        <v>2041</v>
      </c>
      <c r="F111" s="20">
        <v>111</v>
      </c>
      <c r="G111" s="20">
        <v>79</v>
      </c>
      <c r="H111" s="19">
        <v>287</v>
      </c>
      <c r="I111" s="20">
        <v>143</v>
      </c>
      <c r="J111" s="20">
        <v>144</v>
      </c>
      <c r="K111" s="20">
        <v>0</v>
      </c>
      <c r="L111" s="57">
        <f t="shared" si="2"/>
        <v>0</v>
      </c>
      <c r="M111" s="20">
        <v>47</v>
      </c>
      <c r="N111" s="57">
        <f t="shared" si="3"/>
        <v>0.16376306620209058</v>
      </c>
      <c r="O111" s="46">
        <v>10</v>
      </c>
      <c r="P111" s="46">
        <v>0</v>
      </c>
      <c r="Q111" s="58" t="s">
        <v>51</v>
      </c>
      <c r="R111" s="58">
        <v>2020</v>
      </c>
      <c r="S111" s="58"/>
      <c r="T111" s="58"/>
      <c r="U111" s="58"/>
      <c r="V111" s="58"/>
      <c r="W111" s="58"/>
      <c r="X111" s="58" t="s">
        <v>51</v>
      </c>
      <c r="Y111" s="58"/>
      <c r="Z111" s="58"/>
      <c r="AA111" s="58"/>
      <c r="AB111" s="58"/>
      <c r="AC111" s="58" t="s">
        <v>51</v>
      </c>
      <c r="AD111" s="58"/>
      <c r="AE111" s="58"/>
      <c r="AF111" s="58"/>
      <c r="AG111" s="58"/>
      <c r="AH111" s="58"/>
      <c r="AI111" s="58"/>
    </row>
    <row r="112" spans="1:35" x14ac:dyDescent="0.35">
      <c r="A112" s="17" t="s">
        <v>46</v>
      </c>
      <c r="B112" s="17" t="s">
        <v>46</v>
      </c>
      <c r="C112" s="28" t="s">
        <v>2035</v>
      </c>
      <c r="D112" s="17" t="s">
        <v>2042</v>
      </c>
      <c r="E112" s="17" t="s">
        <v>2043</v>
      </c>
      <c r="F112" s="20">
        <v>77</v>
      </c>
      <c r="G112" s="20">
        <v>45</v>
      </c>
      <c r="H112" s="19">
        <v>182</v>
      </c>
      <c r="I112" s="20">
        <v>95</v>
      </c>
      <c r="J112" s="20">
        <v>87</v>
      </c>
      <c r="K112" s="20">
        <v>123</v>
      </c>
      <c r="L112" s="57">
        <f t="shared" si="2"/>
        <v>0.67582417582417587</v>
      </c>
      <c r="M112" s="20">
        <v>43</v>
      </c>
      <c r="N112" s="57">
        <f t="shared" si="3"/>
        <v>0.23626373626373626</v>
      </c>
      <c r="O112" s="46">
        <v>10</v>
      </c>
      <c r="P112" s="46">
        <v>0</v>
      </c>
      <c r="Q112" s="58" t="s">
        <v>51</v>
      </c>
      <c r="R112" s="58">
        <v>2020</v>
      </c>
      <c r="S112" s="58"/>
      <c r="T112" s="58"/>
      <c r="U112" s="58"/>
      <c r="V112" s="58"/>
      <c r="W112" s="58"/>
      <c r="X112" s="58" t="s">
        <v>51</v>
      </c>
      <c r="Y112" s="58"/>
      <c r="Z112" s="58"/>
      <c r="AA112" s="58"/>
      <c r="AB112" s="58"/>
      <c r="AC112" s="58" t="s">
        <v>51</v>
      </c>
      <c r="AD112" s="58"/>
      <c r="AE112" s="58"/>
      <c r="AF112" s="58"/>
      <c r="AG112" s="58"/>
      <c r="AH112" s="58"/>
      <c r="AI112" s="58"/>
    </row>
    <row r="113" spans="1:35" x14ac:dyDescent="0.35">
      <c r="A113" s="17" t="s">
        <v>46</v>
      </c>
      <c r="B113" s="17" t="s">
        <v>46</v>
      </c>
      <c r="C113" s="28" t="s">
        <v>2018</v>
      </c>
      <c r="D113" s="17" t="s">
        <v>2044</v>
      </c>
      <c r="E113" s="17" t="s">
        <v>2045</v>
      </c>
      <c r="F113" s="28">
        <v>89.62</v>
      </c>
      <c r="G113" s="47"/>
      <c r="H113" s="19">
        <v>0</v>
      </c>
      <c r="I113" s="47"/>
      <c r="J113" s="47"/>
      <c r="K113" s="47"/>
      <c r="L113" s="57" t="e">
        <f t="shared" si="2"/>
        <v>#DIV/0!</v>
      </c>
      <c r="M113" s="47"/>
      <c r="N113" s="57" t="e">
        <f t="shared" si="3"/>
        <v>#DIV/0!</v>
      </c>
      <c r="O113" s="48">
        <v>5.84</v>
      </c>
      <c r="P113" s="48">
        <v>0</v>
      </c>
      <c r="Q113" s="58" t="s">
        <v>51</v>
      </c>
      <c r="R113" s="58">
        <v>2020</v>
      </c>
      <c r="S113" s="58"/>
      <c r="T113" s="58"/>
      <c r="U113" s="58"/>
      <c r="V113" s="58"/>
      <c r="W113" s="58"/>
      <c r="X113" s="58" t="s">
        <v>51</v>
      </c>
      <c r="Y113" s="58"/>
      <c r="Z113" s="58"/>
      <c r="AA113" s="58"/>
      <c r="AB113" s="58"/>
      <c r="AC113" s="58" t="s">
        <v>51</v>
      </c>
      <c r="AD113" s="58"/>
      <c r="AE113" s="58"/>
      <c r="AF113" s="58"/>
      <c r="AG113" s="58"/>
      <c r="AH113" s="58"/>
      <c r="AI113" s="58"/>
    </row>
    <row r="114" spans="1:35" x14ac:dyDescent="0.35">
      <c r="A114" s="17" t="s">
        <v>46</v>
      </c>
      <c r="B114" s="17" t="s">
        <v>46</v>
      </c>
      <c r="C114" s="28" t="s">
        <v>2035</v>
      </c>
      <c r="D114" s="17" t="s">
        <v>2046</v>
      </c>
      <c r="E114" s="17" t="s">
        <v>2047</v>
      </c>
      <c r="F114" s="20">
        <v>172</v>
      </c>
      <c r="G114" s="20">
        <v>81</v>
      </c>
      <c r="H114" s="19">
        <v>388</v>
      </c>
      <c r="I114" s="20">
        <v>185</v>
      </c>
      <c r="J114" s="20">
        <v>203</v>
      </c>
      <c r="K114" s="20">
        <v>18</v>
      </c>
      <c r="L114" s="57">
        <f t="shared" si="2"/>
        <v>4.6391752577319589E-2</v>
      </c>
      <c r="M114" s="20">
        <v>148</v>
      </c>
      <c r="N114" s="57">
        <f t="shared" si="3"/>
        <v>0.38144329896907214</v>
      </c>
      <c r="O114" s="46">
        <v>22</v>
      </c>
      <c r="P114" s="46">
        <v>0</v>
      </c>
      <c r="Q114" s="58" t="s">
        <v>51</v>
      </c>
      <c r="R114" s="58">
        <v>2020</v>
      </c>
      <c r="S114" s="58"/>
      <c r="T114" s="58"/>
      <c r="U114" s="58"/>
      <c r="V114" s="58"/>
      <c r="W114" s="58"/>
      <c r="X114" s="58" t="s">
        <v>51</v>
      </c>
      <c r="Y114" s="58"/>
      <c r="Z114" s="58"/>
      <c r="AA114" s="58"/>
      <c r="AB114" s="58"/>
      <c r="AC114" s="58" t="s">
        <v>51</v>
      </c>
      <c r="AD114" s="58"/>
      <c r="AE114" s="58"/>
      <c r="AF114" s="58"/>
      <c r="AG114" s="58"/>
      <c r="AH114" s="58"/>
      <c r="AI114" s="58"/>
    </row>
    <row r="115" spans="1:35" x14ac:dyDescent="0.35">
      <c r="A115" s="17" t="s">
        <v>46</v>
      </c>
      <c r="B115" s="17" t="s">
        <v>46</v>
      </c>
      <c r="C115" s="28" t="s">
        <v>1816</v>
      </c>
      <c r="D115" s="17" t="s">
        <v>123</v>
      </c>
      <c r="E115" s="17" t="s">
        <v>2048</v>
      </c>
      <c r="F115" s="20">
        <v>337.13</v>
      </c>
      <c r="G115" s="20">
        <v>182</v>
      </c>
      <c r="H115" s="19">
        <v>769</v>
      </c>
      <c r="I115" s="20">
        <v>384</v>
      </c>
      <c r="J115" s="20">
        <v>385</v>
      </c>
      <c r="K115" s="20">
        <v>52</v>
      </c>
      <c r="L115" s="57">
        <f t="shared" si="2"/>
        <v>6.7620286085825751E-2</v>
      </c>
      <c r="M115" s="20">
        <v>410</v>
      </c>
      <c r="N115" s="57">
        <f t="shared" si="3"/>
        <v>0.53315994798439537</v>
      </c>
      <c r="O115" s="46">
        <v>114.1</v>
      </c>
      <c r="P115" s="46">
        <v>1.0900000000000001</v>
      </c>
      <c r="Q115" s="58" t="s">
        <v>51</v>
      </c>
      <c r="R115" s="58">
        <v>2020</v>
      </c>
      <c r="S115" s="58"/>
      <c r="T115" s="58"/>
      <c r="U115" s="58"/>
      <c r="V115" s="58"/>
      <c r="W115" s="58"/>
      <c r="X115" s="58" t="s">
        <v>51</v>
      </c>
      <c r="Y115" s="58"/>
      <c r="Z115" s="58"/>
      <c r="AA115" s="58"/>
      <c r="AB115" s="58"/>
      <c r="AC115" s="58" t="s">
        <v>51</v>
      </c>
      <c r="AD115" s="58"/>
      <c r="AE115" s="58"/>
      <c r="AF115" s="58"/>
      <c r="AG115" s="58"/>
      <c r="AH115" s="58"/>
      <c r="AI115" s="58"/>
    </row>
    <row r="116" spans="1:35" x14ac:dyDescent="0.35">
      <c r="A116" s="17" t="s">
        <v>46</v>
      </c>
      <c r="B116" s="17" t="s">
        <v>46</v>
      </c>
      <c r="C116" s="28" t="s">
        <v>1814</v>
      </c>
      <c r="D116" s="17" t="s">
        <v>2049</v>
      </c>
      <c r="E116" s="17" t="s">
        <v>2050</v>
      </c>
      <c r="F116" s="20">
        <v>662.1</v>
      </c>
      <c r="G116" s="20">
        <v>245</v>
      </c>
      <c r="H116" s="19">
        <v>1139</v>
      </c>
      <c r="I116" s="20">
        <v>568</v>
      </c>
      <c r="J116" s="20">
        <v>571</v>
      </c>
      <c r="K116" s="20">
        <v>181</v>
      </c>
      <c r="L116" s="57">
        <f t="shared" si="2"/>
        <v>0.15891132572431957</v>
      </c>
      <c r="M116" s="20">
        <v>272</v>
      </c>
      <c r="N116" s="57">
        <f t="shared" si="3"/>
        <v>0.23880597014925373</v>
      </c>
      <c r="O116" s="46">
        <v>74.2</v>
      </c>
      <c r="P116" s="46">
        <v>233.15</v>
      </c>
      <c r="Q116" s="58" t="s">
        <v>51</v>
      </c>
      <c r="R116" s="58">
        <v>2019</v>
      </c>
      <c r="S116" s="58"/>
      <c r="T116" s="58"/>
      <c r="U116" s="58"/>
      <c r="V116" s="58"/>
      <c r="W116" s="58"/>
      <c r="X116" s="58" t="s">
        <v>51</v>
      </c>
      <c r="Y116" s="58"/>
      <c r="Z116" s="58"/>
      <c r="AA116" s="58"/>
      <c r="AB116" s="58"/>
      <c r="AC116" s="58" t="s">
        <v>51</v>
      </c>
      <c r="AD116" s="58"/>
      <c r="AE116" s="58"/>
      <c r="AF116" s="58"/>
      <c r="AG116" s="58"/>
      <c r="AH116" s="58"/>
      <c r="AI116" s="58"/>
    </row>
    <row r="117" spans="1:35" x14ac:dyDescent="0.35">
      <c r="A117" s="17" t="s">
        <v>46</v>
      </c>
      <c r="B117" s="17" t="s">
        <v>46</v>
      </c>
      <c r="C117" s="28" t="s">
        <v>1909</v>
      </c>
      <c r="D117" s="17" t="s">
        <v>851</v>
      </c>
      <c r="E117" s="17" t="s">
        <v>2051</v>
      </c>
      <c r="F117" s="20">
        <v>220.01</v>
      </c>
      <c r="G117" s="20">
        <v>61</v>
      </c>
      <c r="H117" s="19">
        <v>249</v>
      </c>
      <c r="I117" s="20">
        <v>130</v>
      </c>
      <c r="J117" s="20">
        <v>119</v>
      </c>
      <c r="K117" s="20">
        <v>0</v>
      </c>
      <c r="L117" s="57">
        <f t="shared" si="2"/>
        <v>0</v>
      </c>
      <c r="M117" s="20">
        <v>153</v>
      </c>
      <c r="N117" s="57">
        <f t="shared" si="3"/>
        <v>0.61445783132530118</v>
      </c>
      <c r="O117" s="46">
        <v>26.4</v>
      </c>
      <c r="P117" s="46">
        <v>0</v>
      </c>
      <c r="Q117" s="58" t="s">
        <v>51</v>
      </c>
      <c r="R117" s="58">
        <v>2020</v>
      </c>
      <c r="S117" s="58"/>
      <c r="T117" s="58"/>
      <c r="U117" s="58"/>
      <c r="V117" s="58"/>
      <c r="W117" s="58"/>
      <c r="X117" s="58" t="s">
        <v>51</v>
      </c>
      <c r="Y117" s="58"/>
      <c r="Z117" s="58"/>
      <c r="AA117" s="58"/>
      <c r="AB117" s="58"/>
      <c r="AC117" s="58" t="s">
        <v>51</v>
      </c>
      <c r="AD117" s="58"/>
      <c r="AE117" s="58"/>
      <c r="AF117" s="58"/>
      <c r="AG117" s="58"/>
      <c r="AH117" s="58"/>
      <c r="AI117" s="58"/>
    </row>
    <row r="118" spans="1:35" x14ac:dyDescent="0.35">
      <c r="A118" s="17" t="s">
        <v>46</v>
      </c>
      <c r="B118" s="17" t="s">
        <v>46</v>
      </c>
      <c r="C118" s="28" t="s">
        <v>1909</v>
      </c>
      <c r="D118" s="17" t="s">
        <v>2052</v>
      </c>
      <c r="E118" s="17" t="s">
        <v>2053</v>
      </c>
      <c r="F118" s="20">
        <v>61.43</v>
      </c>
      <c r="G118" s="20">
        <v>41</v>
      </c>
      <c r="H118" s="19">
        <v>166</v>
      </c>
      <c r="I118" s="20">
        <v>78</v>
      </c>
      <c r="J118" s="20">
        <v>88</v>
      </c>
      <c r="K118" s="20">
        <v>0</v>
      </c>
      <c r="L118" s="57">
        <f t="shared" si="2"/>
        <v>0</v>
      </c>
      <c r="M118" s="20">
        <v>127</v>
      </c>
      <c r="N118" s="57">
        <f t="shared" si="3"/>
        <v>0.76506024096385539</v>
      </c>
      <c r="O118" s="46">
        <v>9.07</v>
      </c>
      <c r="P118" s="46">
        <v>0</v>
      </c>
      <c r="Q118" s="58" t="s">
        <v>51</v>
      </c>
      <c r="R118" s="58">
        <v>2020</v>
      </c>
      <c r="S118" s="58"/>
      <c r="T118" s="58"/>
      <c r="U118" s="58"/>
      <c r="V118" s="58"/>
      <c r="W118" s="58"/>
      <c r="X118" s="58" t="s">
        <v>51</v>
      </c>
      <c r="Y118" s="58"/>
      <c r="Z118" s="58"/>
      <c r="AA118" s="58"/>
      <c r="AB118" s="58"/>
      <c r="AC118" s="58" t="s">
        <v>51</v>
      </c>
      <c r="AD118" s="58"/>
      <c r="AE118" s="58"/>
      <c r="AF118" s="58"/>
      <c r="AG118" s="58"/>
      <c r="AH118" s="58"/>
      <c r="AI118" s="58"/>
    </row>
    <row r="119" spans="1:35" x14ac:dyDescent="0.35">
      <c r="A119" s="17" t="s">
        <v>46</v>
      </c>
      <c r="B119" s="17" t="s">
        <v>46</v>
      </c>
      <c r="C119" s="28" t="s">
        <v>1909</v>
      </c>
      <c r="D119" s="17" t="s">
        <v>266</v>
      </c>
      <c r="E119" s="17" t="s">
        <v>2054</v>
      </c>
      <c r="F119" s="20">
        <v>133.91999999999999</v>
      </c>
      <c r="G119" s="20">
        <v>76</v>
      </c>
      <c r="H119" s="19">
        <v>367</v>
      </c>
      <c r="I119" s="20">
        <v>183</v>
      </c>
      <c r="J119" s="20">
        <v>184</v>
      </c>
      <c r="K119" s="20">
        <v>5</v>
      </c>
      <c r="L119" s="57">
        <f t="shared" si="2"/>
        <v>1.3623978201634877E-2</v>
      </c>
      <c r="M119" s="20">
        <v>146</v>
      </c>
      <c r="N119" s="57">
        <f t="shared" si="3"/>
        <v>0.39782016348773841</v>
      </c>
      <c r="O119" s="46">
        <v>11.58</v>
      </c>
      <c r="P119" s="46">
        <v>0</v>
      </c>
      <c r="Q119" s="58" t="s">
        <v>562</v>
      </c>
      <c r="R119" s="58"/>
      <c r="S119" s="58"/>
      <c r="T119" s="58"/>
      <c r="U119" s="58"/>
      <c r="V119" s="58"/>
      <c r="W119" s="58"/>
      <c r="X119" s="58" t="s">
        <v>562</v>
      </c>
      <c r="Y119" s="58"/>
      <c r="Z119" s="58"/>
      <c r="AA119" s="58"/>
      <c r="AB119" s="58"/>
      <c r="AC119" s="58" t="s">
        <v>562</v>
      </c>
      <c r="AD119" s="58"/>
      <c r="AE119" s="58"/>
      <c r="AF119" s="58"/>
      <c r="AG119" s="58"/>
      <c r="AH119" s="58"/>
      <c r="AI119" s="58"/>
    </row>
    <row r="120" spans="1:35" x14ac:dyDescent="0.35">
      <c r="A120" s="17" t="s">
        <v>46</v>
      </c>
      <c r="B120" s="17" t="s">
        <v>46</v>
      </c>
      <c r="C120" s="28" t="s">
        <v>1909</v>
      </c>
      <c r="D120" s="17" t="s">
        <v>147</v>
      </c>
      <c r="E120" s="17" t="s">
        <v>2055</v>
      </c>
      <c r="F120" s="20">
        <v>179.38</v>
      </c>
      <c r="G120" s="20">
        <v>134</v>
      </c>
      <c r="H120" s="19">
        <v>521</v>
      </c>
      <c r="I120" s="20">
        <v>255</v>
      </c>
      <c r="J120" s="20">
        <v>266</v>
      </c>
      <c r="K120" s="20">
        <v>17</v>
      </c>
      <c r="L120" s="57">
        <f t="shared" si="2"/>
        <v>3.2629558541266791E-2</v>
      </c>
      <c r="M120" s="20">
        <v>227</v>
      </c>
      <c r="N120" s="57">
        <f t="shared" si="3"/>
        <v>0.43570057581573896</v>
      </c>
      <c r="O120" s="46">
        <v>17.2</v>
      </c>
      <c r="P120" s="46">
        <v>0</v>
      </c>
      <c r="Q120" s="58" t="s">
        <v>51</v>
      </c>
      <c r="R120" s="58">
        <v>2020</v>
      </c>
      <c r="S120" s="58"/>
      <c r="T120" s="58"/>
      <c r="U120" s="58"/>
      <c r="V120" s="58"/>
      <c r="W120" s="58"/>
      <c r="X120" s="58" t="s">
        <v>51</v>
      </c>
      <c r="Y120" s="58"/>
      <c r="Z120" s="58"/>
      <c r="AA120" s="58"/>
      <c r="AB120" s="58"/>
      <c r="AC120" s="58" t="s">
        <v>51</v>
      </c>
      <c r="AD120" s="58"/>
      <c r="AE120" s="58"/>
      <c r="AF120" s="58"/>
      <c r="AG120" s="58"/>
      <c r="AH120" s="58"/>
      <c r="AI120" s="58"/>
    </row>
    <row r="121" spans="1:35" x14ac:dyDescent="0.35">
      <c r="A121" s="17" t="s">
        <v>46</v>
      </c>
      <c r="B121" s="17" t="s">
        <v>46</v>
      </c>
      <c r="C121" s="28" t="s">
        <v>1909</v>
      </c>
      <c r="D121" s="17" t="s">
        <v>2056</v>
      </c>
      <c r="E121" s="17" t="s">
        <v>2057</v>
      </c>
      <c r="F121" s="20">
        <v>122.13</v>
      </c>
      <c r="G121" s="20">
        <v>42</v>
      </c>
      <c r="H121" s="19">
        <v>160</v>
      </c>
      <c r="I121" s="20">
        <v>90</v>
      </c>
      <c r="J121" s="20">
        <v>70</v>
      </c>
      <c r="K121" s="20">
        <v>0</v>
      </c>
      <c r="L121" s="57">
        <f t="shared" si="2"/>
        <v>0</v>
      </c>
      <c r="M121" s="20">
        <v>42</v>
      </c>
      <c r="N121" s="57">
        <f t="shared" si="3"/>
        <v>0.26250000000000001</v>
      </c>
      <c r="O121" s="46">
        <v>14.1</v>
      </c>
      <c r="P121" s="46">
        <v>0</v>
      </c>
      <c r="Q121" s="58" t="s">
        <v>51</v>
      </c>
      <c r="R121" s="58">
        <v>2020</v>
      </c>
      <c r="S121" s="58"/>
      <c r="T121" s="58"/>
      <c r="U121" s="58"/>
      <c r="V121" s="58"/>
      <c r="W121" s="58"/>
      <c r="X121" s="58" t="s">
        <v>51</v>
      </c>
      <c r="Y121" s="58"/>
      <c r="Z121" s="58"/>
      <c r="AA121" s="58"/>
      <c r="AB121" s="58"/>
      <c r="AC121" s="58" t="s">
        <v>51</v>
      </c>
      <c r="AD121" s="58"/>
      <c r="AE121" s="58"/>
      <c r="AF121" s="58"/>
      <c r="AG121" s="58"/>
      <c r="AH121" s="58"/>
      <c r="AI121" s="58"/>
    </row>
    <row r="122" spans="1:35" x14ac:dyDescent="0.35">
      <c r="A122" s="17" t="s">
        <v>46</v>
      </c>
      <c r="B122" s="17" t="s">
        <v>46</v>
      </c>
      <c r="C122" s="28" t="s">
        <v>1909</v>
      </c>
      <c r="D122" s="17" t="s">
        <v>2058</v>
      </c>
      <c r="E122" s="17" t="s">
        <v>2059</v>
      </c>
      <c r="F122" s="20">
        <v>111.63</v>
      </c>
      <c r="G122" s="20">
        <v>11</v>
      </c>
      <c r="H122" s="19">
        <v>55</v>
      </c>
      <c r="I122" s="20">
        <v>26</v>
      </c>
      <c r="J122" s="20">
        <v>29</v>
      </c>
      <c r="K122" s="20">
        <v>1</v>
      </c>
      <c r="L122" s="57">
        <f t="shared" si="2"/>
        <v>1.8181818181818181E-2</v>
      </c>
      <c r="M122" s="20">
        <v>46</v>
      </c>
      <c r="N122" s="57">
        <f t="shared" si="3"/>
        <v>0.83636363636363631</v>
      </c>
      <c r="O122" s="46">
        <v>0</v>
      </c>
      <c r="P122" s="46">
        <v>0</v>
      </c>
      <c r="Q122" s="58" t="s">
        <v>51</v>
      </c>
      <c r="R122" s="58">
        <v>2020</v>
      </c>
      <c r="S122" s="58"/>
      <c r="T122" s="58"/>
      <c r="U122" s="58"/>
      <c r="V122" s="58"/>
      <c r="W122" s="58"/>
      <c r="X122" s="58" t="s">
        <v>51</v>
      </c>
      <c r="Y122" s="58"/>
      <c r="Z122" s="58"/>
      <c r="AA122" s="58"/>
      <c r="AB122" s="58"/>
      <c r="AC122" s="58" t="s">
        <v>51</v>
      </c>
      <c r="AD122" s="58"/>
      <c r="AE122" s="58"/>
      <c r="AF122" s="58"/>
      <c r="AG122" s="58"/>
      <c r="AH122" s="58"/>
      <c r="AI122" s="58"/>
    </row>
    <row r="123" spans="1:35" x14ac:dyDescent="0.35">
      <c r="A123" s="17" t="s">
        <v>46</v>
      </c>
      <c r="B123" s="17" t="s">
        <v>46</v>
      </c>
      <c r="C123" s="28" t="s">
        <v>1909</v>
      </c>
      <c r="D123" s="17" t="s">
        <v>2060</v>
      </c>
      <c r="E123" s="17" t="s">
        <v>2061</v>
      </c>
      <c r="F123" s="20">
        <v>244.62</v>
      </c>
      <c r="G123" s="20">
        <v>165</v>
      </c>
      <c r="H123" s="19">
        <v>662</v>
      </c>
      <c r="I123" s="20">
        <v>325</v>
      </c>
      <c r="J123" s="20">
        <v>337</v>
      </c>
      <c r="K123" s="20">
        <v>1</v>
      </c>
      <c r="L123" s="57">
        <f t="shared" si="2"/>
        <v>1.5105740181268882E-3</v>
      </c>
      <c r="M123" s="20">
        <v>505</v>
      </c>
      <c r="N123" s="57">
        <f t="shared" si="3"/>
        <v>0.76283987915407858</v>
      </c>
      <c r="O123" s="46">
        <v>24.1</v>
      </c>
      <c r="P123" s="46">
        <v>0</v>
      </c>
      <c r="Q123" s="58" t="s">
        <v>51</v>
      </c>
      <c r="R123" s="58">
        <v>2020</v>
      </c>
      <c r="S123" s="58"/>
      <c r="T123" s="58"/>
      <c r="U123" s="58"/>
      <c r="V123" s="58"/>
      <c r="W123" s="58"/>
      <c r="X123" s="58" t="s">
        <v>51</v>
      </c>
      <c r="Y123" s="58"/>
      <c r="Z123" s="58"/>
      <c r="AA123" s="58"/>
      <c r="AB123" s="58"/>
      <c r="AC123" s="58" t="s">
        <v>51</v>
      </c>
      <c r="AD123" s="58"/>
      <c r="AE123" s="58"/>
      <c r="AF123" s="58"/>
      <c r="AG123" s="58"/>
      <c r="AH123" s="58"/>
      <c r="AI123" s="58"/>
    </row>
    <row r="124" spans="1:35" x14ac:dyDescent="0.35">
      <c r="A124" s="17" t="s">
        <v>46</v>
      </c>
      <c r="B124" s="17" t="s">
        <v>46</v>
      </c>
      <c r="C124" s="28" t="s">
        <v>1906</v>
      </c>
      <c r="D124" s="17" t="s">
        <v>2062</v>
      </c>
      <c r="E124" s="17" t="s">
        <v>2063</v>
      </c>
      <c r="F124" s="20">
        <v>894.08</v>
      </c>
      <c r="G124" s="20">
        <v>100</v>
      </c>
      <c r="H124" s="19">
        <v>477</v>
      </c>
      <c r="I124" s="20">
        <v>240</v>
      </c>
      <c r="J124" s="20">
        <v>237</v>
      </c>
      <c r="K124" s="20">
        <v>16</v>
      </c>
      <c r="L124" s="57">
        <f t="shared" si="2"/>
        <v>3.3542976939203356E-2</v>
      </c>
      <c r="M124" s="20">
        <v>33</v>
      </c>
      <c r="N124" s="57">
        <f t="shared" si="3"/>
        <v>6.9182389937106917E-2</v>
      </c>
      <c r="O124" s="46">
        <v>0</v>
      </c>
      <c r="P124" s="46">
        <v>497.49</v>
      </c>
      <c r="Q124" s="58" t="s">
        <v>562</v>
      </c>
      <c r="R124" s="58"/>
      <c r="S124" s="58"/>
      <c r="T124" s="58"/>
      <c r="U124" s="58"/>
      <c r="V124" s="58"/>
      <c r="W124" s="58"/>
      <c r="X124" s="58" t="s">
        <v>562</v>
      </c>
      <c r="Y124" s="58"/>
      <c r="Z124" s="58"/>
      <c r="AA124" s="58"/>
      <c r="AB124" s="58"/>
      <c r="AC124" s="58" t="s">
        <v>562</v>
      </c>
      <c r="AD124" s="58"/>
      <c r="AE124" s="58"/>
      <c r="AF124" s="58"/>
      <c r="AG124" s="58"/>
      <c r="AH124" s="58"/>
      <c r="AI124" s="58"/>
    </row>
    <row r="125" spans="1:35" x14ac:dyDescent="0.35">
      <c r="A125" s="17" t="s">
        <v>46</v>
      </c>
      <c r="B125" s="17" t="s">
        <v>46</v>
      </c>
      <c r="C125" s="28" t="s">
        <v>1900</v>
      </c>
      <c r="D125" s="17" t="s">
        <v>2064</v>
      </c>
      <c r="E125" s="17" t="s">
        <v>2065</v>
      </c>
      <c r="F125" s="20">
        <v>627.27</v>
      </c>
      <c r="G125" s="20">
        <v>153</v>
      </c>
      <c r="H125" s="19">
        <v>689</v>
      </c>
      <c r="I125" s="20">
        <v>358</v>
      </c>
      <c r="J125" s="20">
        <v>331</v>
      </c>
      <c r="K125" s="20">
        <v>33</v>
      </c>
      <c r="L125" s="57">
        <f t="shared" si="2"/>
        <v>4.7895500725689405E-2</v>
      </c>
      <c r="M125" s="20">
        <v>206</v>
      </c>
      <c r="N125" s="57">
        <f t="shared" si="3"/>
        <v>0.29898403483309144</v>
      </c>
      <c r="O125" s="46">
        <v>15.6</v>
      </c>
      <c r="P125" s="46">
        <v>15.53</v>
      </c>
      <c r="Q125" s="58" t="s">
        <v>51</v>
      </c>
      <c r="R125" s="58">
        <v>2020</v>
      </c>
      <c r="S125" s="58"/>
      <c r="T125" s="58"/>
      <c r="U125" s="58"/>
      <c r="V125" s="58"/>
      <c r="W125" s="58"/>
      <c r="X125" s="58" t="s">
        <v>51</v>
      </c>
      <c r="Y125" s="58"/>
      <c r="Z125" s="58"/>
      <c r="AA125" s="58"/>
      <c r="AB125" s="58"/>
      <c r="AC125" s="58" t="s">
        <v>51</v>
      </c>
      <c r="AD125" s="58"/>
      <c r="AE125" s="58"/>
      <c r="AF125" s="58"/>
      <c r="AG125" s="58"/>
      <c r="AH125" s="58"/>
      <c r="AI125" s="58"/>
    </row>
    <row r="126" spans="1:35" x14ac:dyDescent="0.35">
      <c r="A126" s="17" t="s">
        <v>46</v>
      </c>
      <c r="B126" s="17" t="s">
        <v>46</v>
      </c>
      <c r="C126" s="28" t="s">
        <v>1987</v>
      </c>
      <c r="D126" s="17" t="s">
        <v>2066</v>
      </c>
      <c r="E126" s="17" t="s">
        <v>2067</v>
      </c>
      <c r="F126" s="20">
        <v>68.97</v>
      </c>
      <c r="G126" s="20">
        <v>82</v>
      </c>
      <c r="H126" s="19">
        <v>442</v>
      </c>
      <c r="I126" s="20">
        <v>220</v>
      </c>
      <c r="J126" s="20">
        <v>222</v>
      </c>
      <c r="K126" s="20">
        <v>121</v>
      </c>
      <c r="L126" s="57">
        <f t="shared" si="2"/>
        <v>0.27375565610859731</v>
      </c>
      <c r="M126" s="20">
        <v>120</v>
      </c>
      <c r="N126" s="57">
        <f t="shared" si="3"/>
        <v>0.27149321266968324</v>
      </c>
      <c r="O126" s="46">
        <v>0</v>
      </c>
      <c r="P126" s="46">
        <v>0</v>
      </c>
      <c r="Q126" s="58" t="s">
        <v>562</v>
      </c>
      <c r="R126" s="58"/>
      <c r="S126" s="58"/>
      <c r="T126" s="58"/>
      <c r="U126" s="58"/>
      <c r="V126" s="58"/>
      <c r="W126" s="58"/>
      <c r="X126" s="58" t="s">
        <v>562</v>
      </c>
      <c r="Y126" s="58"/>
      <c r="Z126" s="58"/>
      <c r="AA126" s="58"/>
      <c r="AB126" s="58"/>
      <c r="AC126" s="58" t="s">
        <v>562</v>
      </c>
      <c r="AD126" s="58"/>
      <c r="AE126" s="58"/>
      <c r="AF126" s="58"/>
      <c r="AG126" s="58"/>
      <c r="AH126" s="58"/>
      <c r="AI126" s="58"/>
    </row>
    <row r="127" spans="1:35" x14ac:dyDescent="0.35">
      <c r="A127" s="17" t="s">
        <v>46</v>
      </c>
      <c r="B127" s="17" t="s">
        <v>46</v>
      </c>
      <c r="C127" s="28" t="s">
        <v>1987</v>
      </c>
      <c r="D127" s="17" t="s">
        <v>2068</v>
      </c>
      <c r="E127" s="17" t="s">
        <v>2069</v>
      </c>
      <c r="F127" s="20">
        <v>333.55</v>
      </c>
      <c r="G127" s="20">
        <v>215</v>
      </c>
      <c r="H127" s="19">
        <v>994</v>
      </c>
      <c r="I127" s="20">
        <v>505</v>
      </c>
      <c r="J127" s="20">
        <v>489</v>
      </c>
      <c r="K127" s="20">
        <v>343</v>
      </c>
      <c r="L127" s="57">
        <f t="shared" si="2"/>
        <v>0.34507042253521125</v>
      </c>
      <c r="M127" s="20">
        <v>231</v>
      </c>
      <c r="N127" s="57">
        <f t="shared" si="3"/>
        <v>0.23239436619718309</v>
      </c>
      <c r="O127" s="46">
        <v>0</v>
      </c>
      <c r="P127" s="46">
        <v>0</v>
      </c>
      <c r="Q127" s="58" t="s">
        <v>562</v>
      </c>
      <c r="R127" s="58"/>
      <c r="S127" s="58"/>
      <c r="T127" s="58"/>
      <c r="U127" s="58"/>
      <c r="V127" s="58"/>
      <c r="W127" s="58"/>
      <c r="X127" s="58" t="s">
        <v>562</v>
      </c>
      <c r="Y127" s="58"/>
      <c r="Z127" s="58"/>
      <c r="AA127" s="58"/>
      <c r="AB127" s="58"/>
      <c r="AC127" s="58" t="s">
        <v>562</v>
      </c>
      <c r="AD127" s="58"/>
      <c r="AE127" s="58"/>
      <c r="AF127" s="58"/>
      <c r="AG127" s="58"/>
      <c r="AH127" s="58"/>
      <c r="AI127" s="58"/>
    </row>
    <row r="128" spans="1:35" x14ac:dyDescent="0.35">
      <c r="A128" s="17" t="s">
        <v>46</v>
      </c>
      <c r="B128" s="17" t="s">
        <v>46</v>
      </c>
      <c r="C128" s="28" t="s">
        <v>2018</v>
      </c>
      <c r="D128" s="17" t="s">
        <v>1988</v>
      </c>
      <c r="E128" s="17" t="s">
        <v>2070</v>
      </c>
      <c r="F128" s="20">
        <v>209.37</v>
      </c>
      <c r="G128" s="20">
        <v>95</v>
      </c>
      <c r="H128" s="19">
        <v>447</v>
      </c>
      <c r="I128" s="20">
        <v>228</v>
      </c>
      <c r="J128" s="20">
        <v>219</v>
      </c>
      <c r="K128" s="20">
        <v>94</v>
      </c>
      <c r="L128" s="57">
        <f t="shared" si="2"/>
        <v>0.21029082774049218</v>
      </c>
      <c r="M128" s="20">
        <v>133</v>
      </c>
      <c r="N128" s="57">
        <f t="shared" si="3"/>
        <v>0.29753914988814317</v>
      </c>
      <c r="O128" s="46">
        <v>21.4</v>
      </c>
      <c r="P128" s="46">
        <v>2.2000000000000002</v>
      </c>
      <c r="Q128" s="58" t="s">
        <v>51</v>
      </c>
      <c r="R128" s="58">
        <v>2020</v>
      </c>
      <c r="S128" s="58"/>
      <c r="T128" s="58"/>
      <c r="U128" s="58"/>
      <c r="V128" s="58"/>
      <c r="W128" s="58"/>
      <c r="X128" s="58" t="s">
        <v>51</v>
      </c>
      <c r="Y128" s="58"/>
      <c r="Z128" s="58"/>
      <c r="AA128" s="58"/>
      <c r="AB128" s="58"/>
      <c r="AC128" s="58" t="s">
        <v>51</v>
      </c>
      <c r="AD128" s="58"/>
      <c r="AE128" s="58"/>
      <c r="AF128" s="58"/>
      <c r="AG128" s="58"/>
      <c r="AH128" s="58"/>
      <c r="AI128" s="58"/>
    </row>
    <row r="129" spans="1:35" x14ac:dyDescent="0.35">
      <c r="A129" s="17" t="s">
        <v>46</v>
      </c>
      <c r="B129" s="17" t="s">
        <v>46</v>
      </c>
      <c r="C129" s="28" t="s">
        <v>1987</v>
      </c>
      <c r="D129" s="17" t="s">
        <v>2071</v>
      </c>
      <c r="E129" s="17" t="s">
        <v>2072</v>
      </c>
      <c r="F129" s="20">
        <v>102.14</v>
      </c>
      <c r="G129" s="20">
        <v>108</v>
      </c>
      <c r="H129" s="19">
        <v>523</v>
      </c>
      <c r="I129" s="20">
        <v>261</v>
      </c>
      <c r="J129" s="20">
        <v>262</v>
      </c>
      <c r="K129" s="20">
        <v>33</v>
      </c>
      <c r="L129" s="57">
        <f t="shared" si="2"/>
        <v>6.3097514340344163E-2</v>
      </c>
      <c r="M129" s="20">
        <v>123</v>
      </c>
      <c r="N129" s="57">
        <f t="shared" si="3"/>
        <v>0.23518164435946462</v>
      </c>
      <c r="O129" s="46">
        <v>3.85</v>
      </c>
      <c r="P129" s="46">
        <v>0</v>
      </c>
      <c r="Q129" s="58" t="s">
        <v>562</v>
      </c>
      <c r="R129" s="58"/>
      <c r="S129" s="58"/>
      <c r="T129" s="58"/>
      <c r="U129" s="58"/>
      <c r="V129" s="58"/>
      <c r="W129" s="58"/>
      <c r="X129" s="58" t="s">
        <v>562</v>
      </c>
      <c r="Y129" s="58"/>
      <c r="Z129" s="58"/>
      <c r="AA129" s="58"/>
      <c r="AB129" s="58"/>
      <c r="AC129" s="58" t="s">
        <v>562</v>
      </c>
      <c r="AD129" s="58"/>
      <c r="AE129" s="58"/>
      <c r="AF129" s="58"/>
      <c r="AG129" s="58"/>
      <c r="AH129" s="58"/>
      <c r="AI129" s="58"/>
    </row>
    <row r="130" spans="1:35" x14ac:dyDescent="0.35">
      <c r="A130" s="17" t="s">
        <v>46</v>
      </c>
      <c r="B130" s="17" t="s">
        <v>46</v>
      </c>
      <c r="C130" s="28" t="s">
        <v>1987</v>
      </c>
      <c r="D130" s="17" t="s">
        <v>2073</v>
      </c>
      <c r="E130" s="17" t="s">
        <v>2074</v>
      </c>
      <c r="F130" s="20">
        <v>228.06</v>
      </c>
      <c r="G130" s="20">
        <v>159</v>
      </c>
      <c r="H130" s="19">
        <v>780</v>
      </c>
      <c r="I130" s="20">
        <v>393</v>
      </c>
      <c r="J130" s="20">
        <v>387</v>
      </c>
      <c r="K130" s="20">
        <v>162</v>
      </c>
      <c r="L130" s="57">
        <f t="shared" si="2"/>
        <v>0.2076923076923077</v>
      </c>
      <c r="M130" s="20">
        <v>121</v>
      </c>
      <c r="N130" s="57">
        <f t="shared" si="3"/>
        <v>0.15512820512820513</v>
      </c>
      <c r="O130" s="46">
        <v>30.28</v>
      </c>
      <c r="P130" s="46">
        <v>0</v>
      </c>
      <c r="Q130" s="58" t="s">
        <v>51</v>
      </c>
      <c r="R130" s="58">
        <v>2020</v>
      </c>
      <c r="S130" s="58"/>
      <c r="T130" s="58"/>
      <c r="U130" s="58"/>
      <c r="V130" s="58"/>
      <c r="W130" s="58"/>
      <c r="X130" s="58" t="s">
        <v>51</v>
      </c>
      <c r="Y130" s="58"/>
      <c r="Z130" s="58"/>
      <c r="AA130" s="58"/>
      <c r="AB130" s="58"/>
      <c r="AC130" s="58" t="s">
        <v>51</v>
      </c>
      <c r="AD130" s="58"/>
      <c r="AE130" s="58"/>
      <c r="AF130" s="58"/>
      <c r="AG130" s="58"/>
      <c r="AH130" s="58"/>
      <c r="AI130" s="58"/>
    </row>
    <row r="131" spans="1:35" x14ac:dyDescent="0.35">
      <c r="A131" s="17" t="s">
        <v>46</v>
      </c>
      <c r="B131" s="17" t="s">
        <v>46</v>
      </c>
      <c r="C131" s="28" t="s">
        <v>2075</v>
      </c>
      <c r="D131" s="17" t="s">
        <v>2076</v>
      </c>
      <c r="E131" s="17" t="s">
        <v>2077</v>
      </c>
      <c r="F131" s="20">
        <v>627</v>
      </c>
      <c r="G131" s="20">
        <v>414</v>
      </c>
      <c r="H131" s="19">
        <v>2010</v>
      </c>
      <c r="I131" s="20">
        <v>1003</v>
      </c>
      <c r="J131" s="20">
        <v>1007</v>
      </c>
      <c r="K131" s="20">
        <v>337</v>
      </c>
      <c r="L131" s="57">
        <f t="shared" si="2"/>
        <v>0.16766169154228855</v>
      </c>
      <c r="M131" s="20">
        <v>212</v>
      </c>
      <c r="N131" s="57">
        <f t="shared" si="3"/>
        <v>0.1054726368159204</v>
      </c>
      <c r="O131" s="46">
        <v>29</v>
      </c>
      <c r="P131" s="46">
        <v>0</v>
      </c>
      <c r="Q131" s="58" t="s">
        <v>51</v>
      </c>
      <c r="R131" s="58">
        <v>2020</v>
      </c>
      <c r="S131" s="58"/>
      <c r="T131" s="58"/>
      <c r="U131" s="58"/>
      <c r="V131" s="58"/>
      <c r="W131" s="58"/>
      <c r="X131" s="58" t="s">
        <v>51</v>
      </c>
      <c r="Y131" s="58"/>
      <c r="Z131" s="58"/>
      <c r="AA131" s="58"/>
      <c r="AB131" s="58"/>
      <c r="AC131" s="58" t="s">
        <v>51</v>
      </c>
      <c r="AD131" s="58"/>
      <c r="AE131" s="58"/>
      <c r="AF131" s="58"/>
      <c r="AG131" s="58"/>
      <c r="AH131" s="58"/>
      <c r="AI131" s="58"/>
    </row>
    <row r="132" spans="1:35" x14ac:dyDescent="0.35">
      <c r="A132" s="17" t="s">
        <v>46</v>
      </c>
      <c r="B132" s="17" t="s">
        <v>46</v>
      </c>
      <c r="C132" s="28" t="s">
        <v>1987</v>
      </c>
      <c r="D132" s="17" t="s">
        <v>2078</v>
      </c>
      <c r="E132" s="17" t="s">
        <v>2079</v>
      </c>
      <c r="F132" s="20">
        <v>246.29</v>
      </c>
      <c r="G132" s="20">
        <v>214</v>
      </c>
      <c r="H132" s="19">
        <v>991</v>
      </c>
      <c r="I132" s="20">
        <v>492</v>
      </c>
      <c r="J132" s="20">
        <v>499</v>
      </c>
      <c r="K132" s="20">
        <v>222</v>
      </c>
      <c r="L132" s="57">
        <f t="shared" ref="L132:L195" si="4">K132/H132</f>
        <v>0.22401614530776992</v>
      </c>
      <c r="M132" s="20">
        <v>43</v>
      </c>
      <c r="N132" s="57">
        <f t="shared" ref="N132:N195" si="5">M132/H132</f>
        <v>4.3390514631685168E-2</v>
      </c>
      <c r="O132" s="46">
        <v>14.85</v>
      </c>
      <c r="P132" s="46">
        <v>0</v>
      </c>
      <c r="Q132" s="58" t="s">
        <v>51</v>
      </c>
      <c r="R132" s="58">
        <v>2020</v>
      </c>
      <c r="S132" s="58"/>
      <c r="T132" s="58"/>
      <c r="U132" s="58"/>
      <c r="V132" s="58"/>
      <c r="W132" s="58"/>
      <c r="X132" s="58" t="s">
        <v>51</v>
      </c>
      <c r="Y132" s="58"/>
      <c r="Z132" s="58"/>
      <c r="AA132" s="58"/>
      <c r="AB132" s="58"/>
      <c r="AC132" s="58" t="s">
        <v>51</v>
      </c>
      <c r="AD132" s="58"/>
      <c r="AE132" s="58"/>
      <c r="AF132" s="58"/>
      <c r="AG132" s="58"/>
      <c r="AH132" s="58"/>
      <c r="AI132" s="58"/>
    </row>
    <row r="133" spans="1:35" x14ac:dyDescent="0.35">
      <c r="A133" s="17" t="s">
        <v>46</v>
      </c>
      <c r="B133" s="17" t="s">
        <v>46</v>
      </c>
      <c r="C133" s="28" t="s">
        <v>2080</v>
      </c>
      <c r="D133" s="17" t="s">
        <v>2081</v>
      </c>
      <c r="E133" s="17" t="s">
        <v>2082</v>
      </c>
      <c r="F133" s="20">
        <v>546.05999999999995</v>
      </c>
      <c r="G133" s="20">
        <v>211</v>
      </c>
      <c r="H133" s="19">
        <v>1001</v>
      </c>
      <c r="I133" s="20">
        <v>487</v>
      </c>
      <c r="J133" s="20">
        <v>514</v>
      </c>
      <c r="K133" s="20">
        <v>188</v>
      </c>
      <c r="L133" s="57">
        <f t="shared" si="4"/>
        <v>0.18781218781218781</v>
      </c>
      <c r="M133" s="20">
        <v>181</v>
      </c>
      <c r="N133" s="57">
        <f t="shared" si="5"/>
        <v>0.18081918081918083</v>
      </c>
      <c r="O133" s="46">
        <v>47.88</v>
      </c>
      <c r="P133" s="46">
        <v>0</v>
      </c>
      <c r="Q133" s="58" t="s">
        <v>51</v>
      </c>
      <c r="R133" s="58">
        <v>2020</v>
      </c>
      <c r="S133" s="58"/>
      <c r="T133" s="58"/>
      <c r="U133" s="58"/>
      <c r="V133" s="58"/>
      <c r="W133" s="58"/>
      <c r="X133" s="58" t="s">
        <v>51</v>
      </c>
      <c r="Y133" s="58"/>
      <c r="Z133" s="58"/>
      <c r="AA133" s="58"/>
      <c r="AB133" s="58"/>
      <c r="AC133" s="58" t="s">
        <v>51</v>
      </c>
      <c r="AD133" s="58"/>
      <c r="AE133" s="58"/>
      <c r="AF133" s="58"/>
      <c r="AG133" s="58"/>
      <c r="AH133" s="58"/>
      <c r="AI133" s="58"/>
    </row>
    <row r="134" spans="1:35" x14ac:dyDescent="0.35">
      <c r="A134" s="17" t="s">
        <v>46</v>
      </c>
      <c r="B134" s="17" t="s">
        <v>46</v>
      </c>
      <c r="C134" s="28" t="s">
        <v>2080</v>
      </c>
      <c r="D134" s="17" t="s">
        <v>2083</v>
      </c>
      <c r="E134" s="17" t="s">
        <v>2084</v>
      </c>
      <c r="F134" s="20">
        <v>295.63</v>
      </c>
      <c r="G134" s="20">
        <v>133</v>
      </c>
      <c r="H134" s="19">
        <v>694</v>
      </c>
      <c r="I134" s="20">
        <v>350</v>
      </c>
      <c r="J134" s="20">
        <v>344</v>
      </c>
      <c r="K134" s="20">
        <v>177</v>
      </c>
      <c r="L134" s="57">
        <f t="shared" si="4"/>
        <v>0.25504322766570603</v>
      </c>
      <c r="M134" s="20">
        <v>57</v>
      </c>
      <c r="N134" s="57">
        <f t="shared" si="5"/>
        <v>8.2132564841498557E-2</v>
      </c>
      <c r="O134" s="46">
        <v>21.14</v>
      </c>
      <c r="P134" s="46">
        <v>0</v>
      </c>
      <c r="Q134" s="58" t="s">
        <v>51</v>
      </c>
      <c r="R134" s="58">
        <v>2020</v>
      </c>
      <c r="S134" s="58"/>
      <c r="T134" s="58"/>
      <c r="U134" s="58"/>
      <c r="V134" s="58"/>
      <c r="W134" s="58"/>
      <c r="X134" s="58" t="s">
        <v>51</v>
      </c>
      <c r="Y134" s="58"/>
      <c r="Z134" s="58"/>
      <c r="AA134" s="58"/>
      <c r="AB134" s="58"/>
      <c r="AC134" s="58" t="s">
        <v>51</v>
      </c>
      <c r="AD134" s="58"/>
      <c r="AE134" s="58"/>
      <c r="AF134" s="58"/>
      <c r="AG134" s="58"/>
      <c r="AH134" s="58"/>
      <c r="AI134" s="58"/>
    </row>
    <row r="135" spans="1:35" x14ac:dyDescent="0.35">
      <c r="A135" s="17" t="s">
        <v>46</v>
      </c>
      <c r="B135" s="17" t="s">
        <v>46</v>
      </c>
      <c r="C135" s="28" t="s">
        <v>2080</v>
      </c>
      <c r="D135" s="17" t="s">
        <v>310</v>
      </c>
      <c r="E135" s="17" t="s">
        <v>2085</v>
      </c>
      <c r="F135" s="20">
        <v>548.80999999999995</v>
      </c>
      <c r="G135" s="20">
        <v>286</v>
      </c>
      <c r="H135" s="19">
        <v>1101</v>
      </c>
      <c r="I135" s="20">
        <v>559</v>
      </c>
      <c r="J135" s="20">
        <v>542</v>
      </c>
      <c r="K135" s="20">
        <v>431</v>
      </c>
      <c r="L135" s="57">
        <f t="shared" si="4"/>
        <v>0.39146230699364215</v>
      </c>
      <c r="M135" s="20">
        <v>122</v>
      </c>
      <c r="N135" s="57">
        <f t="shared" si="5"/>
        <v>0.11080835603996367</v>
      </c>
      <c r="O135" s="46">
        <v>58.09</v>
      </c>
      <c r="P135" s="46">
        <v>0</v>
      </c>
      <c r="Q135" s="58" t="s">
        <v>51</v>
      </c>
      <c r="R135" s="58">
        <v>2020</v>
      </c>
      <c r="S135" s="58"/>
      <c r="T135" s="58"/>
      <c r="U135" s="58"/>
      <c r="V135" s="58"/>
      <c r="W135" s="58"/>
      <c r="X135" s="58" t="s">
        <v>51</v>
      </c>
      <c r="Y135" s="58"/>
      <c r="Z135" s="58"/>
      <c r="AA135" s="58"/>
      <c r="AB135" s="58"/>
      <c r="AC135" s="58" t="s">
        <v>51</v>
      </c>
      <c r="AD135" s="58"/>
      <c r="AE135" s="58"/>
      <c r="AF135" s="58"/>
      <c r="AG135" s="58"/>
      <c r="AH135" s="58"/>
      <c r="AI135" s="58"/>
    </row>
    <row r="136" spans="1:35" x14ac:dyDescent="0.35">
      <c r="A136" s="17" t="s">
        <v>46</v>
      </c>
      <c r="B136" s="17" t="s">
        <v>46</v>
      </c>
      <c r="C136" s="28" t="s">
        <v>2080</v>
      </c>
      <c r="D136" s="17" t="s">
        <v>2086</v>
      </c>
      <c r="E136" s="17" t="s">
        <v>2087</v>
      </c>
      <c r="F136" s="20">
        <v>319.51</v>
      </c>
      <c r="G136" s="20">
        <v>127</v>
      </c>
      <c r="H136" s="19">
        <v>521</v>
      </c>
      <c r="I136" s="20">
        <v>261</v>
      </c>
      <c r="J136" s="20">
        <v>260</v>
      </c>
      <c r="K136" s="20">
        <v>81</v>
      </c>
      <c r="L136" s="57">
        <f t="shared" si="4"/>
        <v>0.15547024952015356</v>
      </c>
      <c r="M136" s="20">
        <v>77</v>
      </c>
      <c r="N136" s="57">
        <f t="shared" si="5"/>
        <v>0.14779270633397312</v>
      </c>
      <c r="O136" s="46">
        <v>32.47</v>
      </c>
      <c r="P136" s="46">
        <v>0</v>
      </c>
      <c r="Q136" s="58" t="s">
        <v>51</v>
      </c>
      <c r="R136" s="58">
        <v>2020</v>
      </c>
      <c r="S136" s="58"/>
      <c r="T136" s="58"/>
      <c r="U136" s="58"/>
      <c r="V136" s="58"/>
      <c r="W136" s="58"/>
      <c r="X136" s="58" t="s">
        <v>51</v>
      </c>
      <c r="Y136" s="58"/>
      <c r="Z136" s="58"/>
      <c r="AA136" s="58"/>
      <c r="AB136" s="58"/>
      <c r="AC136" s="58" t="s">
        <v>51</v>
      </c>
      <c r="AD136" s="58"/>
      <c r="AE136" s="58"/>
      <c r="AF136" s="58"/>
      <c r="AG136" s="58"/>
      <c r="AH136" s="58"/>
      <c r="AI136" s="58"/>
    </row>
    <row r="137" spans="1:35" x14ac:dyDescent="0.35">
      <c r="A137" s="17" t="s">
        <v>46</v>
      </c>
      <c r="B137" s="17" t="s">
        <v>46</v>
      </c>
      <c r="C137" s="28" t="s">
        <v>2088</v>
      </c>
      <c r="D137" s="17" t="s">
        <v>459</v>
      </c>
      <c r="E137" s="17" t="s">
        <v>2089</v>
      </c>
      <c r="F137" s="20">
        <v>548.01</v>
      </c>
      <c r="G137" s="20">
        <v>308</v>
      </c>
      <c r="H137" s="19">
        <v>1532</v>
      </c>
      <c r="I137" s="20">
        <v>782</v>
      </c>
      <c r="J137" s="20">
        <v>750</v>
      </c>
      <c r="K137" s="20">
        <v>367</v>
      </c>
      <c r="L137" s="57">
        <f t="shared" si="4"/>
        <v>0.23955613577023499</v>
      </c>
      <c r="M137" s="20">
        <v>148</v>
      </c>
      <c r="N137" s="57">
        <f t="shared" si="5"/>
        <v>9.6605744125326368E-2</v>
      </c>
      <c r="O137" s="46">
        <v>29.94</v>
      </c>
      <c r="P137" s="46">
        <v>0</v>
      </c>
      <c r="Q137" s="58" t="s">
        <v>51</v>
      </c>
      <c r="R137" s="58">
        <v>2020</v>
      </c>
      <c r="S137" s="58"/>
      <c r="T137" s="58"/>
      <c r="U137" s="58"/>
      <c r="V137" s="58"/>
      <c r="W137" s="58"/>
      <c r="X137" s="58" t="s">
        <v>51</v>
      </c>
      <c r="Y137" s="58"/>
      <c r="Z137" s="58"/>
      <c r="AA137" s="58"/>
      <c r="AB137" s="58"/>
      <c r="AC137" s="58" t="s">
        <v>51</v>
      </c>
      <c r="AD137" s="58"/>
      <c r="AE137" s="58"/>
      <c r="AF137" s="58"/>
      <c r="AG137" s="58"/>
      <c r="AH137" s="58"/>
      <c r="AI137" s="58"/>
    </row>
    <row r="138" spans="1:35" x14ac:dyDescent="0.35">
      <c r="A138" s="17" t="s">
        <v>46</v>
      </c>
      <c r="B138" s="17" t="s">
        <v>46</v>
      </c>
      <c r="C138" s="28" t="s">
        <v>2088</v>
      </c>
      <c r="D138" s="17" t="s">
        <v>2090</v>
      </c>
      <c r="E138" s="17" t="s">
        <v>2091</v>
      </c>
      <c r="F138" s="20">
        <v>254.15</v>
      </c>
      <c r="G138" s="20">
        <v>248</v>
      </c>
      <c r="H138" s="19">
        <v>1133</v>
      </c>
      <c r="I138" s="20">
        <v>588</v>
      </c>
      <c r="J138" s="20">
        <v>545</v>
      </c>
      <c r="K138" s="20">
        <v>47</v>
      </c>
      <c r="L138" s="57">
        <f t="shared" si="4"/>
        <v>4.1482789055604589E-2</v>
      </c>
      <c r="M138" s="20">
        <v>74</v>
      </c>
      <c r="N138" s="57">
        <f t="shared" si="5"/>
        <v>6.5313327449249781E-2</v>
      </c>
      <c r="O138" s="46">
        <v>19.329999999999998</v>
      </c>
      <c r="P138" s="46">
        <v>0</v>
      </c>
      <c r="Q138" s="58" t="s">
        <v>562</v>
      </c>
      <c r="R138" s="58"/>
      <c r="S138" s="58"/>
      <c r="T138" s="58"/>
      <c r="U138" s="58"/>
      <c r="V138" s="58"/>
      <c r="W138" s="58"/>
      <c r="X138" s="58" t="s">
        <v>562</v>
      </c>
      <c r="Y138" s="58"/>
      <c r="Z138" s="58"/>
      <c r="AA138" s="58"/>
      <c r="AB138" s="58"/>
      <c r="AC138" s="58" t="s">
        <v>562</v>
      </c>
      <c r="AD138" s="58"/>
      <c r="AE138" s="58"/>
      <c r="AF138" s="58"/>
      <c r="AG138" s="58"/>
      <c r="AH138" s="58"/>
      <c r="AI138" s="58"/>
    </row>
    <row r="139" spans="1:35" x14ac:dyDescent="0.35">
      <c r="A139" s="17" t="s">
        <v>46</v>
      </c>
      <c r="B139" s="17" t="s">
        <v>46</v>
      </c>
      <c r="C139" s="28" t="s">
        <v>2092</v>
      </c>
      <c r="D139" s="17" t="s">
        <v>2093</v>
      </c>
      <c r="E139" s="17" t="s">
        <v>2094</v>
      </c>
      <c r="F139" s="20">
        <v>649.04999999999995</v>
      </c>
      <c r="G139" s="20">
        <v>298</v>
      </c>
      <c r="H139" s="19">
        <v>1347</v>
      </c>
      <c r="I139" s="20">
        <v>654</v>
      </c>
      <c r="J139" s="20">
        <v>693</v>
      </c>
      <c r="K139" s="20">
        <v>155</v>
      </c>
      <c r="L139" s="57">
        <f t="shared" si="4"/>
        <v>0.11507052709725316</v>
      </c>
      <c r="M139" s="20">
        <v>70</v>
      </c>
      <c r="N139" s="57">
        <f t="shared" si="5"/>
        <v>5.196733481811433E-2</v>
      </c>
      <c r="O139" s="46">
        <v>71.64</v>
      </c>
      <c r="P139" s="46">
        <v>37.6</v>
      </c>
      <c r="Q139" s="58" t="s">
        <v>51</v>
      </c>
      <c r="R139" s="58">
        <v>2020</v>
      </c>
      <c r="S139" s="58"/>
      <c r="T139" s="58"/>
      <c r="U139" s="58"/>
      <c r="V139" s="58"/>
      <c r="W139" s="58"/>
      <c r="X139" s="58" t="s">
        <v>51</v>
      </c>
      <c r="Y139" s="58"/>
      <c r="Z139" s="58"/>
      <c r="AA139" s="58"/>
      <c r="AB139" s="58"/>
      <c r="AC139" s="58" t="s">
        <v>51</v>
      </c>
      <c r="AD139" s="58"/>
      <c r="AE139" s="58"/>
      <c r="AF139" s="58"/>
      <c r="AG139" s="58"/>
      <c r="AH139" s="58"/>
      <c r="AI139" s="58"/>
    </row>
    <row r="140" spans="1:35" x14ac:dyDescent="0.35">
      <c r="A140" s="17" t="s">
        <v>46</v>
      </c>
      <c r="B140" s="17" t="s">
        <v>46</v>
      </c>
      <c r="C140" s="28" t="s">
        <v>2075</v>
      </c>
      <c r="D140" s="17" t="s">
        <v>2095</v>
      </c>
      <c r="E140" s="17" t="s">
        <v>2096</v>
      </c>
      <c r="F140" s="20">
        <v>320</v>
      </c>
      <c r="G140" s="20">
        <v>322</v>
      </c>
      <c r="H140" s="19">
        <v>1538</v>
      </c>
      <c r="I140" s="20">
        <v>775</v>
      </c>
      <c r="J140" s="20">
        <v>763</v>
      </c>
      <c r="K140" s="20">
        <v>206</v>
      </c>
      <c r="L140" s="57">
        <f t="shared" si="4"/>
        <v>0.13394018205461639</v>
      </c>
      <c r="M140" s="20">
        <v>107</v>
      </c>
      <c r="N140" s="57">
        <f t="shared" si="5"/>
        <v>6.9570871261378411E-2</v>
      </c>
      <c r="O140" s="46">
        <v>22</v>
      </c>
      <c r="P140" s="46">
        <v>0</v>
      </c>
      <c r="Q140" s="58" t="s">
        <v>51</v>
      </c>
      <c r="R140" s="58">
        <v>2020</v>
      </c>
      <c r="S140" s="58"/>
      <c r="T140" s="58"/>
      <c r="U140" s="58"/>
      <c r="V140" s="58"/>
      <c r="W140" s="58"/>
      <c r="X140" s="58" t="s">
        <v>51</v>
      </c>
      <c r="Y140" s="58"/>
      <c r="Z140" s="58"/>
      <c r="AA140" s="58"/>
      <c r="AB140" s="58"/>
      <c r="AC140" s="58" t="s">
        <v>51</v>
      </c>
      <c r="AD140" s="58"/>
      <c r="AE140" s="58"/>
      <c r="AF140" s="58"/>
      <c r="AG140" s="58"/>
      <c r="AH140" s="58"/>
      <c r="AI140" s="58"/>
    </row>
    <row r="141" spans="1:35" x14ac:dyDescent="0.35">
      <c r="A141" s="17" t="s">
        <v>46</v>
      </c>
      <c r="B141" s="17" t="s">
        <v>46</v>
      </c>
      <c r="C141" s="28" t="s">
        <v>2075</v>
      </c>
      <c r="D141" s="17" t="s">
        <v>2097</v>
      </c>
      <c r="E141" s="17" t="s">
        <v>2098</v>
      </c>
      <c r="F141" s="20">
        <v>405</v>
      </c>
      <c r="G141" s="20">
        <v>238</v>
      </c>
      <c r="H141" s="19">
        <v>1113</v>
      </c>
      <c r="I141" s="20">
        <v>574</v>
      </c>
      <c r="J141" s="20">
        <v>539</v>
      </c>
      <c r="K141" s="20">
        <v>133</v>
      </c>
      <c r="L141" s="57">
        <f t="shared" si="4"/>
        <v>0.11949685534591195</v>
      </c>
      <c r="M141" s="20">
        <v>75</v>
      </c>
      <c r="N141" s="57">
        <f t="shared" si="5"/>
        <v>6.7385444743935305E-2</v>
      </c>
      <c r="O141" s="46">
        <v>28</v>
      </c>
      <c r="P141" s="46">
        <v>38</v>
      </c>
      <c r="Q141" s="58" t="s">
        <v>562</v>
      </c>
      <c r="R141" s="58"/>
      <c r="S141" s="58"/>
      <c r="T141" s="58"/>
      <c r="U141" s="58"/>
      <c r="V141" s="58"/>
      <c r="W141" s="58"/>
      <c r="X141" s="58" t="s">
        <v>562</v>
      </c>
      <c r="Y141" s="58"/>
      <c r="Z141" s="58"/>
      <c r="AA141" s="58"/>
      <c r="AB141" s="58"/>
      <c r="AC141" s="58" t="s">
        <v>562</v>
      </c>
      <c r="AD141" s="58"/>
      <c r="AE141" s="58"/>
      <c r="AF141" s="58"/>
      <c r="AG141" s="58"/>
      <c r="AH141" s="58"/>
      <c r="AI141" s="58"/>
    </row>
    <row r="142" spans="1:35" x14ac:dyDescent="0.35">
      <c r="A142" s="17" t="s">
        <v>46</v>
      </c>
      <c r="B142" s="17" t="s">
        <v>46</v>
      </c>
      <c r="C142" s="28" t="s">
        <v>1868</v>
      </c>
      <c r="D142" s="17" t="s">
        <v>2099</v>
      </c>
      <c r="E142" s="17" t="s">
        <v>2100</v>
      </c>
      <c r="F142" s="20">
        <v>655</v>
      </c>
      <c r="G142" s="20">
        <v>276</v>
      </c>
      <c r="H142" s="19">
        <v>1252</v>
      </c>
      <c r="I142" s="20">
        <v>646</v>
      </c>
      <c r="J142" s="20">
        <v>606</v>
      </c>
      <c r="K142" s="20">
        <v>88</v>
      </c>
      <c r="L142" s="57">
        <f t="shared" si="4"/>
        <v>7.0287539936102233E-2</v>
      </c>
      <c r="M142" s="20">
        <v>181</v>
      </c>
      <c r="N142" s="57">
        <f t="shared" si="5"/>
        <v>0.14456869009584664</v>
      </c>
      <c r="O142" s="46">
        <v>52</v>
      </c>
      <c r="P142" s="46">
        <v>0</v>
      </c>
      <c r="Q142" s="58" t="s">
        <v>51</v>
      </c>
      <c r="R142" s="58">
        <v>2020</v>
      </c>
      <c r="S142" s="58"/>
      <c r="T142" s="58"/>
      <c r="U142" s="58"/>
      <c r="V142" s="58"/>
      <c r="W142" s="58"/>
      <c r="X142" s="58" t="s">
        <v>51</v>
      </c>
      <c r="Y142" s="58"/>
      <c r="Z142" s="58"/>
      <c r="AA142" s="58"/>
      <c r="AB142" s="58"/>
      <c r="AC142" s="58" t="s">
        <v>51</v>
      </c>
      <c r="AD142" s="58"/>
      <c r="AE142" s="58"/>
      <c r="AF142" s="58"/>
      <c r="AG142" s="58"/>
      <c r="AH142" s="58"/>
      <c r="AI142" s="58"/>
    </row>
    <row r="143" spans="1:35" x14ac:dyDescent="0.35">
      <c r="A143" s="17" t="s">
        <v>46</v>
      </c>
      <c r="B143" s="17" t="s">
        <v>46</v>
      </c>
      <c r="C143" s="28" t="s">
        <v>1873</v>
      </c>
      <c r="D143" s="17" t="s">
        <v>2101</v>
      </c>
      <c r="E143" s="17" t="s">
        <v>2102</v>
      </c>
      <c r="F143" s="20">
        <v>257</v>
      </c>
      <c r="G143" s="20">
        <v>161</v>
      </c>
      <c r="H143" s="19">
        <v>639</v>
      </c>
      <c r="I143" s="20">
        <v>329</v>
      </c>
      <c r="J143" s="20">
        <v>310</v>
      </c>
      <c r="K143" s="20">
        <v>81</v>
      </c>
      <c r="L143" s="57">
        <f t="shared" si="4"/>
        <v>0.12676056338028169</v>
      </c>
      <c r="M143" s="20">
        <v>71</v>
      </c>
      <c r="N143" s="57">
        <f t="shared" si="5"/>
        <v>0.1111111111111111</v>
      </c>
      <c r="O143" s="46">
        <v>36</v>
      </c>
      <c r="P143" s="46">
        <v>0</v>
      </c>
      <c r="Q143" s="58" t="s">
        <v>51</v>
      </c>
      <c r="R143" s="58">
        <v>2020</v>
      </c>
      <c r="S143" s="58"/>
      <c r="T143" s="58"/>
      <c r="U143" s="58"/>
      <c r="V143" s="58"/>
      <c r="W143" s="58"/>
      <c r="X143" s="58" t="s">
        <v>51</v>
      </c>
      <c r="Y143" s="58"/>
      <c r="Z143" s="58"/>
      <c r="AA143" s="58"/>
      <c r="AB143" s="58"/>
      <c r="AC143" s="58" t="s">
        <v>51</v>
      </c>
      <c r="AD143" s="58"/>
      <c r="AE143" s="58"/>
      <c r="AF143" s="58"/>
      <c r="AG143" s="58"/>
      <c r="AH143" s="58"/>
      <c r="AI143" s="58"/>
    </row>
    <row r="144" spans="1:35" x14ac:dyDescent="0.35">
      <c r="A144" s="17" t="s">
        <v>46</v>
      </c>
      <c r="B144" s="17" t="s">
        <v>46</v>
      </c>
      <c r="C144" s="28" t="s">
        <v>2103</v>
      </c>
      <c r="D144" s="17" t="s">
        <v>2104</v>
      </c>
      <c r="E144" s="17" t="s">
        <v>2105</v>
      </c>
      <c r="F144" s="20">
        <v>1363.88</v>
      </c>
      <c r="G144" s="20">
        <v>1102</v>
      </c>
      <c r="H144" s="19">
        <v>5349</v>
      </c>
      <c r="I144" s="20">
        <v>2743</v>
      </c>
      <c r="J144" s="20">
        <v>2606</v>
      </c>
      <c r="K144" s="20">
        <v>1338</v>
      </c>
      <c r="L144" s="57">
        <f t="shared" si="4"/>
        <v>0.25014021312394841</v>
      </c>
      <c r="M144" s="20">
        <v>18</v>
      </c>
      <c r="N144" s="57">
        <f t="shared" si="5"/>
        <v>3.3651149747616375E-3</v>
      </c>
      <c r="O144" s="46">
        <v>194.88</v>
      </c>
      <c r="P144" s="46">
        <v>6.21</v>
      </c>
      <c r="Q144" s="58" t="s">
        <v>51</v>
      </c>
      <c r="R144" s="58">
        <v>2020</v>
      </c>
      <c r="S144" s="58"/>
      <c r="T144" s="58"/>
      <c r="U144" s="58"/>
      <c r="V144" s="58"/>
      <c r="W144" s="58"/>
      <c r="X144" s="58" t="s">
        <v>51</v>
      </c>
      <c r="Y144" s="58"/>
      <c r="Z144" s="58"/>
      <c r="AA144" s="58"/>
      <c r="AB144" s="58"/>
      <c r="AC144" s="58" t="s">
        <v>51</v>
      </c>
      <c r="AD144" s="58"/>
      <c r="AE144" s="58"/>
      <c r="AF144" s="58"/>
      <c r="AG144" s="58"/>
      <c r="AH144" s="58"/>
      <c r="AI144" s="58"/>
    </row>
    <row r="145" spans="1:35" x14ac:dyDescent="0.35">
      <c r="A145" s="17" t="s">
        <v>46</v>
      </c>
      <c r="B145" s="17" t="s">
        <v>46</v>
      </c>
      <c r="C145" s="28" t="s">
        <v>2103</v>
      </c>
      <c r="D145" s="17" t="s">
        <v>2106</v>
      </c>
      <c r="E145" s="17" t="s">
        <v>2107</v>
      </c>
      <c r="F145" s="20">
        <v>222.09</v>
      </c>
      <c r="G145" s="20">
        <v>133</v>
      </c>
      <c r="H145" s="19">
        <v>560</v>
      </c>
      <c r="I145" s="20">
        <v>278</v>
      </c>
      <c r="J145" s="20">
        <v>282</v>
      </c>
      <c r="K145" s="20">
        <v>61</v>
      </c>
      <c r="L145" s="57">
        <f t="shared" si="4"/>
        <v>0.10892857142857143</v>
      </c>
      <c r="M145" s="20">
        <v>211</v>
      </c>
      <c r="N145" s="57">
        <f t="shared" si="5"/>
        <v>0.37678571428571428</v>
      </c>
      <c r="O145" s="46">
        <v>0.52</v>
      </c>
      <c r="P145" s="46">
        <v>0</v>
      </c>
      <c r="Q145" s="58" t="s">
        <v>562</v>
      </c>
      <c r="R145" s="58"/>
      <c r="S145" s="58"/>
      <c r="T145" s="58"/>
      <c r="U145" s="58"/>
      <c r="V145" s="58"/>
      <c r="W145" s="58"/>
      <c r="X145" s="58" t="s">
        <v>562</v>
      </c>
      <c r="Y145" s="58"/>
      <c r="Z145" s="58"/>
      <c r="AA145" s="58"/>
      <c r="AB145" s="58"/>
      <c r="AC145" s="58" t="s">
        <v>562</v>
      </c>
      <c r="AD145" s="58"/>
      <c r="AE145" s="58"/>
      <c r="AF145" s="58"/>
      <c r="AG145" s="58"/>
      <c r="AH145" s="58"/>
      <c r="AI145" s="58"/>
    </row>
    <row r="146" spans="1:35" x14ac:dyDescent="0.35">
      <c r="A146" s="17" t="s">
        <v>46</v>
      </c>
      <c r="B146" s="17" t="s">
        <v>46</v>
      </c>
      <c r="C146" s="28" t="s">
        <v>1855</v>
      </c>
      <c r="D146" s="17" t="s">
        <v>2108</v>
      </c>
      <c r="E146" s="17" t="s">
        <v>2109</v>
      </c>
      <c r="F146" s="28">
        <v>101.81</v>
      </c>
      <c r="G146" s="47"/>
      <c r="H146" s="19">
        <v>0</v>
      </c>
      <c r="I146" s="47"/>
      <c r="J146" s="47"/>
      <c r="K146" s="47"/>
      <c r="L146" s="57" t="e">
        <f t="shared" si="4"/>
        <v>#DIV/0!</v>
      </c>
      <c r="M146" s="47"/>
      <c r="N146" s="57" t="e">
        <f t="shared" si="5"/>
        <v>#DIV/0!</v>
      </c>
      <c r="O146" s="48">
        <v>8</v>
      </c>
      <c r="P146" s="48">
        <v>0</v>
      </c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</row>
    <row r="147" spans="1:35" x14ac:dyDescent="0.35">
      <c r="A147" s="17" t="s">
        <v>46</v>
      </c>
      <c r="B147" s="17" t="s">
        <v>46</v>
      </c>
      <c r="C147" s="28" t="s">
        <v>1864</v>
      </c>
      <c r="D147" s="17" t="s">
        <v>2110</v>
      </c>
      <c r="E147" s="17" t="s">
        <v>2111</v>
      </c>
      <c r="F147" s="20">
        <v>242.7</v>
      </c>
      <c r="G147" s="20">
        <v>113</v>
      </c>
      <c r="H147" s="19">
        <v>501</v>
      </c>
      <c r="I147" s="20">
        <v>246</v>
      </c>
      <c r="J147" s="20">
        <v>255</v>
      </c>
      <c r="K147" s="20">
        <v>45</v>
      </c>
      <c r="L147" s="57">
        <f t="shared" si="4"/>
        <v>8.9820359281437126E-2</v>
      </c>
      <c r="M147" s="20">
        <v>0</v>
      </c>
      <c r="N147" s="57">
        <f t="shared" si="5"/>
        <v>0</v>
      </c>
      <c r="O147" s="46">
        <v>33.67</v>
      </c>
      <c r="P147" s="46">
        <v>0</v>
      </c>
      <c r="Q147" s="58" t="s">
        <v>51</v>
      </c>
      <c r="R147" s="58">
        <v>2020</v>
      </c>
      <c r="S147" s="58"/>
      <c r="T147" s="58"/>
      <c r="U147" s="58"/>
      <c r="V147" s="58"/>
      <c r="W147" s="58"/>
      <c r="X147" s="58" t="s">
        <v>51</v>
      </c>
      <c r="Y147" s="58"/>
      <c r="Z147" s="58"/>
      <c r="AA147" s="58"/>
      <c r="AB147" s="58"/>
      <c r="AC147" s="58" t="s">
        <v>51</v>
      </c>
      <c r="AD147" s="58"/>
      <c r="AE147" s="58"/>
      <c r="AF147" s="58"/>
      <c r="AG147" s="58"/>
      <c r="AH147" s="58"/>
      <c r="AI147" s="58"/>
    </row>
    <row r="148" spans="1:35" x14ac:dyDescent="0.35">
      <c r="A148" s="17" t="s">
        <v>46</v>
      </c>
      <c r="B148" s="17" t="s">
        <v>46</v>
      </c>
      <c r="C148" s="28" t="s">
        <v>1864</v>
      </c>
      <c r="D148" s="17" t="s">
        <v>2112</v>
      </c>
      <c r="E148" s="17" t="s">
        <v>2113</v>
      </c>
      <c r="F148" s="20">
        <v>632.53</v>
      </c>
      <c r="G148" s="20">
        <v>255</v>
      </c>
      <c r="H148" s="19">
        <v>1040</v>
      </c>
      <c r="I148" s="20">
        <v>519</v>
      </c>
      <c r="J148" s="20">
        <v>521</v>
      </c>
      <c r="K148" s="20">
        <v>129</v>
      </c>
      <c r="L148" s="57">
        <f t="shared" si="4"/>
        <v>0.12403846153846154</v>
      </c>
      <c r="M148" s="20">
        <v>119</v>
      </c>
      <c r="N148" s="57">
        <f t="shared" si="5"/>
        <v>0.11442307692307692</v>
      </c>
      <c r="O148" s="46">
        <v>59.67</v>
      </c>
      <c r="P148" s="46">
        <v>102.06</v>
      </c>
      <c r="Q148" s="58" t="s">
        <v>51</v>
      </c>
      <c r="R148" s="58">
        <v>2020</v>
      </c>
      <c r="S148" s="58"/>
      <c r="T148" s="58"/>
      <c r="U148" s="58"/>
      <c r="V148" s="58"/>
      <c r="W148" s="58"/>
      <c r="X148" s="58" t="s">
        <v>51</v>
      </c>
      <c r="Y148" s="58"/>
      <c r="Z148" s="58"/>
      <c r="AA148" s="58"/>
      <c r="AB148" s="58"/>
      <c r="AC148" s="58" t="s">
        <v>51</v>
      </c>
      <c r="AD148" s="58"/>
      <c r="AE148" s="58"/>
      <c r="AF148" s="58"/>
      <c r="AG148" s="58"/>
      <c r="AH148" s="58"/>
      <c r="AI148" s="58"/>
    </row>
    <row r="149" spans="1:35" x14ac:dyDescent="0.35">
      <c r="A149" s="17" t="s">
        <v>46</v>
      </c>
      <c r="B149" s="17" t="s">
        <v>46</v>
      </c>
      <c r="C149" s="28" t="s">
        <v>1864</v>
      </c>
      <c r="D149" s="17" t="s">
        <v>1822</v>
      </c>
      <c r="E149" s="17" t="s">
        <v>2114</v>
      </c>
      <c r="F149" s="28">
        <v>104.49</v>
      </c>
      <c r="G149" s="47"/>
      <c r="H149" s="19">
        <v>0</v>
      </c>
      <c r="I149" s="47"/>
      <c r="J149" s="47"/>
      <c r="K149" s="47"/>
      <c r="L149" s="57" t="e">
        <f t="shared" si="4"/>
        <v>#DIV/0!</v>
      </c>
      <c r="M149" s="47"/>
      <c r="N149" s="57" t="e">
        <f t="shared" si="5"/>
        <v>#DIV/0!</v>
      </c>
      <c r="O149" s="48">
        <v>4.6500000000000004</v>
      </c>
      <c r="P149" s="48">
        <v>0</v>
      </c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</row>
    <row r="150" spans="1:35" x14ac:dyDescent="0.35">
      <c r="A150" s="17" t="s">
        <v>46</v>
      </c>
      <c r="B150" s="17" t="s">
        <v>46</v>
      </c>
      <c r="C150" s="28" t="s">
        <v>1864</v>
      </c>
      <c r="D150" s="17" t="s">
        <v>2115</v>
      </c>
      <c r="E150" s="17" t="s">
        <v>2116</v>
      </c>
      <c r="F150" s="20">
        <v>74.17</v>
      </c>
      <c r="G150" s="20">
        <v>197</v>
      </c>
      <c r="H150" s="19">
        <v>804</v>
      </c>
      <c r="I150" s="20">
        <v>388</v>
      </c>
      <c r="J150" s="20">
        <v>416</v>
      </c>
      <c r="K150" s="20">
        <v>277</v>
      </c>
      <c r="L150" s="57">
        <f t="shared" si="4"/>
        <v>0.34452736318407962</v>
      </c>
      <c r="M150" s="20">
        <v>64</v>
      </c>
      <c r="N150" s="57">
        <f t="shared" si="5"/>
        <v>7.9601990049751242E-2</v>
      </c>
      <c r="O150" s="46">
        <v>0</v>
      </c>
      <c r="P150" s="46">
        <v>0</v>
      </c>
      <c r="Q150" s="58" t="s">
        <v>562</v>
      </c>
      <c r="R150" s="58"/>
      <c r="S150" s="58"/>
      <c r="T150" s="58"/>
      <c r="U150" s="58"/>
      <c r="V150" s="58"/>
      <c r="W150" s="58"/>
      <c r="X150" s="58" t="s">
        <v>562</v>
      </c>
      <c r="Y150" s="58"/>
      <c r="Z150" s="58"/>
      <c r="AA150" s="58"/>
      <c r="AB150" s="58"/>
      <c r="AC150" s="58" t="s">
        <v>562</v>
      </c>
      <c r="AD150" s="58"/>
      <c r="AE150" s="58"/>
      <c r="AF150" s="58"/>
      <c r="AG150" s="58"/>
      <c r="AH150" s="58"/>
      <c r="AI150" s="58"/>
    </row>
    <row r="151" spans="1:35" x14ac:dyDescent="0.35">
      <c r="A151" s="17" t="s">
        <v>46</v>
      </c>
      <c r="B151" s="17" t="s">
        <v>46</v>
      </c>
      <c r="C151" s="28" t="s">
        <v>1864</v>
      </c>
      <c r="D151" s="17" t="s">
        <v>2117</v>
      </c>
      <c r="E151" s="17" t="s">
        <v>2118</v>
      </c>
      <c r="F151" s="20">
        <v>99.05</v>
      </c>
      <c r="G151" s="20">
        <v>33</v>
      </c>
      <c r="H151" s="19">
        <v>134</v>
      </c>
      <c r="I151" s="20">
        <v>73</v>
      </c>
      <c r="J151" s="20">
        <v>61</v>
      </c>
      <c r="K151" s="20">
        <v>0</v>
      </c>
      <c r="L151" s="57">
        <f t="shared" si="4"/>
        <v>0</v>
      </c>
      <c r="M151" s="20">
        <v>0</v>
      </c>
      <c r="N151" s="57">
        <f t="shared" si="5"/>
        <v>0</v>
      </c>
      <c r="O151" s="46">
        <v>7.01</v>
      </c>
      <c r="P151" s="46">
        <v>0</v>
      </c>
      <c r="Q151" s="58"/>
      <c r="R151" s="58">
        <v>2020</v>
      </c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</row>
    <row r="152" spans="1:35" x14ac:dyDescent="0.35">
      <c r="A152" s="17" t="s">
        <v>46</v>
      </c>
      <c r="B152" s="17" t="s">
        <v>46</v>
      </c>
      <c r="C152" s="28" t="s">
        <v>1864</v>
      </c>
      <c r="D152" s="17" t="s">
        <v>2119</v>
      </c>
      <c r="E152" s="17" t="s">
        <v>2120</v>
      </c>
      <c r="F152" s="20">
        <v>65.87</v>
      </c>
      <c r="G152" s="20">
        <v>61</v>
      </c>
      <c r="H152" s="19">
        <v>276</v>
      </c>
      <c r="I152" s="20">
        <v>139</v>
      </c>
      <c r="J152" s="20">
        <v>137</v>
      </c>
      <c r="K152" s="20">
        <v>1</v>
      </c>
      <c r="L152" s="57">
        <f t="shared" si="4"/>
        <v>3.6231884057971015E-3</v>
      </c>
      <c r="M152" s="20">
        <v>29</v>
      </c>
      <c r="N152" s="57">
        <f t="shared" si="5"/>
        <v>0.10507246376811594</v>
      </c>
      <c r="O152" s="46">
        <v>9.7200000000000006</v>
      </c>
      <c r="P152" s="46">
        <v>0</v>
      </c>
      <c r="Q152" s="58" t="s">
        <v>562</v>
      </c>
      <c r="R152" s="58"/>
      <c r="S152" s="58"/>
      <c r="T152" s="58"/>
      <c r="U152" s="58"/>
      <c r="V152" s="58"/>
      <c r="W152" s="58"/>
      <c r="X152" s="58" t="s">
        <v>562</v>
      </c>
      <c r="Y152" s="58"/>
      <c r="Z152" s="58"/>
      <c r="AA152" s="58"/>
      <c r="AB152" s="58"/>
      <c r="AC152" s="58" t="s">
        <v>562</v>
      </c>
      <c r="AD152" s="58"/>
      <c r="AE152" s="58"/>
      <c r="AF152" s="58"/>
      <c r="AG152" s="58"/>
      <c r="AH152" s="58"/>
      <c r="AI152" s="58"/>
    </row>
    <row r="153" spans="1:35" x14ac:dyDescent="0.35">
      <c r="A153" s="17" t="s">
        <v>46</v>
      </c>
      <c r="B153" s="17" t="s">
        <v>46</v>
      </c>
      <c r="C153" s="28" t="s">
        <v>2121</v>
      </c>
      <c r="D153" s="17" t="s">
        <v>2122</v>
      </c>
      <c r="E153" s="17" t="s">
        <v>2123</v>
      </c>
      <c r="F153" s="20">
        <v>139.82</v>
      </c>
      <c r="G153" s="20">
        <v>52</v>
      </c>
      <c r="H153" s="19">
        <v>258</v>
      </c>
      <c r="I153" s="20">
        <v>128</v>
      </c>
      <c r="J153" s="20">
        <v>130</v>
      </c>
      <c r="K153" s="20">
        <v>0</v>
      </c>
      <c r="L153" s="57">
        <f t="shared" si="4"/>
        <v>0</v>
      </c>
      <c r="M153" s="20">
        <v>0</v>
      </c>
      <c r="N153" s="57">
        <f t="shared" si="5"/>
        <v>0</v>
      </c>
      <c r="O153" s="46">
        <v>10.69</v>
      </c>
      <c r="P153" s="46">
        <v>0</v>
      </c>
      <c r="Q153" s="58" t="s">
        <v>51</v>
      </c>
      <c r="R153" s="58">
        <v>2019</v>
      </c>
      <c r="S153" s="58"/>
      <c r="T153" s="58"/>
      <c r="U153" s="58"/>
      <c r="V153" s="58"/>
      <c r="W153" s="58"/>
      <c r="X153" s="58" t="s">
        <v>51</v>
      </c>
      <c r="Y153" s="58"/>
      <c r="Z153" s="58"/>
      <c r="AA153" s="58"/>
      <c r="AB153" s="58"/>
      <c r="AC153" s="58" t="s">
        <v>51</v>
      </c>
      <c r="AD153" s="58"/>
      <c r="AE153" s="58"/>
      <c r="AF153" s="58"/>
      <c r="AG153" s="58"/>
      <c r="AH153" s="58"/>
      <c r="AI153" s="58"/>
    </row>
    <row r="154" spans="1:35" x14ac:dyDescent="0.35">
      <c r="A154" s="17" t="s">
        <v>46</v>
      </c>
      <c r="B154" s="17" t="s">
        <v>46</v>
      </c>
      <c r="C154" s="28" t="s">
        <v>2121</v>
      </c>
      <c r="D154" s="17" t="s">
        <v>633</v>
      </c>
      <c r="E154" s="17" t="s">
        <v>2124</v>
      </c>
      <c r="F154" s="20">
        <v>209.36</v>
      </c>
      <c r="G154" s="20">
        <v>79</v>
      </c>
      <c r="H154" s="19">
        <v>423</v>
      </c>
      <c r="I154" s="20">
        <v>207</v>
      </c>
      <c r="J154" s="20">
        <v>216</v>
      </c>
      <c r="K154" s="20">
        <v>53</v>
      </c>
      <c r="L154" s="57">
        <f t="shared" si="4"/>
        <v>0.12529550827423167</v>
      </c>
      <c r="M154" s="20">
        <v>12</v>
      </c>
      <c r="N154" s="57">
        <f t="shared" si="5"/>
        <v>2.8368794326241134E-2</v>
      </c>
      <c r="O154" s="46">
        <v>29.71</v>
      </c>
      <c r="P154" s="46">
        <v>0</v>
      </c>
      <c r="Q154" s="58" t="s">
        <v>51</v>
      </c>
      <c r="R154" s="58">
        <v>2019</v>
      </c>
      <c r="S154" s="58"/>
      <c r="T154" s="58"/>
      <c r="U154" s="58"/>
      <c r="V154" s="58"/>
      <c r="W154" s="58"/>
      <c r="X154" s="58" t="s">
        <v>51</v>
      </c>
      <c r="Y154" s="58"/>
      <c r="Z154" s="58"/>
      <c r="AA154" s="58"/>
      <c r="AB154" s="58"/>
      <c r="AC154" s="58" t="s">
        <v>51</v>
      </c>
      <c r="AD154" s="58"/>
      <c r="AE154" s="58"/>
      <c r="AF154" s="58"/>
      <c r="AG154" s="58"/>
      <c r="AH154" s="58"/>
      <c r="AI154" s="58"/>
    </row>
    <row r="155" spans="1:35" x14ac:dyDescent="0.35">
      <c r="A155" s="17" t="s">
        <v>46</v>
      </c>
      <c r="B155" s="17" t="s">
        <v>46</v>
      </c>
      <c r="C155" s="28" t="s">
        <v>2121</v>
      </c>
      <c r="D155" s="17" t="s">
        <v>2125</v>
      </c>
      <c r="E155" s="17" t="s">
        <v>2126</v>
      </c>
      <c r="F155" s="28">
        <v>223.2</v>
      </c>
      <c r="G155" s="47"/>
      <c r="H155" s="19">
        <v>0</v>
      </c>
      <c r="I155" s="47"/>
      <c r="J155" s="47"/>
      <c r="K155" s="47"/>
      <c r="L155" s="57" t="e">
        <f t="shared" si="4"/>
        <v>#DIV/0!</v>
      </c>
      <c r="M155" s="47"/>
      <c r="N155" s="57" t="e">
        <f t="shared" si="5"/>
        <v>#DIV/0!</v>
      </c>
      <c r="O155" s="48">
        <v>33.92</v>
      </c>
      <c r="P155" s="48">
        <v>23</v>
      </c>
      <c r="Q155" s="58" t="s">
        <v>562</v>
      </c>
      <c r="R155" s="58"/>
      <c r="S155" s="58"/>
      <c r="T155" s="58"/>
      <c r="U155" s="58"/>
      <c r="V155" s="58"/>
      <c r="W155" s="58"/>
      <c r="X155" s="58" t="s">
        <v>562</v>
      </c>
      <c r="Y155" s="58"/>
      <c r="Z155" s="58"/>
      <c r="AA155" s="58"/>
      <c r="AB155" s="58"/>
      <c r="AC155" s="58" t="s">
        <v>562</v>
      </c>
      <c r="AD155" s="58"/>
      <c r="AE155" s="58"/>
      <c r="AF155" s="58"/>
      <c r="AG155" s="58"/>
      <c r="AH155" s="58"/>
      <c r="AI155" s="58"/>
    </row>
    <row r="156" spans="1:35" x14ac:dyDescent="0.35">
      <c r="A156" s="17" t="s">
        <v>46</v>
      </c>
      <c r="B156" s="17" t="s">
        <v>46</v>
      </c>
      <c r="C156" s="28" t="s">
        <v>2121</v>
      </c>
      <c r="D156" s="17" t="s">
        <v>205</v>
      </c>
      <c r="E156" s="17" t="s">
        <v>2127</v>
      </c>
      <c r="F156" s="20">
        <v>333.39</v>
      </c>
      <c r="G156" s="20">
        <v>287</v>
      </c>
      <c r="H156" s="19">
        <v>1451</v>
      </c>
      <c r="I156" s="20">
        <v>750</v>
      </c>
      <c r="J156" s="20">
        <v>701</v>
      </c>
      <c r="K156" s="20">
        <v>168</v>
      </c>
      <c r="L156" s="57">
        <f t="shared" si="4"/>
        <v>0.11578221915920055</v>
      </c>
      <c r="M156" s="20">
        <v>40</v>
      </c>
      <c r="N156" s="57">
        <f t="shared" si="5"/>
        <v>2.7567195037904894E-2</v>
      </c>
      <c r="O156" s="46">
        <v>53.69</v>
      </c>
      <c r="P156" s="46">
        <v>31.09</v>
      </c>
      <c r="Q156" s="58" t="s">
        <v>51</v>
      </c>
      <c r="R156" s="58">
        <v>2020</v>
      </c>
      <c r="S156" s="58"/>
      <c r="T156" s="58"/>
      <c r="U156" s="58"/>
      <c r="V156" s="58"/>
      <c r="W156" s="58"/>
      <c r="X156" s="58" t="s">
        <v>51</v>
      </c>
      <c r="Y156" s="58"/>
      <c r="Z156" s="58"/>
      <c r="AA156" s="58"/>
      <c r="AB156" s="58"/>
      <c r="AC156" s="58" t="s">
        <v>51</v>
      </c>
      <c r="AD156" s="58"/>
      <c r="AE156" s="58"/>
      <c r="AF156" s="58"/>
      <c r="AG156" s="58"/>
      <c r="AH156" s="58"/>
      <c r="AI156" s="58"/>
    </row>
    <row r="157" spans="1:35" x14ac:dyDescent="0.35">
      <c r="A157" s="17" t="s">
        <v>46</v>
      </c>
      <c r="B157" s="17" t="s">
        <v>46</v>
      </c>
      <c r="C157" s="28" t="s">
        <v>2121</v>
      </c>
      <c r="D157" s="17" t="s">
        <v>2128</v>
      </c>
      <c r="E157" s="17" t="s">
        <v>2129</v>
      </c>
      <c r="F157" s="20">
        <v>320.83999999999997</v>
      </c>
      <c r="G157" s="20">
        <v>116</v>
      </c>
      <c r="H157" s="19">
        <v>537</v>
      </c>
      <c r="I157" s="20">
        <v>266</v>
      </c>
      <c r="J157" s="20">
        <v>271</v>
      </c>
      <c r="K157" s="20">
        <v>46</v>
      </c>
      <c r="L157" s="57">
        <f t="shared" si="4"/>
        <v>8.5661080074487903E-2</v>
      </c>
      <c r="M157" s="20">
        <v>323</v>
      </c>
      <c r="N157" s="57">
        <f t="shared" si="5"/>
        <v>0.6014897579143389</v>
      </c>
      <c r="O157" s="46">
        <v>6.22</v>
      </c>
      <c r="P157" s="46">
        <v>46.47</v>
      </c>
      <c r="Q157" s="58" t="s">
        <v>51</v>
      </c>
      <c r="R157" s="58">
        <v>2020</v>
      </c>
      <c r="S157" s="58"/>
      <c r="T157" s="58"/>
      <c r="U157" s="58"/>
      <c r="V157" s="58"/>
      <c r="W157" s="58"/>
      <c r="X157" s="58" t="s">
        <v>51</v>
      </c>
      <c r="Y157" s="58"/>
      <c r="Z157" s="58"/>
      <c r="AA157" s="58"/>
      <c r="AB157" s="58"/>
      <c r="AC157" s="58" t="s">
        <v>51</v>
      </c>
      <c r="AD157" s="58"/>
      <c r="AE157" s="58"/>
      <c r="AF157" s="58"/>
      <c r="AG157" s="58"/>
      <c r="AH157" s="58"/>
      <c r="AI157" s="58"/>
    </row>
    <row r="158" spans="1:35" x14ac:dyDescent="0.35">
      <c r="A158" s="17" t="s">
        <v>46</v>
      </c>
      <c r="B158" s="17" t="s">
        <v>46</v>
      </c>
      <c r="C158" s="28" t="s">
        <v>2121</v>
      </c>
      <c r="D158" s="17" t="s">
        <v>2130</v>
      </c>
      <c r="E158" s="17" t="s">
        <v>2131</v>
      </c>
      <c r="F158" s="20">
        <v>352.35</v>
      </c>
      <c r="G158" s="20">
        <v>112</v>
      </c>
      <c r="H158" s="19">
        <v>524</v>
      </c>
      <c r="I158" s="20">
        <v>268</v>
      </c>
      <c r="J158" s="20">
        <v>256</v>
      </c>
      <c r="K158" s="20">
        <v>35</v>
      </c>
      <c r="L158" s="57">
        <f t="shared" si="4"/>
        <v>6.6793893129770993E-2</v>
      </c>
      <c r="M158" s="20">
        <v>63</v>
      </c>
      <c r="N158" s="57">
        <f t="shared" si="5"/>
        <v>0.12022900763358779</v>
      </c>
      <c r="O158" s="46">
        <v>18.47</v>
      </c>
      <c r="P158" s="46">
        <v>27.27</v>
      </c>
      <c r="Q158" s="58" t="s">
        <v>51</v>
      </c>
      <c r="R158" s="58">
        <v>2020</v>
      </c>
      <c r="S158" s="58"/>
      <c r="T158" s="58"/>
      <c r="U158" s="58"/>
      <c r="V158" s="58"/>
      <c r="W158" s="58"/>
      <c r="X158" s="58" t="s">
        <v>51</v>
      </c>
      <c r="Y158" s="58"/>
      <c r="Z158" s="58"/>
      <c r="AA158" s="58"/>
      <c r="AB158" s="58"/>
      <c r="AC158" s="58" t="s">
        <v>51</v>
      </c>
      <c r="AD158" s="58"/>
      <c r="AE158" s="58"/>
      <c r="AF158" s="58"/>
      <c r="AG158" s="58"/>
      <c r="AH158" s="58"/>
      <c r="AI158" s="58"/>
    </row>
    <row r="159" spans="1:35" x14ac:dyDescent="0.35">
      <c r="A159" s="17" t="s">
        <v>46</v>
      </c>
      <c r="B159" s="17" t="s">
        <v>46</v>
      </c>
      <c r="C159" s="28" t="s">
        <v>2121</v>
      </c>
      <c r="D159" s="17" t="s">
        <v>2132</v>
      </c>
      <c r="E159" s="17" t="s">
        <v>2133</v>
      </c>
      <c r="F159" s="20">
        <v>165.73</v>
      </c>
      <c r="G159" s="20">
        <v>145</v>
      </c>
      <c r="H159" s="19">
        <v>706</v>
      </c>
      <c r="I159" s="20">
        <v>359</v>
      </c>
      <c r="J159" s="20">
        <v>347</v>
      </c>
      <c r="K159" s="20">
        <v>39</v>
      </c>
      <c r="L159" s="57">
        <f t="shared" si="4"/>
        <v>5.5240793201133141E-2</v>
      </c>
      <c r="M159" s="20">
        <v>203</v>
      </c>
      <c r="N159" s="57">
        <f t="shared" si="5"/>
        <v>0.28753541076487255</v>
      </c>
      <c r="O159" s="46">
        <v>0</v>
      </c>
      <c r="P159" s="46">
        <v>22.27</v>
      </c>
      <c r="Q159" s="58" t="s">
        <v>562</v>
      </c>
      <c r="R159" s="58"/>
      <c r="S159" s="58"/>
      <c r="T159" s="58"/>
      <c r="U159" s="58"/>
      <c r="V159" s="58"/>
      <c r="W159" s="58"/>
      <c r="X159" s="58" t="s">
        <v>562</v>
      </c>
      <c r="Y159" s="58"/>
      <c r="Z159" s="58"/>
      <c r="AA159" s="58"/>
      <c r="AB159" s="58"/>
      <c r="AC159" s="58" t="s">
        <v>562</v>
      </c>
      <c r="AD159" s="58"/>
      <c r="AE159" s="58"/>
      <c r="AF159" s="58"/>
      <c r="AG159" s="58"/>
      <c r="AH159" s="58"/>
      <c r="AI159" s="58"/>
    </row>
    <row r="160" spans="1:35" x14ac:dyDescent="0.35">
      <c r="A160" s="17" t="s">
        <v>46</v>
      </c>
      <c r="B160" s="17" t="s">
        <v>46</v>
      </c>
      <c r="C160" s="28" t="s">
        <v>2092</v>
      </c>
      <c r="D160" s="17" t="s">
        <v>2134</v>
      </c>
      <c r="E160" s="17" t="s">
        <v>2135</v>
      </c>
      <c r="F160" s="20">
        <v>772.62</v>
      </c>
      <c r="G160" s="20">
        <v>434</v>
      </c>
      <c r="H160" s="19">
        <v>1987</v>
      </c>
      <c r="I160" s="20">
        <v>980</v>
      </c>
      <c r="J160" s="20">
        <v>1007</v>
      </c>
      <c r="K160" s="20">
        <v>427</v>
      </c>
      <c r="L160" s="57">
        <f t="shared" si="4"/>
        <v>0.21489682939104177</v>
      </c>
      <c r="M160" s="20">
        <v>142</v>
      </c>
      <c r="N160" s="57">
        <f t="shared" si="5"/>
        <v>7.1464519375943628E-2</v>
      </c>
      <c r="O160" s="46">
        <v>70.86</v>
      </c>
      <c r="P160" s="46">
        <v>89.32</v>
      </c>
      <c r="Q160" s="58" t="s">
        <v>51</v>
      </c>
      <c r="R160" s="58">
        <v>2020</v>
      </c>
      <c r="S160" s="58"/>
      <c r="T160" s="58"/>
      <c r="U160" s="58"/>
      <c r="V160" s="58"/>
      <c r="W160" s="58"/>
      <c r="X160" s="58" t="s">
        <v>51</v>
      </c>
      <c r="Y160" s="58"/>
      <c r="Z160" s="58"/>
      <c r="AA160" s="58"/>
      <c r="AB160" s="58"/>
      <c r="AC160" s="58" t="s">
        <v>51</v>
      </c>
      <c r="AD160" s="58"/>
      <c r="AE160" s="58"/>
      <c r="AF160" s="58"/>
      <c r="AG160" s="58"/>
      <c r="AH160" s="58"/>
      <c r="AI160" s="58"/>
    </row>
    <row r="161" spans="1:35" x14ac:dyDescent="0.35">
      <c r="A161" s="17" t="s">
        <v>46</v>
      </c>
      <c r="B161" s="17" t="s">
        <v>46</v>
      </c>
      <c r="C161" s="28" t="s">
        <v>2088</v>
      </c>
      <c r="D161" s="17" t="s">
        <v>2136</v>
      </c>
      <c r="E161" s="17" t="s">
        <v>2137</v>
      </c>
      <c r="F161" s="20">
        <v>144.34</v>
      </c>
      <c r="G161" s="20">
        <v>55</v>
      </c>
      <c r="H161" s="19">
        <v>260</v>
      </c>
      <c r="I161" s="20">
        <v>130</v>
      </c>
      <c r="J161" s="20">
        <v>130</v>
      </c>
      <c r="K161" s="20">
        <v>33</v>
      </c>
      <c r="L161" s="57">
        <f t="shared" si="4"/>
        <v>0.12692307692307692</v>
      </c>
      <c r="M161" s="20">
        <v>0</v>
      </c>
      <c r="N161" s="57">
        <f t="shared" si="5"/>
        <v>0</v>
      </c>
      <c r="O161" s="46">
        <v>21.29</v>
      </c>
      <c r="P161" s="46">
        <v>0</v>
      </c>
      <c r="Q161" s="58" t="s">
        <v>51</v>
      </c>
      <c r="R161" s="58">
        <v>2020</v>
      </c>
      <c r="S161" s="58"/>
      <c r="T161" s="58"/>
      <c r="U161" s="58"/>
      <c r="V161" s="58"/>
      <c r="W161" s="58"/>
      <c r="X161" s="58" t="s">
        <v>51</v>
      </c>
      <c r="Y161" s="58"/>
      <c r="Z161" s="58"/>
      <c r="AA161" s="58"/>
      <c r="AB161" s="58"/>
      <c r="AC161" s="58" t="s">
        <v>51</v>
      </c>
      <c r="AD161" s="58"/>
      <c r="AE161" s="58"/>
      <c r="AF161" s="58"/>
      <c r="AG161" s="58"/>
      <c r="AH161" s="58"/>
      <c r="AI161" s="58"/>
    </row>
    <row r="162" spans="1:35" x14ac:dyDescent="0.35">
      <c r="A162" s="17" t="s">
        <v>46</v>
      </c>
      <c r="B162" s="17" t="s">
        <v>46</v>
      </c>
      <c r="C162" s="28" t="s">
        <v>2088</v>
      </c>
      <c r="D162" s="17" t="s">
        <v>2138</v>
      </c>
      <c r="E162" s="17" t="s">
        <v>2139</v>
      </c>
      <c r="F162" s="20">
        <v>208.45</v>
      </c>
      <c r="G162" s="20">
        <v>129</v>
      </c>
      <c r="H162" s="19">
        <v>616</v>
      </c>
      <c r="I162" s="20">
        <v>318</v>
      </c>
      <c r="J162" s="20">
        <v>298</v>
      </c>
      <c r="K162" s="20">
        <v>166</v>
      </c>
      <c r="L162" s="57">
        <f t="shared" si="4"/>
        <v>0.26948051948051949</v>
      </c>
      <c r="M162" s="20">
        <v>1</v>
      </c>
      <c r="N162" s="57">
        <f t="shared" si="5"/>
        <v>1.6233766233766235E-3</v>
      </c>
      <c r="O162" s="46">
        <v>16.43</v>
      </c>
      <c r="P162" s="46">
        <v>0</v>
      </c>
      <c r="Q162" s="58" t="s">
        <v>51</v>
      </c>
      <c r="R162" s="58">
        <v>2020</v>
      </c>
      <c r="S162" s="58"/>
      <c r="T162" s="58"/>
      <c r="U162" s="58"/>
      <c r="V162" s="58"/>
      <c r="W162" s="58"/>
      <c r="X162" s="58" t="s">
        <v>51</v>
      </c>
      <c r="Y162" s="58"/>
      <c r="Z162" s="58"/>
      <c r="AA162" s="58"/>
      <c r="AB162" s="58"/>
      <c r="AC162" s="58" t="s">
        <v>51</v>
      </c>
      <c r="AD162" s="58"/>
      <c r="AE162" s="58"/>
      <c r="AF162" s="58"/>
      <c r="AG162" s="58"/>
      <c r="AH162" s="58"/>
      <c r="AI162" s="58"/>
    </row>
    <row r="163" spans="1:35" x14ac:dyDescent="0.35">
      <c r="A163" s="17" t="s">
        <v>46</v>
      </c>
      <c r="B163" s="17" t="s">
        <v>46</v>
      </c>
      <c r="C163" s="28" t="s">
        <v>2088</v>
      </c>
      <c r="D163" s="17" t="s">
        <v>2140</v>
      </c>
      <c r="E163" s="17" t="s">
        <v>2141</v>
      </c>
      <c r="F163" s="20">
        <v>257.05</v>
      </c>
      <c r="G163" s="20">
        <v>122</v>
      </c>
      <c r="H163" s="19">
        <v>571</v>
      </c>
      <c r="I163" s="20">
        <v>291</v>
      </c>
      <c r="J163" s="20">
        <v>280</v>
      </c>
      <c r="K163" s="20">
        <v>279</v>
      </c>
      <c r="L163" s="57">
        <f t="shared" si="4"/>
        <v>0.48861646234676009</v>
      </c>
      <c r="M163" s="20">
        <v>15</v>
      </c>
      <c r="N163" s="57">
        <f t="shared" si="5"/>
        <v>2.6269702276707531E-2</v>
      </c>
      <c r="O163" s="46">
        <v>54.64</v>
      </c>
      <c r="P163" s="46">
        <v>0</v>
      </c>
      <c r="Q163" s="58" t="s">
        <v>51</v>
      </c>
      <c r="R163" s="58">
        <v>2019</v>
      </c>
      <c r="S163" s="58"/>
      <c r="T163" s="58"/>
      <c r="U163" s="58"/>
      <c r="V163" s="58"/>
      <c r="W163" s="58"/>
      <c r="X163" s="58" t="s">
        <v>51</v>
      </c>
      <c r="Y163" s="58"/>
      <c r="Z163" s="58"/>
      <c r="AA163" s="58"/>
      <c r="AB163" s="58"/>
      <c r="AC163" s="58" t="s">
        <v>51</v>
      </c>
      <c r="AD163" s="58"/>
      <c r="AE163" s="58"/>
      <c r="AF163" s="58"/>
      <c r="AG163" s="58"/>
      <c r="AH163" s="58"/>
      <c r="AI163" s="58"/>
    </row>
    <row r="164" spans="1:35" x14ac:dyDescent="0.35">
      <c r="A164" s="17" t="s">
        <v>46</v>
      </c>
      <c r="B164" s="17" t="s">
        <v>46</v>
      </c>
      <c r="C164" s="28" t="s">
        <v>2092</v>
      </c>
      <c r="D164" s="17" t="s">
        <v>2142</v>
      </c>
      <c r="E164" s="17" t="s">
        <v>2143</v>
      </c>
      <c r="F164" s="20">
        <v>133.63</v>
      </c>
      <c r="G164" s="20">
        <v>96</v>
      </c>
      <c r="H164" s="19">
        <v>491</v>
      </c>
      <c r="I164" s="20">
        <v>246</v>
      </c>
      <c r="J164" s="20">
        <v>245</v>
      </c>
      <c r="K164" s="20">
        <v>189</v>
      </c>
      <c r="L164" s="57">
        <f t="shared" si="4"/>
        <v>0.38492871690427699</v>
      </c>
      <c r="M164" s="20">
        <v>0</v>
      </c>
      <c r="N164" s="57">
        <f t="shared" si="5"/>
        <v>0</v>
      </c>
      <c r="O164" s="46">
        <v>13.3</v>
      </c>
      <c r="P164" s="46">
        <v>5.91</v>
      </c>
      <c r="Q164" s="58" t="s">
        <v>51</v>
      </c>
      <c r="R164" s="58">
        <v>2020</v>
      </c>
      <c r="S164" s="58"/>
      <c r="T164" s="58"/>
      <c r="U164" s="58"/>
      <c r="V164" s="58"/>
      <c r="W164" s="58"/>
      <c r="X164" s="58" t="s">
        <v>51</v>
      </c>
      <c r="Y164" s="58"/>
      <c r="Z164" s="58"/>
      <c r="AA164" s="58"/>
      <c r="AB164" s="58"/>
      <c r="AC164" s="58" t="s">
        <v>51</v>
      </c>
      <c r="AD164" s="58"/>
      <c r="AE164" s="58"/>
      <c r="AF164" s="58"/>
      <c r="AG164" s="58"/>
      <c r="AH164" s="58"/>
      <c r="AI164" s="58"/>
    </row>
    <row r="165" spans="1:35" x14ac:dyDescent="0.35">
      <c r="A165" s="17" t="s">
        <v>46</v>
      </c>
      <c r="B165" s="17" t="s">
        <v>46</v>
      </c>
      <c r="C165" s="28" t="s">
        <v>1983</v>
      </c>
      <c r="D165" s="17" t="s">
        <v>2144</v>
      </c>
      <c r="E165" s="17" t="s">
        <v>2145</v>
      </c>
      <c r="F165" s="20">
        <v>307.37</v>
      </c>
      <c r="G165" s="20">
        <v>136</v>
      </c>
      <c r="H165" s="19">
        <v>711</v>
      </c>
      <c r="I165" s="20">
        <v>360</v>
      </c>
      <c r="J165" s="20">
        <v>351</v>
      </c>
      <c r="K165" s="20">
        <v>339</v>
      </c>
      <c r="L165" s="57">
        <f t="shared" si="4"/>
        <v>0.47679324894514769</v>
      </c>
      <c r="M165" s="20">
        <v>6</v>
      </c>
      <c r="N165" s="57">
        <f t="shared" si="5"/>
        <v>8.4388185654008432E-3</v>
      </c>
      <c r="O165" s="46">
        <v>38.35</v>
      </c>
      <c r="P165" s="46">
        <v>0</v>
      </c>
      <c r="Q165" s="58" t="s">
        <v>51</v>
      </c>
      <c r="R165" s="58">
        <v>2019</v>
      </c>
      <c r="S165" s="58"/>
      <c r="T165" s="58"/>
      <c r="U165" s="58"/>
      <c r="V165" s="58"/>
      <c r="W165" s="58"/>
      <c r="X165" s="58" t="s">
        <v>51</v>
      </c>
      <c r="Y165" s="58"/>
      <c r="Z165" s="58"/>
      <c r="AA165" s="58"/>
      <c r="AB165" s="58"/>
      <c r="AC165" s="58" t="s">
        <v>51</v>
      </c>
      <c r="AD165" s="58"/>
      <c r="AE165" s="58"/>
      <c r="AF165" s="58"/>
      <c r="AG165" s="58"/>
      <c r="AH165" s="58"/>
      <c r="AI165" s="58"/>
    </row>
    <row r="166" spans="1:35" x14ac:dyDescent="0.35">
      <c r="A166" s="17" t="s">
        <v>46</v>
      </c>
      <c r="B166" s="17" t="s">
        <v>46</v>
      </c>
      <c r="C166" s="28" t="s">
        <v>1983</v>
      </c>
      <c r="D166" s="17" t="s">
        <v>2146</v>
      </c>
      <c r="E166" s="17" t="s">
        <v>2147</v>
      </c>
      <c r="F166" s="20">
        <v>584.16999999999996</v>
      </c>
      <c r="G166" s="20">
        <v>372</v>
      </c>
      <c r="H166" s="19">
        <v>1626</v>
      </c>
      <c r="I166" s="20">
        <v>831</v>
      </c>
      <c r="J166" s="20">
        <v>795</v>
      </c>
      <c r="K166" s="20">
        <v>326</v>
      </c>
      <c r="L166" s="57">
        <f t="shared" si="4"/>
        <v>0.2004920049200492</v>
      </c>
      <c r="M166" s="20">
        <v>28</v>
      </c>
      <c r="N166" s="57">
        <f t="shared" si="5"/>
        <v>1.7220172201722016E-2</v>
      </c>
      <c r="O166" s="46">
        <v>52.6</v>
      </c>
      <c r="P166" s="46">
        <v>2</v>
      </c>
      <c r="Q166" s="58" t="s">
        <v>51</v>
      </c>
      <c r="R166" s="58">
        <v>2020</v>
      </c>
      <c r="S166" s="58"/>
      <c r="T166" s="58"/>
      <c r="U166" s="58"/>
      <c r="V166" s="58"/>
      <c r="W166" s="58"/>
      <c r="X166" s="58" t="s">
        <v>51</v>
      </c>
      <c r="Y166" s="58"/>
      <c r="Z166" s="58"/>
      <c r="AA166" s="58"/>
      <c r="AB166" s="58"/>
      <c r="AC166" s="58" t="s">
        <v>51</v>
      </c>
      <c r="AD166" s="58"/>
      <c r="AE166" s="58"/>
      <c r="AF166" s="58"/>
      <c r="AG166" s="58"/>
      <c r="AH166" s="58"/>
      <c r="AI166" s="58"/>
    </row>
    <row r="167" spans="1:35" x14ac:dyDescent="0.35">
      <c r="A167" s="17" t="s">
        <v>46</v>
      </c>
      <c r="B167" s="17" t="s">
        <v>46</v>
      </c>
      <c r="C167" s="28" t="s">
        <v>1970</v>
      </c>
      <c r="D167" s="17" t="s">
        <v>432</v>
      </c>
      <c r="E167" s="17" t="s">
        <v>2148</v>
      </c>
      <c r="F167" s="20">
        <v>95.77</v>
      </c>
      <c r="G167" s="20">
        <v>31</v>
      </c>
      <c r="H167" s="19">
        <v>134</v>
      </c>
      <c r="I167" s="20">
        <v>68</v>
      </c>
      <c r="J167" s="20">
        <v>66</v>
      </c>
      <c r="K167" s="20">
        <v>0</v>
      </c>
      <c r="L167" s="57">
        <f t="shared" si="4"/>
        <v>0</v>
      </c>
      <c r="M167" s="20">
        <v>0</v>
      </c>
      <c r="N167" s="57">
        <f t="shared" si="5"/>
        <v>0</v>
      </c>
      <c r="O167" s="46">
        <v>6.8</v>
      </c>
      <c r="P167" s="46">
        <v>0</v>
      </c>
      <c r="Q167" s="58" t="s">
        <v>51</v>
      </c>
      <c r="R167" s="58">
        <v>2020</v>
      </c>
      <c r="S167" s="58"/>
      <c r="T167" s="58"/>
      <c r="U167" s="58"/>
      <c r="V167" s="58"/>
      <c r="W167" s="58"/>
      <c r="X167" s="58" t="s">
        <v>51</v>
      </c>
      <c r="Y167" s="58"/>
      <c r="Z167" s="58"/>
      <c r="AA167" s="58"/>
      <c r="AB167" s="58"/>
      <c r="AC167" s="58" t="s">
        <v>51</v>
      </c>
      <c r="AD167" s="58"/>
      <c r="AE167" s="58"/>
      <c r="AF167" s="58"/>
      <c r="AG167" s="58"/>
      <c r="AH167" s="58"/>
      <c r="AI167" s="58"/>
    </row>
    <row r="168" spans="1:35" x14ac:dyDescent="0.35">
      <c r="A168" s="17" t="s">
        <v>46</v>
      </c>
      <c r="B168" s="17" t="s">
        <v>46</v>
      </c>
      <c r="C168" s="28" t="s">
        <v>1983</v>
      </c>
      <c r="D168" s="17" t="s">
        <v>2149</v>
      </c>
      <c r="E168" s="17" t="s">
        <v>2150</v>
      </c>
      <c r="F168" s="20">
        <v>87.8</v>
      </c>
      <c r="G168" s="20">
        <v>25</v>
      </c>
      <c r="H168" s="19">
        <v>107</v>
      </c>
      <c r="I168" s="20">
        <v>51</v>
      </c>
      <c r="J168" s="20">
        <v>56</v>
      </c>
      <c r="K168" s="20">
        <v>0</v>
      </c>
      <c r="L168" s="57">
        <f t="shared" si="4"/>
        <v>0</v>
      </c>
      <c r="M168" s="20">
        <v>7</v>
      </c>
      <c r="N168" s="57">
        <f t="shared" si="5"/>
        <v>6.5420560747663545E-2</v>
      </c>
      <c r="O168" s="46">
        <v>0</v>
      </c>
      <c r="P168" s="46">
        <v>0</v>
      </c>
      <c r="Q168" s="58" t="s">
        <v>562</v>
      </c>
      <c r="R168" s="58"/>
      <c r="S168" s="58"/>
      <c r="T168" s="58"/>
      <c r="U168" s="58"/>
      <c r="V168" s="58"/>
      <c r="W168" s="58"/>
      <c r="X168" s="58" t="s">
        <v>562</v>
      </c>
      <c r="Y168" s="58"/>
      <c r="Z168" s="58"/>
      <c r="AA168" s="58"/>
      <c r="AB168" s="58"/>
      <c r="AC168" s="58" t="s">
        <v>562</v>
      </c>
      <c r="AD168" s="58"/>
      <c r="AE168" s="58"/>
      <c r="AF168" s="58"/>
      <c r="AG168" s="58"/>
      <c r="AH168" s="58"/>
      <c r="AI168" s="58"/>
    </row>
    <row r="169" spans="1:35" x14ac:dyDescent="0.35">
      <c r="A169" s="17" t="s">
        <v>46</v>
      </c>
      <c r="B169" s="17" t="s">
        <v>46</v>
      </c>
      <c r="C169" s="28" t="s">
        <v>1983</v>
      </c>
      <c r="D169" s="17" t="s">
        <v>2151</v>
      </c>
      <c r="E169" s="17" t="s">
        <v>2152</v>
      </c>
      <c r="F169" s="20">
        <v>221.59</v>
      </c>
      <c r="G169" s="20">
        <v>135</v>
      </c>
      <c r="H169" s="19">
        <v>596</v>
      </c>
      <c r="I169" s="20">
        <v>300</v>
      </c>
      <c r="J169" s="20">
        <v>296</v>
      </c>
      <c r="K169" s="20">
        <v>57</v>
      </c>
      <c r="L169" s="57">
        <f t="shared" si="4"/>
        <v>9.563758389261745E-2</v>
      </c>
      <c r="M169" s="20">
        <v>151</v>
      </c>
      <c r="N169" s="57">
        <f t="shared" si="5"/>
        <v>0.25335570469798657</v>
      </c>
      <c r="O169" s="46">
        <v>32.75</v>
      </c>
      <c r="P169" s="46">
        <v>0</v>
      </c>
      <c r="Q169" s="58" t="s">
        <v>51</v>
      </c>
      <c r="R169" s="58">
        <v>2020</v>
      </c>
      <c r="S169" s="58"/>
      <c r="T169" s="58"/>
      <c r="U169" s="58"/>
      <c r="V169" s="58"/>
      <c r="W169" s="58"/>
      <c r="X169" s="58" t="s">
        <v>51</v>
      </c>
      <c r="Y169" s="58"/>
      <c r="Z169" s="58"/>
      <c r="AA169" s="58"/>
      <c r="AB169" s="58"/>
      <c r="AC169" s="58" t="s">
        <v>51</v>
      </c>
      <c r="AD169" s="58"/>
      <c r="AE169" s="58"/>
      <c r="AF169" s="58"/>
      <c r="AG169" s="58"/>
      <c r="AH169" s="58"/>
      <c r="AI169" s="58"/>
    </row>
    <row r="170" spans="1:35" x14ac:dyDescent="0.35">
      <c r="A170" s="17" t="s">
        <v>46</v>
      </c>
      <c r="B170" s="17" t="s">
        <v>46</v>
      </c>
      <c r="C170" s="28" t="s">
        <v>1983</v>
      </c>
      <c r="D170" s="17" t="s">
        <v>2153</v>
      </c>
      <c r="E170" s="17" t="s">
        <v>2154</v>
      </c>
      <c r="F170" s="20">
        <v>67.44</v>
      </c>
      <c r="G170" s="20">
        <v>63</v>
      </c>
      <c r="H170" s="19">
        <v>321</v>
      </c>
      <c r="I170" s="20">
        <v>179</v>
      </c>
      <c r="J170" s="20">
        <v>142</v>
      </c>
      <c r="K170" s="20">
        <v>1</v>
      </c>
      <c r="L170" s="57">
        <f t="shared" si="4"/>
        <v>3.1152647975077881E-3</v>
      </c>
      <c r="M170" s="20">
        <v>0</v>
      </c>
      <c r="N170" s="57">
        <f t="shared" si="5"/>
        <v>0</v>
      </c>
      <c r="O170" s="46">
        <v>11.45</v>
      </c>
      <c r="P170" s="46">
        <v>0</v>
      </c>
      <c r="Q170" s="58" t="s">
        <v>51</v>
      </c>
      <c r="R170" s="58">
        <v>2020</v>
      </c>
      <c r="S170" s="58"/>
      <c r="T170" s="58"/>
      <c r="U170" s="58"/>
      <c r="V170" s="58"/>
      <c r="W170" s="58"/>
      <c r="X170" s="58" t="s">
        <v>51</v>
      </c>
      <c r="Y170" s="58"/>
      <c r="Z170" s="58"/>
      <c r="AA170" s="58"/>
      <c r="AB170" s="58"/>
      <c r="AC170" s="58" t="s">
        <v>51</v>
      </c>
      <c r="AD170" s="58"/>
      <c r="AE170" s="58"/>
      <c r="AF170" s="58"/>
      <c r="AG170" s="58"/>
      <c r="AH170" s="58"/>
      <c r="AI170" s="58"/>
    </row>
    <row r="171" spans="1:35" x14ac:dyDescent="0.35">
      <c r="A171" s="17" t="s">
        <v>46</v>
      </c>
      <c r="B171" s="17" t="s">
        <v>46</v>
      </c>
      <c r="C171" s="28" t="s">
        <v>1983</v>
      </c>
      <c r="D171" s="17" t="s">
        <v>1063</v>
      </c>
      <c r="E171" s="17" t="s">
        <v>2155</v>
      </c>
      <c r="F171" s="20">
        <v>154.47</v>
      </c>
      <c r="G171" s="20">
        <v>169</v>
      </c>
      <c r="H171" s="19">
        <v>765</v>
      </c>
      <c r="I171" s="20">
        <v>393</v>
      </c>
      <c r="J171" s="20">
        <v>372</v>
      </c>
      <c r="K171" s="20">
        <v>227</v>
      </c>
      <c r="L171" s="57">
        <f t="shared" si="4"/>
        <v>0.29673202614379085</v>
      </c>
      <c r="M171" s="20">
        <v>30</v>
      </c>
      <c r="N171" s="57">
        <f t="shared" si="5"/>
        <v>3.9215686274509803E-2</v>
      </c>
      <c r="O171" s="46">
        <v>22.5</v>
      </c>
      <c r="P171" s="46">
        <v>0</v>
      </c>
      <c r="Q171" s="58" t="s">
        <v>51</v>
      </c>
      <c r="R171" s="58">
        <v>2019</v>
      </c>
      <c r="S171" s="58"/>
      <c r="T171" s="58"/>
      <c r="U171" s="58"/>
      <c r="V171" s="58"/>
      <c r="W171" s="58"/>
      <c r="X171" s="58" t="s">
        <v>51</v>
      </c>
      <c r="Y171" s="58"/>
      <c r="Z171" s="58"/>
      <c r="AA171" s="58"/>
      <c r="AB171" s="58"/>
      <c r="AC171" s="58" t="s">
        <v>51</v>
      </c>
      <c r="AD171" s="58"/>
      <c r="AE171" s="58"/>
      <c r="AF171" s="58"/>
      <c r="AG171" s="58"/>
      <c r="AH171" s="58"/>
      <c r="AI171" s="58"/>
    </row>
    <row r="172" spans="1:35" x14ac:dyDescent="0.35">
      <c r="A172" s="17" t="s">
        <v>46</v>
      </c>
      <c r="B172" s="17" t="s">
        <v>46</v>
      </c>
      <c r="C172" s="28" t="s">
        <v>2080</v>
      </c>
      <c r="D172" s="17" t="s">
        <v>2156</v>
      </c>
      <c r="E172" s="17" t="s">
        <v>2157</v>
      </c>
      <c r="F172" s="20">
        <v>490.72</v>
      </c>
      <c r="G172" s="20">
        <v>177</v>
      </c>
      <c r="H172" s="19">
        <v>825</v>
      </c>
      <c r="I172" s="20">
        <v>419</v>
      </c>
      <c r="J172" s="20">
        <v>406</v>
      </c>
      <c r="K172" s="20">
        <v>123</v>
      </c>
      <c r="L172" s="57">
        <f t="shared" si="4"/>
        <v>0.14909090909090908</v>
      </c>
      <c r="M172" s="20">
        <v>654</v>
      </c>
      <c r="N172" s="57">
        <f t="shared" si="5"/>
        <v>0.79272727272727272</v>
      </c>
      <c r="O172" s="46">
        <v>17.88</v>
      </c>
      <c r="P172" s="46">
        <v>0</v>
      </c>
      <c r="Q172" s="58" t="s">
        <v>51</v>
      </c>
      <c r="R172" s="58">
        <v>2019</v>
      </c>
      <c r="S172" s="58"/>
      <c r="T172" s="58"/>
      <c r="U172" s="58"/>
      <c r="V172" s="58"/>
      <c r="W172" s="58"/>
      <c r="X172" s="58" t="s">
        <v>51</v>
      </c>
      <c r="Y172" s="58"/>
      <c r="Z172" s="58"/>
      <c r="AA172" s="58"/>
      <c r="AB172" s="58"/>
      <c r="AC172" s="58" t="s">
        <v>51</v>
      </c>
      <c r="AD172" s="58"/>
      <c r="AE172" s="58"/>
      <c r="AF172" s="58"/>
      <c r="AG172" s="58"/>
      <c r="AH172" s="58"/>
      <c r="AI172" s="58"/>
    </row>
    <row r="173" spans="1:35" x14ac:dyDescent="0.35">
      <c r="A173" s="17" t="s">
        <v>46</v>
      </c>
      <c r="B173" s="17" t="s">
        <v>46</v>
      </c>
      <c r="C173" s="28" t="s">
        <v>2158</v>
      </c>
      <c r="D173" s="17" t="s">
        <v>2159</v>
      </c>
      <c r="E173" s="17" t="s">
        <v>2160</v>
      </c>
      <c r="F173" s="20">
        <v>467.63</v>
      </c>
      <c r="G173" s="20">
        <v>223</v>
      </c>
      <c r="H173" s="19">
        <v>959</v>
      </c>
      <c r="I173" s="20">
        <v>471</v>
      </c>
      <c r="J173" s="20">
        <v>488</v>
      </c>
      <c r="K173" s="20">
        <v>236</v>
      </c>
      <c r="L173" s="57">
        <f t="shared" si="4"/>
        <v>0.24608967674661106</v>
      </c>
      <c r="M173" s="20">
        <v>300</v>
      </c>
      <c r="N173" s="57">
        <f t="shared" si="5"/>
        <v>0.31282586027111575</v>
      </c>
      <c r="O173" s="46">
        <v>42.89</v>
      </c>
      <c r="P173" s="46">
        <v>0</v>
      </c>
      <c r="Q173" s="58" t="s">
        <v>51</v>
      </c>
      <c r="R173" s="58">
        <v>2020</v>
      </c>
      <c r="S173" s="58"/>
      <c r="T173" s="58"/>
      <c r="U173" s="58"/>
      <c r="V173" s="58"/>
      <c r="W173" s="58"/>
      <c r="X173" s="58" t="s">
        <v>51</v>
      </c>
      <c r="Y173" s="58"/>
      <c r="Z173" s="58"/>
      <c r="AA173" s="58"/>
      <c r="AB173" s="58"/>
      <c r="AC173" s="58" t="s">
        <v>51</v>
      </c>
      <c r="AD173" s="58"/>
      <c r="AE173" s="58"/>
      <c r="AF173" s="58"/>
      <c r="AG173" s="58"/>
      <c r="AH173" s="58"/>
      <c r="AI173" s="58"/>
    </row>
    <row r="174" spans="1:35" x14ac:dyDescent="0.35">
      <c r="A174" s="17" t="s">
        <v>46</v>
      </c>
      <c r="B174" s="17" t="s">
        <v>46</v>
      </c>
      <c r="C174" s="28" t="s">
        <v>2161</v>
      </c>
      <c r="D174" s="17" t="s">
        <v>1640</v>
      </c>
      <c r="E174" s="17" t="s">
        <v>2162</v>
      </c>
      <c r="F174" s="20">
        <v>282.63</v>
      </c>
      <c r="G174" s="20">
        <v>167</v>
      </c>
      <c r="H174" s="19">
        <v>701</v>
      </c>
      <c r="I174" s="20">
        <v>350</v>
      </c>
      <c r="J174" s="20">
        <v>351</v>
      </c>
      <c r="K174" s="20">
        <v>0</v>
      </c>
      <c r="L174" s="57">
        <f t="shared" si="4"/>
        <v>0</v>
      </c>
      <c r="M174" s="20">
        <v>15</v>
      </c>
      <c r="N174" s="57">
        <f t="shared" si="5"/>
        <v>2.1398002853067047E-2</v>
      </c>
      <c r="O174" s="46">
        <v>13.07</v>
      </c>
      <c r="P174" s="46">
        <v>29.4</v>
      </c>
      <c r="Q174" s="58" t="s">
        <v>51</v>
      </c>
      <c r="R174" s="58">
        <v>2019</v>
      </c>
      <c r="S174" s="58"/>
      <c r="T174" s="58"/>
      <c r="U174" s="58"/>
      <c r="V174" s="58"/>
      <c r="W174" s="58"/>
      <c r="X174" s="58" t="s">
        <v>51</v>
      </c>
      <c r="Y174" s="58"/>
      <c r="Z174" s="58"/>
      <c r="AA174" s="58"/>
      <c r="AB174" s="58"/>
      <c r="AC174" s="58" t="s">
        <v>51</v>
      </c>
      <c r="AD174" s="58"/>
      <c r="AE174" s="58"/>
      <c r="AF174" s="58"/>
      <c r="AG174" s="58"/>
      <c r="AH174" s="58"/>
      <c r="AI174" s="58"/>
    </row>
    <row r="175" spans="1:35" x14ac:dyDescent="0.35">
      <c r="A175" s="17" t="s">
        <v>46</v>
      </c>
      <c r="B175" s="17" t="s">
        <v>46</v>
      </c>
      <c r="C175" s="28" t="s">
        <v>2161</v>
      </c>
      <c r="D175" s="17" t="s">
        <v>2163</v>
      </c>
      <c r="E175" s="17" t="s">
        <v>2164</v>
      </c>
      <c r="F175" s="20">
        <v>103.76</v>
      </c>
      <c r="G175" s="20">
        <v>83</v>
      </c>
      <c r="H175" s="19">
        <v>420</v>
      </c>
      <c r="I175" s="20">
        <v>206</v>
      </c>
      <c r="J175" s="20">
        <v>214</v>
      </c>
      <c r="K175" s="20">
        <v>0</v>
      </c>
      <c r="L175" s="57">
        <f t="shared" si="4"/>
        <v>0</v>
      </c>
      <c r="M175" s="20">
        <v>44</v>
      </c>
      <c r="N175" s="57">
        <f t="shared" si="5"/>
        <v>0.10476190476190476</v>
      </c>
      <c r="O175" s="46">
        <v>3.96</v>
      </c>
      <c r="P175" s="46">
        <v>0</v>
      </c>
      <c r="Q175" s="58" t="s">
        <v>51</v>
      </c>
      <c r="R175" s="58">
        <v>2019</v>
      </c>
      <c r="S175" s="58"/>
      <c r="T175" s="58"/>
      <c r="U175" s="58"/>
      <c r="V175" s="58"/>
      <c r="W175" s="58"/>
      <c r="X175" s="58" t="s">
        <v>51</v>
      </c>
      <c r="Y175" s="58"/>
      <c r="Z175" s="58"/>
      <c r="AA175" s="58"/>
      <c r="AB175" s="58"/>
      <c r="AC175" s="58" t="s">
        <v>51</v>
      </c>
      <c r="AD175" s="58"/>
      <c r="AE175" s="58"/>
      <c r="AF175" s="58"/>
      <c r="AG175" s="58"/>
      <c r="AH175" s="58"/>
      <c r="AI175" s="58"/>
    </row>
    <row r="176" spans="1:35" x14ac:dyDescent="0.35">
      <c r="A176" s="17" t="s">
        <v>46</v>
      </c>
      <c r="B176" s="17" t="s">
        <v>46</v>
      </c>
      <c r="C176" s="28" t="s">
        <v>2161</v>
      </c>
      <c r="D176" s="17" t="s">
        <v>2165</v>
      </c>
      <c r="E176" s="17" t="s">
        <v>2166</v>
      </c>
      <c r="F176" s="20">
        <v>117.9</v>
      </c>
      <c r="G176" s="20">
        <v>36</v>
      </c>
      <c r="H176" s="19">
        <v>205</v>
      </c>
      <c r="I176" s="20">
        <v>107</v>
      </c>
      <c r="J176" s="20">
        <v>98</v>
      </c>
      <c r="K176" s="20">
        <v>0</v>
      </c>
      <c r="L176" s="57">
        <f t="shared" si="4"/>
        <v>0</v>
      </c>
      <c r="M176" s="20">
        <v>26</v>
      </c>
      <c r="N176" s="57">
        <f t="shared" si="5"/>
        <v>0.12682926829268293</v>
      </c>
      <c r="O176" s="46">
        <v>8.18</v>
      </c>
      <c r="P176" s="46">
        <v>0</v>
      </c>
      <c r="Q176" s="58" t="s">
        <v>51</v>
      </c>
      <c r="R176" s="58">
        <v>2019</v>
      </c>
      <c r="S176" s="58"/>
      <c r="T176" s="58"/>
      <c r="U176" s="58"/>
      <c r="V176" s="58"/>
      <c r="W176" s="58"/>
      <c r="X176" s="58" t="s">
        <v>51</v>
      </c>
      <c r="Y176" s="58"/>
      <c r="Z176" s="58"/>
      <c r="AA176" s="58"/>
      <c r="AB176" s="58"/>
      <c r="AC176" s="58" t="s">
        <v>51</v>
      </c>
      <c r="AD176" s="58"/>
      <c r="AE176" s="58"/>
      <c r="AF176" s="58"/>
      <c r="AG176" s="58"/>
      <c r="AH176" s="58"/>
      <c r="AI176" s="58"/>
    </row>
    <row r="177" spans="1:35" x14ac:dyDescent="0.35">
      <c r="A177" s="17" t="s">
        <v>46</v>
      </c>
      <c r="B177" s="17" t="s">
        <v>46</v>
      </c>
      <c r="C177" s="28" t="s">
        <v>2035</v>
      </c>
      <c r="D177" s="17" t="s">
        <v>2167</v>
      </c>
      <c r="E177" s="17" t="s">
        <v>2168</v>
      </c>
      <c r="F177" s="20">
        <v>285.89</v>
      </c>
      <c r="G177" s="20">
        <v>110</v>
      </c>
      <c r="H177" s="19">
        <v>529</v>
      </c>
      <c r="I177" s="20">
        <v>266</v>
      </c>
      <c r="J177" s="20">
        <v>263</v>
      </c>
      <c r="K177" s="20">
        <v>81</v>
      </c>
      <c r="L177" s="57">
        <f t="shared" si="4"/>
        <v>0.15311909262759923</v>
      </c>
      <c r="M177" s="20">
        <v>230</v>
      </c>
      <c r="N177" s="57">
        <f t="shared" si="5"/>
        <v>0.43478260869565216</v>
      </c>
      <c r="O177" s="46">
        <v>43.05</v>
      </c>
      <c r="P177" s="46">
        <v>0</v>
      </c>
      <c r="Q177" s="58" t="s">
        <v>51</v>
      </c>
      <c r="R177" s="58">
        <v>2020</v>
      </c>
      <c r="S177" s="58"/>
      <c r="T177" s="58"/>
      <c r="U177" s="58"/>
      <c r="V177" s="58"/>
      <c r="W177" s="58"/>
      <c r="X177" s="58" t="s">
        <v>51</v>
      </c>
      <c r="Y177" s="58"/>
      <c r="Z177" s="58"/>
      <c r="AA177" s="58"/>
      <c r="AB177" s="58"/>
      <c r="AC177" s="58" t="s">
        <v>51</v>
      </c>
      <c r="AD177" s="58"/>
      <c r="AE177" s="58"/>
      <c r="AF177" s="58"/>
      <c r="AG177" s="58"/>
      <c r="AH177" s="58"/>
      <c r="AI177" s="58"/>
    </row>
    <row r="178" spans="1:35" x14ac:dyDescent="0.35">
      <c r="A178" s="17" t="s">
        <v>46</v>
      </c>
      <c r="B178" s="17" t="s">
        <v>46</v>
      </c>
      <c r="C178" s="28" t="s">
        <v>2161</v>
      </c>
      <c r="D178" s="17" t="s">
        <v>2169</v>
      </c>
      <c r="E178" s="17" t="s">
        <v>2170</v>
      </c>
      <c r="F178" s="20">
        <v>308.5</v>
      </c>
      <c r="G178" s="20">
        <v>153</v>
      </c>
      <c r="H178" s="19">
        <v>732</v>
      </c>
      <c r="I178" s="20">
        <v>379</v>
      </c>
      <c r="J178" s="20">
        <v>353</v>
      </c>
      <c r="K178" s="20">
        <v>120</v>
      </c>
      <c r="L178" s="57">
        <f t="shared" si="4"/>
        <v>0.16393442622950818</v>
      </c>
      <c r="M178" s="20">
        <v>3</v>
      </c>
      <c r="N178" s="57">
        <f t="shared" si="5"/>
        <v>4.0983606557377051E-3</v>
      </c>
      <c r="O178" s="46">
        <v>20.48</v>
      </c>
      <c r="P178" s="46">
        <v>0</v>
      </c>
      <c r="Q178" s="58" t="s">
        <v>51</v>
      </c>
      <c r="R178" s="58">
        <v>2019</v>
      </c>
      <c r="S178" s="58"/>
      <c r="T178" s="58"/>
      <c r="U178" s="58"/>
      <c r="V178" s="58"/>
      <c r="W178" s="58"/>
      <c r="X178" s="58" t="s">
        <v>51</v>
      </c>
      <c r="Y178" s="58"/>
      <c r="Z178" s="58"/>
      <c r="AA178" s="58"/>
      <c r="AB178" s="58"/>
      <c r="AC178" s="58" t="s">
        <v>51</v>
      </c>
      <c r="AD178" s="58"/>
      <c r="AE178" s="58"/>
      <c r="AF178" s="58"/>
      <c r="AG178" s="58"/>
      <c r="AH178" s="58"/>
      <c r="AI178" s="58"/>
    </row>
    <row r="179" spans="1:35" x14ac:dyDescent="0.35">
      <c r="A179" s="17" t="s">
        <v>46</v>
      </c>
      <c r="B179" s="17" t="s">
        <v>46</v>
      </c>
      <c r="C179" s="28" t="s">
        <v>2161</v>
      </c>
      <c r="D179" s="17" t="s">
        <v>1174</v>
      </c>
      <c r="E179" s="17" t="s">
        <v>2171</v>
      </c>
      <c r="F179" s="20">
        <v>121.47</v>
      </c>
      <c r="G179" s="20">
        <v>49</v>
      </c>
      <c r="H179" s="19">
        <v>272</v>
      </c>
      <c r="I179" s="20">
        <v>143</v>
      </c>
      <c r="J179" s="20">
        <v>129</v>
      </c>
      <c r="K179" s="20">
        <v>225</v>
      </c>
      <c r="L179" s="57">
        <f t="shared" si="4"/>
        <v>0.82720588235294112</v>
      </c>
      <c r="M179" s="20">
        <v>0</v>
      </c>
      <c r="N179" s="57">
        <f t="shared" si="5"/>
        <v>0</v>
      </c>
      <c r="O179" s="46">
        <v>3.1</v>
      </c>
      <c r="P179" s="46">
        <v>0</v>
      </c>
      <c r="Q179" s="58" t="s">
        <v>51</v>
      </c>
      <c r="R179" s="58">
        <v>2020</v>
      </c>
      <c r="S179" s="58"/>
      <c r="T179" s="58"/>
      <c r="U179" s="58"/>
      <c r="V179" s="58"/>
      <c r="W179" s="58"/>
      <c r="X179" s="58" t="s">
        <v>51</v>
      </c>
      <c r="Y179" s="58"/>
      <c r="Z179" s="58"/>
      <c r="AA179" s="58"/>
      <c r="AB179" s="58"/>
      <c r="AC179" s="58" t="s">
        <v>51</v>
      </c>
      <c r="AD179" s="58"/>
      <c r="AE179" s="58"/>
      <c r="AF179" s="58"/>
      <c r="AG179" s="58"/>
      <c r="AH179" s="58"/>
      <c r="AI179" s="58"/>
    </row>
    <row r="180" spans="1:35" x14ac:dyDescent="0.35">
      <c r="A180" s="17" t="s">
        <v>46</v>
      </c>
      <c r="B180" s="17" t="s">
        <v>46</v>
      </c>
      <c r="C180" s="28" t="s">
        <v>2161</v>
      </c>
      <c r="D180" s="17" t="s">
        <v>2172</v>
      </c>
      <c r="E180" s="17" t="s">
        <v>2173</v>
      </c>
      <c r="F180" s="20">
        <v>249.38</v>
      </c>
      <c r="G180" s="20">
        <v>76</v>
      </c>
      <c r="H180" s="19">
        <v>384</v>
      </c>
      <c r="I180" s="20">
        <v>192</v>
      </c>
      <c r="J180" s="20">
        <v>192</v>
      </c>
      <c r="K180" s="20">
        <v>56</v>
      </c>
      <c r="L180" s="57">
        <f t="shared" si="4"/>
        <v>0.14583333333333334</v>
      </c>
      <c r="M180" s="20">
        <v>0</v>
      </c>
      <c r="N180" s="57">
        <f t="shared" si="5"/>
        <v>0</v>
      </c>
      <c r="O180" s="46">
        <v>14.44</v>
      </c>
      <c r="P180" s="46">
        <v>0</v>
      </c>
      <c r="Q180" s="58" t="s">
        <v>51</v>
      </c>
      <c r="R180" s="58">
        <v>2019</v>
      </c>
      <c r="S180" s="58"/>
      <c r="T180" s="58"/>
      <c r="U180" s="58"/>
      <c r="V180" s="58"/>
      <c r="W180" s="58"/>
      <c r="X180" s="58" t="s">
        <v>51</v>
      </c>
      <c r="Y180" s="58"/>
      <c r="Z180" s="58"/>
      <c r="AA180" s="58"/>
      <c r="AB180" s="58"/>
      <c r="AC180" s="58" t="s">
        <v>51</v>
      </c>
      <c r="AD180" s="58"/>
      <c r="AE180" s="58"/>
      <c r="AF180" s="58"/>
      <c r="AG180" s="58"/>
      <c r="AH180" s="58"/>
      <c r="AI180" s="58"/>
    </row>
    <row r="181" spans="1:35" x14ac:dyDescent="0.35">
      <c r="A181" s="17" t="s">
        <v>46</v>
      </c>
      <c r="B181" s="17" t="s">
        <v>46</v>
      </c>
      <c r="C181" s="28" t="s">
        <v>2161</v>
      </c>
      <c r="D181" s="17" t="s">
        <v>2174</v>
      </c>
      <c r="E181" s="17" t="s">
        <v>2175</v>
      </c>
      <c r="F181" s="20">
        <v>148.72999999999999</v>
      </c>
      <c r="G181" s="20">
        <v>38</v>
      </c>
      <c r="H181" s="19">
        <v>183</v>
      </c>
      <c r="I181" s="20">
        <v>91</v>
      </c>
      <c r="J181" s="20">
        <v>92</v>
      </c>
      <c r="K181" s="20">
        <v>13</v>
      </c>
      <c r="L181" s="57">
        <f t="shared" si="4"/>
        <v>7.1038251366120214E-2</v>
      </c>
      <c r="M181" s="20">
        <v>1</v>
      </c>
      <c r="N181" s="57">
        <f t="shared" si="5"/>
        <v>5.4644808743169399E-3</v>
      </c>
      <c r="O181" s="46">
        <v>11.68</v>
      </c>
      <c r="P181" s="46">
        <v>0</v>
      </c>
      <c r="Q181" s="58" t="s">
        <v>51</v>
      </c>
      <c r="R181" s="58">
        <v>2020</v>
      </c>
      <c r="S181" s="58"/>
      <c r="T181" s="58"/>
      <c r="U181" s="58"/>
      <c r="V181" s="58"/>
      <c r="W181" s="58"/>
      <c r="X181" s="58" t="s">
        <v>51</v>
      </c>
      <c r="Y181" s="58"/>
      <c r="Z181" s="58"/>
      <c r="AA181" s="58"/>
      <c r="AB181" s="58"/>
      <c r="AC181" s="58" t="s">
        <v>51</v>
      </c>
      <c r="AD181" s="58"/>
      <c r="AE181" s="58"/>
      <c r="AF181" s="58"/>
      <c r="AG181" s="58"/>
      <c r="AH181" s="58"/>
      <c r="AI181" s="58"/>
    </row>
    <row r="182" spans="1:35" x14ac:dyDescent="0.35">
      <c r="A182" s="17" t="s">
        <v>46</v>
      </c>
      <c r="B182" s="17" t="s">
        <v>46</v>
      </c>
      <c r="C182" s="28" t="s">
        <v>2161</v>
      </c>
      <c r="D182" s="17" t="s">
        <v>2176</v>
      </c>
      <c r="E182" s="17" t="s">
        <v>2177</v>
      </c>
      <c r="F182" s="20">
        <v>88.46</v>
      </c>
      <c r="G182" s="20">
        <v>172</v>
      </c>
      <c r="H182" s="19">
        <v>859</v>
      </c>
      <c r="I182" s="20">
        <v>442</v>
      </c>
      <c r="J182" s="20">
        <v>417</v>
      </c>
      <c r="K182" s="20">
        <v>149</v>
      </c>
      <c r="L182" s="57">
        <f t="shared" si="4"/>
        <v>0.17345750873108265</v>
      </c>
      <c r="M182" s="20">
        <v>59</v>
      </c>
      <c r="N182" s="57">
        <f t="shared" si="5"/>
        <v>6.8684516880093138E-2</v>
      </c>
      <c r="O182" s="46">
        <v>22.36</v>
      </c>
      <c r="P182" s="46">
        <v>0</v>
      </c>
      <c r="Q182" s="58" t="s">
        <v>51</v>
      </c>
      <c r="R182" s="58">
        <v>2020</v>
      </c>
      <c r="S182" s="58"/>
      <c r="T182" s="58"/>
      <c r="U182" s="58"/>
      <c r="V182" s="58"/>
      <c r="W182" s="58"/>
      <c r="X182" s="58" t="s">
        <v>51</v>
      </c>
      <c r="Y182" s="58"/>
      <c r="Z182" s="58"/>
      <c r="AA182" s="58"/>
      <c r="AB182" s="58"/>
      <c r="AC182" s="58" t="s">
        <v>51</v>
      </c>
      <c r="AD182" s="58"/>
      <c r="AE182" s="58"/>
      <c r="AF182" s="58"/>
      <c r="AG182" s="58"/>
      <c r="AH182" s="58"/>
      <c r="AI182" s="58"/>
    </row>
    <row r="183" spans="1:35" x14ac:dyDescent="0.35">
      <c r="A183" s="17" t="s">
        <v>46</v>
      </c>
      <c r="B183" s="17" t="s">
        <v>46</v>
      </c>
      <c r="C183" s="28" t="s">
        <v>2161</v>
      </c>
      <c r="D183" s="17" t="s">
        <v>2178</v>
      </c>
      <c r="E183" s="17" t="s">
        <v>2179</v>
      </c>
      <c r="F183" s="20">
        <v>406.13</v>
      </c>
      <c r="G183" s="20">
        <v>178</v>
      </c>
      <c r="H183" s="19">
        <v>864</v>
      </c>
      <c r="I183" s="20">
        <v>422</v>
      </c>
      <c r="J183" s="20">
        <v>442</v>
      </c>
      <c r="K183" s="20">
        <v>133</v>
      </c>
      <c r="L183" s="57">
        <f t="shared" si="4"/>
        <v>0.15393518518518517</v>
      </c>
      <c r="M183" s="20">
        <v>0</v>
      </c>
      <c r="N183" s="57">
        <f t="shared" si="5"/>
        <v>0</v>
      </c>
      <c r="O183" s="46">
        <v>50.86</v>
      </c>
      <c r="P183" s="46">
        <v>0</v>
      </c>
      <c r="Q183" s="58" t="s">
        <v>51</v>
      </c>
      <c r="R183" s="58">
        <v>2020</v>
      </c>
      <c r="S183" s="58"/>
      <c r="T183" s="58"/>
      <c r="U183" s="58"/>
      <c r="V183" s="58"/>
      <c r="W183" s="58"/>
      <c r="X183" s="58" t="s">
        <v>51</v>
      </c>
      <c r="Y183" s="58"/>
      <c r="Z183" s="58"/>
      <c r="AA183" s="58"/>
      <c r="AB183" s="58"/>
      <c r="AC183" s="58" t="s">
        <v>51</v>
      </c>
      <c r="AD183" s="58"/>
      <c r="AE183" s="58"/>
      <c r="AF183" s="58"/>
      <c r="AG183" s="58"/>
      <c r="AH183" s="58"/>
      <c r="AI183" s="58"/>
    </row>
    <row r="184" spans="1:35" x14ac:dyDescent="0.35">
      <c r="A184" s="17" t="s">
        <v>46</v>
      </c>
      <c r="B184" s="17" t="s">
        <v>46</v>
      </c>
      <c r="C184" s="28" t="s">
        <v>2158</v>
      </c>
      <c r="D184" s="17" t="s">
        <v>662</v>
      </c>
      <c r="E184" s="17" t="s">
        <v>2180</v>
      </c>
      <c r="F184" s="20">
        <v>230.1</v>
      </c>
      <c r="G184" s="20">
        <v>190</v>
      </c>
      <c r="H184" s="19">
        <v>787</v>
      </c>
      <c r="I184" s="20">
        <v>421</v>
      </c>
      <c r="J184" s="20">
        <v>366</v>
      </c>
      <c r="K184" s="20">
        <v>91</v>
      </c>
      <c r="L184" s="57">
        <f t="shared" si="4"/>
        <v>0.1156289707750953</v>
      </c>
      <c r="M184" s="20">
        <v>107</v>
      </c>
      <c r="N184" s="57">
        <f t="shared" si="5"/>
        <v>0.13595933926302414</v>
      </c>
      <c r="O184" s="46">
        <v>1.02</v>
      </c>
      <c r="P184" s="46">
        <v>0</v>
      </c>
      <c r="Q184" s="58" t="s">
        <v>51</v>
      </c>
      <c r="R184" s="58">
        <v>2020</v>
      </c>
      <c r="S184" s="58"/>
      <c r="T184" s="58"/>
      <c r="U184" s="58"/>
      <c r="V184" s="58"/>
      <c r="W184" s="58"/>
      <c r="X184" s="58" t="s">
        <v>51</v>
      </c>
      <c r="Y184" s="58"/>
      <c r="Z184" s="58"/>
      <c r="AA184" s="58"/>
      <c r="AB184" s="58"/>
      <c r="AC184" s="58" t="s">
        <v>51</v>
      </c>
      <c r="AD184" s="58"/>
      <c r="AE184" s="58"/>
      <c r="AF184" s="58"/>
      <c r="AG184" s="58"/>
      <c r="AH184" s="58"/>
      <c r="AI184" s="58"/>
    </row>
    <row r="185" spans="1:35" x14ac:dyDescent="0.35">
      <c r="A185" s="17" t="s">
        <v>46</v>
      </c>
      <c r="B185" s="17" t="s">
        <v>46</v>
      </c>
      <c r="C185" s="28" t="s">
        <v>2158</v>
      </c>
      <c r="D185" s="17" t="s">
        <v>805</v>
      </c>
      <c r="E185" s="17" t="s">
        <v>2181</v>
      </c>
      <c r="F185" s="20">
        <v>185.09</v>
      </c>
      <c r="G185" s="20">
        <v>81</v>
      </c>
      <c r="H185" s="19">
        <v>398</v>
      </c>
      <c r="I185" s="20">
        <v>189</v>
      </c>
      <c r="J185" s="20">
        <v>209</v>
      </c>
      <c r="K185" s="20">
        <v>34</v>
      </c>
      <c r="L185" s="57">
        <f t="shared" si="4"/>
        <v>8.5427135678391955E-2</v>
      </c>
      <c r="M185" s="20">
        <v>79</v>
      </c>
      <c r="N185" s="57">
        <f t="shared" si="5"/>
        <v>0.19849246231155779</v>
      </c>
      <c r="O185" s="46">
        <v>15.69</v>
      </c>
      <c r="P185" s="46">
        <v>0</v>
      </c>
      <c r="Q185" s="58" t="s">
        <v>562</v>
      </c>
      <c r="R185" s="58"/>
      <c r="S185" s="58"/>
      <c r="T185" s="58"/>
      <c r="U185" s="58"/>
      <c r="V185" s="58"/>
      <c r="W185" s="58"/>
      <c r="X185" s="58" t="s">
        <v>562</v>
      </c>
      <c r="Y185" s="58"/>
      <c r="Z185" s="58"/>
      <c r="AA185" s="58"/>
      <c r="AB185" s="58"/>
      <c r="AC185" s="58" t="s">
        <v>562</v>
      </c>
      <c r="AD185" s="58"/>
      <c r="AE185" s="58"/>
      <c r="AF185" s="58"/>
      <c r="AG185" s="58"/>
      <c r="AH185" s="58"/>
      <c r="AI185" s="58"/>
    </row>
    <row r="186" spans="1:35" x14ac:dyDescent="0.35">
      <c r="A186" s="17" t="s">
        <v>46</v>
      </c>
      <c r="B186" s="17" t="s">
        <v>46</v>
      </c>
      <c r="C186" s="28" t="s">
        <v>2158</v>
      </c>
      <c r="D186" s="17" t="s">
        <v>180</v>
      </c>
      <c r="E186" s="17" t="s">
        <v>2182</v>
      </c>
      <c r="F186" s="20">
        <v>168.96</v>
      </c>
      <c r="G186" s="20">
        <v>680</v>
      </c>
      <c r="H186" s="19">
        <v>3035</v>
      </c>
      <c r="I186" s="20">
        <v>1528</v>
      </c>
      <c r="J186" s="20">
        <v>1507</v>
      </c>
      <c r="K186" s="20">
        <v>439</v>
      </c>
      <c r="L186" s="57">
        <f t="shared" si="4"/>
        <v>0.14464579901153213</v>
      </c>
      <c r="M186" s="20">
        <v>128</v>
      </c>
      <c r="N186" s="57">
        <f t="shared" si="5"/>
        <v>4.217462932454695E-2</v>
      </c>
      <c r="O186" s="46">
        <v>0</v>
      </c>
      <c r="P186" s="46">
        <v>0</v>
      </c>
      <c r="Q186" s="58" t="s">
        <v>51</v>
      </c>
      <c r="R186" s="58">
        <v>2020</v>
      </c>
      <c r="S186" s="58"/>
      <c r="T186" s="58"/>
      <c r="U186" s="58"/>
      <c r="V186" s="58"/>
      <c r="W186" s="58"/>
      <c r="X186" s="58" t="s">
        <v>51</v>
      </c>
      <c r="Y186" s="58"/>
      <c r="Z186" s="58"/>
      <c r="AA186" s="58"/>
      <c r="AB186" s="58"/>
      <c r="AC186" s="58" t="s">
        <v>51</v>
      </c>
      <c r="AD186" s="58"/>
      <c r="AE186" s="58"/>
      <c r="AF186" s="58"/>
      <c r="AG186" s="58"/>
      <c r="AH186" s="58"/>
      <c r="AI186" s="58"/>
    </row>
    <row r="187" spans="1:35" x14ac:dyDescent="0.35">
      <c r="A187" s="17" t="s">
        <v>46</v>
      </c>
      <c r="B187" s="17" t="s">
        <v>46</v>
      </c>
      <c r="C187" s="28" t="s">
        <v>2183</v>
      </c>
      <c r="D187" s="17" t="s">
        <v>2184</v>
      </c>
      <c r="E187" s="17" t="s">
        <v>2185</v>
      </c>
      <c r="F187" s="20">
        <v>766.88</v>
      </c>
      <c r="G187" s="20">
        <v>570</v>
      </c>
      <c r="H187" s="19">
        <v>2873</v>
      </c>
      <c r="I187" s="20">
        <v>1494</v>
      </c>
      <c r="J187" s="20">
        <v>1379</v>
      </c>
      <c r="K187" s="20">
        <v>639</v>
      </c>
      <c r="L187" s="57">
        <f t="shared" si="4"/>
        <v>0.22241559345631745</v>
      </c>
      <c r="M187" s="20">
        <v>212</v>
      </c>
      <c r="N187" s="57">
        <f t="shared" si="5"/>
        <v>7.3790462930734421E-2</v>
      </c>
      <c r="O187" s="46">
        <v>36.409999999999997</v>
      </c>
      <c r="P187" s="46">
        <v>0</v>
      </c>
      <c r="Q187" s="58" t="s">
        <v>51</v>
      </c>
      <c r="R187" s="58">
        <v>2020</v>
      </c>
      <c r="S187" s="58"/>
      <c r="T187" s="58"/>
      <c r="U187" s="58"/>
      <c r="V187" s="58"/>
      <c r="W187" s="58"/>
      <c r="X187" s="58" t="s">
        <v>51</v>
      </c>
      <c r="Y187" s="58"/>
      <c r="Z187" s="58"/>
      <c r="AA187" s="58"/>
      <c r="AB187" s="58"/>
      <c r="AC187" s="58" t="s">
        <v>51</v>
      </c>
      <c r="AD187" s="58"/>
      <c r="AE187" s="58"/>
      <c r="AF187" s="58"/>
      <c r="AG187" s="58"/>
      <c r="AH187" s="58"/>
      <c r="AI187" s="58"/>
    </row>
    <row r="188" spans="1:35" x14ac:dyDescent="0.35">
      <c r="A188" s="17" t="s">
        <v>46</v>
      </c>
      <c r="B188" s="17" t="s">
        <v>46</v>
      </c>
      <c r="C188" s="28" t="s">
        <v>2183</v>
      </c>
      <c r="D188" s="17" t="s">
        <v>2186</v>
      </c>
      <c r="E188" s="17" t="s">
        <v>2187</v>
      </c>
      <c r="F188" s="20">
        <v>409.07</v>
      </c>
      <c r="G188" s="20">
        <v>262</v>
      </c>
      <c r="H188" s="19">
        <v>1332</v>
      </c>
      <c r="I188" s="20">
        <v>671</v>
      </c>
      <c r="J188" s="20">
        <v>661</v>
      </c>
      <c r="K188" s="20">
        <v>127</v>
      </c>
      <c r="L188" s="57">
        <f t="shared" si="4"/>
        <v>9.5345345345345348E-2</v>
      </c>
      <c r="M188" s="20">
        <v>165</v>
      </c>
      <c r="N188" s="57">
        <f t="shared" si="5"/>
        <v>0.12387387387387387</v>
      </c>
      <c r="O188" s="46">
        <v>18.66</v>
      </c>
      <c r="P188" s="46">
        <v>0</v>
      </c>
      <c r="Q188" s="58" t="s">
        <v>51</v>
      </c>
      <c r="R188" s="58">
        <v>2020</v>
      </c>
      <c r="S188" s="58"/>
      <c r="T188" s="58"/>
      <c r="U188" s="58"/>
      <c r="V188" s="58"/>
      <c r="W188" s="58"/>
      <c r="X188" s="58" t="s">
        <v>51</v>
      </c>
      <c r="Y188" s="58"/>
      <c r="Z188" s="58"/>
      <c r="AA188" s="58"/>
      <c r="AB188" s="58"/>
      <c r="AC188" s="58" t="s">
        <v>51</v>
      </c>
      <c r="AD188" s="58"/>
      <c r="AE188" s="58"/>
      <c r="AF188" s="58"/>
      <c r="AG188" s="58"/>
      <c r="AH188" s="58"/>
      <c r="AI188" s="58"/>
    </row>
    <row r="189" spans="1:35" x14ac:dyDescent="0.35">
      <c r="A189" s="17" t="s">
        <v>46</v>
      </c>
      <c r="B189" s="17" t="s">
        <v>46</v>
      </c>
      <c r="C189" s="28" t="s">
        <v>2158</v>
      </c>
      <c r="D189" s="17" t="s">
        <v>2188</v>
      </c>
      <c r="E189" s="17" t="s">
        <v>2189</v>
      </c>
      <c r="F189" s="20">
        <v>411.89</v>
      </c>
      <c r="G189" s="20">
        <v>212</v>
      </c>
      <c r="H189" s="19">
        <v>1207</v>
      </c>
      <c r="I189" s="20">
        <v>608</v>
      </c>
      <c r="J189" s="20">
        <v>599</v>
      </c>
      <c r="K189" s="20">
        <v>91</v>
      </c>
      <c r="L189" s="57">
        <f t="shared" si="4"/>
        <v>7.5393537696768848E-2</v>
      </c>
      <c r="M189" s="20">
        <v>179</v>
      </c>
      <c r="N189" s="57">
        <f t="shared" si="5"/>
        <v>0.14830157415078707</v>
      </c>
      <c r="O189" s="46">
        <v>20.11</v>
      </c>
      <c r="P189" s="46">
        <v>0</v>
      </c>
      <c r="Q189" s="58" t="s">
        <v>51</v>
      </c>
      <c r="R189" s="58">
        <v>2020</v>
      </c>
      <c r="S189" s="58"/>
      <c r="T189" s="58"/>
      <c r="U189" s="58"/>
      <c r="V189" s="58"/>
      <c r="W189" s="58"/>
      <c r="X189" s="58" t="s">
        <v>51</v>
      </c>
      <c r="Y189" s="58"/>
      <c r="Z189" s="58"/>
      <c r="AA189" s="58"/>
      <c r="AB189" s="58"/>
      <c r="AC189" s="58" t="s">
        <v>51</v>
      </c>
      <c r="AD189" s="58"/>
      <c r="AE189" s="58"/>
      <c r="AF189" s="58"/>
      <c r="AG189" s="58"/>
      <c r="AH189" s="58"/>
      <c r="AI189" s="58"/>
    </row>
    <row r="190" spans="1:35" x14ac:dyDescent="0.35">
      <c r="A190" s="17" t="s">
        <v>46</v>
      </c>
      <c r="B190" s="17" t="s">
        <v>46</v>
      </c>
      <c r="C190" s="28" t="s">
        <v>2183</v>
      </c>
      <c r="D190" s="17" t="s">
        <v>2006</v>
      </c>
      <c r="E190" s="17" t="s">
        <v>2190</v>
      </c>
      <c r="F190" s="20">
        <v>229.53</v>
      </c>
      <c r="G190" s="20">
        <v>120</v>
      </c>
      <c r="H190" s="19">
        <v>721</v>
      </c>
      <c r="I190" s="20">
        <v>368</v>
      </c>
      <c r="J190" s="20">
        <v>353</v>
      </c>
      <c r="K190" s="20">
        <v>0</v>
      </c>
      <c r="L190" s="57">
        <f t="shared" si="4"/>
        <v>0</v>
      </c>
      <c r="M190" s="20">
        <v>38</v>
      </c>
      <c r="N190" s="57">
        <f t="shared" si="5"/>
        <v>5.2704576976421634E-2</v>
      </c>
      <c r="O190" s="46">
        <v>17.13</v>
      </c>
      <c r="P190" s="46">
        <v>0</v>
      </c>
      <c r="Q190" s="58" t="s">
        <v>51</v>
      </c>
      <c r="R190" s="58">
        <v>2020</v>
      </c>
      <c r="S190" s="58"/>
      <c r="T190" s="58"/>
      <c r="U190" s="58"/>
      <c r="V190" s="58"/>
      <c r="W190" s="58"/>
      <c r="X190" s="58" t="s">
        <v>51</v>
      </c>
      <c r="Y190" s="58"/>
      <c r="Z190" s="58"/>
      <c r="AA190" s="58"/>
      <c r="AB190" s="58"/>
      <c r="AC190" s="58" t="s">
        <v>51</v>
      </c>
      <c r="AD190" s="58"/>
      <c r="AE190" s="58"/>
      <c r="AF190" s="58"/>
      <c r="AG190" s="58"/>
      <c r="AH190" s="58"/>
      <c r="AI190" s="58"/>
    </row>
    <row r="191" spans="1:35" x14ac:dyDescent="0.35">
      <c r="A191" s="17" t="s">
        <v>46</v>
      </c>
      <c r="B191" s="17" t="s">
        <v>46</v>
      </c>
      <c r="C191" s="28" t="s">
        <v>2191</v>
      </c>
      <c r="D191" s="17" t="s">
        <v>2192</v>
      </c>
      <c r="E191" s="17" t="s">
        <v>2193</v>
      </c>
      <c r="F191" s="20">
        <v>247.86</v>
      </c>
      <c r="G191" s="20">
        <v>157</v>
      </c>
      <c r="H191" s="19">
        <v>769</v>
      </c>
      <c r="I191" s="20">
        <v>386</v>
      </c>
      <c r="J191" s="20">
        <v>383</v>
      </c>
      <c r="K191" s="20">
        <v>250</v>
      </c>
      <c r="L191" s="57">
        <f t="shared" si="4"/>
        <v>0.32509752925877761</v>
      </c>
      <c r="M191" s="20">
        <v>31</v>
      </c>
      <c r="N191" s="57">
        <f t="shared" si="5"/>
        <v>4.0312093628088429E-2</v>
      </c>
      <c r="O191" s="46">
        <v>1.88</v>
      </c>
      <c r="P191" s="46">
        <v>0</v>
      </c>
      <c r="Q191" s="58" t="s">
        <v>562</v>
      </c>
      <c r="R191" s="58"/>
      <c r="S191" s="58"/>
      <c r="T191" s="58"/>
      <c r="U191" s="58"/>
      <c r="V191" s="58"/>
      <c r="W191" s="58"/>
      <c r="X191" s="58" t="s">
        <v>562</v>
      </c>
      <c r="Y191" s="58"/>
      <c r="Z191" s="58"/>
      <c r="AA191" s="58"/>
      <c r="AB191" s="58"/>
      <c r="AC191" s="58" t="s">
        <v>562</v>
      </c>
      <c r="AD191" s="58"/>
      <c r="AE191" s="58"/>
      <c r="AF191" s="58"/>
      <c r="AG191" s="58"/>
      <c r="AH191" s="58"/>
      <c r="AI191" s="58"/>
    </row>
    <row r="192" spans="1:35" x14ac:dyDescent="0.35">
      <c r="A192" s="17" t="s">
        <v>46</v>
      </c>
      <c r="B192" s="17" t="s">
        <v>46</v>
      </c>
      <c r="C192" s="28" t="s">
        <v>2194</v>
      </c>
      <c r="D192" s="17" t="s">
        <v>2195</v>
      </c>
      <c r="E192" s="17" t="s">
        <v>2196</v>
      </c>
      <c r="F192" s="20">
        <v>2004</v>
      </c>
      <c r="G192" s="20">
        <v>1116</v>
      </c>
      <c r="H192" s="19">
        <v>5241</v>
      </c>
      <c r="I192" s="20">
        <v>2639</v>
      </c>
      <c r="J192" s="20">
        <v>2602</v>
      </c>
      <c r="K192" s="20">
        <v>925</v>
      </c>
      <c r="L192" s="57">
        <f t="shared" si="4"/>
        <v>0.17649303568021371</v>
      </c>
      <c r="M192" s="20">
        <v>758</v>
      </c>
      <c r="N192" s="57">
        <f t="shared" si="5"/>
        <v>0.14462888761686701</v>
      </c>
      <c r="O192" s="46">
        <v>168</v>
      </c>
      <c r="P192" s="46">
        <v>488</v>
      </c>
      <c r="Q192" s="58" t="s">
        <v>51</v>
      </c>
      <c r="R192" s="58">
        <v>2020</v>
      </c>
      <c r="S192" s="58"/>
      <c r="T192" s="58"/>
      <c r="U192" s="58"/>
      <c r="V192" s="58"/>
      <c r="W192" s="58"/>
      <c r="X192" s="58" t="s">
        <v>51</v>
      </c>
      <c r="Y192" s="58"/>
      <c r="Z192" s="58"/>
      <c r="AA192" s="58"/>
      <c r="AB192" s="58"/>
      <c r="AC192" s="58" t="s">
        <v>51</v>
      </c>
      <c r="AD192" s="58"/>
      <c r="AE192" s="58"/>
      <c r="AF192" s="58"/>
      <c r="AG192" s="58"/>
      <c r="AH192" s="58"/>
      <c r="AI192" s="58"/>
    </row>
    <row r="193" spans="1:35" x14ac:dyDescent="0.35">
      <c r="A193" s="17" t="s">
        <v>46</v>
      </c>
      <c r="B193" s="17" t="s">
        <v>46</v>
      </c>
      <c r="C193" s="28" t="s">
        <v>2191</v>
      </c>
      <c r="D193" s="17" t="s">
        <v>2197</v>
      </c>
      <c r="E193" s="17" t="s">
        <v>2198</v>
      </c>
      <c r="F193" s="20">
        <v>2628.29</v>
      </c>
      <c r="G193" s="20">
        <v>868</v>
      </c>
      <c r="H193" s="19">
        <v>4275</v>
      </c>
      <c r="I193" s="20">
        <v>2172</v>
      </c>
      <c r="J193" s="20">
        <v>2103</v>
      </c>
      <c r="K193" s="20">
        <v>552</v>
      </c>
      <c r="L193" s="57">
        <f t="shared" si="4"/>
        <v>0.12912280701754386</v>
      </c>
      <c r="M193" s="20">
        <v>645</v>
      </c>
      <c r="N193" s="57">
        <f t="shared" si="5"/>
        <v>0.15087719298245614</v>
      </c>
      <c r="O193" s="46">
        <v>164</v>
      </c>
      <c r="P193" s="46">
        <v>924</v>
      </c>
      <c r="Q193" s="58" t="s">
        <v>51</v>
      </c>
      <c r="R193" s="58">
        <v>2020</v>
      </c>
      <c r="S193" s="58"/>
      <c r="T193" s="58"/>
      <c r="U193" s="58"/>
      <c r="V193" s="58"/>
      <c r="W193" s="58"/>
      <c r="X193" s="58" t="s">
        <v>51</v>
      </c>
      <c r="Y193" s="58"/>
      <c r="Z193" s="58"/>
      <c r="AA193" s="58"/>
      <c r="AB193" s="58"/>
      <c r="AC193" s="58" t="s">
        <v>51</v>
      </c>
      <c r="AD193" s="58"/>
      <c r="AE193" s="58"/>
      <c r="AF193" s="58"/>
      <c r="AG193" s="58"/>
      <c r="AH193" s="58"/>
      <c r="AI193" s="58"/>
    </row>
    <row r="194" spans="1:35" x14ac:dyDescent="0.35">
      <c r="A194" s="17" t="s">
        <v>46</v>
      </c>
      <c r="B194" s="17" t="s">
        <v>46</v>
      </c>
      <c r="C194" s="28" t="s">
        <v>2191</v>
      </c>
      <c r="D194" s="17" t="s">
        <v>2199</v>
      </c>
      <c r="E194" s="17" t="s">
        <v>2200</v>
      </c>
      <c r="F194" s="20">
        <v>124.23</v>
      </c>
      <c r="G194" s="20">
        <v>161</v>
      </c>
      <c r="H194" s="19">
        <v>695</v>
      </c>
      <c r="I194" s="20">
        <v>361</v>
      </c>
      <c r="J194" s="20">
        <v>334</v>
      </c>
      <c r="K194" s="20">
        <v>247</v>
      </c>
      <c r="L194" s="57">
        <f t="shared" si="4"/>
        <v>0.35539568345323741</v>
      </c>
      <c r="M194" s="20">
        <v>219</v>
      </c>
      <c r="N194" s="57">
        <f t="shared" si="5"/>
        <v>0.31510791366906477</v>
      </c>
      <c r="O194" s="46">
        <v>5</v>
      </c>
      <c r="P194" s="46">
        <v>0</v>
      </c>
      <c r="Q194" s="58" t="s">
        <v>562</v>
      </c>
      <c r="R194" s="58"/>
      <c r="S194" s="58"/>
      <c r="T194" s="58"/>
      <c r="U194" s="58"/>
      <c r="V194" s="58"/>
      <c r="W194" s="58"/>
      <c r="X194" s="58" t="s">
        <v>562</v>
      </c>
      <c r="Y194" s="58"/>
      <c r="Z194" s="58"/>
      <c r="AA194" s="58"/>
      <c r="AB194" s="58"/>
      <c r="AC194" s="58" t="s">
        <v>562</v>
      </c>
      <c r="AD194" s="58"/>
      <c r="AE194" s="58"/>
      <c r="AF194" s="58"/>
      <c r="AG194" s="58"/>
      <c r="AH194" s="58"/>
      <c r="AI194" s="58"/>
    </row>
    <row r="195" spans="1:35" x14ac:dyDescent="0.35">
      <c r="A195" s="17" t="s">
        <v>46</v>
      </c>
      <c r="B195" s="17" t="s">
        <v>46</v>
      </c>
      <c r="C195" s="28" t="s">
        <v>2191</v>
      </c>
      <c r="D195" s="17" t="s">
        <v>2201</v>
      </c>
      <c r="E195" s="17" t="s">
        <v>2202</v>
      </c>
      <c r="F195" s="28">
        <v>74.849999999999994</v>
      </c>
      <c r="G195" s="47"/>
      <c r="H195" s="19">
        <v>0</v>
      </c>
      <c r="I195" s="47"/>
      <c r="J195" s="47"/>
      <c r="K195" s="47"/>
      <c r="L195" s="57" t="e">
        <f t="shared" si="4"/>
        <v>#DIV/0!</v>
      </c>
      <c r="M195" s="47"/>
      <c r="N195" s="57" t="e">
        <f t="shared" si="5"/>
        <v>#DIV/0!</v>
      </c>
      <c r="O195" s="48">
        <v>0</v>
      </c>
      <c r="P195" s="48">
        <v>0</v>
      </c>
      <c r="Q195" s="58" t="s">
        <v>562</v>
      </c>
      <c r="R195" s="58"/>
      <c r="S195" s="58"/>
      <c r="T195" s="58"/>
      <c r="U195" s="58"/>
      <c r="V195" s="58"/>
      <c r="W195" s="58"/>
      <c r="X195" s="58" t="s">
        <v>562</v>
      </c>
      <c r="Y195" s="58"/>
      <c r="Z195" s="58"/>
      <c r="AA195" s="58"/>
      <c r="AB195" s="58"/>
      <c r="AC195" s="58" t="s">
        <v>562</v>
      </c>
      <c r="AD195" s="58"/>
      <c r="AE195" s="58"/>
      <c r="AF195" s="58"/>
      <c r="AG195" s="58"/>
      <c r="AH195" s="58"/>
      <c r="AI195" s="58"/>
    </row>
    <row r="196" spans="1:35" x14ac:dyDescent="0.35">
      <c r="A196" s="17" t="s">
        <v>46</v>
      </c>
      <c r="B196" s="17" t="s">
        <v>46</v>
      </c>
      <c r="C196" s="28" t="s">
        <v>1946</v>
      </c>
      <c r="D196" s="17" t="s">
        <v>2203</v>
      </c>
      <c r="E196" s="17" t="s">
        <v>2204</v>
      </c>
      <c r="F196" s="20">
        <v>323.29000000000002</v>
      </c>
      <c r="G196" s="20">
        <v>97</v>
      </c>
      <c r="H196" s="19">
        <v>441</v>
      </c>
      <c r="I196" s="20">
        <v>234</v>
      </c>
      <c r="J196" s="20">
        <v>207</v>
      </c>
      <c r="K196" s="20">
        <v>60</v>
      </c>
      <c r="L196" s="57">
        <f t="shared" ref="L196:L259" si="6">K196/H196</f>
        <v>0.1360544217687075</v>
      </c>
      <c r="M196" s="20">
        <v>131</v>
      </c>
      <c r="N196" s="57">
        <f t="shared" ref="N196:N259" si="7">M196/H196</f>
        <v>0.29705215419501135</v>
      </c>
      <c r="O196" s="46">
        <v>51.07</v>
      </c>
      <c r="P196" s="46">
        <v>0</v>
      </c>
      <c r="Q196" s="58" t="s">
        <v>51</v>
      </c>
      <c r="R196" s="58">
        <v>2020</v>
      </c>
      <c r="S196" s="58"/>
      <c r="T196" s="58"/>
      <c r="U196" s="58"/>
      <c r="V196" s="58"/>
      <c r="W196" s="58"/>
      <c r="X196" s="58" t="s">
        <v>51</v>
      </c>
      <c r="Y196" s="58"/>
      <c r="Z196" s="58"/>
      <c r="AA196" s="58"/>
      <c r="AB196" s="58"/>
      <c r="AC196" s="58" t="s">
        <v>51</v>
      </c>
      <c r="AD196" s="58"/>
      <c r="AE196" s="58"/>
      <c r="AF196" s="58"/>
      <c r="AG196" s="58"/>
      <c r="AH196" s="58"/>
      <c r="AI196" s="58"/>
    </row>
    <row r="197" spans="1:35" x14ac:dyDescent="0.35">
      <c r="A197" s="17" t="s">
        <v>46</v>
      </c>
      <c r="B197" s="17" t="s">
        <v>46</v>
      </c>
      <c r="C197" s="28" t="s">
        <v>1946</v>
      </c>
      <c r="D197" s="17" t="s">
        <v>2205</v>
      </c>
      <c r="E197" s="17" t="s">
        <v>2206</v>
      </c>
      <c r="F197" s="20">
        <v>82.13</v>
      </c>
      <c r="G197" s="20">
        <v>29</v>
      </c>
      <c r="H197" s="19">
        <v>155</v>
      </c>
      <c r="I197" s="20">
        <v>78</v>
      </c>
      <c r="J197" s="20">
        <v>77</v>
      </c>
      <c r="K197" s="20">
        <v>0</v>
      </c>
      <c r="L197" s="57">
        <f t="shared" si="6"/>
        <v>0</v>
      </c>
      <c r="M197" s="20">
        <v>132</v>
      </c>
      <c r="N197" s="57">
        <f t="shared" si="7"/>
        <v>0.85161290322580641</v>
      </c>
      <c r="O197" s="46">
        <v>2.5</v>
      </c>
      <c r="P197" s="46">
        <v>48.08</v>
      </c>
      <c r="Q197" s="58" t="s">
        <v>562</v>
      </c>
      <c r="R197" s="58"/>
      <c r="S197" s="58"/>
      <c r="T197" s="58"/>
      <c r="U197" s="58"/>
      <c r="V197" s="58"/>
      <c r="W197" s="58"/>
      <c r="X197" s="58" t="s">
        <v>562</v>
      </c>
      <c r="Y197" s="58"/>
      <c r="Z197" s="58"/>
      <c r="AA197" s="58"/>
      <c r="AB197" s="58"/>
      <c r="AC197" s="58" t="s">
        <v>562</v>
      </c>
      <c r="AD197" s="58"/>
      <c r="AE197" s="58"/>
      <c r="AF197" s="58"/>
      <c r="AG197" s="58"/>
      <c r="AH197" s="58"/>
      <c r="AI197" s="58"/>
    </row>
    <row r="198" spans="1:35" x14ac:dyDescent="0.35">
      <c r="A198" s="17" t="s">
        <v>46</v>
      </c>
      <c r="B198" s="17" t="s">
        <v>46</v>
      </c>
      <c r="C198" s="28" t="s">
        <v>1946</v>
      </c>
      <c r="D198" s="17" t="s">
        <v>1827</v>
      </c>
      <c r="E198" s="17" t="s">
        <v>2207</v>
      </c>
      <c r="F198" s="20">
        <v>182.27</v>
      </c>
      <c r="G198" s="20">
        <v>47</v>
      </c>
      <c r="H198" s="19">
        <v>210</v>
      </c>
      <c r="I198" s="20">
        <v>109</v>
      </c>
      <c r="J198" s="20">
        <v>101</v>
      </c>
      <c r="K198" s="20">
        <v>7</v>
      </c>
      <c r="L198" s="57">
        <f t="shared" si="6"/>
        <v>3.3333333333333333E-2</v>
      </c>
      <c r="M198" s="20">
        <v>134</v>
      </c>
      <c r="N198" s="57">
        <f t="shared" si="7"/>
        <v>0.63809523809523805</v>
      </c>
      <c r="O198" s="46">
        <v>11.19</v>
      </c>
      <c r="P198" s="46">
        <v>0</v>
      </c>
      <c r="Q198" s="58" t="s">
        <v>51</v>
      </c>
      <c r="R198" s="58">
        <v>2020</v>
      </c>
      <c r="S198" s="58"/>
      <c r="T198" s="58"/>
      <c r="U198" s="58"/>
      <c r="V198" s="58"/>
      <c r="W198" s="58"/>
      <c r="X198" s="58" t="s">
        <v>51</v>
      </c>
      <c r="Y198" s="58"/>
      <c r="Z198" s="58"/>
      <c r="AA198" s="58"/>
      <c r="AB198" s="58"/>
      <c r="AC198" s="58" t="s">
        <v>51</v>
      </c>
      <c r="AD198" s="58"/>
      <c r="AE198" s="58"/>
      <c r="AF198" s="58"/>
      <c r="AG198" s="58"/>
      <c r="AH198" s="58"/>
      <c r="AI198" s="58"/>
    </row>
    <row r="199" spans="1:35" x14ac:dyDescent="0.35">
      <c r="A199" s="17" t="s">
        <v>46</v>
      </c>
      <c r="B199" s="17" t="s">
        <v>46</v>
      </c>
      <c r="C199" s="28" t="s">
        <v>1946</v>
      </c>
      <c r="D199" s="17" t="s">
        <v>2208</v>
      </c>
      <c r="E199" s="17" t="s">
        <v>2209</v>
      </c>
      <c r="F199" s="20">
        <v>54.11</v>
      </c>
      <c r="G199" s="20">
        <v>28</v>
      </c>
      <c r="H199" s="19">
        <v>139</v>
      </c>
      <c r="I199" s="20">
        <v>71</v>
      </c>
      <c r="J199" s="20">
        <v>68</v>
      </c>
      <c r="K199" s="20">
        <v>0</v>
      </c>
      <c r="L199" s="57">
        <f t="shared" si="6"/>
        <v>0</v>
      </c>
      <c r="M199" s="20">
        <v>123</v>
      </c>
      <c r="N199" s="57">
        <f t="shared" si="7"/>
        <v>0.8848920863309353</v>
      </c>
      <c r="O199" s="46">
        <v>27.3</v>
      </c>
      <c r="P199" s="46">
        <v>0</v>
      </c>
      <c r="Q199" s="58" t="s">
        <v>562</v>
      </c>
      <c r="R199" s="58"/>
      <c r="S199" s="58"/>
      <c r="T199" s="58"/>
      <c r="U199" s="58"/>
      <c r="V199" s="58"/>
      <c r="W199" s="58"/>
      <c r="X199" s="58" t="s">
        <v>562</v>
      </c>
      <c r="Y199" s="58"/>
      <c r="Z199" s="58"/>
      <c r="AA199" s="58"/>
      <c r="AB199" s="58"/>
      <c r="AC199" s="58" t="s">
        <v>562</v>
      </c>
      <c r="AD199" s="58"/>
      <c r="AE199" s="58"/>
      <c r="AF199" s="58"/>
      <c r="AG199" s="58"/>
      <c r="AH199" s="58"/>
      <c r="AI199" s="58"/>
    </row>
    <row r="200" spans="1:35" x14ac:dyDescent="0.35">
      <c r="A200" s="17" t="s">
        <v>46</v>
      </c>
      <c r="B200" s="17" t="s">
        <v>46</v>
      </c>
      <c r="C200" s="28" t="s">
        <v>1906</v>
      </c>
      <c r="D200" s="17" t="s">
        <v>2210</v>
      </c>
      <c r="E200" s="17" t="s">
        <v>2211</v>
      </c>
      <c r="F200" s="20">
        <v>285.14</v>
      </c>
      <c r="G200" s="20">
        <v>144</v>
      </c>
      <c r="H200" s="19">
        <v>713</v>
      </c>
      <c r="I200" s="20">
        <v>358</v>
      </c>
      <c r="J200" s="20">
        <v>355</v>
      </c>
      <c r="K200" s="20">
        <v>86</v>
      </c>
      <c r="L200" s="57">
        <f t="shared" si="6"/>
        <v>0.12061711079943899</v>
      </c>
      <c r="M200" s="20">
        <v>261</v>
      </c>
      <c r="N200" s="57">
        <f t="shared" si="7"/>
        <v>0.36605890603085556</v>
      </c>
      <c r="O200" s="46">
        <v>39.549999999999997</v>
      </c>
      <c r="P200" s="46">
        <v>31.11</v>
      </c>
      <c r="Q200" s="58" t="s">
        <v>562</v>
      </c>
      <c r="R200" s="58"/>
      <c r="S200" s="58"/>
      <c r="T200" s="58"/>
      <c r="U200" s="58"/>
      <c r="V200" s="58"/>
      <c r="W200" s="58"/>
      <c r="X200" s="58" t="s">
        <v>562</v>
      </c>
      <c r="Y200" s="58"/>
      <c r="Z200" s="58"/>
      <c r="AA200" s="58"/>
      <c r="AB200" s="58"/>
      <c r="AC200" s="58" t="s">
        <v>562</v>
      </c>
      <c r="AD200" s="58"/>
      <c r="AE200" s="58"/>
      <c r="AF200" s="58"/>
      <c r="AG200" s="58"/>
      <c r="AH200" s="58"/>
      <c r="AI200" s="58"/>
    </row>
    <row r="201" spans="1:35" x14ac:dyDescent="0.35">
      <c r="A201" s="17" t="s">
        <v>46</v>
      </c>
      <c r="B201" s="17" t="s">
        <v>46</v>
      </c>
      <c r="C201" s="28" t="s">
        <v>1906</v>
      </c>
      <c r="D201" s="17" t="s">
        <v>2212</v>
      </c>
      <c r="E201" s="17" t="s">
        <v>2213</v>
      </c>
      <c r="F201" s="20">
        <v>377.09</v>
      </c>
      <c r="G201" s="20">
        <v>55</v>
      </c>
      <c r="H201" s="19">
        <v>234</v>
      </c>
      <c r="I201" s="20">
        <v>126</v>
      </c>
      <c r="J201" s="20">
        <v>108</v>
      </c>
      <c r="K201" s="20">
        <v>125</v>
      </c>
      <c r="L201" s="57">
        <f t="shared" si="6"/>
        <v>0.53418803418803418</v>
      </c>
      <c r="M201" s="20">
        <v>12</v>
      </c>
      <c r="N201" s="57">
        <f t="shared" si="7"/>
        <v>5.128205128205128E-2</v>
      </c>
      <c r="O201" s="46">
        <v>0</v>
      </c>
      <c r="P201" s="46">
        <v>244.42</v>
      </c>
      <c r="Q201" s="58" t="s">
        <v>562</v>
      </c>
      <c r="R201" s="58"/>
      <c r="S201" s="58"/>
      <c r="T201" s="58"/>
      <c r="U201" s="58"/>
      <c r="V201" s="58"/>
      <c r="W201" s="58"/>
      <c r="X201" s="58" t="s">
        <v>562</v>
      </c>
      <c r="Y201" s="58"/>
      <c r="Z201" s="58"/>
      <c r="AA201" s="58"/>
      <c r="AB201" s="58"/>
      <c r="AC201" s="58" t="s">
        <v>562</v>
      </c>
      <c r="AD201" s="58"/>
      <c r="AE201" s="58"/>
      <c r="AF201" s="58"/>
      <c r="AG201" s="58"/>
      <c r="AH201" s="58"/>
      <c r="AI201" s="58"/>
    </row>
    <row r="202" spans="1:35" x14ac:dyDescent="0.35">
      <c r="A202" s="17" t="s">
        <v>46</v>
      </c>
      <c r="B202" s="17" t="s">
        <v>46</v>
      </c>
      <c r="C202" s="28" t="s">
        <v>1906</v>
      </c>
      <c r="D202" s="17" t="s">
        <v>2214</v>
      </c>
      <c r="E202" s="17" t="s">
        <v>2215</v>
      </c>
      <c r="F202" s="20">
        <v>619.52</v>
      </c>
      <c r="G202" s="20">
        <v>388</v>
      </c>
      <c r="H202" s="19">
        <v>1799</v>
      </c>
      <c r="I202" s="20">
        <v>935</v>
      </c>
      <c r="J202" s="20">
        <v>864</v>
      </c>
      <c r="K202" s="20">
        <v>516</v>
      </c>
      <c r="L202" s="57">
        <f t="shared" si="6"/>
        <v>0.28682601445247358</v>
      </c>
      <c r="M202" s="20">
        <v>387</v>
      </c>
      <c r="N202" s="57">
        <f t="shared" si="7"/>
        <v>0.21511951083935521</v>
      </c>
      <c r="O202" s="46">
        <v>38.64</v>
      </c>
      <c r="P202" s="46">
        <v>36.25</v>
      </c>
      <c r="Q202" s="58" t="s">
        <v>562</v>
      </c>
      <c r="R202" s="58"/>
      <c r="S202" s="58"/>
      <c r="T202" s="58"/>
      <c r="U202" s="58"/>
      <c r="V202" s="58"/>
      <c r="W202" s="58"/>
      <c r="X202" s="58" t="s">
        <v>562</v>
      </c>
      <c r="Y202" s="58"/>
      <c r="Z202" s="58"/>
      <c r="AA202" s="58"/>
      <c r="AB202" s="58"/>
      <c r="AC202" s="58" t="s">
        <v>562</v>
      </c>
      <c r="AD202" s="58"/>
      <c r="AE202" s="58"/>
      <c r="AF202" s="58"/>
      <c r="AG202" s="58"/>
      <c r="AH202" s="58"/>
      <c r="AI202" s="58"/>
    </row>
    <row r="203" spans="1:35" x14ac:dyDescent="0.35">
      <c r="A203" s="17" t="s">
        <v>46</v>
      </c>
      <c r="B203" s="17" t="s">
        <v>46</v>
      </c>
      <c r="C203" s="28" t="s">
        <v>1814</v>
      </c>
      <c r="D203" s="17" t="s">
        <v>2216</v>
      </c>
      <c r="E203" s="17" t="s">
        <v>2217</v>
      </c>
      <c r="F203" s="28">
        <v>114.28</v>
      </c>
      <c r="G203" s="47"/>
      <c r="H203" s="19">
        <v>0</v>
      </c>
      <c r="I203" s="47"/>
      <c r="J203" s="47"/>
      <c r="K203" s="47"/>
      <c r="L203" s="57" t="e">
        <f t="shared" si="6"/>
        <v>#DIV/0!</v>
      </c>
      <c r="M203" s="47"/>
      <c r="N203" s="57" t="e">
        <f t="shared" si="7"/>
        <v>#DIV/0!</v>
      </c>
      <c r="O203" s="48">
        <v>6.89</v>
      </c>
      <c r="P203" s="48">
        <v>0</v>
      </c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</row>
    <row r="204" spans="1:35" x14ac:dyDescent="0.35">
      <c r="A204" s="17" t="s">
        <v>46</v>
      </c>
      <c r="B204" s="17" t="s">
        <v>46</v>
      </c>
      <c r="C204" s="28" t="s">
        <v>1909</v>
      </c>
      <c r="D204" s="17" t="s">
        <v>91</v>
      </c>
      <c r="E204" s="17" t="s">
        <v>2218</v>
      </c>
      <c r="F204" s="20">
        <v>61.31</v>
      </c>
      <c r="G204" s="20">
        <v>25</v>
      </c>
      <c r="H204" s="19">
        <v>125</v>
      </c>
      <c r="I204" s="20">
        <v>62</v>
      </c>
      <c r="J204" s="20">
        <v>63</v>
      </c>
      <c r="K204" s="20">
        <v>32</v>
      </c>
      <c r="L204" s="57">
        <f t="shared" si="6"/>
        <v>0.25600000000000001</v>
      </c>
      <c r="M204" s="20">
        <v>90</v>
      </c>
      <c r="N204" s="57">
        <f t="shared" si="7"/>
        <v>0.72</v>
      </c>
      <c r="O204" s="46">
        <v>16.88</v>
      </c>
      <c r="P204" s="46">
        <v>0</v>
      </c>
      <c r="Q204" s="58" t="s">
        <v>51</v>
      </c>
      <c r="R204" s="58">
        <v>2020</v>
      </c>
      <c r="S204" s="58"/>
      <c r="T204" s="58"/>
      <c r="U204" s="58"/>
      <c r="V204" s="58"/>
      <c r="W204" s="58"/>
      <c r="X204" s="58" t="s">
        <v>51</v>
      </c>
      <c r="Y204" s="58"/>
      <c r="Z204" s="58"/>
      <c r="AA204" s="58"/>
      <c r="AB204" s="58"/>
      <c r="AC204" s="58" t="s">
        <v>51</v>
      </c>
      <c r="AD204" s="58"/>
      <c r="AE204" s="58"/>
      <c r="AF204" s="58"/>
      <c r="AG204" s="58"/>
      <c r="AH204" s="58"/>
      <c r="AI204" s="58"/>
    </row>
    <row r="205" spans="1:35" x14ac:dyDescent="0.35">
      <c r="A205" s="17" t="s">
        <v>46</v>
      </c>
      <c r="B205" s="17" t="s">
        <v>46</v>
      </c>
      <c r="C205" s="28" t="s">
        <v>1909</v>
      </c>
      <c r="D205" s="17" t="s">
        <v>2219</v>
      </c>
      <c r="E205" s="17" t="s">
        <v>2220</v>
      </c>
      <c r="F205" s="20">
        <v>59.91</v>
      </c>
      <c r="G205" s="20">
        <v>41</v>
      </c>
      <c r="H205" s="19">
        <v>189</v>
      </c>
      <c r="I205" s="20">
        <v>84</v>
      </c>
      <c r="J205" s="20">
        <v>105</v>
      </c>
      <c r="K205" s="20">
        <v>2</v>
      </c>
      <c r="L205" s="57">
        <f t="shared" si="6"/>
        <v>1.0582010582010581E-2</v>
      </c>
      <c r="M205" s="20">
        <v>136</v>
      </c>
      <c r="N205" s="57">
        <f t="shared" si="7"/>
        <v>0.71957671957671954</v>
      </c>
      <c r="O205" s="46">
        <v>7.2</v>
      </c>
      <c r="P205" s="46">
        <v>0</v>
      </c>
      <c r="Q205" s="58" t="s">
        <v>51</v>
      </c>
      <c r="R205" s="58">
        <v>2020</v>
      </c>
      <c r="S205" s="58"/>
      <c r="T205" s="58"/>
      <c r="U205" s="58"/>
      <c r="V205" s="58"/>
      <c r="W205" s="58"/>
      <c r="X205" s="58" t="s">
        <v>51</v>
      </c>
      <c r="Y205" s="58"/>
      <c r="Z205" s="58"/>
      <c r="AA205" s="58"/>
      <c r="AB205" s="58"/>
      <c r="AC205" s="58" t="s">
        <v>51</v>
      </c>
      <c r="AD205" s="58"/>
      <c r="AE205" s="58"/>
      <c r="AF205" s="58"/>
      <c r="AG205" s="58"/>
      <c r="AH205" s="58"/>
      <c r="AI205" s="58"/>
    </row>
    <row r="206" spans="1:35" x14ac:dyDescent="0.35">
      <c r="A206" s="17" t="s">
        <v>46</v>
      </c>
      <c r="B206" s="17" t="s">
        <v>46</v>
      </c>
      <c r="C206" s="28" t="s">
        <v>1909</v>
      </c>
      <c r="D206" s="17" t="s">
        <v>705</v>
      </c>
      <c r="E206" s="17" t="s">
        <v>2221</v>
      </c>
      <c r="F206" s="20">
        <v>75.290000000000006</v>
      </c>
      <c r="G206" s="20">
        <v>41</v>
      </c>
      <c r="H206" s="19">
        <v>186</v>
      </c>
      <c r="I206" s="20">
        <v>93</v>
      </c>
      <c r="J206" s="20">
        <v>93</v>
      </c>
      <c r="K206" s="20">
        <v>0</v>
      </c>
      <c r="L206" s="57">
        <f t="shared" si="6"/>
        <v>0</v>
      </c>
      <c r="M206" s="20">
        <v>79</v>
      </c>
      <c r="N206" s="57">
        <f t="shared" si="7"/>
        <v>0.42473118279569894</v>
      </c>
      <c r="O206" s="46">
        <v>6.54</v>
      </c>
      <c r="P206" s="46">
        <v>0</v>
      </c>
      <c r="Q206" s="58" t="s">
        <v>51</v>
      </c>
      <c r="R206" s="58">
        <v>2020</v>
      </c>
      <c r="S206" s="58"/>
      <c r="T206" s="58"/>
      <c r="U206" s="58"/>
      <c r="V206" s="58"/>
      <c r="W206" s="58"/>
      <c r="X206" s="58" t="s">
        <v>51</v>
      </c>
      <c r="Y206" s="58"/>
      <c r="Z206" s="58"/>
      <c r="AA206" s="58"/>
      <c r="AB206" s="58"/>
      <c r="AC206" s="58" t="s">
        <v>51</v>
      </c>
      <c r="AD206" s="58"/>
      <c r="AE206" s="58"/>
      <c r="AF206" s="58"/>
      <c r="AG206" s="58"/>
      <c r="AH206" s="58"/>
      <c r="AI206" s="58"/>
    </row>
    <row r="207" spans="1:35" x14ac:dyDescent="0.35">
      <c r="A207" s="17" t="s">
        <v>46</v>
      </c>
      <c r="B207" s="17" t="s">
        <v>46</v>
      </c>
      <c r="C207" s="28" t="s">
        <v>1814</v>
      </c>
      <c r="D207" s="17" t="s">
        <v>1869</v>
      </c>
      <c r="E207" s="17" t="s">
        <v>2222</v>
      </c>
      <c r="F207" s="20">
        <v>178.19</v>
      </c>
      <c r="G207" s="20">
        <v>47</v>
      </c>
      <c r="H207" s="19">
        <v>242</v>
      </c>
      <c r="I207" s="20">
        <v>121</v>
      </c>
      <c r="J207" s="20">
        <v>121</v>
      </c>
      <c r="K207" s="20">
        <v>1</v>
      </c>
      <c r="L207" s="57">
        <f t="shared" si="6"/>
        <v>4.1322314049586778E-3</v>
      </c>
      <c r="M207" s="20">
        <v>0</v>
      </c>
      <c r="N207" s="57">
        <f t="shared" si="7"/>
        <v>0</v>
      </c>
      <c r="O207" s="46">
        <v>31.9</v>
      </c>
      <c r="P207" s="46">
        <v>68.849999999999994</v>
      </c>
      <c r="Q207" s="58" t="s">
        <v>51</v>
      </c>
      <c r="R207" s="58">
        <v>2019</v>
      </c>
      <c r="S207" s="58"/>
      <c r="T207" s="58"/>
      <c r="U207" s="58"/>
      <c r="V207" s="58"/>
      <c r="W207" s="58"/>
      <c r="X207" s="58" t="s">
        <v>51</v>
      </c>
      <c r="Y207" s="58"/>
      <c r="Z207" s="58"/>
      <c r="AA207" s="58"/>
      <c r="AB207" s="58"/>
      <c r="AC207" s="58" t="s">
        <v>51</v>
      </c>
      <c r="AD207" s="58"/>
      <c r="AE207" s="58"/>
      <c r="AF207" s="58"/>
      <c r="AG207" s="58"/>
      <c r="AH207" s="58"/>
      <c r="AI207" s="58"/>
    </row>
    <row r="208" spans="1:35" x14ac:dyDescent="0.35">
      <c r="A208" s="17" t="s">
        <v>46</v>
      </c>
      <c r="B208" s="17" t="s">
        <v>46</v>
      </c>
      <c r="C208" s="28" t="s">
        <v>1814</v>
      </c>
      <c r="D208" s="17" t="s">
        <v>2223</v>
      </c>
      <c r="E208" s="17" t="s">
        <v>2224</v>
      </c>
      <c r="F208" s="20">
        <v>537.77</v>
      </c>
      <c r="G208" s="20">
        <v>198</v>
      </c>
      <c r="H208" s="19">
        <v>958</v>
      </c>
      <c r="I208" s="20">
        <v>475</v>
      </c>
      <c r="J208" s="20">
        <v>483</v>
      </c>
      <c r="K208" s="20">
        <v>24</v>
      </c>
      <c r="L208" s="57">
        <f t="shared" si="6"/>
        <v>2.5052192066805846E-2</v>
      </c>
      <c r="M208" s="20">
        <v>418</v>
      </c>
      <c r="N208" s="57">
        <f t="shared" si="7"/>
        <v>0.43632567849686849</v>
      </c>
      <c r="O208" s="46">
        <v>42.1</v>
      </c>
      <c r="P208" s="46">
        <v>0</v>
      </c>
      <c r="Q208" s="58" t="s">
        <v>51</v>
      </c>
      <c r="R208" s="58">
        <v>2019</v>
      </c>
      <c r="S208" s="58"/>
      <c r="T208" s="58"/>
      <c r="U208" s="58"/>
      <c r="V208" s="58"/>
      <c r="W208" s="58"/>
      <c r="X208" s="58" t="s">
        <v>51</v>
      </c>
      <c r="Y208" s="58"/>
      <c r="Z208" s="58"/>
      <c r="AA208" s="58"/>
      <c r="AB208" s="58"/>
      <c r="AC208" s="58" t="s">
        <v>51</v>
      </c>
      <c r="AD208" s="58"/>
      <c r="AE208" s="58"/>
      <c r="AF208" s="58"/>
      <c r="AG208" s="58"/>
      <c r="AH208" s="58"/>
      <c r="AI208" s="58"/>
    </row>
    <row r="209" spans="1:35" x14ac:dyDescent="0.35">
      <c r="A209" s="17" t="s">
        <v>46</v>
      </c>
      <c r="B209" s="17" t="s">
        <v>46</v>
      </c>
      <c r="C209" s="28" t="s">
        <v>1946</v>
      </c>
      <c r="D209" s="17" t="s">
        <v>2225</v>
      </c>
      <c r="E209" s="17" t="s">
        <v>2226</v>
      </c>
      <c r="F209" s="20">
        <v>52.77</v>
      </c>
      <c r="G209" s="20">
        <v>5</v>
      </c>
      <c r="H209" s="19">
        <v>34</v>
      </c>
      <c r="I209" s="20">
        <v>16</v>
      </c>
      <c r="J209" s="20">
        <v>18</v>
      </c>
      <c r="K209" s="20">
        <v>0</v>
      </c>
      <c r="L209" s="57">
        <f t="shared" si="6"/>
        <v>0</v>
      </c>
      <c r="M209" s="20">
        <v>0</v>
      </c>
      <c r="N209" s="57">
        <f t="shared" si="7"/>
        <v>0</v>
      </c>
      <c r="O209" s="46">
        <v>5.25</v>
      </c>
      <c r="P209" s="46">
        <v>0</v>
      </c>
      <c r="Q209" s="58" t="s">
        <v>51</v>
      </c>
      <c r="R209" s="58">
        <v>2020</v>
      </c>
      <c r="S209" s="58"/>
      <c r="T209" s="58"/>
      <c r="U209" s="58"/>
      <c r="V209" s="58"/>
      <c r="W209" s="58"/>
      <c r="X209" s="58" t="s">
        <v>51</v>
      </c>
      <c r="Y209" s="58"/>
      <c r="Z209" s="58"/>
      <c r="AA209" s="58"/>
      <c r="AB209" s="58"/>
      <c r="AC209" s="58" t="s">
        <v>51</v>
      </c>
      <c r="AD209" s="58"/>
      <c r="AE209" s="58"/>
      <c r="AF209" s="58"/>
      <c r="AG209" s="58"/>
      <c r="AH209" s="58"/>
      <c r="AI209" s="58"/>
    </row>
    <row r="210" spans="1:35" x14ac:dyDescent="0.35">
      <c r="A210" s="17" t="s">
        <v>46</v>
      </c>
      <c r="B210" s="17" t="s">
        <v>46</v>
      </c>
      <c r="C210" s="28" t="s">
        <v>1946</v>
      </c>
      <c r="D210" s="17" t="s">
        <v>662</v>
      </c>
      <c r="E210" s="17" t="s">
        <v>2227</v>
      </c>
      <c r="F210" s="20">
        <v>149.99</v>
      </c>
      <c r="G210" s="20">
        <v>63</v>
      </c>
      <c r="H210" s="19">
        <v>270</v>
      </c>
      <c r="I210" s="20">
        <v>139</v>
      </c>
      <c r="J210" s="20">
        <v>131</v>
      </c>
      <c r="K210" s="20">
        <v>149</v>
      </c>
      <c r="L210" s="57">
        <f t="shared" si="6"/>
        <v>0.55185185185185182</v>
      </c>
      <c r="M210" s="20">
        <v>68</v>
      </c>
      <c r="N210" s="57">
        <f t="shared" si="7"/>
        <v>0.25185185185185183</v>
      </c>
      <c r="O210" s="46">
        <v>1.54</v>
      </c>
      <c r="P210" s="46">
        <v>39.33</v>
      </c>
      <c r="Q210" s="58" t="s">
        <v>51</v>
      </c>
      <c r="R210" s="58">
        <v>2020</v>
      </c>
      <c r="S210" s="58"/>
      <c r="T210" s="58"/>
      <c r="U210" s="58"/>
      <c r="V210" s="58"/>
      <c r="W210" s="58"/>
      <c r="X210" s="58" t="s">
        <v>51</v>
      </c>
      <c r="Y210" s="58"/>
      <c r="Z210" s="58"/>
      <c r="AA210" s="58"/>
      <c r="AB210" s="58"/>
      <c r="AC210" s="58" t="s">
        <v>51</v>
      </c>
      <c r="AD210" s="58"/>
      <c r="AE210" s="58"/>
      <c r="AF210" s="58"/>
      <c r="AG210" s="58"/>
      <c r="AH210" s="58"/>
      <c r="AI210" s="58"/>
    </row>
    <row r="211" spans="1:35" x14ac:dyDescent="0.35">
      <c r="A211" s="17" t="s">
        <v>46</v>
      </c>
      <c r="B211" s="17" t="s">
        <v>46</v>
      </c>
      <c r="C211" s="28" t="s">
        <v>2035</v>
      </c>
      <c r="D211" s="17" t="s">
        <v>2228</v>
      </c>
      <c r="E211" s="17" t="s">
        <v>2229</v>
      </c>
      <c r="F211" s="20">
        <v>90</v>
      </c>
      <c r="G211" s="20">
        <v>52</v>
      </c>
      <c r="H211" s="19">
        <v>252</v>
      </c>
      <c r="I211" s="20">
        <v>131</v>
      </c>
      <c r="J211" s="20">
        <v>121</v>
      </c>
      <c r="K211" s="20">
        <v>0</v>
      </c>
      <c r="L211" s="57">
        <f t="shared" si="6"/>
        <v>0</v>
      </c>
      <c r="M211" s="20">
        <v>184</v>
      </c>
      <c r="N211" s="57">
        <f t="shared" si="7"/>
        <v>0.73015873015873012</v>
      </c>
      <c r="O211" s="46">
        <v>5</v>
      </c>
      <c r="P211" s="46">
        <v>0</v>
      </c>
      <c r="Q211" s="58" t="s">
        <v>51</v>
      </c>
      <c r="R211" s="58">
        <v>2020</v>
      </c>
      <c r="S211" s="58"/>
      <c r="T211" s="58"/>
      <c r="U211" s="58"/>
      <c r="V211" s="58"/>
      <c r="W211" s="58"/>
      <c r="X211" s="58" t="s">
        <v>51</v>
      </c>
      <c r="Y211" s="58"/>
      <c r="Z211" s="58"/>
      <c r="AA211" s="58"/>
      <c r="AB211" s="58"/>
      <c r="AC211" s="58" t="s">
        <v>51</v>
      </c>
      <c r="AD211" s="58"/>
      <c r="AE211" s="58"/>
      <c r="AF211" s="58"/>
      <c r="AG211" s="58"/>
      <c r="AH211" s="58"/>
      <c r="AI211" s="58"/>
    </row>
    <row r="212" spans="1:35" x14ac:dyDescent="0.35">
      <c r="A212" s="17" t="s">
        <v>46</v>
      </c>
      <c r="B212" s="17" t="s">
        <v>46</v>
      </c>
      <c r="C212" s="28" t="s">
        <v>2035</v>
      </c>
      <c r="D212" s="17" t="s">
        <v>459</v>
      </c>
      <c r="E212" s="17" t="s">
        <v>2230</v>
      </c>
      <c r="F212" s="20">
        <v>191</v>
      </c>
      <c r="G212" s="20">
        <v>77</v>
      </c>
      <c r="H212" s="19">
        <v>349</v>
      </c>
      <c r="I212" s="20">
        <v>169</v>
      </c>
      <c r="J212" s="20">
        <v>180</v>
      </c>
      <c r="K212" s="20">
        <v>45</v>
      </c>
      <c r="L212" s="57">
        <f t="shared" si="6"/>
        <v>0.12893982808022922</v>
      </c>
      <c r="M212" s="20">
        <v>99</v>
      </c>
      <c r="N212" s="57">
        <f t="shared" si="7"/>
        <v>0.28366762177650429</v>
      </c>
      <c r="O212" s="46">
        <v>18</v>
      </c>
      <c r="P212" s="46">
        <v>0</v>
      </c>
      <c r="Q212" s="58" t="s">
        <v>51</v>
      </c>
      <c r="R212" s="58">
        <v>2020</v>
      </c>
      <c r="S212" s="58"/>
      <c r="T212" s="58"/>
      <c r="U212" s="58"/>
      <c r="V212" s="58"/>
      <c r="W212" s="58"/>
      <c r="X212" s="58" t="s">
        <v>51</v>
      </c>
      <c r="Y212" s="58"/>
      <c r="Z212" s="58"/>
      <c r="AA212" s="58"/>
      <c r="AB212" s="58"/>
      <c r="AC212" s="58" t="s">
        <v>51</v>
      </c>
      <c r="AD212" s="58"/>
      <c r="AE212" s="58"/>
      <c r="AF212" s="58"/>
      <c r="AG212" s="58"/>
      <c r="AH212" s="58"/>
      <c r="AI212" s="58"/>
    </row>
    <row r="213" spans="1:35" x14ac:dyDescent="0.35">
      <c r="A213" s="17" t="s">
        <v>46</v>
      </c>
      <c r="B213" s="17" t="s">
        <v>46</v>
      </c>
      <c r="C213" s="28" t="s">
        <v>2035</v>
      </c>
      <c r="D213" s="17" t="s">
        <v>2231</v>
      </c>
      <c r="E213" s="17" t="s">
        <v>2232</v>
      </c>
      <c r="F213" s="20">
        <v>119</v>
      </c>
      <c r="G213" s="20">
        <v>60</v>
      </c>
      <c r="H213" s="19">
        <v>276</v>
      </c>
      <c r="I213" s="20">
        <v>147</v>
      </c>
      <c r="J213" s="20">
        <v>129</v>
      </c>
      <c r="K213" s="20">
        <v>0</v>
      </c>
      <c r="L213" s="57">
        <f t="shared" si="6"/>
        <v>0</v>
      </c>
      <c r="M213" s="20">
        <v>45</v>
      </c>
      <c r="N213" s="57">
        <f t="shared" si="7"/>
        <v>0.16304347826086957</v>
      </c>
      <c r="O213" s="46">
        <v>7</v>
      </c>
      <c r="P213" s="46">
        <v>0</v>
      </c>
      <c r="Q213" s="58" t="s">
        <v>51</v>
      </c>
      <c r="R213" s="58">
        <v>2020</v>
      </c>
      <c r="S213" s="58"/>
      <c r="T213" s="58"/>
      <c r="U213" s="58"/>
      <c r="V213" s="58"/>
      <c r="W213" s="58"/>
      <c r="X213" s="58" t="s">
        <v>51</v>
      </c>
      <c r="Y213" s="58"/>
      <c r="Z213" s="58"/>
      <c r="AA213" s="58"/>
      <c r="AB213" s="58"/>
      <c r="AC213" s="58" t="s">
        <v>51</v>
      </c>
      <c r="AD213" s="58"/>
      <c r="AE213" s="58"/>
      <c r="AF213" s="58"/>
      <c r="AG213" s="58"/>
      <c r="AH213" s="58"/>
      <c r="AI213" s="58"/>
    </row>
    <row r="214" spans="1:35" x14ac:dyDescent="0.35">
      <c r="A214" s="17" t="s">
        <v>46</v>
      </c>
      <c r="B214" s="17" t="s">
        <v>46</v>
      </c>
      <c r="C214" s="28" t="s">
        <v>2035</v>
      </c>
      <c r="D214" s="17" t="s">
        <v>465</v>
      </c>
      <c r="E214" s="17" t="s">
        <v>2233</v>
      </c>
      <c r="F214" s="20">
        <v>96</v>
      </c>
      <c r="G214" s="20">
        <v>45</v>
      </c>
      <c r="H214" s="19">
        <v>237</v>
      </c>
      <c r="I214" s="20">
        <v>127</v>
      </c>
      <c r="J214" s="20">
        <v>110</v>
      </c>
      <c r="K214" s="20">
        <v>13</v>
      </c>
      <c r="L214" s="57">
        <f t="shared" si="6"/>
        <v>5.4852320675105488E-2</v>
      </c>
      <c r="M214" s="20">
        <v>25</v>
      </c>
      <c r="N214" s="57">
        <f t="shared" si="7"/>
        <v>0.10548523206751055</v>
      </c>
      <c r="O214" s="46">
        <v>8</v>
      </c>
      <c r="P214" s="46">
        <v>0</v>
      </c>
      <c r="Q214" s="58" t="s">
        <v>51</v>
      </c>
      <c r="R214" s="58">
        <v>2020</v>
      </c>
      <c r="S214" s="58"/>
      <c r="T214" s="58"/>
      <c r="U214" s="58"/>
      <c r="V214" s="58"/>
      <c r="W214" s="58"/>
      <c r="X214" s="58" t="s">
        <v>51</v>
      </c>
      <c r="Y214" s="58"/>
      <c r="Z214" s="58"/>
      <c r="AA214" s="58"/>
      <c r="AB214" s="58"/>
      <c r="AC214" s="58" t="s">
        <v>51</v>
      </c>
      <c r="AD214" s="58"/>
      <c r="AE214" s="58"/>
      <c r="AF214" s="58"/>
      <c r="AG214" s="58"/>
      <c r="AH214" s="58"/>
      <c r="AI214" s="58"/>
    </row>
    <row r="215" spans="1:35" x14ac:dyDescent="0.35">
      <c r="A215" s="17" t="s">
        <v>46</v>
      </c>
      <c r="B215" s="17" t="s">
        <v>46</v>
      </c>
      <c r="C215" s="28" t="s">
        <v>2035</v>
      </c>
      <c r="D215" s="17" t="s">
        <v>2234</v>
      </c>
      <c r="E215" s="17" t="s">
        <v>2235</v>
      </c>
      <c r="F215" s="20">
        <v>226</v>
      </c>
      <c r="G215" s="20">
        <v>66</v>
      </c>
      <c r="H215" s="19">
        <v>277</v>
      </c>
      <c r="I215" s="20">
        <v>134</v>
      </c>
      <c r="J215" s="20">
        <v>143</v>
      </c>
      <c r="K215" s="20">
        <v>14</v>
      </c>
      <c r="L215" s="57">
        <f t="shared" si="6"/>
        <v>5.0541516245487361E-2</v>
      </c>
      <c r="M215" s="20">
        <v>173</v>
      </c>
      <c r="N215" s="57">
        <f t="shared" si="7"/>
        <v>0.62454873646209386</v>
      </c>
      <c r="O215" s="46">
        <v>17</v>
      </c>
      <c r="P215" s="46">
        <v>0</v>
      </c>
      <c r="Q215" s="58" t="s">
        <v>562</v>
      </c>
      <c r="R215" s="58"/>
      <c r="S215" s="58"/>
      <c r="T215" s="58"/>
      <c r="U215" s="58"/>
      <c r="V215" s="58"/>
      <c r="W215" s="58"/>
      <c r="X215" s="58" t="s">
        <v>562</v>
      </c>
      <c r="Y215" s="58"/>
      <c r="Z215" s="58"/>
      <c r="AA215" s="58"/>
      <c r="AB215" s="58"/>
      <c r="AC215" s="58" t="s">
        <v>562</v>
      </c>
      <c r="AD215" s="58"/>
      <c r="AE215" s="58"/>
      <c r="AF215" s="58"/>
      <c r="AG215" s="58"/>
      <c r="AH215" s="58"/>
      <c r="AI215" s="58"/>
    </row>
    <row r="216" spans="1:35" x14ac:dyDescent="0.35">
      <c r="A216" s="17" t="s">
        <v>46</v>
      </c>
      <c r="B216" s="17" t="s">
        <v>46</v>
      </c>
      <c r="C216" s="28" t="s">
        <v>2035</v>
      </c>
      <c r="D216" s="17" t="s">
        <v>2236</v>
      </c>
      <c r="E216" s="17" t="s">
        <v>2237</v>
      </c>
      <c r="F216" s="20">
        <v>127</v>
      </c>
      <c r="G216" s="20">
        <v>34</v>
      </c>
      <c r="H216" s="19">
        <v>154</v>
      </c>
      <c r="I216" s="20">
        <v>79</v>
      </c>
      <c r="J216" s="20">
        <v>75</v>
      </c>
      <c r="K216" s="20">
        <v>0</v>
      </c>
      <c r="L216" s="57">
        <f t="shared" si="6"/>
        <v>0</v>
      </c>
      <c r="M216" s="20">
        <v>62</v>
      </c>
      <c r="N216" s="57">
        <f t="shared" si="7"/>
        <v>0.40259740259740262</v>
      </c>
      <c r="O216" s="46">
        <v>8</v>
      </c>
      <c r="P216" s="46">
        <v>0</v>
      </c>
      <c r="Q216" s="58" t="s">
        <v>51</v>
      </c>
      <c r="R216" s="58">
        <v>2020</v>
      </c>
      <c r="S216" s="58"/>
      <c r="T216" s="58"/>
      <c r="U216" s="58"/>
      <c r="V216" s="58"/>
      <c r="W216" s="58"/>
      <c r="X216" s="58" t="s">
        <v>51</v>
      </c>
      <c r="Y216" s="58"/>
      <c r="Z216" s="58"/>
      <c r="AA216" s="58"/>
      <c r="AB216" s="58"/>
      <c r="AC216" s="58" t="s">
        <v>51</v>
      </c>
      <c r="AD216" s="58"/>
      <c r="AE216" s="58"/>
      <c r="AF216" s="58"/>
      <c r="AG216" s="58"/>
      <c r="AH216" s="58"/>
      <c r="AI216" s="58"/>
    </row>
    <row r="217" spans="1:35" x14ac:dyDescent="0.35">
      <c r="A217" s="17" t="s">
        <v>46</v>
      </c>
      <c r="B217" s="17" t="s">
        <v>46</v>
      </c>
      <c r="C217" s="28" t="s">
        <v>2035</v>
      </c>
      <c r="D217" s="17" t="s">
        <v>2238</v>
      </c>
      <c r="E217" s="17" t="s">
        <v>2239</v>
      </c>
      <c r="F217" s="20">
        <v>193</v>
      </c>
      <c r="G217" s="20">
        <v>35</v>
      </c>
      <c r="H217" s="19">
        <v>167</v>
      </c>
      <c r="I217" s="20">
        <v>84</v>
      </c>
      <c r="J217" s="20">
        <v>83</v>
      </c>
      <c r="K217" s="20">
        <v>8</v>
      </c>
      <c r="L217" s="57">
        <f t="shared" si="6"/>
        <v>4.790419161676647E-2</v>
      </c>
      <c r="M217" s="20">
        <v>88</v>
      </c>
      <c r="N217" s="57">
        <f t="shared" si="7"/>
        <v>0.52694610778443118</v>
      </c>
      <c r="O217" s="46">
        <v>24</v>
      </c>
      <c r="P217" s="46">
        <v>0</v>
      </c>
      <c r="Q217" s="58" t="s">
        <v>51</v>
      </c>
      <c r="R217" s="58">
        <v>2020</v>
      </c>
      <c r="S217" s="58"/>
      <c r="T217" s="58"/>
      <c r="U217" s="58"/>
      <c r="V217" s="58"/>
      <c r="W217" s="58"/>
      <c r="X217" s="58" t="s">
        <v>51</v>
      </c>
      <c r="Y217" s="58"/>
      <c r="Z217" s="58"/>
      <c r="AA217" s="58"/>
      <c r="AB217" s="58"/>
      <c r="AC217" s="58" t="s">
        <v>51</v>
      </c>
      <c r="AD217" s="58"/>
      <c r="AE217" s="58"/>
      <c r="AF217" s="58"/>
      <c r="AG217" s="58"/>
      <c r="AH217" s="58"/>
      <c r="AI217" s="58"/>
    </row>
    <row r="218" spans="1:35" x14ac:dyDescent="0.35">
      <c r="A218" s="17" t="s">
        <v>46</v>
      </c>
      <c r="B218" s="17" t="s">
        <v>46</v>
      </c>
      <c r="C218" s="28" t="s">
        <v>2035</v>
      </c>
      <c r="D218" s="17" t="s">
        <v>2240</v>
      </c>
      <c r="E218" s="17" t="s">
        <v>2241</v>
      </c>
      <c r="F218" s="28">
        <v>119</v>
      </c>
      <c r="G218" s="47"/>
      <c r="H218" s="19">
        <v>0</v>
      </c>
      <c r="I218" s="47"/>
      <c r="J218" s="47"/>
      <c r="K218" s="47"/>
      <c r="L218" s="57" t="e">
        <f t="shared" si="6"/>
        <v>#DIV/0!</v>
      </c>
      <c r="M218" s="47"/>
      <c r="N218" s="57" t="e">
        <f t="shared" si="7"/>
        <v>#DIV/0!</v>
      </c>
      <c r="O218" s="48">
        <v>4</v>
      </c>
      <c r="P218" s="48">
        <v>0</v>
      </c>
      <c r="Q218" s="58" t="s">
        <v>51</v>
      </c>
      <c r="R218" s="58">
        <v>2020</v>
      </c>
      <c r="S218" s="58"/>
      <c r="T218" s="58"/>
      <c r="U218" s="58"/>
      <c r="V218" s="58"/>
      <c r="W218" s="58"/>
      <c r="X218" s="58" t="s">
        <v>51</v>
      </c>
      <c r="Y218" s="58"/>
      <c r="Z218" s="58"/>
      <c r="AA218" s="58"/>
      <c r="AB218" s="58"/>
      <c r="AC218" s="58" t="s">
        <v>51</v>
      </c>
      <c r="AD218" s="58"/>
      <c r="AE218" s="58"/>
      <c r="AF218" s="58"/>
      <c r="AG218" s="58"/>
      <c r="AH218" s="58"/>
      <c r="AI218" s="58"/>
    </row>
    <row r="219" spans="1:35" x14ac:dyDescent="0.35">
      <c r="A219" s="17" t="s">
        <v>46</v>
      </c>
      <c r="B219" s="17" t="s">
        <v>46</v>
      </c>
      <c r="C219" s="28" t="s">
        <v>2035</v>
      </c>
      <c r="D219" s="17" t="s">
        <v>2242</v>
      </c>
      <c r="E219" s="17" t="s">
        <v>2243</v>
      </c>
      <c r="F219" s="20">
        <v>307</v>
      </c>
      <c r="G219" s="20">
        <v>145</v>
      </c>
      <c r="H219" s="19">
        <v>661</v>
      </c>
      <c r="I219" s="20">
        <v>328</v>
      </c>
      <c r="J219" s="20">
        <v>333</v>
      </c>
      <c r="K219" s="20">
        <v>238</v>
      </c>
      <c r="L219" s="57">
        <f t="shared" si="6"/>
        <v>0.36006051437216341</v>
      </c>
      <c r="M219" s="20">
        <v>122</v>
      </c>
      <c r="N219" s="57">
        <f t="shared" si="7"/>
        <v>0.18456883509833585</v>
      </c>
      <c r="O219" s="46">
        <v>27</v>
      </c>
      <c r="P219" s="46">
        <v>0</v>
      </c>
      <c r="Q219" s="58" t="s">
        <v>51</v>
      </c>
      <c r="R219" s="58">
        <v>2020</v>
      </c>
      <c r="S219" s="58"/>
      <c r="T219" s="58"/>
      <c r="U219" s="58"/>
      <c r="V219" s="58"/>
      <c r="W219" s="58"/>
      <c r="X219" s="58" t="s">
        <v>51</v>
      </c>
      <c r="Y219" s="58"/>
      <c r="Z219" s="58"/>
      <c r="AA219" s="58"/>
      <c r="AB219" s="58"/>
      <c r="AC219" s="58" t="s">
        <v>51</v>
      </c>
      <c r="AD219" s="58"/>
      <c r="AE219" s="58"/>
      <c r="AF219" s="58"/>
      <c r="AG219" s="58"/>
      <c r="AH219" s="58"/>
      <c r="AI219" s="58"/>
    </row>
    <row r="220" spans="1:35" x14ac:dyDescent="0.35">
      <c r="A220" s="17" t="s">
        <v>46</v>
      </c>
      <c r="B220" s="17" t="s">
        <v>46</v>
      </c>
      <c r="C220" s="28" t="s">
        <v>2161</v>
      </c>
      <c r="D220" s="17" t="s">
        <v>2167</v>
      </c>
      <c r="E220" s="17" t="s">
        <v>2244</v>
      </c>
      <c r="F220" s="20">
        <v>175</v>
      </c>
      <c r="G220" s="20">
        <v>116</v>
      </c>
      <c r="H220" s="19">
        <v>549</v>
      </c>
      <c r="I220" s="20">
        <v>280</v>
      </c>
      <c r="J220" s="20">
        <v>269</v>
      </c>
      <c r="K220" s="20">
        <v>20</v>
      </c>
      <c r="L220" s="57">
        <f t="shared" si="6"/>
        <v>3.6429872495446269E-2</v>
      </c>
      <c r="M220" s="20">
        <v>17</v>
      </c>
      <c r="N220" s="57">
        <f t="shared" si="7"/>
        <v>3.0965391621129327E-2</v>
      </c>
      <c r="O220" s="46">
        <v>13</v>
      </c>
      <c r="P220" s="46">
        <v>0</v>
      </c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</row>
    <row r="221" spans="1:35" x14ac:dyDescent="0.35">
      <c r="A221" s="17" t="s">
        <v>46</v>
      </c>
      <c r="B221" s="17" t="s">
        <v>46</v>
      </c>
      <c r="C221" s="28" t="s">
        <v>2035</v>
      </c>
      <c r="D221" s="17" t="s">
        <v>2245</v>
      </c>
      <c r="E221" s="17" t="s">
        <v>2246</v>
      </c>
      <c r="F221" s="20">
        <v>210</v>
      </c>
      <c r="G221" s="20">
        <v>209</v>
      </c>
      <c r="H221" s="19">
        <v>1023</v>
      </c>
      <c r="I221" s="20">
        <v>530</v>
      </c>
      <c r="J221" s="20">
        <v>493</v>
      </c>
      <c r="K221" s="20">
        <v>69</v>
      </c>
      <c r="L221" s="57">
        <f t="shared" si="6"/>
        <v>6.7448680351906154E-2</v>
      </c>
      <c r="M221" s="20">
        <v>141</v>
      </c>
      <c r="N221" s="57">
        <f t="shared" si="7"/>
        <v>0.1378299120234604</v>
      </c>
      <c r="O221" s="46">
        <v>18</v>
      </c>
      <c r="P221" s="46">
        <v>0</v>
      </c>
      <c r="Q221" s="58" t="s">
        <v>51</v>
      </c>
      <c r="R221" s="58">
        <v>2020</v>
      </c>
      <c r="S221" s="58"/>
      <c r="T221" s="58"/>
      <c r="U221" s="58"/>
      <c r="V221" s="58"/>
      <c r="W221" s="58"/>
      <c r="X221" s="58" t="s">
        <v>51</v>
      </c>
      <c r="Y221" s="58"/>
      <c r="Z221" s="58"/>
      <c r="AA221" s="58"/>
      <c r="AB221" s="58"/>
      <c r="AC221" s="58" t="s">
        <v>51</v>
      </c>
      <c r="AD221" s="58"/>
      <c r="AE221" s="58"/>
      <c r="AF221" s="58"/>
      <c r="AG221" s="58"/>
      <c r="AH221" s="58"/>
      <c r="AI221" s="58"/>
    </row>
    <row r="222" spans="1:35" x14ac:dyDescent="0.35">
      <c r="A222" s="17" t="s">
        <v>46</v>
      </c>
      <c r="B222" s="17" t="s">
        <v>46</v>
      </c>
      <c r="C222" s="28" t="s">
        <v>2035</v>
      </c>
      <c r="D222" s="17" t="s">
        <v>676</v>
      </c>
      <c r="E222" s="17" t="s">
        <v>2247</v>
      </c>
      <c r="F222" s="28">
        <v>106</v>
      </c>
      <c r="G222" s="47"/>
      <c r="H222" s="19">
        <v>0</v>
      </c>
      <c r="I222" s="47"/>
      <c r="J222" s="47"/>
      <c r="K222" s="47"/>
      <c r="L222" s="57" t="e">
        <f t="shared" si="6"/>
        <v>#DIV/0!</v>
      </c>
      <c r="M222" s="47"/>
      <c r="N222" s="57" t="e">
        <f t="shared" si="7"/>
        <v>#DIV/0!</v>
      </c>
      <c r="O222" s="48">
        <v>1</v>
      </c>
      <c r="P222" s="48">
        <v>0</v>
      </c>
      <c r="Q222" s="58" t="s">
        <v>51</v>
      </c>
      <c r="R222" s="58">
        <v>2020</v>
      </c>
      <c r="S222" s="58"/>
      <c r="T222" s="58"/>
      <c r="U222" s="58"/>
      <c r="V222" s="58"/>
      <c r="W222" s="58"/>
      <c r="X222" s="58" t="s">
        <v>51</v>
      </c>
      <c r="Y222" s="58"/>
      <c r="Z222" s="58"/>
      <c r="AA222" s="58"/>
      <c r="AB222" s="58"/>
      <c r="AC222" s="58" t="s">
        <v>51</v>
      </c>
      <c r="AD222" s="58"/>
      <c r="AE222" s="58"/>
      <c r="AF222" s="58"/>
      <c r="AG222" s="58"/>
      <c r="AH222" s="58"/>
      <c r="AI222" s="58"/>
    </row>
    <row r="223" spans="1:35" x14ac:dyDescent="0.35">
      <c r="A223" s="17" t="s">
        <v>46</v>
      </c>
      <c r="B223" s="17" t="s">
        <v>46</v>
      </c>
      <c r="C223" s="28" t="s">
        <v>2035</v>
      </c>
      <c r="D223" s="17" t="s">
        <v>260</v>
      </c>
      <c r="E223" s="17" t="s">
        <v>2248</v>
      </c>
      <c r="F223" s="28">
        <v>60</v>
      </c>
      <c r="G223" s="47"/>
      <c r="H223" s="19">
        <v>0</v>
      </c>
      <c r="I223" s="47"/>
      <c r="J223" s="47"/>
      <c r="K223" s="47"/>
      <c r="L223" s="57" t="e">
        <f t="shared" si="6"/>
        <v>#DIV/0!</v>
      </c>
      <c r="M223" s="47"/>
      <c r="N223" s="57" t="e">
        <f t="shared" si="7"/>
        <v>#DIV/0!</v>
      </c>
      <c r="O223" s="48">
        <v>4</v>
      </c>
      <c r="P223" s="48">
        <v>0</v>
      </c>
      <c r="Q223" s="58" t="s">
        <v>562</v>
      </c>
      <c r="R223" s="58"/>
      <c r="S223" s="58"/>
      <c r="T223" s="58"/>
      <c r="U223" s="58"/>
      <c r="V223" s="58"/>
      <c r="W223" s="58"/>
      <c r="X223" s="58" t="s">
        <v>562</v>
      </c>
      <c r="Y223" s="58"/>
      <c r="Z223" s="58"/>
      <c r="AA223" s="58"/>
      <c r="AB223" s="58"/>
      <c r="AC223" s="58" t="s">
        <v>562</v>
      </c>
      <c r="AD223" s="58"/>
      <c r="AE223" s="58"/>
      <c r="AF223" s="58"/>
      <c r="AG223" s="58"/>
      <c r="AH223" s="58"/>
      <c r="AI223" s="58"/>
    </row>
    <row r="224" spans="1:35" x14ac:dyDescent="0.35">
      <c r="A224" s="17" t="s">
        <v>46</v>
      </c>
      <c r="B224" s="17" t="s">
        <v>46</v>
      </c>
      <c r="C224" s="28" t="s">
        <v>1946</v>
      </c>
      <c r="D224" s="17" t="s">
        <v>2249</v>
      </c>
      <c r="E224" s="17" t="s">
        <v>2250</v>
      </c>
      <c r="F224" s="20">
        <v>64.97</v>
      </c>
      <c r="G224" s="20">
        <v>13</v>
      </c>
      <c r="H224" s="19">
        <v>62</v>
      </c>
      <c r="I224" s="20">
        <v>33</v>
      </c>
      <c r="J224" s="20">
        <v>29</v>
      </c>
      <c r="K224" s="20">
        <v>0</v>
      </c>
      <c r="L224" s="57">
        <f t="shared" si="6"/>
        <v>0</v>
      </c>
      <c r="M224" s="20">
        <v>61</v>
      </c>
      <c r="N224" s="57">
        <f t="shared" si="7"/>
        <v>0.9838709677419355</v>
      </c>
      <c r="O224" s="46">
        <v>0</v>
      </c>
      <c r="P224" s="46">
        <v>15.96</v>
      </c>
      <c r="Q224" s="58" t="s">
        <v>562</v>
      </c>
      <c r="R224" s="58"/>
      <c r="S224" s="58"/>
      <c r="T224" s="58"/>
      <c r="U224" s="58"/>
      <c r="V224" s="58"/>
      <c r="W224" s="58"/>
      <c r="X224" s="58" t="s">
        <v>562</v>
      </c>
      <c r="Y224" s="58"/>
      <c r="Z224" s="58"/>
      <c r="AA224" s="58"/>
      <c r="AB224" s="58"/>
      <c r="AC224" s="58" t="s">
        <v>562</v>
      </c>
      <c r="AD224" s="58"/>
      <c r="AE224" s="58"/>
      <c r="AF224" s="58"/>
      <c r="AG224" s="58"/>
      <c r="AH224" s="58"/>
      <c r="AI224" s="58"/>
    </row>
    <row r="225" spans="1:35" x14ac:dyDescent="0.35">
      <c r="A225" s="17" t="s">
        <v>46</v>
      </c>
      <c r="B225" s="17" t="s">
        <v>46</v>
      </c>
      <c r="C225" s="28" t="s">
        <v>1946</v>
      </c>
      <c r="D225" s="17" t="s">
        <v>2251</v>
      </c>
      <c r="E225" s="17" t="s">
        <v>2252</v>
      </c>
      <c r="F225" s="20">
        <v>80.31</v>
      </c>
      <c r="G225" s="20">
        <v>74</v>
      </c>
      <c r="H225" s="19">
        <v>343</v>
      </c>
      <c r="I225" s="20">
        <v>173</v>
      </c>
      <c r="J225" s="20">
        <v>170</v>
      </c>
      <c r="K225" s="20">
        <v>34</v>
      </c>
      <c r="L225" s="57">
        <f t="shared" si="6"/>
        <v>9.9125364431486881E-2</v>
      </c>
      <c r="M225" s="20">
        <v>298</v>
      </c>
      <c r="N225" s="57">
        <f t="shared" si="7"/>
        <v>0.86880466472303208</v>
      </c>
      <c r="O225" s="46">
        <v>13.59</v>
      </c>
      <c r="P225" s="46">
        <v>19.95</v>
      </c>
      <c r="Q225" s="58" t="s">
        <v>51</v>
      </c>
      <c r="R225" s="58">
        <v>2020</v>
      </c>
      <c r="S225" s="58"/>
      <c r="T225" s="58"/>
      <c r="U225" s="58"/>
      <c r="V225" s="58"/>
      <c r="W225" s="58"/>
      <c r="X225" s="58" t="s">
        <v>51</v>
      </c>
      <c r="Y225" s="58"/>
      <c r="Z225" s="58"/>
      <c r="AA225" s="58"/>
      <c r="AB225" s="58"/>
      <c r="AC225" s="58" t="s">
        <v>51</v>
      </c>
      <c r="AD225" s="58"/>
      <c r="AE225" s="58"/>
      <c r="AF225" s="58"/>
      <c r="AG225" s="58"/>
      <c r="AH225" s="58"/>
      <c r="AI225" s="58"/>
    </row>
    <row r="226" spans="1:35" x14ac:dyDescent="0.35">
      <c r="A226" s="17" t="s">
        <v>46</v>
      </c>
      <c r="B226" s="17" t="s">
        <v>46</v>
      </c>
      <c r="C226" s="28" t="s">
        <v>1946</v>
      </c>
      <c r="D226" s="17" t="s">
        <v>987</v>
      </c>
      <c r="E226" s="17" t="s">
        <v>2253</v>
      </c>
      <c r="F226" s="20">
        <v>114.01</v>
      </c>
      <c r="G226" s="20">
        <v>59</v>
      </c>
      <c r="H226" s="19">
        <v>246</v>
      </c>
      <c r="I226" s="20">
        <v>114</v>
      </c>
      <c r="J226" s="20">
        <v>132</v>
      </c>
      <c r="K226" s="20">
        <v>7</v>
      </c>
      <c r="L226" s="57">
        <f t="shared" si="6"/>
        <v>2.8455284552845527E-2</v>
      </c>
      <c r="M226" s="20">
        <v>169</v>
      </c>
      <c r="N226" s="57">
        <f t="shared" si="7"/>
        <v>0.68699186991869921</v>
      </c>
      <c r="O226" s="46">
        <v>5.9</v>
      </c>
      <c r="P226" s="46">
        <v>37.049999999999997</v>
      </c>
      <c r="Q226" s="58" t="s">
        <v>51</v>
      </c>
      <c r="R226" s="58">
        <v>2020</v>
      </c>
      <c r="S226" s="58"/>
      <c r="T226" s="58"/>
      <c r="U226" s="58"/>
      <c r="V226" s="58"/>
      <c r="W226" s="58"/>
      <c r="X226" s="58" t="s">
        <v>51</v>
      </c>
      <c r="Y226" s="58"/>
      <c r="Z226" s="58"/>
      <c r="AA226" s="58"/>
      <c r="AB226" s="58"/>
      <c r="AC226" s="58" t="s">
        <v>51</v>
      </c>
      <c r="AD226" s="58"/>
      <c r="AE226" s="58"/>
      <c r="AF226" s="58"/>
      <c r="AG226" s="58"/>
      <c r="AH226" s="58"/>
      <c r="AI226" s="58"/>
    </row>
    <row r="227" spans="1:35" x14ac:dyDescent="0.35">
      <c r="A227" s="17" t="s">
        <v>46</v>
      </c>
      <c r="B227" s="17" t="s">
        <v>46</v>
      </c>
      <c r="C227" s="28" t="s">
        <v>2035</v>
      </c>
      <c r="D227" s="17" t="s">
        <v>2254</v>
      </c>
      <c r="E227" s="17" t="s">
        <v>2255</v>
      </c>
      <c r="F227" s="20">
        <v>105</v>
      </c>
      <c r="G227" s="20">
        <v>10</v>
      </c>
      <c r="H227" s="19">
        <v>43</v>
      </c>
      <c r="I227" s="20">
        <v>24</v>
      </c>
      <c r="J227" s="20">
        <v>19</v>
      </c>
      <c r="K227" s="20">
        <v>0</v>
      </c>
      <c r="L227" s="57">
        <f t="shared" si="6"/>
        <v>0</v>
      </c>
      <c r="M227" s="20">
        <v>34</v>
      </c>
      <c r="N227" s="57">
        <f t="shared" si="7"/>
        <v>0.79069767441860461</v>
      </c>
      <c r="O227" s="46">
        <v>14</v>
      </c>
      <c r="P227" s="46">
        <v>0</v>
      </c>
      <c r="Q227" s="58" t="s">
        <v>51</v>
      </c>
      <c r="R227" s="58">
        <v>2020</v>
      </c>
      <c r="S227" s="58"/>
      <c r="T227" s="58"/>
      <c r="U227" s="58"/>
      <c r="V227" s="58"/>
      <c r="W227" s="58"/>
      <c r="X227" s="58" t="s">
        <v>51</v>
      </c>
      <c r="Y227" s="58"/>
      <c r="Z227" s="58"/>
      <c r="AA227" s="58"/>
      <c r="AB227" s="58"/>
      <c r="AC227" s="58" t="s">
        <v>51</v>
      </c>
      <c r="AD227" s="58"/>
      <c r="AE227" s="58"/>
      <c r="AF227" s="58"/>
      <c r="AG227" s="58"/>
      <c r="AH227" s="58"/>
      <c r="AI227" s="58"/>
    </row>
    <row r="228" spans="1:35" x14ac:dyDescent="0.35">
      <c r="A228" s="17" t="s">
        <v>46</v>
      </c>
      <c r="B228" s="17" t="s">
        <v>46</v>
      </c>
      <c r="C228" s="28" t="s">
        <v>2035</v>
      </c>
      <c r="D228" s="17" t="s">
        <v>2256</v>
      </c>
      <c r="E228" s="17" t="s">
        <v>2257</v>
      </c>
      <c r="F228" s="20">
        <v>242</v>
      </c>
      <c r="G228" s="20">
        <v>69</v>
      </c>
      <c r="H228" s="19">
        <v>250</v>
      </c>
      <c r="I228" s="20">
        <v>125</v>
      </c>
      <c r="J228" s="20">
        <v>125</v>
      </c>
      <c r="K228" s="20">
        <v>16</v>
      </c>
      <c r="L228" s="57">
        <f t="shared" si="6"/>
        <v>6.4000000000000001E-2</v>
      </c>
      <c r="M228" s="20">
        <v>151</v>
      </c>
      <c r="N228" s="57">
        <f t="shared" si="7"/>
        <v>0.60399999999999998</v>
      </c>
      <c r="O228" s="46">
        <v>26</v>
      </c>
      <c r="P228" s="46">
        <v>47</v>
      </c>
      <c r="Q228" s="58" t="s">
        <v>51</v>
      </c>
      <c r="R228" s="58">
        <v>2020</v>
      </c>
      <c r="S228" s="58"/>
      <c r="T228" s="58"/>
      <c r="U228" s="58"/>
      <c r="V228" s="58"/>
      <c r="W228" s="58"/>
      <c r="X228" s="58" t="s">
        <v>51</v>
      </c>
      <c r="Y228" s="58"/>
      <c r="Z228" s="58"/>
      <c r="AA228" s="58"/>
      <c r="AB228" s="58"/>
      <c r="AC228" s="58" t="s">
        <v>51</v>
      </c>
      <c r="AD228" s="58"/>
      <c r="AE228" s="58"/>
      <c r="AF228" s="58"/>
      <c r="AG228" s="58"/>
      <c r="AH228" s="58"/>
      <c r="AI228" s="58"/>
    </row>
    <row r="229" spans="1:35" x14ac:dyDescent="0.35">
      <c r="A229" s="17" t="s">
        <v>46</v>
      </c>
      <c r="B229" s="17" t="s">
        <v>46</v>
      </c>
      <c r="C229" s="28" t="s">
        <v>1946</v>
      </c>
      <c r="D229" s="17" t="s">
        <v>2258</v>
      </c>
      <c r="E229" s="17" t="s">
        <v>2259</v>
      </c>
      <c r="F229" s="20">
        <v>123.21</v>
      </c>
      <c r="G229" s="20">
        <v>16</v>
      </c>
      <c r="H229" s="19">
        <v>69</v>
      </c>
      <c r="I229" s="20">
        <v>33</v>
      </c>
      <c r="J229" s="20">
        <v>36</v>
      </c>
      <c r="K229" s="20">
        <v>0</v>
      </c>
      <c r="L229" s="57">
        <f t="shared" si="6"/>
        <v>0</v>
      </c>
      <c r="M229" s="20">
        <v>41</v>
      </c>
      <c r="N229" s="57">
        <f t="shared" si="7"/>
        <v>0.59420289855072461</v>
      </c>
      <c r="O229" s="46">
        <v>10.8</v>
      </c>
      <c r="P229" s="46">
        <v>0</v>
      </c>
      <c r="Q229" s="58" t="s">
        <v>51</v>
      </c>
      <c r="R229" s="58">
        <v>2020</v>
      </c>
      <c r="S229" s="58"/>
      <c r="T229" s="58"/>
      <c r="U229" s="58"/>
      <c r="V229" s="58"/>
      <c r="W229" s="58"/>
      <c r="X229" s="58" t="s">
        <v>51</v>
      </c>
      <c r="Y229" s="58"/>
      <c r="Z229" s="58"/>
      <c r="AA229" s="58"/>
      <c r="AB229" s="58"/>
      <c r="AC229" s="58" t="s">
        <v>51</v>
      </c>
      <c r="AD229" s="58"/>
      <c r="AE229" s="58"/>
      <c r="AF229" s="58"/>
      <c r="AG229" s="58"/>
      <c r="AH229" s="58"/>
      <c r="AI229" s="58"/>
    </row>
    <row r="230" spans="1:35" x14ac:dyDescent="0.35">
      <c r="A230" s="17" t="s">
        <v>46</v>
      </c>
      <c r="B230" s="17" t="s">
        <v>46</v>
      </c>
      <c r="C230" s="28" t="s">
        <v>1946</v>
      </c>
      <c r="D230" s="17" t="s">
        <v>2260</v>
      </c>
      <c r="E230" s="17" t="s">
        <v>2261</v>
      </c>
      <c r="F230" s="20">
        <v>354.79</v>
      </c>
      <c r="G230" s="20">
        <v>77</v>
      </c>
      <c r="H230" s="19">
        <v>382</v>
      </c>
      <c r="I230" s="20">
        <v>185</v>
      </c>
      <c r="J230" s="20">
        <v>197</v>
      </c>
      <c r="K230" s="20">
        <v>3</v>
      </c>
      <c r="L230" s="57">
        <f t="shared" si="6"/>
        <v>7.8534031413612562E-3</v>
      </c>
      <c r="M230" s="20">
        <v>77</v>
      </c>
      <c r="N230" s="57">
        <f t="shared" si="7"/>
        <v>0.20157068062827224</v>
      </c>
      <c r="O230" s="46">
        <v>15.15</v>
      </c>
      <c r="P230" s="46">
        <v>113.81</v>
      </c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</row>
    <row r="231" spans="1:35" x14ac:dyDescent="0.35">
      <c r="A231" s="17" t="s">
        <v>46</v>
      </c>
      <c r="B231" s="17" t="s">
        <v>46</v>
      </c>
      <c r="C231" s="28" t="s">
        <v>1946</v>
      </c>
      <c r="D231" s="17" t="s">
        <v>790</v>
      </c>
      <c r="E231" s="17" t="s">
        <v>2262</v>
      </c>
      <c r="F231" s="20">
        <v>299.66000000000003</v>
      </c>
      <c r="G231" s="20">
        <v>179</v>
      </c>
      <c r="H231" s="19">
        <v>790</v>
      </c>
      <c r="I231" s="20">
        <v>390</v>
      </c>
      <c r="J231" s="20">
        <v>400</v>
      </c>
      <c r="K231" s="20">
        <v>49</v>
      </c>
      <c r="L231" s="57">
        <f t="shared" si="6"/>
        <v>6.20253164556962E-2</v>
      </c>
      <c r="M231" s="20">
        <v>211</v>
      </c>
      <c r="N231" s="57">
        <f t="shared" si="7"/>
        <v>0.26708860759493669</v>
      </c>
      <c r="O231" s="46">
        <v>5.66</v>
      </c>
      <c r="P231" s="46">
        <v>128.66</v>
      </c>
      <c r="Q231" s="58" t="s">
        <v>51</v>
      </c>
      <c r="R231" s="58">
        <v>2020</v>
      </c>
      <c r="S231" s="58"/>
      <c r="T231" s="58"/>
      <c r="U231" s="58"/>
      <c r="V231" s="58"/>
      <c r="W231" s="58"/>
      <c r="X231" s="58" t="s">
        <v>51</v>
      </c>
      <c r="Y231" s="58"/>
      <c r="Z231" s="58"/>
      <c r="AA231" s="58"/>
      <c r="AB231" s="58"/>
      <c r="AC231" s="58" t="s">
        <v>51</v>
      </c>
      <c r="AD231" s="58"/>
      <c r="AE231" s="58"/>
      <c r="AF231" s="58"/>
      <c r="AG231" s="58"/>
      <c r="AH231" s="58"/>
      <c r="AI231" s="58"/>
    </row>
    <row r="232" spans="1:35" x14ac:dyDescent="0.35">
      <c r="A232" s="17" t="s">
        <v>46</v>
      </c>
      <c r="B232" s="17" t="s">
        <v>46</v>
      </c>
      <c r="C232" s="28" t="s">
        <v>1946</v>
      </c>
      <c r="D232" s="17" t="s">
        <v>2263</v>
      </c>
      <c r="E232" s="17" t="s">
        <v>2264</v>
      </c>
      <c r="F232" s="20">
        <v>204.12</v>
      </c>
      <c r="G232" s="20">
        <v>28</v>
      </c>
      <c r="H232" s="19">
        <v>127</v>
      </c>
      <c r="I232" s="20">
        <v>62</v>
      </c>
      <c r="J232" s="20">
        <v>65</v>
      </c>
      <c r="K232" s="20">
        <v>0</v>
      </c>
      <c r="L232" s="57">
        <f t="shared" si="6"/>
        <v>0</v>
      </c>
      <c r="M232" s="20">
        <v>69</v>
      </c>
      <c r="N232" s="57">
        <f t="shared" si="7"/>
        <v>0.54330708661417326</v>
      </c>
      <c r="O232" s="46">
        <v>0</v>
      </c>
      <c r="P232" s="46">
        <v>0</v>
      </c>
      <c r="Q232" s="58" t="s">
        <v>51</v>
      </c>
      <c r="R232" s="58">
        <v>2020</v>
      </c>
      <c r="S232" s="58"/>
      <c r="T232" s="58"/>
      <c r="U232" s="58"/>
      <c r="V232" s="58"/>
      <c r="W232" s="58"/>
      <c r="X232" s="58" t="s">
        <v>51</v>
      </c>
      <c r="Y232" s="58"/>
      <c r="Z232" s="58"/>
      <c r="AA232" s="58"/>
      <c r="AB232" s="58"/>
      <c r="AC232" s="58" t="s">
        <v>51</v>
      </c>
      <c r="AD232" s="58"/>
      <c r="AE232" s="58"/>
      <c r="AF232" s="58"/>
      <c r="AG232" s="58"/>
      <c r="AH232" s="58"/>
      <c r="AI232" s="58"/>
    </row>
    <row r="233" spans="1:35" x14ac:dyDescent="0.35">
      <c r="A233" s="17" t="s">
        <v>46</v>
      </c>
      <c r="B233" s="17" t="s">
        <v>46</v>
      </c>
      <c r="C233" s="28" t="s">
        <v>1932</v>
      </c>
      <c r="D233" s="17" t="s">
        <v>2265</v>
      </c>
      <c r="E233" s="17" t="s">
        <v>2266</v>
      </c>
      <c r="F233" s="20">
        <v>292.97000000000003</v>
      </c>
      <c r="G233" s="20">
        <v>16</v>
      </c>
      <c r="H233" s="19">
        <v>73</v>
      </c>
      <c r="I233" s="20">
        <v>41</v>
      </c>
      <c r="J233" s="20">
        <v>32</v>
      </c>
      <c r="K233" s="20">
        <v>22</v>
      </c>
      <c r="L233" s="57">
        <f t="shared" si="6"/>
        <v>0.30136986301369861</v>
      </c>
      <c r="M233" s="20">
        <v>15</v>
      </c>
      <c r="N233" s="57">
        <f t="shared" si="7"/>
        <v>0.20547945205479451</v>
      </c>
      <c r="O233" s="46">
        <v>0</v>
      </c>
      <c r="P233" s="46">
        <v>0</v>
      </c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</row>
  </sheetData>
  <autoFilter ref="A2:AI233">
    <filterColumn colId="33" showButton="0"/>
  </autoFilter>
  <mergeCells count="1">
    <mergeCell ref="AH2:AI2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2"/>
  <sheetViews>
    <sheetView topLeftCell="L1" zoomScale="75" zoomScaleNormal="75" workbookViewId="0">
      <selection activeCell="L5" sqref="L5"/>
    </sheetView>
  </sheetViews>
  <sheetFormatPr defaultColWidth="9.1796875" defaultRowHeight="14.5" x14ac:dyDescent="0.35"/>
  <cols>
    <col min="15" max="35" width="14.453125" customWidth="1"/>
  </cols>
  <sheetData>
    <row r="1" spans="1:35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4"/>
      <c r="P1" s="4"/>
      <c r="Q1" s="38" t="s">
        <v>0</v>
      </c>
      <c r="R1" s="38" t="s">
        <v>0</v>
      </c>
      <c r="S1" s="38" t="s">
        <v>0</v>
      </c>
      <c r="T1" s="39" t="s">
        <v>0</v>
      </c>
      <c r="U1" s="39" t="s">
        <v>0</v>
      </c>
      <c r="V1" s="38" t="s">
        <v>1</v>
      </c>
      <c r="W1" s="38" t="s">
        <v>1</v>
      </c>
      <c r="X1" s="38" t="s">
        <v>1</v>
      </c>
      <c r="Y1" s="38" t="s">
        <v>1</v>
      </c>
      <c r="Z1" s="38" t="s">
        <v>1</v>
      </c>
      <c r="AA1" s="38" t="s">
        <v>1</v>
      </c>
      <c r="AB1" s="38" t="s">
        <v>2</v>
      </c>
      <c r="AC1" s="40" t="s">
        <v>3</v>
      </c>
      <c r="AD1" s="41" t="s">
        <v>3</v>
      </c>
      <c r="AE1" s="40" t="s">
        <v>3</v>
      </c>
      <c r="AF1" s="40" t="s">
        <v>3</v>
      </c>
      <c r="AG1" s="40" t="s">
        <v>3</v>
      </c>
      <c r="AH1" s="40" t="s">
        <v>3</v>
      </c>
      <c r="AI1" s="40" t="s">
        <v>3</v>
      </c>
    </row>
    <row r="2" spans="1:35" ht="136.25" customHeight="1" x14ac:dyDescent="0.3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5" t="s">
        <v>14</v>
      </c>
      <c r="L2" s="5"/>
      <c r="M2" s="5" t="s">
        <v>15</v>
      </c>
      <c r="N2" s="5"/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2" t="s">
        <v>21</v>
      </c>
      <c r="U2" s="42" t="s">
        <v>22</v>
      </c>
      <c r="V2" s="11" t="s">
        <v>23</v>
      </c>
      <c r="W2" s="4" t="s">
        <v>24</v>
      </c>
      <c r="X2" s="11" t="s">
        <v>25</v>
      </c>
      <c r="Y2" s="4" t="s">
        <v>26</v>
      </c>
      <c r="Z2" s="4" t="s">
        <v>27</v>
      </c>
      <c r="AA2" s="11" t="s">
        <v>28</v>
      </c>
      <c r="AB2" s="43" t="s">
        <v>29</v>
      </c>
      <c r="AC2" s="11" t="s">
        <v>30</v>
      </c>
      <c r="AD2" s="43" t="s">
        <v>31</v>
      </c>
      <c r="AE2" s="11" t="s">
        <v>32</v>
      </c>
      <c r="AF2" s="11" t="s">
        <v>33</v>
      </c>
      <c r="AG2" s="11" t="s">
        <v>34</v>
      </c>
      <c r="AH2" s="1" t="s">
        <v>35</v>
      </c>
      <c r="AI2" s="1"/>
    </row>
    <row r="3" spans="1:35" x14ac:dyDescent="0.35">
      <c r="A3" s="17"/>
      <c r="B3" s="17"/>
      <c r="C3" s="5"/>
      <c r="D3" s="5"/>
      <c r="E3" s="5"/>
      <c r="F3" s="5" t="s">
        <v>37</v>
      </c>
      <c r="G3" s="5" t="s">
        <v>38</v>
      </c>
      <c r="H3" s="5" t="s">
        <v>38</v>
      </c>
      <c r="I3" s="5" t="s">
        <v>38</v>
      </c>
      <c r="J3" s="5" t="s">
        <v>38</v>
      </c>
      <c r="K3" s="5" t="s">
        <v>38</v>
      </c>
      <c r="L3" s="5" t="s">
        <v>39</v>
      </c>
      <c r="M3" s="5"/>
      <c r="N3" s="5" t="s">
        <v>39</v>
      </c>
      <c r="O3" s="5" t="s">
        <v>37</v>
      </c>
      <c r="P3" s="5" t="s">
        <v>37</v>
      </c>
      <c r="Q3" s="5" t="s">
        <v>40</v>
      </c>
      <c r="R3" s="5" t="s">
        <v>41</v>
      </c>
      <c r="S3" s="5" t="s">
        <v>37</v>
      </c>
      <c r="T3" s="44"/>
      <c r="U3" s="44"/>
      <c r="V3" s="5" t="s">
        <v>37</v>
      </c>
      <c r="W3" s="5" t="s">
        <v>37</v>
      </c>
      <c r="X3" s="5" t="s">
        <v>40</v>
      </c>
      <c r="Y3" s="5" t="s">
        <v>40</v>
      </c>
      <c r="Z3" s="5" t="s">
        <v>40</v>
      </c>
      <c r="AA3" s="5" t="s">
        <v>37</v>
      </c>
      <c r="AB3" s="45" t="s">
        <v>42</v>
      </c>
      <c r="AC3" s="5" t="s">
        <v>40</v>
      </c>
      <c r="AD3" s="45" t="s">
        <v>40</v>
      </c>
      <c r="AE3" s="5" t="s">
        <v>40</v>
      </c>
      <c r="AF3" s="5" t="s">
        <v>37</v>
      </c>
      <c r="AG3" s="5" t="s">
        <v>43</v>
      </c>
      <c r="AH3" s="5" t="s">
        <v>44</v>
      </c>
      <c r="AI3" s="5" t="s">
        <v>45</v>
      </c>
    </row>
    <row r="4" spans="1:35" x14ac:dyDescent="0.35">
      <c r="A4" s="17" t="s">
        <v>46</v>
      </c>
      <c r="B4" s="17" t="s">
        <v>2267</v>
      </c>
      <c r="C4" s="28" t="s">
        <v>2268</v>
      </c>
      <c r="D4" s="17" t="s">
        <v>2269</v>
      </c>
      <c r="E4" s="17" t="s">
        <v>2270</v>
      </c>
      <c r="F4" s="20">
        <v>317</v>
      </c>
      <c r="G4" s="20">
        <v>142</v>
      </c>
      <c r="H4" s="19">
        <v>775</v>
      </c>
      <c r="I4" s="20">
        <v>386</v>
      </c>
      <c r="J4" s="20">
        <v>389</v>
      </c>
      <c r="K4" s="20">
        <v>109</v>
      </c>
      <c r="L4" s="57">
        <f t="shared" ref="L4:L16" si="0">K4/H4</f>
        <v>0.14064516129032259</v>
      </c>
      <c r="M4" s="20">
        <v>205</v>
      </c>
      <c r="N4" s="57">
        <f t="shared" ref="N4:N16" si="1">M4/H4</f>
        <v>0.26451612903225807</v>
      </c>
      <c r="O4" s="46">
        <v>35</v>
      </c>
      <c r="P4" s="46">
        <v>0</v>
      </c>
      <c r="Q4" s="58" t="s">
        <v>51</v>
      </c>
      <c r="R4" s="58">
        <v>2021</v>
      </c>
      <c r="S4" s="58"/>
      <c r="T4" s="58"/>
      <c r="U4" s="58"/>
      <c r="V4" s="58"/>
      <c r="W4" s="58"/>
      <c r="X4" s="58" t="s">
        <v>51</v>
      </c>
      <c r="Y4" s="58"/>
      <c r="Z4" s="58"/>
      <c r="AA4" s="58"/>
      <c r="AB4" s="58"/>
      <c r="AC4" s="58" t="s">
        <v>51</v>
      </c>
      <c r="AD4" s="58"/>
      <c r="AE4" s="58"/>
      <c r="AF4" s="58"/>
      <c r="AG4" s="58"/>
      <c r="AH4" s="58"/>
      <c r="AI4" s="58"/>
    </row>
    <row r="5" spans="1:35" x14ac:dyDescent="0.35">
      <c r="A5" s="17" t="s">
        <v>46</v>
      </c>
      <c r="B5" s="17" t="s">
        <v>2267</v>
      </c>
      <c r="C5" s="28" t="s">
        <v>2268</v>
      </c>
      <c r="D5" s="17" t="s">
        <v>2271</v>
      </c>
      <c r="E5" s="17" t="s">
        <v>2272</v>
      </c>
      <c r="F5" s="20">
        <v>121</v>
      </c>
      <c r="G5" s="20">
        <v>51</v>
      </c>
      <c r="H5" s="19">
        <v>257</v>
      </c>
      <c r="I5" s="20">
        <v>143</v>
      </c>
      <c r="J5" s="20">
        <v>114</v>
      </c>
      <c r="K5" s="20">
        <v>255</v>
      </c>
      <c r="L5" s="57">
        <f t="shared" si="0"/>
        <v>0.99221789883268485</v>
      </c>
      <c r="M5" s="20">
        <v>2</v>
      </c>
      <c r="N5" s="57">
        <f t="shared" si="1"/>
        <v>7.7821011673151752E-3</v>
      </c>
      <c r="O5" s="46">
        <v>4</v>
      </c>
      <c r="P5" s="46">
        <v>0</v>
      </c>
      <c r="Q5" s="58" t="s">
        <v>562</v>
      </c>
      <c r="R5" s="58"/>
      <c r="S5" s="58"/>
      <c r="T5" s="58"/>
      <c r="U5" s="58"/>
      <c r="V5" s="58"/>
      <c r="W5" s="58"/>
      <c r="X5" s="58" t="s">
        <v>562</v>
      </c>
      <c r="Y5" s="58"/>
      <c r="Z5" s="58"/>
      <c r="AA5" s="58"/>
      <c r="AB5" s="58"/>
      <c r="AC5" s="58" t="s">
        <v>562</v>
      </c>
      <c r="AD5" s="58"/>
      <c r="AE5" s="58"/>
      <c r="AF5" s="58"/>
      <c r="AG5" s="58"/>
      <c r="AH5" s="58"/>
      <c r="AI5" s="58"/>
    </row>
    <row r="6" spans="1:35" x14ac:dyDescent="0.35">
      <c r="A6" s="17" t="s">
        <v>46</v>
      </c>
      <c r="B6" s="17" t="s">
        <v>2267</v>
      </c>
      <c r="C6" s="28" t="s">
        <v>2268</v>
      </c>
      <c r="D6" s="17" t="s">
        <v>2273</v>
      </c>
      <c r="E6" s="17" t="s">
        <v>2274</v>
      </c>
      <c r="F6" s="20">
        <v>154</v>
      </c>
      <c r="G6" s="20">
        <v>33</v>
      </c>
      <c r="H6" s="19">
        <v>146</v>
      </c>
      <c r="I6" s="20">
        <v>67</v>
      </c>
      <c r="J6" s="20">
        <v>79</v>
      </c>
      <c r="K6" s="20">
        <v>13</v>
      </c>
      <c r="L6" s="57">
        <f t="shared" si="0"/>
        <v>8.9041095890410954E-2</v>
      </c>
      <c r="M6" s="20">
        <v>0</v>
      </c>
      <c r="N6" s="57">
        <f t="shared" si="1"/>
        <v>0</v>
      </c>
      <c r="O6" s="46">
        <v>6</v>
      </c>
      <c r="P6" s="46">
        <v>0</v>
      </c>
      <c r="Q6" s="58" t="s">
        <v>51</v>
      </c>
      <c r="R6" s="58">
        <v>2021</v>
      </c>
      <c r="S6" s="58"/>
      <c r="T6" s="58"/>
      <c r="U6" s="58"/>
      <c r="V6" s="58"/>
      <c r="W6" s="58"/>
      <c r="X6" s="58" t="s">
        <v>51</v>
      </c>
      <c r="Y6" s="58"/>
      <c r="Z6" s="58"/>
      <c r="AA6" s="58"/>
      <c r="AB6" s="58"/>
      <c r="AC6" s="58" t="s">
        <v>51</v>
      </c>
      <c r="AD6" s="58"/>
      <c r="AE6" s="58"/>
      <c r="AF6" s="58"/>
      <c r="AG6" s="58"/>
      <c r="AH6" s="58"/>
      <c r="AI6" s="58"/>
    </row>
    <row r="7" spans="1:35" x14ac:dyDescent="0.35">
      <c r="A7" s="17" t="s">
        <v>46</v>
      </c>
      <c r="B7" s="17" t="s">
        <v>2267</v>
      </c>
      <c r="C7" s="28" t="s">
        <v>2268</v>
      </c>
      <c r="D7" s="17" t="s">
        <v>2275</v>
      </c>
      <c r="E7" s="17" t="s">
        <v>2276</v>
      </c>
      <c r="F7" s="20">
        <v>539</v>
      </c>
      <c r="G7" s="20">
        <v>148</v>
      </c>
      <c r="H7" s="19">
        <v>757</v>
      </c>
      <c r="I7" s="20">
        <v>412</v>
      </c>
      <c r="J7" s="20">
        <v>345</v>
      </c>
      <c r="K7" s="20">
        <v>12</v>
      </c>
      <c r="L7" s="57">
        <f t="shared" si="0"/>
        <v>1.5852047556142668E-2</v>
      </c>
      <c r="M7" s="20">
        <v>141</v>
      </c>
      <c r="N7" s="57">
        <f t="shared" si="1"/>
        <v>0.18626155878467635</v>
      </c>
      <c r="O7" s="46">
        <v>40</v>
      </c>
      <c r="P7" s="46">
        <v>0</v>
      </c>
      <c r="Q7" s="58" t="s">
        <v>51</v>
      </c>
      <c r="R7" s="58">
        <v>2021</v>
      </c>
      <c r="S7" s="58"/>
      <c r="T7" s="58"/>
      <c r="U7" s="58"/>
      <c r="V7" s="58"/>
      <c r="W7" s="58"/>
      <c r="X7" s="58" t="s">
        <v>51</v>
      </c>
      <c r="Y7" s="58"/>
      <c r="Z7" s="58"/>
      <c r="AA7" s="58"/>
      <c r="AB7" s="58"/>
      <c r="AC7" s="58" t="s">
        <v>51</v>
      </c>
      <c r="AD7" s="58"/>
      <c r="AE7" s="58"/>
      <c r="AF7" s="58"/>
      <c r="AG7" s="58"/>
      <c r="AH7" s="58"/>
      <c r="AI7" s="58"/>
    </row>
    <row r="8" spans="1:35" x14ac:dyDescent="0.35">
      <c r="A8" s="17" t="s">
        <v>46</v>
      </c>
      <c r="B8" s="17" t="s">
        <v>2267</v>
      </c>
      <c r="C8" s="28" t="s">
        <v>2268</v>
      </c>
      <c r="D8" s="17" t="s">
        <v>1390</v>
      </c>
      <c r="E8" s="17" t="s">
        <v>2277</v>
      </c>
      <c r="F8" s="20">
        <v>273</v>
      </c>
      <c r="G8" s="20">
        <v>93</v>
      </c>
      <c r="H8" s="19">
        <v>406</v>
      </c>
      <c r="I8" s="20">
        <v>197</v>
      </c>
      <c r="J8" s="20">
        <v>209</v>
      </c>
      <c r="K8" s="20">
        <v>129</v>
      </c>
      <c r="L8" s="57">
        <f t="shared" si="0"/>
        <v>0.31773399014778325</v>
      </c>
      <c r="M8" s="20">
        <v>10</v>
      </c>
      <c r="N8" s="57">
        <f t="shared" si="1"/>
        <v>2.4630541871921183E-2</v>
      </c>
      <c r="O8" s="46">
        <v>54</v>
      </c>
      <c r="P8" s="46">
        <v>0</v>
      </c>
      <c r="Q8" s="58" t="s">
        <v>51</v>
      </c>
      <c r="R8" s="58">
        <v>2021</v>
      </c>
      <c r="S8" s="58"/>
      <c r="T8" s="58"/>
      <c r="U8" s="58"/>
      <c r="V8" s="58"/>
      <c r="W8" s="58"/>
      <c r="X8" s="58" t="s">
        <v>51</v>
      </c>
      <c r="Y8" s="58"/>
      <c r="Z8" s="58"/>
      <c r="AA8" s="58"/>
      <c r="AB8" s="58"/>
      <c r="AC8" s="58" t="s">
        <v>51</v>
      </c>
      <c r="AD8" s="58"/>
      <c r="AE8" s="58"/>
      <c r="AF8" s="58"/>
      <c r="AG8" s="58"/>
      <c r="AH8" s="58"/>
      <c r="AI8" s="58"/>
    </row>
    <row r="9" spans="1:35" x14ac:dyDescent="0.35">
      <c r="A9" s="17" t="s">
        <v>46</v>
      </c>
      <c r="B9" s="17" t="s">
        <v>2267</v>
      </c>
      <c r="C9" s="28" t="s">
        <v>2268</v>
      </c>
      <c r="D9" s="17" t="s">
        <v>2278</v>
      </c>
      <c r="E9" s="17" t="s">
        <v>2279</v>
      </c>
      <c r="F9" s="20">
        <v>633</v>
      </c>
      <c r="G9" s="20">
        <v>355</v>
      </c>
      <c r="H9" s="19">
        <v>1504</v>
      </c>
      <c r="I9" s="20">
        <v>764</v>
      </c>
      <c r="J9" s="20">
        <v>740</v>
      </c>
      <c r="K9" s="20">
        <v>311</v>
      </c>
      <c r="L9" s="57">
        <f t="shared" si="0"/>
        <v>0.20678191489361702</v>
      </c>
      <c r="M9" s="20">
        <v>201</v>
      </c>
      <c r="N9" s="57">
        <f t="shared" si="1"/>
        <v>0.13364361702127658</v>
      </c>
      <c r="O9" s="46">
        <v>188</v>
      </c>
      <c r="P9" s="46">
        <v>0</v>
      </c>
      <c r="Q9" s="58" t="s">
        <v>51</v>
      </c>
      <c r="R9" s="58">
        <v>2021</v>
      </c>
      <c r="S9" s="58"/>
      <c r="T9" s="58"/>
      <c r="U9" s="58"/>
      <c r="V9" s="58"/>
      <c r="W9" s="58"/>
      <c r="X9" s="58" t="s">
        <v>51</v>
      </c>
      <c r="Y9" s="58"/>
      <c r="Z9" s="58"/>
      <c r="AA9" s="58"/>
      <c r="AB9" s="58"/>
      <c r="AC9" s="58" t="s">
        <v>51</v>
      </c>
      <c r="AD9" s="58"/>
      <c r="AE9" s="58"/>
      <c r="AF9" s="58"/>
      <c r="AG9" s="58"/>
      <c r="AH9" s="58"/>
      <c r="AI9" s="58"/>
    </row>
    <row r="10" spans="1:35" x14ac:dyDescent="0.35">
      <c r="A10" s="17" t="s">
        <v>46</v>
      </c>
      <c r="B10" s="17" t="s">
        <v>2267</v>
      </c>
      <c r="C10" s="28" t="s">
        <v>2280</v>
      </c>
      <c r="D10" s="17" t="s">
        <v>1255</v>
      </c>
      <c r="E10" s="17" t="s">
        <v>2281</v>
      </c>
      <c r="F10" s="20">
        <v>741</v>
      </c>
      <c r="G10" s="20">
        <v>260</v>
      </c>
      <c r="H10" s="19">
        <v>1291</v>
      </c>
      <c r="I10" s="20">
        <v>623</v>
      </c>
      <c r="J10" s="20">
        <v>668</v>
      </c>
      <c r="K10" s="20">
        <v>198</v>
      </c>
      <c r="L10" s="57">
        <f t="shared" si="0"/>
        <v>0.1533694810224632</v>
      </c>
      <c r="M10" s="20">
        <v>222</v>
      </c>
      <c r="N10" s="57">
        <f t="shared" si="1"/>
        <v>0.17195972114639815</v>
      </c>
      <c r="O10" s="46">
        <v>105</v>
      </c>
      <c r="P10" s="46">
        <v>0</v>
      </c>
      <c r="Q10" s="58" t="s">
        <v>51</v>
      </c>
      <c r="R10" s="58">
        <v>2021</v>
      </c>
      <c r="S10" s="58"/>
      <c r="T10" s="58"/>
      <c r="U10" s="58"/>
      <c r="V10" s="58"/>
      <c r="W10" s="58"/>
      <c r="X10" s="58" t="s">
        <v>51</v>
      </c>
      <c r="Y10" s="58"/>
      <c r="Z10" s="58"/>
      <c r="AA10" s="58"/>
      <c r="AB10" s="58"/>
      <c r="AC10" s="58" t="s">
        <v>51</v>
      </c>
      <c r="AD10" s="58"/>
      <c r="AE10" s="58"/>
      <c r="AF10" s="58"/>
      <c r="AG10" s="58"/>
      <c r="AH10" s="58"/>
      <c r="AI10" s="58"/>
    </row>
    <row r="11" spans="1:35" x14ac:dyDescent="0.35">
      <c r="A11" s="17" t="s">
        <v>46</v>
      </c>
      <c r="B11" s="17" t="s">
        <v>2267</v>
      </c>
      <c r="C11" s="28" t="s">
        <v>2280</v>
      </c>
      <c r="D11" s="17" t="s">
        <v>2282</v>
      </c>
      <c r="E11" s="17" t="s">
        <v>2283</v>
      </c>
      <c r="F11" s="20">
        <v>412</v>
      </c>
      <c r="G11" s="20">
        <v>193</v>
      </c>
      <c r="H11" s="19">
        <v>791</v>
      </c>
      <c r="I11" s="20">
        <v>406</v>
      </c>
      <c r="J11" s="20">
        <v>385</v>
      </c>
      <c r="K11" s="20">
        <v>37</v>
      </c>
      <c r="L11" s="57">
        <f t="shared" si="0"/>
        <v>4.6776232616940583E-2</v>
      </c>
      <c r="M11" s="20">
        <v>255</v>
      </c>
      <c r="N11" s="57">
        <f t="shared" si="1"/>
        <v>0.32237673830594182</v>
      </c>
      <c r="O11" s="46">
        <v>86</v>
      </c>
      <c r="P11" s="46">
        <v>0</v>
      </c>
      <c r="Q11" s="58" t="s">
        <v>562</v>
      </c>
      <c r="R11" s="58"/>
      <c r="S11" s="58"/>
      <c r="T11" s="58"/>
      <c r="U11" s="58"/>
      <c r="V11" s="58"/>
      <c r="W11" s="58"/>
      <c r="X11" s="58" t="s">
        <v>562</v>
      </c>
      <c r="Y11" s="58"/>
      <c r="Z11" s="58"/>
      <c r="AA11" s="58"/>
      <c r="AB11" s="58"/>
      <c r="AC11" s="58" t="s">
        <v>562</v>
      </c>
      <c r="AD11" s="58"/>
      <c r="AE11" s="58"/>
      <c r="AF11" s="58"/>
      <c r="AG11" s="58"/>
      <c r="AH11" s="58"/>
      <c r="AI11" s="58"/>
    </row>
    <row r="12" spans="1:35" x14ac:dyDescent="0.35">
      <c r="A12" s="17" t="s">
        <v>46</v>
      </c>
      <c r="B12" s="17" t="s">
        <v>2267</v>
      </c>
      <c r="C12" s="28" t="s">
        <v>2284</v>
      </c>
      <c r="D12" s="17" t="s">
        <v>2285</v>
      </c>
      <c r="E12" s="17" t="s">
        <v>2286</v>
      </c>
      <c r="F12" s="20">
        <v>787</v>
      </c>
      <c r="G12" s="20">
        <v>194</v>
      </c>
      <c r="H12" s="19">
        <v>977</v>
      </c>
      <c r="I12" s="20">
        <v>526</v>
      </c>
      <c r="J12" s="20">
        <v>451</v>
      </c>
      <c r="K12" s="20">
        <v>40</v>
      </c>
      <c r="L12" s="57">
        <f t="shared" si="0"/>
        <v>4.0941658137154557E-2</v>
      </c>
      <c r="M12" s="20">
        <v>316</v>
      </c>
      <c r="N12" s="57">
        <f t="shared" si="1"/>
        <v>0.32343909928352099</v>
      </c>
      <c r="O12" s="46">
        <v>122</v>
      </c>
      <c r="P12" s="46">
        <v>0</v>
      </c>
      <c r="Q12" s="58" t="s">
        <v>51</v>
      </c>
      <c r="R12" s="58">
        <v>2021</v>
      </c>
      <c r="S12" s="58"/>
      <c r="T12" s="58"/>
      <c r="U12" s="58"/>
      <c r="V12" s="58"/>
      <c r="W12" s="58"/>
      <c r="X12" s="58" t="s">
        <v>51</v>
      </c>
      <c r="Y12" s="58"/>
      <c r="Z12" s="58"/>
      <c r="AA12" s="58"/>
      <c r="AB12" s="58"/>
      <c r="AC12" s="58" t="s">
        <v>51</v>
      </c>
      <c r="AD12" s="58"/>
      <c r="AE12" s="58"/>
      <c r="AF12" s="58"/>
      <c r="AG12" s="58"/>
      <c r="AH12" s="58"/>
      <c r="AI12" s="58"/>
    </row>
    <row r="13" spans="1:35" x14ac:dyDescent="0.35">
      <c r="A13" s="17" t="s">
        <v>46</v>
      </c>
      <c r="B13" s="17" t="s">
        <v>2267</v>
      </c>
      <c r="C13" s="28" t="s">
        <v>2280</v>
      </c>
      <c r="D13" s="17" t="s">
        <v>2287</v>
      </c>
      <c r="E13" s="17" t="s">
        <v>2288</v>
      </c>
      <c r="F13" s="20">
        <v>534</v>
      </c>
      <c r="G13" s="20">
        <v>126</v>
      </c>
      <c r="H13" s="19">
        <v>655</v>
      </c>
      <c r="I13" s="20">
        <v>331</v>
      </c>
      <c r="J13" s="20">
        <v>324</v>
      </c>
      <c r="K13" s="20">
        <v>103</v>
      </c>
      <c r="L13" s="57">
        <f t="shared" si="0"/>
        <v>0.15725190839694655</v>
      </c>
      <c r="M13" s="20">
        <v>72</v>
      </c>
      <c r="N13" s="57">
        <f t="shared" si="1"/>
        <v>0.1099236641221374</v>
      </c>
      <c r="O13" s="46">
        <v>56</v>
      </c>
      <c r="P13" s="46">
        <v>0</v>
      </c>
      <c r="Q13" s="58" t="s">
        <v>51</v>
      </c>
      <c r="R13" s="58">
        <v>2021</v>
      </c>
      <c r="S13" s="58"/>
      <c r="T13" s="58"/>
      <c r="U13" s="58"/>
      <c r="V13" s="58"/>
      <c r="W13" s="58"/>
      <c r="X13" s="58" t="s">
        <v>51</v>
      </c>
      <c r="Y13" s="58"/>
      <c r="Z13" s="58"/>
      <c r="AA13" s="58"/>
      <c r="AB13" s="58"/>
      <c r="AC13" s="58" t="s">
        <v>51</v>
      </c>
      <c r="AD13" s="58"/>
      <c r="AE13" s="58"/>
      <c r="AF13" s="58"/>
      <c r="AG13" s="58"/>
      <c r="AH13" s="58"/>
      <c r="AI13" s="58"/>
    </row>
    <row r="14" spans="1:35" x14ac:dyDescent="0.35">
      <c r="A14" s="17" t="s">
        <v>46</v>
      </c>
      <c r="B14" s="17" t="s">
        <v>2267</v>
      </c>
      <c r="C14" s="28" t="s">
        <v>2280</v>
      </c>
      <c r="D14" s="17" t="s">
        <v>966</v>
      </c>
      <c r="E14" s="17" t="s">
        <v>2289</v>
      </c>
      <c r="F14" s="20">
        <v>453</v>
      </c>
      <c r="G14" s="20">
        <v>196</v>
      </c>
      <c r="H14" s="19">
        <v>929</v>
      </c>
      <c r="I14" s="20">
        <v>481</v>
      </c>
      <c r="J14" s="20">
        <v>448</v>
      </c>
      <c r="K14" s="20">
        <v>89</v>
      </c>
      <c r="L14" s="57">
        <f t="shared" si="0"/>
        <v>9.5801937567276646E-2</v>
      </c>
      <c r="M14" s="20">
        <v>377</v>
      </c>
      <c r="N14" s="57">
        <f t="shared" si="1"/>
        <v>0.40581270182992463</v>
      </c>
      <c r="O14" s="46">
        <v>62</v>
      </c>
      <c r="P14" s="46">
        <v>0</v>
      </c>
      <c r="Q14" s="58" t="s">
        <v>51</v>
      </c>
      <c r="R14" s="58">
        <v>2021</v>
      </c>
      <c r="S14" s="58"/>
      <c r="T14" s="58"/>
      <c r="U14" s="58"/>
      <c r="V14" s="58"/>
      <c r="W14" s="58"/>
      <c r="X14" s="58" t="s">
        <v>51</v>
      </c>
      <c r="Y14" s="58"/>
      <c r="Z14" s="58"/>
      <c r="AA14" s="58"/>
      <c r="AB14" s="58"/>
      <c r="AC14" s="58" t="s">
        <v>51</v>
      </c>
      <c r="AD14" s="58"/>
      <c r="AE14" s="58"/>
      <c r="AF14" s="58"/>
      <c r="AG14" s="58"/>
      <c r="AH14" s="58"/>
      <c r="AI14" s="58"/>
    </row>
    <row r="15" spans="1:35" x14ac:dyDescent="0.35">
      <c r="A15" s="17" t="s">
        <v>46</v>
      </c>
      <c r="B15" s="17" t="s">
        <v>2267</v>
      </c>
      <c r="C15" s="28" t="s">
        <v>2290</v>
      </c>
      <c r="D15" s="17" t="s">
        <v>2291</v>
      </c>
      <c r="E15" s="17" t="s">
        <v>2292</v>
      </c>
      <c r="F15" s="20">
        <v>1631</v>
      </c>
      <c r="G15" s="20">
        <v>646</v>
      </c>
      <c r="H15" s="19">
        <v>3194</v>
      </c>
      <c r="I15" s="20">
        <v>1622</v>
      </c>
      <c r="J15" s="20">
        <v>1572</v>
      </c>
      <c r="K15" s="20">
        <v>829</v>
      </c>
      <c r="L15" s="57">
        <f t="shared" si="0"/>
        <v>0.2595491546649969</v>
      </c>
      <c r="M15" s="20">
        <v>770</v>
      </c>
      <c r="N15" s="57">
        <f t="shared" si="1"/>
        <v>0.24107701941139636</v>
      </c>
      <c r="O15" s="46">
        <v>145</v>
      </c>
      <c r="P15" s="46">
        <v>0</v>
      </c>
      <c r="Q15" s="58" t="s">
        <v>51</v>
      </c>
      <c r="R15" s="58">
        <v>2021</v>
      </c>
      <c r="S15" s="58"/>
      <c r="T15" s="58"/>
      <c r="U15" s="58"/>
      <c r="V15" s="58"/>
      <c r="W15" s="58"/>
      <c r="X15" s="58" t="s">
        <v>51</v>
      </c>
      <c r="Y15" s="58"/>
      <c r="Z15" s="58"/>
      <c r="AA15" s="58"/>
      <c r="AB15" s="58"/>
      <c r="AC15" s="58" t="s">
        <v>51</v>
      </c>
      <c r="AD15" s="58"/>
      <c r="AE15" s="58"/>
      <c r="AF15" s="58"/>
      <c r="AG15" s="58"/>
      <c r="AH15" s="58"/>
      <c r="AI15" s="58"/>
    </row>
    <row r="16" spans="1:35" x14ac:dyDescent="0.35">
      <c r="A16" s="17" t="s">
        <v>46</v>
      </c>
      <c r="B16" s="17" t="s">
        <v>2267</v>
      </c>
      <c r="C16" s="28" t="s">
        <v>2290</v>
      </c>
      <c r="D16" s="17" t="s">
        <v>2293</v>
      </c>
      <c r="E16" s="17" t="s">
        <v>2294</v>
      </c>
      <c r="F16" s="20">
        <v>207</v>
      </c>
      <c r="G16" s="20">
        <v>115</v>
      </c>
      <c r="H16" s="19">
        <v>484</v>
      </c>
      <c r="I16" s="20">
        <v>242</v>
      </c>
      <c r="J16" s="20">
        <v>242</v>
      </c>
      <c r="K16" s="20">
        <v>14</v>
      </c>
      <c r="L16" s="57">
        <f t="shared" si="0"/>
        <v>2.8925619834710745E-2</v>
      </c>
      <c r="M16" s="20">
        <v>90</v>
      </c>
      <c r="N16" s="57">
        <f t="shared" si="1"/>
        <v>0.18595041322314049</v>
      </c>
      <c r="O16" s="46">
        <v>52</v>
      </c>
      <c r="P16" s="46">
        <v>0</v>
      </c>
      <c r="Q16" s="58" t="s">
        <v>51</v>
      </c>
      <c r="R16" s="58">
        <v>2021</v>
      </c>
      <c r="S16" s="58"/>
      <c r="T16" s="58"/>
      <c r="U16" s="58"/>
      <c r="V16" s="58"/>
      <c r="W16" s="58"/>
      <c r="X16" s="58" t="s">
        <v>51</v>
      </c>
      <c r="Y16" s="58"/>
      <c r="Z16" s="58"/>
      <c r="AA16" s="58"/>
      <c r="AB16" s="58"/>
      <c r="AC16" s="58" t="s">
        <v>51</v>
      </c>
      <c r="AD16" s="58"/>
      <c r="AE16" s="58"/>
      <c r="AF16" s="58"/>
      <c r="AG16" s="58"/>
      <c r="AH16" s="58"/>
      <c r="AI16" s="58"/>
    </row>
    <row r="17" spans="1:35" x14ac:dyDescent="0.35">
      <c r="A17" s="17" t="s">
        <v>46</v>
      </c>
      <c r="B17" s="17" t="s">
        <v>2267</v>
      </c>
      <c r="C17" s="28" t="s">
        <v>2290</v>
      </c>
      <c r="D17" s="17" t="s">
        <v>2295</v>
      </c>
      <c r="E17" s="17" t="s">
        <v>2296</v>
      </c>
      <c r="F17" s="28">
        <v>120</v>
      </c>
      <c r="G17" s="47"/>
      <c r="H17" s="19">
        <v>0</v>
      </c>
      <c r="I17" s="47"/>
      <c r="J17" s="47"/>
      <c r="K17" s="47"/>
      <c r="L17" s="57"/>
      <c r="M17" s="47"/>
      <c r="N17" s="57"/>
      <c r="O17" s="48">
        <v>0</v>
      </c>
      <c r="P17" s="48">
        <v>0</v>
      </c>
      <c r="Q17" s="58" t="s">
        <v>562</v>
      </c>
      <c r="R17" s="58"/>
      <c r="S17" s="58"/>
      <c r="T17" s="58"/>
      <c r="U17" s="58"/>
      <c r="V17" s="58"/>
      <c r="W17" s="58"/>
      <c r="X17" s="58" t="s">
        <v>562</v>
      </c>
      <c r="Y17" s="58"/>
      <c r="Z17" s="58"/>
      <c r="AA17" s="58"/>
      <c r="AB17" s="58"/>
      <c r="AC17" s="58" t="s">
        <v>562</v>
      </c>
      <c r="AD17" s="58"/>
      <c r="AE17" s="58"/>
      <c r="AF17" s="58"/>
      <c r="AG17" s="58"/>
      <c r="AH17" s="58"/>
      <c r="AI17" s="58"/>
    </row>
    <row r="18" spans="1:35" x14ac:dyDescent="0.35">
      <c r="A18" s="17" t="s">
        <v>46</v>
      </c>
      <c r="B18" s="17" t="s">
        <v>2267</v>
      </c>
      <c r="C18" s="28" t="s">
        <v>2290</v>
      </c>
      <c r="D18" s="17" t="s">
        <v>1674</v>
      </c>
      <c r="E18" s="17" t="s">
        <v>2297</v>
      </c>
      <c r="F18" s="20">
        <v>319</v>
      </c>
      <c r="G18" s="20">
        <v>47</v>
      </c>
      <c r="H18" s="19">
        <v>201</v>
      </c>
      <c r="I18" s="20">
        <v>106</v>
      </c>
      <c r="J18" s="20">
        <v>95</v>
      </c>
      <c r="K18" s="20">
        <v>43</v>
      </c>
      <c r="L18" s="57">
        <f t="shared" ref="L18:L41" si="2">K18/H18</f>
        <v>0.21393034825870647</v>
      </c>
      <c r="M18" s="20">
        <v>51</v>
      </c>
      <c r="N18" s="57">
        <f t="shared" ref="N18:N41" si="3">M18/H18</f>
        <v>0.2537313432835821</v>
      </c>
      <c r="O18" s="46">
        <v>14</v>
      </c>
      <c r="P18" s="46">
        <v>0</v>
      </c>
      <c r="Q18" s="58" t="s">
        <v>51</v>
      </c>
      <c r="R18" s="58">
        <v>2021</v>
      </c>
      <c r="S18" s="58"/>
      <c r="T18" s="58"/>
      <c r="U18" s="58"/>
      <c r="V18" s="58"/>
      <c r="W18" s="58"/>
      <c r="X18" s="58" t="s">
        <v>51</v>
      </c>
      <c r="Y18" s="58"/>
      <c r="Z18" s="58"/>
      <c r="AA18" s="58"/>
      <c r="AB18" s="58"/>
      <c r="AC18" s="58" t="s">
        <v>51</v>
      </c>
      <c r="AD18" s="58"/>
      <c r="AE18" s="58"/>
      <c r="AF18" s="58"/>
      <c r="AG18" s="58"/>
      <c r="AH18" s="58"/>
      <c r="AI18" s="58"/>
    </row>
    <row r="19" spans="1:35" x14ac:dyDescent="0.35">
      <c r="A19" s="17" t="s">
        <v>46</v>
      </c>
      <c r="B19" s="17" t="s">
        <v>2267</v>
      </c>
      <c r="C19" s="28" t="s">
        <v>2298</v>
      </c>
      <c r="D19" s="17" t="s">
        <v>2299</v>
      </c>
      <c r="E19" s="17" t="s">
        <v>2300</v>
      </c>
      <c r="F19" s="20">
        <v>644</v>
      </c>
      <c r="G19" s="20">
        <v>239</v>
      </c>
      <c r="H19" s="19">
        <v>1193</v>
      </c>
      <c r="I19" s="20">
        <v>606</v>
      </c>
      <c r="J19" s="20">
        <v>587</v>
      </c>
      <c r="K19" s="20">
        <v>92</v>
      </c>
      <c r="L19" s="57">
        <f t="shared" si="2"/>
        <v>7.7116512992455991E-2</v>
      </c>
      <c r="M19" s="20">
        <v>137</v>
      </c>
      <c r="N19" s="57">
        <f t="shared" si="3"/>
        <v>0.11483654652137469</v>
      </c>
      <c r="O19" s="46">
        <v>97</v>
      </c>
      <c r="P19" s="46">
        <v>0</v>
      </c>
      <c r="Q19" s="58" t="s">
        <v>51</v>
      </c>
      <c r="R19" s="58">
        <v>2019</v>
      </c>
      <c r="S19" s="58"/>
      <c r="T19" s="58"/>
      <c r="U19" s="58"/>
      <c r="V19" s="58"/>
      <c r="W19" s="58"/>
      <c r="X19" s="58" t="s">
        <v>51</v>
      </c>
      <c r="Y19" s="58"/>
      <c r="Z19" s="58"/>
      <c r="AA19" s="58"/>
      <c r="AB19" s="58"/>
      <c r="AC19" s="58" t="s">
        <v>51</v>
      </c>
      <c r="AD19" s="58"/>
      <c r="AE19" s="58"/>
      <c r="AF19" s="58"/>
      <c r="AG19" s="58"/>
      <c r="AH19" s="58"/>
      <c r="AI19" s="58"/>
    </row>
    <row r="20" spans="1:35" x14ac:dyDescent="0.35">
      <c r="A20" s="17" t="s">
        <v>46</v>
      </c>
      <c r="B20" s="17" t="s">
        <v>2267</v>
      </c>
      <c r="C20" s="28" t="s">
        <v>2298</v>
      </c>
      <c r="D20" s="17" t="s">
        <v>2301</v>
      </c>
      <c r="E20" s="17" t="s">
        <v>2302</v>
      </c>
      <c r="F20" s="20">
        <v>554</v>
      </c>
      <c r="G20" s="20">
        <v>246</v>
      </c>
      <c r="H20" s="19">
        <v>1103</v>
      </c>
      <c r="I20" s="20">
        <v>550</v>
      </c>
      <c r="J20" s="20">
        <v>553</v>
      </c>
      <c r="K20" s="20">
        <v>176</v>
      </c>
      <c r="L20" s="57">
        <f t="shared" si="2"/>
        <v>0.15956482320942883</v>
      </c>
      <c r="M20" s="20">
        <v>189</v>
      </c>
      <c r="N20" s="57">
        <f t="shared" si="3"/>
        <v>0.17135086128739802</v>
      </c>
      <c r="O20" s="46">
        <v>70</v>
      </c>
      <c r="P20" s="46">
        <v>0</v>
      </c>
      <c r="Q20" s="58" t="s">
        <v>51</v>
      </c>
      <c r="R20" s="58">
        <v>2020</v>
      </c>
      <c r="S20" s="58"/>
      <c r="T20" s="58"/>
      <c r="U20" s="58"/>
      <c r="V20" s="58"/>
      <c r="W20" s="58"/>
      <c r="X20" s="58" t="s">
        <v>51</v>
      </c>
      <c r="Y20" s="58"/>
      <c r="Z20" s="58"/>
      <c r="AA20" s="58"/>
      <c r="AB20" s="58"/>
      <c r="AC20" s="58" t="s">
        <v>51</v>
      </c>
      <c r="AD20" s="58"/>
      <c r="AE20" s="58"/>
      <c r="AF20" s="58"/>
      <c r="AG20" s="58"/>
      <c r="AH20" s="58"/>
      <c r="AI20" s="58"/>
    </row>
    <row r="21" spans="1:35" x14ac:dyDescent="0.35">
      <c r="A21" s="17" t="s">
        <v>46</v>
      </c>
      <c r="B21" s="17" t="s">
        <v>2267</v>
      </c>
      <c r="C21" s="28" t="s">
        <v>2298</v>
      </c>
      <c r="D21" s="17" t="s">
        <v>2303</v>
      </c>
      <c r="E21" s="17" t="s">
        <v>2304</v>
      </c>
      <c r="F21" s="20">
        <v>468</v>
      </c>
      <c r="G21" s="20">
        <v>175</v>
      </c>
      <c r="H21" s="19">
        <v>813</v>
      </c>
      <c r="I21" s="20">
        <v>421</v>
      </c>
      <c r="J21" s="20">
        <v>392</v>
      </c>
      <c r="K21" s="20">
        <v>76</v>
      </c>
      <c r="L21" s="57">
        <f t="shared" si="2"/>
        <v>9.348093480934809E-2</v>
      </c>
      <c r="M21" s="20">
        <v>70</v>
      </c>
      <c r="N21" s="57">
        <f t="shared" si="3"/>
        <v>8.6100861008610086E-2</v>
      </c>
      <c r="O21" s="46">
        <v>69</v>
      </c>
      <c r="P21" s="46">
        <v>0</v>
      </c>
      <c r="Q21" s="58" t="s">
        <v>51</v>
      </c>
      <c r="R21" s="58">
        <v>2020</v>
      </c>
      <c r="S21" s="58"/>
      <c r="T21" s="58"/>
      <c r="U21" s="58"/>
      <c r="V21" s="58"/>
      <c r="W21" s="58"/>
      <c r="X21" s="58" t="s">
        <v>51</v>
      </c>
      <c r="Y21" s="58"/>
      <c r="Z21" s="58"/>
      <c r="AA21" s="58"/>
      <c r="AB21" s="58"/>
      <c r="AC21" s="58" t="s">
        <v>51</v>
      </c>
      <c r="AD21" s="58"/>
      <c r="AE21" s="58"/>
      <c r="AF21" s="58"/>
      <c r="AG21" s="58"/>
      <c r="AH21" s="58"/>
      <c r="AI21" s="58"/>
    </row>
    <row r="22" spans="1:35" x14ac:dyDescent="0.35">
      <c r="A22" s="17" t="s">
        <v>46</v>
      </c>
      <c r="B22" s="17" t="s">
        <v>2267</v>
      </c>
      <c r="C22" s="28" t="s">
        <v>933</v>
      </c>
      <c r="D22" s="17" t="s">
        <v>2305</v>
      </c>
      <c r="E22" s="17" t="s">
        <v>2306</v>
      </c>
      <c r="F22" s="20">
        <v>995</v>
      </c>
      <c r="G22" s="20">
        <v>426</v>
      </c>
      <c r="H22" s="19">
        <v>1741</v>
      </c>
      <c r="I22" s="20">
        <v>838</v>
      </c>
      <c r="J22" s="20">
        <v>903</v>
      </c>
      <c r="K22" s="20">
        <v>342</v>
      </c>
      <c r="L22" s="57">
        <f t="shared" si="2"/>
        <v>0.19643882825962092</v>
      </c>
      <c r="M22" s="20">
        <v>7</v>
      </c>
      <c r="N22" s="57">
        <f t="shared" si="3"/>
        <v>4.0206777713957496E-3</v>
      </c>
      <c r="O22" s="46">
        <v>145</v>
      </c>
      <c r="P22" s="46">
        <v>0</v>
      </c>
      <c r="Q22" s="58" t="s">
        <v>562</v>
      </c>
      <c r="R22" s="58"/>
      <c r="S22" s="58"/>
      <c r="T22" s="58"/>
      <c r="U22" s="58"/>
      <c r="V22" s="58"/>
      <c r="W22" s="58"/>
      <c r="X22" s="58" t="s">
        <v>562</v>
      </c>
      <c r="Y22" s="58"/>
      <c r="Z22" s="58"/>
      <c r="AA22" s="58"/>
      <c r="AB22" s="58"/>
      <c r="AC22" s="58" t="s">
        <v>562</v>
      </c>
      <c r="AD22" s="58"/>
      <c r="AE22" s="58"/>
      <c r="AF22" s="58"/>
      <c r="AG22" s="58"/>
      <c r="AH22" s="58"/>
      <c r="AI22" s="58"/>
    </row>
    <row r="23" spans="1:35" x14ac:dyDescent="0.35">
      <c r="A23" s="17" t="s">
        <v>46</v>
      </c>
      <c r="B23" s="17" t="s">
        <v>2267</v>
      </c>
      <c r="C23" s="28" t="s">
        <v>933</v>
      </c>
      <c r="D23" s="17" t="s">
        <v>2265</v>
      </c>
      <c r="E23" s="17" t="s">
        <v>2307</v>
      </c>
      <c r="F23" s="20">
        <v>399</v>
      </c>
      <c r="G23" s="20">
        <v>136</v>
      </c>
      <c r="H23" s="19">
        <v>650</v>
      </c>
      <c r="I23" s="20">
        <v>305</v>
      </c>
      <c r="J23" s="20">
        <v>345</v>
      </c>
      <c r="K23" s="20">
        <v>77</v>
      </c>
      <c r="L23" s="57">
        <f t="shared" si="2"/>
        <v>0.11846153846153847</v>
      </c>
      <c r="M23" s="20">
        <v>0</v>
      </c>
      <c r="N23" s="57">
        <f t="shared" si="3"/>
        <v>0</v>
      </c>
      <c r="O23" s="46">
        <v>49</v>
      </c>
      <c r="P23" s="46">
        <v>0</v>
      </c>
      <c r="Q23" s="58" t="s">
        <v>562</v>
      </c>
      <c r="R23" s="58"/>
      <c r="S23" s="58"/>
      <c r="T23" s="58"/>
      <c r="U23" s="58"/>
      <c r="V23" s="58"/>
      <c r="W23" s="58"/>
      <c r="X23" s="58" t="s">
        <v>562</v>
      </c>
      <c r="Y23" s="58"/>
      <c r="Z23" s="58"/>
      <c r="AA23" s="58"/>
      <c r="AB23" s="58"/>
      <c r="AC23" s="58" t="s">
        <v>562</v>
      </c>
      <c r="AD23" s="58"/>
      <c r="AE23" s="58"/>
      <c r="AF23" s="58"/>
      <c r="AG23" s="58"/>
      <c r="AH23" s="58"/>
      <c r="AI23" s="58"/>
    </row>
    <row r="24" spans="1:35" x14ac:dyDescent="0.35">
      <c r="A24" s="17" t="s">
        <v>46</v>
      </c>
      <c r="B24" s="17" t="s">
        <v>2267</v>
      </c>
      <c r="C24" s="28" t="s">
        <v>2308</v>
      </c>
      <c r="D24" s="17" t="s">
        <v>2309</v>
      </c>
      <c r="E24" s="17" t="s">
        <v>2310</v>
      </c>
      <c r="F24" s="20">
        <v>132</v>
      </c>
      <c r="G24" s="20">
        <v>127</v>
      </c>
      <c r="H24" s="19">
        <v>583</v>
      </c>
      <c r="I24" s="20">
        <v>306</v>
      </c>
      <c r="J24" s="20">
        <v>277</v>
      </c>
      <c r="K24" s="20">
        <v>0</v>
      </c>
      <c r="L24" s="57">
        <f t="shared" si="2"/>
        <v>0</v>
      </c>
      <c r="M24" s="20">
        <v>0</v>
      </c>
      <c r="N24" s="57">
        <f t="shared" si="3"/>
        <v>0</v>
      </c>
      <c r="O24" s="46">
        <v>13</v>
      </c>
      <c r="P24" s="46">
        <v>0</v>
      </c>
      <c r="Q24" s="58" t="s">
        <v>51</v>
      </c>
      <c r="R24" s="58">
        <v>2020</v>
      </c>
      <c r="S24" s="58"/>
      <c r="T24" s="58"/>
      <c r="U24" s="58"/>
      <c r="V24" s="58"/>
      <c r="W24" s="58"/>
      <c r="X24" s="58" t="s">
        <v>51</v>
      </c>
      <c r="Y24" s="58"/>
      <c r="Z24" s="58"/>
      <c r="AA24" s="58"/>
      <c r="AB24" s="58"/>
      <c r="AC24" s="58" t="s">
        <v>51</v>
      </c>
      <c r="AD24" s="58"/>
      <c r="AE24" s="58"/>
      <c r="AF24" s="58"/>
      <c r="AG24" s="58"/>
      <c r="AH24" s="58"/>
      <c r="AI24" s="58"/>
    </row>
    <row r="25" spans="1:35" x14ac:dyDescent="0.35">
      <c r="A25" s="17" t="s">
        <v>46</v>
      </c>
      <c r="B25" s="17" t="s">
        <v>2267</v>
      </c>
      <c r="C25" s="28" t="s">
        <v>2308</v>
      </c>
      <c r="D25" s="17" t="s">
        <v>2311</v>
      </c>
      <c r="E25" s="17" t="s">
        <v>2312</v>
      </c>
      <c r="F25" s="20">
        <v>313</v>
      </c>
      <c r="G25" s="20">
        <v>61</v>
      </c>
      <c r="H25" s="19">
        <v>328</v>
      </c>
      <c r="I25" s="20">
        <v>163</v>
      </c>
      <c r="J25" s="20">
        <v>165</v>
      </c>
      <c r="K25" s="20">
        <v>0</v>
      </c>
      <c r="L25" s="57">
        <f t="shared" si="2"/>
        <v>0</v>
      </c>
      <c r="M25" s="20">
        <v>68</v>
      </c>
      <c r="N25" s="57">
        <f t="shared" si="3"/>
        <v>0.2073170731707317</v>
      </c>
      <c r="O25" s="46">
        <v>23</v>
      </c>
      <c r="P25" s="46">
        <v>0</v>
      </c>
      <c r="Q25" s="58" t="s">
        <v>51</v>
      </c>
      <c r="R25" s="58">
        <v>2020</v>
      </c>
      <c r="S25" s="58"/>
      <c r="T25" s="58"/>
      <c r="U25" s="58"/>
      <c r="V25" s="58"/>
      <c r="W25" s="58"/>
      <c r="X25" s="58" t="s">
        <v>51</v>
      </c>
      <c r="Y25" s="58"/>
      <c r="Z25" s="58"/>
      <c r="AA25" s="58"/>
      <c r="AB25" s="58"/>
      <c r="AC25" s="58" t="s">
        <v>51</v>
      </c>
      <c r="AD25" s="58"/>
      <c r="AE25" s="58"/>
      <c r="AF25" s="58"/>
      <c r="AG25" s="58"/>
      <c r="AH25" s="58"/>
      <c r="AI25" s="58"/>
    </row>
    <row r="26" spans="1:35" x14ac:dyDescent="0.35">
      <c r="A26" s="17" t="s">
        <v>46</v>
      </c>
      <c r="B26" s="17" t="s">
        <v>2267</v>
      </c>
      <c r="C26" s="28" t="s">
        <v>2290</v>
      </c>
      <c r="D26" s="17" t="s">
        <v>2313</v>
      </c>
      <c r="E26" s="17" t="s">
        <v>2314</v>
      </c>
      <c r="F26" s="20">
        <v>158</v>
      </c>
      <c r="G26" s="20">
        <v>162</v>
      </c>
      <c r="H26" s="19">
        <v>745</v>
      </c>
      <c r="I26" s="20">
        <v>391</v>
      </c>
      <c r="J26" s="20">
        <v>354</v>
      </c>
      <c r="K26" s="20">
        <v>0</v>
      </c>
      <c r="L26" s="57">
        <f t="shared" si="2"/>
        <v>0</v>
      </c>
      <c r="M26" s="20">
        <v>336</v>
      </c>
      <c r="N26" s="57">
        <f t="shared" si="3"/>
        <v>0.45100671140939597</v>
      </c>
      <c r="O26" s="46">
        <v>31</v>
      </c>
      <c r="P26" s="46">
        <v>0</v>
      </c>
      <c r="Q26" s="58" t="s">
        <v>51</v>
      </c>
      <c r="R26" s="58">
        <v>2021</v>
      </c>
      <c r="S26" s="58"/>
      <c r="T26" s="58"/>
      <c r="U26" s="58"/>
      <c r="V26" s="58"/>
      <c r="W26" s="58"/>
      <c r="X26" s="58" t="s">
        <v>51</v>
      </c>
      <c r="Y26" s="58"/>
      <c r="Z26" s="58"/>
      <c r="AA26" s="58"/>
      <c r="AB26" s="58"/>
      <c r="AC26" s="58" t="s">
        <v>51</v>
      </c>
      <c r="AD26" s="58"/>
      <c r="AE26" s="58"/>
      <c r="AF26" s="58"/>
      <c r="AG26" s="58"/>
      <c r="AH26" s="58"/>
      <c r="AI26" s="58"/>
    </row>
    <row r="27" spans="1:35" x14ac:dyDescent="0.35">
      <c r="A27" s="17" t="s">
        <v>46</v>
      </c>
      <c r="B27" s="17" t="s">
        <v>2267</v>
      </c>
      <c r="C27" s="28" t="s">
        <v>2308</v>
      </c>
      <c r="D27" s="17" t="s">
        <v>2315</v>
      </c>
      <c r="E27" s="17" t="s">
        <v>2316</v>
      </c>
      <c r="F27" s="20">
        <v>1021</v>
      </c>
      <c r="G27" s="20">
        <v>409</v>
      </c>
      <c r="H27" s="19">
        <v>1840</v>
      </c>
      <c r="I27" s="20">
        <v>896</v>
      </c>
      <c r="J27" s="20">
        <v>944</v>
      </c>
      <c r="K27" s="20">
        <v>270</v>
      </c>
      <c r="L27" s="57">
        <f t="shared" si="2"/>
        <v>0.14673913043478262</v>
      </c>
      <c r="M27" s="20">
        <v>275</v>
      </c>
      <c r="N27" s="57">
        <f t="shared" si="3"/>
        <v>0.14945652173913043</v>
      </c>
      <c r="O27" s="46">
        <v>175</v>
      </c>
      <c r="P27" s="46">
        <v>0</v>
      </c>
      <c r="Q27" s="58" t="s">
        <v>51</v>
      </c>
      <c r="R27" s="58">
        <v>2019</v>
      </c>
      <c r="S27" s="58"/>
      <c r="T27" s="58"/>
      <c r="U27" s="58"/>
      <c r="V27" s="58"/>
      <c r="W27" s="58"/>
      <c r="X27" s="58" t="s">
        <v>51</v>
      </c>
      <c r="Y27" s="58"/>
      <c r="Z27" s="58"/>
      <c r="AA27" s="58"/>
      <c r="AB27" s="58"/>
      <c r="AC27" s="58" t="s">
        <v>51</v>
      </c>
      <c r="AD27" s="58"/>
      <c r="AE27" s="58"/>
      <c r="AF27" s="58"/>
      <c r="AG27" s="58"/>
      <c r="AH27" s="58"/>
      <c r="AI27" s="58"/>
    </row>
    <row r="28" spans="1:35" x14ac:dyDescent="0.35">
      <c r="A28" s="17" t="s">
        <v>46</v>
      </c>
      <c r="B28" s="17" t="s">
        <v>2267</v>
      </c>
      <c r="C28" s="28" t="s">
        <v>2308</v>
      </c>
      <c r="D28" s="17" t="s">
        <v>2317</v>
      </c>
      <c r="E28" s="17" t="s">
        <v>2318</v>
      </c>
      <c r="F28" s="20">
        <v>222</v>
      </c>
      <c r="G28" s="20">
        <v>207</v>
      </c>
      <c r="H28" s="19">
        <v>975</v>
      </c>
      <c r="I28" s="20">
        <v>480</v>
      </c>
      <c r="J28" s="20">
        <v>495</v>
      </c>
      <c r="K28" s="20">
        <v>10</v>
      </c>
      <c r="L28" s="57">
        <f t="shared" si="2"/>
        <v>1.0256410256410256E-2</v>
      </c>
      <c r="M28" s="20">
        <v>88</v>
      </c>
      <c r="N28" s="57">
        <f t="shared" si="3"/>
        <v>9.0256410256410263E-2</v>
      </c>
      <c r="O28" s="46">
        <v>35</v>
      </c>
      <c r="P28" s="46">
        <v>0</v>
      </c>
      <c r="Q28" s="58" t="s">
        <v>562</v>
      </c>
      <c r="R28" s="58"/>
      <c r="S28" s="58"/>
      <c r="T28" s="58"/>
      <c r="U28" s="58"/>
      <c r="V28" s="58"/>
      <c r="W28" s="58"/>
      <c r="X28" s="58" t="s">
        <v>562</v>
      </c>
      <c r="Y28" s="58"/>
      <c r="Z28" s="58"/>
      <c r="AA28" s="58"/>
      <c r="AB28" s="58"/>
      <c r="AC28" s="58" t="s">
        <v>562</v>
      </c>
      <c r="AD28" s="58"/>
      <c r="AE28" s="58"/>
      <c r="AF28" s="58"/>
      <c r="AG28" s="58"/>
      <c r="AH28" s="58"/>
      <c r="AI28" s="58"/>
    </row>
    <row r="29" spans="1:35" x14ac:dyDescent="0.35">
      <c r="A29" s="17" t="s">
        <v>46</v>
      </c>
      <c r="B29" s="17" t="s">
        <v>2267</v>
      </c>
      <c r="C29" s="28" t="s">
        <v>2308</v>
      </c>
      <c r="D29" s="17" t="s">
        <v>2106</v>
      </c>
      <c r="E29" s="17" t="s">
        <v>2319</v>
      </c>
      <c r="F29" s="20">
        <v>477</v>
      </c>
      <c r="G29" s="20">
        <v>136</v>
      </c>
      <c r="H29" s="19">
        <v>649</v>
      </c>
      <c r="I29" s="20">
        <v>328</v>
      </c>
      <c r="J29" s="20">
        <v>321</v>
      </c>
      <c r="K29" s="20">
        <v>157</v>
      </c>
      <c r="L29" s="57">
        <f t="shared" si="2"/>
        <v>0.24191063174114022</v>
      </c>
      <c r="M29" s="20">
        <v>19</v>
      </c>
      <c r="N29" s="57">
        <f t="shared" si="3"/>
        <v>2.9275808936825885E-2</v>
      </c>
      <c r="O29" s="46">
        <v>32</v>
      </c>
      <c r="P29" s="46">
        <v>0</v>
      </c>
      <c r="Q29" s="58" t="s">
        <v>51</v>
      </c>
      <c r="R29" s="58">
        <v>2020</v>
      </c>
      <c r="S29" s="58"/>
      <c r="T29" s="58"/>
      <c r="U29" s="58"/>
      <c r="V29" s="58"/>
      <c r="W29" s="58"/>
      <c r="X29" s="58" t="s">
        <v>51</v>
      </c>
      <c r="Y29" s="58"/>
      <c r="Z29" s="58"/>
      <c r="AA29" s="58"/>
      <c r="AB29" s="58"/>
      <c r="AC29" s="58" t="s">
        <v>51</v>
      </c>
      <c r="AD29" s="58"/>
      <c r="AE29" s="58"/>
      <c r="AF29" s="58"/>
      <c r="AG29" s="58"/>
      <c r="AH29" s="58"/>
      <c r="AI29" s="58"/>
    </row>
    <row r="30" spans="1:35" x14ac:dyDescent="0.35">
      <c r="A30" s="17" t="s">
        <v>46</v>
      </c>
      <c r="B30" s="17" t="s">
        <v>2267</v>
      </c>
      <c r="C30" s="28" t="s">
        <v>2320</v>
      </c>
      <c r="D30" s="17" t="s">
        <v>2321</v>
      </c>
      <c r="E30" s="17" t="s">
        <v>2322</v>
      </c>
      <c r="F30" s="20">
        <v>1961</v>
      </c>
      <c r="G30" s="20">
        <v>1384</v>
      </c>
      <c r="H30" s="19">
        <v>6592</v>
      </c>
      <c r="I30" s="20">
        <v>3318</v>
      </c>
      <c r="J30" s="20">
        <v>3274</v>
      </c>
      <c r="K30" s="20">
        <v>941</v>
      </c>
      <c r="L30" s="57">
        <f t="shared" si="2"/>
        <v>0.142748786407767</v>
      </c>
      <c r="M30" s="20">
        <v>401</v>
      </c>
      <c r="N30" s="57">
        <f t="shared" si="3"/>
        <v>6.0831310679611651E-2</v>
      </c>
      <c r="O30" s="46">
        <v>175</v>
      </c>
      <c r="P30" s="46">
        <v>0</v>
      </c>
      <c r="Q30" s="58" t="s">
        <v>51</v>
      </c>
      <c r="R30" s="58">
        <v>2020</v>
      </c>
      <c r="S30" s="58"/>
      <c r="T30" s="58"/>
      <c r="U30" s="58"/>
      <c r="V30" s="58"/>
      <c r="W30" s="58"/>
      <c r="X30" s="58" t="s">
        <v>51</v>
      </c>
      <c r="Y30" s="58"/>
      <c r="Z30" s="58"/>
      <c r="AA30" s="58"/>
      <c r="AB30" s="58"/>
      <c r="AC30" s="58" t="s">
        <v>51</v>
      </c>
      <c r="AD30" s="58"/>
      <c r="AE30" s="58"/>
      <c r="AF30" s="58"/>
      <c r="AG30" s="58"/>
      <c r="AH30" s="58"/>
      <c r="AI30" s="58"/>
    </row>
    <row r="31" spans="1:35" x14ac:dyDescent="0.35">
      <c r="A31" s="17" t="s">
        <v>46</v>
      </c>
      <c r="B31" s="17" t="s">
        <v>2267</v>
      </c>
      <c r="C31" s="28" t="s">
        <v>2323</v>
      </c>
      <c r="D31" s="17" t="s">
        <v>1165</v>
      </c>
      <c r="E31" s="17" t="s">
        <v>2324</v>
      </c>
      <c r="F31" s="20">
        <v>120</v>
      </c>
      <c r="G31" s="20">
        <v>69</v>
      </c>
      <c r="H31" s="19">
        <v>307</v>
      </c>
      <c r="I31" s="20">
        <v>151</v>
      </c>
      <c r="J31" s="20">
        <v>156</v>
      </c>
      <c r="K31" s="20">
        <v>36</v>
      </c>
      <c r="L31" s="57">
        <f t="shared" si="2"/>
        <v>0.11726384364820847</v>
      </c>
      <c r="M31" s="20">
        <v>12</v>
      </c>
      <c r="N31" s="57">
        <f t="shared" si="3"/>
        <v>3.9087947882736153E-2</v>
      </c>
      <c r="O31" s="46">
        <v>15</v>
      </c>
      <c r="P31" s="46">
        <v>0</v>
      </c>
      <c r="Q31" s="58" t="s">
        <v>51</v>
      </c>
      <c r="R31" s="58">
        <v>2021</v>
      </c>
      <c r="S31" s="58"/>
      <c r="T31" s="58"/>
      <c r="U31" s="58"/>
      <c r="V31" s="58"/>
      <c r="W31" s="58"/>
      <c r="X31" s="58" t="s">
        <v>51</v>
      </c>
      <c r="Y31" s="58"/>
      <c r="Z31" s="58"/>
      <c r="AA31" s="58"/>
      <c r="AB31" s="58"/>
      <c r="AC31" s="58" t="s">
        <v>51</v>
      </c>
      <c r="AD31" s="58"/>
      <c r="AE31" s="58"/>
      <c r="AF31" s="58"/>
      <c r="AG31" s="58"/>
      <c r="AH31" s="58"/>
      <c r="AI31" s="58"/>
    </row>
    <row r="32" spans="1:35" x14ac:dyDescent="0.35">
      <c r="A32" s="17" t="s">
        <v>46</v>
      </c>
      <c r="B32" s="17" t="s">
        <v>2267</v>
      </c>
      <c r="C32" s="28" t="s">
        <v>2325</v>
      </c>
      <c r="D32" s="17" t="s">
        <v>2326</v>
      </c>
      <c r="E32" s="17" t="s">
        <v>2327</v>
      </c>
      <c r="F32" s="20">
        <v>195</v>
      </c>
      <c r="G32" s="20">
        <v>165</v>
      </c>
      <c r="H32" s="19">
        <v>819</v>
      </c>
      <c r="I32" s="20">
        <v>409</v>
      </c>
      <c r="J32" s="20">
        <v>410</v>
      </c>
      <c r="K32" s="20">
        <v>36</v>
      </c>
      <c r="L32" s="57">
        <f t="shared" si="2"/>
        <v>4.3956043956043959E-2</v>
      </c>
      <c r="M32" s="20">
        <v>193</v>
      </c>
      <c r="N32" s="57">
        <f t="shared" si="3"/>
        <v>0.23565323565323565</v>
      </c>
      <c r="O32" s="46">
        <v>16</v>
      </c>
      <c r="P32" s="46">
        <v>0</v>
      </c>
      <c r="Q32" s="58" t="s">
        <v>51</v>
      </c>
      <c r="R32" s="58">
        <v>2020</v>
      </c>
      <c r="S32" s="58"/>
      <c r="T32" s="58"/>
      <c r="U32" s="58"/>
      <c r="V32" s="58"/>
      <c r="W32" s="58"/>
      <c r="X32" s="58" t="s">
        <v>51</v>
      </c>
      <c r="Y32" s="58"/>
      <c r="Z32" s="58"/>
      <c r="AA32" s="58"/>
      <c r="AB32" s="58"/>
      <c r="AC32" s="58" t="s">
        <v>51</v>
      </c>
      <c r="AD32" s="58"/>
      <c r="AE32" s="58"/>
      <c r="AF32" s="58"/>
      <c r="AG32" s="58"/>
      <c r="AH32" s="58"/>
      <c r="AI32" s="58"/>
    </row>
    <row r="33" spans="1:35" x14ac:dyDescent="0.35">
      <c r="A33" s="17" t="s">
        <v>46</v>
      </c>
      <c r="B33" s="17" t="s">
        <v>2267</v>
      </c>
      <c r="C33" s="28" t="s">
        <v>2284</v>
      </c>
      <c r="D33" s="17" t="s">
        <v>2328</v>
      </c>
      <c r="E33" s="17" t="s">
        <v>2329</v>
      </c>
      <c r="F33" s="20">
        <v>554</v>
      </c>
      <c r="G33" s="20">
        <v>273</v>
      </c>
      <c r="H33" s="19">
        <v>1240</v>
      </c>
      <c r="I33" s="20">
        <v>594</v>
      </c>
      <c r="J33" s="20">
        <v>646</v>
      </c>
      <c r="K33" s="20">
        <v>121</v>
      </c>
      <c r="L33" s="57">
        <f t="shared" si="2"/>
        <v>9.7580645161290322E-2</v>
      </c>
      <c r="M33" s="20">
        <v>304</v>
      </c>
      <c r="N33" s="57">
        <f t="shared" si="3"/>
        <v>0.24516129032258063</v>
      </c>
      <c r="O33" s="46">
        <v>92</v>
      </c>
      <c r="P33" s="46">
        <v>0</v>
      </c>
      <c r="Q33" s="58" t="s">
        <v>51</v>
      </c>
      <c r="R33" s="58">
        <v>2021</v>
      </c>
      <c r="S33" s="58"/>
      <c r="T33" s="58"/>
      <c r="U33" s="58"/>
      <c r="V33" s="58"/>
      <c r="W33" s="58"/>
      <c r="X33" s="58" t="s">
        <v>51</v>
      </c>
      <c r="Y33" s="58"/>
      <c r="Z33" s="58"/>
      <c r="AA33" s="58"/>
      <c r="AB33" s="58"/>
      <c r="AC33" s="58" t="s">
        <v>51</v>
      </c>
      <c r="AD33" s="58"/>
      <c r="AE33" s="58"/>
      <c r="AF33" s="58"/>
      <c r="AG33" s="58"/>
      <c r="AH33" s="58"/>
      <c r="AI33" s="58"/>
    </row>
    <row r="34" spans="1:35" x14ac:dyDescent="0.35">
      <c r="A34" s="17" t="s">
        <v>46</v>
      </c>
      <c r="B34" s="17" t="s">
        <v>2267</v>
      </c>
      <c r="C34" s="28" t="s">
        <v>2284</v>
      </c>
      <c r="D34" s="17" t="s">
        <v>2330</v>
      </c>
      <c r="E34" s="17" t="s">
        <v>2331</v>
      </c>
      <c r="F34" s="20">
        <v>570</v>
      </c>
      <c r="G34" s="20">
        <v>366</v>
      </c>
      <c r="H34" s="19">
        <v>1691</v>
      </c>
      <c r="I34" s="20">
        <v>836</v>
      </c>
      <c r="J34" s="20">
        <v>855</v>
      </c>
      <c r="K34" s="20">
        <v>502</v>
      </c>
      <c r="L34" s="57">
        <f t="shared" si="2"/>
        <v>0.29686575990538144</v>
      </c>
      <c r="M34" s="20">
        <v>69</v>
      </c>
      <c r="N34" s="57">
        <f t="shared" si="3"/>
        <v>4.0804257835600238E-2</v>
      </c>
      <c r="O34" s="46">
        <v>100</v>
      </c>
      <c r="P34" s="46">
        <v>0</v>
      </c>
      <c r="Q34" s="58" t="s">
        <v>51</v>
      </c>
      <c r="R34" s="58">
        <v>2021</v>
      </c>
      <c r="S34" s="58"/>
      <c r="T34" s="58"/>
      <c r="U34" s="58"/>
      <c r="V34" s="58"/>
      <c r="W34" s="58"/>
      <c r="X34" s="58" t="s">
        <v>51</v>
      </c>
      <c r="Y34" s="58"/>
      <c r="Z34" s="58"/>
      <c r="AA34" s="58"/>
      <c r="AB34" s="58"/>
      <c r="AC34" s="58" t="s">
        <v>51</v>
      </c>
      <c r="AD34" s="58"/>
      <c r="AE34" s="58"/>
      <c r="AF34" s="58"/>
      <c r="AG34" s="58"/>
      <c r="AH34" s="58"/>
      <c r="AI34" s="58"/>
    </row>
    <row r="35" spans="1:35" x14ac:dyDescent="0.35">
      <c r="A35" s="17" t="s">
        <v>46</v>
      </c>
      <c r="B35" s="17" t="s">
        <v>2267</v>
      </c>
      <c r="C35" s="28" t="s">
        <v>2284</v>
      </c>
      <c r="D35" s="17" t="s">
        <v>2332</v>
      </c>
      <c r="E35" s="17" t="s">
        <v>2333</v>
      </c>
      <c r="F35" s="20">
        <v>175</v>
      </c>
      <c r="G35" s="20">
        <v>94</v>
      </c>
      <c r="H35" s="19">
        <v>490</v>
      </c>
      <c r="I35" s="20">
        <v>252</v>
      </c>
      <c r="J35" s="20">
        <v>238</v>
      </c>
      <c r="K35" s="20">
        <v>0</v>
      </c>
      <c r="L35" s="57">
        <f t="shared" si="2"/>
        <v>0</v>
      </c>
      <c r="M35" s="20">
        <v>0</v>
      </c>
      <c r="N35" s="57">
        <f t="shared" si="3"/>
        <v>0</v>
      </c>
      <c r="O35" s="46">
        <v>0</v>
      </c>
      <c r="P35" s="46">
        <v>0</v>
      </c>
      <c r="Q35" s="58" t="s">
        <v>51</v>
      </c>
      <c r="R35" s="58">
        <v>2021</v>
      </c>
      <c r="S35" s="58"/>
      <c r="T35" s="58"/>
      <c r="U35" s="58"/>
      <c r="V35" s="58"/>
      <c r="W35" s="58"/>
      <c r="X35" s="58" t="s">
        <v>51</v>
      </c>
      <c r="Y35" s="58"/>
      <c r="Z35" s="58"/>
      <c r="AA35" s="58"/>
      <c r="AB35" s="58"/>
      <c r="AC35" s="58" t="s">
        <v>51</v>
      </c>
      <c r="AD35" s="58"/>
      <c r="AE35" s="58"/>
      <c r="AF35" s="58"/>
      <c r="AG35" s="58"/>
      <c r="AH35" s="58"/>
      <c r="AI35" s="58"/>
    </row>
    <row r="36" spans="1:35" x14ac:dyDescent="0.35">
      <c r="A36" s="17" t="s">
        <v>46</v>
      </c>
      <c r="B36" s="17" t="s">
        <v>2267</v>
      </c>
      <c r="C36" s="28" t="s">
        <v>2284</v>
      </c>
      <c r="D36" s="17" t="s">
        <v>2334</v>
      </c>
      <c r="E36" s="17" t="s">
        <v>2335</v>
      </c>
      <c r="F36" s="20">
        <v>368</v>
      </c>
      <c r="G36" s="20">
        <v>120</v>
      </c>
      <c r="H36" s="19">
        <v>573</v>
      </c>
      <c r="I36" s="20">
        <v>282</v>
      </c>
      <c r="J36" s="20">
        <v>291</v>
      </c>
      <c r="K36" s="20">
        <v>67</v>
      </c>
      <c r="L36" s="57">
        <f t="shared" si="2"/>
        <v>0.1169284467713787</v>
      </c>
      <c r="M36" s="20">
        <v>153</v>
      </c>
      <c r="N36" s="57">
        <f t="shared" si="3"/>
        <v>0.26701570680628273</v>
      </c>
      <c r="O36" s="46">
        <v>90</v>
      </c>
      <c r="P36" s="46">
        <v>0</v>
      </c>
      <c r="Q36" s="58" t="s">
        <v>51</v>
      </c>
      <c r="R36" s="58">
        <v>2021</v>
      </c>
      <c r="S36" s="58"/>
      <c r="T36" s="58"/>
      <c r="U36" s="58"/>
      <c r="V36" s="58"/>
      <c r="W36" s="58"/>
      <c r="X36" s="58" t="s">
        <v>51</v>
      </c>
      <c r="Y36" s="58"/>
      <c r="Z36" s="58"/>
      <c r="AA36" s="58"/>
      <c r="AB36" s="58"/>
      <c r="AC36" s="58" t="s">
        <v>51</v>
      </c>
      <c r="AD36" s="58"/>
      <c r="AE36" s="58"/>
      <c r="AF36" s="58"/>
      <c r="AG36" s="58"/>
      <c r="AH36" s="58"/>
      <c r="AI36" s="58"/>
    </row>
    <row r="37" spans="1:35" x14ac:dyDescent="0.35">
      <c r="A37" s="17" t="s">
        <v>46</v>
      </c>
      <c r="B37" s="17" t="s">
        <v>2267</v>
      </c>
      <c r="C37" s="28" t="s">
        <v>2325</v>
      </c>
      <c r="D37" s="17" t="s">
        <v>2336</v>
      </c>
      <c r="E37" s="17" t="s">
        <v>2337</v>
      </c>
      <c r="F37" s="20">
        <v>1051</v>
      </c>
      <c r="G37" s="20">
        <v>405</v>
      </c>
      <c r="H37" s="19">
        <v>2172</v>
      </c>
      <c r="I37" s="20">
        <v>1131</v>
      </c>
      <c r="J37" s="20">
        <v>1041</v>
      </c>
      <c r="K37" s="20">
        <v>247</v>
      </c>
      <c r="L37" s="57">
        <f t="shared" si="2"/>
        <v>0.11372007366482505</v>
      </c>
      <c r="M37" s="20">
        <v>54</v>
      </c>
      <c r="N37" s="57">
        <f t="shared" si="3"/>
        <v>2.4861878453038673E-2</v>
      </c>
      <c r="O37" s="46">
        <v>122</v>
      </c>
      <c r="P37" s="46">
        <v>0</v>
      </c>
      <c r="Q37" s="58" t="s">
        <v>51</v>
      </c>
      <c r="R37" s="58">
        <v>2020</v>
      </c>
      <c r="S37" s="58"/>
      <c r="T37" s="58"/>
      <c r="U37" s="58"/>
      <c r="V37" s="58"/>
      <c r="W37" s="58"/>
      <c r="X37" s="58" t="s">
        <v>51</v>
      </c>
      <c r="Y37" s="58"/>
      <c r="Z37" s="58"/>
      <c r="AA37" s="58"/>
      <c r="AB37" s="58"/>
      <c r="AC37" s="58" t="s">
        <v>51</v>
      </c>
      <c r="AD37" s="58"/>
      <c r="AE37" s="58"/>
      <c r="AF37" s="58"/>
      <c r="AG37" s="58"/>
      <c r="AH37" s="58"/>
      <c r="AI37" s="58"/>
    </row>
    <row r="38" spans="1:35" x14ac:dyDescent="0.35">
      <c r="A38" s="17" t="s">
        <v>46</v>
      </c>
      <c r="B38" s="17" t="s">
        <v>2267</v>
      </c>
      <c r="C38" s="28" t="s">
        <v>2325</v>
      </c>
      <c r="D38" s="17" t="s">
        <v>2338</v>
      </c>
      <c r="E38" s="17" t="s">
        <v>2339</v>
      </c>
      <c r="F38" s="20">
        <v>130</v>
      </c>
      <c r="G38" s="20">
        <v>31</v>
      </c>
      <c r="H38" s="19">
        <v>132</v>
      </c>
      <c r="I38" s="20">
        <v>66</v>
      </c>
      <c r="J38" s="20">
        <v>66</v>
      </c>
      <c r="K38" s="20">
        <v>0</v>
      </c>
      <c r="L38" s="57">
        <f t="shared" si="2"/>
        <v>0</v>
      </c>
      <c r="M38" s="20">
        <v>40</v>
      </c>
      <c r="N38" s="57">
        <f t="shared" si="3"/>
        <v>0.30303030303030304</v>
      </c>
      <c r="O38" s="46">
        <v>5</v>
      </c>
      <c r="P38" s="46">
        <v>0</v>
      </c>
      <c r="Q38" s="58" t="s">
        <v>562</v>
      </c>
      <c r="R38" s="58"/>
      <c r="S38" s="58"/>
      <c r="T38" s="58"/>
      <c r="U38" s="58"/>
      <c r="V38" s="58"/>
      <c r="W38" s="58"/>
      <c r="X38" s="58" t="s">
        <v>562</v>
      </c>
      <c r="Y38" s="58"/>
      <c r="Z38" s="58"/>
      <c r="AA38" s="58"/>
      <c r="AB38" s="58"/>
      <c r="AC38" s="58" t="s">
        <v>562</v>
      </c>
      <c r="AD38" s="58"/>
      <c r="AE38" s="58"/>
      <c r="AF38" s="58"/>
      <c r="AG38" s="58"/>
      <c r="AH38" s="58"/>
      <c r="AI38" s="58"/>
    </row>
    <row r="39" spans="1:35" x14ac:dyDescent="0.35">
      <c r="A39" s="17" t="s">
        <v>46</v>
      </c>
      <c r="B39" s="17" t="s">
        <v>2267</v>
      </c>
      <c r="C39" s="28" t="s">
        <v>2340</v>
      </c>
      <c r="D39" s="17" t="s">
        <v>2341</v>
      </c>
      <c r="E39" s="17" t="s">
        <v>2342</v>
      </c>
      <c r="F39" s="20">
        <v>1131</v>
      </c>
      <c r="G39" s="20">
        <v>505</v>
      </c>
      <c r="H39" s="19">
        <v>2408</v>
      </c>
      <c r="I39" s="20">
        <v>1256</v>
      </c>
      <c r="J39" s="20">
        <v>1152</v>
      </c>
      <c r="K39" s="20">
        <v>338</v>
      </c>
      <c r="L39" s="57">
        <f t="shared" si="2"/>
        <v>0.14036544850498339</v>
      </c>
      <c r="M39" s="20">
        <v>168</v>
      </c>
      <c r="N39" s="57">
        <f t="shared" si="3"/>
        <v>6.9767441860465115E-2</v>
      </c>
      <c r="O39" s="46">
        <v>164</v>
      </c>
      <c r="P39" s="46">
        <v>0</v>
      </c>
      <c r="Q39" s="58" t="s">
        <v>51</v>
      </c>
      <c r="R39" s="58">
        <v>2021</v>
      </c>
      <c r="S39" s="58"/>
      <c r="T39" s="58"/>
      <c r="U39" s="58"/>
      <c r="V39" s="58"/>
      <c r="W39" s="58"/>
      <c r="X39" s="58" t="s">
        <v>51</v>
      </c>
      <c r="Y39" s="58"/>
      <c r="Z39" s="58"/>
      <c r="AA39" s="58"/>
      <c r="AB39" s="58"/>
      <c r="AC39" s="58" t="s">
        <v>51</v>
      </c>
      <c r="AD39" s="58"/>
      <c r="AE39" s="58"/>
      <c r="AF39" s="58"/>
      <c r="AG39" s="58"/>
      <c r="AH39" s="58"/>
      <c r="AI39" s="58"/>
    </row>
    <row r="40" spans="1:35" x14ac:dyDescent="0.35">
      <c r="A40" s="17" t="s">
        <v>46</v>
      </c>
      <c r="B40" s="17" t="s">
        <v>2267</v>
      </c>
      <c r="C40" s="28" t="s">
        <v>2340</v>
      </c>
      <c r="D40" s="17" t="s">
        <v>2343</v>
      </c>
      <c r="E40" s="17" t="s">
        <v>2344</v>
      </c>
      <c r="F40" s="20">
        <v>96</v>
      </c>
      <c r="G40" s="20">
        <v>87</v>
      </c>
      <c r="H40" s="19">
        <v>371</v>
      </c>
      <c r="I40" s="20">
        <v>178</v>
      </c>
      <c r="J40" s="20">
        <v>193</v>
      </c>
      <c r="K40" s="20">
        <v>120</v>
      </c>
      <c r="L40" s="57">
        <f t="shared" si="2"/>
        <v>0.32345013477088946</v>
      </c>
      <c r="M40" s="20">
        <v>0</v>
      </c>
      <c r="N40" s="57">
        <f t="shared" si="3"/>
        <v>0</v>
      </c>
      <c r="O40" s="46">
        <v>0</v>
      </c>
      <c r="P40" s="46">
        <v>0</v>
      </c>
      <c r="Q40" s="58" t="s">
        <v>562</v>
      </c>
      <c r="R40" s="58"/>
      <c r="S40" s="58"/>
      <c r="T40" s="58"/>
      <c r="U40" s="58"/>
      <c r="V40" s="58"/>
      <c r="W40" s="58"/>
      <c r="X40" s="58" t="s">
        <v>562</v>
      </c>
      <c r="Y40" s="58"/>
      <c r="Z40" s="58"/>
      <c r="AA40" s="58"/>
      <c r="AB40" s="58"/>
      <c r="AC40" s="58" t="s">
        <v>562</v>
      </c>
      <c r="AD40" s="58"/>
      <c r="AE40" s="58"/>
      <c r="AF40" s="58"/>
      <c r="AG40" s="58"/>
      <c r="AH40" s="58"/>
      <c r="AI40" s="58"/>
    </row>
    <row r="41" spans="1:35" x14ac:dyDescent="0.35">
      <c r="A41" s="17" t="s">
        <v>46</v>
      </c>
      <c r="B41" s="17" t="s">
        <v>2267</v>
      </c>
      <c r="C41" s="28" t="s">
        <v>2345</v>
      </c>
      <c r="D41" s="17" t="s">
        <v>2086</v>
      </c>
      <c r="E41" s="17" t="s">
        <v>2346</v>
      </c>
      <c r="F41" s="20">
        <v>1370</v>
      </c>
      <c r="G41" s="20">
        <v>518</v>
      </c>
      <c r="H41" s="19">
        <v>2501</v>
      </c>
      <c r="I41" s="20">
        <v>1227</v>
      </c>
      <c r="J41" s="20">
        <v>1274</v>
      </c>
      <c r="K41" s="20">
        <v>342</v>
      </c>
      <c r="L41" s="57">
        <f t="shared" si="2"/>
        <v>0.1367453018792483</v>
      </c>
      <c r="M41" s="20">
        <v>318</v>
      </c>
      <c r="N41" s="57">
        <f t="shared" si="3"/>
        <v>0.12714914034386246</v>
      </c>
      <c r="O41" s="46">
        <v>107</v>
      </c>
      <c r="P41" s="46">
        <v>0</v>
      </c>
      <c r="Q41" s="58" t="s">
        <v>51</v>
      </c>
      <c r="R41" s="58">
        <v>2020</v>
      </c>
      <c r="S41" s="58"/>
      <c r="T41" s="58"/>
      <c r="U41" s="58"/>
      <c r="V41" s="58"/>
      <c r="W41" s="58"/>
      <c r="X41" s="58" t="s">
        <v>51</v>
      </c>
      <c r="Y41" s="58"/>
      <c r="Z41" s="58"/>
      <c r="AA41" s="58"/>
      <c r="AB41" s="58"/>
      <c r="AC41" s="58" t="s">
        <v>51</v>
      </c>
      <c r="AD41" s="58"/>
      <c r="AE41" s="58"/>
      <c r="AF41" s="58"/>
      <c r="AG41" s="58"/>
      <c r="AH41" s="58"/>
      <c r="AI41" s="58"/>
    </row>
    <row r="42" spans="1:35" x14ac:dyDescent="0.35">
      <c r="A42" s="17" t="s">
        <v>46</v>
      </c>
      <c r="B42" s="17" t="s">
        <v>2267</v>
      </c>
      <c r="C42" s="28" t="s">
        <v>2345</v>
      </c>
      <c r="D42" s="17" t="s">
        <v>2347</v>
      </c>
      <c r="E42" s="17" t="s">
        <v>2348</v>
      </c>
      <c r="F42" s="28">
        <v>105</v>
      </c>
      <c r="G42" s="47"/>
      <c r="H42" s="19">
        <v>0</v>
      </c>
      <c r="I42" s="47"/>
      <c r="J42" s="47"/>
      <c r="K42" s="47"/>
      <c r="L42" s="57"/>
      <c r="M42" s="47"/>
      <c r="N42" s="57"/>
      <c r="O42" s="48">
        <v>0</v>
      </c>
      <c r="P42" s="48">
        <v>0</v>
      </c>
      <c r="Q42" s="58" t="s">
        <v>562</v>
      </c>
      <c r="R42" s="58"/>
      <c r="S42" s="58"/>
      <c r="T42" s="58"/>
      <c r="U42" s="58"/>
      <c r="V42" s="58"/>
      <c r="W42" s="58"/>
      <c r="X42" s="58" t="s">
        <v>562</v>
      </c>
      <c r="Y42" s="58"/>
      <c r="Z42" s="58"/>
      <c r="AA42" s="58"/>
      <c r="AB42" s="58"/>
      <c r="AC42" s="58" t="s">
        <v>562</v>
      </c>
      <c r="AD42" s="58"/>
      <c r="AE42" s="58"/>
      <c r="AF42" s="58"/>
      <c r="AG42" s="58"/>
      <c r="AH42" s="58"/>
      <c r="AI42" s="58"/>
    </row>
    <row r="43" spans="1:35" x14ac:dyDescent="0.35">
      <c r="A43" s="17" t="s">
        <v>46</v>
      </c>
      <c r="B43" s="17" t="s">
        <v>2267</v>
      </c>
      <c r="C43" s="28" t="s">
        <v>2320</v>
      </c>
      <c r="D43" s="17" t="s">
        <v>2349</v>
      </c>
      <c r="E43" s="17" t="s">
        <v>2350</v>
      </c>
      <c r="F43" s="20">
        <v>135</v>
      </c>
      <c r="G43" s="20">
        <v>55</v>
      </c>
      <c r="H43" s="19">
        <v>293</v>
      </c>
      <c r="I43" s="20">
        <v>150</v>
      </c>
      <c r="J43" s="20">
        <v>143</v>
      </c>
      <c r="K43" s="20">
        <v>18</v>
      </c>
      <c r="L43" s="57">
        <f t="shared" ref="L43:L64" si="4">K43/H43</f>
        <v>6.1433447098976107E-2</v>
      </c>
      <c r="M43" s="20">
        <v>43</v>
      </c>
      <c r="N43" s="57">
        <f t="shared" ref="N43:N64" si="5">M43/H43</f>
        <v>0.14675767918088736</v>
      </c>
      <c r="O43" s="46">
        <v>7</v>
      </c>
      <c r="P43" s="46">
        <v>0</v>
      </c>
      <c r="Q43" s="58" t="s">
        <v>51</v>
      </c>
      <c r="R43" s="58">
        <v>2020</v>
      </c>
      <c r="S43" s="58"/>
      <c r="T43" s="58"/>
      <c r="U43" s="58"/>
      <c r="V43" s="58"/>
      <c r="W43" s="58"/>
      <c r="X43" s="58" t="s">
        <v>51</v>
      </c>
      <c r="Y43" s="58"/>
      <c r="Z43" s="58"/>
      <c r="AA43" s="58"/>
      <c r="AB43" s="58"/>
      <c r="AC43" s="58" t="s">
        <v>51</v>
      </c>
      <c r="AD43" s="58"/>
      <c r="AE43" s="58"/>
      <c r="AF43" s="58"/>
      <c r="AG43" s="58"/>
      <c r="AH43" s="58"/>
      <c r="AI43" s="58"/>
    </row>
    <row r="44" spans="1:35" x14ac:dyDescent="0.35">
      <c r="A44" s="17" t="s">
        <v>46</v>
      </c>
      <c r="B44" s="17" t="s">
        <v>2267</v>
      </c>
      <c r="C44" s="28" t="s">
        <v>2351</v>
      </c>
      <c r="D44" s="17" t="s">
        <v>2352</v>
      </c>
      <c r="E44" s="17" t="s">
        <v>2353</v>
      </c>
      <c r="F44" s="20">
        <v>210.48</v>
      </c>
      <c r="G44" s="20">
        <v>96</v>
      </c>
      <c r="H44" s="19">
        <v>548</v>
      </c>
      <c r="I44" s="20">
        <v>278</v>
      </c>
      <c r="J44" s="20">
        <v>270</v>
      </c>
      <c r="K44" s="20">
        <v>21</v>
      </c>
      <c r="L44" s="57">
        <f t="shared" si="4"/>
        <v>3.8321167883211681E-2</v>
      </c>
      <c r="M44" s="20">
        <v>62</v>
      </c>
      <c r="N44" s="57">
        <f t="shared" si="5"/>
        <v>0.11313868613138686</v>
      </c>
      <c r="O44" s="46">
        <v>2.9</v>
      </c>
      <c r="P44" s="46">
        <v>0</v>
      </c>
      <c r="Q44" s="58" t="s">
        <v>51</v>
      </c>
      <c r="R44" s="58">
        <v>2020</v>
      </c>
      <c r="S44" s="58"/>
      <c r="T44" s="58"/>
      <c r="U44" s="58"/>
      <c r="V44" s="58"/>
      <c r="W44" s="58"/>
      <c r="X44" s="58" t="s">
        <v>51</v>
      </c>
      <c r="Y44" s="58"/>
      <c r="Z44" s="58"/>
      <c r="AA44" s="58"/>
      <c r="AB44" s="58"/>
      <c r="AC44" s="58" t="s">
        <v>51</v>
      </c>
      <c r="AD44" s="58"/>
      <c r="AE44" s="58"/>
      <c r="AF44" s="58"/>
      <c r="AG44" s="58"/>
      <c r="AH44" s="58"/>
      <c r="AI44" s="58"/>
    </row>
    <row r="45" spans="1:35" x14ac:dyDescent="0.35">
      <c r="A45" s="17" t="s">
        <v>46</v>
      </c>
      <c r="B45" s="17" t="s">
        <v>2267</v>
      </c>
      <c r="C45" s="28" t="s">
        <v>2308</v>
      </c>
      <c r="D45" s="17" t="s">
        <v>2354</v>
      </c>
      <c r="E45" s="17" t="s">
        <v>2355</v>
      </c>
      <c r="F45" s="20">
        <v>67</v>
      </c>
      <c r="G45" s="20">
        <v>61</v>
      </c>
      <c r="H45" s="19">
        <v>264</v>
      </c>
      <c r="I45" s="20">
        <v>117</v>
      </c>
      <c r="J45" s="20">
        <v>147</v>
      </c>
      <c r="K45" s="20">
        <v>0</v>
      </c>
      <c r="L45" s="57">
        <f t="shared" si="4"/>
        <v>0</v>
      </c>
      <c r="M45" s="20">
        <v>0</v>
      </c>
      <c r="N45" s="57">
        <f t="shared" si="5"/>
        <v>0</v>
      </c>
      <c r="O45" s="46">
        <v>8</v>
      </c>
      <c r="P45" s="46">
        <v>0</v>
      </c>
      <c r="Q45" s="58" t="s">
        <v>51</v>
      </c>
      <c r="R45" s="58">
        <v>2020</v>
      </c>
      <c r="S45" s="58"/>
      <c r="T45" s="58"/>
      <c r="U45" s="58"/>
      <c r="V45" s="58"/>
      <c r="W45" s="58"/>
      <c r="X45" s="58" t="s">
        <v>51</v>
      </c>
      <c r="Y45" s="58"/>
      <c r="Z45" s="58"/>
      <c r="AA45" s="58"/>
      <c r="AB45" s="58"/>
      <c r="AC45" s="58" t="s">
        <v>51</v>
      </c>
      <c r="AD45" s="58"/>
      <c r="AE45" s="58"/>
      <c r="AF45" s="58"/>
      <c r="AG45" s="58"/>
      <c r="AH45" s="58"/>
      <c r="AI45" s="58"/>
    </row>
    <row r="46" spans="1:35" x14ac:dyDescent="0.35">
      <c r="A46" s="17" t="s">
        <v>46</v>
      </c>
      <c r="B46" s="17" t="s">
        <v>2267</v>
      </c>
      <c r="C46" s="28" t="s">
        <v>2308</v>
      </c>
      <c r="D46" s="17" t="s">
        <v>2356</v>
      </c>
      <c r="E46" s="17" t="s">
        <v>2357</v>
      </c>
      <c r="F46" s="20">
        <v>284</v>
      </c>
      <c r="G46" s="20">
        <v>115</v>
      </c>
      <c r="H46" s="19">
        <v>533</v>
      </c>
      <c r="I46" s="20">
        <v>275</v>
      </c>
      <c r="J46" s="20">
        <v>258</v>
      </c>
      <c r="K46" s="20">
        <v>321</v>
      </c>
      <c r="L46" s="57">
        <f t="shared" si="4"/>
        <v>0.60225140712945591</v>
      </c>
      <c r="M46" s="20">
        <v>0</v>
      </c>
      <c r="N46" s="57">
        <f t="shared" si="5"/>
        <v>0</v>
      </c>
      <c r="O46" s="46">
        <v>36</v>
      </c>
      <c r="P46" s="46">
        <v>0</v>
      </c>
      <c r="Q46" s="58" t="s">
        <v>51</v>
      </c>
      <c r="R46" s="58">
        <v>2020</v>
      </c>
      <c r="S46" s="58"/>
      <c r="T46" s="58"/>
      <c r="U46" s="58"/>
      <c r="V46" s="58"/>
      <c r="W46" s="58"/>
      <c r="X46" s="58" t="s">
        <v>51</v>
      </c>
      <c r="Y46" s="58"/>
      <c r="Z46" s="58"/>
      <c r="AA46" s="58"/>
      <c r="AB46" s="58"/>
      <c r="AC46" s="58" t="s">
        <v>51</v>
      </c>
      <c r="AD46" s="58"/>
      <c r="AE46" s="58"/>
      <c r="AF46" s="58"/>
      <c r="AG46" s="58"/>
      <c r="AH46" s="58"/>
      <c r="AI46" s="58"/>
    </row>
    <row r="47" spans="1:35" x14ac:dyDescent="0.35">
      <c r="A47" s="17" t="s">
        <v>46</v>
      </c>
      <c r="B47" s="17" t="s">
        <v>2267</v>
      </c>
      <c r="C47" s="28" t="s">
        <v>2358</v>
      </c>
      <c r="D47" s="17" t="s">
        <v>2359</v>
      </c>
      <c r="E47" s="17" t="s">
        <v>2360</v>
      </c>
      <c r="F47" s="20">
        <v>714</v>
      </c>
      <c r="G47" s="20">
        <v>206</v>
      </c>
      <c r="H47" s="19">
        <v>828</v>
      </c>
      <c r="I47" s="20">
        <v>421</v>
      </c>
      <c r="J47" s="20">
        <v>407</v>
      </c>
      <c r="K47" s="20">
        <v>437</v>
      </c>
      <c r="L47" s="57">
        <f t="shared" si="4"/>
        <v>0.52777777777777779</v>
      </c>
      <c r="M47" s="20">
        <v>62</v>
      </c>
      <c r="N47" s="57">
        <f t="shared" si="5"/>
        <v>7.4879227053140096E-2</v>
      </c>
      <c r="O47" s="46">
        <v>59</v>
      </c>
      <c r="P47" s="46">
        <v>0</v>
      </c>
      <c r="Q47" s="58" t="s">
        <v>51</v>
      </c>
      <c r="R47" s="58">
        <v>2020</v>
      </c>
      <c r="S47" s="58"/>
      <c r="T47" s="58"/>
      <c r="U47" s="58"/>
      <c r="V47" s="58"/>
      <c r="W47" s="58"/>
      <c r="X47" s="58" t="s">
        <v>51</v>
      </c>
      <c r="Y47" s="58"/>
      <c r="Z47" s="58"/>
      <c r="AA47" s="58"/>
      <c r="AB47" s="58"/>
      <c r="AC47" s="58" t="s">
        <v>51</v>
      </c>
      <c r="AD47" s="58"/>
      <c r="AE47" s="58"/>
      <c r="AF47" s="58"/>
      <c r="AG47" s="58"/>
      <c r="AH47" s="58"/>
      <c r="AI47" s="58"/>
    </row>
    <row r="48" spans="1:35" x14ac:dyDescent="0.35">
      <c r="A48" s="17" t="s">
        <v>46</v>
      </c>
      <c r="B48" s="17" t="s">
        <v>2267</v>
      </c>
      <c r="C48" s="28" t="s">
        <v>933</v>
      </c>
      <c r="D48" s="17" t="s">
        <v>2361</v>
      </c>
      <c r="E48" s="17" t="s">
        <v>2362</v>
      </c>
      <c r="F48" s="20">
        <v>361</v>
      </c>
      <c r="G48" s="20">
        <v>108</v>
      </c>
      <c r="H48" s="19">
        <v>462</v>
      </c>
      <c r="I48" s="20">
        <v>227</v>
      </c>
      <c r="J48" s="20">
        <v>235</v>
      </c>
      <c r="K48" s="20">
        <v>41</v>
      </c>
      <c r="L48" s="57">
        <f t="shared" si="4"/>
        <v>8.8744588744588751E-2</v>
      </c>
      <c r="M48" s="20">
        <v>0</v>
      </c>
      <c r="N48" s="57">
        <f t="shared" si="5"/>
        <v>0</v>
      </c>
      <c r="O48" s="46">
        <v>63</v>
      </c>
      <c r="P48" s="46">
        <v>0</v>
      </c>
      <c r="Q48" s="58" t="s">
        <v>562</v>
      </c>
      <c r="R48" s="58"/>
      <c r="S48" s="58"/>
      <c r="T48" s="58"/>
      <c r="U48" s="58"/>
      <c r="V48" s="58"/>
      <c r="W48" s="58"/>
      <c r="X48" s="58" t="s">
        <v>562</v>
      </c>
      <c r="Y48" s="58"/>
      <c r="Z48" s="58"/>
      <c r="AA48" s="58"/>
      <c r="AB48" s="58"/>
      <c r="AC48" s="58" t="s">
        <v>562</v>
      </c>
      <c r="AD48" s="58"/>
      <c r="AE48" s="58"/>
      <c r="AF48" s="58"/>
      <c r="AG48" s="58"/>
      <c r="AH48" s="58"/>
      <c r="AI48" s="58"/>
    </row>
    <row r="49" spans="1:35" x14ac:dyDescent="0.35">
      <c r="A49" s="17" t="s">
        <v>46</v>
      </c>
      <c r="B49" s="17" t="s">
        <v>2267</v>
      </c>
      <c r="C49" s="28" t="s">
        <v>2358</v>
      </c>
      <c r="D49" s="17" t="s">
        <v>2363</v>
      </c>
      <c r="E49" s="17" t="s">
        <v>2364</v>
      </c>
      <c r="F49" s="20">
        <v>568</v>
      </c>
      <c r="G49" s="20">
        <v>148</v>
      </c>
      <c r="H49" s="19">
        <v>675</v>
      </c>
      <c r="I49" s="20">
        <v>337</v>
      </c>
      <c r="J49" s="20">
        <v>338</v>
      </c>
      <c r="K49" s="20">
        <v>185</v>
      </c>
      <c r="L49" s="57">
        <f t="shared" si="4"/>
        <v>0.27407407407407408</v>
      </c>
      <c r="M49" s="20">
        <v>18</v>
      </c>
      <c r="N49" s="57">
        <f t="shared" si="5"/>
        <v>2.6666666666666668E-2</v>
      </c>
      <c r="O49" s="46">
        <v>81</v>
      </c>
      <c r="P49" s="46">
        <v>0</v>
      </c>
      <c r="Q49" s="58" t="s">
        <v>51</v>
      </c>
      <c r="R49" s="58">
        <v>2019</v>
      </c>
      <c r="S49" s="58"/>
      <c r="T49" s="58"/>
      <c r="U49" s="58"/>
      <c r="V49" s="58"/>
      <c r="W49" s="58"/>
      <c r="X49" s="58" t="s">
        <v>51</v>
      </c>
      <c r="Y49" s="58"/>
      <c r="Z49" s="58"/>
      <c r="AA49" s="58"/>
      <c r="AB49" s="58"/>
      <c r="AC49" s="58" t="s">
        <v>51</v>
      </c>
      <c r="AD49" s="58"/>
      <c r="AE49" s="58"/>
      <c r="AF49" s="58"/>
      <c r="AG49" s="58"/>
      <c r="AH49" s="58"/>
      <c r="AI49" s="58"/>
    </row>
    <row r="50" spans="1:35" x14ac:dyDescent="0.35">
      <c r="A50" s="17" t="s">
        <v>46</v>
      </c>
      <c r="B50" s="17" t="s">
        <v>2267</v>
      </c>
      <c r="C50" s="28" t="s">
        <v>2358</v>
      </c>
      <c r="D50" s="17" t="s">
        <v>432</v>
      </c>
      <c r="E50" s="17" t="s">
        <v>2365</v>
      </c>
      <c r="F50" s="20">
        <v>560</v>
      </c>
      <c r="G50" s="20">
        <v>202</v>
      </c>
      <c r="H50" s="19">
        <v>835</v>
      </c>
      <c r="I50" s="20">
        <v>422</v>
      </c>
      <c r="J50" s="20">
        <v>413</v>
      </c>
      <c r="K50" s="20">
        <v>22</v>
      </c>
      <c r="L50" s="57">
        <f t="shared" si="4"/>
        <v>2.6347305389221556E-2</v>
      </c>
      <c r="M50" s="20">
        <v>147</v>
      </c>
      <c r="N50" s="57">
        <f t="shared" si="5"/>
        <v>0.17604790419161676</v>
      </c>
      <c r="O50" s="46">
        <v>56</v>
      </c>
      <c r="P50" s="46">
        <v>0</v>
      </c>
      <c r="Q50" s="58" t="s">
        <v>51</v>
      </c>
      <c r="R50" s="58">
        <v>2019</v>
      </c>
      <c r="S50" s="58"/>
      <c r="T50" s="58"/>
      <c r="U50" s="58"/>
      <c r="V50" s="58"/>
      <c r="W50" s="58"/>
      <c r="X50" s="58" t="s">
        <v>51</v>
      </c>
      <c r="Y50" s="58"/>
      <c r="Z50" s="58"/>
      <c r="AA50" s="58"/>
      <c r="AB50" s="58"/>
      <c r="AC50" s="58" t="s">
        <v>51</v>
      </c>
      <c r="AD50" s="58"/>
      <c r="AE50" s="58"/>
      <c r="AF50" s="58"/>
      <c r="AG50" s="58"/>
      <c r="AH50" s="58"/>
      <c r="AI50" s="58"/>
    </row>
    <row r="51" spans="1:35" x14ac:dyDescent="0.35">
      <c r="A51" s="17" t="s">
        <v>46</v>
      </c>
      <c r="B51" s="17" t="s">
        <v>2267</v>
      </c>
      <c r="C51" s="28" t="s">
        <v>2366</v>
      </c>
      <c r="D51" s="17" t="s">
        <v>2367</v>
      </c>
      <c r="E51" s="17" t="s">
        <v>2368</v>
      </c>
      <c r="F51" s="20">
        <v>1242</v>
      </c>
      <c r="G51" s="20">
        <v>868</v>
      </c>
      <c r="H51" s="19">
        <v>3996</v>
      </c>
      <c r="I51" s="20">
        <v>1993</v>
      </c>
      <c r="J51" s="20">
        <v>2003</v>
      </c>
      <c r="K51" s="20">
        <v>1022</v>
      </c>
      <c r="L51" s="57">
        <f t="shared" si="4"/>
        <v>0.25575575575575576</v>
      </c>
      <c r="M51" s="20">
        <v>100</v>
      </c>
      <c r="N51" s="57">
        <f t="shared" si="5"/>
        <v>2.5025025025025027E-2</v>
      </c>
      <c r="O51" s="46">
        <v>85</v>
      </c>
      <c r="P51" s="46">
        <v>0</v>
      </c>
      <c r="Q51" s="58" t="s">
        <v>51</v>
      </c>
      <c r="R51" s="58">
        <v>2020</v>
      </c>
      <c r="S51" s="58"/>
      <c r="T51" s="58"/>
      <c r="U51" s="58"/>
      <c r="V51" s="58"/>
      <c r="W51" s="58"/>
      <c r="X51" s="58" t="s">
        <v>51</v>
      </c>
      <c r="Y51" s="58"/>
      <c r="Z51" s="58"/>
      <c r="AA51" s="58"/>
      <c r="AB51" s="58"/>
      <c r="AC51" s="58" t="s">
        <v>51</v>
      </c>
      <c r="AD51" s="58"/>
      <c r="AE51" s="58"/>
      <c r="AF51" s="58"/>
      <c r="AG51" s="58"/>
      <c r="AH51" s="58"/>
      <c r="AI51" s="58"/>
    </row>
    <row r="52" spans="1:35" x14ac:dyDescent="0.35">
      <c r="A52" s="17" t="s">
        <v>46</v>
      </c>
      <c r="B52" s="17" t="s">
        <v>2267</v>
      </c>
      <c r="C52" s="28" t="s">
        <v>2369</v>
      </c>
      <c r="D52" s="17" t="s">
        <v>1473</v>
      </c>
      <c r="E52" s="17" t="s">
        <v>2370</v>
      </c>
      <c r="F52" s="20">
        <v>389</v>
      </c>
      <c r="G52" s="20">
        <v>114</v>
      </c>
      <c r="H52" s="19">
        <v>579</v>
      </c>
      <c r="I52" s="20">
        <v>281</v>
      </c>
      <c r="J52" s="20">
        <v>298</v>
      </c>
      <c r="K52" s="20">
        <v>56</v>
      </c>
      <c r="L52" s="57">
        <f t="shared" si="4"/>
        <v>9.6718480138169263E-2</v>
      </c>
      <c r="M52" s="20">
        <v>51</v>
      </c>
      <c r="N52" s="57">
        <f t="shared" si="5"/>
        <v>8.8082901554404139E-2</v>
      </c>
      <c r="O52" s="46">
        <v>54</v>
      </c>
      <c r="P52" s="46">
        <v>0</v>
      </c>
      <c r="Q52" s="58" t="s">
        <v>51</v>
      </c>
      <c r="R52" s="58">
        <v>2020</v>
      </c>
      <c r="S52" s="58"/>
      <c r="T52" s="58"/>
      <c r="U52" s="58"/>
      <c r="V52" s="58"/>
      <c r="W52" s="58"/>
      <c r="X52" s="58" t="s">
        <v>51</v>
      </c>
      <c r="Y52" s="58"/>
      <c r="Z52" s="58"/>
      <c r="AA52" s="58"/>
      <c r="AB52" s="58"/>
      <c r="AC52" s="58" t="s">
        <v>51</v>
      </c>
      <c r="AD52" s="58"/>
      <c r="AE52" s="58"/>
      <c r="AF52" s="58"/>
      <c r="AG52" s="58"/>
      <c r="AH52" s="58"/>
      <c r="AI52" s="58"/>
    </row>
    <row r="53" spans="1:35" x14ac:dyDescent="0.35">
      <c r="A53" s="17" t="s">
        <v>46</v>
      </c>
      <c r="B53" s="17" t="s">
        <v>2267</v>
      </c>
      <c r="C53" s="28" t="s">
        <v>2369</v>
      </c>
      <c r="D53" s="17" t="s">
        <v>2371</v>
      </c>
      <c r="E53" s="17" t="s">
        <v>2372</v>
      </c>
      <c r="F53" s="20">
        <v>748</v>
      </c>
      <c r="G53" s="20">
        <v>260</v>
      </c>
      <c r="H53" s="19">
        <v>1318</v>
      </c>
      <c r="I53" s="20">
        <v>675</v>
      </c>
      <c r="J53" s="20">
        <v>643</v>
      </c>
      <c r="K53" s="20">
        <v>215</v>
      </c>
      <c r="L53" s="57">
        <f t="shared" si="4"/>
        <v>0.1631259484066768</v>
      </c>
      <c r="M53" s="20">
        <v>147</v>
      </c>
      <c r="N53" s="57">
        <f t="shared" si="5"/>
        <v>0.11153262518968134</v>
      </c>
      <c r="O53" s="46">
        <v>23</v>
      </c>
      <c r="P53" s="46">
        <v>0</v>
      </c>
      <c r="Q53" s="58" t="s">
        <v>51</v>
      </c>
      <c r="R53" s="58">
        <v>2020</v>
      </c>
      <c r="S53" s="58"/>
      <c r="T53" s="58"/>
      <c r="U53" s="58"/>
      <c r="V53" s="58"/>
      <c r="W53" s="58"/>
      <c r="X53" s="58" t="s">
        <v>51</v>
      </c>
      <c r="Y53" s="58"/>
      <c r="Z53" s="58"/>
      <c r="AA53" s="58"/>
      <c r="AB53" s="58"/>
      <c r="AC53" s="58" t="s">
        <v>51</v>
      </c>
      <c r="AD53" s="58"/>
      <c r="AE53" s="58"/>
      <c r="AF53" s="58"/>
      <c r="AG53" s="58"/>
      <c r="AH53" s="58"/>
      <c r="AI53" s="58"/>
    </row>
    <row r="54" spans="1:35" x14ac:dyDescent="0.35">
      <c r="A54" s="17" t="s">
        <v>46</v>
      </c>
      <c r="B54" s="17" t="s">
        <v>2267</v>
      </c>
      <c r="C54" s="28" t="s">
        <v>2373</v>
      </c>
      <c r="D54" s="17" t="s">
        <v>2374</v>
      </c>
      <c r="E54" s="17" t="s">
        <v>2375</v>
      </c>
      <c r="F54" s="20">
        <v>354.71</v>
      </c>
      <c r="G54" s="20">
        <v>190</v>
      </c>
      <c r="H54" s="19">
        <v>892</v>
      </c>
      <c r="I54" s="20">
        <v>458</v>
      </c>
      <c r="J54" s="20">
        <v>434</v>
      </c>
      <c r="K54" s="20">
        <v>239</v>
      </c>
      <c r="L54" s="57">
        <f t="shared" si="4"/>
        <v>0.2679372197309417</v>
      </c>
      <c r="M54" s="20">
        <v>25</v>
      </c>
      <c r="N54" s="57">
        <f t="shared" si="5"/>
        <v>2.8026905829596414E-2</v>
      </c>
      <c r="O54" s="46">
        <v>38</v>
      </c>
      <c r="P54" s="46">
        <v>0</v>
      </c>
      <c r="Q54" s="58" t="s">
        <v>51</v>
      </c>
      <c r="R54" s="58">
        <v>2020</v>
      </c>
      <c r="S54" s="58"/>
      <c r="T54" s="58"/>
      <c r="U54" s="58"/>
      <c r="V54" s="58"/>
      <c r="W54" s="58"/>
      <c r="X54" s="58" t="s">
        <v>51</v>
      </c>
      <c r="Y54" s="58"/>
      <c r="Z54" s="58"/>
      <c r="AA54" s="58"/>
      <c r="AB54" s="58"/>
      <c r="AC54" s="58" t="s">
        <v>51</v>
      </c>
      <c r="AD54" s="58"/>
      <c r="AE54" s="58"/>
      <c r="AF54" s="58"/>
      <c r="AG54" s="58"/>
      <c r="AH54" s="58"/>
      <c r="AI54" s="58"/>
    </row>
    <row r="55" spans="1:35" x14ac:dyDescent="0.35">
      <c r="A55" s="17" t="s">
        <v>46</v>
      </c>
      <c r="B55" s="17" t="s">
        <v>2267</v>
      </c>
      <c r="C55" s="28" t="s">
        <v>2369</v>
      </c>
      <c r="D55" s="17" t="s">
        <v>2376</v>
      </c>
      <c r="E55" s="17" t="s">
        <v>2377</v>
      </c>
      <c r="F55" s="20">
        <v>220</v>
      </c>
      <c r="G55" s="20">
        <v>123</v>
      </c>
      <c r="H55" s="19">
        <v>526</v>
      </c>
      <c r="I55" s="20">
        <v>258</v>
      </c>
      <c r="J55" s="20">
        <v>268</v>
      </c>
      <c r="K55" s="20">
        <v>17</v>
      </c>
      <c r="L55" s="57">
        <f t="shared" si="4"/>
        <v>3.2319391634980987E-2</v>
      </c>
      <c r="M55" s="20">
        <v>145</v>
      </c>
      <c r="N55" s="57">
        <f t="shared" si="5"/>
        <v>0.27566539923954375</v>
      </c>
      <c r="O55" s="46">
        <v>29</v>
      </c>
      <c r="P55" s="46">
        <v>0</v>
      </c>
      <c r="Q55" s="58" t="s">
        <v>51</v>
      </c>
      <c r="R55" s="58">
        <v>2020</v>
      </c>
      <c r="S55" s="58"/>
      <c r="T55" s="58"/>
      <c r="U55" s="58"/>
      <c r="V55" s="58"/>
      <c r="W55" s="58"/>
      <c r="X55" s="58" t="s">
        <v>51</v>
      </c>
      <c r="Y55" s="58"/>
      <c r="Z55" s="58"/>
      <c r="AA55" s="58"/>
      <c r="AB55" s="58"/>
      <c r="AC55" s="58" t="s">
        <v>51</v>
      </c>
      <c r="AD55" s="58"/>
      <c r="AE55" s="58"/>
      <c r="AF55" s="58"/>
      <c r="AG55" s="58"/>
      <c r="AH55" s="58"/>
      <c r="AI55" s="58"/>
    </row>
    <row r="56" spans="1:35" x14ac:dyDescent="0.35">
      <c r="A56" s="17" t="s">
        <v>46</v>
      </c>
      <c r="B56" s="17" t="s">
        <v>2267</v>
      </c>
      <c r="C56" s="28" t="s">
        <v>2369</v>
      </c>
      <c r="D56" s="17" t="s">
        <v>2378</v>
      </c>
      <c r="E56" s="17" t="s">
        <v>2379</v>
      </c>
      <c r="F56" s="20">
        <v>177</v>
      </c>
      <c r="G56" s="20">
        <v>79</v>
      </c>
      <c r="H56" s="19">
        <v>342</v>
      </c>
      <c r="I56" s="20">
        <v>167</v>
      </c>
      <c r="J56" s="20">
        <v>175</v>
      </c>
      <c r="K56" s="20">
        <v>106</v>
      </c>
      <c r="L56" s="57">
        <f t="shared" si="4"/>
        <v>0.30994152046783624</v>
      </c>
      <c r="M56" s="20">
        <v>0</v>
      </c>
      <c r="N56" s="57">
        <f t="shared" si="5"/>
        <v>0</v>
      </c>
      <c r="O56" s="46">
        <v>27</v>
      </c>
      <c r="P56" s="46">
        <v>0</v>
      </c>
      <c r="Q56" s="58" t="s">
        <v>51</v>
      </c>
      <c r="R56" s="58">
        <v>2020</v>
      </c>
      <c r="S56" s="58"/>
      <c r="T56" s="58"/>
      <c r="U56" s="58"/>
      <c r="V56" s="58"/>
      <c r="W56" s="58"/>
      <c r="X56" s="58" t="s">
        <v>51</v>
      </c>
      <c r="Y56" s="58"/>
      <c r="Z56" s="58"/>
      <c r="AA56" s="58"/>
      <c r="AB56" s="58"/>
      <c r="AC56" s="58" t="s">
        <v>51</v>
      </c>
      <c r="AD56" s="58"/>
      <c r="AE56" s="58"/>
      <c r="AF56" s="58"/>
      <c r="AG56" s="58"/>
      <c r="AH56" s="58"/>
      <c r="AI56" s="58"/>
    </row>
    <row r="57" spans="1:35" x14ac:dyDescent="0.35">
      <c r="A57" s="17" t="s">
        <v>46</v>
      </c>
      <c r="B57" s="17" t="s">
        <v>2267</v>
      </c>
      <c r="C57" s="28" t="s">
        <v>2358</v>
      </c>
      <c r="D57" s="17" t="s">
        <v>635</v>
      </c>
      <c r="E57" s="17" t="s">
        <v>2380</v>
      </c>
      <c r="F57" s="20">
        <v>140</v>
      </c>
      <c r="G57" s="20">
        <v>33</v>
      </c>
      <c r="H57" s="19">
        <v>144</v>
      </c>
      <c r="I57" s="20">
        <v>76</v>
      </c>
      <c r="J57" s="20">
        <v>68</v>
      </c>
      <c r="K57" s="20">
        <v>0</v>
      </c>
      <c r="L57" s="57">
        <f t="shared" si="4"/>
        <v>0</v>
      </c>
      <c r="M57" s="20">
        <v>2</v>
      </c>
      <c r="N57" s="57">
        <f t="shared" si="5"/>
        <v>1.3888888888888888E-2</v>
      </c>
      <c r="O57" s="46">
        <v>24</v>
      </c>
      <c r="P57" s="46">
        <v>0</v>
      </c>
      <c r="Q57" s="58" t="s">
        <v>51</v>
      </c>
      <c r="R57" s="58">
        <v>2021</v>
      </c>
      <c r="S57" s="58"/>
      <c r="T57" s="58"/>
      <c r="U57" s="58"/>
      <c r="V57" s="58"/>
      <c r="W57" s="58"/>
      <c r="X57" s="58" t="s">
        <v>51</v>
      </c>
      <c r="Y57" s="58"/>
      <c r="Z57" s="58"/>
      <c r="AA57" s="58"/>
      <c r="AB57" s="58"/>
      <c r="AC57" s="58" t="s">
        <v>51</v>
      </c>
      <c r="AD57" s="58"/>
      <c r="AE57" s="58"/>
      <c r="AF57" s="58"/>
      <c r="AG57" s="58"/>
      <c r="AH57" s="58"/>
      <c r="AI57" s="58"/>
    </row>
    <row r="58" spans="1:35" x14ac:dyDescent="0.35">
      <c r="A58" s="17" t="s">
        <v>46</v>
      </c>
      <c r="B58" s="17" t="s">
        <v>2267</v>
      </c>
      <c r="C58" s="28" t="s">
        <v>2358</v>
      </c>
      <c r="D58" s="17" t="s">
        <v>2381</v>
      </c>
      <c r="E58" s="17" t="s">
        <v>2382</v>
      </c>
      <c r="F58" s="20">
        <v>479</v>
      </c>
      <c r="G58" s="20">
        <v>202</v>
      </c>
      <c r="H58" s="19">
        <v>910</v>
      </c>
      <c r="I58" s="20">
        <v>452</v>
      </c>
      <c r="J58" s="20">
        <v>458</v>
      </c>
      <c r="K58" s="20">
        <v>147</v>
      </c>
      <c r="L58" s="57">
        <f t="shared" si="4"/>
        <v>0.16153846153846155</v>
      </c>
      <c r="M58" s="20">
        <v>17</v>
      </c>
      <c r="N58" s="57">
        <f t="shared" si="5"/>
        <v>1.8681318681318681E-2</v>
      </c>
      <c r="O58" s="46">
        <v>71</v>
      </c>
      <c r="P58" s="46">
        <v>0</v>
      </c>
      <c r="Q58" s="58" t="s">
        <v>51</v>
      </c>
      <c r="R58" s="58">
        <v>2019</v>
      </c>
      <c r="S58" s="58"/>
      <c r="T58" s="58"/>
      <c r="U58" s="58"/>
      <c r="V58" s="58"/>
      <c r="W58" s="58"/>
      <c r="X58" s="58" t="s">
        <v>51</v>
      </c>
      <c r="Y58" s="58"/>
      <c r="Z58" s="58"/>
      <c r="AA58" s="58"/>
      <c r="AB58" s="58"/>
      <c r="AC58" s="58" t="s">
        <v>51</v>
      </c>
      <c r="AD58" s="58"/>
      <c r="AE58" s="58"/>
      <c r="AF58" s="58"/>
      <c r="AG58" s="58"/>
      <c r="AH58" s="58"/>
      <c r="AI58" s="58"/>
    </row>
    <row r="59" spans="1:35" x14ac:dyDescent="0.35">
      <c r="A59" s="17" t="s">
        <v>46</v>
      </c>
      <c r="B59" s="17" t="s">
        <v>2267</v>
      </c>
      <c r="C59" s="28" t="s">
        <v>2358</v>
      </c>
      <c r="D59" s="17" t="s">
        <v>2383</v>
      </c>
      <c r="E59" s="17" t="s">
        <v>2384</v>
      </c>
      <c r="F59" s="20">
        <v>257</v>
      </c>
      <c r="G59" s="20">
        <v>111</v>
      </c>
      <c r="H59" s="19">
        <v>501</v>
      </c>
      <c r="I59" s="20">
        <v>254</v>
      </c>
      <c r="J59" s="20">
        <v>247</v>
      </c>
      <c r="K59" s="20">
        <v>185</v>
      </c>
      <c r="L59" s="57">
        <f t="shared" si="4"/>
        <v>0.36926147704590817</v>
      </c>
      <c r="M59" s="20">
        <v>129</v>
      </c>
      <c r="N59" s="57">
        <f t="shared" si="5"/>
        <v>0.25748502994011974</v>
      </c>
      <c r="O59" s="46">
        <v>32</v>
      </c>
      <c r="P59" s="46">
        <v>0</v>
      </c>
      <c r="Q59" s="58" t="s">
        <v>51</v>
      </c>
      <c r="R59" s="58">
        <v>2019</v>
      </c>
      <c r="S59" s="58"/>
      <c r="T59" s="58"/>
      <c r="U59" s="58"/>
      <c r="V59" s="58"/>
      <c r="W59" s="58"/>
      <c r="X59" s="58" t="s">
        <v>51</v>
      </c>
      <c r="Y59" s="58"/>
      <c r="Z59" s="58"/>
      <c r="AA59" s="58"/>
      <c r="AB59" s="58"/>
      <c r="AC59" s="58" t="s">
        <v>51</v>
      </c>
      <c r="AD59" s="58"/>
      <c r="AE59" s="58"/>
      <c r="AF59" s="58"/>
      <c r="AG59" s="58"/>
      <c r="AH59" s="58"/>
      <c r="AI59" s="58"/>
    </row>
    <row r="60" spans="1:35" x14ac:dyDescent="0.35">
      <c r="A60" s="17" t="s">
        <v>46</v>
      </c>
      <c r="B60" s="17" t="s">
        <v>2267</v>
      </c>
      <c r="C60" s="28" t="s">
        <v>2358</v>
      </c>
      <c r="D60" s="17" t="s">
        <v>2385</v>
      </c>
      <c r="E60" s="17" t="s">
        <v>2386</v>
      </c>
      <c r="F60" s="20">
        <v>249.02</v>
      </c>
      <c r="G60" s="20">
        <v>93</v>
      </c>
      <c r="H60" s="19">
        <v>406</v>
      </c>
      <c r="I60" s="20">
        <v>206</v>
      </c>
      <c r="J60" s="20">
        <v>200</v>
      </c>
      <c r="K60" s="20">
        <v>54</v>
      </c>
      <c r="L60" s="57">
        <f t="shared" si="4"/>
        <v>0.13300492610837439</v>
      </c>
      <c r="M60" s="20">
        <v>121</v>
      </c>
      <c r="N60" s="57">
        <f t="shared" si="5"/>
        <v>0.29802955665024633</v>
      </c>
      <c r="O60" s="46">
        <v>30</v>
      </c>
      <c r="P60" s="46">
        <v>0</v>
      </c>
      <c r="Q60" s="58" t="s">
        <v>51</v>
      </c>
      <c r="R60" s="58">
        <v>2019</v>
      </c>
      <c r="S60" s="58"/>
      <c r="T60" s="58"/>
      <c r="U60" s="58"/>
      <c r="V60" s="58"/>
      <c r="W60" s="58"/>
      <c r="X60" s="58" t="s">
        <v>51</v>
      </c>
      <c r="Y60" s="58"/>
      <c r="Z60" s="58"/>
      <c r="AA60" s="58"/>
      <c r="AB60" s="58"/>
      <c r="AC60" s="58" t="s">
        <v>51</v>
      </c>
      <c r="AD60" s="58"/>
      <c r="AE60" s="58"/>
      <c r="AF60" s="58"/>
      <c r="AG60" s="58"/>
      <c r="AH60" s="58"/>
      <c r="AI60" s="58"/>
    </row>
    <row r="61" spans="1:35" x14ac:dyDescent="0.35">
      <c r="A61" s="17" t="s">
        <v>46</v>
      </c>
      <c r="B61" s="17" t="s">
        <v>2267</v>
      </c>
      <c r="C61" s="28" t="s">
        <v>933</v>
      </c>
      <c r="D61" s="17" t="s">
        <v>403</v>
      </c>
      <c r="E61" s="17" t="s">
        <v>2387</v>
      </c>
      <c r="F61" s="20">
        <v>115</v>
      </c>
      <c r="G61" s="20">
        <v>58</v>
      </c>
      <c r="H61" s="19">
        <v>270</v>
      </c>
      <c r="I61" s="20">
        <v>126</v>
      </c>
      <c r="J61" s="20">
        <v>144</v>
      </c>
      <c r="K61" s="20">
        <v>0</v>
      </c>
      <c r="L61" s="57">
        <f t="shared" si="4"/>
        <v>0</v>
      </c>
      <c r="M61" s="20">
        <v>269</v>
      </c>
      <c r="N61" s="57">
        <f t="shared" si="5"/>
        <v>0.99629629629629635</v>
      </c>
      <c r="O61" s="46">
        <v>9</v>
      </c>
      <c r="P61" s="46">
        <v>0</v>
      </c>
      <c r="Q61" s="58" t="s">
        <v>562</v>
      </c>
      <c r="R61" s="58"/>
      <c r="S61" s="58"/>
      <c r="T61" s="58"/>
      <c r="U61" s="58"/>
      <c r="V61" s="58"/>
      <c r="W61" s="58"/>
      <c r="X61" s="58" t="s">
        <v>562</v>
      </c>
      <c r="Y61" s="58"/>
      <c r="Z61" s="58"/>
      <c r="AA61" s="58"/>
      <c r="AB61" s="58"/>
      <c r="AC61" s="58" t="s">
        <v>562</v>
      </c>
      <c r="AD61" s="58"/>
      <c r="AE61" s="58"/>
      <c r="AF61" s="58"/>
      <c r="AG61" s="58"/>
      <c r="AH61" s="58"/>
      <c r="AI61" s="58"/>
    </row>
    <row r="62" spans="1:35" x14ac:dyDescent="0.35">
      <c r="A62" s="17" t="s">
        <v>46</v>
      </c>
      <c r="B62" s="17" t="s">
        <v>2267</v>
      </c>
      <c r="C62" s="28" t="s">
        <v>2351</v>
      </c>
      <c r="D62" s="17" t="s">
        <v>2388</v>
      </c>
      <c r="E62" s="17" t="s">
        <v>2389</v>
      </c>
      <c r="F62" s="20">
        <v>142.57</v>
      </c>
      <c r="G62" s="20">
        <v>31</v>
      </c>
      <c r="H62" s="19">
        <v>118</v>
      </c>
      <c r="I62" s="20">
        <v>56</v>
      </c>
      <c r="J62" s="20">
        <v>62</v>
      </c>
      <c r="K62" s="20">
        <v>0</v>
      </c>
      <c r="L62" s="57">
        <f t="shared" si="4"/>
        <v>0</v>
      </c>
      <c r="M62" s="20">
        <v>118</v>
      </c>
      <c r="N62" s="57">
        <f t="shared" si="5"/>
        <v>1</v>
      </c>
      <c r="O62" s="46">
        <v>2.4500000000000002</v>
      </c>
      <c r="P62" s="46">
        <v>0</v>
      </c>
      <c r="Q62" s="58" t="s">
        <v>562</v>
      </c>
      <c r="R62" s="58"/>
      <c r="S62" s="58"/>
      <c r="T62" s="58"/>
      <c r="U62" s="58"/>
      <c r="V62" s="58"/>
      <c r="W62" s="58"/>
      <c r="X62" s="58" t="s">
        <v>562</v>
      </c>
      <c r="Y62" s="58"/>
      <c r="Z62" s="58"/>
      <c r="AA62" s="58"/>
      <c r="AB62" s="58"/>
      <c r="AC62" s="58" t="s">
        <v>562</v>
      </c>
      <c r="AD62" s="58"/>
      <c r="AE62" s="58"/>
      <c r="AF62" s="58"/>
      <c r="AG62" s="58"/>
      <c r="AH62" s="58"/>
      <c r="AI62" s="58"/>
    </row>
    <row r="63" spans="1:35" x14ac:dyDescent="0.35">
      <c r="A63" s="17" t="s">
        <v>46</v>
      </c>
      <c r="B63" s="17" t="s">
        <v>2267</v>
      </c>
      <c r="C63" s="28" t="s">
        <v>2351</v>
      </c>
      <c r="D63" s="17" t="s">
        <v>2390</v>
      </c>
      <c r="E63" s="17" t="s">
        <v>2391</v>
      </c>
      <c r="F63" s="20">
        <v>1652.17</v>
      </c>
      <c r="G63" s="20">
        <v>598</v>
      </c>
      <c r="H63" s="19">
        <v>2834</v>
      </c>
      <c r="I63" s="20">
        <v>1437</v>
      </c>
      <c r="J63" s="20">
        <v>1397</v>
      </c>
      <c r="K63" s="20">
        <v>466</v>
      </c>
      <c r="L63" s="57">
        <f t="shared" si="4"/>
        <v>0.16443189837685251</v>
      </c>
      <c r="M63" s="20">
        <v>475</v>
      </c>
      <c r="N63" s="57">
        <f t="shared" si="5"/>
        <v>0.16760762173606211</v>
      </c>
      <c r="O63" s="46">
        <v>216.85</v>
      </c>
      <c r="P63" s="46">
        <v>0</v>
      </c>
      <c r="Q63" s="58" t="s">
        <v>51</v>
      </c>
      <c r="R63" s="58">
        <v>2020</v>
      </c>
      <c r="S63" s="58"/>
      <c r="T63" s="58"/>
      <c r="U63" s="58"/>
      <c r="V63" s="58"/>
      <c r="W63" s="58"/>
      <c r="X63" s="58" t="s">
        <v>51</v>
      </c>
      <c r="Y63" s="58"/>
      <c r="Z63" s="58"/>
      <c r="AA63" s="58"/>
      <c r="AB63" s="58"/>
      <c r="AC63" s="58" t="s">
        <v>51</v>
      </c>
      <c r="AD63" s="58"/>
      <c r="AE63" s="58"/>
      <c r="AF63" s="58"/>
      <c r="AG63" s="58"/>
      <c r="AH63" s="58"/>
      <c r="AI63" s="58"/>
    </row>
    <row r="64" spans="1:35" x14ac:dyDescent="0.35">
      <c r="A64" s="17" t="s">
        <v>46</v>
      </c>
      <c r="B64" s="17" t="s">
        <v>2267</v>
      </c>
      <c r="C64" s="28" t="s">
        <v>2392</v>
      </c>
      <c r="D64" s="17" t="s">
        <v>2393</v>
      </c>
      <c r="E64" s="17" t="s">
        <v>2394</v>
      </c>
      <c r="F64" s="20">
        <v>675</v>
      </c>
      <c r="G64" s="20">
        <v>233</v>
      </c>
      <c r="H64" s="19">
        <v>1126</v>
      </c>
      <c r="I64" s="20">
        <v>590</v>
      </c>
      <c r="J64" s="20">
        <v>536</v>
      </c>
      <c r="K64" s="20">
        <v>321</v>
      </c>
      <c r="L64" s="57">
        <f t="shared" si="4"/>
        <v>0.28507992895204265</v>
      </c>
      <c r="M64" s="20">
        <v>84</v>
      </c>
      <c r="N64" s="57">
        <f t="shared" si="5"/>
        <v>7.460035523978685E-2</v>
      </c>
      <c r="O64" s="46">
        <v>87</v>
      </c>
      <c r="P64" s="46">
        <v>0</v>
      </c>
      <c r="Q64" s="58" t="s">
        <v>51</v>
      </c>
      <c r="R64" s="58">
        <v>2020</v>
      </c>
      <c r="S64" s="58"/>
      <c r="T64" s="58"/>
      <c r="U64" s="58"/>
      <c r="V64" s="58"/>
      <c r="W64" s="58"/>
      <c r="X64" s="58" t="s">
        <v>51</v>
      </c>
      <c r="Y64" s="58"/>
      <c r="Z64" s="58"/>
      <c r="AA64" s="58"/>
      <c r="AB64" s="58"/>
      <c r="AC64" s="58" t="s">
        <v>51</v>
      </c>
      <c r="AD64" s="58"/>
      <c r="AE64" s="58"/>
      <c r="AF64" s="58"/>
      <c r="AG64" s="58"/>
      <c r="AH64" s="58"/>
      <c r="AI64" s="58"/>
    </row>
    <row r="65" spans="1:35" x14ac:dyDescent="0.35">
      <c r="A65" s="17" t="s">
        <v>46</v>
      </c>
      <c r="B65" s="17" t="s">
        <v>2267</v>
      </c>
      <c r="C65" s="28" t="s">
        <v>2395</v>
      </c>
      <c r="D65" s="17" t="s">
        <v>2396</v>
      </c>
      <c r="E65" s="17" t="s">
        <v>2397</v>
      </c>
      <c r="F65" s="28">
        <v>103.8</v>
      </c>
      <c r="G65" s="47"/>
      <c r="H65" s="19">
        <v>0</v>
      </c>
      <c r="I65" s="47"/>
      <c r="J65" s="47"/>
      <c r="K65" s="47"/>
      <c r="L65" s="57"/>
      <c r="M65" s="47"/>
      <c r="N65" s="57"/>
      <c r="O65" s="48">
        <v>0</v>
      </c>
      <c r="P65" s="48">
        <v>0</v>
      </c>
      <c r="Q65" s="58" t="s">
        <v>562</v>
      </c>
      <c r="R65" s="58"/>
      <c r="S65" s="58"/>
      <c r="T65" s="58"/>
      <c r="U65" s="58"/>
      <c r="V65" s="58"/>
      <c r="W65" s="58"/>
      <c r="X65" s="58" t="s">
        <v>562</v>
      </c>
      <c r="Y65" s="58"/>
      <c r="Z65" s="58"/>
      <c r="AA65" s="58"/>
      <c r="AB65" s="58"/>
      <c r="AC65" s="58" t="s">
        <v>562</v>
      </c>
      <c r="AD65" s="58"/>
      <c r="AE65" s="58"/>
      <c r="AF65" s="58"/>
      <c r="AG65" s="58"/>
      <c r="AH65" s="58"/>
      <c r="AI65" s="58"/>
    </row>
    <row r="66" spans="1:35" x14ac:dyDescent="0.35">
      <c r="A66" s="17" t="s">
        <v>46</v>
      </c>
      <c r="B66" s="17" t="s">
        <v>2267</v>
      </c>
      <c r="C66" s="28" t="s">
        <v>2345</v>
      </c>
      <c r="D66" s="17" t="s">
        <v>2398</v>
      </c>
      <c r="E66" s="17" t="s">
        <v>2399</v>
      </c>
      <c r="F66" s="20">
        <v>400</v>
      </c>
      <c r="G66" s="20">
        <v>92</v>
      </c>
      <c r="H66" s="19">
        <v>425</v>
      </c>
      <c r="I66" s="20">
        <v>220</v>
      </c>
      <c r="J66" s="20">
        <v>205</v>
      </c>
      <c r="K66" s="20">
        <v>45</v>
      </c>
      <c r="L66" s="57">
        <f>K66/H66</f>
        <v>0.10588235294117647</v>
      </c>
      <c r="M66" s="20">
        <v>143</v>
      </c>
      <c r="N66" s="57">
        <f>M66/H66</f>
        <v>0.33647058823529413</v>
      </c>
      <c r="O66" s="46">
        <v>31</v>
      </c>
      <c r="P66" s="46">
        <v>0</v>
      </c>
      <c r="Q66" s="58" t="s">
        <v>51</v>
      </c>
      <c r="R66" s="58">
        <v>2020</v>
      </c>
      <c r="S66" s="58"/>
      <c r="T66" s="58"/>
      <c r="U66" s="58"/>
      <c r="V66" s="58"/>
      <c r="W66" s="58"/>
      <c r="X66" s="58" t="s">
        <v>51</v>
      </c>
      <c r="Y66" s="58"/>
      <c r="Z66" s="58"/>
      <c r="AA66" s="58"/>
      <c r="AB66" s="58"/>
      <c r="AC66" s="58" t="s">
        <v>51</v>
      </c>
      <c r="AD66" s="58"/>
      <c r="AE66" s="58"/>
      <c r="AF66" s="58"/>
      <c r="AG66" s="58"/>
      <c r="AH66" s="58"/>
      <c r="AI66" s="58"/>
    </row>
    <row r="67" spans="1:35" x14ac:dyDescent="0.35">
      <c r="A67" s="17" t="s">
        <v>46</v>
      </c>
      <c r="B67" s="17" t="s">
        <v>2267</v>
      </c>
      <c r="C67" s="28" t="s">
        <v>2345</v>
      </c>
      <c r="D67" s="17" t="s">
        <v>2400</v>
      </c>
      <c r="E67" s="17" t="s">
        <v>2401</v>
      </c>
      <c r="F67" s="20">
        <v>353.9</v>
      </c>
      <c r="G67" s="20">
        <v>119</v>
      </c>
      <c r="H67" s="19">
        <v>572</v>
      </c>
      <c r="I67" s="20">
        <v>285</v>
      </c>
      <c r="J67" s="20">
        <v>287</v>
      </c>
      <c r="K67" s="20">
        <v>7</v>
      </c>
      <c r="L67" s="57">
        <f>K67/H67</f>
        <v>1.2237762237762238E-2</v>
      </c>
      <c r="M67" s="20">
        <v>361</v>
      </c>
      <c r="N67" s="57">
        <f>M67/H67</f>
        <v>0.63111888111888115</v>
      </c>
      <c r="O67" s="46">
        <v>41</v>
      </c>
      <c r="P67" s="46">
        <v>0</v>
      </c>
      <c r="Q67" s="58" t="s">
        <v>51</v>
      </c>
      <c r="R67" s="58">
        <v>2020</v>
      </c>
      <c r="S67" s="58"/>
      <c r="T67" s="58"/>
      <c r="U67" s="58"/>
      <c r="V67" s="58"/>
      <c r="W67" s="58"/>
      <c r="X67" s="58" t="s">
        <v>51</v>
      </c>
      <c r="Y67" s="58"/>
      <c r="Z67" s="58"/>
      <c r="AA67" s="58"/>
      <c r="AB67" s="58"/>
      <c r="AC67" s="58" t="s">
        <v>51</v>
      </c>
      <c r="AD67" s="58"/>
      <c r="AE67" s="58"/>
      <c r="AF67" s="58"/>
      <c r="AG67" s="58"/>
      <c r="AH67" s="58"/>
      <c r="AI67" s="58"/>
    </row>
    <row r="68" spans="1:35" x14ac:dyDescent="0.35">
      <c r="A68" s="17" t="s">
        <v>46</v>
      </c>
      <c r="B68" s="17" t="s">
        <v>2267</v>
      </c>
      <c r="C68" s="28" t="s">
        <v>2402</v>
      </c>
      <c r="D68" s="17" t="s">
        <v>2403</v>
      </c>
      <c r="E68" s="17" t="s">
        <v>2404</v>
      </c>
      <c r="F68" s="20">
        <v>91</v>
      </c>
      <c r="G68" s="20">
        <v>25</v>
      </c>
      <c r="H68" s="19">
        <v>154</v>
      </c>
      <c r="I68" s="20">
        <v>78</v>
      </c>
      <c r="J68" s="20">
        <v>76</v>
      </c>
      <c r="K68" s="20">
        <v>0</v>
      </c>
      <c r="L68" s="57">
        <f>K68/H68</f>
        <v>0</v>
      </c>
      <c r="M68" s="20">
        <v>0</v>
      </c>
      <c r="N68" s="57">
        <f>M68/H68</f>
        <v>0</v>
      </c>
      <c r="O68" s="46">
        <v>1</v>
      </c>
      <c r="P68" s="46">
        <v>0</v>
      </c>
      <c r="Q68" s="58" t="s">
        <v>562</v>
      </c>
      <c r="R68" s="58"/>
      <c r="S68" s="58"/>
      <c r="T68" s="58"/>
      <c r="U68" s="58"/>
      <c r="V68" s="58"/>
      <c r="W68" s="58"/>
      <c r="X68" s="58" t="s">
        <v>562</v>
      </c>
      <c r="Y68" s="58"/>
      <c r="Z68" s="58"/>
      <c r="AA68" s="58"/>
      <c r="AB68" s="58"/>
      <c r="AC68" s="58" t="s">
        <v>562</v>
      </c>
      <c r="AD68" s="58"/>
      <c r="AE68" s="58"/>
      <c r="AF68" s="58"/>
      <c r="AG68" s="58"/>
      <c r="AH68" s="58"/>
      <c r="AI68" s="58"/>
    </row>
    <row r="69" spans="1:35" x14ac:dyDescent="0.35">
      <c r="A69" s="17" t="s">
        <v>46</v>
      </c>
      <c r="B69" s="17" t="s">
        <v>2267</v>
      </c>
      <c r="C69" s="28" t="s">
        <v>2340</v>
      </c>
      <c r="D69" s="17" t="s">
        <v>2405</v>
      </c>
      <c r="E69" s="17" t="s">
        <v>2406</v>
      </c>
      <c r="F69" s="28">
        <v>100</v>
      </c>
      <c r="G69" s="47"/>
      <c r="H69" s="19">
        <v>0</v>
      </c>
      <c r="I69" s="47"/>
      <c r="J69" s="47"/>
      <c r="K69" s="47"/>
      <c r="L69" s="57"/>
      <c r="M69" s="47"/>
      <c r="N69" s="57"/>
      <c r="O69" s="48">
        <v>0</v>
      </c>
      <c r="P69" s="48">
        <v>0</v>
      </c>
      <c r="Q69" s="58" t="s">
        <v>562</v>
      </c>
      <c r="R69" s="58"/>
      <c r="S69" s="58"/>
      <c r="T69" s="58"/>
      <c r="U69" s="58"/>
      <c r="V69" s="58"/>
      <c r="W69" s="58"/>
      <c r="X69" s="58" t="s">
        <v>562</v>
      </c>
      <c r="Y69" s="58"/>
      <c r="Z69" s="58"/>
      <c r="AA69" s="58"/>
      <c r="AB69" s="58"/>
      <c r="AC69" s="58" t="s">
        <v>562</v>
      </c>
      <c r="AD69" s="58"/>
      <c r="AE69" s="58"/>
      <c r="AF69" s="58"/>
      <c r="AG69" s="58"/>
      <c r="AH69" s="58"/>
      <c r="AI69" s="58"/>
    </row>
    <row r="70" spans="1:35" x14ac:dyDescent="0.35">
      <c r="A70" s="17" t="s">
        <v>46</v>
      </c>
      <c r="B70" s="17" t="s">
        <v>2267</v>
      </c>
      <c r="C70" s="28" t="s">
        <v>2340</v>
      </c>
      <c r="D70" s="17" t="s">
        <v>437</v>
      </c>
      <c r="E70" s="17" t="s">
        <v>2407</v>
      </c>
      <c r="F70" s="20">
        <v>124</v>
      </c>
      <c r="G70" s="20">
        <v>128</v>
      </c>
      <c r="H70" s="19">
        <v>660</v>
      </c>
      <c r="I70" s="20">
        <v>322</v>
      </c>
      <c r="J70" s="20">
        <v>338</v>
      </c>
      <c r="K70" s="20">
        <v>94</v>
      </c>
      <c r="L70" s="57">
        <f t="shared" ref="L70:L84" si="6">K70/H70</f>
        <v>0.14242424242424243</v>
      </c>
      <c r="M70" s="20">
        <v>0</v>
      </c>
      <c r="N70" s="57">
        <f t="shared" ref="N70:N84" si="7">M70/H70</f>
        <v>0</v>
      </c>
      <c r="O70" s="46">
        <v>5</v>
      </c>
      <c r="P70" s="46">
        <v>0</v>
      </c>
      <c r="Q70" s="58" t="s">
        <v>51</v>
      </c>
      <c r="R70" s="58">
        <v>2021</v>
      </c>
      <c r="S70" s="58"/>
      <c r="T70" s="58"/>
      <c r="U70" s="58"/>
      <c r="V70" s="58"/>
      <c r="W70" s="58"/>
      <c r="X70" s="58" t="s">
        <v>51</v>
      </c>
      <c r="Y70" s="58"/>
      <c r="Z70" s="58"/>
      <c r="AA70" s="58"/>
      <c r="AB70" s="58"/>
      <c r="AC70" s="58" t="s">
        <v>51</v>
      </c>
      <c r="AD70" s="58"/>
      <c r="AE70" s="58"/>
      <c r="AF70" s="58"/>
      <c r="AG70" s="58"/>
      <c r="AH70" s="58"/>
      <c r="AI70" s="58"/>
    </row>
    <row r="71" spans="1:35" x14ac:dyDescent="0.35">
      <c r="A71" s="17" t="s">
        <v>46</v>
      </c>
      <c r="B71" s="17" t="s">
        <v>2267</v>
      </c>
      <c r="C71" s="28" t="s">
        <v>2408</v>
      </c>
      <c r="D71" s="17" t="s">
        <v>664</v>
      </c>
      <c r="E71" s="17" t="s">
        <v>2409</v>
      </c>
      <c r="F71" s="20">
        <v>48</v>
      </c>
      <c r="G71" s="20">
        <v>37</v>
      </c>
      <c r="H71" s="19">
        <v>176</v>
      </c>
      <c r="I71" s="20">
        <v>88</v>
      </c>
      <c r="J71" s="20">
        <v>88</v>
      </c>
      <c r="K71" s="20">
        <v>0</v>
      </c>
      <c r="L71" s="57">
        <f t="shared" si="6"/>
        <v>0</v>
      </c>
      <c r="M71" s="20">
        <v>0</v>
      </c>
      <c r="N71" s="57">
        <f t="shared" si="7"/>
        <v>0</v>
      </c>
      <c r="O71" s="46">
        <v>0</v>
      </c>
      <c r="P71" s="46">
        <v>0</v>
      </c>
      <c r="Q71" s="58" t="s">
        <v>562</v>
      </c>
      <c r="R71" s="58"/>
      <c r="S71" s="58"/>
      <c r="T71" s="58"/>
      <c r="U71" s="58"/>
      <c r="V71" s="58"/>
      <c r="W71" s="58"/>
      <c r="X71" s="58" t="s">
        <v>562</v>
      </c>
      <c r="Y71" s="58"/>
      <c r="Z71" s="58"/>
      <c r="AA71" s="58"/>
      <c r="AB71" s="58"/>
      <c r="AC71" s="58" t="s">
        <v>562</v>
      </c>
      <c r="AD71" s="58"/>
      <c r="AE71" s="58"/>
      <c r="AF71" s="58"/>
      <c r="AG71" s="58"/>
      <c r="AH71" s="58"/>
      <c r="AI71" s="58"/>
    </row>
    <row r="72" spans="1:35" x14ac:dyDescent="0.35">
      <c r="A72" s="17" t="s">
        <v>46</v>
      </c>
      <c r="B72" s="17" t="s">
        <v>2267</v>
      </c>
      <c r="C72" s="28" t="s">
        <v>2408</v>
      </c>
      <c r="D72" s="17" t="s">
        <v>1767</v>
      </c>
      <c r="E72" s="17" t="s">
        <v>2410</v>
      </c>
      <c r="F72" s="20">
        <v>865</v>
      </c>
      <c r="G72" s="20">
        <v>368</v>
      </c>
      <c r="H72" s="19">
        <v>1618</v>
      </c>
      <c r="I72" s="20">
        <v>848</v>
      </c>
      <c r="J72" s="20">
        <v>770</v>
      </c>
      <c r="K72" s="20">
        <v>210</v>
      </c>
      <c r="L72" s="57">
        <f t="shared" si="6"/>
        <v>0.12978986402966625</v>
      </c>
      <c r="M72" s="20">
        <v>75</v>
      </c>
      <c r="N72" s="57">
        <f t="shared" si="7"/>
        <v>4.6353522867737945E-2</v>
      </c>
      <c r="O72" s="46">
        <v>75</v>
      </c>
      <c r="P72" s="46">
        <v>0</v>
      </c>
      <c r="Q72" s="58" t="s">
        <v>51</v>
      </c>
      <c r="R72" s="58">
        <v>2021</v>
      </c>
      <c r="S72" s="58"/>
      <c r="T72" s="58"/>
      <c r="U72" s="58"/>
      <c r="V72" s="58"/>
      <c r="W72" s="58"/>
      <c r="X72" s="58" t="s">
        <v>51</v>
      </c>
      <c r="Y72" s="58"/>
      <c r="Z72" s="58"/>
      <c r="AA72" s="58"/>
      <c r="AB72" s="58"/>
      <c r="AC72" s="58" t="s">
        <v>51</v>
      </c>
      <c r="AD72" s="58"/>
      <c r="AE72" s="58"/>
      <c r="AF72" s="58"/>
      <c r="AG72" s="58"/>
      <c r="AH72" s="58"/>
      <c r="AI72" s="58"/>
    </row>
    <row r="73" spans="1:35" x14ac:dyDescent="0.35">
      <c r="A73" s="17" t="s">
        <v>46</v>
      </c>
      <c r="B73" s="17" t="s">
        <v>2267</v>
      </c>
      <c r="C73" s="28" t="s">
        <v>2408</v>
      </c>
      <c r="D73" s="17" t="s">
        <v>215</v>
      </c>
      <c r="E73" s="17" t="s">
        <v>2411</v>
      </c>
      <c r="F73" s="20">
        <v>508</v>
      </c>
      <c r="G73" s="20">
        <v>240</v>
      </c>
      <c r="H73" s="19">
        <v>1186</v>
      </c>
      <c r="I73" s="20">
        <v>620</v>
      </c>
      <c r="J73" s="20">
        <v>566</v>
      </c>
      <c r="K73" s="20">
        <v>50</v>
      </c>
      <c r="L73" s="57">
        <f t="shared" si="6"/>
        <v>4.2158516020236091E-2</v>
      </c>
      <c r="M73" s="20">
        <v>864</v>
      </c>
      <c r="N73" s="57">
        <f t="shared" si="7"/>
        <v>0.72849915682967958</v>
      </c>
      <c r="O73" s="46">
        <v>45</v>
      </c>
      <c r="P73" s="46">
        <v>0</v>
      </c>
      <c r="Q73" s="58" t="s">
        <v>562</v>
      </c>
      <c r="R73" s="58"/>
      <c r="S73" s="58"/>
      <c r="T73" s="58"/>
      <c r="U73" s="58"/>
      <c r="V73" s="58"/>
      <c r="W73" s="58"/>
      <c r="X73" s="58" t="s">
        <v>562</v>
      </c>
      <c r="Y73" s="58"/>
      <c r="Z73" s="58"/>
      <c r="AA73" s="58"/>
      <c r="AB73" s="58"/>
      <c r="AC73" s="58" t="s">
        <v>562</v>
      </c>
      <c r="AD73" s="58"/>
      <c r="AE73" s="58"/>
      <c r="AF73" s="58"/>
      <c r="AG73" s="58"/>
      <c r="AH73" s="58"/>
      <c r="AI73" s="58"/>
    </row>
    <row r="74" spans="1:35" x14ac:dyDescent="0.35">
      <c r="A74" s="17" t="s">
        <v>46</v>
      </c>
      <c r="B74" s="17" t="s">
        <v>2267</v>
      </c>
      <c r="C74" s="28" t="s">
        <v>2408</v>
      </c>
      <c r="D74" s="17" t="s">
        <v>2412</v>
      </c>
      <c r="E74" s="17" t="s">
        <v>2413</v>
      </c>
      <c r="F74" s="20">
        <v>213</v>
      </c>
      <c r="G74" s="20">
        <v>145</v>
      </c>
      <c r="H74" s="19">
        <v>639</v>
      </c>
      <c r="I74" s="20">
        <v>313</v>
      </c>
      <c r="J74" s="20">
        <v>326</v>
      </c>
      <c r="K74" s="20">
        <v>0</v>
      </c>
      <c r="L74" s="57">
        <f t="shared" si="6"/>
        <v>0</v>
      </c>
      <c r="M74" s="20">
        <v>0</v>
      </c>
      <c r="N74" s="57">
        <f t="shared" si="7"/>
        <v>0</v>
      </c>
      <c r="O74" s="46">
        <v>11</v>
      </c>
      <c r="P74" s="46">
        <v>0</v>
      </c>
      <c r="Q74" s="58" t="s">
        <v>51</v>
      </c>
      <c r="R74" s="58">
        <v>2020</v>
      </c>
      <c r="S74" s="58"/>
      <c r="T74" s="58"/>
      <c r="U74" s="58"/>
      <c r="V74" s="58"/>
      <c r="W74" s="58"/>
      <c r="X74" s="58" t="s">
        <v>51</v>
      </c>
      <c r="Y74" s="58"/>
      <c r="Z74" s="58"/>
      <c r="AA74" s="58"/>
      <c r="AB74" s="58"/>
      <c r="AC74" s="58" t="s">
        <v>51</v>
      </c>
      <c r="AD74" s="58"/>
      <c r="AE74" s="58"/>
      <c r="AF74" s="58"/>
      <c r="AG74" s="58"/>
      <c r="AH74" s="58"/>
      <c r="AI74" s="58"/>
    </row>
    <row r="75" spans="1:35" x14ac:dyDescent="0.35">
      <c r="A75" s="17" t="s">
        <v>46</v>
      </c>
      <c r="B75" s="17" t="s">
        <v>2267</v>
      </c>
      <c r="C75" s="28" t="s">
        <v>2323</v>
      </c>
      <c r="D75" s="17" t="s">
        <v>2414</v>
      </c>
      <c r="E75" s="17" t="s">
        <v>2415</v>
      </c>
      <c r="F75" s="20">
        <v>29.89</v>
      </c>
      <c r="G75" s="20">
        <v>25</v>
      </c>
      <c r="H75" s="19">
        <v>87</v>
      </c>
      <c r="I75" s="20">
        <v>43</v>
      </c>
      <c r="J75" s="20">
        <v>44</v>
      </c>
      <c r="K75" s="20">
        <v>0</v>
      </c>
      <c r="L75" s="57">
        <f t="shared" si="6"/>
        <v>0</v>
      </c>
      <c r="M75" s="20">
        <v>46</v>
      </c>
      <c r="N75" s="57">
        <f t="shared" si="7"/>
        <v>0.52873563218390807</v>
      </c>
      <c r="O75" s="46">
        <v>3.22</v>
      </c>
      <c r="P75" s="46">
        <v>0</v>
      </c>
      <c r="Q75" s="58" t="s">
        <v>562</v>
      </c>
      <c r="R75" s="58"/>
      <c r="S75" s="58"/>
      <c r="T75" s="58"/>
      <c r="U75" s="58"/>
      <c r="V75" s="58"/>
      <c r="W75" s="58"/>
      <c r="X75" s="58" t="s">
        <v>562</v>
      </c>
      <c r="Y75" s="58"/>
      <c r="Z75" s="58"/>
      <c r="AA75" s="58"/>
      <c r="AB75" s="58"/>
      <c r="AC75" s="58" t="s">
        <v>562</v>
      </c>
      <c r="AD75" s="58"/>
      <c r="AE75" s="58"/>
      <c r="AF75" s="58"/>
      <c r="AG75" s="58"/>
      <c r="AH75" s="58"/>
      <c r="AI75" s="58"/>
    </row>
    <row r="76" spans="1:35" x14ac:dyDescent="0.35">
      <c r="A76" s="17" t="s">
        <v>46</v>
      </c>
      <c r="B76" s="17" t="s">
        <v>2267</v>
      </c>
      <c r="C76" s="28" t="s">
        <v>2323</v>
      </c>
      <c r="D76" s="17" t="s">
        <v>2416</v>
      </c>
      <c r="E76" s="17" t="s">
        <v>2417</v>
      </c>
      <c r="F76" s="20">
        <v>17.55</v>
      </c>
      <c r="G76" s="20">
        <v>41</v>
      </c>
      <c r="H76" s="19">
        <v>192</v>
      </c>
      <c r="I76" s="20">
        <v>96</v>
      </c>
      <c r="J76" s="20">
        <v>96</v>
      </c>
      <c r="K76" s="20">
        <v>0</v>
      </c>
      <c r="L76" s="57">
        <f t="shared" si="6"/>
        <v>0</v>
      </c>
      <c r="M76" s="20">
        <v>0</v>
      </c>
      <c r="N76" s="57">
        <f t="shared" si="7"/>
        <v>0</v>
      </c>
      <c r="O76" s="46">
        <v>1.85</v>
      </c>
      <c r="P76" s="46">
        <v>0</v>
      </c>
      <c r="Q76" s="58" t="s">
        <v>562</v>
      </c>
      <c r="R76" s="58"/>
      <c r="S76" s="58"/>
      <c r="T76" s="58"/>
      <c r="U76" s="58"/>
      <c r="V76" s="58"/>
      <c r="W76" s="58"/>
      <c r="X76" s="58" t="s">
        <v>562</v>
      </c>
      <c r="Y76" s="58"/>
      <c r="Z76" s="58"/>
      <c r="AA76" s="58"/>
      <c r="AB76" s="58"/>
      <c r="AC76" s="58" t="s">
        <v>562</v>
      </c>
      <c r="AD76" s="58"/>
      <c r="AE76" s="58"/>
      <c r="AF76" s="58"/>
      <c r="AG76" s="58"/>
      <c r="AH76" s="58"/>
      <c r="AI76" s="58"/>
    </row>
    <row r="77" spans="1:35" x14ac:dyDescent="0.35">
      <c r="A77" s="17" t="s">
        <v>46</v>
      </c>
      <c r="B77" s="17" t="s">
        <v>2267</v>
      </c>
      <c r="C77" s="28" t="s">
        <v>2323</v>
      </c>
      <c r="D77" s="17" t="s">
        <v>2418</v>
      </c>
      <c r="E77" s="17" t="s">
        <v>2419</v>
      </c>
      <c r="F77" s="20">
        <v>88.95</v>
      </c>
      <c r="G77" s="20">
        <v>144</v>
      </c>
      <c r="H77" s="19">
        <v>639</v>
      </c>
      <c r="I77" s="20">
        <v>325</v>
      </c>
      <c r="J77" s="20">
        <v>314</v>
      </c>
      <c r="K77" s="20">
        <v>1</v>
      </c>
      <c r="L77" s="57">
        <f t="shared" si="6"/>
        <v>1.5649452269170579E-3</v>
      </c>
      <c r="M77" s="20">
        <v>244</v>
      </c>
      <c r="N77" s="57">
        <f t="shared" si="7"/>
        <v>0.38184663536776214</v>
      </c>
      <c r="O77" s="46">
        <v>3.36</v>
      </c>
      <c r="P77" s="46">
        <v>0</v>
      </c>
      <c r="Q77" s="58" t="s">
        <v>562</v>
      </c>
      <c r="R77" s="58"/>
      <c r="S77" s="58"/>
      <c r="T77" s="58"/>
      <c r="U77" s="58"/>
      <c r="V77" s="58"/>
      <c r="W77" s="58"/>
      <c r="X77" s="58" t="s">
        <v>562</v>
      </c>
      <c r="Y77" s="58"/>
      <c r="Z77" s="58"/>
      <c r="AA77" s="58"/>
      <c r="AB77" s="58"/>
      <c r="AC77" s="58" t="s">
        <v>562</v>
      </c>
      <c r="AD77" s="58"/>
      <c r="AE77" s="58"/>
      <c r="AF77" s="58"/>
      <c r="AG77" s="58"/>
      <c r="AH77" s="58"/>
      <c r="AI77" s="58"/>
    </row>
    <row r="78" spans="1:35" x14ac:dyDescent="0.35">
      <c r="A78" s="17" t="s">
        <v>46</v>
      </c>
      <c r="B78" s="17" t="s">
        <v>2267</v>
      </c>
      <c r="C78" s="28" t="s">
        <v>2323</v>
      </c>
      <c r="D78" s="17" t="s">
        <v>2420</v>
      </c>
      <c r="E78" s="17" t="s">
        <v>2421</v>
      </c>
      <c r="F78" s="20">
        <v>33.39</v>
      </c>
      <c r="G78" s="20">
        <v>31</v>
      </c>
      <c r="H78" s="19">
        <v>139</v>
      </c>
      <c r="I78" s="20">
        <v>73</v>
      </c>
      <c r="J78" s="20">
        <v>66</v>
      </c>
      <c r="K78" s="20">
        <v>29</v>
      </c>
      <c r="L78" s="57">
        <f t="shared" si="6"/>
        <v>0.20863309352517986</v>
      </c>
      <c r="M78" s="20">
        <v>34</v>
      </c>
      <c r="N78" s="57">
        <f t="shared" si="7"/>
        <v>0.2446043165467626</v>
      </c>
      <c r="O78" s="46">
        <v>0</v>
      </c>
      <c r="P78" s="46">
        <v>0</v>
      </c>
      <c r="Q78" s="58" t="s">
        <v>562</v>
      </c>
      <c r="R78" s="58"/>
      <c r="S78" s="58"/>
      <c r="T78" s="58"/>
      <c r="U78" s="58"/>
      <c r="V78" s="58"/>
      <c r="W78" s="58"/>
      <c r="X78" s="58" t="s">
        <v>562</v>
      </c>
      <c r="Y78" s="58"/>
      <c r="Z78" s="58"/>
      <c r="AA78" s="58"/>
      <c r="AB78" s="58"/>
      <c r="AC78" s="58" t="s">
        <v>562</v>
      </c>
      <c r="AD78" s="58"/>
      <c r="AE78" s="58"/>
      <c r="AF78" s="58"/>
      <c r="AG78" s="58"/>
      <c r="AH78" s="58"/>
      <c r="AI78" s="58"/>
    </row>
    <row r="79" spans="1:35" x14ac:dyDescent="0.35">
      <c r="A79" s="17" t="s">
        <v>46</v>
      </c>
      <c r="B79" s="17" t="s">
        <v>2267</v>
      </c>
      <c r="C79" s="28" t="s">
        <v>2323</v>
      </c>
      <c r="D79" s="17" t="s">
        <v>2422</v>
      </c>
      <c r="E79" s="17" t="s">
        <v>2423</v>
      </c>
      <c r="F79" s="20">
        <v>1509.59</v>
      </c>
      <c r="G79" s="20">
        <v>372</v>
      </c>
      <c r="H79" s="19">
        <v>1821</v>
      </c>
      <c r="I79" s="20">
        <v>930</v>
      </c>
      <c r="J79" s="20">
        <v>891</v>
      </c>
      <c r="K79" s="20">
        <v>102</v>
      </c>
      <c r="L79" s="57">
        <f t="shared" si="6"/>
        <v>5.6013179571663921E-2</v>
      </c>
      <c r="M79" s="20">
        <v>1428</v>
      </c>
      <c r="N79" s="57">
        <f t="shared" si="7"/>
        <v>0.78418451400329492</v>
      </c>
      <c r="O79" s="46">
        <v>93.56</v>
      </c>
      <c r="P79" s="46">
        <v>0</v>
      </c>
      <c r="Q79" s="58" t="s">
        <v>51</v>
      </c>
      <c r="R79" s="58">
        <v>2020</v>
      </c>
      <c r="S79" s="58"/>
      <c r="T79" s="58"/>
      <c r="U79" s="58"/>
      <c r="V79" s="58"/>
      <c r="W79" s="58"/>
      <c r="X79" s="58" t="s">
        <v>51</v>
      </c>
      <c r="Y79" s="58"/>
      <c r="Z79" s="58"/>
      <c r="AA79" s="58"/>
      <c r="AB79" s="58"/>
      <c r="AC79" s="58" t="s">
        <v>51</v>
      </c>
      <c r="AD79" s="58"/>
      <c r="AE79" s="58"/>
      <c r="AF79" s="58"/>
      <c r="AG79" s="58"/>
      <c r="AH79" s="58"/>
      <c r="AI79" s="58"/>
    </row>
    <row r="80" spans="1:35" x14ac:dyDescent="0.35">
      <c r="A80" s="17" t="s">
        <v>46</v>
      </c>
      <c r="B80" s="17" t="s">
        <v>2267</v>
      </c>
      <c r="C80" s="28" t="s">
        <v>2325</v>
      </c>
      <c r="D80" s="17" t="s">
        <v>1165</v>
      </c>
      <c r="E80" s="17" t="s">
        <v>2424</v>
      </c>
      <c r="F80" s="20">
        <v>260.13</v>
      </c>
      <c r="G80" s="20">
        <v>193</v>
      </c>
      <c r="H80" s="19">
        <v>873</v>
      </c>
      <c r="I80" s="20">
        <v>432</v>
      </c>
      <c r="J80" s="20">
        <v>441</v>
      </c>
      <c r="K80" s="20">
        <v>209</v>
      </c>
      <c r="L80" s="57">
        <f t="shared" si="6"/>
        <v>0.23940435280641467</v>
      </c>
      <c r="M80" s="20">
        <v>62</v>
      </c>
      <c r="N80" s="57">
        <f t="shared" si="7"/>
        <v>7.1019473081328749E-2</v>
      </c>
      <c r="O80" s="46">
        <v>7.24</v>
      </c>
      <c r="P80" s="46">
        <v>0</v>
      </c>
      <c r="Q80" s="58" t="s">
        <v>51</v>
      </c>
      <c r="R80" s="58">
        <v>2020</v>
      </c>
      <c r="S80" s="58"/>
      <c r="T80" s="58"/>
      <c r="U80" s="58"/>
      <c r="V80" s="58"/>
      <c r="W80" s="58"/>
      <c r="X80" s="58" t="s">
        <v>51</v>
      </c>
      <c r="Y80" s="58"/>
      <c r="Z80" s="58"/>
      <c r="AA80" s="58"/>
      <c r="AB80" s="58"/>
      <c r="AC80" s="58" t="s">
        <v>51</v>
      </c>
      <c r="AD80" s="58"/>
      <c r="AE80" s="58"/>
      <c r="AF80" s="58"/>
      <c r="AG80" s="58"/>
      <c r="AH80" s="58"/>
      <c r="AI80" s="58"/>
    </row>
    <row r="81" spans="1:35" x14ac:dyDescent="0.35">
      <c r="A81" s="17" t="s">
        <v>46</v>
      </c>
      <c r="B81" s="17" t="s">
        <v>2267</v>
      </c>
      <c r="C81" s="28" t="s">
        <v>2408</v>
      </c>
      <c r="D81" s="17" t="s">
        <v>2425</v>
      </c>
      <c r="E81" s="17" t="s">
        <v>2426</v>
      </c>
      <c r="F81" s="20">
        <v>153</v>
      </c>
      <c r="G81" s="20">
        <v>54</v>
      </c>
      <c r="H81" s="19">
        <v>260</v>
      </c>
      <c r="I81" s="20">
        <v>134</v>
      </c>
      <c r="J81" s="20">
        <v>126</v>
      </c>
      <c r="K81" s="20">
        <v>46</v>
      </c>
      <c r="L81" s="57">
        <f t="shared" si="6"/>
        <v>0.17692307692307693</v>
      </c>
      <c r="M81" s="20">
        <v>8</v>
      </c>
      <c r="N81" s="57">
        <f t="shared" si="7"/>
        <v>3.0769230769230771E-2</v>
      </c>
      <c r="O81" s="46">
        <v>22</v>
      </c>
      <c r="P81" s="46">
        <v>0</v>
      </c>
      <c r="Q81" s="58" t="s">
        <v>51</v>
      </c>
      <c r="R81" s="58">
        <v>2021</v>
      </c>
      <c r="S81" s="58"/>
      <c r="T81" s="58"/>
      <c r="U81" s="58"/>
      <c r="V81" s="58"/>
      <c r="W81" s="58"/>
      <c r="X81" s="58" t="s">
        <v>51</v>
      </c>
      <c r="Y81" s="58"/>
      <c r="Z81" s="58"/>
      <c r="AA81" s="58"/>
      <c r="AB81" s="58"/>
      <c r="AC81" s="58" t="s">
        <v>51</v>
      </c>
      <c r="AD81" s="58"/>
      <c r="AE81" s="58"/>
      <c r="AF81" s="58"/>
      <c r="AG81" s="58"/>
      <c r="AH81" s="58"/>
      <c r="AI81" s="58"/>
    </row>
    <row r="82" spans="1:35" x14ac:dyDescent="0.35">
      <c r="A82" s="17" t="s">
        <v>46</v>
      </c>
      <c r="B82" s="17" t="s">
        <v>2267</v>
      </c>
      <c r="C82" s="28" t="s">
        <v>2402</v>
      </c>
      <c r="D82" s="17" t="s">
        <v>2427</v>
      </c>
      <c r="E82" s="17" t="s">
        <v>2428</v>
      </c>
      <c r="F82" s="20">
        <v>1016</v>
      </c>
      <c r="G82" s="20">
        <v>327</v>
      </c>
      <c r="H82" s="19">
        <v>1614</v>
      </c>
      <c r="I82" s="20">
        <v>825</v>
      </c>
      <c r="J82" s="20">
        <v>789</v>
      </c>
      <c r="K82" s="20">
        <v>160</v>
      </c>
      <c r="L82" s="57">
        <f t="shared" si="6"/>
        <v>9.9132589838909546E-2</v>
      </c>
      <c r="M82" s="20">
        <v>228</v>
      </c>
      <c r="N82" s="57">
        <f t="shared" si="7"/>
        <v>0.14126394052044611</v>
      </c>
      <c r="O82" s="46">
        <v>144</v>
      </c>
      <c r="P82" s="46">
        <v>0</v>
      </c>
      <c r="Q82" s="58" t="s">
        <v>51</v>
      </c>
      <c r="R82" s="58">
        <v>2020</v>
      </c>
      <c r="S82" s="58"/>
      <c r="T82" s="58"/>
      <c r="U82" s="58"/>
      <c r="V82" s="58"/>
      <c r="W82" s="58"/>
      <c r="X82" s="58" t="s">
        <v>51</v>
      </c>
      <c r="Y82" s="58"/>
      <c r="Z82" s="58"/>
      <c r="AA82" s="58"/>
      <c r="AB82" s="58"/>
      <c r="AC82" s="58" t="s">
        <v>51</v>
      </c>
      <c r="AD82" s="58"/>
      <c r="AE82" s="58"/>
      <c r="AF82" s="58"/>
      <c r="AG82" s="58"/>
      <c r="AH82" s="58"/>
      <c r="AI82" s="58"/>
    </row>
    <row r="83" spans="1:35" x14ac:dyDescent="0.35">
      <c r="A83" s="17" t="s">
        <v>46</v>
      </c>
      <c r="B83" s="17" t="s">
        <v>2267</v>
      </c>
      <c r="C83" s="28" t="s">
        <v>2402</v>
      </c>
      <c r="D83" s="17" t="s">
        <v>2429</v>
      </c>
      <c r="E83" s="17" t="s">
        <v>2430</v>
      </c>
      <c r="F83" s="20">
        <v>369</v>
      </c>
      <c r="G83" s="20">
        <v>187</v>
      </c>
      <c r="H83" s="19">
        <v>957</v>
      </c>
      <c r="I83" s="20">
        <v>494</v>
      </c>
      <c r="J83" s="20">
        <v>463</v>
      </c>
      <c r="K83" s="20">
        <v>122</v>
      </c>
      <c r="L83" s="57">
        <f t="shared" si="6"/>
        <v>0.12748171368861025</v>
      </c>
      <c r="M83" s="20">
        <v>53</v>
      </c>
      <c r="N83" s="57">
        <f t="shared" si="7"/>
        <v>5.5381400208986416E-2</v>
      </c>
      <c r="O83" s="46">
        <v>58</v>
      </c>
      <c r="P83" s="46">
        <v>0</v>
      </c>
      <c r="Q83" s="58" t="s">
        <v>51</v>
      </c>
      <c r="R83" s="58">
        <v>2020</v>
      </c>
      <c r="S83" s="58"/>
      <c r="T83" s="58"/>
      <c r="U83" s="58"/>
      <c r="V83" s="58"/>
      <c r="W83" s="58"/>
      <c r="X83" s="58" t="s">
        <v>51</v>
      </c>
      <c r="Y83" s="58"/>
      <c r="Z83" s="58"/>
      <c r="AA83" s="58"/>
      <c r="AB83" s="58"/>
      <c r="AC83" s="58" t="s">
        <v>51</v>
      </c>
      <c r="AD83" s="58"/>
      <c r="AE83" s="58"/>
      <c r="AF83" s="58"/>
      <c r="AG83" s="58"/>
      <c r="AH83" s="58"/>
      <c r="AI83" s="58"/>
    </row>
    <row r="84" spans="1:35" x14ac:dyDescent="0.35">
      <c r="A84" s="17" t="s">
        <v>46</v>
      </c>
      <c r="B84" s="17" t="s">
        <v>2267</v>
      </c>
      <c r="C84" s="28" t="s">
        <v>2402</v>
      </c>
      <c r="D84" s="17" t="s">
        <v>2431</v>
      </c>
      <c r="E84" s="17" t="s">
        <v>2432</v>
      </c>
      <c r="F84" s="20">
        <v>408</v>
      </c>
      <c r="G84" s="20">
        <v>248</v>
      </c>
      <c r="H84" s="19">
        <v>1101</v>
      </c>
      <c r="I84" s="20">
        <v>525</v>
      </c>
      <c r="J84" s="20">
        <v>576</v>
      </c>
      <c r="K84" s="20">
        <v>122</v>
      </c>
      <c r="L84" s="57">
        <f t="shared" si="6"/>
        <v>0.11080835603996367</v>
      </c>
      <c r="M84" s="20">
        <v>60</v>
      </c>
      <c r="N84" s="57">
        <f t="shared" si="7"/>
        <v>5.4495912806539509E-2</v>
      </c>
      <c r="O84" s="46">
        <v>46</v>
      </c>
      <c r="P84" s="46">
        <v>0</v>
      </c>
      <c r="Q84" s="58" t="s">
        <v>51</v>
      </c>
      <c r="R84" s="58">
        <v>2020</v>
      </c>
      <c r="S84" s="58"/>
      <c r="T84" s="58"/>
      <c r="U84" s="58"/>
      <c r="V84" s="58"/>
      <c r="W84" s="58"/>
      <c r="X84" s="58" t="s">
        <v>51</v>
      </c>
      <c r="Y84" s="58"/>
      <c r="Z84" s="58"/>
      <c r="AA84" s="58"/>
      <c r="AB84" s="58"/>
      <c r="AC84" s="58" t="s">
        <v>51</v>
      </c>
      <c r="AD84" s="58"/>
      <c r="AE84" s="58"/>
      <c r="AF84" s="58"/>
      <c r="AG84" s="58"/>
      <c r="AH84" s="58"/>
      <c r="AI84" s="58"/>
    </row>
    <row r="85" spans="1:35" x14ac:dyDescent="0.35">
      <c r="A85" s="17" t="s">
        <v>46</v>
      </c>
      <c r="B85" s="17" t="s">
        <v>2267</v>
      </c>
      <c r="C85" s="28" t="s">
        <v>2395</v>
      </c>
      <c r="D85" s="17" t="s">
        <v>2433</v>
      </c>
      <c r="E85" s="17" t="s">
        <v>2434</v>
      </c>
      <c r="F85" s="28">
        <v>140.32</v>
      </c>
      <c r="G85" s="47"/>
      <c r="H85" s="19">
        <v>0</v>
      </c>
      <c r="I85" s="47"/>
      <c r="J85" s="47"/>
      <c r="K85" s="47"/>
      <c r="L85" s="57"/>
      <c r="M85" s="47"/>
      <c r="N85" s="57"/>
      <c r="O85" s="48">
        <v>0</v>
      </c>
      <c r="P85" s="48">
        <v>0</v>
      </c>
      <c r="Q85" s="58" t="s">
        <v>562</v>
      </c>
      <c r="R85" s="58"/>
      <c r="S85" s="58"/>
      <c r="T85" s="58"/>
      <c r="U85" s="58"/>
      <c r="V85" s="58"/>
      <c r="W85" s="58"/>
      <c r="X85" s="58" t="s">
        <v>562</v>
      </c>
      <c r="Y85" s="58"/>
      <c r="Z85" s="58"/>
      <c r="AA85" s="58"/>
      <c r="AB85" s="58"/>
      <c r="AC85" s="58" t="s">
        <v>562</v>
      </c>
      <c r="AD85" s="58"/>
      <c r="AE85" s="58"/>
      <c r="AF85" s="58"/>
      <c r="AG85" s="58"/>
      <c r="AH85" s="58"/>
      <c r="AI85" s="58"/>
    </row>
    <row r="86" spans="1:35" x14ac:dyDescent="0.35">
      <c r="A86" s="17" t="s">
        <v>46</v>
      </c>
      <c r="B86" s="17" t="s">
        <v>2267</v>
      </c>
      <c r="C86" s="28" t="s">
        <v>2395</v>
      </c>
      <c r="D86" s="17" t="s">
        <v>2435</v>
      </c>
      <c r="E86" s="17" t="s">
        <v>2436</v>
      </c>
      <c r="F86" s="20">
        <v>1556.56</v>
      </c>
      <c r="G86" s="20">
        <v>1587</v>
      </c>
      <c r="H86" s="19">
        <v>7713</v>
      </c>
      <c r="I86" s="20">
        <v>3866</v>
      </c>
      <c r="J86" s="20">
        <v>3847</v>
      </c>
      <c r="K86" s="20">
        <v>1118</v>
      </c>
      <c r="L86" s="57">
        <f t="shared" ref="L86:L92" si="8">K86/H86</f>
        <v>0.1449500842733048</v>
      </c>
      <c r="M86" s="20">
        <v>563</v>
      </c>
      <c r="N86" s="57">
        <f t="shared" ref="N86:N92" si="9">M86/H86</f>
        <v>7.2993647089329705E-2</v>
      </c>
      <c r="O86" s="46">
        <v>206.86</v>
      </c>
      <c r="P86" s="46">
        <v>0</v>
      </c>
      <c r="Q86" s="58" t="s">
        <v>562</v>
      </c>
      <c r="R86" s="58"/>
      <c r="S86" s="58"/>
      <c r="T86" s="58"/>
      <c r="U86" s="58"/>
      <c r="V86" s="58"/>
      <c r="W86" s="58"/>
      <c r="X86" s="58" t="s">
        <v>562</v>
      </c>
      <c r="Y86" s="58"/>
      <c r="Z86" s="58"/>
      <c r="AA86" s="58"/>
      <c r="AB86" s="58"/>
      <c r="AC86" s="58" t="s">
        <v>562</v>
      </c>
      <c r="AD86" s="58"/>
      <c r="AE86" s="58"/>
      <c r="AF86" s="58"/>
      <c r="AG86" s="58"/>
      <c r="AH86" s="58"/>
      <c r="AI86" s="58"/>
    </row>
    <row r="87" spans="1:35" x14ac:dyDescent="0.35">
      <c r="A87" s="17" t="s">
        <v>46</v>
      </c>
      <c r="B87" s="17" t="s">
        <v>2267</v>
      </c>
      <c r="C87" s="28" t="s">
        <v>2437</v>
      </c>
      <c r="D87" s="17" t="s">
        <v>2438</v>
      </c>
      <c r="E87" s="17" t="s">
        <v>2439</v>
      </c>
      <c r="F87" s="20">
        <v>889</v>
      </c>
      <c r="G87" s="20">
        <v>410</v>
      </c>
      <c r="H87" s="19">
        <v>1814</v>
      </c>
      <c r="I87" s="20">
        <v>892</v>
      </c>
      <c r="J87" s="20">
        <v>922</v>
      </c>
      <c r="K87" s="20">
        <v>536</v>
      </c>
      <c r="L87" s="57">
        <f t="shared" si="8"/>
        <v>0.29547960308710031</v>
      </c>
      <c r="M87" s="20">
        <v>0</v>
      </c>
      <c r="N87" s="57">
        <f t="shared" si="9"/>
        <v>0</v>
      </c>
      <c r="O87" s="46">
        <v>208</v>
      </c>
      <c r="P87" s="46">
        <v>0</v>
      </c>
      <c r="Q87" s="58" t="s">
        <v>51</v>
      </c>
      <c r="R87" s="58">
        <v>2021</v>
      </c>
      <c r="S87" s="58"/>
      <c r="T87" s="58"/>
      <c r="U87" s="58"/>
      <c r="V87" s="58"/>
      <c r="W87" s="58"/>
      <c r="X87" s="58" t="s">
        <v>51</v>
      </c>
      <c r="Y87" s="58"/>
      <c r="Z87" s="58"/>
      <c r="AA87" s="58"/>
      <c r="AB87" s="58"/>
      <c r="AC87" s="58" t="s">
        <v>51</v>
      </c>
      <c r="AD87" s="58"/>
      <c r="AE87" s="58"/>
      <c r="AF87" s="58"/>
      <c r="AG87" s="58"/>
      <c r="AH87" s="58"/>
      <c r="AI87" s="58"/>
    </row>
    <row r="88" spans="1:35" x14ac:dyDescent="0.35">
      <c r="A88" s="17" t="s">
        <v>46</v>
      </c>
      <c r="B88" s="17" t="s">
        <v>2267</v>
      </c>
      <c r="C88" s="28" t="s">
        <v>2440</v>
      </c>
      <c r="D88" s="17" t="s">
        <v>2441</v>
      </c>
      <c r="E88" s="17" t="s">
        <v>2442</v>
      </c>
      <c r="F88" s="20">
        <v>324</v>
      </c>
      <c r="G88" s="20">
        <v>110</v>
      </c>
      <c r="H88" s="19">
        <v>502</v>
      </c>
      <c r="I88" s="20">
        <v>266</v>
      </c>
      <c r="J88" s="20">
        <v>236</v>
      </c>
      <c r="K88" s="20">
        <v>12</v>
      </c>
      <c r="L88" s="57">
        <f t="shared" si="8"/>
        <v>2.3904382470119521E-2</v>
      </c>
      <c r="M88" s="20">
        <v>280</v>
      </c>
      <c r="N88" s="57">
        <f t="shared" si="9"/>
        <v>0.55776892430278879</v>
      </c>
      <c r="O88" s="46">
        <v>62</v>
      </c>
      <c r="P88" s="46">
        <v>0</v>
      </c>
      <c r="Q88" s="58" t="s">
        <v>51</v>
      </c>
      <c r="R88" s="58">
        <v>2020</v>
      </c>
      <c r="S88" s="58"/>
      <c r="T88" s="58"/>
      <c r="U88" s="58"/>
      <c r="V88" s="58"/>
      <c r="W88" s="58"/>
      <c r="X88" s="58" t="s">
        <v>51</v>
      </c>
      <c r="Y88" s="58"/>
      <c r="Z88" s="58"/>
      <c r="AA88" s="58"/>
      <c r="AB88" s="58"/>
      <c r="AC88" s="58" t="s">
        <v>51</v>
      </c>
      <c r="AD88" s="58"/>
      <c r="AE88" s="58"/>
      <c r="AF88" s="58"/>
      <c r="AG88" s="58"/>
      <c r="AH88" s="58"/>
      <c r="AI88" s="58"/>
    </row>
    <row r="89" spans="1:35" x14ac:dyDescent="0.35">
      <c r="A89" s="17" t="s">
        <v>46</v>
      </c>
      <c r="B89" s="17" t="s">
        <v>2267</v>
      </c>
      <c r="C89" s="28" t="s">
        <v>2440</v>
      </c>
      <c r="D89" s="17" t="s">
        <v>2443</v>
      </c>
      <c r="E89" s="17" t="s">
        <v>2444</v>
      </c>
      <c r="F89" s="20">
        <v>1096</v>
      </c>
      <c r="G89" s="20">
        <v>414</v>
      </c>
      <c r="H89" s="19">
        <v>1902</v>
      </c>
      <c r="I89" s="20">
        <v>965</v>
      </c>
      <c r="J89" s="20">
        <v>937</v>
      </c>
      <c r="K89" s="20">
        <v>272</v>
      </c>
      <c r="L89" s="57">
        <f t="shared" si="8"/>
        <v>0.14300736067297581</v>
      </c>
      <c r="M89" s="20">
        <v>56</v>
      </c>
      <c r="N89" s="57">
        <f t="shared" si="9"/>
        <v>2.9442691903259727E-2</v>
      </c>
      <c r="O89" s="46">
        <v>175</v>
      </c>
      <c r="P89" s="46">
        <v>0</v>
      </c>
      <c r="Q89" s="58" t="s">
        <v>51</v>
      </c>
      <c r="R89" s="58">
        <v>2020</v>
      </c>
      <c r="S89" s="58"/>
      <c r="T89" s="58"/>
      <c r="U89" s="58"/>
      <c r="V89" s="58"/>
      <c r="W89" s="58"/>
      <c r="X89" s="58" t="s">
        <v>51</v>
      </c>
      <c r="Y89" s="58"/>
      <c r="Z89" s="58"/>
      <c r="AA89" s="58"/>
      <c r="AB89" s="58"/>
      <c r="AC89" s="58" t="s">
        <v>51</v>
      </c>
      <c r="AD89" s="58"/>
      <c r="AE89" s="58"/>
      <c r="AF89" s="58"/>
      <c r="AG89" s="58"/>
      <c r="AH89" s="58"/>
      <c r="AI89" s="58"/>
    </row>
    <row r="90" spans="1:35" x14ac:dyDescent="0.35">
      <c r="A90" s="17" t="s">
        <v>46</v>
      </c>
      <c r="B90" s="17" t="s">
        <v>2267</v>
      </c>
      <c r="C90" s="28" t="s">
        <v>2440</v>
      </c>
      <c r="D90" s="17" t="s">
        <v>2445</v>
      </c>
      <c r="E90" s="17" t="s">
        <v>2446</v>
      </c>
      <c r="F90" s="20">
        <v>222</v>
      </c>
      <c r="G90" s="20">
        <v>91</v>
      </c>
      <c r="H90" s="19">
        <v>405</v>
      </c>
      <c r="I90" s="20">
        <v>207</v>
      </c>
      <c r="J90" s="20">
        <v>198</v>
      </c>
      <c r="K90" s="20">
        <v>111</v>
      </c>
      <c r="L90" s="57">
        <f t="shared" si="8"/>
        <v>0.27407407407407408</v>
      </c>
      <c r="M90" s="20">
        <v>0</v>
      </c>
      <c r="N90" s="57">
        <f t="shared" si="9"/>
        <v>0</v>
      </c>
      <c r="O90" s="46">
        <v>35</v>
      </c>
      <c r="P90" s="46">
        <v>0</v>
      </c>
      <c r="Q90" s="58" t="s">
        <v>51</v>
      </c>
      <c r="R90" s="58">
        <v>2020</v>
      </c>
      <c r="S90" s="58"/>
      <c r="T90" s="58"/>
      <c r="U90" s="58"/>
      <c r="V90" s="58"/>
      <c r="W90" s="58"/>
      <c r="X90" s="58" t="s">
        <v>51</v>
      </c>
      <c r="Y90" s="58"/>
      <c r="Z90" s="58"/>
      <c r="AA90" s="58"/>
      <c r="AB90" s="58"/>
      <c r="AC90" s="58" t="s">
        <v>51</v>
      </c>
      <c r="AD90" s="58"/>
      <c r="AE90" s="58"/>
      <c r="AF90" s="58"/>
      <c r="AG90" s="58"/>
      <c r="AH90" s="58"/>
      <c r="AI90" s="58"/>
    </row>
    <row r="91" spans="1:35" x14ac:dyDescent="0.35">
      <c r="A91" s="17" t="s">
        <v>46</v>
      </c>
      <c r="B91" s="17" t="s">
        <v>2267</v>
      </c>
      <c r="C91" s="28" t="s">
        <v>2392</v>
      </c>
      <c r="D91" s="17" t="s">
        <v>2447</v>
      </c>
      <c r="E91" s="17" t="s">
        <v>2448</v>
      </c>
      <c r="F91" s="20">
        <v>136</v>
      </c>
      <c r="G91" s="20">
        <v>98</v>
      </c>
      <c r="H91" s="19">
        <v>396</v>
      </c>
      <c r="I91" s="20">
        <v>202</v>
      </c>
      <c r="J91" s="20">
        <v>194</v>
      </c>
      <c r="K91" s="20">
        <v>5</v>
      </c>
      <c r="L91" s="57">
        <f t="shared" si="8"/>
        <v>1.2626262626262626E-2</v>
      </c>
      <c r="M91" s="20">
        <v>47</v>
      </c>
      <c r="N91" s="57">
        <f t="shared" si="9"/>
        <v>0.11868686868686869</v>
      </c>
      <c r="O91" s="46">
        <v>31</v>
      </c>
      <c r="P91" s="46">
        <v>0</v>
      </c>
      <c r="Q91" s="58" t="s">
        <v>51</v>
      </c>
      <c r="R91" s="58">
        <v>2020</v>
      </c>
      <c r="S91" s="58"/>
      <c r="T91" s="58"/>
      <c r="U91" s="58"/>
      <c r="V91" s="58"/>
      <c r="W91" s="58"/>
      <c r="X91" s="58" t="s">
        <v>51</v>
      </c>
      <c r="Y91" s="58"/>
      <c r="Z91" s="58"/>
      <c r="AA91" s="58"/>
      <c r="AB91" s="58"/>
      <c r="AC91" s="58" t="s">
        <v>51</v>
      </c>
      <c r="AD91" s="58"/>
      <c r="AE91" s="58"/>
      <c r="AF91" s="58"/>
      <c r="AG91" s="58"/>
      <c r="AH91" s="58"/>
      <c r="AI91" s="58"/>
    </row>
    <row r="92" spans="1:35" x14ac:dyDescent="0.35">
      <c r="A92" s="17" t="s">
        <v>46</v>
      </c>
      <c r="B92" s="17" t="s">
        <v>2267</v>
      </c>
      <c r="C92" s="28" t="s">
        <v>2392</v>
      </c>
      <c r="D92" s="17" t="s">
        <v>2449</v>
      </c>
      <c r="E92" s="17" t="s">
        <v>2450</v>
      </c>
      <c r="F92" s="20">
        <v>1162</v>
      </c>
      <c r="G92" s="20">
        <v>468</v>
      </c>
      <c r="H92" s="19">
        <v>2021</v>
      </c>
      <c r="I92" s="20">
        <v>1027</v>
      </c>
      <c r="J92" s="20">
        <v>994</v>
      </c>
      <c r="K92" s="20">
        <v>493</v>
      </c>
      <c r="L92" s="57">
        <f t="shared" si="8"/>
        <v>0.24393864423552697</v>
      </c>
      <c r="M92" s="20">
        <v>314</v>
      </c>
      <c r="N92" s="57">
        <f t="shared" si="9"/>
        <v>0.1553686293913904</v>
      </c>
      <c r="O92" s="46">
        <v>148</v>
      </c>
      <c r="P92" s="46">
        <v>0</v>
      </c>
      <c r="Q92" s="58" t="s">
        <v>51</v>
      </c>
      <c r="R92" s="58">
        <v>2020</v>
      </c>
      <c r="S92" s="58"/>
      <c r="T92" s="58"/>
      <c r="U92" s="58"/>
      <c r="V92" s="58"/>
      <c r="W92" s="58"/>
      <c r="X92" s="58" t="s">
        <v>51</v>
      </c>
      <c r="Y92" s="58"/>
      <c r="Z92" s="58"/>
      <c r="AA92" s="58"/>
      <c r="AB92" s="58"/>
      <c r="AC92" s="58" t="s">
        <v>51</v>
      </c>
      <c r="AD92" s="58"/>
      <c r="AE92" s="58"/>
      <c r="AF92" s="58"/>
      <c r="AG92" s="58"/>
      <c r="AH92" s="58"/>
      <c r="AI92" s="58"/>
    </row>
    <row r="93" spans="1:35" x14ac:dyDescent="0.35">
      <c r="A93" s="17" t="s">
        <v>46</v>
      </c>
      <c r="B93" s="17" t="s">
        <v>2267</v>
      </c>
      <c r="C93" s="28" t="s">
        <v>2373</v>
      </c>
      <c r="D93" s="17" t="s">
        <v>243</v>
      </c>
      <c r="E93" s="17" t="s">
        <v>2451</v>
      </c>
      <c r="F93" s="28">
        <v>69.819999999999993</v>
      </c>
      <c r="G93" s="47"/>
      <c r="H93" s="19">
        <v>0</v>
      </c>
      <c r="I93" s="47"/>
      <c r="J93" s="47"/>
      <c r="K93" s="47"/>
      <c r="L93" s="57"/>
      <c r="M93" s="47"/>
      <c r="N93" s="57"/>
      <c r="O93" s="48">
        <v>0</v>
      </c>
      <c r="P93" s="48">
        <v>0</v>
      </c>
      <c r="Q93" s="58" t="s">
        <v>562</v>
      </c>
      <c r="R93" s="58"/>
      <c r="S93" s="58"/>
      <c r="T93" s="58"/>
      <c r="U93" s="58"/>
      <c r="V93" s="58"/>
      <c r="W93" s="58"/>
      <c r="X93" s="58" t="s">
        <v>562</v>
      </c>
      <c r="Y93" s="58"/>
      <c r="Z93" s="58"/>
      <c r="AA93" s="58"/>
      <c r="AB93" s="58"/>
      <c r="AC93" s="58" t="s">
        <v>562</v>
      </c>
      <c r="AD93" s="58"/>
      <c r="AE93" s="58"/>
      <c r="AF93" s="58"/>
      <c r="AG93" s="58"/>
      <c r="AH93" s="58"/>
      <c r="AI93" s="58"/>
    </row>
    <row r="94" spans="1:35" x14ac:dyDescent="0.35">
      <c r="A94" s="17" t="s">
        <v>46</v>
      </c>
      <c r="B94" s="17" t="s">
        <v>2267</v>
      </c>
      <c r="C94" s="28" t="s">
        <v>2373</v>
      </c>
      <c r="D94" s="17" t="s">
        <v>2452</v>
      </c>
      <c r="E94" s="17" t="s">
        <v>2453</v>
      </c>
      <c r="F94" s="20">
        <v>674.42</v>
      </c>
      <c r="G94" s="20">
        <v>315</v>
      </c>
      <c r="H94" s="19">
        <v>1377</v>
      </c>
      <c r="I94" s="20">
        <v>704</v>
      </c>
      <c r="J94" s="20">
        <v>673</v>
      </c>
      <c r="K94" s="20">
        <v>180</v>
      </c>
      <c r="L94" s="57">
        <f t="shared" ref="L94:L112" si="10">K94/H94</f>
        <v>0.13071895424836602</v>
      </c>
      <c r="M94" s="20">
        <v>116</v>
      </c>
      <c r="N94" s="57">
        <f t="shared" ref="N94:N112" si="11">M94/H94</f>
        <v>8.424110384894698E-2</v>
      </c>
      <c r="O94" s="46">
        <v>3</v>
      </c>
      <c r="P94" s="46">
        <v>0</v>
      </c>
      <c r="Q94" s="58" t="s">
        <v>562</v>
      </c>
      <c r="R94" s="58"/>
      <c r="S94" s="58"/>
      <c r="T94" s="58"/>
      <c r="U94" s="58"/>
      <c r="V94" s="58"/>
      <c r="W94" s="58"/>
      <c r="X94" s="58" t="s">
        <v>562</v>
      </c>
      <c r="Y94" s="58"/>
      <c r="Z94" s="58"/>
      <c r="AA94" s="58"/>
      <c r="AB94" s="58"/>
      <c r="AC94" s="58" t="s">
        <v>562</v>
      </c>
      <c r="AD94" s="58"/>
      <c r="AE94" s="58"/>
      <c r="AF94" s="58"/>
      <c r="AG94" s="58"/>
      <c r="AH94" s="58"/>
      <c r="AI94" s="58"/>
    </row>
    <row r="95" spans="1:35" x14ac:dyDescent="0.35">
      <c r="A95" s="17" t="s">
        <v>46</v>
      </c>
      <c r="B95" s="17" t="s">
        <v>2267</v>
      </c>
      <c r="C95" s="28" t="s">
        <v>2373</v>
      </c>
      <c r="D95" s="17" t="s">
        <v>2454</v>
      </c>
      <c r="E95" s="17" t="s">
        <v>2455</v>
      </c>
      <c r="F95" s="20">
        <v>339.99</v>
      </c>
      <c r="G95" s="20">
        <v>167</v>
      </c>
      <c r="H95" s="19">
        <v>950</v>
      </c>
      <c r="I95" s="20">
        <v>494</v>
      </c>
      <c r="J95" s="20">
        <v>456</v>
      </c>
      <c r="K95" s="20">
        <v>59</v>
      </c>
      <c r="L95" s="57">
        <f t="shared" si="10"/>
        <v>6.210526315789474E-2</v>
      </c>
      <c r="M95" s="20">
        <v>30</v>
      </c>
      <c r="N95" s="57">
        <f t="shared" si="11"/>
        <v>3.1578947368421054E-2</v>
      </c>
      <c r="O95" s="46">
        <v>2</v>
      </c>
      <c r="P95" s="46">
        <v>0</v>
      </c>
      <c r="Q95" s="58" t="s">
        <v>562</v>
      </c>
      <c r="R95" s="58"/>
      <c r="S95" s="58"/>
      <c r="T95" s="58"/>
      <c r="U95" s="58"/>
      <c r="V95" s="58"/>
      <c r="W95" s="58"/>
      <c r="X95" s="58" t="s">
        <v>562</v>
      </c>
      <c r="Y95" s="58"/>
      <c r="Z95" s="58"/>
      <c r="AA95" s="58"/>
      <c r="AB95" s="58"/>
      <c r="AC95" s="58" t="s">
        <v>562</v>
      </c>
      <c r="AD95" s="58"/>
      <c r="AE95" s="58"/>
      <c r="AF95" s="58"/>
      <c r="AG95" s="58"/>
      <c r="AH95" s="58"/>
      <c r="AI95" s="58"/>
    </row>
    <row r="96" spans="1:35" x14ac:dyDescent="0.35">
      <c r="A96" s="17" t="s">
        <v>46</v>
      </c>
      <c r="B96" s="17" t="s">
        <v>2267</v>
      </c>
      <c r="C96" s="28" t="s">
        <v>2440</v>
      </c>
      <c r="D96" s="17" t="s">
        <v>2456</v>
      </c>
      <c r="E96" s="17" t="s">
        <v>2457</v>
      </c>
      <c r="F96" s="20">
        <v>538</v>
      </c>
      <c r="G96" s="20">
        <v>247</v>
      </c>
      <c r="H96" s="19">
        <v>1131</v>
      </c>
      <c r="I96" s="20">
        <v>586</v>
      </c>
      <c r="J96" s="20">
        <v>545</v>
      </c>
      <c r="K96" s="20">
        <v>76</v>
      </c>
      <c r="L96" s="57">
        <f t="shared" si="10"/>
        <v>6.7197170645446502E-2</v>
      </c>
      <c r="M96" s="20">
        <v>28</v>
      </c>
      <c r="N96" s="57">
        <f t="shared" si="11"/>
        <v>2.475685234305924E-2</v>
      </c>
      <c r="O96" s="46">
        <v>69</v>
      </c>
      <c r="P96" s="46">
        <v>0</v>
      </c>
      <c r="Q96" s="58" t="s">
        <v>51</v>
      </c>
      <c r="R96" s="58">
        <v>2020</v>
      </c>
      <c r="S96" s="58"/>
      <c r="T96" s="58"/>
      <c r="U96" s="58"/>
      <c r="V96" s="58"/>
      <c r="W96" s="58"/>
      <c r="X96" s="58" t="s">
        <v>51</v>
      </c>
      <c r="Y96" s="58"/>
      <c r="Z96" s="58"/>
      <c r="AA96" s="58"/>
      <c r="AB96" s="58"/>
      <c r="AC96" s="58" t="s">
        <v>51</v>
      </c>
      <c r="AD96" s="58"/>
      <c r="AE96" s="58"/>
      <c r="AF96" s="58"/>
      <c r="AG96" s="58"/>
      <c r="AH96" s="58"/>
      <c r="AI96" s="58"/>
    </row>
    <row r="97" spans="1:35" x14ac:dyDescent="0.35">
      <c r="A97" s="17" t="s">
        <v>46</v>
      </c>
      <c r="B97" s="17" t="s">
        <v>2267</v>
      </c>
      <c r="C97" s="28" t="s">
        <v>2458</v>
      </c>
      <c r="D97" s="17" t="s">
        <v>2459</v>
      </c>
      <c r="E97" s="17" t="s">
        <v>2460</v>
      </c>
      <c r="F97" s="20">
        <v>620</v>
      </c>
      <c r="G97" s="20">
        <v>244</v>
      </c>
      <c r="H97" s="19">
        <v>1101</v>
      </c>
      <c r="I97" s="20">
        <v>559</v>
      </c>
      <c r="J97" s="20">
        <v>542</v>
      </c>
      <c r="K97" s="20">
        <v>152</v>
      </c>
      <c r="L97" s="57">
        <f t="shared" si="10"/>
        <v>0.13805631244323344</v>
      </c>
      <c r="M97" s="20">
        <v>280</v>
      </c>
      <c r="N97" s="57">
        <f t="shared" si="11"/>
        <v>0.25431425976385102</v>
      </c>
      <c r="O97" s="46">
        <v>78</v>
      </c>
      <c r="P97" s="46">
        <v>0</v>
      </c>
      <c r="Q97" s="58" t="s">
        <v>51</v>
      </c>
      <c r="R97" s="58">
        <v>2020</v>
      </c>
      <c r="S97" s="58"/>
      <c r="T97" s="58"/>
      <c r="U97" s="58"/>
      <c r="V97" s="58"/>
      <c r="W97" s="58"/>
      <c r="X97" s="58" t="s">
        <v>51</v>
      </c>
      <c r="Y97" s="58"/>
      <c r="Z97" s="58"/>
      <c r="AA97" s="58"/>
      <c r="AB97" s="58"/>
      <c r="AC97" s="58" t="s">
        <v>51</v>
      </c>
      <c r="AD97" s="58"/>
      <c r="AE97" s="58"/>
      <c r="AF97" s="58"/>
      <c r="AG97" s="58"/>
      <c r="AH97" s="58"/>
      <c r="AI97" s="58"/>
    </row>
    <row r="98" spans="1:35" x14ac:dyDescent="0.35">
      <c r="A98" s="17" t="s">
        <v>46</v>
      </c>
      <c r="B98" s="17" t="s">
        <v>2267</v>
      </c>
      <c r="C98" s="28" t="s">
        <v>2458</v>
      </c>
      <c r="D98" s="17" t="s">
        <v>2461</v>
      </c>
      <c r="E98" s="17" t="s">
        <v>2462</v>
      </c>
      <c r="F98" s="20">
        <v>158</v>
      </c>
      <c r="G98" s="20">
        <v>176</v>
      </c>
      <c r="H98" s="19">
        <v>714</v>
      </c>
      <c r="I98" s="20">
        <v>364</v>
      </c>
      <c r="J98" s="20">
        <v>350</v>
      </c>
      <c r="K98" s="20">
        <v>54</v>
      </c>
      <c r="L98" s="57">
        <f t="shared" si="10"/>
        <v>7.5630252100840331E-2</v>
      </c>
      <c r="M98" s="20">
        <v>293</v>
      </c>
      <c r="N98" s="57">
        <f t="shared" si="11"/>
        <v>0.41036414565826329</v>
      </c>
      <c r="O98" s="46">
        <v>8</v>
      </c>
      <c r="P98" s="46">
        <v>0</v>
      </c>
      <c r="Q98" s="58" t="s">
        <v>51</v>
      </c>
      <c r="R98" s="58">
        <v>2020</v>
      </c>
      <c r="S98" s="58"/>
      <c r="T98" s="58"/>
      <c r="U98" s="58"/>
      <c r="V98" s="58"/>
      <c r="W98" s="58"/>
      <c r="X98" s="58" t="s">
        <v>51</v>
      </c>
      <c r="Y98" s="58"/>
      <c r="Z98" s="58"/>
      <c r="AA98" s="58"/>
      <c r="AB98" s="58"/>
      <c r="AC98" s="58" t="s">
        <v>51</v>
      </c>
      <c r="AD98" s="58"/>
      <c r="AE98" s="58"/>
      <c r="AF98" s="58"/>
      <c r="AG98" s="58"/>
      <c r="AH98" s="58"/>
      <c r="AI98" s="58"/>
    </row>
    <row r="99" spans="1:35" x14ac:dyDescent="0.35">
      <c r="A99" s="17" t="s">
        <v>46</v>
      </c>
      <c r="B99" s="17" t="s">
        <v>2267</v>
      </c>
      <c r="C99" s="28" t="s">
        <v>2463</v>
      </c>
      <c r="D99" s="17" t="s">
        <v>2464</v>
      </c>
      <c r="E99" s="17" t="s">
        <v>2465</v>
      </c>
      <c r="F99" s="20">
        <v>361</v>
      </c>
      <c r="G99" s="20">
        <v>197</v>
      </c>
      <c r="H99" s="19">
        <v>814</v>
      </c>
      <c r="I99" s="20">
        <v>387</v>
      </c>
      <c r="J99" s="20">
        <v>427</v>
      </c>
      <c r="K99" s="20">
        <v>124</v>
      </c>
      <c r="L99" s="57">
        <f t="shared" si="10"/>
        <v>0.15233415233415235</v>
      </c>
      <c r="M99" s="20">
        <v>240</v>
      </c>
      <c r="N99" s="57">
        <f t="shared" si="11"/>
        <v>0.29484029484029484</v>
      </c>
      <c r="O99" s="46">
        <v>35</v>
      </c>
      <c r="P99" s="46">
        <v>0</v>
      </c>
      <c r="Q99" s="58" t="s">
        <v>51</v>
      </c>
      <c r="R99" s="58">
        <v>2021</v>
      </c>
      <c r="S99" s="58"/>
      <c r="T99" s="58"/>
      <c r="U99" s="58"/>
      <c r="V99" s="58"/>
      <c r="W99" s="58"/>
      <c r="X99" s="58" t="s">
        <v>51</v>
      </c>
      <c r="Y99" s="58"/>
      <c r="Z99" s="58"/>
      <c r="AA99" s="58"/>
      <c r="AB99" s="58"/>
      <c r="AC99" s="58" t="s">
        <v>51</v>
      </c>
      <c r="AD99" s="58"/>
      <c r="AE99" s="58"/>
      <c r="AF99" s="58"/>
      <c r="AG99" s="58"/>
      <c r="AH99" s="58"/>
      <c r="AI99" s="58"/>
    </row>
    <row r="100" spans="1:35" x14ac:dyDescent="0.35">
      <c r="A100" s="17" t="s">
        <v>46</v>
      </c>
      <c r="B100" s="17" t="s">
        <v>2267</v>
      </c>
      <c r="C100" s="28" t="s">
        <v>2463</v>
      </c>
      <c r="D100" s="17" t="s">
        <v>2466</v>
      </c>
      <c r="E100" s="17" t="s">
        <v>2467</v>
      </c>
      <c r="F100" s="20">
        <v>455</v>
      </c>
      <c r="G100" s="20">
        <v>302</v>
      </c>
      <c r="H100" s="19">
        <v>1552</v>
      </c>
      <c r="I100" s="20">
        <v>778</v>
      </c>
      <c r="J100" s="20">
        <v>774</v>
      </c>
      <c r="K100" s="20">
        <v>394</v>
      </c>
      <c r="L100" s="57">
        <f t="shared" si="10"/>
        <v>0.25386597938144329</v>
      </c>
      <c r="M100" s="20">
        <v>40</v>
      </c>
      <c r="N100" s="57">
        <f t="shared" si="11"/>
        <v>2.5773195876288658E-2</v>
      </c>
      <c r="O100" s="46">
        <v>19</v>
      </c>
      <c r="P100" s="46">
        <v>0</v>
      </c>
      <c r="Q100" s="58" t="s">
        <v>51</v>
      </c>
      <c r="R100" s="58">
        <v>2021</v>
      </c>
      <c r="S100" s="58"/>
      <c r="T100" s="58"/>
      <c r="U100" s="58"/>
      <c r="V100" s="58"/>
      <c r="W100" s="58"/>
      <c r="X100" s="58" t="s">
        <v>51</v>
      </c>
      <c r="Y100" s="58"/>
      <c r="Z100" s="58"/>
      <c r="AA100" s="58"/>
      <c r="AB100" s="58"/>
      <c r="AC100" s="58" t="s">
        <v>51</v>
      </c>
      <c r="AD100" s="58"/>
      <c r="AE100" s="58"/>
      <c r="AF100" s="58"/>
      <c r="AG100" s="58"/>
      <c r="AH100" s="58"/>
      <c r="AI100" s="58"/>
    </row>
    <row r="101" spans="1:35" x14ac:dyDescent="0.35">
      <c r="A101" s="17" t="s">
        <v>46</v>
      </c>
      <c r="B101" s="17" t="s">
        <v>2267</v>
      </c>
      <c r="C101" s="28" t="s">
        <v>2463</v>
      </c>
      <c r="D101" s="17" t="s">
        <v>2468</v>
      </c>
      <c r="E101" s="17" t="s">
        <v>2469</v>
      </c>
      <c r="F101" s="20">
        <v>312</v>
      </c>
      <c r="G101" s="20">
        <v>175</v>
      </c>
      <c r="H101" s="19">
        <v>829</v>
      </c>
      <c r="I101" s="20">
        <v>424</v>
      </c>
      <c r="J101" s="20">
        <v>405</v>
      </c>
      <c r="K101" s="20">
        <v>104</v>
      </c>
      <c r="L101" s="57">
        <f t="shared" si="10"/>
        <v>0.12545235223160434</v>
      </c>
      <c r="M101" s="20">
        <v>138</v>
      </c>
      <c r="N101" s="57">
        <f t="shared" si="11"/>
        <v>0.16646562123039807</v>
      </c>
      <c r="O101" s="46">
        <v>43</v>
      </c>
      <c r="P101" s="46">
        <v>0</v>
      </c>
      <c r="Q101" s="58" t="s">
        <v>51</v>
      </c>
      <c r="R101" s="58">
        <v>2021</v>
      </c>
      <c r="S101" s="58"/>
      <c r="T101" s="58"/>
      <c r="U101" s="58"/>
      <c r="V101" s="58"/>
      <c r="W101" s="58"/>
      <c r="X101" s="58" t="s">
        <v>51</v>
      </c>
      <c r="Y101" s="58"/>
      <c r="Z101" s="58"/>
      <c r="AA101" s="58"/>
      <c r="AB101" s="58"/>
      <c r="AC101" s="58" t="s">
        <v>51</v>
      </c>
      <c r="AD101" s="58"/>
      <c r="AE101" s="58"/>
      <c r="AF101" s="58"/>
      <c r="AG101" s="58"/>
      <c r="AH101" s="58"/>
      <c r="AI101" s="58"/>
    </row>
    <row r="102" spans="1:35" x14ac:dyDescent="0.35">
      <c r="A102" s="17" t="s">
        <v>46</v>
      </c>
      <c r="B102" s="17" t="s">
        <v>2267</v>
      </c>
      <c r="C102" s="28" t="s">
        <v>2463</v>
      </c>
      <c r="D102" s="17" t="s">
        <v>2470</v>
      </c>
      <c r="E102" s="17" t="s">
        <v>2471</v>
      </c>
      <c r="F102" s="20">
        <v>263</v>
      </c>
      <c r="G102" s="20">
        <v>103</v>
      </c>
      <c r="H102" s="19">
        <v>436</v>
      </c>
      <c r="I102" s="20">
        <v>228</v>
      </c>
      <c r="J102" s="20">
        <v>208</v>
      </c>
      <c r="K102" s="20">
        <v>101</v>
      </c>
      <c r="L102" s="57">
        <f t="shared" si="10"/>
        <v>0.23165137614678899</v>
      </c>
      <c r="M102" s="20">
        <v>177</v>
      </c>
      <c r="N102" s="57">
        <f t="shared" si="11"/>
        <v>0.40596330275229359</v>
      </c>
      <c r="O102" s="46">
        <v>16</v>
      </c>
      <c r="P102" s="46">
        <v>0</v>
      </c>
      <c r="Q102" s="58" t="s">
        <v>51</v>
      </c>
      <c r="R102" s="58">
        <v>2021</v>
      </c>
      <c r="S102" s="58"/>
      <c r="T102" s="58"/>
      <c r="U102" s="58"/>
      <c r="V102" s="58"/>
      <c r="W102" s="58"/>
      <c r="X102" s="58" t="s">
        <v>51</v>
      </c>
      <c r="Y102" s="58"/>
      <c r="Z102" s="58"/>
      <c r="AA102" s="58"/>
      <c r="AB102" s="58"/>
      <c r="AC102" s="58" t="s">
        <v>51</v>
      </c>
      <c r="AD102" s="58"/>
      <c r="AE102" s="58"/>
      <c r="AF102" s="58"/>
      <c r="AG102" s="58"/>
      <c r="AH102" s="58"/>
      <c r="AI102" s="58"/>
    </row>
    <row r="103" spans="1:35" x14ac:dyDescent="0.35">
      <c r="A103" s="17" t="s">
        <v>46</v>
      </c>
      <c r="B103" s="17" t="s">
        <v>2267</v>
      </c>
      <c r="C103" s="28" t="s">
        <v>2472</v>
      </c>
      <c r="D103" s="17" t="s">
        <v>598</v>
      </c>
      <c r="E103" s="17" t="s">
        <v>2473</v>
      </c>
      <c r="F103" s="20">
        <v>677</v>
      </c>
      <c r="G103" s="20">
        <v>437</v>
      </c>
      <c r="H103" s="19">
        <v>1964</v>
      </c>
      <c r="I103" s="20">
        <v>991</v>
      </c>
      <c r="J103" s="20">
        <v>973</v>
      </c>
      <c r="K103" s="20">
        <v>186</v>
      </c>
      <c r="L103" s="57">
        <f t="shared" si="10"/>
        <v>9.4704684317718946E-2</v>
      </c>
      <c r="M103" s="20">
        <v>740</v>
      </c>
      <c r="N103" s="57">
        <f t="shared" si="11"/>
        <v>0.37678207739307534</v>
      </c>
      <c r="O103" s="46">
        <v>49</v>
      </c>
      <c r="P103" s="46">
        <v>0</v>
      </c>
      <c r="Q103" s="58" t="s">
        <v>51</v>
      </c>
      <c r="R103" s="58">
        <v>2020</v>
      </c>
      <c r="S103" s="58"/>
      <c r="T103" s="58"/>
      <c r="U103" s="58"/>
      <c r="V103" s="58"/>
      <c r="W103" s="58"/>
      <c r="X103" s="58" t="s">
        <v>51</v>
      </c>
      <c r="Y103" s="58"/>
      <c r="Z103" s="58"/>
      <c r="AA103" s="58"/>
      <c r="AB103" s="58"/>
      <c r="AC103" s="58" t="s">
        <v>51</v>
      </c>
      <c r="AD103" s="58"/>
      <c r="AE103" s="58"/>
      <c r="AF103" s="58"/>
      <c r="AG103" s="58"/>
      <c r="AH103" s="58"/>
      <c r="AI103" s="58"/>
    </row>
    <row r="104" spans="1:35" x14ac:dyDescent="0.35">
      <c r="A104" s="17" t="s">
        <v>46</v>
      </c>
      <c r="B104" s="17" t="s">
        <v>2267</v>
      </c>
      <c r="C104" s="28" t="s">
        <v>2463</v>
      </c>
      <c r="D104" s="17" t="s">
        <v>2474</v>
      </c>
      <c r="E104" s="17" t="s">
        <v>2475</v>
      </c>
      <c r="F104" s="20">
        <v>89</v>
      </c>
      <c r="G104" s="20">
        <v>71</v>
      </c>
      <c r="H104" s="19">
        <v>348</v>
      </c>
      <c r="I104" s="20">
        <v>180</v>
      </c>
      <c r="J104" s="20">
        <v>168</v>
      </c>
      <c r="K104" s="20">
        <v>0</v>
      </c>
      <c r="L104" s="57">
        <f t="shared" si="10"/>
        <v>0</v>
      </c>
      <c r="M104" s="20">
        <v>203</v>
      </c>
      <c r="N104" s="57">
        <f t="shared" si="11"/>
        <v>0.58333333333333337</v>
      </c>
      <c r="O104" s="46">
        <v>1</v>
      </c>
      <c r="P104" s="46">
        <v>0</v>
      </c>
      <c r="Q104" s="58" t="s">
        <v>51</v>
      </c>
      <c r="R104" s="58">
        <v>2020</v>
      </c>
      <c r="S104" s="58"/>
      <c r="T104" s="58"/>
      <c r="U104" s="58"/>
      <c r="V104" s="58"/>
      <c r="W104" s="58"/>
      <c r="X104" s="58" t="s">
        <v>51</v>
      </c>
      <c r="Y104" s="58"/>
      <c r="Z104" s="58"/>
      <c r="AA104" s="58"/>
      <c r="AB104" s="58"/>
      <c r="AC104" s="58" t="s">
        <v>51</v>
      </c>
      <c r="AD104" s="58"/>
      <c r="AE104" s="58"/>
      <c r="AF104" s="58"/>
      <c r="AG104" s="58"/>
      <c r="AH104" s="58"/>
      <c r="AI104" s="58"/>
    </row>
    <row r="105" spans="1:35" x14ac:dyDescent="0.35">
      <c r="A105" s="17" t="s">
        <v>46</v>
      </c>
      <c r="B105" s="17" t="s">
        <v>2267</v>
      </c>
      <c r="C105" s="28" t="s">
        <v>2458</v>
      </c>
      <c r="D105" s="17" t="s">
        <v>2476</v>
      </c>
      <c r="E105" s="17" t="s">
        <v>2477</v>
      </c>
      <c r="F105" s="20">
        <v>345</v>
      </c>
      <c r="G105" s="20">
        <v>221</v>
      </c>
      <c r="H105" s="19">
        <v>981</v>
      </c>
      <c r="I105" s="20">
        <v>502</v>
      </c>
      <c r="J105" s="20">
        <v>479</v>
      </c>
      <c r="K105" s="20">
        <v>4</v>
      </c>
      <c r="L105" s="57">
        <f t="shared" si="10"/>
        <v>4.0774719673802246E-3</v>
      </c>
      <c r="M105" s="20">
        <v>6</v>
      </c>
      <c r="N105" s="57">
        <f t="shared" si="11"/>
        <v>6.1162079510703364E-3</v>
      </c>
      <c r="O105" s="46">
        <v>59</v>
      </c>
      <c r="P105" s="46">
        <v>0</v>
      </c>
      <c r="Q105" s="58" t="s">
        <v>51</v>
      </c>
      <c r="R105" s="58">
        <v>2020</v>
      </c>
      <c r="S105" s="58"/>
      <c r="T105" s="58"/>
      <c r="U105" s="58"/>
      <c r="V105" s="58"/>
      <c r="W105" s="58"/>
      <c r="X105" s="58" t="s">
        <v>51</v>
      </c>
      <c r="Y105" s="58"/>
      <c r="Z105" s="58"/>
      <c r="AA105" s="58"/>
      <c r="AB105" s="58"/>
      <c r="AC105" s="58" t="s">
        <v>51</v>
      </c>
      <c r="AD105" s="58"/>
      <c r="AE105" s="58"/>
      <c r="AF105" s="58"/>
      <c r="AG105" s="58"/>
      <c r="AH105" s="58"/>
      <c r="AI105" s="58"/>
    </row>
    <row r="106" spans="1:35" x14ac:dyDescent="0.35">
      <c r="A106" s="17" t="s">
        <v>46</v>
      </c>
      <c r="B106" s="17" t="s">
        <v>2267</v>
      </c>
      <c r="C106" s="28" t="s">
        <v>2458</v>
      </c>
      <c r="D106" s="17" t="s">
        <v>805</v>
      </c>
      <c r="E106" s="17" t="s">
        <v>2478</v>
      </c>
      <c r="F106" s="20">
        <v>479</v>
      </c>
      <c r="G106" s="20">
        <v>137</v>
      </c>
      <c r="H106" s="19">
        <v>624</v>
      </c>
      <c r="I106" s="20">
        <v>315</v>
      </c>
      <c r="J106" s="20">
        <v>309</v>
      </c>
      <c r="K106" s="20">
        <v>0</v>
      </c>
      <c r="L106" s="57">
        <f t="shared" si="10"/>
        <v>0</v>
      </c>
      <c r="M106" s="20">
        <v>340</v>
      </c>
      <c r="N106" s="57">
        <f t="shared" si="11"/>
        <v>0.54487179487179482</v>
      </c>
      <c r="O106" s="46">
        <v>48</v>
      </c>
      <c r="P106" s="46">
        <v>0</v>
      </c>
      <c r="Q106" s="58" t="s">
        <v>562</v>
      </c>
      <c r="R106" s="58"/>
      <c r="S106" s="58"/>
      <c r="T106" s="58"/>
      <c r="U106" s="58"/>
      <c r="V106" s="58"/>
      <c r="W106" s="58"/>
      <c r="X106" s="58" t="s">
        <v>562</v>
      </c>
      <c r="Y106" s="58"/>
      <c r="Z106" s="58"/>
      <c r="AA106" s="58"/>
      <c r="AB106" s="58"/>
      <c r="AC106" s="58" t="s">
        <v>562</v>
      </c>
      <c r="AD106" s="58"/>
      <c r="AE106" s="58"/>
      <c r="AF106" s="58"/>
      <c r="AG106" s="58"/>
      <c r="AH106" s="58"/>
      <c r="AI106" s="58"/>
    </row>
    <row r="107" spans="1:35" x14ac:dyDescent="0.35">
      <c r="A107" s="17" t="s">
        <v>46</v>
      </c>
      <c r="B107" s="17" t="s">
        <v>2267</v>
      </c>
      <c r="C107" s="28" t="s">
        <v>2463</v>
      </c>
      <c r="D107" s="17" t="s">
        <v>2479</v>
      </c>
      <c r="E107" s="17" t="s">
        <v>2480</v>
      </c>
      <c r="F107" s="20">
        <v>373</v>
      </c>
      <c r="G107" s="20">
        <v>91</v>
      </c>
      <c r="H107" s="19">
        <v>496</v>
      </c>
      <c r="I107" s="20">
        <v>254</v>
      </c>
      <c r="J107" s="20">
        <v>242</v>
      </c>
      <c r="K107" s="20">
        <v>197</v>
      </c>
      <c r="L107" s="57">
        <f t="shared" si="10"/>
        <v>0.39717741935483869</v>
      </c>
      <c r="M107" s="20">
        <v>53</v>
      </c>
      <c r="N107" s="57">
        <f t="shared" si="11"/>
        <v>0.10685483870967742</v>
      </c>
      <c r="O107" s="46">
        <v>62</v>
      </c>
      <c r="P107" s="46">
        <v>0</v>
      </c>
      <c r="Q107" s="58" t="s">
        <v>51</v>
      </c>
      <c r="R107" s="58">
        <v>2020</v>
      </c>
      <c r="S107" s="58"/>
      <c r="T107" s="58"/>
      <c r="U107" s="58"/>
      <c r="V107" s="58"/>
      <c r="W107" s="58"/>
      <c r="X107" s="58" t="s">
        <v>51</v>
      </c>
      <c r="Y107" s="58"/>
      <c r="Z107" s="58"/>
      <c r="AA107" s="58"/>
      <c r="AB107" s="58"/>
      <c r="AC107" s="58" t="s">
        <v>51</v>
      </c>
      <c r="AD107" s="58"/>
      <c r="AE107" s="58"/>
      <c r="AF107" s="58"/>
      <c r="AG107" s="58"/>
      <c r="AH107" s="58"/>
      <c r="AI107" s="58"/>
    </row>
    <row r="108" spans="1:35" x14ac:dyDescent="0.35">
      <c r="A108" s="17" t="s">
        <v>46</v>
      </c>
      <c r="B108" s="17" t="s">
        <v>2267</v>
      </c>
      <c r="C108" s="28" t="s">
        <v>2472</v>
      </c>
      <c r="D108" s="17" t="s">
        <v>2481</v>
      </c>
      <c r="E108" s="17" t="s">
        <v>2482</v>
      </c>
      <c r="F108" s="20">
        <v>115</v>
      </c>
      <c r="G108" s="20">
        <v>32</v>
      </c>
      <c r="H108" s="19">
        <v>134</v>
      </c>
      <c r="I108" s="20">
        <v>66</v>
      </c>
      <c r="J108" s="20">
        <v>68</v>
      </c>
      <c r="K108" s="20">
        <v>0</v>
      </c>
      <c r="L108" s="57">
        <f t="shared" si="10"/>
        <v>0</v>
      </c>
      <c r="M108" s="20">
        <v>83</v>
      </c>
      <c r="N108" s="57">
        <f t="shared" si="11"/>
        <v>0.61940298507462688</v>
      </c>
      <c r="O108" s="46">
        <v>5</v>
      </c>
      <c r="P108" s="46">
        <v>0</v>
      </c>
      <c r="Q108" s="58" t="s">
        <v>51</v>
      </c>
      <c r="R108" s="58">
        <v>2020</v>
      </c>
      <c r="S108" s="58"/>
      <c r="T108" s="58"/>
      <c r="U108" s="58"/>
      <c r="V108" s="58"/>
      <c r="W108" s="58"/>
      <c r="X108" s="58" t="s">
        <v>51</v>
      </c>
      <c r="Y108" s="58"/>
      <c r="Z108" s="58"/>
      <c r="AA108" s="58"/>
      <c r="AB108" s="58"/>
      <c r="AC108" s="58" t="s">
        <v>51</v>
      </c>
      <c r="AD108" s="58"/>
      <c r="AE108" s="58"/>
      <c r="AF108" s="58"/>
      <c r="AG108" s="58"/>
      <c r="AH108" s="58"/>
      <c r="AI108" s="58"/>
    </row>
    <row r="109" spans="1:35" x14ac:dyDescent="0.35">
      <c r="A109" s="17" t="s">
        <v>46</v>
      </c>
      <c r="B109" s="17" t="s">
        <v>2267</v>
      </c>
      <c r="C109" s="28" t="s">
        <v>2437</v>
      </c>
      <c r="D109" s="17" t="s">
        <v>2483</v>
      </c>
      <c r="E109" s="17" t="s">
        <v>2484</v>
      </c>
      <c r="F109" s="20">
        <v>406</v>
      </c>
      <c r="G109" s="20">
        <v>155</v>
      </c>
      <c r="H109" s="19">
        <v>628</v>
      </c>
      <c r="I109" s="20">
        <v>302</v>
      </c>
      <c r="J109" s="20">
        <v>326</v>
      </c>
      <c r="K109" s="20">
        <v>97</v>
      </c>
      <c r="L109" s="57">
        <f t="shared" si="10"/>
        <v>0.15445859872611464</v>
      </c>
      <c r="M109" s="20">
        <v>0</v>
      </c>
      <c r="N109" s="57">
        <f t="shared" si="11"/>
        <v>0</v>
      </c>
      <c r="O109" s="46">
        <v>82</v>
      </c>
      <c r="P109" s="46">
        <v>0</v>
      </c>
      <c r="Q109" s="58" t="s">
        <v>51</v>
      </c>
      <c r="R109" s="58">
        <v>2020</v>
      </c>
      <c r="S109" s="58"/>
      <c r="T109" s="58"/>
      <c r="U109" s="58"/>
      <c r="V109" s="58"/>
      <c r="W109" s="58"/>
      <c r="X109" s="58" t="s">
        <v>51</v>
      </c>
      <c r="Y109" s="58"/>
      <c r="Z109" s="58"/>
      <c r="AA109" s="58"/>
      <c r="AB109" s="58"/>
      <c r="AC109" s="58" t="s">
        <v>51</v>
      </c>
      <c r="AD109" s="58"/>
      <c r="AE109" s="58"/>
      <c r="AF109" s="58"/>
      <c r="AG109" s="58"/>
      <c r="AH109" s="58"/>
      <c r="AI109" s="58"/>
    </row>
    <row r="110" spans="1:35" x14ac:dyDescent="0.35">
      <c r="A110" s="17" t="s">
        <v>46</v>
      </c>
      <c r="B110" s="17" t="s">
        <v>2267</v>
      </c>
      <c r="C110" s="28" t="s">
        <v>2437</v>
      </c>
      <c r="D110" s="17" t="s">
        <v>310</v>
      </c>
      <c r="E110" s="17" t="s">
        <v>2485</v>
      </c>
      <c r="F110" s="20">
        <v>91</v>
      </c>
      <c r="G110" s="20">
        <v>72</v>
      </c>
      <c r="H110" s="19">
        <v>374</v>
      </c>
      <c r="I110" s="20">
        <v>188</v>
      </c>
      <c r="J110" s="20">
        <v>186</v>
      </c>
      <c r="K110" s="20">
        <v>0</v>
      </c>
      <c r="L110" s="57">
        <f t="shared" si="10"/>
        <v>0</v>
      </c>
      <c r="M110" s="20">
        <v>0</v>
      </c>
      <c r="N110" s="57">
        <f t="shared" si="11"/>
        <v>0</v>
      </c>
      <c r="O110" s="46">
        <v>5</v>
      </c>
      <c r="P110" s="46">
        <v>0</v>
      </c>
      <c r="Q110" s="58" t="s">
        <v>562</v>
      </c>
      <c r="R110" s="58"/>
      <c r="S110" s="58"/>
      <c r="T110" s="58"/>
      <c r="U110" s="58"/>
      <c r="V110" s="58"/>
      <c r="W110" s="58"/>
      <c r="X110" s="58" t="s">
        <v>562</v>
      </c>
      <c r="Y110" s="58"/>
      <c r="Z110" s="58"/>
      <c r="AA110" s="58"/>
      <c r="AB110" s="58"/>
      <c r="AC110" s="58" t="s">
        <v>562</v>
      </c>
      <c r="AD110" s="58"/>
      <c r="AE110" s="58"/>
      <c r="AF110" s="58"/>
      <c r="AG110" s="58"/>
      <c r="AH110" s="58"/>
      <c r="AI110" s="58"/>
    </row>
    <row r="111" spans="1:35" x14ac:dyDescent="0.35">
      <c r="A111" s="17" t="s">
        <v>46</v>
      </c>
      <c r="B111" s="17" t="s">
        <v>2267</v>
      </c>
      <c r="C111" s="28" t="s">
        <v>2437</v>
      </c>
      <c r="D111" s="17" t="s">
        <v>2486</v>
      </c>
      <c r="E111" s="17" t="s">
        <v>2487</v>
      </c>
      <c r="F111" s="20">
        <v>103</v>
      </c>
      <c r="G111" s="20">
        <v>64</v>
      </c>
      <c r="H111" s="19">
        <v>253</v>
      </c>
      <c r="I111" s="20">
        <v>133</v>
      </c>
      <c r="J111" s="20">
        <v>120</v>
      </c>
      <c r="K111" s="20">
        <v>102</v>
      </c>
      <c r="L111" s="57">
        <f t="shared" si="10"/>
        <v>0.40316205533596838</v>
      </c>
      <c r="M111" s="20">
        <v>0</v>
      </c>
      <c r="N111" s="57">
        <f t="shared" si="11"/>
        <v>0</v>
      </c>
      <c r="O111" s="46">
        <v>10</v>
      </c>
      <c r="P111" s="46">
        <v>0</v>
      </c>
      <c r="Q111" s="58" t="s">
        <v>51</v>
      </c>
      <c r="R111" s="58">
        <v>2020</v>
      </c>
      <c r="S111" s="58"/>
      <c r="T111" s="58"/>
      <c r="U111" s="58"/>
      <c r="V111" s="58"/>
      <c r="W111" s="58"/>
      <c r="X111" s="58" t="s">
        <v>51</v>
      </c>
      <c r="Y111" s="58"/>
      <c r="Z111" s="58"/>
      <c r="AA111" s="58"/>
      <c r="AB111" s="58"/>
      <c r="AC111" s="58" t="s">
        <v>51</v>
      </c>
      <c r="AD111" s="58"/>
      <c r="AE111" s="58"/>
      <c r="AF111" s="58"/>
      <c r="AG111" s="58"/>
      <c r="AH111" s="58"/>
      <c r="AI111" s="58"/>
    </row>
    <row r="112" spans="1:35" x14ac:dyDescent="0.35">
      <c r="A112" s="17" t="s">
        <v>46</v>
      </c>
      <c r="B112" s="17" t="s">
        <v>2267</v>
      </c>
      <c r="C112" s="28" t="s">
        <v>2472</v>
      </c>
      <c r="D112" s="17" t="s">
        <v>2488</v>
      </c>
      <c r="E112" s="17" t="s">
        <v>2489</v>
      </c>
      <c r="F112" s="20">
        <v>546</v>
      </c>
      <c r="G112" s="20">
        <v>311</v>
      </c>
      <c r="H112" s="19">
        <v>1352</v>
      </c>
      <c r="I112" s="20">
        <v>676</v>
      </c>
      <c r="J112" s="20">
        <v>676</v>
      </c>
      <c r="K112" s="20">
        <v>238</v>
      </c>
      <c r="L112" s="57">
        <f t="shared" si="10"/>
        <v>0.17603550295857989</v>
      </c>
      <c r="M112" s="20">
        <v>113</v>
      </c>
      <c r="N112" s="57">
        <f t="shared" si="11"/>
        <v>8.357988165680473E-2</v>
      </c>
      <c r="O112" s="46">
        <v>51</v>
      </c>
      <c r="P112" s="46">
        <v>0</v>
      </c>
      <c r="Q112" s="58" t="s">
        <v>51</v>
      </c>
      <c r="R112" s="58">
        <v>2020</v>
      </c>
      <c r="S112" s="58"/>
      <c r="T112" s="58"/>
      <c r="U112" s="58"/>
      <c r="V112" s="58"/>
      <c r="W112" s="58"/>
      <c r="X112" s="58" t="s">
        <v>51</v>
      </c>
      <c r="Y112" s="58"/>
      <c r="Z112" s="58"/>
      <c r="AA112" s="58"/>
      <c r="AB112" s="58"/>
      <c r="AC112" s="58" t="s">
        <v>51</v>
      </c>
      <c r="AD112" s="58"/>
      <c r="AE112" s="58"/>
      <c r="AF112" s="58"/>
      <c r="AG112" s="58"/>
      <c r="AH112" s="58"/>
      <c r="AI112" s="58"/>
    </row>
  </sheetData>
  <autoFilter ref="A2:AI112">
    <filterColumn colId="33" showButton="0"/>
  </autoFilter>
  <mergeCells count="1">
    <mergeCell ref="AH2:AI2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4"/>
  <sheetViews>
    <sheetView topLeftCell="J1" zoomScale="75" zoomScaleNormal="75" workbookViewId="0">
      <selection activeCell="Q4" sqref="Q4"/>
    </sheetView>
  </sheetViews>
  <sheetFormatPr defaultColWidth="9.1796875" defaultRowHeight="14.5" x14ac:dyDescent="0.35"/>
  <cols>
    <col min="15" max="35" width="15.6328125" customWidth="1"/>
  </cols>
  <sheetData>
    <row r="1" spans="1:35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4"/>
      <c r="P1" s="4"/>
      <c r="Q1" s="38" t="s">
        <v>0</v>
      </c>
      <c r="R1" s="38" t="s">
        <v>0</v>
      </c>
      <c r="S1" s="38" t="s">
        <v>0</v>
      </c>
      <c r="T1" s="39" t="s">
        <v>0</v>
      </c>
      <c r="U1" s="39" t="s">
        <v>0</v>
      </c>
      <c r="V1" s="38" t="s">
        <v>1</v>
      </c>
      <c r="W1" s="38" t="s">
        <v>1</v>
      </c>
      <c r="X1" s="38" t="s">
        <v>1</v>
      </c>
      <c r="Y1" s="38" t="s">
        <v>1</v>
      </c>
      <c r="Z1" s="38" t="s">
        <v>1</v>
      </c>
      <c r="AA1" s="38" t="s">
        <v>1</v>
      </c>
      <c r="AB1" s="38" t="s">
        <v>2</v>
      </c>
      <c r="AC1" s="40" t="s">
        <v>3</v>
      </c>
      <c r="AD1" s="41" t="s">
        <v>3</v>
      </c>
      <c r="AE1" s="40" t="s">
        <v>3</v>
      </c>
      <c r="AF1" s="40" t="s">
        <v>3</v>
      </c>
      <c r="AG1" s="40" t="s">
        <v>3</v>
      </c>
      <c r="AH1" s="40" t="s">
        <v>3</v>
      </c>
      <c r="AI1" s="40" t="s">
        <v>3</v>
      </c>
    </row>
    <row r="2" spans="1:35" ht="136.25" customHeight="1" x14ac:dyDescent="0.3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5" t="s">
        <v>14</v>
      </c>
      <c r="L2" s="5"/>
      <c r="M2" s="5" t="s">
        <v>15</v>
      </c>
      <c r="N2" s="5"/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2" t="s">
        <v>21</v>
      </c>
      <c r="U2" s="42" t="s">
        <v>22</v>
      </c>
      <c r="V2" s="11" t="s">
        <v>23</v>
      </c>
      <c r="W2" s="4" t="s">
        <v>24</v>
      </c>
      <c r="X2" s="11" t="s">
        <v>25</v>
      </c>
      <c r="Y2" s="4" t="s">
        <v>26</v>
      </c>
      <c r="Z2" s="4" t="s">
        <v>27</v>
      </c>
      <c r="AA2" s="11" t="s">
        <v>28</v>
      </c>
      <c r="AB2" s="43" t="s">
        <v>29</v>
      </c>
      <c r="AC2" s="11" t="s">
        <v>30</v>
      </c>
      <c r="AD2" s="43" t="s">
        <v>31</v>
      </c>
      <c r="AE2" s="11" t="s">
        <v>32</v>
      </c>
      <c r="AF2" s="11" t="s">
        <v>33</v>
      </c>
      <c r="AG2" s="11" t="s">
        <v>34</v>
      </c>
      <c r="AH2" s="1" t="s">
        <v>35</v>
      </c>
      <c r="AI2" s="1"/>
    </row>
    <row r="3" spans="1:35" x14ac:dyDescent="0.35">
      <c r="A3" s="17"/>
      <c r="B3" s="17"/>
      <c r="C3" s="5"/>
      <c r="D3" s="5"/>
      <c r="E3" s="5"/>
      <c r="F3" s="5" t="s">
        <v>37</v>
      </c>
      <c r="G3" s="5" t="s">
        <v>38</v>
      </c>
      <c r="H3" s="5" t="s">
        <v>38</v>
      </c>
      <c r="I3" s="5" t="s">
        <v>38</v>
      </c>
      <c r="J3" s="5" t="s">
        <v>38</v>
      </c>
      <c r="K3" s="5" t="s">
        <v>38</v>
      </c>
      <c r="L3" s="5" t="s">
        <v>39</v>
      </c>
      <c r="M3" s="5"/>
      <c r="N3" s="5" t="s">
        <v>39</v>
      </c>
      <c r="O3" s="5" t="s">
        <v>37</v>
      </c>
      <c r="P3" s="5" t="s">
        <v>37</v>
      </c>
      <c r="Q3" s="5" t="s">
        <v>40</v>
      </c>
      <c r="R3" s="5" t="s">
        <v>41</v>
      </c>
      <c r="S3" s="5" t="s">
        <v>37</v>
      </c>
      <c r="T3" s="44"/>
      <c r="U3" s="44"/>
      <c r="V3" s="5" t="s">
        <v>37</v>
      </c>
      <c r="W3" s="5" t="s">
        <v>37</v>
      </c>
      <c r="X3" s="5" t="s">
        <v>40</v>
      </c>
      <c r="Y3" s="5" t="s">
        <v>40</v>
      </c>
      <c r="Z3" s="5" t="s">
        <v>40</v>
      </c>
      <c r="AA3" s="5" t="s">
        <v>37</v>
      </c>
      <c r="AB3" s="45" t="s">
        <v>42</v>
      </c>
      <c r="AC3" s="5" t="s">
        <v>40</v>
      </c>
      <c r="AD3" s="45" t="s">
        <v>40</v>
      </c>
      <c r="AE3" s="5" t="s">
        <v>40</v>
      </c>
      <c r="AF3" s="5" t="s">
        <v>37</v>
      </c>
      <c r="AG3" s="5" t="s">
        <v>43</v>
      </c>
      <c r="AH3" s="5" t="s">
        <v>44</v>
      </c>
      <c r="AI3" s="5" t="s">
        <v>45</v>
      </c>
    </row>
    <row r="4" spans="1:35" x14ac:dyDescent="0.35">
      <c r="A4" s="17" t="s">
        <v>46</v>
      </c>
      <c r="B4" s="17" t="s">
        <v>2490</v>
      </c>
      <c r="C4" s="28" t="s">
        <v>2491</v>
      </c>
      <c r="D4" s="17" t="s">
        <v>2492</v>
      </c>
      <c r="E4" s="17" t="s">
        <v>2493</v>
      </c>
      <c r="F4" s="20">
        <v>1278.1500000000001</v>
      </c>
      <c r="G4" s="20">
        <v>287</v>
      </c>
      <c r="H4" s="19">
        <v>1354</v>
      </c>
      <c r="I4" s="20">
        <v>678</v>
      </c>
      <c r="J4" s="20">
        <v>676</v>
      </c>
      <c r="K4" s="20">
        <v>463</v>
      </c>
      <c r="L4" s="57">
        <f t="shared" ref="L4:L35" si="0">K4/H4</f>
        <v>0.34194977843426883</v>
      </c>
      <c r="M4" s="20">
        <v>2</v>
      </c>
      <c r="N4" s="57">
        <f t="shared" ref="N4:N35" si="1">M4/H4</f>
        <v>1.4771048744460858E-3</v>
      </c>
      <c r="O4" s="46">
        <v>306.81</v>
      </c>
      <c r="P4" s="46">
        <v>0</v>
      </c>
      <c r="Q4" s="20" t="s">
        <v>51</v>
      </c>
      <c r="R4" s="20">
        <v>2020</v>
      </c>
      <c r="S4" s="20"/>
      <c r="T4" s="20"/>
      <c r="U4" s="20"/>
      <c r="V4" s="58"/>
      <c r="W4" s="58"/>
      <c r="X4" s="58" t="s">
        <v>51</v>
      </c>
      <c r="Y4" s="58"/>
      <c r="Z4" s="58"/>
      <c r="AA4" s="58"/>
      <c r="AB4" s="58"/>
      <c r="AC4" s="58" t="s">
        <v>51</v>
      </c>
      <c r="AD4" s="58"/>
      <c r="AE4" s="58"/>
      <c r="AF4" s="58"/>
      <c r="AG4" s="58"/>
      <c r="AH4" s="58"/>
      <c r="AI4" s="58"/>
    </row>
    <row r="5" spans="1:35" x14ac:dyDescent="0.35">
      <c r="A5" s="17" t="s">
        <v>46</v>
      </c>
      <c r="B5" s="17" t="s">
        <v>2490</v>
      </c>
      <c r="C5" s="28" t="s">
        <v>2491</v>
      </c>
      <c r="D5" s="17" t="s">
        <v>2494</v>
      </c>
      <c r="E5" s="17" t="s">
        <v>2495</v>
      </c>
      <c r="F5" s="20">
        <v>1009.09</v>
      </c>
      <c r="G5" s="20">
        <v>212</v>
      </c>
      <c r="H5" s="19">
        <v>1013</v>
      </c>
      <c r="I5" s="20">
        <v>485</v>
      </c>
      <c r="J5" s="20">
        <v>528</v>
      </c>
      <c r="K5" s="20">
        <v>285</v>
      </c>
      <c r="L5" s="57">
        <f t="shared" si="0"/>
        <v>0.28134254689042448</v>
      </c>
      <c r="M5" s="20">
        <v>36</v>
      </c>
      <c r="N5" s="57">
        <f t="shared" si="1"/>
        <v>3.5538005923000986E-2</v>
      </c>
      <c r="O5" s="46">
        <v>244.19</v>
      </c>
      <c r="P5" s="46">
        <v>0</v>
      </c>
      <c r="Q5" s="20" t="s">
        <v>51</v>
      </c>
      <c r="R5" s="20">
        <v>2020</v>
      </c>
      <c r="S5" s="20"/>
      <c r="T5" s="20"/>
      <c r="U5" s="20"/>
      <c r="V5" s="58"/>
      <c r="W5" s="58"/>
      <c r="X5" s="58" t="s">
        <v>51</v>
      </c>
      <c r="Y5" s="58"/>
      <c r="Z5" s="58"/>
      <c r="AA5" s="58"/>
      <c r="AB5" s="58"/>
      <c r="AC5" s="58" t="s">
        <v>51</v>
      </c>
      <c r="AD5" s="58"/>
      <c r="AE5" s="58"/>
      <c r="AF5" s="58"/>
      <c r="AG5" s="58"/>
      <c r="AH5" s="58"/>
      <c r="AI5" s="58"/>
    </row>
    <row r="6" spans="1:35" x14ac:dyDescent="0.35">
      <c r="A6" s="17" t="s">
        <v>46</v>
      </c>
      <c r="B6" s="17" t="s">
        <v>2490</v>
      </c>
      <c r="C6" s="28" t="s">
        <v>2491</v>
      </c>
      <c r="D6" s="17" t="s">
        <v>2496</v>
      </c>
      <c r="E6" s="17" t="s">
        <v>2497</v>
      </c>
      <c r="F6" s="20">
        <v>310.8</v>
      </c>
      <c r="G6" s="20">
        <v>69</v>
      </c>
      <c r="H6" s="19">
        <v>317</v>
      </c>
      <c r="I6" s="20">
        <v>161</v>
      </c>
      <c r="J6" s="20">
        <v>156</v>
      </c>
      <c r="K6" s="20">
        <v>80</v>
      </c>
      <c r="L6" s="57">
        <f t="shared" si="0"/>
        <v>0.25236593059936907</v>
      </c>
      <c r="M6" s="20">
        <v>0</v>
      </c>
      <c r="N6" s="57">
        <f t="shared" si="1"/>
        <v>0</v>
      </c>
      <c r="O6" s="46">
        <v>45.67</v>
      </c>
      <c r="P6" s="46">
        <v>0</v>
      </c>
      <c r="Q6" s="20" t="s">
        <v>51</v>
      </c>
      <c r="R6" s="20">
        <v>2020</v>
      </c>
      <c r="S6" s="20"/>
      <c r="T6" s="20"/>
      <c r="U6" s="20"/>
      <c r="V6" s="58"/>
      <c r="W6" s="58"/>
      <c r="X6" s="58" t="s">
        <v>51</v>
      </c>
      <c r="Y6" s="58"/>
      <c r="Z6" s="58"/>
      <c r="AA6" s="58"/>
      <c r="AB6" s="58"/>
      <c r="AC6" s="58" t="s">
        <v>51</v>
      </c>
      <c r="AD6" s="58"/>
      <c r="AE6" s="58"/>
      <c r="AF6" s="58"/>
      <c r="AG6" s="58"/>
      <c r="AH6" s="58"/>
      <c r="AI6" s="58"/>
    </row>
    <row r="7" spans="1:35" x14ac:dyDescent="0.35">
      <c r="A7" s="17" t="s">
        <v>46</v>
      </c>
      <c r="B7" s="17" t="s">
        <v>2490</v>
      </c>
      <c r="C7" s="28" t="s">
        <v>2491</v>
      </c>
      <c r="D7" s="17" t="s">
        <v>2498</v>
      </c>
      <c r="E7" s="17" t="s">
        <v>2499</v>
      </c>
      <c r="F7" s="20">
        <v>127.21</v>
      </c>
      <c r="G7" s="20">
        <v>45</v>
      </c>
      <c r="H7" s="19">
        <v>210</v>
      </c>
      <c r="I7" s="20">
        <v>102</v>
      </c>
      <c r="J7" s="20">
        <v>108</v>
      </c>
      <c r="K7" s="20">
        <v>16</v>
      </c>
      <c r="L7" s="57">
        <f t="shared" si="0"/>
        <v>7.6190476190476197E-2</v>
      </c>
      <c r="M7" s="20">
        <v>0</v>
      </c>
      <c r="N7" s="57">
        <f t="shared" si="1"/>
        <v>0</v>
      </c>
      <c r="O7" s="46">
        <v>12.38</v>
      </c>
      <c r="P7" s="46">
        <v>0</v>
      </c>
      <c r="Q7" s="20" t="s">
        <v>51</v>
      </c>
      <c r="R7" s="20">
        <v>2020</v>
      </c>
      <c r="S7" s="20"/>
      <c r="T7" s="20"/>
      <c r="U7" s="20"/>
      <c r="V7" s="58"/>
      <c r="W7" s="58"/>
      <c r="X7" s="58" t="s">
        <v>51</v>
      </c>
      <c r="Y7" s="58"/>
      <c r="Z7" s="58"/>
      <c r="AA7" s="58"/>
      <c r="AB7" s="58"/>
      <c r="AC7" s="58" t="s">
        <v>51</v>
      </c>
      <c r="AD7" s="58"/>
      <c r="AE7" s="58"/>
      <c r="AF7" s="58"/>
      <c r="AG7" s="58"/>
      <c r="AH7" s="58"/>
      <c r="AI7" s="58"/>
    </row>
    <row r="8" spans="1:35" x14ac:dyDescent="0.35">
      <c r="A8" s="17" t="s">
        <v>46</v>
      </c>
      <c r="B8" s="17" t="s">
        <v>2490</v>
      </c>
      <c r="C8" s="28" t="s">
        <v>1925</v>
      </c>
      <c r="D8" s="17" t="s">
        <v>2500</v>
      </c>
      <c r="E8" s="17" t="s">
        <v>2501</v>
      </c>
      <c r="F8" s="20">
        <v>59.56</v>
      </c>
      <c r="G8" s="20">
        <v>43</v>
      </c>
      <c r="H8" s="19">
        <v>175</v>
      </c>
      <c r="I8" s="20">
        <v>95</v>
      </c>
      <c r="J8" s="20">
        <v>80</v>
      </c>
      <c r="K8" s="20">
        <v>46</v>
      </c>
      <c r="L8" s="57">
        <f t="shared" si="0"/>
        <v>0.26285714285714284</v>
      </c>
      <c r="M8" s="20">
        <v>3</v>
      </c>
      <c r="N8" s="57">
        <f t="shared" si="1"/>
        <v>1.7142857142857144E-2</v>
      </c>
      <c r="O8" s="46">
        <v>2.2999999999999998</v>
      </c>
      <c r="P8" s="46">
        <v>0</v>
      </c>
      <c r="Q8" s="20" t="s">
        <v>562</v>
      </c>
      <c r="R8" s="20"/>
      <c r="S8" s="20"/>
      <c r="T8" s="20"/>
      <c r="U8" s="20"/>
      <c r="V8" s="58"/>
      <c r="W8" s="58"/>
      <c r="X8" s="58" t="s">
        <v>562</v>
      </c>
      <c r="Y8" s="58"/>
      <c r="Z8" s="58"/>
      <c r="AA8" s="58"/>
      <c r="AB8" s="58"/>
      <c r="AC8" s="58" t="s">
        <v>562</v>
      </c>
      <c r="AD8" s="58"/>
      <c r="AE8" s="58"/>
      <c r="AF8" s="58"/>
      <c r="AG8" s="58"/>
      <c r="AH8" s="58"/>
      <c r="AI8" s="58"/>
    </row>
    <row r="9" spans="1:35" x14ac:dyDescent="0.35">
      <c r="A9" s="17" t="s">
        <v>46</v>
      </c>
      <c r="B9" s="17" t="s">
        <v>2490</v>
      </c>
      <c r="C9" s="28" t="s">
        <v>2502</v>
      </c>
      <c r="D9" s="17" t="s">
        <v>1649</v>
      </c>
      <c r="E9" s="17" t="s">
        <v>2503</v>
      </c>
      <c r="F9" s="20">
        <v>183.56</v>
      </c>
      <c r="G9" s="20">
        <v>116</v>
      </c>
      <c r="H9" s="19">
        <v>464</v>
      </c>
      <c r="I9" s="20">
        <v>231</v>
      </c>
      <c r="J9" s="20">
        <v>233</v>
      </c>
      <c r="K9" s="20">
        <v>61</v>
      </c>
      <c r="L9" s="57">
        <f t="shared" si="0"/>
        <v>0.13146551724137931</v>
      </c>
      <c r="M9" s="20">
        <v>0</v>
      </c>
      <c r="N9" s="57">
        <f t="shared" si="1"/>
        <v>0</v>
      </c>
      <c r="O9" s="46">
        <v>0</v>
      </c>
      <c r="P9" s="46">
        <v>0</v>
      </c>
      <c r="Q9" s="20" t="s">
        <v>562</v>
      </c>
      <c r="R9" s="20"/>
      <c r="S9" s="20"/>
      <c r="T9" s="20"/>
      <c r="U9" s="20"/>
      <c r="V9" s="58"/>
      <c r="W9" s="58"/>
      <c r="X9" s="58" t="s">
        <v>562</v>
      </c>
      <c r="Y9" s="58"/>
      <c r="Z9" s="58"/>
      <c r="AA9" s="58"/>
      <c r="AB9" s="58"/>
      <c r="AC9" s="58" t="s">
        <v>562</v>
      </c>
      <c r="AD9" s="58"/>
      <c r="AE9" s="58"/>
      <c r="AF9" s="58"/>
      <c r="AG9" s="58"/>
      <c r="AH9" s="58"/>
      <c r="AI9" s="58"/>
    </row>
    <row r="10" spans="1:35" x14ac:dyDescent="0.35">
      <c r="A10" s="17" t="s">
        <v>46</v>
      </c>
      <c r="B10" s="17" t="s">
        <v>2490</v>
      </c>
      <c r="C10" s="28" t="s">
        <v>2491</v>
      </c>
      <c r="D10" s="17" t="s">
        <v>2504</v>
      </c>
      <c r="E10" s="17" t="s">
        <v>2505</v>
      </c>
      <c r="F10" s="20">
        <v>108.35</v>
      </c>
      <c r="G10" s="20">
        <v>26</v>
      </c>
      <c r="H10" s="19">
        <v>142</v>
      </c>
      <c r="I10" s="20">
        <v>73</v>
      </c>
      <c r="J10" s="20">
        <v>69</v>
      </c>
      <c r="K10" s="20">
        <v>13</v>
      </c>
      <c r="L10" s="57">
        <f t="shared" si="0"/>
        <v>9.154929577464789E-2</v>
      </c>
      <c r="M10" s="20">
        <v>78</v>
      </c>
      <c r="N10" s="57">
        <f t="shared" si="1"/>
        <v>0.54929577464788737</v>
      </c>
      <c r="O10" s="46">
        <v>35.6</v>
      </c>
      <c r="P10" s="46">
        <v>0</v>
      </c>
      <c r="Q10" s="20" t="s">
        <v>51</v>
      </c>
      <c r="R10" s="20">
        <v>2020</v>
      </c>
      <c r="S10" s="20"/>
      <c r="T10" s="20"/>
      <c r="U10" s="20"/>
      <c r="V10" s="58"/>
      <c r="W10" s="58"/>
      <c r="X10" s="58" t="s">
        <v>51</v>
      </c>
      <c r="Y10" s="58"/>
      <c r="Z10" s="58"/>
      <c r="AA10" s="58"/>
      <c r="AB10" s="58"/>
      <c r="AC10" s="58" t="s">
        <v>51</v>
      </c>
      <c r="AD10" s="58"/>
      <c r="AE10" s="58"/>
      <c r="AF10" s="58"/>
      <c r="AG10" s="58"/>
      <c r="AH10" s="58"/>
      <c r="AI10" s="58"/>
    </row>
    <row r="11" spans="1:35" x14ac:dyDescent="0.35">
      <c r="A11" s="17" t="s">
        <v>46</v>
      </c>
      <c r="B11" s="17" t="s">
        <v>2490</v>
      </c>
      <c r="C11" s="28" t="s">
        <v>2502</v>
      </c>
      <c r="D11" s="17" t="s">
        <v>2506</v>
      </c>
      <c r="E11" s="17" t="s">
        <v>2507</v>
      </c>
      <c r="F11" s="20">
        <v>70.33</v>
      </c>
      <c r="G11" s="20">
        <v>37</v>
      </c>
      <c r="H11" s="19">
        <v>167</v>
      </c>
      <c r="I11" s="20">
        <v>82</v>
      </c>
      <c r="J11" s="20">
        <v>85</v>
      </c>
      <c r="K11" s="20">
        <v>0</v>
      </c>
      <c r="L11" s="57">
        <f t="shared" si="0"/>
        <v>0</v>
      </c>
      <c r="M11" s="20">
        <v>0</v>
      </c>
      <c r="N11" s="57">
        <f t="shared" si="1"/>
        <v>0</v>
      </c>
      <c r="O11" s="46">
        <v>2.4</v>
      </c>
      <c r="P11" s="46">
        <v>0</v>
      </c>
      <c r="Q11" s="20" t="s">
        <v>51</v>
      </c>
      <c r="R11" s="20">
        <v>2020</v>
      </c>
      <c r="S11" s="20"/>
      <c r="T11" s="20"/>
      <c r="U11" s="20"/>
      <c r="V11" s="58"/>
      <c r="W11" s="58"/>
      <c r="X11" s="58" t="s">
        <v>51</v>
      </c>
      <c r="Y11" s="58"/>
      <c r="Z11" s="58"/>
      <c r="AA11" s="58"/>
      <c r="AB11" s="58"/>
      <c r="AC11" s="58" t="s">
        <v>51</v>
      </c>
      <c r="AD11" s="58"/>
      <c r="AE11" s="58"/>
      <c r="AF11" s="58"/>
      <c r="AG11" s="58"/>
      <c r="AH11" s="58"/>
      <c r="AI11" s="58"/>
    </row>
    <row r="12" spans="1:35" x14ac:dyDescent="0.35">
      <c r="A12" s="17" t="s">
        <v>46</v>
      </c>
      <c r="B12" s="17" t="s">
        <v>2490</v>
      </c>
      <c r="C12" s="28" t="s">
        <v>2508</v>
      </c>
      <c r="D12" s="17" t="s">
        <v>584</v>
      </c>
      <c r="E12" s="17" t="s">
        <v>2509</v>
      </c>
      <c r="F12" s="20">
        <v>2146.0500000000002</v>
      </c>
      <c r="G12" s="20">
        <v>885</v>
      </c>
      <c r="H12" s="19">
        <v>4047</v>
      </c>
      <c r="I12" s="20">
        <v>2019</v>
      </c>
      <c r="J12" s="20">
        <v>2028</v>
      </c>
      <c r="K12" s="20">
        <v>1044</v>
      </c>
      <c r="L12" s="57">
        <f t="shared" si="0"/>
        <v>0.25796886582653816</v>
      </c>
      <c r="M12" s="20">
        <v>57</v>
      </c>
      <c r="N12" s="57">
        <f t="shared" si="1"/>
        <v>1.4084507042253521E-2</v>
      </c>
      <c r="O12" s="46">
        <v>114.41</v>
      </c>
      <c r="P12" s="46">
        <v>0</v>
      </c>
      <c r="Q12" s="20" t="s">
        <v>51</v>
      </c>
      <c r="R12" s="20">
        <v>2020</v>
      </c>
      <c r="S12" s="20"/>
      <c r="T12" s="20"/>
      <c r="U12" s="20"/>
      <c r="V12" s="58"/>
      <c r="W12" s="58"/>
      <c r="X12" s="58" t="s">
        <v>51</v>
      </c>
      <c r="Y12" s="58"/>
      <c r="Z12" s="58"/>
      <c r="AA12" s="58"/>
      <c r="AB12" s="58"/>
      <c r="AC12" s="58" t="s">
        <v>51</v>
      </c>
      <c r="AD12" s="58"/>
      <c r="AE12" s="58"/>
      <c r="AF12" s="58"/>
      <c r="AG12" s="58"/>
      <c r="AH12" s="58"/>
      <c r="AI12" s="58"/>
    </row>
    <row r="13" spans="1:35" x14ac:dyDescent="0.35">
      <c r="A13" s="17" t="s">
        <v>46</v>
      </c>
      <c r="B13" s="17" t="s">
        <v>2490</v>
      </c>
      <c r="C13" s="28" t="s">
        <v>2508</v>
      </c>
      <c r="D13" s="17" t="s">
        <v>2510</v>
      </c>
      <c r="E13" s="17" t="s">
        <v>2511</v>
      </c>
      <c r="F13" s="20">
        <v>410.73</v>
      </c>
      <c r="G13" s="20">
        <v>153</v>
      </c>
      <c r="H13" s="19">
        <v>646</v>
      </c>
      <c r="I13" s="20">
        <v>317</v>
      </c>
      <c r="J13" s="20">
        <v>329</v>
      </c>
      <c r="K13" s="20">
        <v>139</v>
      </c>
      <c r="L13" s="57">
        <f t="shared" si="0"/>
        <v>0.21517027863777088</v>
      </c>
      <c r="M13" s="20">
        <v>123</v>
      </c>
      <c r="N13" s="57">
        <f t="shared" si="1"/>
        <v>0.19040247678018576</v>
      </c>
      <c r="O13" s="46">
        <v>40.35</v>
      </c>
      <c r="P13" s="46">
        <v>0</v>
      </c>
      <c r="Q13" s="20" t="s">
        <v>51</v>
      </c>
      <c r="R13" s="20">
        <v>2020</v>
      </c>
      <c r="S13" s="20"/>
      <c r="T13" s="20"/>
      <c r="U13" s="20"/>
      <c r="V13" s="58"/>
      <c r="W13" s="58"/>
      <c r="X13" s="58" t="s">
        <v>51</v>
      </c>
      <c r="Y13" s="58"/>
      <c r="Z13" s="58"/>
      <c r="AA13" s="58"/>
      <c r="AB13" s="58"/>
      <c r="AC13" s="58" t="s">
        <v>51</v>
      </c>
      <c r="AD13" s="58"/>
      <c r="AE13" s="58"/>
      <c r="AF13" s="58"/>
      <c r="AG13" s="58"/>
      <c r="AH13" s="58"/>
      <c r="AI13" s="58"/>
    </row>
    <row r="14" spans="1:35" x14ac:dyDescent="0.35">
      <c r="A14" s="17" t="s">
        <v>46</v>
      </c>
      <c r="B14" s="17" t="s">
        <v>2490</v>
      </c>
      <c r="C14" s="28" t="s">
        <v>2512</v>
      </c>
      <c r="D14" s="17" t="s">
        <v>2513</v>
      </c>
      <c r="E14" s="17" t="s">
        <v>2514</v>
      </c>
      <c r="F14" s="20">
        <v>326.55</v>
      </c>
      <c r="G14" s="20">
        <v>131</v>
      </c>
      <c r="H14" s="19">
        <v>664</v>
      </c>
      <c r="I14" s="20">
        <v>329</v>
      </c>
      <c r="J14" s="20">
        <v>335</v>
      </c>
      <c r="K14" s="20">
        <v>0</v>
      </c>
      <c r="L14" s="57">
        <f t="shared" si="0"/>
        <v>0</v>
      </c>
      <c r="M14" s="20">
        <v>62</v>
      </c>
      <c r="N14" s="57">
        <f t="shared" si="1"/>
        <v>9.337349397590361E-2</v>
      </c>
      <c r="O14" s="46">
        <v>7.05</v>
      </c>
      <c r="P14" s="46">
        <v>0</v>
      </c>
      <c r="Q14" s="20" t="s">
        <v>562</v>
      </c>
      <c r="R14" s="20"/>
      <c r="S14" s="20"/>
      <c r="T14" s="20"/>
      <c r="U14" s="20"/>
      <c r="V14" s="58"/>
      <c r="W14" s="58"/>
      <c r="X14" s="58" t="s">
        <v>562</v>
      </c>
      <c r="Y14" s="58"/>
      <c r="Z14" s="58"/>
      <c r="AA14" s="58"/>
      <c r="AB14" s="58"/>
      <c r="AC14" s="58" t="s">
        <v>562</v>
      </c>
      <c r="AD14" s="58"/>
      <c r="AE14" s="58"/>
      <c r="AF14" s="58"/>
      <c r="AG14" s="58"/>
      <c r="AH14" s="58"/>
      <c r="AI14" s="58"/>
    </row>
    <row r="15" spans="1:35" x14ac:dyDescent="0.35">
      <c r="A15" s="17" t="s">
        <v>46</v>
      </c>
      <c r="B15" s="17" t="s">
        <v>2490</v>
      </c>
      <c r="C15" s="28" t="s">
        <v>2512</v>
      </c>
      <c r="D15" s="17" t="s">
        <v>273</v>
      </c>
      <c r="E15" s="17" t="s">
        <v>2515</v>
      </c>
      <c r="F15" s="20">
        <v>824.66</v>
      </c>
      <c r="G15" s="20">
        <v>217</v>
      </c>
      <c r="H15" s="19">
        <v>1220</v>
      </c>
      <c r="I15" s="20">
        <v>633</v>
      </c>
      <c r="J15" s="20">
        <v>587</v>
      </c>
      <c r="K15" s="20">
        <v>32</v>
      </c>
      <c r="L15" s="57">
        <f t="shared" si="0"/>
        <v>2.6229508196721311E-2</v>
      </c>
      <c r="M15" s="20">
        <v>10</v>
      </c>
      <c r="N15" s="57">
        <f t="shared" si="1"/>
        <v>8.1967213114754103E-3</v>
      </c>
      <c r="O15" s="46">
        <v>231.87</v>
      </c>
      <c r="P15" s="46">
        <v>0</v>
      </c>
      <c r="Q15" s="20" t="s">
        <v>51</v>
      </c>
      <c r="R15" s="20">
        <v>2020</v>
      </c>
      <c r="S15" s="20"/>
      <c r="T15" s="20"/>
      <c r="U15" s="20"/>
      <c r="V15" s="58"/>
      <c r="W15" s="58"/>
      <c r="X15" s="58" t="s">
        <v>51</v>
      </c>
      <c r="Y15" s="58"/>
      <c r="Z15" s="58"/>
      <c r="AA15" s="58"/>
      <c r="AB15" s="58"/>
      <c r="AC15" s="58" t="s">
        <v>51</v>
      </c>
      <c r="AD15" s="58"/>
      <c r="AE15" s="58"/>
      <c r="AF15" s="58"/>
      <c r="AG15" s="58"/>
      <c r="AH15" s="58"/>
      <c r="AI15" s="58"/>
    </row>
    <row r="16" spans="1:35" x14ac:dyDescent="0.35">
      <c r="A16" s="17" t="s">
        <v>46</v>
      </c>
      <c r="B16" s="17" t="s">
        <v>2490</v>
      </c>
      <c r="C16" s="28" t="s">
        <v>2512</v>
      </c>
      <c r="D16" s="17" t="s">
        <v>2516</v>
      </c>
      <c r="E16" s="17" t="s">
        <v>2517</v>
      </c>
      <c r="F16" s="20">
        <v>732.71</v>
      </c>
      <c r="G16" s="20">
        <v>248</v>
      </c>
      <c r="H16" s="19">
        <v>1142</v>
      </c>
      <c r="I16" s="20">
        <v>576</v>
      </c>
      <c r="J16" s="20">
        <v>566</v>
      </c>
      <c r="K16" s="20">
        <v>101</v>
      </c>
      <c r="L16" s="57">
        <f t="shared" si="0"/>
        <v>8.8441330998248691E-2</v>
      </c>
      <c r="M16" s="20">
        <v>318</v>
      </c>
      <c r="N16" s="57">
        <f t="shared" si="1"/>
        <v>0.27845884413309985</v>
      </c>
      <c r="O16" s="46">
        <v>92.94</v>
      </c>
      <c r="P16" s="46">
        <v>0</v>
      </c>
      <c r="Q16" s="20" t="s">
        <v>51</v>
      </c>
      <c r="R16" s="20">
        <v>2020</v>
      </c>
      <c r="S16" s="20"/>
      <c r="T16" s="20"/>
      <c r="U16" s="20"/>
      <c r="V16" s="58"/>
      <c r="W16" s="58"/>
      <c r="X16" s="58" t="s">
        <v>51</v>
      </c>
      <c r="Y16" s="58"/>
      <c r="Z16" s="58"/>
      <c r="AA16" s="58"/>
      <c r="AB16" s="58"/>
      <c r="AC16" s="58" t="s">
        <v>51</v>
      </c>
      <c r="AD16" s="58"/>
      <c r="AE16" s="58"/>
      <c r="AF16" s="58"/>
      <c r="AG16" s="58"/>
      <c r="AH16" s="58"/>
      <c r="AI16" s="58"/>
    </row>
    <row r="17" spans="1:35" x14ac:dyDescent="0.35">
      <c r="A17" s="17" t="s">
        <v>46</v>
      </c>
      <c r="B17" s="17" t="s">
        <v>2490</v>
      </c>
      <c r="C17" s="28" t="s">
        <v>2512</v>
      </c>
      <c r="D17" s="17" t="s">
        <v>2518</v>
      </c>
      <c r="E17" s="17" t="s">
        <v>2519</v>
      </c>
      <c r="F17" s="20">
        <v>47.53</v>
      </c>
      <c r="G17" s="20">
        <v>4</v>
      </c>
      <c r="H17" s="19">
        <v>20</v>
      </c>
      <c r="I17" s="20">
        <v>10</v>
      </c>
      <c r="J17" s="20">
        <v>10</v>
      </c>
      <c r="K17" s="20">
        <v>0</v>
      </c>
      <c r="L17" s="57">
        <f t="shared" si="0"/>
        <v>0</v>
      </c>
      <c r="M17" s="20">
        <v>3</v>
      </c>
      <c r="N17" s="57">
        <f t="shared" si="1"/>
        <v>0.15</v>
      </c>
      <c r="O17" s="46">
        <v>0</v>
      </c>
      <c r="P17" s="46">
        <v>0</v>
      </c>
      <c r="Q17" s="20" t="s">
        <v>562</v>
      </c>
      <c r="R17" s="20"/>
      <c r="S17" s="20"/>
      <c r="T17" s="20"/>
      <c r="U17" s="20"/>
      <c r="V17" s="58"/>
      <c r="W17" s="58"/>
      <c r="X17" s="58" t="s">
        <v>562</v>
      </c>
      <c r="Y17" s="58"/>
      <c r="Z17" s="58"/>
      <c r="AA17" s="58"/>
      <c r="AB17" s="58"/>
      <c r="AC17" s="58" t="s">
        <v>562</v>
      </c>
      <c r="AD17" s="58"/>
      <c r="AE17" s="58"/>
      <c r="AF17" s="58"/>
      <c r="AG17" s="58"/>
      <c r="AH17" s="58"/>
      <c r="AI17" s="58"/>
    </row>
    <row r="18" spans="1:35" x14ac:dyDescent="0.35">
      <c r="A18" s="17" t="s">
        <v>46</v>
      </c>
      <c r="B18" s="17" t="s">
        <v>2490</v>
      </c>
      <c r="C18" s="28" t="s">
        <v>2512</v>
      </c>
      <c r="D18" s="17" t="s">
        <v>2520</v>
      </c>
      <c r="E18" s="17" t="s">
        <v>2521</v>
      </c>
      <c r="F18" s="20">
        <v>105.03</v>
      </c>
      <c r="G18" s="20">
        <v>88</v>
      </c>
      <c r="H18" s="19">
        <v>428</v>
      </c>
      <c r="I18" s="20">
        <v>211</v>
      </c>
      <c r="J18" s="20">
        <v>217</v>
      </c>
      <c r="K18" s="20">
        <v>11</v>
      </c>
      <c r="L18" s="57">
        <f t="shared" si="0"/>
        <v>2.5700934579439252E-2</v>
      </c>
      <c r="M18" s="20">
        <v>11</v>
      </c>
      <c r="N18" s="57">
        <f t="shared" si="1"/>
        <v>2.5700934579439252E-2</v>
      </c>
      <c r="O18" s="46">
        <v>7.87</v>
      </c>
      <c r="P18" s="46">
        <v>0</v>
      </c>
      <c r="Q18" s="20" t="s">
        <v>51</v>
      </c>
      <c r="R18" s="20">
        <v>2020</v>
      </c>
      <c r="S18" s="20"/>
      <c r="T18" s="20"/>
      <c r="U18" s="20"/>
      <c r="V18" s="58"/>
      <c r="W18" s="58"/>
      <c r="X18" s="58" t="s">
        <v>51</v>
      </c>
      <c r="Y18" s="58"/>
      <c r="Z18" s="58"/>
      <c r="AA18" s="58"/>
      <c r="AB18" s="58"/>
      <c r="AC18" s="58" t="s">
        <v>51</v>
      </c>
      <c r="AD18" s="58"/>
      <c r="AE18" s="58"/>
      <c r="AF18" s="58"/>
      <c r="AG18" s="58"/>
      <c r="AH18" s="58"/>
      <c r="AI18" s="58"/>
    </row>
    <row r="19" spans="1:35" x14ac:dyDescent="0.35">
      <c r="A19" s="17" t="s">
        <v>46</v>
      </c>
      <c r="B19" s="17" t="s">
        <v>2490</v>
      </c>
      <c r="C19" s="28" t="s">
        <v>2512</v>
      </c>
      <c r="D19" s="17" t="s">
        <v>2522</v>
      </c>
      <c r="E19" s="17" t="s">
        <v>2523</v>
      </c>
      <c r="F19" s="20">
        <v>901.58</v>
      </c>
      <c r="G19" s="20">
        <v>145</v>
      </c>
      <c r="H19" s="19">
        <v>721</v>
      </c>
      <c r="I19" s="20">
        <v>377</v>
      </c>
      <c r="J19" s="20">
        <v>344</v>
      </c>
      <c r="K19" s="20">
        <v>116</v>
      </c>
      <c r="L19" s="57">
        <f t="shared" si="0"/>
        <v>0.16088765603328711</v>
      </c>
      <c r="M19" s="20">
        <v>92</v>
      </c>
      <c r="N19" s="57">
        <f t="shared" si="1"/>
        <v>0.1276005547850208</v>
      </c>
      <c r="O19" s="46">
        <v>139.33000000000001</v>
      </c>
      <c r="P19" s="46">
        <v>0</v>
      </c>
      <c r="Q19" s="20" t="s">
        <v>51</v>
      </c>
      <c r="R19" s="20">
        <v>2021</v>
      </c>
      <c r="S19" s="20"/>
      <c r="T19" s="20"/>
      <c r="U19" s="20"/>
      <c r="V19" s="58"/>
      <c r="W19" s="58"/>
      <c r="X19" s="58" t="s">
        <v>51</v>
      </c>
      <c r="Y19" s="58"/>
      <c r="Z19" s="58"/>
      <c r="AA19" s="58"/>
      <c r="AB19" s="58"/>
      <c r="AC19" s="58" t="s">
        <v>51</v>
      </c>
      <c r="AD19" s="58"/>
      <c r="AE19" s="58"/>
      <c r="AF19" s="58"/>
      <c r="AG19" s="58"/>
      <c r="AH19" s="58"/>
      <c r="AI19" s="58"/>
    </row>
    <row r="20" spans="1:35" x14ac:dyDescent="0.35">
      <c r="A20" s="17" t="s">
        <v>46</v>
      </c>
      <c r="B20" s="17" t="s">
        <v>2490</v>
      </c>
      <c r="C20" s="28" t="s">
        <v>2502</v>
      </c>
      <c r="D20" s="17" t="s">
        <v>2524</v>
      </c>
      <c r="E20" s="17" t="s">
        <v>2525</v>
      </c>
      <c r="F20" s="20">
        <v>35.93</v>
      </c>
      <c r="G20" s="20">
        <v>38</v>
      </c>
      <c r="H20" s="19">
        <v>200</v>
      </c>
      <c r="I20" s="20">
        <v>104</v>
      </c>
      <c r="J20" s="20">
        <v>96</v>
      </c>
      <c r="K20" s="20">
        <v>18</v>
      </c>
      <c r="L20" s="57">
        <f t="shared" si="0"/>
        <v>0.09</v>
      </c>
      <c r="M20" s="20">
        <v>28</v>
      </c>
      <c r="N20" s="57">
        <f t="shared" si="1"/>
        <v>0.14000000000000001</v>
      </c>
      <c r="O20" s="46">
        <v>0</v>
      </c>
      <c r="P20" s="46">
        <v>0</v>
      </c>
      <c r="Q20" s="20" t="s">
        <v>51</v>
      </c>
      <c r="R20" s="20">
        <v>2020</v>
      </c>
      <c r="S20" s="20"/>
      <c r="T20" s="20"/>
      <c r="U20" s="20"/>
      <c r="V20" s="58"/>
      <c r="W20" s="58"/>
      <c r="X20" s="58" t="s">
        <v>51</v>
      </c>
      <c r="Y20" s="58"/>
      <c r="Z20" s="58"/>
      <c r="AA20" s="58"/>
      <c r="AB20" s="58"/>
      <c r="AC20" s="58" t="s">
        <v>51</v>
      </c>
      <c r="AD20" s="58"/>
      <c r="AE20" s="58"/>
      <c r="AF20" s="58"/>
      <c r="AG20" s="58"/>
      <c r="AH20" s="58"/>
      <c r="AI20" s="58"/>
    </row>
    <row r="21" spans="1:35" x14ac:dyDescent="0.35">
      <c r="A21" s="17" t="s">
        <v>46</v>
      </c>
      <c r="B21" s="17" t="s">
        <v>2490</v>
      </c>
      <c r="C21" s="28" t="s">
        <v>2526</v>
      </c>
      <c r="D21" s="17" t="s">
        <v>2527</v>
      </c>
      <c r="E21" s="17" t="s">
        <v>2528</v>
      </c>
      <c r="F21" s="20">
        <v>448.27</v>
      </c>
      <c r="G21" s="20">
        <v>172</v>
      </c>
      <c r="H21" s="19">
        <v>744</v>
      </c>
      <c r="I21" s="20">
        <v>375</v>
      </c>
      <c r="J21" s="20">
        <v>369</v>
      </c>
      <c r="K21" s="20">
        <v>46</v>
      </c>
      <c r="L21" s="57">
        <f t="shared" si="0"/>
        <v>6.1827956989247312E-2</v>
      </c>
      <c r="M21" s="20">
        <v>266</v>
      </c>
      <c r="N21" s="57">
        <f t="shared" si="1"/>
        <v>0.35752688172043012</v>
      </c>
      <c r="O21" s="46">
        <v>85.4</v>
      </c>
      <c r="P21" s="46">
        <v>0</v>
      </c>
      <c r="Q21" s="20" t="s">
        <v>562</v>
      </c>
      <c r="R21" s="20"/>
      <c r="S21" s="20"/>
      <c r="T21" s="20"/>
      <c r="U21" s="20"/>
      <c r="V21" s="58"/>
      <c r="W21" s="58"/>
      <c r="X21" s="58" t="s">
        <v>562</v>
      </c>
      <c r="Y21" s="58"/>
      <c r="Z21" s="58"/>
      <c r="AA21" s="58"/>
      <c r="AB21" s="58"/>
      <c r="AC21" s="58" t="s">
        <v>562</v>
      </c>
      <c r="AD21" s="58"/>
      <c r="AE21" s="58"/>
      <c r="AF21" s="58"/>
      <c r="AG21" s="58"/>
      <c r="AH21" s="58"/>
      <c r="AI21" s="58"/>
    </row>
    <row r="22" spans="1:35" x14ac:dyDescent="0.35">
      <c r="A22" s="17" t="s">
        <v>46</v>
      </c>
      <c r="B22" s="17" t="s">
        <v>2490</v>
      </c>
      <c r="C22" s="28" t="s">
        <v>2529</v>
      </c>
      <c r="D22" s="17" t="s">
        <v>2530</v>
      </c>
      <c r="E22" s="17" t="s">
        <v>2531</v>
      </c>
      <c r="F22" s="20">
        <v>350.55</v>
      </c>
      <c r="G22" s="20">
        <v>76</v>
      </c>
      <c r="H22" s="19">
        <v>357</v>
      </c>
      <c r="I22" s="20">
        <v>186</v>
      </c>
      <c r="J22" s="20">
        <v>171</v>
      </c>
      <c r="K22" s="20">
        <v>33</v>
      </c>
      <c r="L22" s="57">
        <f t="shared" si="0"/>
        <v>9.2436974789915971E-2</v>
      </c>
      <c r="M22" s="20">
        <v>52</v>
      </c>
      <c r="N22" s="57">
        <f t="shared" si="1"/>
        <v>0.14565826330532214</v>
      </c>
      <c r="O22" s="46">
        <v>26.28</v>
      </c>
      <c r="P22" s="46">
        <v>0</v>
      </c>
      <c r="Q22" s="20" t="s">
        <v>562</v>
      </c>
      <c r="R22" s="20"/>
      <c r="S22" s="20"/>
      <c r="T22" s="20"/>
      <c r="U22" s="20"/>
      <c r="V22" s="58"/>
      <c r="W22" s="58"/>
      <c r="X22" s="58" t="s">
        <v>562</v>
      </c>
      <c r="Y22" s="58"/>
      <c r="Z22" s="58"/>
      <c r="AA22" s="58"/>
      <c r="AB22" s="58"/>
      <c r="AC22" s="58" t="s">
        <v>562</v>
      </c>
      <c r="AD22" s="58"/>
      <c r="AE22" s="58"/>
      <c r="AF22" s="58"/>
      <c r="AG22" s="58"/>
      <c r="AH22" s="58"/>
      <c r="AI22" s="58"/>
    </row>
    <row r="23" spans="1:35" x14ac:dyDescent="0.35">
      <c r="A23" s="17" t="s">
        <v>46</v>
      </c>
      <c r="B23" s="17" t="s">
        <v>2490</v>
      </c>
      <c r="C23" s="28" t="s">
        <v>2526</v>
      </c>
      <c r="D23" s="17" t="s">
        <v>2532</v>
      </c>
      <c r="E23" s="17" t="s">
        <v>2533</v>
      </c>
      <c r="F23" s="20">
        <v>51.55</v>
      </c>
      <c r="G23" s="20">
        <v>24</v>
      </c>
      <c r="H23" s="19">
        <v>89</v>
      </c>
      <c r="I23" s="20">
        <v>43</v>
      </c>
      <c r="J23" s="20">
        <v>46</v>
      </c>
      <c r="K23" s="20">
        <v>0</v>
      </c>
      <c r="L23" s="57">
        <f t="shared" si="0"/>
        <v>0</v>
      </c>
      <c r="M23" s="20">
        <v>16</v>
      </c>
      <c r="N23" s="57">
        <f t="shared" si="1"/>
        <v>0.1797752808988764</v>
      </c>
      <c r="O23" s="46">
        <v>4.47</v>
      </c>
      <c r="P23" s="46">
        <v>0</v>
      </c>
      <c r="Q23" s="20" t="s">
        <v>562</v>
      </c>
      <c r="R23" s="20"/>
      <c r="S23" s="20"/>
      <c r="T23" s="20"/>
      <c r="U23" s="20"/>
      <c r="V23" s="58"/>
      <c r="W23" s="58"/>
      <c r="X23" s="58" t="s">
        <v>562</v>
      </c>
      <c r="Y23" s="58"/>
      <c r="Z23" s="58"/>
      <c r="AA23" s="58"/>
      <c r="AB23" s="58"/>
      <c r="AC23" s="58" t="s">
        <v>562</v>
      </c>
      <c r="AD23" s="58"/>
      <c r="AE23" s="58"/>
      <c r="AF23" s="58"/>
      <c r="AG23" s="58"/>
      <c r="AH23" s="58"/>
      <c r="AI23" s="58"/>
    </row>
    <row r="24" spans="1:35" x14ac:dyDescent="0.35">
      <c r="A24" s="17" t="s">
        <v>46</v>
      </c>
      <c r="B24" s="17" t="s">
        <v>2490</v>
      </c>
      <c r="C24" s="28" t="s">
        <v>2529</v>
      </c>
      <c r="D24" s="17" t="s">
        <v>2534</v>
      </c>
      <c r="E24" s="17" t="s">
        <v>2535</v>
      </c>
      <c r="F24" s="20">
        <v>640.24</v>
      </c>
      <c r="G24" s="20">
        <v>140</v>
      </c>
      <c r="H24" s="19">
        <v>582</v>
      </c>
      <c r="I24" s="20">
        <v>287</v>
      </c>
      <c r="J24" s="20">
        <v>295</v>
      </c>
      <c r="K24" s="20">
        <v>51</v>
      </c>
      <c r="L24" s="57">
        <f t="shared" si="0"/>
        <v>8.7628865979381437E-2</v>
      </c>
      <c r="M24" s="20">
        <v>74</v>
      </c>
      <c r="N24" s="57">
        <f t="shared" si="1"/>
        <v>0.12714776632302405</v>
      </c>
      <c r="O24" s="46">
        <v>101.52</v>
      </c>
      <c r="P24" s="46">
        <v>0</v>
      </c>
      <c r="Q24" s="20" t="s">
        <v>562</v>
      </c>
      <c r="R24" s="20"/>
      <c r="S24" s="20"/>
      <c r="T24" s="20"/>
      <c r="U24" s="20"/>
      <c r="V24" s="58"/>
      <c r="W24" s="58"/>
      <c r="X24" s="58" t="s">
        <v>562</v>
      </c>
      <c r="Y24" s="58"/>
      <c r="Z24" s="58"/>
      <c r="AA24" s="58"/>
      <c r="AB24" s="58"/>
      <c r="AC24" s="58" t="s">
        <v>562</v>
      </c>
      <c r="AD24" s="58"/>
      <c r="AE24" s="58"/>
      <c r="AF24" s="58"/>
      <c r="AG24" s="58"/>
      <c r="AH24" s="58"/>
      <c r="AI24" s="58"/>
    </row>
    <row r="25" spans="1:35" x14ac:dyDescent="0.35">
      <c r="A25" s="17" t="s">
        <v>46</v>
      </c>
      <c r="B25" s="17" t="s">
        <v>2490</v>
      </c>
      <c r="C25" s="28" t="s">
        <v>2529</v>
      </c>
      <c r="D25" s="17" t="s">
        <v>160</v>
      </c>
      <c r="E25" s="17" t="s">
        <v>2536</v>
      </c>
      <c r="F25" s="20">
        <v>384.5</v>
      </c>
      <c r="G25" s="20">
        <v>115</v>
      </c>
      <c r="H25" s="19">
        <v>528</v>
      </c>
      <c r="I25" s="20">
        <v>266</v>
      </c>
      <c r="J25" s="20">
        <v>262</v>
      </c>
      <c r="K25" s="20">
        <v>76</v>
      </c>
      <c r="L25" s="57">
        <f t="shared" si="0"/>
        <v>0.14393939393939395</v>
      </c>
      <c r="M25" s="20">
        <v>149</v>
      </c>
      <c r="N25" s="57">
        <f t="shared" si="1"/>
        <v>0.28219696969696972</v>
      </c>
      <c r="O25" s="46">
        <v>83.6</v>
      </c>
      <c r="P25" s="46">
        <v>0</v>
      </c>
      <c r="Q25" s="20" t="s">
        <v>562</v>
      </c>
      <c r="R25" s="20"/>
      <c r="S25" s="20"/>
      <c r="T25" s="20"/>
      <c r="U25" s="20"/>
      <c r="V25" s="58"/>
      <c r="W25" s="58"/>
      <c r="X25" s="58" t="s">
        <v>562</v>
      </c>
      <c r="Y25" s="58"/>
      <c r="Z25" s="58"/>
      <c r="AA25" s="58"/>
      <c r="AB25" s="58"/>
      <c r="AC25" s="58" t="s">
        <v>562</v>
      </c>
      <c r="AD25" s="58"/>
      <c r="AE25" s="58"/>
      <c r="AF25" s="58"/>
      <c r="AG25" s="58"/>
      <c r="AH25" s="58"/>
      <c r="AI25" s="58"/>
    </row>
    <row r="26" spans="1:35" x14ac:dyDescent="0.35">
      <c r="A26" s="17" t="s">
        <v>46</v>
      </c>
      <c r="B26" s="17" t="s">
        <v>2490</v>
      </c>
      <c r="C26" s="28" t="s">
        <v>2529</v>
      </c>
      <c r="D26" s="17" t="s">
        <v>2537</v>
      </c>
      <c r="E26" s="17" t="s">
        <v>2538</v>
      </c>
      <c r="F26" s="20">
        <v>271.61</v>
      </c>
      <c r="G26" s="20">
        <v>151</v>
      </c>
      <c r="H26" s="19">
        <v>610</v>
      </c>
      <c r="I26" s="20">
        <v>305</v>
      </c>
      <c r="J26" s="20">
        <v>305</v>
      </c>
      <c r="K26" s="20">
        <v>20</v>
      </c>
      <c r="L26" s="57">
        <f t="shared" si="0"/>
        <v>3.2786885245901641E-2</v>
      </c>
      <c r="M26" s="20">
        <v>71</v>
      </c>
      <c r="N26" s="57">
        <f t="shared" si="1"/>
        <v>0.11639344262295082</v>
      </c>
      <c r="O26" s="46">
        <v>32</v>
      </c>
      <c r="P26" s="46">
        <v>0</v>
      </c>
      <c r="Q26" s="20" t="s">
        <v>562</v>
      </c>
      <c r="R26" s="20"/>
      <c r="S26" s="20"/>
      <c r="T26" s="20"/>
      <c r="U26" s="20"/>
      <c r="V26" s="58"/>
      <c r="W26" s="58"/>
      <c r="X26" s="58" t="s">
        <v>562</v>
      </c>
      <c r="Y26" s="58"/>
      <c r="Z26" s="58"/>
      <c r="AA26" s="58"/>
      <c r="AB26" s="58"/>
      <c r="AC26" s="58" t="s">
        <v>562</v>
      </c>
      <c r="AD26" s="58"/>
      <c r="AE26" s="58"/>
      <c r="AF26" s="58"/>
      <c r="AG26" s="58"/>
      <c r="AH26" s="58"/>
      <c r="AI26" s="58"/>
    </row>
    <row r="27" spans="1:35" x14ac:dyDescent="0.35">
      <c r="A27" s="17" t="s">
        <v>46</v>
      </c>
      <c r="B27" s="17" t="s">
        <v>2490</v>
      </c>
      <c r="C27" s="28" t="s">
        <v>2529</v>
      </c>
      <c r="D27" s="17" t="s">
        <v>91</v>
      </c>
      <c r="E27" s="17" t="s">
        <v>2539</v>
      </c>
      <c r="F27" s="20">
        <v>372.97</v>
      </c>
      <c r="G27" s="20">
        <v>159</v>
      </c>
      <c r="H27" s="19">
        <v>706</v>
      </c>
      <c r="I27" s="20">
        <v>346</v>
      </c>
      <c r="J27" s="20">
        <v>360</v>
      </c>
      <c r="K27" s="20">
        <v>106</v>
      </c>
      <c r="L27" s="57">
        <f t="shared" si="0"/>
        <v>0.1501416430594901</v>
      </c>
      <c r="M27" s="20">
        <v>70</v>
      </c>
      <c r="N27" s="57">
        <f t="shared" si="1"/>
        <v>9.9150141643059492E-2</v>
      </c>
      <c r="O27" s="46">
        <v>70.56</v>
      </c>
      <c r="P27" s="46">
        <v>0</v>
      </c>
      <c r="Q27" s="20" t="s">
        <v>562</v>
      </c>
      <c r="R27" s="20"/>
      <c r="S27" s="20"/>
      <c r="T27" s="20"/>
      <c r="U27" s="20"/>
      <c r="V27" s="58"/>
      <c r="W27" s="58"/>
      <c r="X27" s="58" t="s">
        <v>562</v>
      </c>
      <c r="Y27" s="58"/>
      <c r="Z27" s="58"/>
      <c r="AA27" s="58"/>
      <c r="AB27" s="58"/>
      <c r="AC27" s="58" t="s">
        <v>562</v>
      </c>
      <c r="AD27" s="58"/>
      <c r="AE27" s="58"/>
      <c r="AF27" s="58"/>
      <c r="AG27" s="58"/>
      <c r="AH27" s="58"/>
      <c r="AI27" s="58"/>
    </row>
    <row r="28" spans="1:35" x14ac:dyDescent="0.35">
      <c r="A28" s="17" t="s">
        <v>46</v>
      </c>
      <c r="B28" s="17" t="s">
        <v>2490</v>
      </c>
      <c r="C28" s="28" t="s">
        <v>2529</v>
      </c>
      <c r="D28" s="17" t="s">
        <v>2540</v>
      </c>
      <c r="E28" s="17" t="s">
        <v>2541</v>
      </c>
      <c r="F28" s="20">
        <v>872.06</v>
      </c>
      <c r="G28" s="20">
        <v>171</v>
      </c>
      <c r="H28" s="19">
        <v>809</v>
      </c>
      <c r="I28" s="20">
        <v>404</v>
      </c>
      <c r="J28" s="20">
        <v>405</v>
      </c>
      <c r="K28" s="20">
        <v>183</v>
      </c>
      <c r="L28" s="57">
        <f t="shared" si="0"/>
        <v>0.22620519159456118</v>
      </c>
      <c r="M28" s="20">
        <v>62</v>
      </c>
      <c r="N28" s="57">
        <f t="shared" si="1"/>
        <v>7.6637824474660068E-2</v>
      </c>
      <c r="O28" s="46">
        <v>95.58</v>
      </c>
      <c r="P28" s="46">
        <v>0</v>
      </c>
      <c r="Q28" s="20" t="s">
        <v>562</v>
      </c>
      <c r="R28" s="20"/>
      <c r="S28" s="20"/>
      <c r="T28" s="20"/>
      <c r="U28" s="20"/>
      <c r="V28" s="58"/>
      <c r="W28" s="58"/>
      <c r="X28" s="58" t="s">
        <v>562</v>
      </c>
      <c r="Y28" s="58"/>
      <c r="Z28" s="58"/>
      <c r="AA28" s="58"/>
      <c r="AB28" s="58"/>
      <c r="AC28" s="58" t="s">
        <v>562</v>
      </c>
      <c r="AD28" s="58"/>
      <c r="AE28" s="58"/>
      <c r="AF28" s="58"/>
      <c r="AG28" s="58"/>
      <c r="AH28" s="58"/>
      <c r="AI28" s="58"/>
    </row>
    <row r="29" spans="1:35" x14ac:dyDescent="0.35">
      <c r="A29" s="17" t="s">
        <v>46</v>
      </c>
      <c r="B29" s="17" t="s">
        <v>2490</v>
      </c>
      <c r="C29" s="28" t="s">
        <v>2529</v>
      </c>
      <c r="D29" s="17" t="s">
        <v>2542</v>
      </c>
      <c r="E29" s="17" t="s">
        <v>2543</v>
      </c>
      <c r="F29" s="20">
        <v>297.39999999999998</v>
      </c>
      <c r="G29" s="20">
        <v>97</v>
      </c>
      <c r="H29" s="19">
        <v>485</v>
      </c>
      <c r="I29" s="20">
        <v>240</v>
      </c>
      <c r="J29" s="20">
        <v>245</v>
      </c>
      <c r="K29" s="20">
        <v>18</v>
      </c>
      <c r="L29" s="57">
        <f t="shared" si="0"/>
        <v>3.711340206185567E-2</v>
      </c>
      <c r="M29" s="20">
        <v>0</v>
      </c>
      <c r="N29" s="57">
        <f t="shared" si="1"/>
        <v>0</v>
      </c>
      <c r="O29" s="46">
        <v>12.92</v>
      </c>
      <c r="P29" s="46">
        <v>0</v>
      </c>
      <c r="Q29" s="20" t="s">
        <v>51</v>
      </c>
      <c r="R29" s="20">
        <v>2021</v>
      </c>
      <c r="S29" s="20"/>
      <c r="T29" s="20"/>
      <c r="U29" s="20"/>
      <c r="V29" s="58"/>
      <c r="W29" s="58"/>
      <c r="X29" s="58" t="s">
        <v>51</v>
      </c>
      <c r="Y29" s="58"/>
      <c r="Z29" s="58"/>
      <c r="AA29" s="58"/>
      <c r="AB29" s="58"/>
      <c r="AC29" s="58" t="s">
        <v>51</v>
      </c>
      <c r="AD29" s="58"/>
      <c r="AE29" s="58"/>
      <c r="AF29" s="58"/>
      <c r="AG29" s="58"/>
      <c r="AH29" s="58"/>
      <c r="AI29" s="58"/>
    </row>
    <row r="30" spans="1:35" x14ac:dyDescent="0.35">
      <c r="A30" s="17" t="s">
        <v>46</v>
      </c>
      <c r="B30" s="17" t="s">
        <v>2490</v>
      </c>
      <c r="C30" s="28" t="s">
        <v>2529</v>
      </c>
      <c r="D30" s="17" t="s">
        <v>2544</v>
      </c>
      <c r="E30" s="17" t="s">
        <v>2545</v>
      </c>
      <c r="F30" s="20">
        <v>529.08000000000004</v>
      </c>
      <c r="G30" s="20">
        <v>117</v>
      </c>
      <c r="H30" s="19">
        <v>546</v>
      </c>
      <c r="I30" s="20">
        <v>284</v>
      </c>
      <c r="J30" s="20">
        <v>262</v>
      </c>
      <c r="K30" s="20">
        <v>142</v>
      </c>
      <c r="L30" s="57">
        <f t="shared" si="0"/>
        <v>0.26007326007326009</v>
      </c>
      <c r="M30" s="20">
        <v>0</v>
      </c>
      <c r="N30" s="57">
        <f t="shared" si="1"/>
        <v>0</v>
      </c>
      <c r="O30" s="46">
        <v>52.08</v>
      </c>
      <c r="P30" s="46">
        <v>0</v>
      </c>
      <c r="Q30" s="20" t="s">
        <v>51</v>
      </c>
      <c r="R30" s="20">
        <v>2020</v>
      </c>
      <c r="S30" s="20"/>
      <c r="T30" s="20"/>
      <c r="U30" s="20"/>
      <c r="V30" s="58"/>
      <c r="W30" s="58"/>
      <c r="X30" s="58" t="s">
        <v>51</v>
      </c>
      <c r="Y30" s="58"/>
      <c r="Z30" s="58"/>
      <c r="AA30" s="58"/>
      <c r="AB30" s="58"/>
      <c r="AC30" s="58" t="s">
        <v>51</v>
      </c>
      <c r="AD30" s="58"/>
      <c r="AE30" s="58"/>
      <c r="AF30" s="58"/>
      <c r="AG30" s="58"/>
      <c r="AH30" s="58"/>
      <c r="AI30" s="58"/>
    </row>
    <row r="31" spans="1:35" x14ac:dyDescent="0.35">
      <c r="A31" s="17" t="s">
        <v>46</v>
      </c>
      <c r="B31" s="17" t="s">
        <v>2490</v>
      </c>
      <c r="C31" s="28" t="s">
        <v>2546</v>
      </c>
      <c r="D31" s="17" t="s">
        <v>2547</v>
      </c>
      <c r="E31" s="17" t="s">
        <v>2548</v>
      </c>
      <c r="F31" s="20">
        <v>94.64</v>
      </c>
      <c r="G31" s="20">
        <v>46</v>
      </c>
      <c r="H31" s="19">
        <v>195</v>
      </c>
      <c r="I31" s="20">
        <v>97</v>
      </c>
      <c r="J31" s="20">
        <v>98</v>
      </c>
      <c r="K31" s="20">
        <v>20</v>
      </c>
      <c r="L31" s="57">
        <f t="shared" si="0"/>
        <v>0.10256410256410256</v>
      </c>
      <c r="M31" s="20">
        <v>89</v>
      </c>
      <c r="N31" s="57">
        <f t="shared" si="1"/>
        <v>0.4564102564102564</v>
      </c>
      <c r="O31" s="46">
        <v>33.200000000000003</v>
      </c>
      <c r="P31" s="46">
        <v>0</v>
      </c>
      <c r="Q31" s="20" t="s">
        <v>562</v>
      </c>
      <c r="R31" s="20"/>
      <c r="S31" s="20"/>
      <c r="T31" s="20"/>
      <c r="U31" s="20"/>
      <c r="V31" s="58"/>
      <c r="W31" s="58"/>
      <c r="X31" s="58" t="s">
        <v>562</v>
      </c>
      <c r="Y31" s="58"/>
      <c r="Z31" s="58"/>
      <c r="AA31" s="58"/>
      <c r="AB31" s="58"/>
      <c r="AC31" s="58" t="s">
        <v>562</v>
      </c>
      <c r="AD31" s="58"/>
      <c r="AE31" s="58"/>
      <c r="AF31" s="58"/>
      <c r="AG31" s="58"/>
      <c r="AH31" s="58"/>
      <c r="AI31" s="58"/>
    </row>
    <row r="32" spans="1:35" x14ac:dyDescent="0.35">
      <c r="A32" s="17" t="s">
        <v>46</v>
      </c>
      <c r="B32" s="17" t="s">
        <v>2490</v>
      </c>
      <c r="C32" s="28" t="s">
        <v>2546</v>
      </c>
      <c r="D32" s="17" t="s">
        <v>2549</v>
      </c>
      <c r="E32" s="17" t="s">
        <v>2550</v>
      </c>
      <c r="F32" s="20">
        <v>566.46</v>
      </c>
      <c r="G32" s="20">
        <v>124</v>
      </c>
      <c r="H32" s="19">
        <v>534</v>
      </c>
      <c r="I32" s="20">
        <v>270</v>
      </c>
      <c r="J32" s="20">
        <v>264</v>
      </c>
      <c r="K32" s="20">
        <v>35</v>
      </c>
      <c r="L32" s="57">
        <f t="shared" si="0"/>
        <v>6.5543071161048683E-2</v>
      </c>
      <c r="M32" s="20">
        <v>0</v>
      </c>
      <c r="N32" s="57">
        <f t="shared" si="1"/>
        <v>0</v>
      </c>
      <c r="O32" s="46">
        <v>84.03</v>
      </c>
      <c r="P32" s="46">
        <v>0</v>
      </c>
      <c r="Q32" s="20" t="s">
        <v>51</v>
      </c>
      <c r="R32" s="20">
        <v>2021</v>
      </c>
      <c r="S32" s="20"/>
      <c r="T32" s="20"/>
      <c r="U32" s="20"/>
      <c r="V32" s="58"/>
      <c r="W32" s="58"/>
      <c r="X32" s="58" t="s">
        <v>51</v>
      </c>
      <c r="Y32" s="58"/>
      <c r="Z32" s="58"/>
      <c r="AA32" s="58"/>
      <c r="AB32" s="58"/>
      <c r="AC32" s="58" t="s">
        <v>51</v>
      </c>
      <c r="AD32" s="58"/>
      <c r="AE32" s="58"/>
      <c r="AF32" s="58"/>
      <c r="AG32" s="58"/>
      <c r="AH32" s="58"/>
      <c r="AI32" s="58"/>
    </row>
    <row r="33" spans="1:35" x14ac:dyDescent="0.35">
      <c r="A33" s="17" t="s">
        <v>46</v>
      </c>
      <c r="B33" s="17" t="s">
        <v>2490</v>
      </c>
      <c r="C33" s="28" t="s">
        <v>2546</v>
      </c>
      <c r="D33" s="17" t="s">
        <v>2551</v>
      </c>
      <c r="E33" s="17" t="s">
        <v>2552</v>
      </c>
      <c r="F33" s="20">
        <v>1138.26</v>
      </c>
      <c r="G33" s="20">
        <v>632</v>
      </c>
      <c r="H33" s="19">
        <v>2873</v>
      </c>
      <c r="I33" s="20">
        <v>1464</v>
      </c>
      <c r="J33" s="20">
        <v>1409</v>
      </c>
      <c r="K33" s="20">
        <v>1243</v>
      </c>
      <c r="L33" s="57">
        <f t="shared" si="0"/>
        <v>0.43264879916463628</v>
      </c>
      <c r="M33" s="20">
        <v>68</v>
      </c>
      <c r="N33" s="57">
        <f t="shared" si="1"/>
        <v>2.3668639053254437E-2</v>
      </c>
      <c r="O33" s="46">
        <v>193.2</v>
      </c>
      <c r="P33" s="46">
        <v>0</v>
      </c>
      <c r="Q33" s="20" t="s">
        <v>51</v>
      </c>
      <c r="R33" s="20">
        <v>2020</v>
      </c>
      <c r="S33" s="20"/>
      <c r="T33" s="20"/>
      <c r="U33" s="20"/>
      <c r="V33" s="58"/>
      <c r="W33" s="58"/>
      <c r="X33" s="58" t="s">
        <v>51</v>
      </c>
      <c r="Y33" s="58"/>
      <c r="Z33" s="58"/>
      <c r="AA33" s="58"/>
      <c r="AB33" s="58"/>
      <c r="AC33" s="58" t="s">
        <v>51</v>
      </c>
      <c r="AD33" s="58"/>
      <c r="AE33" s="58"/>
      <c r="AF33" s="58"/>
      <c r="AG33" s="58"/>
      <c r="AH33" s="58"/>
      <c r="AI33" s="58"/>
    </row>
    <row r="34" spans="1:35" x14ac:dyDescent="0.35">
      <c r="A34" s="17" t="s">
        <v>46</v>
      </c>
      <c r="B34" s="17" t="s">
        <v>2490</v>
      </c>
      <c r="C34" s="28" t="s">
        <v>2546</v>
      </c>
      <c r="D34" s="17" t="s">
        <v>2553</v>
      </c>
      <c r="E34" s="17" t="s">
        <v>2554</v>
      </c>
      <c r="F34" s="20">
        <v>509.8</v>
      </c>
      <c r="G34" s="20">
        <v>127</v>
      </c>
      <c r="H34" s="19">
        <v>552</v>
      </c>
      <c r="I34" s="20">
        <v>270</v>
      </c>
      <c r="J34" s="20">
        <v>282</v>
      </c>
      <c r="K34" s="20">
        <v>137</v>
      </c>
      <c r="L34" s="57">
        <f t="shared" si="0"/>
        <v>0.24818840579710144</v>
      </c>
      <c r="M34" s="20">
        <v>50</v>
      </c>
      <c r="N34" s="57">
        <f t="shared" si="1"/>
        <v>9.0579710144927536E-2</v>
      </c>
      <c r="O34" s="46">
        <v>62.34</v>
      </c>
      <c r="P34" s="46">
        <v>0</v>
      </c>
      <c r="Q34" s="20" t="s">
        <v>51</v>
      </c>
      <c r="R34" s="20">
        <v>2021</v>
      </c>
      <c r="S34" s="20"/>
      <c r="T34" s="20"/>
      <c r="U34" s="20"/>
      <c r="V34" s="58"/>
      <c r="W34" s="58"/>
      <c r="X34" s="58" t="s">
        <v>51</v>
      </c>
      <c r="Y34" s="58"/>
      <c r="Z34" s="58"/>
      <c r="AA34" s="58"/>
      <c r="AB34" s="58"/>
      <c r="AC34" s="58" t="s">
        <v>51</v>
      </c>
      <c r="AD34" s="58"/>
      <c r="AE34" s="58"/>
      <c r="AF34" s="58"/>
      <c r="AG34" s="58"/>
      <c r="AH34" s="58"/>
      <c r="AI34" s="58"/>
    </row>
    <row r="35" spans="1:35" x14ac:dyDescent="0.35">
      <c r="A35" s="17" t="s">
        <v>46</v>
      </c>
      <c r="B35" s="17" t="s">
        <v>2490</v>
      </c>
      <c r="C35" s="28" t="s">
        <v>2526</v>
      </c>
      <c r="D35" s="17" t="s">
        <v>2555</v>
      </c>
      <c r="E35" s="17" t="s">
        <v>2556</v>
      </c>
      <c r="F35" s="20">
        <v>583.12</v>
      </c>
      <c r="G35" s="20">
        <v>290</v>
      </c>
      <c r="H35" s="19">
        <v>1339</v>
      </c>
      <c r="I35" s="20">
        <v>691</v>
      </c>
      <c r="J35" s="20">
        <v>648</v>
      </c>
      <c r="K35" s="20">
        <v>129</v>
      </c>
      <c r="L35" s="57">
        <f t="shared" si="0"/>
        <v>9.6340552651232259E-2</v>
      </c>
      <c r="M35" s="20">
        <v>26</v>
      </c>
      <c r="N35" s="57">
        <f t="shared" si="1"/>
        <v>1.9417475728155338E-2</v>
      </c>
      <c r="O35" s="46">
        <v>98.83</v>
      </c>
      <c r="P35" s="46">
        <v>0</v>
      </c>
      <c r="Q35" s="20" t="s">
        <v>562</v>
      </c>
      <c r="R35" s="20"/>
      <c r="S35" s="20"/>
      <c r="T35" s="20"/>
      <c r="U35" s="20"/>
      <c r="V35" s="58"/>
      <c r="W35" s="58"/>
      <c r="X35" s="58" t="s">
        <v>562</v>
      </c>
      <c r="Y35" s="58"/>
      <c r="Z35" s="58"/>
      <c r="AA35" s="58"/>
      <c r="AB35" s="58"/>
      <c r="AC35" s="58" t="s">
        <v>562</v>
      </c>
      <c r="AD35" s="58"/>
      <c r="AE35" s="58"/>
      <c r="AF35" s="58"/>
      <c r="AG35" s="58"/>
      <c r="AH35" s="58"/>
      <c r="AI35" s="58"/>
    </row>
    <row r="36" spans="1:35" x14ac:dyDescent="0.35">
      <c r="A36" s="17" t="s">
        <v>46</v>
      </c>
      <c r="B36" s="17" t="s">
        <v>2490</v>
      </c>
      <c r="C36" s="28" t="s">
        <v>2526</v>
      </c>
      <c r="D36" s="17" t="s">
        <v>2557</v>
      </c>
      <c r="E36" s="17" t="s">
        <v>2558</v>
      </c>
      <c r="F36" s="20">
        <v>426.4</v>
      </c>
      <c r="G36" s="20">
        <v>112</v>
      </c>
      <c r="H36" s="19">
        <v>554</v>
      </c>
      <c r="I36" s="20">
        <v>270</v>
      </c>
      <c r="J36" s="20">
        <v>284</v>
      </c>
      <c r="K36" s="20">
        <v>12</v>
      </c>
      <c r="L36" s="57">
        <f t="shared" ref="L36:L67" si="2">K36/H36</f>
        <v>2.1660649819494584E-2</v>
      </c>
      <c r="M36" s="20">
        <v>259</v>
      </c>
      <c r="N36" s="57">
        <f t="shared" ref="N36:N67" si="3">M36/H36</f>
        <v>0.46750902527075811</v>
      </c>
      <c r="O36" s="46">
        <v>51.81</v>
      </c>
      <c r="P36" s="46">
        <v>0</v>
      </c>
      <c r="Q36" s="20" t="s">
        <v>562</v>
      </c>
      <c r="R36" s="20"/>
      <c r="S36" s="20"/>
      <c r="T36" s="20"/>
      <c r="U36" s="20"/>
      <c r="V36" s="58"/>
      <c r="W36" s="58"/>
      <c r="X36" s="58" t="s">
        <v>562</v>
      </c>
      <c r="Y36" s="58"/>
      <c r="Z36" s="58"/>
      <c r="AA36" s="58"/>
      <c r="AB36" s="58"/>
      <c r="AC36" s="58" t="s">
        <v>562</v>
      </c>
      <c r="AD36" s="58"/>
      <c r="AE36" s="58"/>
      <c r="AF36" s="58"/>
      <c r="AG36" s="58"/>
      <c r="AH36" s="58"/>
      <c r="AI36" s="58"/>
    </row>
    <row r="37" spans="1:35" x14ac:dyDescent="0.35">
      <c r="A37" s="17" t="s">
        <v>46</v>
      </c>
      <c r="B37" s="17" t="s">
        <v>2490</v>
      </c>
      <c r="C37" s="28" t="s">
        <v>2508</v>
      </c>
      <c r="D37" s="17" t="s">
        <v>2559</v>
      </c>
      <c r="E37" s="17" t="s">
        <v>2560</v>
      </c>
      <c r="F37" s="20">
        <v>601.54999999999995</v>
      </c>
      <c r="G37" s="20">
        <v>222</v>
      </c>
      <c r="H37" s="19">
        <v>1107</v>
      </c>
      <c r="I37" s="20">
        <v>556</v>
      </c>
      <c r="J37" s="20">
        <v>551</v>
      </c>
      <c r="K37" s="20">
        <v>184</v>
      </c>
      <c r="L37" s="57">
        <f t="shared" si="2"/>
        <v>0.16621499548328816</v>
      </c>
      <c r="M37" s="20">
        <v>199</v>
      </c>
      <c r="N37" s="57">
        <f t="shared" si="3"/>
        <v>0.17976513098464317</v>
      </c>
      <c r="O37" s="46">
        <v>108.72</v>
      </c>
      <c r="P37" s="46">
        <v>0</v>
      </c>
      <c r="Q37" s="20" t="s">
        <v>51</v>
      </c>
      <c r="R37" s="20">
        <v>2020</v>
      </c>
      <c r="S37" s="20"/>
      <c r="T37" s="20"/>
      <c r="U37" s="20"/>
      <c r="V37" s="58"/>
      <c r="W37" s="58"/>
      <c r="X37" s="58" t="s">
        <v>51</v>
      </c>
      <c r="Y37" s="58"/>
      <c r="Z37" s="58"/>
      <c r="AA37" s="58"/>
      <c r="AB37" s="58"/>
      <c r="AC37" s="58" t="s">
        <v>51</v>
      </c>
      <c r="AD37" s="58"/>
      <c r="AE37" s="58"/>
      <c r="AF37" s="58"/>
      <c r="AG37" s="58"/>
      <c r="AH37" s="58"/>
      <c r="AI37" s="58"/>
    </row>
    <row r="38" spans="1:35" x14ac:dyDescent="0.35">
      <c r="A38" s="17" t="s">
        <v>46</v>
      </c>
      <c r="B38" s="17" t="s">
        <v>2490</v>
      </c>
      <c r="C38" s="28" t="s">
        <v>2526</v>
      </c>
      <c r="D38" s="17" t="s">
        <v>2025</v>
      </c>
      <c r="E38" s="17" t="s">
        <v>2561</v>
      </c>
      <c r="F38" s="20">
        <v>987.01</v>
      </c>
      <c r="G38" s="20">
        <v>404</v>
      </c>
      <c r="H38" s="19">
        <v>1903</v>
      </c>
      <c r="I38" s="20">
        <v>973</v>
      </c>
      <c r="J38" s="20">
        <v>930</v>
      </c>
      <c r="K38" s="20">
        <v>490</v>
      </c>
      <c r="L38" s="57">
        <f t="shared" si="2"/>
        <v>0.25748817656332107</v>
      </c>
      <c r="M38" s="20">
        <v>36</v>
      </c>
      <c r="N38" s="57">
        <f t="shared" si="3"/>
        <v>1.8917498686284815E-2</v>
      </c>
      <c r="O38" s="46">
        <v>210.44</v>
      </c>
      <c r="P38" s="46">
        <v>0</v>
      </c>
      <c r="Q38" s="20" t="s">
        <v>562</v>
      </c>
      <c r="R38" s="20"/>
      <c r="S38" s="20"/>
      <c r="T38" s="20"/>
      <c r="U38" s="20"/>
      <c r="V38" s="58"/>
      <c r="W38" s="58"/>
      <c r="X38" s="58" t="s">
        <v>562</v>
      </c>
      <c r="Y38" s="58"/>
      <c r="Z38" s="58"/>
      <c r="AA38" s="58"/>
      <c r="AB38" s="58"/>
      <c r="AC38" s="58" t="s">
        <v>562</v>
      </c>
      <c r="AD38" s="58"/>
      <c r="AE38" s="58"/>
      <c r="AF38" s="58"/>
      <c r="AG38" s="58"/>
      <c r="AH38" s="58"/>
      <c r="AI38" s="58"/>
    </row>
    <row r="39" spans="1:35" x14ac:dyDescent="0.35">
      <c r="A39" s="17" t="s">
        <v>46</v>
      </c>
      <c r="B39" s="17" t="s">
        <v>2490</v>
      </c>
      <c r="C39" s="28" t="s">
        <v>2562</v>
      </c>
      <c r="D39" s="17" t="s">
        <v>2563</v>
      </c>
      <c r="E39" s="17" t="s">
        <v>2564</v>
      </c>
      <c r="F39" s="20">
        <v>210.79</v>
      </c>
      <c r="G39" s="20">
        <v>95</v>
      </c>
      <c r="H39" s="19">
        <v>422</v>
      </c>
      <c r="I39" s="20">
        <v>215</v>
      </c>
      <c r="J39" s="20">
        <v>207</v>
      </c>
      <c r="K39" s="20">
        <v>0</v>
      </c>
      <c r="L39" s="57">
        <f t="shared" si="2"/>
        <v>0</v>
      </c>
      <c r="M39" s="20">
        <v>0</v>
      </c>
      <c r="N39" s="57">
        <f t="shared" si="3"/>
        <v>0</v>
      </c>
      <c r="O39" s="46">
        <v>8.49</v>
      </c>
      <c r="P39" s="46">
        <v>0</v>
      </c>
      <c r="Q39" s="20" t="s">
        <v>562</v>
      </c>
      <c r="R39" s="20"/>
      <c r="S39" s="20"/>
      <c r="T39" s="20"/>
      <c r="U39" s="20"/>
      <c r="V39" s="58"/>
      <c r="W39" s="58"/>
      <c r="X39" s="58" t="s">
        <v>562</v>
      </c>
      <c r="Y39" s="58"/>
      <c r="Z39" s="58"/>
      <c r="AA39" s="58"/>
      <c r="AB39" s="58"/>
      <c r="AC39" s="58" t="s">
        <v>562</v>
      </c>
      <c r="AD39" s="58"/>
      <c r="AE39" s="58"/>
      <c r="AF39" s="58"/>
      <c r="AG39" s="58"/>
      <c r="AH39" s="58"/>
      <c r="AI39" s="58"/>
    </row>
    <row r="40" spans="1:35" x14ac:dyDescent="0.35">
      <c r="A40" s="17" t="s">
        <v>46</v>
      </c>
      <c r="B40" s="17" t="s">
        <v>2490</v>
      </c>
      <c r="C40" s="28" t="s">
        <v>2502</v>
      </c>
      <c r="D40" s="17" t="s">
        <v>2565</v>
      </c>
      <c r="E40" s="17" t="s">
        <v>2566</v>
      </c>
      <c r="F40" s="20">
        <v>130.41999999999999</v>
      </c>
      <c r="G40" s="20">
        <v>19</v>
      </c>
      <c r="H40" s="19">
        <v>90</v>
      </c>
      <c r="I40" s="20">
        <v>51</v>
      </c>
      <c r="J40" s="20">
        <v>39</v>
      </c>
      <c r="K40" s="20">
        <v>0</v>
      </c>
      <c r="L40" s="57">
        <f t="shared" si="2"/>
        <v>0</v>
      </c>
      <c r="M40" s="20">
        <v>0</v>
      </c>
      <c r="N40" s="57">
        <f t="shared" si="3"/>
        <v>0</v>
      </c>
      <c r="O40" s="46">
        <v>6.5</v>
      </c>
      <c r="P40" s="46">
        <v>0</v>
      </c>
      <c r="Q40" s="20" t="s">
        <v>562</v>
      </c>
      <c r="R40" s="20"/>
      <c r="S40" s="20"/>
      <c r="T40" s="20"/>
      <c r="U40" s="20"/>
      <c r="V40" s="58"/>
      <c r="W40" s="58"/>
      <c r="X40" s="58" t="s">
        <v>562</v>
      </c>
      <c r="Y40" s="58"/>
      <c r="Z40" s="58"/>
      <c r="AA40" s="58"/>
      <c r="AB40" s="58"/>
      <c r="AC40" s="58" t="s">
        <v>562</v>
      </c>
      <c r="AD40" s="58"/>
      <c r="AE40" s="58"/>
      <c r="AF40" s="58"/>
      <c r="AG40" s="58"/>
      <c r="AH40" s="58"/>
      <c r="AI40" s="58"/>
    </row>
    <row r="41" spans="1:35" x14ac:dyDescent="0.35">
      <c r="A41" s="17" t="s">
        <v>46</v>
      </c>
      <c r="B41" s="17" t="s">
        <v>2490</v>
      </c>
      <c r="C41" s="28" t="s">
        <v>2562</v>
      </c>
      <c r="D41" s="17" t="s">
        <v>2567</v>
      </c>
      <c r="E41" s="17" t="s">
        <v>2568</v>
      </c>
      <c r="F41" s="20">
        <v>126.56</v>
      </c>
      <c r="G41" s="20">
        <v>26</v>
      </c>
      <c r="H41" s="19">
        <v>116</v>
      </c>
      <c r="I41" s="20">
        <v>58</v>
      </c>
      <c r="J41" s="20">
        <v>58</v>
      </c>
      <c r="K41" s="20">
        <v>0</v>
      </c>
      <c r="L41" s="57">
        <f t="shared" si="2"/>
        <v>0</v>
      </c>
      <c r="M41" s="20">
        <v>10</v>
      </c>
      <c r="N41" s="57">
        <f t="shared" si="3"/>
        <v>8.6206896551724144E-2</v>
      </c>
      <c r="O41" s="46">
        <v>18.149999999999999</v>
      </c>
      <c r="P41" s="46">
        <v>0</v>
      </c>
      <c r="Q41" s="20" t="s">
        <v>51</v>
      </c>
      <c r="R41" s="20">
        <v>2020</v>
      </c>
      <c r="S41" s="20"/>
      <c r="T41" s="20"/>
      <c r="U41" s="20"/>
      <c r="V41" s="58"/>
      <c r="W41" s="58"/>
      <c r="X41" s="58" t="s">
        <v>51</v>
      </c>
      <c r="Y41" s="58"/>
      <c r="Z41" s="58"/>
      <c r="AA41" s="58"/>
      <c r="AB41" s="58"/>
      <c r="AC41" s="58" t="s">
        <v>51</v>
      </c>
      <c r="AD41" s="58"/>
      <c r="AE41" s="58"/>
      <c r="AF41" s="58"/>
      <c r="AG41" s="58"/>
      <c r="AH41" s="58"/>
      <c r="AI41" s="58"/>
    </row>
    <row r="42" spans="1:35" x14ac:dyDescent="0.35">
      <c r="A42" s="17" t="s">
        <v>46</v>
      </c>
      <c r="B42" s="17" t="s">
        <v>2490</v>
      </c>
      <c r="C42" s="28" t="s">
        <v>2502</v>
      </c>
      <c r="D42" s="17" t="s">
        <v>2569</v>
      </c>
      <c r="E42" s="17" t="s">
        <v>2570</v>
      </c>
      <c r="F42" s="20">
        <v>114.09</v>
      </c>
      <c r="G42" s="20">
        <v>78</v>
      </c>
      <c r="H42" s="19">
        <v>362</v>
      </c>
      <c r="I42" s="20">
        <v>182</v>
      </c>
      <c r="J42" s="20">
        <v>180</v>
      </c>
      <c r="K42" s="20">
        <v>0</v>
      </c>
      <c r="L42" s="57">
        <f t="shared" si="2"/>
        <v>0</v>
      </c>
      <c r="M42" s="20">
        <v>16</v>
      </c>
      <c r="N42" s="57">
        <f t="shared" si="3"/>
        <v>4.4198895027624308E-2</v>
      </c>
      <c r="O42" s="46">
        <v>15.36</v>
      </c>
      <c r="P42" s="46">
        <v>0</v>
      </c>
      <c r="Q42" s="20" t="s">
        <v>51</v>
      </c>
      <c r="R42" s="20">
        <v>2020</v>
      </c>
      <c r="S42" s="20"/>
      <c r="T42" s="20"/>
      <c r="U42" s="20"/>
      <c r="V42" s="58"/>
      <c r="W42" s="58"/>
      <c r="X42" s="58" t="s">
        <v>51</v>
      </c>
      <c r="Y42" s="58"/>
      <c r="Z42" s="58"/>
      <c r="AA42" s="58"/>
      <c r="AB42" s="58"/>
      <c r="AC42" s="58" t="s">
        <v>51</v>
      </c>
      <c r="AD42" s="58"/>
      <c r="AE42" s="58"/>
      <c r="AF42" s="58"/>
      <c r="AG42" s="58"/>
      <c r="AH42" s="58"/>
      <c r="AI42" s="58"/>
    </row>
    <row r="43" spans="1:35" x14ac:dyDescent="0.35">
      <c r="A43" s="17" t="s">
        <v>46</v>
      </c>
      <c r="B43" s="17" t="s">
        <v>2490</v>
      </c>
      <c r="C43" s="28" t="s">
        <v>2562</v>
      </c>
      <c r="D43" s="17" t="s">
        <v>1973</v>
      </c>
      <c r="E43" s="17" t="s">
        <v>2571</v>
      </c>
      <c r="F43" s="20">
        <v>110.04</v>
      </c>
      <c r="G43" s="20">
        <v>33</v>
      </c>
      <c r="H43" s="19">
        <v>141</v>
      </c>
      <c r="I43" s="20">
        <v>67</v>
      </c>
      <c r="J43" s="20">
        <v>74</v>
      </c>
      <c r="K43" s="20">
        <v>19</v>
      </c>
      <c r="L43" s="57">
        <f t="shared" si="2"/>
        <v>0.13475177304964539</v>
      </c>
      <c r="M43" s="20">
        <v>51</v>
      </c>
      <c r="N43" s="57">
        <f t="shared" si="3"/>
        <v>0.36170212765957449</v>
      </c>
      <c r="O43" s="46">
        <v>9.5</v>
      </c>
      <c r="P43" s="46">
        <v>0</v>
      </c>
      <c r="Q43" s="20" t="s">
        <v>562</v>
      </c>
      <c r="R43" s="20"/>
      <c r="S43" s="20"/>
      <c r="T43" s="20"/>
      <c r="U43" s="20"/>
      <c r="V43" s="58"/>
      <c r="W43" s="58"/>
      <c r="X43" s="58" t="s">
        <v>562</v>
      </c>
      <c r="Y43" s="58"/>
      <c r="Z43" s="58"/>
      <c r="AA43" s="58"/>
      <c r="AB43" s="58"/>
      <c r="AC43" s="58" t="s">
        <v>562</v>
      </c>
      <c r="AD43" s="58"/>
      <c r="AE43" s="58"/>
      <c r="AF43" s="58"/>
      <c r="AG43" s="58"/>
      <c r="AH43" s="58"/>
      <c r="AI43" s="58"/>
    </row>
    <row r="44" spans="1:35" x14ac:dyDescent="0.35">
      <c r="A44" s="17" t="s">
        <v>46</v>
      </c>
      <c r="B44" s="17" t="s">
        <v>2490</v>
      </c>
      <c r="C44" s="28" t="s">
        <v>2502</v>
      </c>
      <c r="D44" s="17" t="s">
        <v>2572</v>
      </c>
      <c r="E44" s="17" t="s">
        <v>2573</v>
      </c>
      <c r="F44" s="20">
        <v>282.86</v>
      </c>
      <c r="G44" s="20">
        <v>156</v>
      </c>
      <c r="H44" s="19">
        <v>762</v>
      </c>
      <c r="I44" s="20">
        <v>382</v>
      </c>
      <c r="J44" s="20">
        <v>380</v>
      </c>
      <c r="K44" s="20">
        <v>59</v>
      </c>
      <c r="L44" s="57">
        <f t="shared" si="2"/>
        <v>7.7427821522309717E-2</v>
      </c>
      <c r="M44" s="20">
        <v>94</v>
      </c>
      <c r="N44" s="57">
        <f t="shared" si="3"/>
        <v>0.12335958005249344</v>
      </c>
      <c r="O44" s="46">
        <v>23.6</v>
      </c>
      <c r="P44" s="46">
        <v>3.67</v>
      </c>
      <c r="Q44" s="20" t="s">
        <v>51</v>
      </c>
      <c r="R44" s="20">
        <v>2020</v>
      </c>
      <c r="S44" s="20"/>
      <c r="T44" s="20"/>
      <c r="U44" s="20"/>
      <c r="V44" s="58"/>
      <c r="W44" s="58"/>
      <c r="X44" s="58" t="s">
        <v>51</v>
      </c>
      <c r="Y44" s="58"/>
      <c r="Z44" s="58"/>
      <c r="AA44" s="58"/>
      <c r="AB44" s="58"/>
      <c r="AC44" s="58" t="s">
        <v>51</v>
      </c>
      <c r="AD44" s="58"/>
      <c r="AE44" s="58"/>
      <c r="AF44" s="58"/>
      <c r="AG44" s="58"/>
      <c r="AH44" s="58"/>
      <c r="AI44" s="58"/>
    </row>
    <row r="45" spans="1:35" x14ac:dyDescent="0.35">
      <c r="A45" s="17" t="s">
        <v>46</v>
      </c>
      <c r="B45" s="17" t="s">
        <v>2490</v>
      </c>
      <c r="C45" s="28" t="s">
        <v>2502</v>
      </c>
      <c r="D45" s="17" t="s">
        <v>2574</v>
      </c>
      <c r="E45" s="17" t="s">
        <v>2575</v>
      </c>
      <c r="F45" s="20">
        <v>282.57</v>
      </c>
      <c r="G45" s="20">
        <v>89</v>
      </c>
      <c r="H45" s="19">
        <v>441</v>
      </c>
      <c r="I45" s="20">
        <v>226</v>
      </c>
      <c r="J45" s="20">
        <v>215</v>
      </c>
      <c r="K45" s="20">
        <v>13</v>
      </c>
      <c r="L45" s="57">
        <f t="shared" si="2"/>
        <v>2.9478458049886622E-2</v>
      </c>
      <c r="M45" s="20">
        <v>37</v>
      </c>
      <c r="N45" s="57">
        <f t="shared" si="3"/>
        <v>8.390022675736962E-2</v>
      </c>
      <c r="O45" s="46">
        <v>36.65</v>
      </c>
      <c r="P45" s="46">
        <v>0</v>
      </c>
      <c r="Q45" s="20" t="s">
        <v>562</v>
      </c>
      <c r="R45" s="20"/>
      <c r="S45" s="20"/>
      <c r="T45" s="20"/>
      <c r="U45" s="20"/>
      <c r="V45" s="58"/>
      <c r="W45" s="58"/>
      <c r="X45" s="58" t="s">
        <v>562</v>
      </c>
      <c r="Y45" s="58"/>
      <c r="Z45" s="58"/>
      <c r="AA45" s="58"/>
      <c r="AB45" s="58"/>
      <c r="AC45" s="58" t="s">
        <v>562</v>
      </c>
      <c r="AD45" s="58"/>
      <c r="AE45" s="58"/>
      <c r="AF45" s="58"/>
      <c r="AG45" s="58"/>
      <c r="AH45" s="58"/>
      <c r="AI45" s="58"/>
    </row>
    <row r="46" spans="1:35" x14ac:dyDescent="0.35">
      <c r="A46" s="17" t="s">
        <v>46</v>
      </c>
      <c r="B46" s="17" t="s">
        <v>2490</v>
      </c>
      <c r="C46" s="28" t="s">
        <v>2491</v>
      </c>
      <c r="D46" s="17" t="s">
        <v>2576</v>
      </c>
      <c r="E46" s="17" t="s">
        <v>2577</v>
      </c>
      <c r="F46" s="20">
        <v>203.23</v>
      </c>
      <c r="G46" s="20">
        <v>99</v>
      </c>
      <c r="H46" s="19">
        <v>459</v>
      </c>
      <c r="I46" s="20">
        <v>240</v>
      </c>
      <c r="J46" s="20">
        <v>219</v>
      </c>
      <c r="K46" s="20">
        <v>12</v>
      </c>
      <c r="L46" s="57">
        <f t="shared" si="2"/>
        <v>2.6143790849673203E-2</v>
      </c>
      <c r="M46" s="20">
        <v>0</v>
      </c>
      <c r="N46" s="57">
        <f t="shared" si="3"/>
        <v>0</v>
      </c>
      <c r="O46" s="46">
        <v>52.92</v>
      </c>
      <c r="P46" s="46">
        <v>0</v>
      </c>
      <c r="Q46" s="20" t="s">
        <v>51</v>
      </c>
      <c r="R46" s="20">
        <v>2020</v>
      </c>
      <c r="S46" s="20"/>
      <c r="T46" s="20"/>
      <c r="U46" s="20"/>
      <c r="V46" s="58"/>
      <c r="W46" s="58"/>
      <c r="X46" s="58" t="s">
        <v>51</v>
      </c>
      <c r="Y46" s="58"/>
      <c r="Z46" s="58"/>
      <c r="AA46" s="58"/>
      <c r="AB46" s="58"/>
      <c r="AC46" s="58" t="s">
        <v>51</v>
      </c>
      <c r="AD46" s="58"/>
      <c r="AE46" s="58"/>
      <c r="AF46" s="58"/>
      <c r="AG46" s="58"/>
      <c r="AH46" s="58"/>
      <c r="AI46" s="58"/>
    </row>
    <row r="47" spans="1:35" x14ac:dyDescent="0.35">
      <c r="A47" s="17" t="s">
        <v>46</v>
      </c>
      <c r="B47" s="17" t="s">
        <v>2490</v>
      </c>
      <c r="C47" s="28" t="s">
        <v>2578</v>
      </c>
      <c r="D47" s="17" t="s">
        <v>2579</v>
      </c>
      <c r="E47" s="17" t="s">
        <v>2580</v>
      </c>
      <c r="F47" s="20">
        <v>230.25</v>
      </c>
      <c r="G47" s="20">
        <v>148</v>
      </c>
      <c r="H47" s="19">
        <v>656</v>
      </c>
      <c r="I47" s="20">
        <v>335</v>
      </c>
      <c r="J47" s="20">
        <v>321</v>
      </c>
      <c r="K47" s="20">
        <v>215</v>
      </c>
      <c r="L47" s="57">
        <f t="shared" si="2"/>
        <v>0.3277439024390244</v>
      </c>
      <c r="M47" s="20">
        <v>7</v>
      </c>
      <c r="N47" s="57">
        <f t="shared" si="3"/>
        <v>1.0670731707317074E-2</v>
      </c>
      <c r="O47" s="46">
        <v>36.1</v>
      </c>
      <c r="P47" s="46">
        <v>0</v>
      </c>
      <c r="Q47" s="20" t="s">
        <v>51</v>
      </c>
      <c r="R47" s="20">
        <v>2020</v>
      </c>
      <c r="S47" s="20"/>
      <c r="T47" s="20"/>
      <c r="U47" s="20"/>
      <c r="V47" s="58"/>
      <c r="W47" s="58"/>
      <c r="X47" s="58" t="s">
        <v>51</v>
      </c>
      <c r="Y47" s="58"/>
      <c r="Z47" s="58"/>
      <c r="AA47" s="58"/>
      <c r="AB47" s="58"/>
      <c r="AC47" s="58" t="s">
        <v>51</v>
      </c>
      <c r="AD47" s="58"/>
      <c r="AE47" s="58"/>
      <c r="AF47" s="58"/>
      <c r="AG47" s="58"/>
      <c r="AH47" s="58"/>
      <c r="AI47" s="58"/>
    </row>
    <row r="48" spans="1:35" x14ac:dyDescent="0.35">
      <c r="A48" s="17" t="s">
        <v>46</v>
      </c>
      <c r="B48" s="17" t="s">
        <v>2490</v>
      </c>
      <c r="C48" s="28" t="s">
        <v>2491</v>
      </c>
      <c r="D48" s="17" t="s">
        <v>2581</v>
      </c>
      <c r="E48" s="17" t="s">
        <v>2582</v>
      </c>
      <c r="F48" s="20">
        <v>744.84</v>
      </c>
      <c r="G48" s="20">
        <v>179</v>
      </c>
      <c r="H48" s="19">
        <v>807</v>
      </c>
      <c r="I48" s="20">
        <v>412</v>
      </c>
      <c r="J48" s="20">
        <v>395</v>
      </c>
      <c r="K48" s="20">
        <v>24</v>
      </c>
      <c r="L48" s="57">
        <f t="shared" si="2"/>
        <v>2.9739776951672861E-2</v>
      </c>
      <c r="M48" s="20">
        <v>83</v>
      </c>
      <c r="N48" s="57">
        <f t="shared" si="3"/>
        <v>0.10285006195786865</v>
      </c>
      <c r="O48" s="46">
        <v>120.51</v>
      </c>
      <c r="P48" s="46">
        <v>0</v>
      </c>
      <c r="Q48" s="20" t="s">
        <v>51</v>
      </c>
      <c r="R48" s="20">
        <v>2020</v>
      </c>
      <c r="S48" s="20"/>
      <c r="T48" s="20"/>
      <c r="U48" s="20"/>
      <c r="V48" s="58"/>
      <c r="W48" s="58"/>
      <c r="X48" s="58" t="s">
        <v>51</v>
      </c>
      <c r="Y48" s="58"/>
      <c r="Z48" s="58"/>
      <c r="AA48" s="58"/>
      <c r="AB48" s="58"/>
      <c r="AC48" s="58" t="s">
        <v>51</v>
      </c>
      <c r="AD48" s="58"/>
      <c r="AE48" s="58"/>
      <c r="AF48" s="58"/>
      <c r="AG48" s="58"/>
      <c r="AH48" s="58"/>
      <c r="AI48" s="58"/>
    </row>
    <row r="49" spans="1:35" x14ac:dyDescent="0.35">
      <c r="A49" s="17" t="s">
        <v>46</v>
      </c>
      <c r="B49" s="17" t="s">
        <v>2490</v>
      </c>
      <c r="C49" s="28" t="s">
        <v>2583</v>
      </c>
      <c r="D49" s="17" t="s">
        <v>475</v>
      </c>
      <c r="E49" s="17" t="s">
        <v>2584</v>
      </c>
      <c r="F49" s="20">
        <v>412.04</v>
      </c>
      <c r="G49" s="20">
        <v>97</v>
      </c>
      <c r="H49" s="19">
        <v>436</v>
      </c>
      <c r="I49" s="20">
        <v>219</v>
      </c>
      <c r="J49" s="20">
        <v>217</v>
      </c>
      <c r="K49" s="20">
        <v>100</v>
      </c>
      <c r="L49" s="57">
        <f t="shared" si="2"/>
        <v>0.22935779816513763</v>
      </c>
      <c r="M49" s="20">
        <v>92</v>
      </c>
      <c r="N49" s="57">
        <f t="shared" si="3"/>
        <v>0.21100917431192662</v>
      </c>
      <c r="O49" s="46">
        <v>108.9</v>
      </c>
      <c r="P49" s="46">
        <v>0</v>
      </c>
      <c r="Q49" s="20" t="s">
        <v>51</v>
      </c>
      <c r="R49" s="20">
        <v>2020</v>
      </c>
      <c r="S49" s="20"/>
      <c r="T49" s="20"/>
      <c r="U49" s="20"/>
      <c r="V49" s="58"/>
      <c r="W49" s="58"/>
      <c r="X49" s="58" t="s">
        <v>51</v>
      </c>
      <c r="Y49" s="58"/>
      <c r="Z49" s="58"/>
      <c r="AA49" s="58"/>
      <c r="AB49" s="58"/>
      <c r="AC49" s="58" t="s">
        <v>51</v>
      </c>
      <c r="AD49" s="58"/>
      <c r="AE49" s="58"/>
      <c r="AF49" s="58"/>
      <c r="AG49" s="58"/>
      <c r="AH49" s="58"/>
      <c r="AI49" s="58"/>
    </row>
    <row r="50" spans="1:35" x14ac:dyDescent="0.35">
      <c r="A50" s="17" t="s">
        <v>46</v>
      </c>
      <c r="B50" s="17" t="s">
        <v>2490</v>
      </c>
      <c r="C50" s="28" t="s">
        <v>2583</v>
      </c>
      <c r="D50" s="17" t="s">
        <v>2585</v>
      </c>
      <c r="E50" s="17" t="s">
        <v>2586</v>
      </c>
      <c r="F50" s="20">
        <v>35.5</v>
      </c>
      <c r="G50" s="20">
        <v>23</v>
      </c>
      <c r="H50" s="19">
        <v>118</v>
      </c>
      <c r="I50" s="20">
        <v>61</v>
      </c>
      <c r="J50" s="20">
        <v>57</v>
      </c>
      <c r="K50" s="20">
        <v>0</v>
      </c>
      <c r="L50" s="57">
        <f t="shared" si="2"/>
        <v>0</v>
      </c>
      <c r="M50" s="20">
        <v>12</v>
      </c>
      <c r="N50" s="57">
        <f t="shared" si="3"/>
        <v>0.10169491525423729</v>
      </c>
      <c r="O50" s="46">
        <v>0</v>
      </c>
      <c r="P50" s="46">
        <v>0</v>
      </c>
      <c r="Q50" s="20" t="s">
        <v>562</v>
      </c>
      <c r="R50" s="20"/>
      <c r="S50" s="20"/>
      <c r="T50" s="20"/>
      <c r="U50" s="20"/>
      <c r="V50" s="58"/>
      <c r="W50" s="58"/>
      <c r="X50" s="58" t="s">
        <v>562</v>
      </c>
      <c r="Y50" s="58"/>
      <c r="Z50" s="58"/>
      <c r="AA50" s="58"/>
      <c r="AB50" s="58"/>
      <c r="AC50" s="58" t="s">
        <v>562</v>
      </c>
      <c r="AD50" s="58"/>
      <c r="AE50" s="58"/>
      <c r="AF50" s="58"/>
      <c r="AG50" s="58"/>
      <c r="AH50" s="58"/>
      <c r="AI50" s="58"/>
    </row>
    <row r="51" spans="1:35" x14ac:dyDescent="0.35">
      <c r="A51" s="17" t="s">
        <v>46</v>
      </c>
      <c r="B51" s="17" t="s">
        <v>2490</v>
      </c>
      <c r="C51" s="28" t="s">
        <v>2583</v>
      </c>
      <c r="D51" s="17" t="s">
        <v>364</v>
      </c>
      <c r="E51" s="17" t="s">
        <v>2587</v>
      </c>
      <c r="F51" s="20">
        <v>144.65</v>
      </c>
      <c r="G51" s="20">
        <v>96</v>
      </c>
      <c r="H51" s="19">
        <v>413</v>
      </c>
      <c r="I51" s="20">
        <v>202</v>
      </c>
      <c r="J51" s="20">
        <v>211</v>
      </c>
      <c r="K51" s="20">
        <v>45</v>
      </c>
      <c r="L51" s="57">
        <f t="shared" si="2"/>
        <v>0.10895883777239709</v>
      </c>
      <c r="M51" s="20">
        <v>59</v>
      </c>
      <c r="N51" s="57">
        <f t="shared" si="3"/>
        <v>0.14285714285714285</v>
      </c>
      <c r="O51" s="46">
        <v>22.05</v>
      </c>
      <c r="P51" s="46">
        <v>0</v>
      </c>
      <c r="Q51" s="20" t="s">
        <v>51</v>
      </c>
      <c r="R51" s="20">
        <v>2020</v>
      </c>
      <c r="S51" s="20"/>
      <c r="T51" s="20"/>
      <c r="U51" s="20"/>
      <c r="V51" s="58"/>
      <c r="W51" s="58"/>
      <c r="X51" s="58" t="s">
        <v>51</v>
      </c>
      <c r="Y51" s="58"/>
      <c r="Z51" s="58"/>
      <c r="AA51" s="58"/>
      <c r="AB51" s="58"/>
      <c r="AC51" s="58" t="s">
        <v>51</v>
      </c>
      <c r="AD51" s="58"/>
      <c r="AE51" s="58"/>
      <c r="AF51" s="58"/>
      <c r="AG51" s="58"/>
      <c r="AH51" s="58"/>
      <c r="AI51" s="58"/>
    </row>
    <row r="52" spans="1:35" x14ac:dyDescent="0.35">
      <c r="A52" s="17" t="s">
        <v>46</v>
      </c>
      <c r="B52" s="17" t="s">
        <v>2490</v>
      </c>
      <c r="C52" s="28" t="s">
        <v>2583</v>
      </c>
      <c r="D52" s="17" t="s">
        <v>2588</v>
      </c>
      <c r="E52" s="17" t="s">
        <v>2589</v>
      </c>
      <c r="F52" s="20">
        <v>1412.08</v>
      </c>
      <c r="G52" s="20">
        <v>624</v>
      </c>
      <c r="H52" s="19">
        <v>2867</v>
      </c>
      <c r="I52" s="20">
        <v>1455</v>
      </c>
      <c r="J52" s="20">
        <v>1412</v>
      </c>
      <c r="K52" s="20">
        <v>792</v>
      </c>
      <c r="L52" s="57">
        <f t="shared" si="2"/>
        <v>0.27624694802929894</v>
      </c>
      <c r="M52" s="20">
        <v>66</v>
      </c>
      <c r="N52" s="57">
        <f t="shared" si="3"/>
        <v>2.3020579002441578E-2</v>
      </c>
      <c r="O52" s="46">
        <v>247.1</v>
      </c>
      <c r="P52" s="46">
        <v>27.2</v>
      </c>
      <c r="Q52" s="20" t="s">
        <v>51</v>
      </c>
      <c r="R52" s="20">
        <v>2020</v>
      </c>
      <c r="S52" s="20"/>
      <c r="T52" s="20"/>
      <c r="U52" s="20"/>
      <c r="V52" s="58"/>
      <c r="W52" s="58"/>
      <c r="X52" s="58" t="s">
        <v>51</v>
      </c>
      <c r="Y52" s="58"/>
      <c r="Z52" s="58"/>
      <c r="AA52" s="58"/>
      <c r="AB52" s="58"/>
      <c r="AC52" s="58" t="s">
        <v>51</v>
      </c>
      <c r="AD52" s="58"/>
      <c r="AE52" s="58"/>
      <c r="AF52" s="58"/>
      <c r="AG52" s="58"/>
      <c r="AH52" s="58"/>
      <c r="AI52" s="58"/>
    </row>
    <row r="53" spans="1:35" x14ac:dyDescent="0.35">
      <c r="A53" s="17" t="s">
        <v>46</v>
      </c>
      <c r="B53" s="17" t="s">
        <v>2490</v>
      </c>
      <c r="C53" s="28" t="s">
        <v>2583</v>
      </c>
      <c r="D53" s="17" t="s">
        <v>2590</v>
      </c>
      <c r="E53" s="17" t="s">
        <v>2591</v>
      </c>
      <c r="F53" s="20">
        <v>225.92</v>
      </c>
      <c r="G53" s="20">
        <v>109</v>
      </c>
      <c r="H53" s="19">
        <v>527</v>
      </c>
      <c r="I53" s="20">
        <v>259</v>
      </c>
      <c r="J53" s="20">
        <v>268</v>
      </c>
      <c r="K53" s="20">
        <v>45</v>
      </c>
      <c r="L53" s="57">
        <f t="shared" si="2"/>
        <v>8.5388994307400379E-2</v>
      </c>
      <c r="M53" s="20">
        <v>67</v>
      </c>
      <c r="N53" s="57">
        <f t="shared" si="3"/>
        <v>0.12713472485768501</v>
      </c>
      <c r="O53" s="46">
        <v>42.1</v>
      </c>
      <c r="P53" s="46">
        <v>0</v>
      </c>
      <c r="Q53" s="20"/>
      <c r="R53" s="20">
        <v>2020</v>
      </c>
      <c r="S53" s="20"/>
      <c r="T53" s="20"/>
      <c r="U53" s="20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</row>
    <row r="54" spans="1:35" x14ac:dyDescent="0.35">
      <c r="A54" s="17" t="s">
        <v>46</v>
      </c>
      <c r="B54" s="17" t="s">
        <v>2490</v>
      </c>
      <c r="C54" s="28" t="s">
        <v>2592</v>
      </c>
      <c r="D54" s="17" t="s">
        <v>1017</v>
      </c>
      <c r="E54" s="17" t="s">
        <v>2593</v>
      </c>
      <c r="F54" s="20">
        <v>114.58</v>
      </c>
      <c r="G54" s="20">
        <v>108</v>
      </c>
      <c r="H54" s="19">
        <v>491</v>
      </c>
      <c r="I54" s="20">
        <v>259</v>
      </c>
      <c r="J54" s="20">
        <v>232</v>
      </c>
      <c r="K54" s="20">
        <v>22</v>
      </c>
      <c r="L54" s="57">
        <f t="shared" si="2"/>
        <v>4.4806517311608958E-2</v>
      </c>
      <c r="M54" s="20">
        <v>23</v>
      </c>
      <c r="N54" s="57">
        <f t="shared" si="3"/>
        <v>4.684317718940937E-2</v>
      </c>
      <c r="O54" s="46">
        <v>0</v>
      </c>
      <c r="P54" s="46">
        <v>0</v>
      </c>
      <c r="Q54" s="20" t="s">
        <v>562</v>
      </c>
      <c r="R54" s="20"/>
      <c r="S54" s="20"/>
      <c r="T54" s="20"/>
      <c r="U54" s="20"/>
      <c r="V54" s="58"/>
      <c r="W54" s="58"/>
      <c r="X54" s="58" t="s">
        <v>562</v>
      </c>
      <c r="Y54" s="58"/>
      <c r="Z54" s="58"/>
      <c r="AA54" s="58"/>
      <c r="AB54" s="58"/>
      <c r="AC54" s="58" t="s">
        <v>562</v>
      </c>
      <c r="AD54" s="58"/>
      <c r="AE54" s="58"/>
      <c r="AF54" s="58"/>
      <c r="AG54" s="58"/>
      <c r="AH54" s="58"/>
      <c r="AI54" s="58"/>
    </row>
    <row r="55" spans="1:35" x14ac:dyDescent="0.35">
      <c r="A55" s="17" t="s">
        <v>46</v>
      </c>
      <c r="B55" s="17" t="s">
        <v>2490</v>
      </c>
      <c r="C55" s="28" t="s">
        <v>2592</v>
      </c>
      <c r="D55" s="17" t="s">
        <v>2594</v>
      </c>
      <c r="E55" s="17" t="s">
        <v>2595</v>
      </c>
      <c r="F55" s="20">
        <v>1272.46</v>
      </c>
      <c r="G55" s="20">
        <v>397</v>
      </c>
      <c r="H55" s="19">
        <v>1832</v>
      </c>
      <c r="I55" s="20">
        <v>896</v>
      </c>
      <c r="J55" s="20">
        <v>936</v>
      </c>
      <c r="K55" s="20">
        <v>172</v>
      </c>
      <c r="L55" s="57">
        <f t="shared" si="2"/>
        <v>9.3886462882096067E-2</v>
      </c>
      <c r="M55" s="20">
        <v>315</v>
      </c>
      <c r="N55" s="57">
        <f t="shared" si="3"/>
        <v>0.17194323144104803</v>
      </c>
      <c r="O55" s="46">
        <v>206.07</v>
      </c>
      <c r="P55" s="46">
        <v>0</v>
      </c>
      <c r="Q55" s="20" t="s">
        <v>51</v>
      </c>
      <c r="R55" s="20">
        <v>2020</v>
      </c>
      <c r="S55" s="20"/>
      <c r="T55" s="20"/>
      <c r="U55" s="20"/>
      <c r="V55" s="58"/>
      <c r="W55" s="58"/>
      <c r="X55" s="58" t="s">
        <v>51</v>
      </c>
      <c r="Y55" s="58"/>
      <c r="Z55" s="58"/>
      <c r="AA55" s="58"/>
      <c r="AB55" s="58"/>
      <c r="AC55" s="58" t="s">
        <v>51</v>
      </c>
      <c r="AD55" s="58"/>
      <c r="AE55" s="58"/>
      <c r="AF55" s="58"/>
      <c r="AG55" s="58"/>
      <c r="AH55" s="58"/>
      <c r="AI55" s="58"/>
    </row>
    <row r="56" spans="1:35" x14ac:dyDescent="0.35">
      <c r="A56" s="17" t="s">
        <v>46</v>
      </c>
      <c r="B56" s="17" t="s">
        <v>2490</v>
      </c>
      <c r="C56" s="28" t="s">
        <v>2592</v>
      </c>
      <c r="D56" s="17" t="s">
        <v>2596</v>
      </c>
      <c r="E56" s="17" t="s">
        <v>2597</v>
      </c>
      <c r="F56" s="20">
        <v>1145.99</v>
      </c>
      <c r="G56" s="20">
        <v>399</v>
      </c>
      <c r="H56" s="19">
        <v>1596</v>
      </c>
      <c r="I56" s="20">
        <v>831</v>
      </c>
      <c r="J56" s="20">
        <v>765</v>
      </c>
      <c r="K56" s="20">
        <v>300</v>
      </c>
      <c r="L56" s="57">
        <f t="shared" si="2"/>
        <v>0.18796992481203006</v>
      </c>
      <c r="M56" s="20">
        <v>166</v>
      </c>
      <c r="N56" s="57">
        <f t="shared" si="3"/>
        <v>0.10401002506265664</v>
      </c>
      <c r="O56" s="46">
        <v>160.1</v>
      </c>
      <c r="P56" s="46">
        <v>0</v>
      </c>
      <c r="Q56" s="20" t="s">
        <v>51</v>
      </c>
      <c r="R56" s="20">
        <v>2020</v>
      </c>
      <c r="S56" s="20"/>
      <c r="T56" s="20"/>
      <c r="U56" s="20"/>
      <c r="V56" s="58"/>
      <c r="W56" s="58"/>
      <c r="X56" s="58" t="s">
        <v>51</v>
      </c>
      <c r="Y56" s="58"/>
      <c r="Z56" s="58"/>
      <c r="AA56" s="58"/>
      <c r="AB56" s="58"/>
      <c r="AC56" s="58" t="s">
        <v>51</v>
      </c>
      <c r="AD56" s="58"/>
      <c r="AE56" s="58"/>
      <c r="AF56" s="58"/>
      <c r="AG56" s="58"/>
      <c r="AH56" s="58"/>
      <c r="AI56" s="58"/>
    </row>
    <row r="57" spans="1:35" x14ac:dyDescent="0.35">
      <c r="A57" s="17" t="s">
        <v>46</v>
      </c>
      <c r="B57" s="17" t="s">
        <v>2490</v>
      </c>
      <c r="C57" s="28" t="s">
        <v>2583</v>
      </c>
      <c r="D57" s="17" t="s">
        <v>1184</v>
      </c>
      <c r="E57" s="17" t="s">
        <v>2598</v>
      </c>
      <c r="F57" s="20">
        <v>91.49</v>
      </c>
      <c r="G57" s="20">
        <v>17</v>
      </c>
      <c r="H57" s="19">
        <v>91</v>
      </c>
      <c r="I57" s="20">
        <v>47</v>
      </c>
      <c r="J57" s="20">
        <v>44</v>
      </c>
      <c r="K57" s="20">
        <v>0</v>
      </c>
      <c r="L57" s="57">
        <f t="shared" si="2"/>
        <v>0</v>
      </c>
      <c r="M57" s="20">
        <v>0</v>
      </c>
      <c r="N57" s="57">
        <f t="shared" si="3"/>
        <v>0</v>
      </c>
      <c r="O57" s="46">
        <v>12.1</v>
      </c>
      <c r="P57" s="46">
        <v>0</v>
      </c>
      <c r="Q57" s="20" t="s">
        <v>562</v>
      </c>
      <c r="R57" s="20"/>
      <c r="S57" s="20"/>
      <c r="T57" s="20"/>
      <c r="U57" s="20"/>
      <c r="V57" s="58"/>
      <c r="W57" s="58"/>
      <c r="X57" s="58" t="s">
        <v>562</v>
      </c>
      <c r="Y57" s="58"/>
      <c r="Z57" s="58"/>
      <c r="AA57" s="58"/>
      <c r="AB57" s="58"/>
      <c r="AC57" s="58" t="s">
        <v>562</v>
      </c>
      <c r="AD57" s="58"/>
      <c r="AE57" s="58"/>
      <c r="AF57" s="58"/>
      <c r="AG57" s="58"/>
      <c r="AH57" s="58"/>
      <c r="AI57" s="58"/>
    </row>
    <row r="58" spans="1:35" x14ac:dyDescent="0.35">
      <c r="A58" s="17" t="s">
        <v>46</v>
      </c>
      <c r="B58" s="17" t="s">
        <v>2490</v>
      </c>
      <c r="C58" s="28" t="s">
        <v>2578</v>
      </c>
      <c r="D58" s="17" t="s">
        <v>238</v>
      </c>
      <c r="E58" s="17" t="s">
        <v>2599</v>
      </c>
      <c r="F58" s="20">
        <v>223.06</v>
      </c>
      <c r="G58" s="20">
        <v>100</v>
      </c>
      <c r="H58" s="19">
        <v>456</v>
      </c>
      <c r="I58" s="20">
        <v>232</v>
      </c>
      <c r="J58" s="20">
        <v>224</v>
      </c>
      <c r="K58" s="20">
        <v>47</v>
      </c>
      <c r="L58" s="57">
        <f t="shared" si="2"/>
        <v>0.10307017543859649</v>
      </c>
      <c r="M58" s="20">
        <v>75</v>
      </c>
      <c r="N58" s="57">
        <f t="shared" si="3"/>
        <v>0.16447368421052633</v>
      </c>
      <c r="O58" s="46">
        <v>59.9</v>
      </c>
      <c r="P58" s="46">
        <v>0</v>
      </c>
      <c r="Q58" s="20" t="s">
        <v>51</v>
      </c>
      <c r="R58" s="20">
        <v>2020</v>
      </c>
      <c r="S58" s="20"/>
      <c r="T58" s="20"/>
      <c r="U58" s="20"/>
      <c r="V58" s="58"/>
      <c r="W58" s="58"/>
      <c r="X58" s="58" t="s">
        <v>51</v>
      </c>
      <c r="Y58" s="58"/>
      <c r="Z58" s="58"/>
      <c r="AA58" s="58"/>
      <c r="AB58" s="58"/>
      <c r="AC58" s="58" t="s">
        <v>51</v>
      </c>
      <c r="AD58" s="58"/>
      <c r="AE58" s="58"/>
      <c r="AF58" s="58"/>
      <c r="AG58" s="58"/>
      <c r="AH58" s="58"/>
      <c r="AI58" s="58"/>
    </row>
    <row r="59" spans="1:35" x14ac:dyDescent="0.35">
      <c r="A59" s="17" t="s">
        <v>46</v>
      </c>
      <c r="B59" s="17" t="s">
        <v>2490</v>
      </c>
      <c r="C59" s="28" t="s">
        <v>2578</v>
      </c>
      <c r="D59" s="17" t="s">
        <v>2600</v>
      </c>
      <c r="E59" s="17" t="s">
        <v>2601</v>
      </c>
      <c r="F59" s="20">
        <v>894.19</v>
      </c>
      <c r="G59" s="20">
        <v>297</v>
      </c>
      <c r="H59" s="19">
        <v>1428</v>
      </c>
      <c r="I59" s="20">
        <v>735</v>
      </c>
      <c r="J59" s="20">
        <v>693</v>
      </c>
      <c r="K59" s="20">
        <v>303</v>
      </c>
      <c r="L59" s="57">
        <f t="shared" si="2"/>
        <v>0.21218487394957983</v>
      </c>
      <c r="M59" s="20">
        <v>107</v>
      </c>
      <c r="N59" s="57">
        <f t="shared" si="3"/>
        <v>7.4929971988795516E-2</v>
      </c>
      <c r="O59" s="46">
        <v>129.1</v>
      </c>
      <c r="P59" s="46">
        <v>0</v>
      </c>
      <c r="Q59" s="20" t="s">
        <v>51</v>
      </c>
      <c r="R59" s="20">
        <v>2020</v>
      </c>
      <c r="S59" s="20"/>
      <c r="T59" s="20"/>
      <c r="U59" s="20"/>
      <c r="V59" s="58"/>
      <c r="W59" s="58"/>
      <c r="X59" s="58" t="s">
        <v>51</v>
      </c>
      <c r="Y59" s="58"/>
      <c r="Z59" s="58"/>
      <c r="AA59" s="58"/>
      <c r="AB59" s="58"/>
      <c r="AC59" s="58" t="s">
        <v>51</v>
      </c>
      <c r="AD59" s="58"/>
      <c r="AE59" s="58"/>
      <c r="AF59" s="58"/>
      <c r="AG59" s="58"/>
      <c r="AH59" s="58"/>
      <c r="AI59" s="58"/>
    </row>
    <row r="60" spans="1:35" x14ac:dyDescent="0.35">
      <c r="A60" s="17" t="s">
        <v>46</v>
      </c>
      <c r="B60" s="17" t="s">
        <v>2490</v>
      </c>
      <c r="C60" s="28" t="s">
        <v>2502</v>
      </c>
      <c r="D60" s="17" t="s">
        <v>2602</v>
      </c>
      <c r="E60" s="17" t="s">
        <v>2603</v>
      </c>
      <c r="F60" s="20">
        <v>43.05</v>
      </c>
      <c r="G60" s="20">
        <v>4</v>
      </c>
      <c r="H60" s="19">
        <v>13</v>
      </c>
      <c r="I60" s="20">
        <v>6</v>
      </c>
      <c r="J60" s="20">
        <v>7</v>
      </c>
      <c r="K60" s="20">
        <v>0</v>
      </c>
      <c r="L60" s="57">
        <f t="shared" si="2"/>
        <v>0</v>
      </c>
      <c r="M60" s="20">
        <v>7</v>
      </c>
      <c r="N60" s="57">
        <f t="shared" si="3"/>
        <v>0.53846153846153844</v>
      </c>
      <c r="O60" s="46">
        <v>2.7</v>
      </c>
      <c r="P60" s="46">
        <v>0</v>
      </c>
      <c r="Q60" s="20" t="s">
        <v>562</v>
      </c>
      <c r="R60" s="20"/>
      <c r="S60" s="20"/>
      <c r="T60" s="20"/>
      <c r="U60" s="20"/>
      <c r="V60" s="58"/>
      <c r="W60" s="58"/>
      <c r="X60" s="58" t="s">
        <v>562</v>
      </c>
      <c r="Y60" s="58"/>
      <c r="Z60" s="58"/>
      <c r="AA60" s="58"/>
      <c r="AB60" s="58"/>
      <c r="AC60" s="58" t="s">
        <v>562</v>
      </c>
      <c r="AD60" s="58"/>
      <c r="AE60" s="58"/>
      <c r="AF60" s="58"/>
      <c r="AG60" s="58"/>
      <c r="AH60" s="58"/>
      <c r="AI60" s="58"/>
    </row>
    <row r="61" spans="1:35" x14ac:dyDescent="0.35">
      <c r="A61" s="17" t="s">
        <v>46</v>
      </c>
      <c r="B61" s="17" t="s">
        <v>2490</v>
      </c>
      <c r="C61" s="28" t="s">
        <v>2578</v>
      </c>
      <c r="D61" s="17" t="s">
        <v>1316</v>
      </c>
      <c r="E61" s="17" t="s">
        <v>2604</v>
      </c>
      <c r="F61" s="20">
        <v>80.14</v>
      </c>
      <c r="G61" s="20">
        <v>21</v>
      </c>
      <c r="H61" s="19">
        <v>116</v>
      </c>
      <c r="I61" s="20">
        <v>61</v>
      </c>
      <c r="J61" s="20">
        <v>55</v>
      </c>
      <c r="K61" s="20">
        <v>62</v>
      </c>
      <c r="L61" s="57">
        <f t="shared" si="2"/>
        <v>0.53448275862068961</v>
      </c>
      <c r="M61" s="20">
        <v>0</v>
      </c>
      <c r="N61" s="57">
        <f t="shared" si="3"/>
        <v>0</v>
      </c>
      <c r="O61" s="46">
        <v>8.11</v>
      </c>
      <c r="P61" s="46">
        <v>0</v>
      </c>
      <c r="Q61" s="20" t="s">
        <v>562</v>
      </c>
      <c r="R61" s="20">
        <v>2020</v>
      </c>
      <c r="S61" s="20"/>
      <c r="T61" s="20"/>
      <c r="U61" s="20"/>
      <c r="V61" s="58"/>
      <c r="W61" s="58"/>
      <c r="X61" s="58" t="s">
        <v>562</v>
      </c>
      <c r="Y61" s="58"/>
      <c r="Z61" s="58"/>
      <c r="AA61" s="58"/>
      <c r="AB61" s="58"/>
      <c r="AC61" s="58" t="s">
        <v>562</v>
      </c>
      <c r="AD61" s="58"/>
      <c r="AE61" s="58"/>
      <c r="AF61" s="58"/>
      <c r="AG61" s="58"/>
      <c r="AH61" s="58"/>
      <c r="AI61" s="58"/>
    </row>
    <row r="62" spans="1:35" x14ac:dyDescent="0.35">
      <c r="A62" s="17" t="s">
        <v>46</v>
      </c>
      <c r="B62" s="17" t="s">
        <v>2490</v>
      </c>
      <c r="C62" s="28" t="s">
        <v>2502</v>
      </c>
      <c r="D62" s="17" t="s">
        <v>2605</v>
      </c>
      <c r="E62" s="17" t="s">
        <v>2606</v>
      </c>
      <c r="F62" s="20">
        <v>54.1</v>
      </c>
      <c r="G62" s="20">
        <v>2</v>
      </c>
      <c r="H62" s="19">
        <v>19</v>
      </c>
      <c r="I62" s="20">
        <v>11</v>
      </c>
      <c r="J62" s="20">
        <v>8</v>
      </c>
      <c r="K62" s="20">
        <v>0</v>
      </c>
      <c r="L62" s="57">
        <f t="shared" si="2"/>
        <v>0</v>
      </c>
      <c r="M62" s="20">
        <v>0</v>
      </c>
      <c r="N62" s="57">
        <f t="shared" si="3"/>
        <v>0</v>
      </c>
      <c r="O62" s="46">
        <v>0</v>
      </c>
      <c r="P62" s="46">
        <v>0</v>
      </c>
      <c r="Q62" s="20" t="s">
        <v>562</v>
      </c>
      <c r="R62" s="20"/>
      <c r="S62" s="20"/>
      <c r="T62" s="20"/>
      <c r="U62" s="20"/>
      <c r="V62" s="58"/>
      <c r="W62" s="58"/>
      <c r="X62" s="58" t="s">
        <v>562</v>
      </c>
      <c r="Y62" s="58"/>
      <c r="Z62" s="58"/>
      <c r="AA62" s="58"/>
      <c r="AB62" s="58"/>
      <c r="AC62" s="58" t="s">
        <v>562</v>
      </c>
      <c r="AD62" s="58"/>
      <c r="AE62" s="58"/>
      <c r="AF62" s="58"/>
      <c r="AG62" s="58"/>
      <c r="AH62" s="58"/>
      <c r="AI62" s="58"/>
    </row>
    <row r="63" spans="1:35" x14ac:dyDescent="0.35">
      <c r="A63" s="17" t="s">
        <v>46</v>
      </c>
      <c r="B63" s="17" t="s">
        <v>2490</v>
      </c>
      <c r="C63" s="28" t="s">
        <v>2578</v>
      </c>
      <c r="D63" s="17" t="s">
        <v>160</v>
      </c>
      <c r="E63" s="17" t="s">
        <v>2607</v>
      </c>
      <c r="F63" s="20">
        <v>147.47999999999999</v>
      </c>
      <c r="G63" s="20">
        <v>45</v>
      </c>
      <c r="H63" s="19">
        <v>169</v>
      </c>
      <c r="I63" s="20">
        <v>95</v>
      </c>
      <c r="J63" s="20">
        <v>74</v>
      </c>
      <c r="K63" s="20">
        <v>0</v>
      </c>
      <c r="L63" s="57">
        <f t="shared" si="2"/>
        <v>0</v>
      </c>
      <c r="M63" s="20">
        <v>1</v>
      </c>
      <c r="N63" s="57">
        <f t="shared" si="3"/>
        <v>5.9171597633136093E-3</v>
      </c>
      <c r="O63" s="46">
        <v>20.62</v>
      </c>
      <c r="P63" s="46">
        <v>0</v>
      </c>
      <c r="Q63" s="20" t="s">
        <v>562</v>
      </c>
      <c r="R63" s="20"/>
      <c r="S63" s="20"/>
      <c r="T63" s="20"/>
      <c r="U63" s="20"/>
      <c r="V63" s="58"/>
      <c r="W63" s="58"/>
      <c r="X63" s="58" t="s">
        <v>562</v>
      </c>
      <c r="Y63" s="58"/>
      <c r="Z63" s="58"/>
      <c r="AA63" s="58"/>
      <c r="AB63" s="58"/>
      <c r="AC63" s="58" t="s">
        <v>562</v>
      </c>
      <c r="AD63" s="58"/>
      <c r="AE63" s="58"/>
      <c r="AF63" s="58"/>
      <c r="AG63" s="58"/>
      <c r="AH63" s="58"/>
      <c r="AI63" s="58"/>
    </row>
    <row r="64" spans="1:35" x14ac:dyDescent="0.35">
      <c r="A64" s="17" t="s">
        <v>46</v>
      </c>
      <c r="B64" s="17" t="s">
        <v>2490</v>
      </c>
      <c r="C64" s="28" t="s">
        <v>2608</v>
      </c>
      <c r="D64" s="17" t="s">
        <v>2609</v>
      </c>
      <c r="E64" s="17" t="s">
        <v>2610</v>
      </c>
      <c r="F64" s="20">
        <v>6.48</v>
      </c>
      <c r="G64" s="20">
        <v>29</v>
      </c>
      <c r="H64" s="19">
        <v>100</v>
      </c>
      <c r="I64" s="20">
        <v>42</v>
      </c>
      <c r="J64" s="20">
        <v>58</v>
      </c>
      <c r="K64" s="20">
        <v>0</v>
      </c>
      <c r="L64" s="57">
        <f t="shared" si="2"/>
        <v>0</v>
      </c>
      <c r="M64" s="20">
        <v>97</v>
      </c>
      <c r="N64" s="57">
        <f t="shared" si="3"/>
        <v>0.97</v>
      </c>
      <c r="O64" s="46">
        <v>0</v>
      </c>
      <c r="P64" s="46">
        <v>0</v>
      </c>
      <c r="Q64" s="20" t="s">
        <v>51</v>
      </c>
      <c r="R64" s="20">
        <v>2020</v>
      </c>
      <c r="S64" s="20"/>
      <c r="T64" s="20"/>
      <c r="U64" s="20"/>
      <c r="V64" s="58"/>
      <c r="W64" s="58"/>
      <c r="X64" s="58" t="s">
        <v>51</v>
      </c>
      <c r="Y64" s="58"/>
      <c r="Z64" s="58"/>
      <c r="AA64" s="58"/>
      <c r="AB64" s="58"/>
      <c r="AC64" s="58" t="s">
        <v>51</v>
      </c>
      <c r="AD64" s="58"/>
      <c r="AE64" s="58"/>
      <c r="AF64" s="58"/>
      <c r="AG64" s="58"/>
      <c r="AH64" s="58"/>
      <c r="AI64" s="58"/>
    </row>
    <row r="65" spans="1:35" x14ac:dyDescent="0.35">
      <c r="A65" s="17" t="s">
        <v>46</v>
      </c>
      <c r="B65" s="17" t="s">
        <v>2490</v>
      </c>
      <c r="C65" s="28" t="s">
        <v>2608</v>
      </c>
      <c r="D65" s="17" t="s">
        <v>2490</v>
      </c>
      <c r="E65" s="17" t="s">
        <v>2611</v>
      </c>
      <c r="F65" s="20">
        <v>3486.58</v>
      </c>
      <c r="G65" s="20">
        <v>2070</v>
      </c>
      <c r="H65" s="19">
        <v>10573</v>
      </c>
      <c r="I65" s="20">
        <v>5376</v>
      </c>
      <c r="J65" s="20">
        <v>5197</v>
      </c>
      <c r="K65" s="20">
        <v>3343</v>
      </c>
      <c r="L65" s="57">
        <f t="shared" si="2"/>
        <v>0.31618272959424948</v>
      </c>
      <c r="M65" s="20">
        <v>132</v>
      </c>
      <c r="N65" s="57">
        <f t="shared" si="3"/>
        <v>1.2484630663009552E-2</v>
      </c>
      <c r="O65" s="46">
        <v>402.08</v>
      </c>
      <c r="P65" s="46">
        <v>1076.28</v>
      </c>
      <c r="Q65" s="20" t="s">
        <v>562</v>
      </c>
      <c r="R65" s="20"/>
      <c r="S65" s="20"/>
      <c r="T65" s="20"/>
      <c r="U65" s="20"/>
      <c r="V65" s="58"/>
      <c r="W65" s="58"/>
      <c r="X65" s="58" t="s">
        <v>562</v>
      </c>
      <c r="Y65" s="58"/>
      <c r="Z65" s="58"/>
      <c r="AA65" s="58"/>
      <c r="AB65" s="58"/>
      <c r="AC65" s="58" t="s">
        <v>562</v>
      </c>
      <c r="AD65" s="58"/>
      <c r="AE65" s="58"/>
      <c r="AF65" s="58"/>
      <c r="AG65" s="58"/>
      <c r="AH65" s="58"/>
      <c r="AI65" s="58"/>
    </row>
    <row r="66" spans="1:35" x14ac:dyDescent="0.35">
      <c r="A66" s="17" t="s">
        <v>46</v>
      </c>
      <c r="B66" s="17" t="s">
        <v>2490</v>
      </c>
      <c r="C66" s="28" t="s">
        <v>2562</v>
      </c>
      <c r="D66" s="17" t="s">
        <v>2612</v>
      </c>
      <c r="E66" s="17" t="s">
        <v>2613</v>
      </c>
      <c r="F66" s="20">
        <v>127.16</v>
      </c>
      <c r="G66" s="20">
        <v>76</v>
      </c>
      <c r="H66" s="19">
        <v>358</v>
      </c>
      <c r="I66" s="20">
        <v>179</v>
      </c>
      <c r="J66" s="20">
        <v>179</v>
      </c>
      <c r="K66" s="20">
        <v>24</v>
      </c>
      <c r="L66" s="57">
        <f t="shared" si="2"/>
        <v>6.7039106145251395E-2</v>
      </c>
      <c r="M66" s="20">
        <v>14</v>
      </c>
      <c r="N66" s="57">
        <f t="shared" si="3"/>
        <v>3.9106145251396648E-2</v>
      </c>
      <c r="O66" s="46">
        <v>8.5</v>
      </c>
      <c r="P66" s="46">
        <v>0</v>
      </c>
      <c r="Q66" s="20" t="s">
        <v>51</v>
      </c>
      <c r="R66" s="20">
        <v>2020</v>
      </c>
      <c r="S66" s="20"/>
      <c r="T66" s="20"/>
      <c r="U66" s="20"/>
      <c r="V66" s="58"/>
      <c r="W66" s="58"/>
      <c r="X66" s="58" t="s">
        <v>51</v>
      </c>
      <c r="Y66" s="58"/>
      <c r="Z66" s="58"/>
      <c r="AA66" s="58"/>
      <c r="AB66" s="58"/>
      <c r="AC66" s="58" t="s">
        <v>51</v>
      </c>
      <c r="AD66" s="58"/>
      <c r="AE66" s="58"/>
      <c r="AF66" s="58"/>
      <c r="AG66" s="58"/>
      <c r="AH66" s="58"/>
      <c r="AI66" s="58"/>
    </row>
    <row r="67" spans="1:35" x14ac:dyDescent="0.35">
      <c r="A67" s="17" t="s">
        <v>46</v>
      </c>
      <c r="B67" s="17" t="s">
        <v>2490</v>
      </c>
      <c r="C67" s="28" t="s">
        <v>2562</v>
      </c>
      <c r="D67" s="17" t="s">
        <v>2614</v>
      </c>
      <c r="E67" s="17" t="s">
        <v>2615</v>
      </c>
      <c r="F67" s="20">
        <v>382.2</v>
      </c>
      <c r="G67" s="20">
        <v>147</v>
      </c>
      <c r="H67" s="19">
        <v>669</v>
      </c>
      <c r="I67" s="20">
        <v>342</v>
      </c>
      <c r="J67" s="20">
        <v>327</v>
      </c>
      <c r="K67" s="20">
        <v>105</v>
      </c>
      <c r="L67" s="57">
        <f t="shared" si="2"/>
        <v>0.15695067264573992</v>
      </c>
      <c r="M67" s="20">
        <v>12</v>
      </c>
      <c r="N67" s="57">
        <f t="shared" si="3"/>
        <v>1.7937219730941704E-2</v>
      </c>
      <c r="O67" s="46">
        <v>52.86</v>
      </c>
      <c r="P67" s="46">
        <v>48.61</v>
      </c>
      <c r="Q67" s="20" t="s">
        <v>51</v>
      </c>
      <c r="R67" s="20">
        <v>2020</v>
      </c>
      <c r="S67" s="20"/>
      <c r="T67" s="20"/>
      <c r="U67" s="20"/>
      <c r="V67" s="58"/>
      <c r="W67" s="58"/>
      <c r="X67" s="58" t="s">
        <v>51</v>
      </c>
      <c r="Y67" s="58"/>
      <c r="Z67" s="58"/>
      <c r="AA67" s="58"/>
      <c r="AB67" s="58"/>
      <c r="AC67" s="58" t="s">
        <v>51</v>
      </c>
      <c r="AD67" s="58"/>
      <c r="AE67" s="58"/>
      <c r="AF67" s="58"/>
      <c r="AG67" s="58"/>
      <c r="AH67" s="58"/>
      <c r="AI67" s="58"/>
    </row>
    <row r="68" spans="1:35" x14ac:dyDescent="0.35">
      <c r="A68" s="17" t="s">
        <v>46</v>
      </c>
      <c r="B68" s="17" t="s">
        <v>2490</v>
      </c>
      <c r="C68" s="28" t="s">
        <v>2562</v>
      </c>
      <c r="D68" s="17" t="s">
        <v>2616</v>
      </c>
      <c r="E68" s="17" t="s">
        <v>2617</v>
      </c>
      <c r="F68" s="20">
        <v>91.34</v>
      </c>
      <c r="G68" s="20">
        <v>158</v>
      </c>
      <c r="H68" s="19">
        <v>701</v>
      </c>
      <c r="I68" s="20">
        <v>341</v>
      </c>
      <c r="J68" s="20">
        <v>360</v>
      </c>
      <c r="K68" s="20">
        <v>3</v>
      </c>
      <c r="L68" s="57">
        <f t="shared" ref="L68:L99" si="4">K68/H68</f>
        <v>4.2796005706134095E-3</v>
      </c>
      <c r="M68" s="20">
        <v>1</v>
      </c>
      <c r="N68" s="57">
        <f t="shared" ref="N68:N99" si="5">M68/H68</f>
        <v>1.4265335235378032E-3</v>
      </c>
      <c r="O68" s="46">
        <v>9.26</v>
      </c>
      <c r="P68" s="46">
        <v>0</v>
      </c>
      <c r="Q68" s="20" t="s">
        <v>51</v>
      </c>
      <c r="R68" s="20">
        <v>2020</v>
      </c>
      <c r="S68" s="20"/>
      <c r="T68" s="20"/>
      <c r="U68" s="20"/>
      <c r="V68" s="58"/>
      <c r="W68" s="58"/>
      <c r="X68" s="58" t="s">
        <v>51</v>
      </c>
      <c r="Y68" s="58"/>
      <c r="Z68" s="58"/>
      <c r="AA68" s="58"/>
      <c r="AB68" s="58"/>
      <c r="AC68" s="58" t="s">
        <v>51</v>
      </c>
      <c r="AD68" s="58"/>
      <c r="AE68" s="58"/>
      <c r="AF68" s="58"/>
      <c r="AG68" s="58"/>
      <c r="AH68" s="58"/>
      <c r="AI68" s="58"/>
    </row>
    <row r="69" spans="1:35" x14ac:dyDescent="0.35">
      <c r="A69" s="17" t="s">
        <v>46</v>
      </c>
      <c r="B69" s="17" t="s">
        <v>2490</v>
      </c>
      <c r="C69" s="28" t="s">
        <v>2562</v>
      </c>
      <c r="D69" s="17" t="s">
        <v>676</v>
      </c>
      <c r="E69" s="17" t="s">
        <v>2618</v>
      </c>
      <c r="F69" s="20">
        <v>131.05000000000001</v>
      </c>
      <c r="G69" s="20">
        <v>58</v>
      </c>
      <c r="H69" s="19">
        <v>276</v>
      </c>
      <c r="I69" s="20">
        <v>138</v>
      </c>
      <c r="J69" s="20">
        <v>138</v>
      </c>
      <c r="K69" s="20">
        <v>27</v>
      </c>
      <c r="L69" s="57">
        <f t="shared" si="4"/>
        <v>9.7826086956521743E-2</v>
      </c>
      <c r="M69" s="20">
        <v>9</v>
      </c>
      <c r="N69" s="57">
        <f t="shared" si="5"/>
        <v>3.2608695652173912E-2</v>
      </c>
      <c r="O69" s="46">
        <v>10.09</v>
      </c>
      <c r="P69" s="46">
        <v>0</v>
      </c>
      <c r="Q69" s="20" t="s">
        <v>51</v>
      </c>
      <c r="R69" s="20">
        <v>2020</v>
      </c>
      <c r="S69" s="20"/>
      <c r="T69" s="20"/>
      <c r="U69" s="20"/>
      <c r="V69" s="58"/>
      <c r="W69" s="58"/>
      <c r="X69" s="58" t="s">
        <v>51</v>
      </c>
      <c r="Y69" s="58"/>
      <c r="Z69" s="58"/>
      <c r="AA69" s="58"/>
      <c r="AB69" s="58"/>
      <c r="AC69" s="58" t="s">
        <v>51</v>
      </c>
      <c r="AD69" s="58"/>
      <c r="AE69" s="58"/>
      <c r="AF69" s="58"/>
      <c r="AG69" s="58"/>
      <c r="AH69" s="58"/>
      <c r="AI69" s="58"/>
    </row>
    <row r="70" spans="1:35" x14ac:dyDescent="0.35">
      <c r="A70" s="17" t="s">
        <v>46</v>
      </c>
      <c r="B70" s="17" t="s">
        <v>2490</v>
      </c>
      <c r="C70" s="28" t="s">
        <v>2562</v>
      </c>
      <c r="D70" s="17" t="s">
        <v>2295</v>
      </c>
      <c r="E70" s="17" t="s">
        <v>2619</v>
      </c>
      <c r="F70" s="20">
        <v>103.3</v>
      </c>
      <c r="G70" s="20">
        <v>62</v>
      </c>
      <c r="H70" s="19">
        <v>261</v>
      </c>
      <c r="I70" s="20">
        <v>125</v>
      </c>
      <c r="J70" s="20">
        <v>136</v>
      </c>
      <c r="K70" s="20">
        <v>24</v>
      </c>
      <c r="L70" s="57">
        <f t="shared" si="4"/>
        <v>9.1954022988505746E-2</v>
      </c>
      <c r="M70" s="20">
        <v>3</v>
      </c>
      <c r="N70" s="57">
        <f t="shared" si="5"/>
        <v>1.1494252873563218E-2</v>
      </c>
      <c r="O70" s="46">
        <v>10.81</v>
      </c>
      <c r="P70" s="46">
        <v>0</v>
      </c>
      <c r="Q70" s="20" t="s">
        <v>51</v>
      </c>
      <c r="R70" s="20">
        <v>2020</v>
      </c>
      <c r="S70" s="20"/>
      <c r="T70" s="20"/>
      <c r="U70" s="20"/>
      <c r="V70" s="58"/>
      <c r="W70" s="58"/>
      <c r="X70" s="58" t="s">
        <v>51</v>
      </c>
      <c r="Y70" s="58"/>
      <c r="Z70" s="58"/>
      <c r="AA70" s="58"/>
      <c r="AB70" s="58"/>
      <c r="AC70" s="58" t="s">
        <v>51</v>
      </c>
      <c r="AD70" s="58"/>
      <c r="AE70" s="58"/>
      <c r="AF70" s="58"/>
      <c r="AG70" s="58"/>
      <c r="AH70" s="58"/>
      <c r="AI70" s="58"/>
    </row>
    <row r="71" spans="1:35" x14ac:dyDescent="0.35">
      <c r="A71" s="17" t="s">
        <v>46</v>
      </c>
      <c r="B71" s="17" t="s">
        <v>2490</v>
      </c>
      <c r="C71" s="28" t="s">
        <v>2562</v>
      </c>
      <c r="D71" s="17" t="s">
        <v>2620</v>
      </c>
      <c r="E71" s="17" t="s">
        <v>2621</v>
      </c>
      <c r="F71" s="20">
        <v>258.74</v>
      </c>
      <c r="G71" s="20">
        <v>134</v>
      </c>
      <c r="H71" s="19">
        <v>590</v>
      </c>
      <c r="I71" s="20">
        <v>306</v>
      </c>
      <c r="J71" s="20">
        <v>284</v>
      </c>
      <c r="K71" s="20">
        <v>51</v>
      </c>
      <c r="L71" s="57">
        <f t="shared" si="4"/>
        <v>8.6440677966101692E-2</v>
      </c>
      <c r="M71" s="20">
        <v>0</v>
      </c>
      <c r="N71" s="57">
        <f t="shared" si="5"/>
        <v>0</v>
      </c>
      <c r="O71" s="46">
        <v>24.66</v>
      </c>
      <c r="P71" s="46">
        <v>0</v>
      </c>
      <c r="Q71" s="20" t="s">
        <v>51</v>
      </c>
      <c r="R71" s="20">
        <v>2020</v>
      </c>
      <c r="S71" s="20"/>
      <c r="T71" s="20"/>
      <c r="U71" s="20"/>
      <c r="V71" s="58"/>
      <c r="W71" s="58"/>
      <c r="X71" s="58" t="s">
        <v>51</v>
      </c>
      <c r="Y71" s="58"/>
      <c r="Z71" s="58"/>
      <c r="AA71" s="58"/>
      <c r="AB71" s="58"/>
      <c r="AC71" s="58" t="s">
        <v>51</v>
      </c>
      <c r="AD71" s="58"/>
      <c r="AE71" s="58"/>
      <c r="AF71" s="58"/>
      <c r="AG71" s="58"/>
      <c r="AH71" s="58"/>
      <c r="AI71" s="58"/>
    </row>
    <row r="72" spans="1:35" x14ac:dyDescent="0.35">
      <c r="A72" s="17" t="s">
        <v>46</v>
      </c>
      <c r="B72" s="17" t="s">
        <v>2490</v>
      </c>
      <c r="C72" s="28" t="s">
        <v>2622</v>
      </c>
      <c r="D72" s="17" t="s">
        <v>2623</v>
      </c>
      <c r="E72" s="17" t="s">
        <v>2624</v>
      </c>
      <c r="F72" s="20">
        <v>911.91</v>
      </c>
      <c r="G72" s="20">
        <v>282</v>
      </c>
      <c r="H72" s="19">
        <v>1224</v>
      </c>
      <c r="I72" s="20">
        <v>618</v>
      </c>
      <c r="J72" s="20">
        <v>606</v>
      </c>
      <c r="K72" s="20">
        <v>138</v>
      </c>
      <c r="L72" s="57">
        <f t="shared" si="4"/>
        <v>0.11274509803921569</v>
      </c>
      <c r="M72" s="20">
        <v>52</v>
      </c>
      <c r="N72" s="57">
        <f t="shared" si="5"/>
        <v>4.2483660130718956E-2</v>
      </c>
      <c r="O72" s="46">
        <v>172.73</v>
      </c>
      <c r="P72" s="46">
        <v>0</v>
      </c>
      <c r="Q72" s="20" t="s">
        <v>51</v>
      </c>
      <c r="R72" s="20">
        <v>2020</v>
      </c>
      <c r="S72" s="20"/>
      <c r="T72" s="20"/>
      <c r="U72" s="20"/>
      <c r="V72" s="58"/>
      <c r="W72" s="58"/>
      <c r="X72" s="58" t="s">
        <v>51</v>
      </c>
      <c r="Y72" s="58"/>
      <c r="Z72" s="58"/>
      <c r="AA72" s="58"/>
      <c r="AB72" s="58"/>
      <c r="AC72" s="58" t="s">
        <v>51</v>
      </c>
      <c r="AD72" s="58"/>
      <c r="AE72" s="58"/>
      <c r="AF72" s="58"/>
      <c r="AG72" s="58"/>
      <c r="AH72" s="58"/>
      <c r="AI72" s="58"/>
    </row>
    <row r="73" spans="1:35" x14ac:dyDescent="0.35">
      <c r="A73" s="17" t="s">
        <v>46</v>
      </c>
      <c r="B73" s="17" t="s">
        <v>2490</v>
      </c>
      <c r="C73" s="28" t="s">
        <v>2625</v>
      </c>
      <c r="D73" s="17" t="s">
        <v>2626</v>
      </c>
      <c r="E73" s="17" t="s">
        <v>2627</v>
      </c>
      <c r="F73" s="20">
        <v>83.72</v>
      </c>
      <c r="G73" s="20">
        <v>49</v>
      </c>
      <c r="H73" s="19">
        <v>252</v>
      </c>
      <c r="I73" s="20">
        <v>129</v>
      </c>
      <c r="J73" s="20">
        <v>123</v>
      </c>
      <c r="K73" s="20">
        <v>36</v>
      </c>
      <c r="L73" s="57">
        <f t="shared" si="4"/>
        <v>0.14285714285714285</v>
      </c>
      <c r="M73" s="20">
        <v>0</v>
      </c>
      <c r="N73" s="57">
        <f t="shared" si="5"/>
        <v>0</v>
      </c>
      <c r="O73" s="46">
        <v>7.29</v>
      </c>
      <c r="P73" s="46">
        <v>0</v>
      </c>
      <c r="Q73" s="20" t="s">
        <v>562</v>
      </c>
      <c r="R73" s="20"/>
      <c r="S73" s="20"/>
      <c r="T73" s="20"/>
      <c r="U73" s="20"/>
      <c r="V73" s="58"/>
      <c r="W73" s="58"/>
      <c r="X73" s="58" t="s">
        <v>562</v>
      </c>
      <c r="Y73" s="58"/>
      <c r="Z73" s="58"/>
      <c r="AA73" s="58"/>
      <c r="AB73" s="58"/>
      <c r="AC73" s="58" t="s">
        <v>562</v>
      </c>
      <c r="AD73" s="58"/>
      <c r="AE73" s="58"/>
      <c r="AF73" s="58"/>
      <c r="AG73" s="58"/>
      <c r="AH73" s="58"/>
      <c r="AI73" s="58"/>
    </row>
    <row r="74" spans="1:35" x14ac:dyDescent="0.35">
      <c r="A74" s="17" t="s">
        <v>46</v>
      </c>
      <c r="B74" s="17" t="s">
        <v>2490</v>
      </c>
      <c r="C74" s="28" t="s">
        <v>2622</v>
      </c>
      <c r="D74" s="17" t="s">
        <v>2628</v>
      </c>
      <c r="E74" s="17" t="s">
        <v>2629</v>
      </c>
      <c r="F74" s="20">
        <v>87.22</v>
      </c>
      <c r="G74" s="20">
        <v>51</v>
      </c>
      <c r="H74" s="19">
        <v>188</v>
      </c>
      <c r="I74" s="20">
        <v>91</v>
      </c>
      <c r="J74" s="20">
        <v>97</v>
      </c>
      <c r="K74" s="20">
        <v>0</v>
      </c>
      <c r="L74" s="57">
        <f t="shared" si="4"/>
        <v>0</v>
      </c>
      <c r="M74" s="20">
        <v>4</v>
      </c>
      <c r="N74" s="57">
        <f t="shared" si="5"/>
        <v>2.1276595744680851E-2</v>
      </c>
      <c r="O74" s="46">
        <v>0</v>
      </c>
      <c r="P74" s="46">
        <v>0</v>
      </c>
      <c r="Q74" s="20" t="s">
        <v>51</v>
      </c>
      <c r="R74" s="20">
        <v>2020</v>
      </c>
      <c r="S74" s="20"/>
      <c r="T74" s="20"/>
      <c r="U74" s="20"/>
      <c r="V74" s="58"/>
      <c r="W74" s="58"/>
      <c r="X74" s="58" t="s">
        <v>51</v>
      </c>
      <c r="Y74" s="58"/>
      <c r="Z74" s="58"/>
      <c r="AA74" s="58"/>
      <c r="AB74" s="58"/>
      <c r="AC74" s="58" t="s">
        <v>51</v>
      </c>
      <c r="AD74" s="58"/>
      <c r="AE74" s="58"/>
      <c r="AF74" s="58"/>
      <c r="AG74" s="58"/>
      <c r="AH74" s="58"/>
      <c r="AI74" s="58"/>
    </row>
    <row r="75" spans="1:35" x14ac:dyDescent="0.35">
      <c r="A75" s="17" t="s">
        <v>46</v>
      </c>
      <c r="B75" s="17" t="s">
        <v>2490</v>
      </c>
      <c r="C75" s="28" t="s">
        <v>2622</v>
      </c>
      <c r="D75" s="17" t="s">
        <v>2630</v>
      </c>
      <c r="E75" s="17" t="s">
        <v>2631</v>
      </c>
      <c r="F75" s="20">
        <v>475.38</v>
      </c>
      <c r="G75" s="20">
        <v>178</v>
      </c>
      <c r="H75" s="19">
        <v>802</v>
      </c>
      <c r="I75" s="20">
        <v>400</v>
      </c>
      <c r="J75" s="20">
        <v>402</v>
      </c>
      <c r="K75" s="20">
        <v>509</v>
      </c>
      <c r="L75" s="57">
        <f t="shared" si="4"/>
        <v>0.63466334164588534</v>
      </c>
      <c r="M75" s="20">
        <v>0</v>
      </c>
      <c r="N75" s="57">
        <f t="shared" si="5"/>
        <v>0</v>
      </c>
      <c r="O75" s="46">
        <v>58.85</v>
      </c>
      <c r="P75" s="46">
        <v>0</v>
      </c>
      <c r="Q75" s="20" t="s">
        <v>51</v>
      </c>
      <c r="R75" s="20">
        <v>2020</v>
      </c>
      <c r="S75" s="20"/>
      <c r="T75" s="20"/>
      <c r="U75" s="20"/>
      <c r="V75" s="58"/>
      <c r="W75" s="58"/>
      <c r="X75" s="58" t="s">
        <v>51</v>
      </c>
      <c r="Y75" s="58"/>
      <c r="Z75" s="58"/>
      <c r="AA75" s="58"/>
      <c r="AB75" s="58"/>
      <c r="AC75" s="58" t="s">
        <v>51</v>
      </c>
      <c r="AD75" s="58"/>
      <c r="AE75" s="58"/>
      <c r="AF75" s="58"/>
      <c r="AG75" s="58"/>
      <c r="AH75" s="58"/>
      <c r="AI75" s="58"/>
    </row>
    <row r="76" spans="1:35" x14ac:dyDescent="0.35">
      <c r="A76" s="17" t="s">
        <v>46</v>
      </c>
      <c r="B76" s="17" t="s">
        <v>2490</v>
      </c>
      <c r="C76" s="28" t="s">
        <v>2632</v>
      </c>
      <c r="D76" s="17" t="s">
        <v>2633</v>
      </c>
      <c r="E76" s="17" t="s">
        <v>2634</v>
      </c>
      <c r="F76" s="20">
        <v>1309.3</v>
      </c>
      <c r="G76" s="20">
        <v>577</v>
      </c>
      <c r="H76" s="19">
        <v>2468</v>
      </c>
      <c r="I76" s="20">
        <v>1223</v>
      </c>
      <c r="J76" s="20">
        <v>1245</v>
      </c>
      <c r="K76" s="20">
        <v>614</v>
      </c>
      <c r="L76" s="57">
        <f t="shared" si="4"/>
        <v>0.24878444084278767</v>
      </c>
      <c r="M76" s="20">
        <v>26</v>
      </c>
      <c r="N76" s="57">
        <f t="shared" si="5"/>
        <v>1.0534846029173419E-2</v>
      </c>
      <c r="O76" s="46">
        <v>260.76</v>
      </c>
      <c r="P76" s="46">
        <v>0</v>
      </c>
      <c r="Q76" s="20" t="s">
        <v>562</v>
      </c>
      <c r="R76" s="20"/>
      <c r="S76" s="20"/>
      <c r="T76" s="20"/>
      <c r="U76" s="20"/>
      <c r="V76" s="58"/>
      <c r="W76" s="58"/>
      <c r="X76" s="58" t="s">
        <v>562</v>
      </c>
      <c r="Y76" s="58"/>
      <c r="Z76" s="58"/>
      <c r="AA76" s="58"/>
      <c r="AB76" s="58"/>
      <c r="AC76" s="58" t="s">
        <v>562</v>
      </c>
      <c r="AD76" s="58"/>
      <c r="AE76" s="58"/>
      <c r="AF76" s="58"/>
      <c r="AG76" s="58"/>
      <c r="AH76" s="58"/>
      <c r="AI76" s="58"/>
    </row>
    <row r="77" spans="1:35" x14ac:dyDescent="0.35">
      <c r="A77" s="17" t="s">
        <v>46</v>
      </c>
      <c r="B77" s="17" t="s">
        <v>2490</v>
      </c>
      <c r="C77" s="28" t="s">
        <v>2632</v>
      </c>
      <c r="D77" s="17" t="s">
        <v>2635</v>
      </c>
      <c r="E77" s="17" t="s">
        <v>2636</v>
      </c>
      <c r="F77" s="20">
        <v>77.25</v>
      </c>
      <c r="G77" s="20">
        <v>9</v>
      </c>
      <c r="H77" s="19">
        <v>28</v>
      </c>
      <c r="I77" s="20">
        <v>15</v>
      </c>
      <c r="J77" s="20">
        <v>13</v>
      </c>
      <c r="K77" s="20">
        <v>0</v>
      </c>
      <c r="L77" s="57">
        <f t="shared" si="4"/>
        <v>0</v>
      </c>
      <c r="M77" s="20">
        <v>0</v>
      </c>
      <c r="N77" s="57">
        <f t="shared" si="5"/>
        <v>0</v>
      </c>
      <c r="O77" s="46">
        <v>6.4</v>
      </c>
      <c r="P77" s="46">
        <v>0</v>
      </c>
      <c r="Q77" s="20" t="s">
        <v>562</v>
      </c>
      <c r="R77" s="20"/>
      <c r="S77" s="20"/>
      <c r="T77" s="20"/>
      <c r="U77" s="20"/>
      <c r="V77" s="58"/>
      <c r="W77" s="58"/>
      <c r="X77" s="58" t="s">
        <v>562</v>
      </c>
      <c r="Y77" s="58"/>
      <c r="Z77" s="58"/>
      <c r="AA77" s="58"/>
      <c r="AB77" s="58"/>
      <c r="AC77" s="58" t="s">
        <v>562</v>
      </c>
      <c r="AD77" s="58"/>
      <c r="AE77" s="58"/>
      <c r="AF77" s="58"/>
      <c r="AG77" s="58"/>
      <c r="AH77" s="58"/>
      <c r="AI77" s="58"/>
    </row>
    <row r="78" spans="1:35" x14ac:dyDescent="0.35">
      <c r="A78" s="17" t="s">
        <v>46</v>
      </c>
      <c r="B78" s="17" t="s">
        <v>2490</v>
      </c>
      <c r="C78" s="28" t="s">
        <v>2632</v>
      </c>
      <c r="D78" s="17" t="s">
        <v>2637</v>
      </c>
      <c r="E78" s="17" t="s">
        <v>2638</v>
      </c>
      <c r="F78" s="20">
        <v>28.93</v>
      </c>
      <c r="G78" s="20">
        <v>31</v>
      </c>
      <c r="H78" s="19">
        <v>100</v>
      </c>
      <c r="I78" s="20">
        <v>52</v>
      </c>
      <c r="J78" s="20">
        <v>48</v>
      </c>
      <c r="K78" s="20">
        <v>0</v>
      </c>
      <c r="L78" s="57">
        <f t="shared" si="4"/>
        <v>0</v>
      </c>
      <c r="M78" s="20">
        <v>0</v>
      </c>
      <c r="N78" s="57">
        <f t="shared" si="5"/>
        <v>0</v>
      </c>
      <c r="O78" s="46">
        <v>4.74</v>
      </c>
      <c r="P78" s="46">
        <v>0</v>
      </c>
      <c r="Q78" s="20" t="s">
        <v>562</v>
      </c>
      <c r="R78" s="20"/>
      <c r="S78" s="20"/>
      <c r="T78" s="20"/>
      <c r="U78" s="20"/>
      <c r="V78" s="58"/>
      <c r="W78" s="58"/>
      <c r="X78" s="58" t="s">
        <v>562</v>
      </c>
      <c r="Y78" s="58"/>
      <c r="Z78" s="58"/>
      <c r="AA78" s="58"/>
      <c r="AB78" s="58"/>
      <c r="AC78" s="58" t="s">
        <v>562</v>
      </c>
      <c r="AD78" s="58"/>
      <c r="AE78" s="58"/>
      <c r="AF78" s="58"/>
      <c r="AG78" s="58"/>
      <c r="AH78" s="58"/>
      <c r="AI78" s="58"/>
    </row>
    <row r="79" spans="1:35" x14ac:dyDescent="0.35">
      <c r="A79" s="17" t="s">
        <v>46</v>
      </c>
      <c r="B79" s="17" t="s">
        <v>2490</v>
      </c>
      <c r="C79" s="28" t="s">
        <v>2632</v>
      </c>
      <c r="D79" s="17" t="s">
        <v>2639</v>
      </c>
      <c r="E79" s="17" t="s">
        <v>2640</v>
      </c>
      <c r="F79" s="20">
        <v>259.3</v>
      </c>
      <c r="G79" s="20">
        <v>126</v>
      </c>
      <c r="H79" s="19">
        <v>606</v>
      </c>
      <c r="I79" s="20">
        <v>288</v>
      </c>
      <c r="J79" s="20">
        <v>318</v>
      </c>
      <c r="K79" s="20">
        <v>72</v>
      </c>
      <c r="L79" s="57">
        <f t="shared" si="4"/>
        <v>0.11881188118811881</v>
      </c>
      <c r="M79" s="20">
        <v>277</v>
      </c>
      <c r="N79" s="57">
        <f t="shared" si="5"/>
        <v>0.45709570957095708</v>
      </c>
      <c r="O79" s="46">
        <v>37.590000000000003</v>
      </c>
      <c r="P79" s="46">
        <v>0</v>
      </c>
      <c r="Q79" s="20" t="s">
        <v>51</v>
      </c>
      <c r="R79" s="20">
        <v>2020</v>
      </c>
      <c r="S79" s="20"/>
      <c r="T79" s="20"/>
      <c r="U79" s="20"/>
      <c r="V79" s="58"/>
      <c r="W79" s="58"/>
      <c r="X79" s="58" t="s">
        <v>51</v>
      </c>
      <c r="Y79" s="58"/>
      <c r="Z79" s="58"/>
      <c r="AA79" s="58"/>
      <c r="AB79" s="58"/>
      <c r="AC79" s="58" t="s">
        <v>51</v>
      </c>
      <c r="AD79" s="58"/>
      <c r="AE79" s="58"/>
      <c r="AF79" s="58"/>
      <c r="AG79" s="58"/>
      <c r="AH79" s="58"/>
      <c r="AI79" s="58"/>
    </row>
    <row r="80" spans="1:35" x14ac:dyDescent="0.35">
      <c r="A80" s="17" t="s">
        <v>46</v>
      </c>
      <c r="B80" s="17" t="s">
        <v>2490</v>
      </c>
      <c r="C80" s="28" t="s">
        <v>2632</v>
      </c>
      <c r="D80" s="17" t="s">
        <v>1505</v>
      </c>
      <c r="E80" s="17" t="s">
        <v>2641</v>
      </c>
      <c r="F80" s="20">
        <v>108.12</v>
      </c>
      <c r="G80" s="20">
        <v>34</v>
      </c>
      <c r="H80" s="19">
        <v>133</v>
      </c>
      <c r="I80" s="20">
        <v>66</v>
      </c>
      <c r="J80" s="20">
        <v>67</v>
      </c>
      <c r="K80" s="20">
        <v>7</v>
      </c>
      <c r="L80" s="57">
        <f t="shared" si="4"/>
        <v>5.2631578947368418E-2</v>
      </c>
      <c r="M80" s="20">
        <v>0</v>
      </c>
      <c r="N80" s="57">
        <f t="shared" si="5"/>
        <v>0</v>
      </c>
      <c r="O80" s="46">
        <v>13.84</v>
      </c>
      <c r="P80" s="46">
        <v>0</v>
      </c>
      <c r="Q80" s="20" t="s">
        <v>51</v>
      </c>
      <c r="R80" s="20">
        <v>2020</v>
      </c>
      <c r="S80" s="20"/>
      <c r="T80" s="20"/>
      <c r="U80" s="20"/>
      <c r="V80" s="58"/>
      <c r="W80" s="58"/>
      <c r="X80" s="58" t="s">
        <v>51</v>
      </c>
      <c r="Y80" s="58"/>
      <c r="Z80" s="58"/>
      <c r="AA80" s="58"/>
      <c r="AB80" s="58"/>
      <c r="AC80" s="58" t="s">
        <v>51</v>
      </c>
      <c r="AD80" s="58"/>
      <c r="AE80" s="58"/>
      <c r="AF80" s="58"/>
      <c r="AG80" s="58"/>
      <c r="AH80" s="58"/>
      <c r="AI80" s="58"/>
    </row>
    <row r="81" spans="1:35" x14ac:dyDescent="0.35">
      <c r="A81" s="17" t="s">
        <v>46</v>
      </c>
      <c r="B81" s="17" t="s">
        <v>2490</v>
      </c>
      <c r="C81" s="28" t="s">
        <v>2632</v>
      </c>
      <c r="D81" s="17" t="s">
        <v>2642</v>
      </c>
      <c r="E81" s="17" t="s">
        <v>2643</v>
      </c>
      <c r="F81" s="20">
        <v>251.02</v>
      </c>
      <c r="G81" s="20">
        <v>121</v>
      </c>
      <c r="H81" s="19">
        <v>514</v>
      </c>
      <c r="I81" s="20">
        <v>251</v>
      </c>
      <c r="J81" s="20">
        <v>263</v>
      </c>
      <c r="K81" s="20">
        <v>117</v>
      </c>
      <c r="L81" s="57">
        <f t="shared" si="4"/>
        <v>0.22762645914396887</v>
      </c>
      <c r="M81" s="20">
        <v>43</v>
      </c>
      <c r="N81" s="57">
        <f t="shared" si="5"/>
        <v>8.3657587548638127E-2</v>
      </c>
      <c r="O81" s="46">
        <v>53.7</v>
      </c>
      <c r="P81" s="46">
        <v>0</v>
      </c>
      <c r="Q81" s="20" t="s">
        <v>51</v>
      </c>
      <c r="R81" s="20">
        <v>2020</v>
      </c>
      <c r="S81" s="20"/>
      <c r="T81" s="20"/>
      <c r="U81" s="20"/>
      <c r="V81" s="58"/>
      <c r="W81" s="58"/>
      <c r="X81" s="58" t="s">
        <v>51</v>
      </c>
      <c r="Y81" s="58"/>
      <c r="Z81" s="58"/>
      <c r="AA81" s="58"/>
      <c r="AB81" s="58"/>
      <c r="AC81" s="58" t="s">
        <v>51</v>
      </c>
      <c r="AD81" s="58"/>
      <c r="AE81" s="58"/>
      <c r="AF81" s="58"/>
      <c r="AG81" s="58"/>
      <c r="AH81" s="58"/>
      <c r="AI81" s="58"/>
    </row>
    <row r="82" spans="1:35" x14ac:dyDescent="0.35">
      <c r="A82" s="17" t="s">
        <v>46</v>
      </c>
      <c r="B82" s="17" t="s">
        <v>2490</v>
      </c>
      <c r="C82" s="28" t="s">
        <v>2644</v>
      </c>
      <c r="D82" s="17" t="s">
        <v>2645</v>
      </c>
      <c r="E82" s="17" t="s">
        <v>2646</v>
      </c>
      <c r="F82" s="20">
        <v>271.06</v>
      </c>
      <c r="G82" s="20">
        <v>122</v>
      </c>
      <c r="H82" s="19">
        <v>528</v>
      </c>
      <c r="I82" s="20">
        <v>274</v>
      </c>
      <c r="J82" s="20">
        <v>254</v>
      </c>
      <c r="K82" s="20">
        <v>22</v>
      </c>
      <c r="L82" s="57">
        <f t="shared" si="4"/>
        <v>4.1666666666666664E-2</v>
      </c>
      <c r="M82" s="20">
        <v>70</v>
      </c>
      <c r="N82" s="57">
        <f t="shared" si="5"/>
        <v>0.13257575757575757</v>
      </c>
      <c r="O82" s="46">
        <v>66.11</v>
      </c>
      <c r="P82" s="46">
        <v>0</v>
      </c>
      <c r="Q82" s="20" t="s">
        <v>51</v>
      </c>
      <c r="R82" s="20">
        <v>2020</v>
      </c>
      <c r="S82" s="20"/>
      <c r="T82" s="20"/>
      <c r="U82" s="20"/>
      <c r="V82" s="58"/>
      <c r="W82" s="58"/>
      <c r="X82" s="58" t="s">
        <v>51</v>
      </c>
      <c r="Y82" s="58"/>
      <c r="Z82" s="58"/>
      <c r="AA82" s="58"/>
      <c r="AB82" s="58"/>
      <c r="AC82" s="58" t="s">
        <v>51</v>
      </c>
      <c r="AD82" s="58"/>
      <c r="AE82" s="58"/>
      <c r="AF82" s="58"/>
      <c r="AG82" s="58"/>
      <c r="AH82" s="58"/>
      <c r="AI82" s="58"/>
    </row>
    <row r="83" spans="1:35" x14ac:dyDescent="0.35">
      <c r="A83" s="17" t="s">
        <v>46</v>
      </c>
      <c r="B83" s="17" t="s">
        <v>2490</v>
      </c>
      <c r="C83" s="28" t="s">
        <v>2644</v>
      </c>
      <c r="D83" s="17" t="s">
        <v>2647</v>
      </c>
      <c r="E83" s="17" t="s">
        <v>2648</v>
      </c>
      <c r="F83" s="20">
        <v>447.26</v>
      </c>
      <c r="G83" s="20">
        <v>163</v>
      </c>
      <c r="H83" s="19">
        <v>686</v>
      </c>
      <c r="I83" s="20">
        <v>352</v>
      </c>
      <c r="J83" s="20">
        <v>334</v>
      </c>
      <c r="K83" s="20">
        <v>179</v>
      </c>
      <c r="L83" s="57">
        <f t="shared" si="4"/>
        <v>0.26093294460641397</v>
      </c>
      <c r="M83" s="20">
        <v>70</v>
      </c>
      <c r="N83" s="57">
        <f t="shared" si="5"/>
        <v>0.10204081632653061</v>
      </c>
      <c r="O83" s="46">
        <v>55.23</v>
      </c>
      <c r="P83" s="46">
        <v>0</v>
      </c>
      <c r="Q83" s="20" t="s">
        <v>51</v>
      </c>
      <c r="R83" s="20">
        <v>2020</v>
      </c>
      <c r="S83" s="20"/>
      <c r="T83" s="20"/>
      <c r="U83" s="20"/>
      <c r="V83" s="58"/>
      <c r="W83" s="58"/>
      <c r="X83" s="58" t="s">
        <v>51</v>
      </c>
      <c r="Y83" s="58"/>
      <c r="Z83" s="58"/>
      <c r="AA83" s="58"/>
      <c r="AB83" s="58"/>
      <c r="AC83" s="58" t="s">
        <v>51</v>
      </c>
      <c r="AD83" s="58"/>
      <c r="AE83" s="58"/>
      <c r="AF83" s="58"/>
      <c r="AG83" s="58"/>
      <c r="AH83" s="58"/>
      <c r="AI83" s="58"/>
    </row>
    <row r="84" spans="1:35" x14ac:dyDescent="0.35">
      <c r="A84" s="17" t="s">
        <v>46</v>
      </c>
      <c r="B84" s="17" t="s">
        <v>2490</v>
      </c>
      <c r="C84" s="28" t="s">
        <v>2644</v>
      </c>
      <c r="D84" s="17" t="s">
        <v>2649</v>
      </c>
      <c r="E84" s="17" t="s">
        <v>2650</v>
      </c>
      <c r="F84" s="20">
        <v>276.64</v>
      </c>
      <c r="G84" s="20">
        <v>87</v>
      </c>
      <c r="H84" s="19">
        <v>381</v>
      </c>
      <c r="I84" s="20">
        <v>193</v>
      </c>
      <c r="J84" s="20">
        <v>188</v>
      </c>
      <c r="K84" s="20">
        <v>0</v>
      </c>
      <c r="L84" s="57">
        <f t="shared" si="4"/>
        <v>0</v>
      </c>
      <c r="M84" s="20">
        <v>77</v>
      </c>
      <c r="N84" s="57">
        <f t="shared" si="5"/>
        <v>0.20209973753280841</v>
      </c>
      <c r="O84" s="46">
        <v>51.82</v>
      </c>
      <c r="P84" s="46">
        <v>0</v>
      </c>
      <c r="Q84" s="20" t="s">
        <v>51</v>
      </c>
      <c r="R84" s="20">
        <v>2020</v>
      </c>
      <c r="S84" s="20"/>
      <c r="T84" s="20"/>
      <c r="U84" s="20"/>
      <c r="V84" s="58"/>
      <c r="W84" s="58"/>
      <c r="X84" s="58" t="s">
        <v>51</v>
      </c>
      <c r="Y84" s="58"/>
      <c r="Z84" s="58"/>
      <c r="AA84" s="58"/>
      <c r="AB84" s="58"/>
      <c r="AC84" s="58" t="s">
        <v>51</v>
      </c>
      <c r="AD84" s="58"/>
      <c r="AE84" s="58"/>
      <c r="AF84" s="58"/>
      <c r="AG84" s="58"/>
      <c r="AH84" s="58"/>
      <c r="AI84" s="58"/>
    </row>
    <row r="85" spans="1:35" x14ac:dyDescent="0.35">
      <c r="A85" s="17" t="s">
        <v>46</v>
      </c>
      <c r="B85" s="17" t="s">
        <v>2490</v>
      </c>
      <c r="C85" s="28" t="s">
        <v>2644</v>
      </c>
      <c r="D85" s="17" t="s">
        <v>2651</v>
      </c>
      <c r="E85" s="17" t="s">
        <v>2652</v>
      </c>
      <c r="F85" s="20">
        <v>291.04000000000002</v>
      </c>
      <c r="G85" s="20">
        <v>113</v>
      </c>
      <c r="H85" s="19">
        <v>586</v>
      </c>
      <c r="I85" s="20">
        <v>294</v>
      </c>
      <c r="J85" s="20">
        <v>292</v>
      </c>
      <c r="K85" s="20">
        <v>25</v>
      </c>
      <c r="L85" s="57">
        <f t="shared" si="4"/>
        <v>4.2662116040955635E-2</v>
      </c>
      <c r="M85" s="20">
        <v>119</v>
      </c>
      <c r="N85" s="57">
        <f t="shared" si="5"/>
        <v>0.2030716723549488</v>
      </c>
      <c r="O85" s="46">
        <v>39.4</v>
      </c>
      <c r="P85" s="46">
        <v>0</v>
      </c>
      <c r="Q85" s="20" t="s">
        <v>51</v>
      </c>
      <c r="R85" s="20">
        <v>2020</v>
      </c>
      <c r="S85" s="20"/>
      <c r="T85" s="20"/>
      <c r="U85" s="20"/>
      <c r="V85" s="58"/>
      <c r="W85" s="58"/>
      <c r="X85" s="58" t="s">
        <v>51</v>
      </c>
      <c r="Y85" s="58"/>
      <c r="Z85" s="58"/>
      <c r="AA85" s="58"/>
      <c r="AB85" s="58"/>
      <c r="AC85" s="58" t="s">
        <v>51</v>
      </c>
      <c r="AD85" s="58"/>
      <c r="AE85" s="58"/>
      <c r="AF85" s="58"/>
      <c r="AG85" s="58"/>
      <c r="AH85" s="58"/>
      <c r="AI85" s="58"/>
    </row>
    <row r="86" spans="1:35" x14ac:dyDescent="0.35">
      <c r="A86" s="17" t="s">
        <v>46</v>
      </c>
      <c r="B86" s="17" t="s">
        <v>2490</v>
      </c>
      <c r="C86" s="28" t="s">
        <v>2644</v>
      </c>
      <c r="D86" s="17" t="s">
        <v>2653</v>
      </c>
      <c r="E86" s="17" t="s">
        <v>2654</v>
      </c>
      <c r="F86" s="20">
        <v>127.89</v>
      </c>
      <c r="G86" s="20">
        <v>67</v>
      </c>
      <c r="H86" s="19">
        <v>339</v>
      </c>
      <c r="I86" s="20">
        <v>149</v>
      </c>
      <c r="J86" s="20">
        <v>190</v>
      </c>
      <c r="K86" s="20">
        <v>0</v>
      </c>
      <c r="L86" s="57">
        <f t="shared" si="4"/>
        <v>0</v>
      </c>
      <c r="M86" s="20">
        <v>26</v>
      </c>
      <c r="N86" s="57">
        <f t="shared" si="5"/>
        <v>7.6696165191740412E-2</v>
      </c>
      <c r="O86" s="46">
        <v>25.4</v>
      </c>
      <c r="P86" s="46">
        <v>0</v>
      </c>
      <c r="Q86" s="20" t="s">
        <v>51</v>
      </c>
      <c r="R86" s="20">
        <v>2020</v>
      </c>
      <c r="S86" s="20"/>
      <c r="T86" s="20"/>
      <c r="U86" s="20"/>
      <c r="V86" s="58"/>
      <c r="W86" s="58"/>
      <c r="X86" s="58" t="s">
        <v>51</v>
      </c>
      <c r="Y86" s="58"/>
      <c r="Z86" s="58"/>
      <c r="AA86" s="58"/>
      <c r="AB86" s="58"/>
      <c r="AC86" s="58" t="s">
        <v>51</v>
      </c>
      <c r="AD86" s="58"/>
      <c r="AE86" s="58"/>
      <c r="AF86" s="58"/>
      <c r="AG86" s="58"/>
      <c r="AH86" s="58"/>
      <c r="AI86" s="58"/>
    </row>
    <row r="87" spans="1:35" x14ac:dyDescent="0.35">
      <c r="A87" s="17" t="s">
        <v>46</v>
      </c>
      <c r="B87" s="17" t="s">
        <v>2490</v>
      </c>
      <c r="C87" s="28" t="s">
        <v>2644</v>
      </c>
      <c r="D87" s="17" t="s">
        <v>797</v>
      </c>
      <c r="E87" s="17" t="s">
        <v>2655</v>
      </c>
      <c r="F87" s="20">
        <v>175.27</v>
      </c>
      <c r="G87" s="20">
        <v>55</v>
      </c>
      <c r="H87" s="19">
        <v>278</v>
      </c>
      <c r="I87" s="20">
        <v>138</v>
      </c>
      <c r="J87" s="20">
        <v>140</v>
      </c>
      <c r="K87" s="20">
        <v>8</v>
      </c>
      <c r="L87" s="57">
        <f t="shared" si="4"/>
        <v>2.8776978417266189E-2</v>
      </c>
      <c r="M87" s="20">
        <v>14</v>
      </c>
      <c r="N87" s="57">
        <f t="shared" si="5"/>
        <v>5.0359712230215826E-2</v>
      </c>
      <c r="O87" s="46">
        <v>17.13</v>
      </c>
      <c r="P87" s="46">
        <v>0</v>
      </c>
      <c r="Q87" s="20" t="s">
        <v>51</v>
      </c>
      <c r="R87" s="20">
        <v>2020</v>
      </c>
      <c r="S87" s="20"/>
      <c r="T87" s="20"/>
      <c r="U87" s="20"/>
      <c r="V87" s="58"/>
      <c r="W87" s="58"/>
      <c r="X87" s="58" t="s">
        <v>51</v>
      </c>
      <c r="Y87" s="58"/>
      <c r="Z87" s="58"/>
      <c r="AA87" s="58"/>
      <c r="AB87" s="58"/>
      <c r="AC87" s="58" t="s">
        <v>51</v>
      </c>
      <c r="AD87" s="58"/>
      <c r="AE87" s="58"/>
      <c r="AF87" s="58"/>
      <c r="AG87" s="58"/>
      <c r="AH87" s="58"/>
      <c r="AI87" s="58"/>
    </row>
    <row r="88" spans="1:35" x14ac:dyDescent="0.35">
      <c r="A88" s="17" t="s">
        <v>46</v>
      </c>
      <c r="B88" s="17" t="s">
        <v>2490</v>
      </c>
      <c r="C88" s="28" t="s">
        <v>2644</v>
      </c>
      <c r="D88" s="17" t="s">
        <v>2656</v>
      </c>
      <c r="E88" s="17" t="s">
        <v>2657</v>
      </c>
      <c r="F88" s="20">
        <v>185.38</v>
      </c>
      <c r="G88" s="20">
        <v>62</v>
      </c>
      <c r="H88" s="19">
        <v>265</v>
      </c>
      <c r="I88" s="20">
        <v>137</v>
      </c>
      <c r="J88" s="20">
        <v>128</v>
      </c>
      <c r="K88" s="20">
        <v>84</v>
      </c>
      <c r="L88" s="57">
        <f t="shared" si="4"/>
        <v>0.31698113207547168</v>
      </c>
      <c r="M88" s="20">
        <v>0</v>
      </c>
      <c r="N88" s="57">
        <f t="shared" si="5"/>
        <v>0</v>
      </c>
      <c r="O88" s="46">
        <v>26.86</v>
      </c>
      <c r="P88" s="46">
        <v>0</v>
      </c>
      <c r="Q88" s="20" t="s">
        <v>51</v>
      </c>
      <c r="R88" s="20">
        <v>2020</v>
      </c>
      <c r="S88" s="20"/>
      <c r="T88" s="20"/>
      <c r="U88" s="20"/>
      <c r="V88" s="58"/>
      <c r="W88" s="58"/>
      <c r="X88" s="58" t="s">
        <v>51</v>
      </c>
      <c r="Y88" s="58"/>
      <c r="Z88" s="58"/>
      <c r="AA88" s="58"/>
      <c r="AB88" s="58"/>
      <c r="AC88" s="58" t="s">
        <v>51</v>
      </c>
      <c r="AD88" s="58"/>
      <c r="AE88" s="58"/>
      <c r="AF88" s="58"/>
      <c r="AG88" s="58"/>
      <c r="AH88" s="58"/>
      <c r="AI88" s="58"/>
    </row>
    <row r="89" spans="1:35" x14ac:dyDescent="0.35">
      <c r="A89" s="17" t="s">
        <v>46</v>
      </c>
      <c r="B89" s="17" t="s">
        <v>2490</v>
      </c>
      <c r="C89" s="28" t="s">
        <v>2644</v>
      </c>
      <c r="D89" s="17" t="s">
        <v>2658</v>
      </c>
      <c r="E89" s="17" t="s">
        <v>2659</v>
      </c>
      <c r="F89" s="20">
        <v>769.9</v>
      </c>
      <c r="G89" s="20">
        <v>359</v>
      </c>
      <c r="H89" s="19">
        <v>1666</v>
      </c>
      <c r="I89" s="20">
        <v>845</v>
      </c>
      <c r="J89" s="20">
        <v>821</v>
      </c>
      <c r="K89" s="20">
        <v>314</v>
      </c>
      <c r="L89" s="57">
        <f t="shared" si="4"/>
        <v>0.18847539015606243</v>
      </c>
      <c r="M89" s="20">
        <v>75</v>
      </c>
      <c r="N89" s="57">
        <f t="shared" si="5"/>
        <v>4.5018007202881155E-2</v>
      </c>
      <c r="O89" s="46">
        <v>106.06</v>
      </c>
      <c r="P89" s="46">
        <v>0</v>
      </c>
      <c r="Q89" s="20" t="s">
        <v>51</v>
      </c>
      <c r="R89" s="20">
        <v>2020</v>
      </c>
      <c r="S89" s="20"/>
      <c r="T89" s="20"/>
      <c r="U89" s="20"/>
      <c r="V89" s="58"/>
      <c r="W89" s="58"/>
      <c r="X89" s="58" t="s">
        <v>51</v>
      </c>
      <c r="Y89" s="58"/>
      <c r="Z89" s="58"/>
      <c r="AA89" s="58"/>
      <c r="AB89" s="58"/>
      <c r="AC89" s="58" t="s">
        <v>51</v>
      </c>
      <c r="AD89" s="58"/>
      <c r="AE89" s="58"/>
      <c r="AF89" s="58"/>
      <c r="AG89" s="58"/>
      <c r="AH89" s="58"/>
      <c r="AI89" s="58"/>
    </row>
    <row r="90" spans="1:35" x14ac:dyDescent="0.35">
      <c r="A90" s="17" t="s">
        <v>46</v>
      </c>
      <c r="B90" s="17" t="s">
        <v>2490</v>
      </c>
      <c r="C90" s="28" t="s">
        <v>2644</v>
      </c>
      <c r="D90" s="17" t="s">
        <v>2660</v>
      </c>
      <c r="E90" s="17" t="s">
        <v>2661</v>
      </c>
      <c r="F90" s="20">
        <v>161.59</v>
      </c>
      <c r="G90" s="20">
        <v>38</v>
      </c>
      <c r="H90" s="19">
        <v>175</v>
      </c>
      <c r="I90" s="20">
        <v>93</v>
      </c>
      <c r="J90" s="20">
        <v>82</v>
      </c>
      <c r="K90" s="20">
        <v>0</v>
      </c>
      <c r="L90" s="57">
        <f t="shared" si="4"/>
        <v>0</v>
      </c>
      <c r="M90" s="20">
        <v>21</v>
      </c>
      <c r="N90" s="57">
        <f t="shared" si="5"/>
        <v>0.12</v>
      </c>
      <c r="O90" s="46">
        <v>30.69</v>
      </c>
      <c r="P90" s="46">
        <v>0</v>
      </c>
      <c r="Q90" s="20" t="s">
        <v>51</v>
      </c>
      <c r="R90" s="20">
        <v>2020</v>
      </c>
      <c r="S90" s="20"/>
      <c r="T90" s="20"/>
      <c r="U90" s="20"/>
      <c r="V90" s="58"/>
      <c r="W90" s="58"/>
      <c r="X90" s="58" t="s">
        <v>51</v>
      </c>
      <c r="Y90" s="58"/>
      <c r="Z90" s="58"/>
      <c r="AA90" s="58"/>
      <c r="AB90" s="58"/>
      <c r="AC90" s="58" t="s">
        <v>51</v>
      </c>
      <c r="AD90" s="58"/>
      <c r="AE90" s="58"/>
      <c r="AF90" s="58"/>
      <c r="AG90" s="58"/>
      <c r="AH90" s="58"/>
      <c r="AI90" s="58"/>
    </row>
    <row r="91" spans="1:35" x14ac:dyDescent="0.35">
      <c r="A91" s="17" t="s">
        <v>46</v>
      </c>
      <c r="B91" s="17" t="s">
        <v>2490</v>
      </c>
      <c r="C91" s="28" t="s">
        <v>2622</v>
      </c>
      <c r="D91" s="17" t="s">
        <v>149</v>
      </c>
      <c r="E91" s="17" t="s">
        <v>2662</v>
      </c>
      <c r="F91" s="20">
        <v>445.47</v>
      </c>
      <c r="G91" s="20">
        <v>226</v>
      </c>
      <c r="H91" s="19">
        <v>1064</v>
      </c>
      <c r="I91" s="20">
        <v>529</v>
      </c>
      <c r="J91" s="20">
        <v>535</v>
      </c>
      <c r="K91" s="20">
        <v>0</v>
      </c>
      <c r="L91" s="57">
        <f t="shared" si="4"/>
        <v>0</v>
      </c>
      <c r="M91" s="20">
        <v>17</v>
      </c>
      <c r="N91" s="57">
        <f t="shared" si="5"/>
        <v>1.5977443609022556E-2</v>
      </c>
      <c r="O91" s="46">
        <v>32.4</v>
      </c>
      <c r="P91" s="46">
        <v>0</v>
      </c>
      <c r="Q91" s="20" t="s">
        <v>51</v>
      </c>
      <c r="R91" s="20">
        <v>2020</v>
      </c>
      <c r="S91" s="20"/>
      <c r="T91" s="20"/>
      <c r="U91" s="20"/>
      <c r="V91" s="58"/>
      <c r="W91" s="58"/>
      <c r="X91" s="58" t="s">
        <v>51</v>
      </c>
      <c r="Y91" s="58"/>
      <c r="Z91" s="58"/>
      <c r="AA91" s="58"/>
      <c r="AB91" s="58"/>
      <c r="AC91" s="58" t="s">
        <v>51</v>
      </c>
      <c r="AD91" s="58"/>
      <c r="AE91" s="58"/>
      <c r="AF91" s="58"/>
      <c r="AG91" s="58"/>
      <c r="AH91" s="58"/>
      <c r="AI91" s="58"/>
    </row>
    <row r="92" spans="1:35" x14ac:dyDescent="0.35">
      <c r="A92" s="17" t="s">
        <v>46</v>
      </c>
      <c r="B92" s="17" t="s">
        <v>2490</v>
      </c>
      <c r="C92" s="28" t="s">
        <v>2644</v>
      </c>
      <c r="D92" s="17" t="s">
        <v>2663</v>
      </c>
      <c r="E92" s="17" t="s">
        <v>2664</v>
      </c>
      <c r="F92" s="20">
        <v>215.9</v>
      </c>
      <c r="G92" s="20">
        <v>36</v>
      </c>
      <c r="H92" s="19">
        <v>158</v>
      </c>
      <c r="I92" s="20">
        <v>75</v>
      </c>
      <c r="J92" s="20">
        <v>83</v>
      </c>
      <c r="K92" s="20">
        <v>0</v>
      </c>
      <c r="L92" s="57">
        <f t="shared" si="4"/>
        <v>0</v>
      </c>
      <c r="M92" s="20">
        <v>0</v>
      </c>
      <c r="N92" s="57">
        <f t="shared" si="5"/>
        <v>0</v>
      </c>
      <c r="O92" s="46">
        <v>26.87</v>
      </c>
      <c r="P92" s="46">
        <v>0</v>
      </c>
      <c r="Q92" s="20" t="s">
        <v>51</v>
      </c>
      <c r="R92" s="20">
        <v>2021</v>
      </c>
      <c r="S92" s="20"/>
      <c r="T92" s="20"/>
      <c r="U92" s="20"/>
      <c r="V92" s="58"/>
      <c r="W92" s="58"/>
      <c r="X92" s="58" t="s">
        <v>51</v>
      </c>
      <c r="Y92" s="58"/>
      <c r="Z92" s="58"/>
      <c r="AA92" s="58"/>
      <c r="AB92" s="58"/>
      <c r="AC92" s="58" t="s">
        <v>51</v>
      </c>
      <c r="AD92" s="58"/>
      <c r="AE92" s="58"/>
      <c r="AF92" s="58"/>
      <c r="AG92" s="58"/>
      <c r="AH92" s="58"/>
      <c r="AI92" s="58"/>
    </row>
    <row r="93" spans="1:35" x14ac:dyDescent="0.35">
      <c r="A93" s="17" t="s">
        <v>46</v>
      </c>
      <c r="B93" s="17" t="s">
        <v>2490</v>
      </c>
      <c r="C93" s="28" t="s">
        <v>2622</v>
      </c>
      <c r="D93" s="17" t="s">
        <v>52</v>
      </c>
      <c r="E93" s="17" t="s">
        <v>2665</v>
      </c>
      <c r="F93" s="20">
        <v>464.5</v>
      </c>
      <c r="G93" s="20">
        <v>262</v>
      </c>
      <c r="H93" s="19">
        <v>1289</v>
      </c>
      <c r="I93" s="20">
        <v>631</v>
      </c>
      <c r="J93" s="20">
        <v>658</v>
      </c>
      <c r="K93" s="20">
        <v>134</v>
      </c>
      <c r="L93" s="57">
        <f t="shared" si="4"/>
        <v>0.10395655546935609</v>
      </c>
      <c r="M93" s="20">
        <v>65</v>
      </c>
      <c r="N93" s="57">
        <f t="shared" si="5"/>
        <v>5.0426687354538403E-2</v>
      </c>
      <c r="O93" s="46">
        <v>58.93</v>
      </c>
      <c r="P93" s="46">
        <v>0</v>
      </c>
      <c r="Q93" s="20" t="s">
        <v>51</v>
      </c>
      <c r="R93" s="20">
        <v>2020</v>
      </c>
      <c r="S93" s="20"/>
      <c r="T93" s="20"/>
      <c r="U93" s="20"/>
      <c r="V93" s="58"/>
      <c r="W93" s="58"/>
      <c r="X93" s="58" t="s">
        <v>51</v>
      </c>
      <c r="Y93" s="58"/>
      <c r="Z93" s="58"/>
      <c r="AA93" s="58"/>
      <c r="AB93" s="58"/>
      <c r="AC93" s="58" t="s">
        <v>51</v>
      </c>
      <c r="AD93" s="58"/>
      <c r="AE93" s="58"/>
      <c r="AF93" s="58"/>
      <c r="AG93" s="58"/>
      <c r="AH93" s="58"/>
      <c r="AI93" s="58"/>
    </row>
    <row r="94" spans="1:35" x14ac:dyDescent="0.35">
      <c r="A94" s="17" t="s">
        <v>46</v>
      </c>
      <c r="B94" s="17" t="s">
        <v>2490</v>
      </c>
      <c r="C94" s="28" t="s">
        <v>2625</v>
      </c>
      <c r="D94" s="17" t="s">
        <v>2666</v>
      </c>
      <c r="E94" s="17" t="s">
        <v>2667</v>
      </c>
      <c r="F94" s="20">
        <v>736.97</v>
      </c>
      <c r="G94" s="20">
        <v>185</v>
      </c>
      <c r="H94" s="19">
        <v>829</v>
      </c>
      <c r="I94" s="20">
        <v>423</v>
      </c>
      <c r="J94" s="20">
        <v>406</v>
      </c>
      <c r="K94" s="20">
        <v>48</v>
      </c>
      <c r="L94" s="57">
        <f t="shared" si="4"/>
        <v>5.790108564535585E-2</v>
      </c>
      <c r="M94" s="20">
        <v>190</v>
      </c>
      <c r="N94" s="57">
        <f t="shared" si="5"/>
        <v>0.22919179734620024</v>
      </c>
      <c r="O94" s="46">
        <v>166.8</v>
      </c>
      <c r="P94" s="46">
        <v>0</v>
      </c>
      <c r="Q94" s="20" t="s">
        <v>562</v>
      </c>
      <c r="R94" s="20"/>
      <c r="S94" s="20"/>
      <c r="T94" s="20"/>
      <c r="U94" s="20"/>
      <c r="V94" s="58"/>
      <c r="W94" s="58"/>
      <c r="X94" s="58" t="s">
        <v>562</v>
      </c>
      <c r="Y94" s="58"/>
      <c r="Z94" s="58"/>
      <c r="AA94" s="58"/>
      <c r="AB94" s="58"/>
      <c r="AC94" s="58" t="s">
        <v>562</v>
      </c>
      <c r="AD94" s="58"/>
      <c r="AE94" s="58"/>
      <c r="AF94" s="58"/>
      <c r="AG94" s="58"/>
      <c r="AH94" s="58"/>
      <c r="AI94" s="58"/>
    </row>
    <row r="95" spans="1:35" x14ac:dyDescent="0.35">
      <c r="A95" s="17" t="s">
        <v>46</v>
      </c>
      <c r="B95" s="17" t="s">
        <v>2490</v>
      </c>
      <c r="C95" s="28" t="s">
        <v>2625</v>
      </c>
      <c r="D95" s="17" t="s">
        <v>1365</v>
      </c>
      <c r="E95" s="17" t="s">
        <v>2668</v>
      </c>
      <c r="F95" s="20">
        <v>503.64</v>
      </c>
      <c r="G95" s="20">
        <v>232</v>
      </c>
      <c r="H95" s="19">
        <v>1039</v>
      </c>
      <c r="I95" s="20">
        <v>533</v>
      </c>
      <c r="J95" s="20">
        <v>506</v>
      </c>
      <c r="K95" s="20">
        <v>263</v>
      </c>
      <c r="L95" s="57">
        <f t="shared" si="4"/>
        <v>0.25312800769971128</v>
      </c>
      <c r="M95" s="20">
        <v>0</v>
      </c>
      <c r="N95" s="57">
        <f t="shared" si="5"/>
        <v>0</v>
      </c>
      <c r="O95" s="46">
        <v>130.1</v>
      </c>
      <c r="P95" s="46">
        <v>0</v>
      </c>
      <c r="Q95" s="20" t="s">
        <v>562</v>
      </c>
      <c r="R95" s="20"/>
      <c r="S95" s="20"/>
      <c r="T95" s="20"/>
      <c r="U95" s="20"/>
      <c r="V95" s="58"/>
      <c r="W95" s="58"/>
      <c r="X95" s="58" t="s">
        <v>562</v>
      </c>
      <c r="Y95" s="58"/>
      <c r="Z95" s="58"/>
      <c r="AA95" s="58"/>
      <c r="AB95" s="58"/>
      <c r="AC95" s="58" t="s">
        <v>562</v>
      </c>
      <c r="AD95" s="58"/>
      <c r="AE95" s="58"/>
      <c r="AF95" s="58"/>
      <c r="AG95" s="58"/>
      <c r="AH95" s="58"/>
      <c r="AI95" s="58"/>
    </row>
    <row r="96" spans="1:35" x14ac:dyDescent="0.35">
      <c r="A96" s="17" t="s">
        <v>46</v>
      </c>
      <c r="B96" s="17" t="s">
        <v>2490</v>
      </c>
      <c r="C96" s="28" t="s">
        <v>2625</v>
      </c>
      <c r="D96" s="17" t="s">
        <v>2669</v>
      </c>
      <c r="E96" s="17" t="s">
        <v>2670</v>
      </c>
      <c r="F96" s="20">
        <v>733.46</v>
      </c>
      <c r="G96" s="20">
        <v>248</v>
      </c>
      <c r="H96" s="19">
        <v>1103</v>
      </c>
      <c r="I96" s="20">
        <v>586</v>
      </c>
      <c r="J96" s="20">
        <v>517</v>
      </c>
      <c r="K96" s="20">
        <v>40</v>
      </c>
      <c r="L96" s="57">
        <f t="shared" si="4"/>
        <v>3.6264732547597461E-2</v>
      </c>
      <c r="M96" s="20">
        <v>28</v>
      </c>
      <c r="N96" s="57">
        <f t="shared" si="5"/>
        <v>2.5385312783318223E-2</v>
      </c>
      <c r="O96" s="46">
        <v>11</v>
      </c>
      <c r="P96" s="46">
        <v>0</v>
      </c>
      <c r="Q96" s="20" t="s">
        <v>51</v>
      </c>
      <c r="R96" s="20">
        <v>2020</v>
      </c>
      <c r="S96" s="20"/>
      <c r="T96" s="20"/>
      <c r="U96" s="20"/>
      <c r="V96" s="58"/>
      <c r="W96" s="58"/>
      <c r="X96" s="58" t="s">
        <v>51</v>
      </c>
      <c r="Y96" s="58"/>
      <c r="Z96" s="58"/>
      <c r="AA96" s="58"/>
      <c r="AB96" s="58"/>
      <c r="AC96" s="58" t="s">
        <v>51</v>
      </c>
      <c r="AD96" s="58"/>
      <c r="AE96" s="58"/>
      <c r="AF96" s="58"/>
      <c r="AG96" s="58"/>
      <c r="AH96" s="58"/>
      <c r="AI96" s="58"/>
    </row>
    <row r="97" spans="1:35" x14ac:dyDescent="0.35">
      <c r="A97" s="17" t="s">
        <v>46</v>
      </c>
      <c r="B97" s="17" t="s">
        <v>2490</v>
      </c>
      <c r="C97" s="28" t="s">
        <v>2625</v>
      </c>
      <c r="D97" s="17" t="s">
        <v>2671</v>
      </c>
      <c r="E97" s="17" t="s">
        <v>2672</v>
      </c>
      <c r="F97" s="20">
        <v>53.79</v>
      </c>
      <c r="G97" s="20">
        <v>60</v>
      </c>
      <c r="H97" s="19">
        <v>245</v>
      </c>
      <c r="I97" s="20">
        <v>124</v>
      </c>
      <c r="J97" s="20">
        <v>121</v>
      </c>
      <c r="K97" s="20">
        <v>44</v>
      </c>
      <c r="L97" s="57">
        <f t="shared" si="4"/>
        <v>0.17959183673469387</v>
      </c>
      <c r="M97" s="20">
        <v>9</v>
      </c>
      <c r="N97" s="57">
        <f t="shared" si="5"/>
        <v>3.6734693877551024E-2</v>
      </c>
      <c r="O97" s="46">
        <v>4.7</v>
      </c>
      <c r="P97" s="46">
        <v>0</v>
      </c>
      <c r="Q97" s="20" t="s">
        <v>562</v>
      </c>
      <c r="R97" s="20"/>
      <c r="S97" s="20"/>
      <c r="T97" s="20"/>
      <c r="U97" s="20"/>
      <c r="V97" s="58"/>
      <c r="W97" s="58"/>
      <c r="X97" s="58" t="s">
        <v>562</v>
      </c>
      <c r="Y97" s="58"/>
      <c r="Z97" s="58"/>
      <c r="AA97" s="58"/>
      <c r="AB97" s="58"/>
      <c r="AC97" s="58" t="s">
        <v>562</v>
      </c>
      <c r="AD97" s="58"/>
      <c r="AE97" s="58"/>
      <c r="AF97" s="58"/>
      <c r="AG97" s="58"/>
      <c r="AH97" s="58"/>
      <c r="AI97" s="58"/>
    </row>
    <row r="98" spans="1:35" x14ac:dyDescent="0.35">
      <c r="A98" s="17" t="s">
        <v>46</v>
      </c>
      <c r="B98" s="17" t="s">
        <v>2490</v>
      </c>
      <c r="C98" s="28" t="s">
        <v>2625</v>
      </c>
      <c r="D98" s="17" t="s">
        <v>2673</v>
      </c>
      <c r="E98" s="17" t="s">
        <v>2674</v>
      </c>
      <c r="F98" s="20">
        <v>261.99</v>
      </c>
      <c r="G98" s="20">
        <v>83</v>
      </c>
      <c r="H98" s="19">
        <v>362</v>
      </c>
      <c r="I98" s="20">
        <v>176</v>
      </c>
      <c r="J98" s="20">
        <v>186</v>
      </c>
      <c r="K98" s="20">
        <v>117</v>
      </c>
      <c r="L98" s="57">
        <f t="shared" si="4"/>
        <v>0.32320441988950277</v>
      </c>
      <c r="M98" s="20">
        <v>72</v>
      </c>
      <c r="N98" s="57">
        <f t="shared" si="5"/>
        <v>0.19889502762430938</v>
      </c>
      <c r="O98" s="46">
        <v>24.1</v>
      </c>
      <c r="P98" s="46">
        <v>0</v>
      </c>
      <c r="Q98" s="20" t="s">
        <v>51</v>
      </c>
      <c r="R98" s="20">
        <v>2020</v>
      </c>
      <c r="S98" s="20"/>
      <c r="T98" s="20"/>
      <c r="U98" s="20"/>
      <c r="V98" s="58"/>
      <c r="W98" s="58"/>
      <c r="X98" s="58" t="s">
        <v>51</v>
      </c>
      <c r="Y98" s="58"/>
      <c r="Z98" s="58"/>
      <c r="AA98" s="58"/>
      <c r="AB98" s="58"/>
      <c r="AC98" s="58" t="s">
        <v>51</v>
      </c>
      <c r="AD98" s="58"/>
      <c r="AE98" s="58"/>
      <c r="AF98" s="58"/>
      <c r="AG98" s="58"/>
      <c r="AH98" s="58"/>
      <c r="AI98" s="58"/>
    </row>
    <row r="99" spans="1:35" x14ac:dyDescent="0.35">
      <c r="A99" s="17" t="s">
        <v>46</v>
      </c>
      <c r="B99" s="17" t="s">
        <v>2490</v>
      </c>
      <c r="C99" s="28" t="s">
        <v>2562</v>
      </c>
      <c r="D99" s="17" t="s">
        <v>2675</v>
      </c>
      <c r="E99" s="17" t="s">
        <v>2676</v>
      </c>
      <c r="F99" s="20">
        <v>164.9</v>
      </c>
      <c r="G99" s="20">
        <v>73</v>
      </c>
      <c r="H99" s="19">
        <v>337</v>
      </c>
      <c r="I99" s="20">
        <v>165</v>
      </c>
      <c r="J99" s="20">
        <v>172</v>
      </c>
      <c r="K99" s="20">
        <v>3</v>
      </c>
      <c r="L99" s="57">
        <f t="shared" si="4"/>
        <v>8.9020771513353119E-3</v>
      </c>
      <c r="M99" s="20">
        <v>35</v>
      </c>
      <c r="N99" s="57">
        <f t="shared" si="5"/>
        <v>0.10385756676557864</v>
      </c>
      <c r="O99" s="46">
        <v>30.3</v>
      </c>
      <c r="P99" s="46">
        <v>0</v>
      </c>
      <c r="Q99" s="20" t="s">
        <v>562</v>
      </c>
      <c r="R99" s="20"/>
      <c r="S99" s="20"/>
      <c r="T99" s="20"/>
      <c r="U99" s="20"/>
      <c r="V99" s="58"/>
      <c r="W99" s="58"/>
      <c r="X99" s="58" t="s">
        <v>562</v>
      </c>
      <c r="Y99" s="58"/>
      <c r="Z99" s="58"/>
      <c r="AA99" s="58"/>
      <c r="AB99" s="58"/>
      <c r="AC99" s="58" t="s">
        <v>562</v>
      </c>
      <c r="AD99" s="58"/>
      <c r="AE99" s="58"/>
      <c r="AF99" s="58"/>
      <c r="AG99" s="58"/>
      <c r="AH99" s="58"/>
      <c r="AI99" s="58"/>
    </row>
    <row r="100" spans="1:35" x14ac:dyDescent="0.35">
      <c r="A100" s="17" t="s">
        <v>46</v>
      </c>
      <c r="B100" s="17" t="s">
        <v>2490</v>
      </c>
      <c r="C100" s="28" t="s">
        <v>2562</v>
      </c>
      <c r="D100" s="17" t="s">
        <v>2677</v>
      </c>
      <c r="E100" s="17" t="s">
        <v>2678</v>
      </c>
      <c r="F100" s="20">
        <v>35.729999999999997</v>
      </c>
      <c r="G100" s="20">
        <v>68</v>
      </c>
      <c r="H100" s="19">
        <v>281</v>
      </c>
      <c r="I100" s="20">
        <v>138</v>
      </c>
      <c r="J100" s="20">
        <v>143</v>
      </c>
      <c r="K100" s="20">
        <v>2</v>
      </c>
      <c r="L100" s="57">
        <f t="shared" ref="L100:L131" si="6">K100/H100</f>
        <v>7.1174377224199285E-3</v>
      </c>
      <c r="M100" s="20">
        <v>22</v>
      </c>
      <c r="N100" s="57">
        <f t="shared" ref="N100:N131" si="7">M100/H100</f>
        <v>7.8291814946619215E-2</v>
      </c>
      <c r="O100" s="46">
        <v>0</v>
      </c>
      <c r="P100" s="46">
        <v>0</v>
      </c>
      <c r="Q100" s="20" t="s">
        <v>51</v>
      </c>
      <c r="R100" s="20">
        <v>2020</v>
      </c>
      <c r="S100" s="20"/>
      <c r="T100" s="20"/>
      <c r="U100" s="20"/>
      <c r="V100" s="58"/>
      <c r="W100" s="58"/>
      <c r="X100" s="58" t="s">
        <v>51</v>
      </c>
      <c r="Y100" s="58"/>
      <c r="Z100" s="58"/>
      <c r="AA100" s="58"/>
      <c r="AB100" s="58"/>
      <c r="AC100" s="58" t="s">
        <v>51</v>
      </c>
      <c r="AD100" s="58"/>
      <c r="AE100" s="58"/>
      <c r="AF100" s="58"/>
      <c r="AG100" s="58"/>
      <c r="AH100" s="58"/>
      <c r="AI100" s="58"/>
    </row>
    <row r="101" spans="1:35" x14ac:dyDescent="0.35">
      <c r="A101" s="17" t="s">
        <v>46</v>
      </c>
      <c r="B101" s="17" t="s">
        <v>2490</v>
      </c>
      <c r="C101" s="28" t="s">
        <v>2625</v>
      </c>
      <c r="D101" s="17" t="s">
        <v>227</v>
      </c>
      <c r="E101" s="17" t="s">
        <v>2679</v>
      </c>
      <c r="F101" s="20">
        <v>280.63</v>
      </c>
      <c r="G101" s="20">
        <v>72</v>
      </c>
      <c r="H101" s="19">
        <v>323</v>
      </c>
      <c r="I101" s="20">
        <v>154</v>
      </c>
      <c r="J101" s="20">
        <v>169</v>
      </c>
      <c r="K101" s="20">
        <v>14</v>
      </c>
      <c r="L101" s="57">
        <f t="shared" si="6"/>
        <v>4.3343653250773995E-2</v>
      </c>
      <c r="M101" s="20">
        <v>3</v>
      </c>
      <c r="N101" s="57">
        <f t="shared" si="7"/>
        <v>9.2879256965944269E-3</v>
      </c>
      <c r="O101" s="46">
        <v>32</v>
      </c>
      <c r="P101" s="46">
        <v>0</v>
      </c>
      <c r="Q101" s="20" t="s">
        <v>51</v>
      </c>
      <c r="R101" s="20">
        <v>2020</v>
      </c>
      <c r="S101" s="20"/>
      <c r="T101" s="20"/>
      <c r="U101" s="20"/>
      <c r="V101" s="58"/>
      <c r="W101" s="58"/>
      <c r="X101" s="58" t="s">
        <v>51</v>
      </c>
      <c r="Y101" s="58"/>
      <c r="Z101" s="58"/>
      <c r="AA101" s="58"/>
      <c r="AB101" s="58"/>
      <c r="AC101" s="58" t="s">
        <v>51</v>
      </c>
      <c r="AD101" s="58"/>
      <c r="AE101" s="58"/>
      <c r="AF101" s="58"/>
      <c r="AG101" s="58"/>
      <c r="AH101" s="58"/>
      <c r="AI101" s="58"/>
    </row>
    <row r="102" spans="1:35" x14ac:dyDescent="0.35">
      <c r="A102" s="17" t="s">
        <v>46</v>
      </c>
      <c r="B102" s="17" t="s">
        <v>2490</v>
      </c>
      <c r="C102" s="28" t="s">
        <v>2632</v>
      </c>
      <c r="D102" s="17" t="s">
        <v>2626</v>
      </c>
      <c r="E102" s="17" t="s">
        <v>2680</v>
      </c>
      <c r="F102" s="20">
        <v>96.98</v>
      </c>
      <c r="G102" s="20">
        <v>74</v>
      </c>
      <c r="H102" s="19">
        <v>340</v>
      </c>
      <c r="I102" s="20">
        <v>172</v>
      </c>
      <c r="J102" s="20">
        <v>168</v>
      </c>
      <c r="K102" s="20">
        <v>17</v>
      </c>
      <c r="L102" s="57">
        <f t="shared" si="6"/>
        <v>0.05</v>
      </c>
      <c r="M102" s="20">
        <v>11</v>
      </c>
      <c r="N102" s="57">
        <f t="shared" si="7"/>
        <v>3.2352941176470591E-2</v>
      </c>
      <c r="O102" s="46">
        <v>2.9</v>
      </c>
      <c r="P102" s="46">
        <v>0</v>
      </c>
      <c r="Q102" s="20" t="s">
        <v>51</v>
      </c>
      <c r="R102" s="20">
        <v>2020</v>
      </c>
      <c r="S102" s="20"/>
      <c r="T102" s="20"/>
      <c r="U102" s="20"/>
      <c r="V102" s="58"/>
      <c r="W102" s="58"/>
      <c r="X102" s="58" t="s">
        <v>51</v>
      </c>
      <c r="Y102" s="58"/>
      <c r="Z102" s="58"/>
      <c r="AA102" s="58"/>
      <c r="AB102" s="58"/>
      <c r="AC102" s="58" t="s">
        <v>51</v>
      </c>
      <c r="AD102" s="58"/>
      <c r="AE102" s="58"/>
      <c r="AF102" s="58"/>
      <c r="AG102" s="58"/>
      <c r="AH102" s="58"/>
      <c r="AI102" s="58"/>
    </row>
    <row r="103" spans="1:35" x14ac:dyDescent="0.35">
      <c r="A103" s="17" t="s">
        <v>46</v>
      </c>
      <c r="B103" s="17" t="s">
        <v>2490</v>
      </c>
      <c r="C103" s="28" t="s">
        <v>1925</v>
      </c>
      <c r="D103" s="17" t="s">
        <v>2681</v>
      </c>
      <c r="E103" s="17" t="s">
        <v>2682</v>
      </c>
      <c r="F103" s="20">
        <v>273.57</v>
      </c>
      <c r="G103" s="20">
        <v>137</v>
      </c>
      <c r="H103" s="19">
        <v>644</v>
      </c>
      <c r="I103" s="20">
        <v>327</v>
      </c>
      <c r="J103" s="20">
        <v>317</v>
      </c>
      <c r="K103" s="20">
        <v>91</v>
      </c>
      <c r="L103" s="57">
        <f t="shared" si="6"/>
        <v>0.14130434782608695</v>
      </c>
      <c r="M103" s="20">
        <v>9</v>
      </c>
      <c r="N103" s="57">
        <f t="shared" si="7"/>
        <v>1.3975155279503106E-2</v>
      </c>
      <c r="O103" s="46">
        <v>11.2</v>
      </c>
      <c r="P103" s="46">
        <v>39.799999999999997</v>
      </c>
      <c r="Q103" s="20" t="s">
        <v>51</v>
      </c>
      <c r="R103" s="20">
        <v>2020</v>
      </c>
      <c r="S103" s="20"/>
      <c r="T103" s="20"/>
      <c r="U103" s="20"/>
      <c r="V103" s="58"/>
      <c r="W103" s="58"/>
      <c r="X103" s="58" t="s">
        <v>51</v>
      </c>
      <c r="Y103" s="58"/>
      <c r="Z103" s="58"/>
      <c r="AA103" s="58"/>
      <c r="AB103" s="58"/>
      <c r="AC103" s="58" t="s">
        <v>51</v>
      </c>
      <c r="AD103" s="58"/>
      <c r="AE103" s="58"/>
      <c r="AF103" s="58"/>
      <c r="AG103" s="58"/>
      <c r="AH103" s="58"/>
      <c r="AI103" s="58"/>
    </row>
    <row r="104" spans="1:35" x14ac:dyDescent="0.35">
      <c r="A104" s="17" t="s">
        <v>46</v>
      </c>
      <c r="B104" s="17" t="s">
        <v>2490</v>
      </c>
      <c r="C104" s="28" t="s">
        <v>2683</v>
      </c>
      <c r="D104" s="17" t="s">
        <v>2684</v>
      </c>
      <c r="E104" s="17" t="s">
        <v>2685</v>
      </c>
      <c r="F104" s="20">
        <v>39.79</v>
      </c>
      <c r="G104" s="20">
        <v>11</v>
      </c>
      <c r="H104" s="19">
        <v>55</v>
      </c>
      <c r="I104" s="20">
        <v>26</v>
      </c>
      <c r="J104" s="20">
        <v>29</v>
      </c>
      <c r="K104" s="20">
        <v>0</v>
      </c>
      <c r="L104" s="57">
        <f t="shared" si="6"/>
        <v>0</v>
      </c>
      <c r="M104" s="20">
        <v>0</v>
      </c>
      <c r="N104" s="57">
        <f t="shared" si="7"/>
        <v>0</v>
      </c>
      <c r="O104" s="46">
        <v>4.72</v>
      </c>
      <c r="P104" s="46">
        <v>0</v>
      </c>
      <c r="Q104" s="20" t="s">
        <v>562</v>
      </c>
      <c r="R104" s="20"/>
      <c r="S104" s="20"/>
      <c r="T104" s="20"/>
      <c r="U104" s="20"/>
      <c r="V104" s="58"/>
      <c r="W104" s="58"/>
      <c r="X104" s="58" t="s">
        <v>562</v>
      </c>
      <c r="Y104" s="58"/>
      <c r="Z104" s="58"/>
      <c r="AA104" s="58"/>
      <c r="AB104" s="58"/>
      <c r="AC104" s="58" t="s">
        <v>562</v>
      </c>
      <c r="AD104" s="58"/>
      <c r="AE104" s="58"/>
      <c r="AF104" s="58"/>
      <c r="AG104" s="58"/>
      <c r="AH104" s="58"/>
      <c r="AI104" s="58"/>
    </row>
    <row r="105" spans="1:35" x14ac:dyDescent="0.35">
      <c r="A105" s="17" t="s">
        <v>46</v>
      </c>
      <c r="B105" s="17" t="s">
        <v>2490</v>
      </c>
      <c r="C105" s="28" t="s">
        <v>2608</v>
      </c>
      <c r="D105" s="17" t="s">
        <v>2686</v>
      </c>
      <c r="E105" s="17" t="s">
        <v>2687</v>
      </c>
      <c r="F105" s="20">
        <v>16.63</v>
      </c>
      <c r="G105" s="20">
        <v>7</v>
      </c>
      <c r="H105" s="19">
        <v>30</v>
      </c>
      <c r="I105" s="20">
        <v>15</v>
      </c>
      <c r="J105" s="20">
        <v>15</v>
      </c>
      <c r="K105" s="20">
        <v>0</v>
      </c>
      <c r="L105" s="57">
        <f t="shared" si="6"/>
        <v>0</v>
      </c>
      <c r="M105" s="20">
        <v>0</v>
      </c>
      <c r="N105" s="57">
        <f t="shared" si="7"/>
        <v>0</v>
      </c>
      <c r="O105" s="46">
        <v>0</v>
      </c>
      <c r="P105" s="46">
        <v>0</v>
      </c>
      <c r="Q105" s="20" t="s">
        <v>562</v>
      </c>
      <c r="R105" s="20"/>
      <c r="S105" s="20"/>
      <c r="T105" s="20"/>
      <c r="U105" s="20"/>
      <c r="V105" s="58"/>
      <c r="W105" s="58"/>
      <c r="X105" s="58" t="s">
        <v>562</v>
      </c>
      <c r="Y105" s="58"/>
      <c r="Z105" s="58"/>
      <c r="AA105" s="58"/>
      <c r="AB105" s="58"/>
      <c r="AC105" s="58" t="s">
        <v>562</v>
      </c>
      <c r="AD105" s="58"/>
      <c r="AE105" s="58"/>
      <c r="AF105" s="58"/>
      <c r="AG105" s="58"/>
      <c r="AH105" s="58"/>
      <c r="AI105" s="58"/>
    </row>
    <row r="106" spans="1:35" x14ac:dyDescent="0.35">
      <c r="A106" s="17" t="s">
        <v>46</v>
      </c>
      <c r="B106" s="17" t="s">
        <v>2490</v>
      </c>
      <c r="C106" s="28" t="s">
        <v>2502</v>
      </c>
      <c r="D106" s="17" t="s">
        <v>2688</v>
      </c>
      <c r="E106" s="17" t="s">
        <v>2689</v>
      </c>
      <c r="F106" s="20">
        <v>31.36</v>
      </c>
      <c r="G106" s="20">
        <v>48</v>
      </c>
      <c r="H106" s="19">
        <v>260</v>
      </c>
      <c r="I106" s="20">
        <v>128</v>
      </c>
      <c r="J106" s="20">
        <v>132</v>
      </c>
      <c r="K106" s="20">
        <v>0</v>
      </c>
      <c r="L106" s="57">
        <f t="shared" si="6"/>
        <v>0</v>
      </c>
      <c r="M106" s="20">
        <v>0</v>
      </c>
      <c r="N106" s="57">
        <f t="shared" si="7"/>
        <v>0</v>
      </c>
      <c r="O106" s="46">
        <v>2.52</v>
      </c>
      <c r="P106" s="46">
        <v>0</v>
      </c>
      <c r="Q106" s="20" t="s">
        <v>562</v>
      </c>
      <c r="R106" s="20"/>
      <c r="S106" s="20"/>
      <c r="T106" s="20"/>
      <c r="U106" s="20"/>
      <c r="V106" s="58"/>
      <c r="W106" s="58"/>
      <c r="X106" s="58" t="s">
        <v>562</v>
      </c>
      <c r="Y106" s="58"/>
      <c r="Z106" s="58"/>
      <c r="AA106" s="58"/>
      <c r="AB106" s="58"/>
      <c r="AC106" s="58" t="s">
        <v>562</v>
      </c>
      <c r="AD106" s="58"/>
      <c r="AE106" s="58"/>
      <c r="AF106" s="58"/>
      <c r="AG106" s="58"/>
      <c r="AH106" s="58"/>
      <c r="AI106" s="58"/>
    </row>
    <row r="107" spans="1:35" x14ac:dyDescent="0.35">
      <c r="A107" s="17" t="s">
        <v>46</v>
      </c>
      <c r="B107" s="17" t="s">
        <v>2490</v>
      </c>
      <c r="C107" s="28" t="s">
        <v>2502</v>
      </c>
      <c r="D107" s="17" t="s">
        <v>167</v>
      </c>
      <c r="E107" s="17" t="s">
        <v>2690</v>
      </c>
      <c r="F107" s="20">
        <v>82.65</v>
      </c>
      <c r="G107" s="20">
        <v>58</v>
      </c>
      <c r="H107" s="19">
        <v>251</v>
      </c>
      <c r="I107" s="20">
        <v>133</v>
      </c>
      <c r="J107" s="20">
        <v>118</v>
      </c>
      <c r="K107" s="20">
        <v>14</v>
      </c>
      <c r="L107" s="57">
        <f t="shared" si="6"/>
        <v>5.5776892430278883E-2</v>
      </c>
      <c r="M107" s="20">
        <v>0</v>
      </c>
      <c r="N107" s="57">
        <f t="shared" si="7"/>
        <v>0</v>
      </c>
      <c r="O107" s="46">
        <v>0</v>
      </c>
      <c r="P107" s="46">
        <v>0</v>
      </c>
      <c r="Q107" s="20" t="s">
        <v>562</v>
      </c>
      <c r="R107" s="20"/>
      <c r="S107" s="20"/>
      <c r="T107" s="20"/>
      <c r="U107" s="20"/>
      <c r="V107" s="58"/>
      <c r="W107" s="58"/>
      <c r="X107" s="58" t="s">
        <v>562</v>
      </c>
      <c r="Y107" s="58"/>
      <c r="Z107" s="58"/>
      <c r="AA107" s="58"/>
      <c r="AB107" s="58"/>
      <c r="AC107" s="58" t="s">
        <v>562</v>
      </c>
      <c r="AD107" s="58"/>
      <c r="AE107" s="58"/>
      <c r="AF107" s="58"/>
      <c r="AG107" s="58"/>
      <c r="AH107" s="58"/>
      <c r="AI107" s="58"/>
    </row>
    <row r="108" spans="1:35" x14ac:dyDescent="0.35">
      <c r="A108" s="17" t="s">
        <v>46</v>
      </c>
      <c r="B108" s="17" t="s">
        <v>2490</v>
      </c>
      <c r="C108" s="28" t="s">
        <v>2512</v>
      </c>
      <c r="D108" s="17" t="s">
        <v>2524</v>
      </c>
      <c r="E108" s="17" t="s">
        <v>2691</v>
      </c>
      <c r="F108" s="20">
        <v>156.32</v>
      </c>
      <c r="G108" s="20">
        <v>204</v>
      </c>
      <c r="H108" s="19">
        <v>860</v>
      </c>
      <c r="I108" s="20">
        <v>433</v>
      </c>
      <c r="J108" s="20">
        <v>427</v>
      </c>
      <c r="K108" s="20">
        <v>59</v>
      </c>
      <c r="L108" s="57">
        <f t="shared" si="6"/>
        <v>6.86046511627907E-2</v>
      </c>
      <c r="M108" s="20">
        <v>84</v>
      </c>
      <c r="N108" s="57">
        <f t="shared" si="7"/>
        <v>9.7674418604651161E-2</v>
      </c>
      <c r="O108" s="46">
        <v>31.99</v>
      </c>
      <c r="P108" s="46">
        <v>0</v>
      </c>
      <c r="Q108" s="20" t="s">
        <v>562</v>
      </c>
      <c r="R108" s="20"/>
      <c r="S108" s="20"/>
      <c r="T108" s="20"/>
      <c r="U108" s="20"/>
      <c r="V108" s="58"/>
      <c r="W108" s="58"/>
      <c r="X108" s="58" t="s">
        <v>562</v>
      </c>
      <c r="Y108" s="58"/>
      <c r="Z108" s="58"/>
      <c r="AA108" s="58"/>
      <c r="AB108" s="58"/>
      <c r="AC108" s="58" t="s">
        <v>562</v>
      </c>
      <c r="AD108" s="58"/>
      <c r="AE108" s="58"/>
      <c r="AF108" s="58"/>
      <c r="AG108" s="58"/>
      <c r="AH108" s="58"/>
      <c r="AI108" s="58"/>
    </row>
    <row r="109" spans="1:35" x14ac:dyDescent="0.35">
      <c r="A109" s="17" t="s">
        <v>46</v>
      </c>
      <c r="B109" s="17" t="s">
        <v>2490</v>
      </c>
      <c r="C109" s="28" t="s">
        <v>2502</v>
      </c>
      <c r="D109" s="17" t="s">
        <v>2692</v>
      </c>
      <c r="E109" s="17" t="s">
        <v>2693</v>
      </c>
      <c r="F109" s="20">
        <v>60.93</v>
      </c>
      <c r="G109" s="20">
        <v>8</v>
      </c>
      <c r="H109" s="19">
        <v>40</v>
      </c>
      <c r="I109" s="20">
        <v>23</v>
      </c>
      <c r="J109" s="20">
        <v>17</v>
      </c>
      <c r="K109" s="20">
        <v>0</v>
      </c>
      <c r="L109" s="57">
        <f t="shared" si="6"/>
        <v>0</v>
      </c>
      <c r="M109" s="20">
        <v>15</v>
      </c>
      <c r="N109" s="57">
        <f t="shared" si="7"/>
        <v>0.375</v>
      </c>
      <c r="O109" s="46">
        <v>0</v>
      </c>
      <c r="P109" s="46">
        <v>0</v>
      </c>
      <c r="Q109" s="20" t="s">
        <v>562</v>
      </c>
      <c r="R109" s="20"/>
      <c r="S109" s="20"/>
      <c r="T109" s="20"/>
      <c r="U109" s="20"/>
      <c r="V109" s="58"/>
      <c r="W109" s="58"/>
      <c r="X109" s="58" t="s">
        <v>562</v>
      </c>
      <c r="Y109" s="58"/>
      <c r="Z109" s="58"/>
      <c r="AA109" s="58"/>
      <c r="AB109" s="58"/>
      <c r="AC109" s="58" t="s">
        <v>562</v>
      </c>
      <c r="AD109" s="58"/>
      <c r="AE109" s="58"/>
      <c r="AF109" s="58"/>
      <c r="AG109" s="58"/>
      <c r="AH109" s="58"/>
      <c r="AI109" s="58"/>
    </row>
    <row r="110" spans="1:35" x14ac:dyDescent="0.35">
      <c r="A110" s="17" t="s">
        <v>46</v>
      </c>
      <c r="B110" s="17" t="s">
        <v>2490</v>
      </c>
      <c r="C110" s="28" t="s">
        <v>2502</v>
      </c>
      <c r="D110" s="17" t="s">
        <v>2694</v>
      </c>
      <c r="E110" s="17" t="s">
        <v>2695</v>
      </c>
      <c r="F110" s="20">
        <v>165.05</v>
      </c>
      <c r="G110" s="20">
        <v>95</v>
      </c>
      <c r="H110" s="19">
        <v>451</v>
      </c>
      <c r="I110" s="20">
        <v>224</v>
      </c>
      <c r="J110" s="20">
        <v>227</v>
      </c>
      <c r="K110" s="20">
        <v>50</v>
      </c>
      <c r="L110" s="57">
        <f t="shared" si="6"/>
        <v>0.11086474501108648</v>
      </c>
      <c r="M110" s="20">
        <v>259</v>
      </c>
      <c r="N110" s="57">
        <f t="shared" si="7"/>
        <v>0.57427937915742788</v>
      </c>
      <c r="O110" s="46">
        <v>8.98</v>
      </c>
      <c r="P110" s="46">
        <v>26.6</v>
      </c>
      <c r="Q110" s="20" t="s">
        <v>51</v>
      </c>
      <c r="R110" s="20">
        <v>2020</v>
      </c>
      <c r="S110" s="20"/>
      <c r="T110" s="20"/>
      <c r="U110" s="20"/>
      <c r="V110" s="58"/>
      <c r="W110" s="58"/>
      <c r="X110" s="58" t="s">
        <v>51</v>
      </c>
      <c r="Y110" s="58"/>
      <c r="Z110" s="58"/>
      <c r="AA110" s="58"/>
      <c r="AB110" s="58"/>
      <c r="AC110" s="58" t="s">
        <v>51</v>
      </c>
      <c r="AD110" s="58"/>
      <c r="AE110" s="58"/>
      <c r="AF110" s="58"/>
      <c r="AG110" s="58"/>
      <c r="AH110" s="58"/>
      <c r="AI110" s="58"/>
    </row>
    <row r="111" spans="1:35" x14ac:dyDescent="0.35">
      <c r="A111" s="17" t="s">
        <v>46</v>
      </c>
      <c r="B111" s="17" t="s">
        <v>2490</v>
      </c>
      <c r="C111" s="28" t="s">
        <v>2683</v>
      </c>
      <c r="D111" s="17" t="s">
        <v>2696</v>
      </c>
      <c r="E111" s="17" t="s">
        <v>2697</v>
      </c>
      <c r="F111" s="20">
        <v>993.82</v>
      </c>
      <c r="G111" s="20">
        <v>262</v>
      </c>
      <c r="H111" s="19">
        <v>1246</v>
      </c>
      <c r="I111" s="20">
        <v>610</v>
      </c>
      <c r="J111" s="20">
        <v>636</v>
      </c>
      <c r="K111" s="20">
        <v>117</v>
      </c>
      <c r="L111" s="57">
        <f t="shared" si="6"/>
        <v>9.3900481540930975E-2</v>
      </c>
      <c r="M111" s="20">
        <v>516</v>
      </c>
      <c r="N111" s="57">
        <f t="shared" si="7"/>
        <v>0.41412520064205455</v>
      </c>
      <c r="O111" s="46">
        <v>126.97</v>
      </c>
      <c r="P111" s="46">
        <v>201.55</v>
      </c>
      <c r="Q111" s="20" t="s">
        <v>51</v>
      </c>
      <c r="R111" s="20">
        <v>2020</v>
      </c>
      <c r="S111" s="20"/>
      <c r="T111" s="20"/>
      <c r="U111" s="20"/>
      <c r="V111" s="58"/>
      <c r="W111" s="58"/>
      <c r="X111" s="58" t="s">
        <v>51</v>
      </c>
      <c r="Y111" s="58"/>
      <c r="Z111" s="58"/>
      <c r="AA111" s="58"/>
      <c r="AB111" s="58"/>
      <c r="AC111" s="58" t="s">
        <v>51</v>
      </c>
      <c r="AD111" s="58"/>
      <c r="AE111" s="58"/>
      <c r="AF111" s="58"/>
      <c r="AG111" s="58"/>
      <c r="AH111" s="58"/>
      <c r="AI111" s="58"/>
    </row>
    <row r="112" spans="1:35" x14ac:dyDescent="0.35">
      <c r="A112" s="17" t="s">
        <v>46</v>
      </c>
      <c r="B112" s="17" t="s">
        <v>2490</v>
      </c>
      <c r="C112" s="28" t="s">
        <v>2578</v>
      </c>
      <c r="D112" s="17" t="s">
        <v>2698</v>
      </c>
      <c r="E112" s="17" t="s">
        <v>2699</v>
      </c>
      <c r="F112" s="20">
        <v>192.84</v>
      </c>
      <c r="G112" s="20">
        <v>73</v>
      </c>
      <c r="H112" s="19">
        <v>287</v>
      </c>
      <c r="I112" s="20">
        <v>143</v>
      </c>
      <c r="J112" s="20">
        <v>144</v>
      </c>
      <c r="K112" s="20">
        <v>10</v>
      </c>
      <c r="L112" s="57">
        <f t="shared" si="6"/>
        <v>3.484320557491289E-2</v>
      </c>
      <c r="M112" s="20">
        <v>70</v>
      </c>
      <c r="N112" s="57">
        <f t="shared" si="7"/>
        <v>0.24390243902439024</v>
      </c>
      <c r="O112" s="46">
        <v>43.15</v>
      </c>
      <c r="P112" s="46">
        <v>0</v>
      </c>
      <c r="Q112" s="20" t="s">
        <v>562</v>
      </c>
      <c r="R112" s="20"/>
      <c r="S112" s="20"/>
      <c r="T112" s="20"/>
      <c r="U112" s="20"/>
      <c r="V112" s="58"/>
      <c r="W112" s="58"/>
      <c r="X112" s="58" t="s">
        <v>562</v>
      </c>
      <c r="Y112" s="58"/>
      <c r="Z112" s="58"/>
      <c r="AA112" s="58"/>
      <c r="AB112" s="58"/>
      <c r="AC112" s="58" t="s">
        <v>562</v>
      </c>
      <c r="AD112" s="58"/>
      <c r="AE112" s="58"/>
      <c r="AF112" s="58"/>
      <c r="AG112" s="58"/>
      <c r="AH112" s="58"/>
      <c r="AI112" s="58"/>
    </row>
    <row r="113" spans="1:35" x14ac:dyDescent="0.35">
      <c r="A113" s="17" t="s">
        <v>46</v>
      </c>
      <c r="B113" s="17" t="s">
        <v>2490</v>
      </c>
      <c r="C113" s="28" t="s">
        <v>2578</v>
      </c>
      <c r="D113" s="17" t="s">
        <v>2486</v>
      </c>
      <c r="E113" s="17" t="s">
        <v>2700</v>
      </c>
      <c r="F113" s="20">
        <v>322.77</v>
      </c>
      <c r="G113" s="20">
        <v>95</v>
      </c>
      <c r="H113" s="19">
        <v>482</v>
      </c>
      <c r="I113" s="20">
        <v>240</v>
      </c>
      <c r="J113" s="20">
        <v>242</v>
      </c>
      <c r="K113" s="20">
        <v>41</v>
      </c>
      <c r="L113" s="57">
        <f t="shared" si="6"/>
        <v>8.5062240663900418E-2</v>
      </c>
      <c r="M113" s="20">
        <v>29</v>
      </c>
      <c r="N113" s="57">
        <f t="shared" si="7"/>
        <v>6.0165975103734441E-2</v>
      </c>
      <c r="O113" s="46">
        <v>29.44</v>
      </c>
      <c r="P113" s="46">
        <v>0</v>
      </c>
      <c r="Q113" s="20" t="s">
        <v>562</v>
      </c>
      <c r="R113" s="20"/>
      <c r="S113" s="20"/>
      <c r="T113" s="20"/>
      <c r="U113" s="20"/>
      <c r="V113" s="58"/>
      <c r="W113" s="58"/>
      <c r="X113" s="58" t="s">
        <v>562</v>
      </c>
      <c r="Y113" s="58"/>
      <c r="Z113" s="58"/>
      <c r="AA113" s="58"/>
      <c r="AB113" s="58"/>
      <c r="AC113" s="58" t="s">
        <v>562</v>
      </c>
      <c r="AD113" s="58"/>
      <c r="AE113" s="58"/>
      <c r="AF113" s="58"/>
      <c r="AG113" s="58"/>
      <c r="AH113" s="58"/>
      <c r="AI113" s="58"/>
    </row>
    <row r="114" spans="1:35" x14ac:dyDescent="0.35">
      <c r="A114" s="17" t="s">
        <v>46</v>
      </c>
      <c r="B114" s="17" t="s">
        <v>2490</v>
      </c>
      <c r="C114" s="28" t="s">
        <v>2578</v>
      </c>
      <c r="D114" s="17" t="s">
        <v>827</v>
      </c>
      <c r="E114" s="17" t="s">
        <v>2701</v>
      </c>
      <c r="F114" s="20">
        <v>553.78</v>
      </c>
      <c r="G114" s="20">
        <v>195</v>
      </c>
      <c r="H114" s="19">
        <v>846</v>
      </c>
      <c r="I114" s="20">
        <v>421</v>
      </c>
      <c r="J114" s="20">
        <v>425</v>
      </c>
      <c r="K114" s="20">
        <v>200</v>
      </c>
      <c r="L114" s="57">
        <f t="shared" si="6"/>
        <v>0.2364066193853428</v>
      </c>
      <c r="M114" s="20">
        <v>35</v>
      </c>
      <c r="N114" s="57">
        <f t="shared" si="7"/>
        <v>4.1371158392434985E-2</v>
      </c>
      <c r="O114" s="46">
        <v>87.1</v>
      </c>
      <c r="P114" s="46">
        <v>0</v>
      </c>
      <c r="Q114" s="20" t="s">
        <v>51</v>
      </c>
      <c r="R114" s="20">
        <v>2020</v>
      </c>
      <c r="S114" s="20"/>
      <c r="T114" s="20"/>
      <c r="U114" s="20"/>
      <c r="V114" s="58"/>
      <c r="W114" s="58"/>
      <c r="X114" s="58" t="s">
        <v>51</v>
      </c>
      <c r="Y114" s="58"/>
      <c r="Z114" s="58"/>
      <c r="AA114" s="58"/>
      <c r="AB114" s="58"/>
      <c r="AC114" s="58" t="s">
        <v>51</v>
      </c>
      <c r="AD114" s="58"/>
      <c r="AE114" s="58"/>
      <c r="AF114" s="58"/>
      <c r="AG114" s="58"/>
      <c r="AH114" s="58"/>
      <c r="AI114" s="58"/>
    </row>
    <row r="115" spans="1:35" x14ac:dyDescent="0.35">
      <c r="A115" s="17" t="s">
        <v>46</v>
      </c>
      <c r="B115" s="17" t="s">
        <v>2490</v>
      </c>
      <c r="C115" s="28" t="s">
        <v>2702</v>
      </c>
      <c r="D115" s="17" t="s">
        <v>2703</v>
      </c>
      <c r="E115" s="17" t="s">
        <v>2704</v>
      </c>
      <c r="F115" s="20">
        <v>443.11</v>
      </c>
      <c r="G115" s="20">
        <v>130</v>
      </c>
      <c r="H115" s="19">
        <v>601</v>
      </c>
      <c r="I115" s="20">
        <v>289</v>
      </c>
      <c r="J115" s="20">
        <v>312</v>
      </c>
      <c r="K115" s="20">
        <v>38</v>
      </c>
      <c r="L115" s="57">
        <f t="shared" si="6"/>
        <v>6.3227953410981697E-2</v>
      </c>
      <c r="M115" s="20">
        <v>38</v>
      </c>
      <c r="N115" s="57">
        <f t="shared" si="7"/>
        <v>6.3227953410981697E-2</v>
      </c>
      <c r="O115" s="46">
        <v>59.9</v>
      </c>
      <c r="P115" s="46">
        <v>0</v>
      </c>
      <c r="Q115" s="20" t="s">
        <v>51</v>
      </c>
      <c r="R115" s="20">
        <v>2020</v>
      </c>
      <c r="S115" s="20"/>
      <c r="T115" s="20"/>
      <c r="U115" s="20"/>
      <c r="V115" s="58"/>
      <c r="W115" s="58"/>
      <c r="X115" s="58" t="s">
        <v>51</v>
      </c>
      <c r="Y115" s="58"/>
      <c r="Z115" s="58"/>
      <c r="AA115" s="58"/>
      <c r="AB115" s="58"/>
      <c r="AC115" s="58" t="s">
        <v>51</v>
      </c>
      <c r="AD115" s="58"/>
      <c r="AE115" s="58"/>
      <c r="AF115" s="58"/>
      <c r="AG115" s="58"/>
      <c r="AH115" s="58"/>
      <c r="AI115" s="58"/>
    </row>
    <row r="116" spans="1:35" x14ac:dyDescent="0.35">
      <c r="A116" s="17" t="s">
        <v>46</v>
      </c>
      <c r="B116" s="17" t="s">
        <v>2490</v>
      </c>
      <c r="C116" s="28" t="s">
        <v>2702</v>
      </c>
      <c r="D116" s="17" t="s">
        <v>2705</v>
      </c>
      <c r="E116" s="17" t="s">
        <v>2706</v>
      </c>
      <c r="F116" s="20">
        <v>587.85</v>
      </c>
      <c r="G116" s="20">
        <v>249</v>
      </c>
      <c r="H116" s="19">
        <v>1015</v>
      </c>
      <c r="I116" s="20">
        <v>528</v>
      </c>
      <c r="J116" s="20">
        <v>487</v>
      </c>
      <c r="K116" s="20">
        <v>223</v>
      </c>
      <c r="L116" s="57">
        <f t="shared" si="6"/>
        <v>0.21970443349753693</v>
      </c>
      <c r="M116" s="20">
        <v>31</v>
      </c>
      <c r="N116" s="57">
        <f t="shared" si="7"/>
        <v>3.0541871921182268E-2</v>
      </c>
      <c r="O116" s="46">
        <v>95.02</v>
      </c>
      <c r="P116" s="46">
        <v>0</v>
      </c>
      <c r="Q116" s="20" t="s">
        <v>51</v>
      </c>
      <c r="R116" s="20">
        <v>2020</v>
      </c>
      <c r="S116" s="20"/>
      <c r="T116" s="20"/>
      <c r="U116" s="20"/>
      <c r="V116" s="58"/>
      <c r="W116" s="58"/>
      <c r="X116" s="58" t="s">
        <v>51</v>
      </c>
      <c r="Y116" s="58"/>
      <c r="Z116" s="58"/>
      <c r="AA116" s="58"/>
      <c r="AB116" s="58"/>
      <c r="AC116" s="58" t="s">
        <v>51</v>
      </c>
      <c r="AD116" s="58"/>
      <c r="AE116" s="58"/>
      <c r="AF116" s="58"/>
      <c r="AG116" s="58"/>
      <c r="AH116" s="58"/>
      <c r="AI116" s="58"/>
    </row>
    <row r="117" spans="1:35" x14ac:dyDescent="0.35">
      <c r="A117" s="17" t="s">
        <v>46</v>
      </c>
      <c r="B117" s="17" t="s">
        <v>2490</v>
      </c>
      <c r="C117" s="28" t="s">
        <v>2702</v>
      </c>
      <c r="D117" s="17" t="s">
        <v>2707</v>
      </c>
      <c r="E117" s="17" t="s">
        <v>2708</v>
      </c>
      <c r="F117" s="20">
        <v>401.43</v>
      </c>
      <c r="G117" s="20">
        <v>140</v>
      </c>
      <c r="H117" s="19">
        <v>618</v>
      </c>
      <c r="I117" s="20">
        <v>307</v>
      </c>
      <c r="J117" s="20">
        <v>311</v>
      </c>
      <c r="K117" s="20">
        <v>133</v>
      </c>
      <c r="L117" s="57">
        <f t="shared" si="6"/>
        <v>0.21521035598705501</v>
      </c>
      <c r="M117" s="20">
        <v>43</v>
      </c>
      <c r="N117" s="57">
        <f t="shared" si="7"/>
        <v>6.9579288025889974E-2</v>
      </c>
      <c r="O117" s="46">
        <v>97.26</v>
      </c>
      <c r="P117" s="46">
        <v>0</v>
      </c>
      <c r="Q117" s="20" t="s">
        <v>51</v>
      </c>
      <c r="R117" s="20">
        <v>2020</v>
      </c>
      <c r="S117" s="20"/>
      <c r="T117" s="20"/>
      <c r="U117" s="20"/>
      <c r="V117" s="58"/>
      <c r="W117" s="58"/>
      <c r="X117" s="58" t="s">
        <v>51</v>
      </c>
      <c r="Y117" s="58"/>
      <c r="Z117" s="58"/>
      <c r="AA117" s="58"/>
      <c r="AB117" s="58"/>
      <c r="AC117" s="58" t="s">
        <v>51</v>
      </c>
      <c r="AD117" s="58"/>
      <c r="AE117" s="58"/>
      <c r="AF117" s="58"/>
      <c r="AG117" s="58"/>
      <c r="AH117" s="58"/>
      <c r="AI117" s="58"/>
    </row>
    <row r="118" spans="1:35" x14ac:dyDescent="0.35">
      <c r="A118" s="17" t="s">
        <v>46</v>
      </c>
      <c r="B118" s="17" t="s">
        <v>2490</v>
      </c>
      <c r="C118" s="28" t="s">
        <v>2592</v>
      </c>
      <c r="D118" s="17" t="s">
        <v>2709</v>
      </c>
      <c r="E118" s="17" t="s">
        <v>2710</v>
      </c>
      <c r="F118" s="20">
        <v>395.03</v>
      </c>
      <c r="G118" s="20">
        <v>222</v>
      </c>
      <c r="H118" s="19">
        <v>947</v>
      </c>
      <c r="I118" s="20">
        <v>490</v>
      </c>
      <c r="J118" s="20">
        <v>457</v>
      </c>
      <c r="K118" s="20">
        <v>212</v>
      </c>
      <c r="L118" s="57">
        <f t="shared" si="6"/>
        <v>0.2238648363252376</v>
      </c>
      <c r="M118" s="20">
        <v>48</v>
      </c>
      <c r="N118" s="57">
        <f t="shared" si="7"/>
        <v>5.0686378035902854E-2</v>
      </c>
      <c r="O118" s="46">
        <v>46.8</v>
      </c>
      <c r="P118" s="46">
        <v>0</v>
      </c>
      <c r="Q118" s="20" t="s">
        <v>51</v>
      </c>
      <c r="R118" s="20">
        <v>2020</v>
      </c>
      <c r="S118" s="20"/>
      <c r="T118" s="20"/>
      <c r="U118" s="20"/>
      <c r="V118" s="58"/>
      <c r="W118" s="58"/>
      <c r="X118" s="58" t="s">
        <v>51</v>
      </c>
      <c r="Y118" s="58"/>
      <c r="Z118" s="58"/>
      <c r="AA118" s="58"/>
      <c r="AB118" s="58"/>
      <c r="AC118" s="58" t="s">
        <v>51</v>
      </c>
      <c r="AD118" s="58"/>
      <c r="AE118" s="58"/>
      <c r="AF118" s="58"/>
      <c r="AG118" s="58"/>
      <c r="AH118" s="58"/>
      <c r="AI118" s="58"/>
    </row>
    <row r="119" spans="1:35" x14ac:dyDescent="0.35">
      <c r="A119" s="17" t="s">
        <v>46</v>
      </c>
      <c r="B119" s="17" t="s">
        <v>2490</v>
      </c>
      <c r="C119" s="28" t="s">
        <v>2702</v>
      </c>
      <c r="D119" s="17" t="s">
        <v>2711</v>
      </c>
      <c r="E119" s="17" t="s">
        <v>2712</v>
      </c>
      <c r="F119" s="20">
        <v>530.33000000000004</v>
      </c>
      <c r="G119" s="20">
        <v>242</v>
      </c>
      <c r="H119" s="19">
        <v>943</v>
      </c>
      <c r="I119" s="20">
        <v>472</v>
      </c>
      <c r="J119" s="20">
        <v>471</v>
      </c>
      <c r="K119" s="20">
        <v>251</v>
      </c>
      <c r="L119" s="57">
        <f t="shared" si="6"/>
        <v>0.26617179215270415</v>
      </c>
      <c r="M119" s="20">
        <v>20</v>
      </c>
      <c r="N119" s="57">
        <f t="shared" si="7"/>
        <v>2.1208907741251327E-2</v>
      </c>
      <c r="O119" s="46">
        <v>45.71</v>
      </c>
      <c r="P119" s="46">
        <v>0</v>
      </c>
      <c r="Q119" s="20" t="s">
        <v>51</v>
      </c>
      <c r="R119" s="20">
        <v>2019</v>
      </c>
      <c r="S119" s="20"/>
      <c r="T119" s="20"/>
      <c r="U119" s="20"/>
      <c r="V119" s="58"/>
      <c r="W119" s="58"/>
      <c r="X119" s="58" t="s">
        <v>51</v>
      </c>
      <c r="Y119" s="58"/>
      <c r="Z119" s="58"/>
      <c r="AA119" s="58"/>
      <c r="AB119" s="58"/>
      <c r="AC119" s="58" t="s">
        <v>51</v>
      </c>
      <c r="AD119" s="58"/>
      <c r="AE119" s="58"/>
      <c r="AF119" s="58"/>
      <c r="AG119" s="58"/>
      <c r="AH119" s="58"/>
      <c r="AI119" s="58"/>
    </row>
    <row r="120" spans="1:35" x14ac:dyDescent="0.35">
      <c r="A120" s="17" t="s">
        <v>46</v>
      </c>
      <c r="B120" s="17" t="s">
        <v>2490</v>
      </c>
      <c r="C120" s="28" t="s">
        <v>2713</v>
      </c>
      <c r="D120" s="17" t="s">
        <v>2714</v>
      </c>
      <c r="E120" s="17" t="s">
        <v>2715</v>
      </c>
      <c r="F120" s="20">
        <v>747.29</v>
      </c>
      <c r="G120" s="20">
        <v>277</v>
      </c>
      <c r="H120" s="19">
        <v>1320</v>
      </c>
      <c r="I120" s="20">
        <v>662</v>
      </c>
      <c r="J120" s="20">
        <v>658</v>
      </c>
      <c r="K120" s="20">
        <v>243</v>
      </c>
      <c r="L120" s="57">
        <f t="shared" si="6"/>
        <v>0.18409090909090908</v>
      </c>
      <c r="M120" s="20">
        <v>150</v>
      </c>
      <c r="N120" s="57">
        <f t="shared" si="7"/>
        <v>0.11363636363636363</v>
      </c>
      <c r="O120" s="46">
        <v>99</v>
      </c>
      <c r="P120" s="46">
        <v>0</v>
      </c>
      <c r="Q120" s="20" t="s">
        <v>562</v>
      </c>
      <c r="R120" s="20"/>
      <c r="S120" s="20"/>
      <c r="T120" s="20"/>
      <c r="U120" s="20"/>
      <c r="V120" s="58"/>
      <c r="W120" s="58"/>
      <c r="X120" s="58" t="s">
        <v>562</v>
      </c>
      <c r="Y120" s="58"/>
      <c r="Z120" s="58"/>
      <c r="AA120" s="58"/>
      <c r="AB120" s="58"/>
      <c r="AC120" s="58" t="s">
        <v>562</v>
      </c>
      <c r="AD120" s="58"/>
      <c r="AE120" s="58"/>
      <c r="AF120" s="58"/>
      <c r="AG120" s="58"/>
      <c r="AH120" s="58"/>
      <c r="AI120" s="58"/>
    </row>
    <row r="121" spans="1:35" x14ac:dyDescent="0.35">
      <c r="A121" s="17" t="s">
        <v>46</v>
      </c>
      <c r="B121" s="17" t="s">
        <v>2490</v>
      </c>
      <c r="C121" s="28" t="s">
        <v>2713</v>
      </c>
      <c r="D121" s="17" t="s">
        <v>2716</v>
      </c>
      <c r="E121" s="17" t="s">
        <v>2717</v>
      </c>
      <c r="F121" s="20">
        <v>204.27</v>
      </c>
      <c r="G121" s="20">
        <v>93</v>
      </c>
      <c r="H121" s="19">
        <v>458</v>
      </c>
      <c r="I121" s="20">
        <v>216</v>
      </c>
      <c r="J121" s="20">
        <v>242</v>
      </c>
      <c r="K121" s="20">
        <v>30</v>
      </c>
      <c r="L121" s="57">
        <f t="shared" si="6"/>
        <v>6.5502183406113537E-2</v>
      </c>
      <c r="M121" s="20">
        <v>100</v>
      </c>
      <c r="N121" s="57">
        <f t="shared" si="7"/>
        <v>0.2183406113537118</v>
      </c>
      <c r="O121" s="46">
        <v>27.97</v>
      </c>
      <c r="P121" s="46">
        <v>0</v>
      </c>
      <c r="Q121" s="20" t="s">
        <v>51</v>
      </c>
      <c r="R121" s="20">
        <v>2019</v>
      </c>
      <c r="S121" s="20"/>
      <c r="T121" s="20"/>
      <c r="U121" s="20"/>
      <c r="V121" s="58"/>
      <c r="W121" s="58"/>
      <c r="X121" s="58" t="s">
        <v>51</v>
      </c>
      <c r="Y121" s="58"/>
      <c r="Z121" s="58"/>
      <c r="AA121" s="58"/>
      <c r="AB121" s="58"/>
      <c r="AC121" s="58" t="s">
        <v>51</v>
      </c>
      <c r="AD121" s="58"/>
      <c r="AE121" s="58"/>
      <c r="AF121" s="58"/>
      <c r="AG121" s="58"/>
      <c r="AH121" s="58"/>
      <c r="AI121" s="58"/>
    </row>
    <row r="122" spans="1:35" x14ac:dyDescent="0.35">
      <c r="A122" s="17" t="s">
        <v>46</v>
      </c>
      <c r="B122" s="17" t="s">
        <v>2490</v>
      </c>
      <c r="C122" s="28" t="s">
        <v>2702</v>
      </c>
      <c r="D122" s="17" t="s">
        <v>1600</v>
      </c>
      <c r="E122" s="17" t="s">
        <v>2718</v>
      </c>
      <c r="F122" s="20">
        <v>907.18</v>
      </c>
      <c r="G122" s="20">
        <v>324</v>
      </c>
      <c r="H122" s="19">
        <v>1343</v>
      </c>
      <c r="I122" s="20">
        <v>683</v>
      </c>
      <c r="J122" s="20">
        <v>660</v>
      </c>
      <c r="K122" s="20">
        <v>159</v>
      </c>
      <c r="L122" s="57">
        <f t="shared" si="6"/>
        <v>0.11839166046165302</v>
      </c>
      <c r="M122" s="20">
        <v>79</v>
      </c>
      <c r="N122" s="57">
        <f t="shared" si="7"/>
        <v>5.8823529411764705E-2</v>
      </c>
      <c r="O122" s="46">
        <v>245.7</v>
      </c>
      <c r="P122" s="46">
        <v>0</v>
      </c>
      <c r="Q122" s="20" t="s">
        <v>51</v>
      </c>
      <c r="R122" s="20">
        <v>2020</v>
      </c>
      <c r="S122" s="20"/>
      <c r="T122" s="20"/>
      <c r="U122" s="20"/>
      <c r="V122" s="58"/>
      <c r="W122" s="58"/>
      <c r="X122" s="58" t="s">
        <v>51</v>
      </c>
      <c r="Y122" s="58"/>
      <c r="Z122" s="58"/>
      <c r="AA122" s="58"/>
      <c r="AB122" s="58"/>
      <c r="AC122" s="58" t="s">
        <v>51</v>
      </c>
      <c r="AD122" s="58"/>
      <c r="AE122" s="58"/>
      <c r="AF122" s="58"/>
      <c r="AG122" s="58"/>
      <c r="AH122" s="58"/>
      <c r="AI122" s="58"/>
    </row>
    <row r="123" spans="1:35" x14ac:dyDescent="0.35">
      <c r="A123" s="17" t="s">
        <v>46</v>
      </c>
      <c r="B123" s="17" t="s">
        <v>2490</v>
      </c>
      <c r="C123" s="28" t="s">
        <v>2713</v>
      </c>
      <c r="D123" s="17" t="s">
        <v>1340</v>
      </c>
      <c r="E123" s="17" t="s">
        <v>2719</v>
      </c>
      <c r="F123" s="20">
        <v>1160.58</v>
      </c>
      <c r="G123" s="20">
        <v>444</v>
      </c>
      <c r="H123" s="19">
        <v>2137</v>
      </c>
      <c r="I123" s="20">
        <v>1079</v>
      </c>
      <c r="J123" s="20">
        <v>1058</v>
      </c>
      <c r="K123" s="20">
        <v>300</v>
      </c>
      <c r="L123" s="57">
        <f t="shared" si="6"/>
        <v>0.14038371548900327</v>
      </c>
      <c r="M123" s="20">
        <v>216</v>
      </c>
      <c r="N123" s="57">
        <f t="shared" si="7"/>
        <v>0.10107627515208235</v>
      </c>
      <c r="O123" s="46">
        <v>147.76</v>
      </c>
      <c r="P123" s="46">
        <v>0</v>
      </c>
      <c r="Q123" s="20" t="s">
        <v>562</v>
      </c>
      <c r="R123" s="20"/>
      <c r="S123" s="20"/>
      <c r="T123" s="20"/>
      <c r="U123" s="20"/>
      <c r="V123" s="58"/>
      <c r="W123" s="58"/>
      <c r="X123" s="58" t="s">
        <v>562</v>
      </c>
      <c r="Y123" s="58"/>
      <c r="Z123" s="58"/>
      <c r="AA123" s="58"/>
      <c r="AB123" s="58"/>
      <c r="AC123" s="58" t="s">
        <v>562</v>
      </c>
      <c r="AD123" s="58"/>
      <c r="AE123" s="58"/>
      <c r="AF123" s="58"/>
      <c r="AG123" s="58"/>
      <c r="AH123" s="58"/>
      <c r="AI123" s="58"/>
    </row>
    <row r="124" spans="1:35" x14ac:dyDescent="0.35">
      <c r="A124" s="17" t="s">
        <v>46</v>
      </c>
      <c r="B124" s="17" t="s">
        <v>2490</v>
      </c>
      <c r="C124" s="28" t="s">
        <v>2713</v>
      </c>
      <c r="D124" s="17" t="s">
        <v>2720</v>
      </c>
      <c r="E124" s="17" t="s">
        <v>2721</v>
      </c>
      <c r="F124" s="20">
        <v>265.08999999999997</v>
      </c>
      <c r="G124" s="20">
        <v>114</v>
      </c>
      <c r="H124" s="19">
        <v>523</v>
      </c>
      <c r="I124" s="20">
        <v>269</v>
      </c>
      <c r="J124" s="20">
        <v>254</v>
      </c>
      <c r="K124" s="20">
        <v>50</v>
      </c>
      <c r="L124" s="57">
        <f t="shared" si="6"/>
        <v>9.5602294455066919E-2</v>
      </c>
      <c r="M124" s="20">
        <v>46</v>
      </c>
      <c r="N124" s="57">
        <f t="shared" si="7"/>
        <v>8.7954110898661564E-2</v>
      </c>
      <c r="O124" s="46">
        <v>28.98</v>
      </c>
      <c r="P124" s="46">
        <v>0</v>
      </c>
      <c r="Q124" s="20" t="s">
        <v>562</v>
      </c>
      <c r="R124" s="20"/>
      <c r="S124" s="20"/>
      <c r="T124" s="20"/>
      <c r="U124" s="20"/>
      <c r="V124" s="58"/>
      <c r="W124" s="58"/>
      <c r="X124" s="58" t="s">
        <v>562</v>
      </c>
      <c r="Y124" s="58"/>
      <c r="Z124" s="58"/>
      <c r="AA124" s="58"/>
      <c r="AB124" s="58"/>
      <c r="AC124" s="58" t="s">
        <v>562</v>
      </c>
      <c r="AD124" s="58"/>
      <c r="AE124" s="58"/>
      <c r="AF124" s="58"/>
      <c r="AG124" s="58"/>
      <c r="AH124" s="58"/>
      <c r="AI124" s="58"/>
    </row>
    <row r="125" spans="1:35" x14ac:dyDescent="0.35">
      <c r="A125" s="17" t="s">
        <v>46</v>
      </c>
      <c r="B125" s="17" t="s">
        <v>2490</v>
      </c>
      <c r="C125" s="28" t="s">
        <v>2683</v>
      </c>
      <c r="D125" s="17" t="s">
        <v>2722</v>
      </c>
      <c r="E125" s="17" t="s">
        <v>2723</v>
      </c>
      <c r="F125" s="20">
        <v>558.29</v>
      </c>
      <c r="G125" s="20">
        <v>389</v>
      </c>
      <c r="H125" s="19">
        <v>1769</v>
      </c>
      <c r="I125" s="20">
        <v>883</v>
      </c>
      <c r="J125" s="20">
        <v>886</v>
      </c>
      <c r="K125" s="20">
        <v>649</v>
      </c>
      <c r="L125" s="57">
        <f t="shared" si="6"/>
        <v>0.36687394007914076</v>
      </c>
      <c r="M125" s="20">
        <v>67</v>
      </c>
      <c r="N125" s="57">
        <f t="shared" si="7"/>
        <v>3.7874505370265689E-2</v>
      </c>
      <c r="O125" s="46">
        <v>46.68</v>
      </c>
      <c r="P125" s="46">
        <v>0</v>
      </c>
      <c r="Q125" s="20" t="s">
        <v>51</v>
      </c>
      <c r="R125" s="20">
        <v>2020</v>
      </c>
      <c r="S125" s="20"/>
      <c r="T125" s="20"/>
      <c r="U125" s="20"/>
      <c r="V125" s="58"/>
      <c r="W125" s="58"/>
      <c r="X125" s="58" t="s">
        <v>51</v>
      </c>
      <c r="Y125" s="58"/>
      <c r="Z125" s="58"/>
      <c r="AA125" s="58"/>
      <c r="AB125" s="58"/>
      <c r="AC125" s="58" t="s">
        <v>51</v>
      </c>
      <c r="AD125" s="58"/>
      <c r="AE125" s="58"/>
      <c r="AF125" s="58"/>
      <c r="AG125" s="58"/>
      <c r="AH125" s="58"/>
      <c r="AI125" s="58"/>
    </row>
    <row r="126" spans="1:35" x14ac:dyDescent="0.35">
      <c r="A126" s="17" t="s">
        <v>46</v>
      </c>
      <c r="B126" s="17" t="s">
        <v>2490</v>
      </c>
      <c r="C126" s="28" t="s">
        <v>2683</v>
      </c>
      <c r="D126" s="17" t="s">
        <v>2724</v>
      </c>
      <c r="E126" s="17" t="s">
        <v>2725</v>
      </c>
      <c r="F126" s="20">
        <v>556.87</v>
      </c>
      <c r="G126" s="20">
        <v>227</v>
      </c>
      <c r="H126" s="19">
        <v>1062</v>
      </c>
      <c r="I126" s="20">
        <v>552</v>
      </c>
      <c r="J126" s="20">
        <v>510</v>
      </c>
      <c r="K126" s="20">
        <v>616</v>
      </c>
      <c r="L126" s="57">
        <f t="shared" si="6"/>
        <v>0.58003766478342744</v>
      </c>
      <c r="M126" s="20">
        <v>87</v>
      </c>
      <c r="N126" s="57">
        <f t="shared" si="7"/>
        <v>8.1920903954802254E-2</v>
      </c>
      <c r="O126" s="46">
        <v>51.7</v>
      </c>
      <c r="P126" s="46">
        <v>0</v>
      </c>
      <c r="Q126" s="20" t="s">
        <v>51</v>
      </c>
      <c r="R126" s="20">
        <v>2020</v>
      </c>
      <c r="S126" s="20"/>
      <c r="T126" s="20"/>
      <c r="U126" s="20"/>
      <c r="V126" s="58"/>
      <c r="W126" s="58"/>
      <c r="X126" s="58" t="s">
        <v>51</v>
      </c>
      <c r="Y126" s="58"/>
      <c r="Z126" s="58"/>
      <c r="AA126" s="58"/>
      <c r="AB126" s="58"/>
      <c r="AC126" s="58" t="s">
        <v>51</v>
      </c>
      <c r="AD126" s="58"/>
      <c r="AE126" s="58"/>
      <c r="AF126" s="58"/>
      <c r="AG126" s="58"/>
      <c r="AH126" s="58"/>
      <c r="AI126" s="58"/>
    </row>
    <row r="127" spans="1:35" x14ac:dyDescent="0.35">
      <c r="A127" s="17" t="s">
        <v>46</v>
      </c>
      <c r="B127" s="17" t="s">
        <v>2490</v>
      </c>
      <c r="C127" s="28" t="s">
        <v>2726</v>
      </c>
      <c r="D127" s="17" t="s">
        <v>2727</v>
      </c>
      <c r="E127" s="17" t="s">
        <v>2728</v>
      </c>
      <c r="F127" s="20">
        <v>154.13</v>
      </c>
      <c r="G127" s="20">
        <v>73</v>
      </c>
      <c r="H127" s="19">
        <v>337</v>
      </c>
      <c r="I127" s="20">
        <v>163</v>
      </c>
      <c r="J127" s="20">
        <v>174</v>
      </c>
      <c r="K127" s="20">
        <v>22</v>
      </c>
      <c r="L127" s="57">
        <f t="shared" si="6"/>
        <v>6.5281899109792291E-2</v>
      </c>
      <c r="M127" s="20">
        <v>57</v>
      </c>
      <c r="N127" s="57">
        <f t="shared" si="7"/>
        <v>0.16913946587537093</v>
      </c>
      <c r="O127" s="46">
        <v>8.3699999999999992</v>
      </c>
      <c r="P127" s="46">
        <v>0.98</v>
      </c>
      <c r="Q127" s="20" t="s">
        <v>562</v>
      </c>
      <c r="R127" s="20"/>
      <c r="S127" s="20"/>
      <c r="T127" s="20"/>
      <c r="U127" s="20"/>
      <c r="V127" s="58"/>
      <c r="W127" s="58"/>
      <c r="X127" s="58" t="s">
        <v>562</v>
      </c>
      <c r="Y127" s="58"/>
      <c r="Z127" s="58"/>
      <c r="AA127" s="58"/>
      <c r="AB127" s="58"/>
      <c r="AC127" s="58" t="s">
        <v>562</v>
      </c>
      <c r="AD127" s="58"/>
      <c r="AE127" s="58"/>
      <c r="AF127" s="58"/>
      <c r="AG127" s="58"/>
      <c r="AH127" s="58"/>
      <c r="AI127" s="58"/>
    </row>
    <row r="128" spans="1:35" x14ac:dyDescent="0.35">
      <c r="A128" s="17" t="s">
        <v>46</v>
      </c>
      <c r="B128" s="17" t="s">
        <v>2490</v>
      </c>
      <c r="C128" s="28" t="s">
        <v>2726</v>
      </c>
      <c r="D128" s="17" t="s">
        <v>296</v>
      </c>
      <c r="E128" s="17" t="s">
        <v>2729</v>
      </c>
      <c r="F128" s="20">
        <v>727.84</v>
      </c>
      <c r="G128" s="20">
        <v>232</v>
      </c>
      <c r="H128" s="19">
        <v>1026</v>
      </c>
      <c r="I128" s="20">
        <v>510</v>
      </c>
      <c r="J128" s="20">
        <v>516</v>
      </c>
      <c r="K128" s="20">
        <v>100</v>
      </c>
      <c r="L128" s="57">
        <f t="shared" si="6"/>
        <v>9.7465886939571145E-2</v>
      </c>
      <c r="M128" s="20">
        <v>184</v>
      </c>
      <c r="N128" s="57">
        <f t="shared" si="7"/>
        <v>0.17933723196881091</v>
      </c>
      <c r="O128" s="46">
        <v>29.73</v>
      </c>
      <c r="P128" s="46">
        <v>186.65</v>
      </c>
      <c r="Q128" s="20" t="s">
        <v>562</v>
      </c>
      <c r="R128" s="20"/>
      <c r="S128" s="20"/>
      <c r="T128" s="20"/>
      <c r="U128" s="20"/>
      <c r="V128" s="58"/>
      <c r="W128" s="58"/>
      <c r="X128" s="58" t="s">
        <v>562</v>
      </c>
      <c r="Y128" s="58"/>
      <c r="Z128" s="58"/>
      <c r="AA128" s="58"/>
      <c r="AB128" s="58"/>
      <c r="AC128" s="58" t="s">
        <v>562</v>
      </c>
      <c r="AD128" s="58"/>
      <c r="AE128" s="58"/>
      <c r="AF128" s="58"/>
      <c r="AG128" s="58"/>
      <c r="AH128" s="58"/>
      <c r="AI128" s="58"/>
    </row>
    <row r="129" spans="1:35" x14ac:dyDescent="0.35">
      <c r="A129" s="17" t="s">
        <v>46</v>
      </c>
      <c r="B129" s="17" t="s">
        <v>2490</v>
      </c>
      <c r="C129" s="28" t="s">
        <v>2491</v>
      </c>
      <c r="D129" s="17" t="s">
        <v>213</v>
      </c>
      <c r="E129" s="17" t="s">
        <v>2730</v>
      </c>
      <c r="F129" s="20">
        <v>205.47</v>
      </c>
      <c r="G129" s="20">
        <v>123</v>
      </c>
      <c r="H129" s="19">
        <v>533</v>
      </c>
      <c r="I129" s="20">
        <v>258</v>
      </c>
      <c r="J129" s="20">
        <v>275</v>
      </c>
      <c r="K129" s="20">
        <v>115</v>
      </c>
      <c r="L129" s="57">
        <f t="shared" si="6"/>
        <v>0.21575984990619138</v>
      </c>
      <c r="M129" s="20">
        <v>9</v>
      </c>
      <c r="N129" s="57">
        <f t="shared" si="7"/>
        <v>1.6885553470919325E-2</v>
      </c>
      <c r="O129" s="46">
        <v>38.799999999999997</v>
      </c>
      <c r="P129" s="46">
        <v>19</v>
      </c>
      <c r="Q129" s="20" t="s">
        <v>51</v>
      </c>
      <c r="R129" s="20">
        <v>2020</v>
      </c>
      <c r="S129" s="20"/>
      <c r="T129" s="20"/>
      <c r="U129" s="20"/>
      <c r="V129" s="58"/>
      <c r="W129" s="58"/>
      <c r="X129" s="58" t="s">
        <v>51</v>
      </c>
      <c r="Y129" s="58"/>
      <c r="Z129" s="58"/>
      <c r="AA129" s="58"/>
      <c r="AB129" s="58"/>
      <c r="AC129" s="58" t="s">
        <v>51</v>
      </c>
      <c r="AD129" s="58"/>
      <c r="AE129" s="58"/>
      <c r="AF129" s="58"/>
      <c r="AG129" s="58"/>
      <c r="AH129" s="58"/>
      <c r="AI129" s="58"/>
    </row>
    <row r="130" spans="1:35" x14ac:dyDescent="0.35">
      <c r="A130" s="17" t="s">
        <v>46</v>
      </c>
      <c r="B130" s="17" t="s">
        <v>2490</v>
      </c>
      <c r="C130" s="28" t="s">
        <v>1925</v>
      </c>
      <c r="D130" s="17" t="s">
        <v>229</v>
      </c>
      <c r="E130" s="17" t="s">
        <v>2731</v>
      </c>
      <c r="F130" s="20">
        <v>1101.05</v>
      </c>
      <c r="G130" s="20">
        <v>370</v>
      </c>
      <c r="H130" s="19">
        <v>1720</v>
      </c>
      <c r="I130" s="20">
        <v>884</v>
      </c>
      <c r="J130" s="20">
        <v>836</v>
      </c>
      <c r="K130" s="20">
        <v>219</v>
      </c>
      <c r="L130" s="57">
        <f t="shared" si="6"/>
        <v>0.12732558139534883</v>
      </c>
      <c r="M130" s="20">
        <v>92</v>
      </c>
      <c r="N130" s="57">
        <f t="shared" si="7"/>
        <v>5.3488372093023255E-2</v>
      </c>
      <c r="O130" s="46">
        <v>103</v>
      </c>
      <c r="P130" s="46">
        <v>0</v>
      </c>
      <c r="Q130" s="20" t="s">
        <v>562</v>
      </c>
      <c r="R130" s="20"/>
      <c r="S130" s="20"/>
      <c r="T130" s="20"/>
      <c r="U130" s="20"/>
      <c r="V130" s="58"/>
      <c r="W130" s="58"/>
      <c r="X130" s="58" t="s">
        <v>562</v>
      </c>
      <c r="Y130" s="58"/>
      <c r="Z130" s="58"/>
      <c r="AA130" s="58"/>
      <c r="AB130" s="58"/>
      <c r="AC130" s="58" t="s">
        <v>562</v>
      </c>
      <c r="AD130" s="58"/>
      <c r="AE130" s="58"/>
      <c r="AF130" s="58"/>
      <c r="AG130" s="58"/>
      <c r="AH130" s="58"/>
      <c r="AI130" s="58"/>
    </row>
    <row r="131" spans="1:35" x14ac:dyDescent="0.35">
      <c r="A131" s="17" t="s">
        <v>46</v>
      </c>
      <c r="B131" s="17" t="s">
        <v>2490</v>
      </c>
      <c r="C131" s="28" t="s">
        <v>1925</v>
      </c>
      <c r="D131" s="17" t="s">
        <v>2732</v>
      </c>
      <c r="E131" s="17" t="s">
        <v>2733</v>
      </c>
      <c r="F131" s="20">
        <v>230.52</v>
      </c>
      <c r="G131" s="20">
        <v>159</v>
      </c>
      <c r="H131" s="19">
        <v>691</v>
      </c>
      <c r="I131" s="20">
        <v>358</v>
      </c>
      <c r="J131" s="20">
        <v>333</v>
      </c>
      <c r="K131" s="20">
        <v>72</v>
      </c>
      <c r="L131" s="57">
        <f t="shared" si="6"/>
        <v>0.10419681620839363</v>
      </c>
      <c r="M131" s="20">
        <v>35</v>
      </c>
      <c r="N131" s="57">
        <f t="shared" si="7"/>
        <v>5.0651230101302458E-2</v>
      </c>
      <c r="O131" s="46">
        <v>8.8000000000000007</v>
      </c>
      <c r="P131" s="46">
        <v>14.2</v>
      </c>
      <c r="Q131" s="20" t="s">
        <v>562</v>
      </c>
      <c r="R131" s="20"/>
      <c r="S131" s="20"/>
      <c r="T131" s="20"/>
      <c r="U131" s="20"/>
      <c r="V131" s="58"/>
      <c r="W131" s="58"/>
      <c r="X131" s="58" t="s">
        <v>562</v>
      </c>
      <c r="Y131" s="58"/>
      <c r="Z131" s="58"/>
      <c r="AA131" s="58"/>
      <c r="AB131" s="58"/>
      <c r="AC131" s="58" t="s">
        <v>562</v>
      </c>
      <c r="AD131" s="58"/>
      <c r="AE131" s="58"/>
      <c r="AF131" s="58"/>
      <c r="AG131" s="58"/>
      <c r="AH131" s="58"/>
      <c r="AI131" s="58"/>
    </row>
    <row r="132" spans="1:35" x14ac:dyDescent="0.35">
      <c r="A132" s="17" t="s">
        <v>46</v>
      </c>
      <c r="B132" s="17" t="s">
        <v>2490</v>
      </c>
      <c r="C132" s="28" t="s">
        <v>2726</v>
      </c>
      <c r="D132" s="17" t="s">
        <v>2734</v>
      </c>
      <c r="E132" s="17" t="s">
        <v>2735</v>
      </c>
      <c r="F132" s="20">
        <v>519.38</v>
      </c>
      <c r="G132" s="20">
        <v>485</v>
      </c>
      <c r="H132" s="19">
        <v>2207</v>
      </c>
      <c r="I132" s="20">
        <v>1104</v>
      </c>
      <c r="J132" s="20">
        <v>1103</v>
      </c>
      <c r="K132" s="20">
        <v>294</v>
      </c>
      <c r="L132" s="57">
        <f t="shared" ref="L132:L163" si="8">K132/H132</f>
        <v>0.133212505663797</v>
      </c>
      <c r="M132" s="20">
        <v>120</v>
      </c>
      <c r="N132" s="57">
        <f t="shared" ref="N132:N163" si="9">M132/H132</f>
        <v>5.4372451291345721E-2</v>
      </c>
      <c r="O132" s="46">
        <v>36.64</v>
      </c>
      <c r="P132" s="46">
        <v>1.85</v>
      </c>
      <c r="Q132" s="20" t="s">
        <v>51</v>
      </c>
      <c r="R132" s="20">
        <v>2020</v>
      </c>
      <c r="S132" s="20"/>
      <c r="T132" s="20"/>
      <c r="U132" s="20"/>
      <c r="V132" s="58"/>
      <c r="W132" s="58"/>
      <c r="X132" s="58" t="s">
        <v>51</v>
      </c>
      <c r="Y132" s="58"/>
      <c r="Z132" s="58"/>
      <c r="AA132" s="58"/>
      <c r="AB132" s="58"/>
      <c r="AC132" s="58" t="s">
        <v>51</v>
      </c>
      <c r="AD132" s="58"/>
      <c r="AE132" s="58"/>
      <c r="AF132" s="58"/>
      <c r="AG132" s="58"/>
      <c r="AH132" s="58"/>
      <c r="AI132" s="58"/>
    </row>
    <row r="133" spans="1:35" x14ac:dyDescent="0.35">
      <c r="A133" s="17" t="s">
        <v>46</v>
      </c>
      <c r="B133" s="17" t="s">
        <v>2490</v>
      </c>
      <c r="C133" s="28" t="s">
        <v>2736</v>
      </c>
      <c r="D133" s="17" t="s">
        <v>2737</v>
      </c>
      <c r="E133" s="17" t="s">
        <v>2738</v>
      </c>
      <c r="F133" s="20">
        <v>1348.82</v>
      </c>
      <c r="G133" s="20">
        <v>846</v>
      </c>
      <c r="H133" s="19">
        <v>4081</v>
      </c>
      <c r="I133" s="20">
        <v>2242</v>
      </c>
      <c r="J133" s="20">
        <v>1839</v>
      </c>
      <c r="K133" s="20">
        <v>834</v>
      </c>
      <c r="L133" s="57">
        <f t="shared" si="8"/>
        <v>0.20436167605978928</v>
      </c>
      <c r="M133" s="20">
        <v>91</v>
      </c>
      <c r="N133" s="57">
        <f t="shared" si="9"/>
        <v>2.2298456260720412E-2</v>
      </c>
      <c r="O133" s="46">
        <v>36.29</v>
      </c>
      <c r="P133" s="46">
        <v>0</v>
      </c>
      <c r="Q133" s="20" t="s">
        <v>562</v>
      </c>
      <c r="R133" s="20"/>
      <c r="S133" s="20"/>
      <c r="T133" s="20"/>
      <c r="U133" s="20"/>
      <c r="V133" s="58"/>
      <c r="W133" s="58"/>
      <c r="X133" s="58" t="s">
        <v>562</v>
      </c>
      <c r="Y133" s="58"/>
      <c r="Z133" s="58"/>
      <c r="AA133" s="58"/>
      <c r="AB133" s="58"/>
      <c r="AC133" s="58" t="s">
        <v>562</v>
      </c>
      <c r="AD133" s="58"/>
      <c r="AE133" s="58"/>
      <c r="AF133" s="58"/>
      <c r="AG133" s="58"/>
      <c r="AH133" s="58"/>
      <c r="AI133" s="58"/>
    </row>
    <row r="134" spans="1:35" x14ac:dyDescent="0.35">
      <c r="A134" s="17" t="s">
        <v>46</v>
      </c>
      <c r="B134" s="17" t="s">
        <v>2490</v>
      </c>
      <c r="C134" s="28" t="s">
        <v>2736</v>
      </c>
      <c r="D134" s="17" t="s">
        <v>2739</v>
      </c>
      <c r="E134" s="17" t="s">
        <v>2740</v>
      </c>
      <c r="F134" s="20">
        <v>257.98</v>
      </c>
      <c r="G134" s="20">
        <v>182</v>
      </c>
      <c r="H134" s="19">
        <v>762</v>
      </c>
      <c r="I134" s="20">
        <v>378</v>
      </c>
      <c r="J134" s="20">
        <v>384</v>
      </c>
      <c r="K134" s="20">
        <v>111</v>
      </c>
      <c r="L134" s="57">
        <f t="shared" si="8"/>
        <v>0.14566929133858267</v>
      </c>
      <c r="M134" s="20">
        <v>62</v>
      </c>
      <c r="N134" s="57">
        <f t="shared" si="9"/>
        <v>8.1364829396325458E-2</v>
      </c>
      <c r="O134" s="46">
        <v>36.590000000000003</v>
      </c>
      <c r="P134" s="46">
        <v>0</v>
      </c>
      <c r="Q134" s="20" t="s">
        <v>562</v>
      </c>
      <c r="R134" s="20"/>
      <c r="S134" s="20"/>
      <c r="T134" s="20"/>
      <c r="U134" s="20"/>
      <c r="V134" s="58"/>
      <c r="W134" s="58"/>
      <c r="X134" s="58" t="s">
        <v>562</v>
      </c>
      <c r="Y134" s="58"/>
      <c r="Z134" s="58"/>
      <c r="AA134" s="58"/>
      <c r="AB134" s="58"/>
      <c r="AC134" s="58" t="s">
        <v>562</v>
      </c>
      <c r="AD134" s="58"/>
      <c r="AE134" s="58"/>
      <c r="AF134" s="58"/>
      <c r="AG134" s="58"/>
      <c r="AH134" s="58"/>
      <c r="AI134" s="58"/>
    </row>
  </sheetData>
  <autoFilter ref="A2:AI134">
    <filterColumn colId="33" showButton="0"/>
  </autoFilter>
  <mergeCells count="1">
    <mergeCell ref="AH2:AI2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4"/>
  <sheetViews>
    <sheetView topLeftCell="I1" zoomScale="75" zoomScaleNormal="75" workbookViewId="0">
      <selection activeCell="Q14" sqref="Q14"/>
    </sheetView>
  </sheetViews>
  <sheetFormatPr defaultColWidth="9.1796875" defaultRowHeight="14.5" x14ac:dyDescent="0.35"/>
  <cols>
    <col min="3" max="3" width="17.6328125" customWidth="1"/>
    <col min="4" max="4" width="16.7265625" customWidth="1"/>
    <col min="15" max="35" width="16.6328125" customWidth="1"/>
  </cols>
  <sheetData>
    <row r="1" spans="1:35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4"/>
      <c r="P1" s="4"/>
      <c r="Q1" s="38" t="s">
        <v>0</v>
      </c>
      <c r="R1" s="38" t="s">
        <v>0</v>
      </c>
      <c r="S1" s="38" t="s">
        <v>0</v>
      </c>
      <c r="T1" s="39" t="s">
        <v>0</v>
      </c>
      <c r="U1" s="39" t="s">
        <v>0</v>
      </c>
      <c r="V1" s="38" t="s">
        <v>1</v>
      </c>
      <c r="W1" s="38" t="s">
        <v>1</v>
      </c>
      <c r="X1" s="38" t="s">
        <v>1</v>
      </c>
      <c r="Y1" s="38" t="s">
        <v>1</v>
      </c>
      <c r="Z1" s="38" t="s">
        <v>1</v>
      </c>
      <c r="AA1" s="38" t="s">
        <v>1</v>
      </c>
      <c r="AB1" s="38" t="s">
        <v>2</v>
      </c>
      <c r="AC1" s="40" t="s">
        <v>3</v>
      </c>
      <c r="AD1" s="41" t="s">
        <v>3</v>
      </c>
      <c r="AE1" s="40" t="s">
        <v>3</v>
      </c>
      <c r="AF1" s="40" t="s">
        <v>3</v>
      </c>
      <c r="AG1" s="40" t="s">
        <v>3</v>
      </c>
      <c r="AH1" s="40" t="s">
        <v>3</v>
      </c>
      <c r="AI1" s="40" t="s">
        <v>3</v>
      </c>
    </row>
    <row r="2" spans="1:35" ht="136.25" customHeight="1" x14ac:dyDescent="0.3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5" t="s">
        <v>14</v>
      </c>
      <c r="L2" s="5"/>
      <c r="M2" s="5" t="s">
        <v>15</v>
      </c>
      <c r="N2" s="5"/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2" t="s">
        <v>21</v>
      </c>
      <c r="U2" s="42" t="s">
        <v>22</v>
      </c>
      <c r="V2" s="11" t="s">
        <v>23</v>
      </c>
      <c r="W2" s="4" t="s">
        <v>24</v>
      </c>
      <c r="X2" s="11" t="s">
        <v>25</v>
      </c>
      <c r="Y2" s="4" t="s">
        <v>26</v>
      </c>
      <c r="Z2" s="4" t="s">
        <v>27</v>
      </c>
      <c r="AA2" s="11" t="s">
        <v>28</v>
      </c>
      <c r="AB2" s="43" t="s">
        <v>29</v>
      </c>
      <c r="AC2" s="11" t="s">
        <v>30</v>
      </c>
      <c r="AD2" s="43" t="s">
        <v>31</v>
      </c>
      <c r="AE2" s="11" t="s">
        <v>32</v>
      </c>
      <c r="AF2" s="11" t="s">
        <v>33</v>
      </c>
      <c r="AG2" s="11" t="s">
        <v>34</v>
      </c>
      <c r="AH2" s="1" t="s">
        <v>35</v>
      </c>
      <c r="AI2" s="1"/>
    </row>
    <row r="3" spans="1:35" x14ac:dyDescent="0.35">
      <c r="A3" s="17"/>
      <c r="B3" s="17"/>
      <c r="C3" s="5"/>
      <c r="D3" s="5"/>
      <c r="E3" s="5"/>
      <c r="F3" s="5" t="s">
        <v>37</v>
      </c>
      <c r="G3" s="5" t="s">
        <v>38</v>
      </c>
      <c r="H3" s="5" t="s">
        <v>38</v>
      </c>
      <c r="I3" s="5" t="s">
        <v>38</v>
      </c>
      <c r="J3" s="5" t="s">
        <v>38</v>
      </c>
      <c r="K3" s="5" t="s">
        <v>38</v>
      </c>
      <c r="L3" s="5" t="s">
        <v>39</v>
      </c>
      <c r="M3" s="5"/>
      <c r="N3" s="5" t="s">
        <v>39</v>
      </c>
      <c r="O3" s="5" t="s">
        <v>37</v>
      </c>
      <c r="P3" s="5" t="s">
        <v>37</v>
      </c>
      <c r="Q3" s="5" t="s">
        <v>40</v>
      </c>
      <c r="R3" s="5" t="s">
        <v>41</v>
      </c>
      <c r="S3" s="5" t="s">
        <v>37</v>
      </c>
      <c r="T3" s="44"/>
      <c r="U3" s="44"/>
      <c r="V3" s="5" t="s">
        <v>37</v>
      </c>
      <c r="W3" s="5" t="s">
        <v>37</v>
      </c>
      <c r="X3" s="5" t="s">
        <v>40</v>
      </c>
      <c r="Y3" s="5" t="s">
        <v>40</v>
      </c>
      <c r="Z3" s="5" t="s">
        <v>40</v>
      </c>
      <c r="AA3" s="5" t="s">
        <v>37</v>
      </c>
      <c r="AB3" s="45" t="s">
        <v>42</v>
      </c>
      <c r="AC3" s="5" t="s">
        <v>40</v>
      </c>
      <c r="AD3" s="45" t="s">
        <v>40</v>
      </c>
      <c r="AE3" s="5" t="s">
        <v>40</v>
      </c>
      <c r="AF3" s="5" t="s">
        <v>37</v>
      </c>
      <c r="AG3" s="5" t="s">
        <v>43</v>
      </c>
      <c r="AH3" s="5" t="s">
        <v>44</v>
      </c>
      <c r="AI3" s="5" t="s">
        <v>45</v>
      </c>
    </row>
    <row r="4" spans="1:35" x14ac:dyDescent="0.35">
      <c r="A4" s="17" t="s">
        <v>46</v>
      </c>
      <c r="B4" s="17" t="s">
        <v>2741</v>
      </c>
      <c r="C4" s="28" t="s">
        <v>2742</v>
      </c>
      <c r="D4" s="17" t="s">
        <v>2743</v>
      </c>
      <c r="E4" s="17" t="s">
        <v>2744</v>
      </c>
      <c r="F4" s="20">
        <v>251</v>
      </c>
      <c r="G4" s="20">
        <v>94</v>
      </c>
      <c r="H4" s="19">
        <v>435</v>
      </c>
      <c r="I4" s="20">
        <v>201</v>
      </c>
      <c r="J4" s="20">
        <v>234</v>
      </c>
      <c r="K4" s="20">
        <v>253</v>
      </c>
      <c r="L4" s="57">
        <f t="shared" ref="L4:L45" si="0">K4/H4</f>
        <v>0.58160919540229883</v>
      </c>
      <c r="M4" s="20">
        <v>81</v>
      </c>
      <c r="N4" s="57">
        <f t="shared" ref="N4:N45" si="1">M4/H4</f>
        <v>0.18620689655172415</v>
      </c>
      <c r="O4" s="46">
        <v>5</v>
      </c>
      <c r="P4" s="46">
        <v>0</v>
      </c>
      <c r="Q4" s="58" t="s">
        <v>51</v>
      </c>
      <c r="R4" s="58">
        <v>2019</v>
      </c>
      <c r="S4" s="58"/>
      <c r="T4" s="58"/>
      <c r="U4" s="58"/>
      <c r="V4" s="58"/>
      <c r="W4" s="58"/>
      <c r="X4" s="58" t="s">
        <v>51</v>
      </c>
      <c r="Y4" s="58"/>
      <c r="Z4" s="58"/>
      <c r="AA4" s="58"/>
      <c r="AB4" s="58"/>
      <c r="AC4" s="58" t="s">
        <v>51</v>
      </c>
      <c r="AD4" s="58"/>
      <c r="AE4" s="58"/>
      <c r="AF4" s="58"/>
      <c r="AG4" s="58"/>
      <c r="AH4" s="58"/>
      <c r="AI4" s="58"/>
    </row>
    <row r="5" spans="1:35" x14ac:dyDescent="0.35">
      <c r="A5" s="17" t="s">
        <v>46</v>
      </c>
      <c r="B5" s="17" t="s">
        <v>2741</v>
      </c>
      <c r="C5" s="28" t="s">
        <v>2742</v>
      </c>
      <c r="D5" s="17" t="s">
        <v>2745</v>
      </c>
      <c r="E5" s="17" t="s">
        <v>2746</v>
      </c>
      <c r="F5" s="20">
        <v>2162</v>
      </c>
      <c r="G5" s="20">
        <v>685</v>
      </c>
      <c r="H5" s="19">
        <v>3102</v>
      </c>
      <c r="I5" s="20">
        <v>1546</v>
      </c>
      <c r="J5" s="20">
        <v>1556</v>
      </c>
      <c r="K5" s="20">
        <v>717</v>
      </c>
      <c r="L5" s="57">
        <f t="shared" si="0"/>
        <v>0.2311411992263056</v>
      </c>
      <c r="M5" s="20">
        <v>200</v>
      </c>
      <c r="N5" s="57">
        <f t="shared" si="1"/>
        <v>6.4474532559638947E-2</v>
      </c>
      <c r="O5" s="46">
        <v>152</v>
      </c>
      <c r="P5" s="46">
        <v>0</v>
      </c>
      <c r="Q5" s="58" t="s">
        <v>51</v>
      </c>
      <c r="R5" s="58">
        <v>2019</v>
      </c>
      <c r="S5" s="58"/>
      <c r="T5" s="58"/>
      <c r="U5" s="58"/>
      <c r="V5" s="58"/>
      <c r="W5" s="58"/>
      <c r="X5" s="58" t="s">
        <v>51</v>
      </c>
      <c r="Y5" s="58"/>
      <c r="Z5" s="58"/>
      <c r="AA5" s="58"/>
      <c r="AB5" s="58"/>
      <c r="AC5" s="58" t="s">
        <v>51</v>
      </c>
      <c r="AD5" s="58"/>
      <c r="AE5" s="58"/>
      <c r="AF5" s="58"/>
      <c r="AG5" s="58"/>
      <c r="AH5" s="58"/>
      <c r="AI5" s="58"/>
    </row>
    <row r="6" spans="1:35" x14ac:dyDescent="0.35">
      <c r="A6" s="17" t="s">
        <v>46</v>
      </c>
      <c r="B6" s="17" t="s">
        <v>2741</v>
      </c>
      <c r="C6" s="28" t="s">
        <v>2742</v>
      </c>
      <c r="D6" s="17" t="s">
        <v>2747</v>
      </c>
      <c r="E6" s="17" t="s">
        <v>2748</v>
      </c>
      <c r="F6" s="20">
        <v>150</v>
      </c>
      <c r="G6" s="20">
        <v>59</v>
      </c>
      <c r="H6" s="19">
        <v>268</v>
      </c>
      <c r="I6" s="20">
        <v>137</v>
      </c>
      <c r="J6" s="20">
        <v>131</v>
      </c>
      <c r="K6" s="20">
        <v>0</v>
      </c>
      <c r="L6" s="57">
        <f t="shared" si="0"/>
        <v>0</v>
      </c>
      <c r="M6" s="20">
        <v>267</v>
      </c>
      <c r="N6" s="57">
        <f t="shared" si="1"/>
        <v>0.99626865671641796</v>
      </c>
      <c r="O6" s="46">
        <v>22</v>
      </c>
      <c r="P6" s="46">
        <v>0</v>
      </c>
      <c r="Q6" s="58" t="s">
        <v>51</v>
      </c>
      <c r="R6" s="58">
        <v>2019</v>
      </c>
      <c r="S6" s="58"/>
      <c r="T6" s="58"/>
      <c r="U6" s="58"/>
      <c r="V6" s="58"/>
      <c r="W6" s="58"/>
      <c r="X6" s="58" t="s">
        <v>51</v>
      </c>
      <c r="Y6" s="58"/>
      <c r="Z6" s="58"/>
      <c r="AA6" s="58"/>
      <c r="AB6" s="58"/>
      <c r="AC6" s="58" t="s">
        <v>51</v>
      </c>
      <c r="AD6" s="58"/>
      <c r="AE6" s="58"/>
      <c r="AF6" s="58"/>
      <c r="AG6" s="58"/>
      <c r="AH6" s="58"/>
      <c r="AI6" s="58"/>
    </row>
    <row r="7" spans="1:35" x14ac:dyDescent="0.35">
      <c r="A7" s="17" t="s">
        <v>46</v>
      </c>
      <c r="B7" s="17" t="s">
        <v>2741</v>
      </c>
      <c r="C7" s="28" t="s">
        <v>1784</v>
      </c>
      <c r="D7" s="17" t="s">
        <v>2749</v>
      </c>
      <c r="E7" s="17" t="s">
        <v>2750</v>
      </c>
      <c r="F7" s="20">
        <v>653</v>
      </c>
      <c r="G7" s="20">
        <v>188</v>
      </c>
      <c r="H7" s="19">
        <v>876</v>
      </c>
      <c r="I7" s="20">
        <v>434</v>
      </c>
      <c r="J7" s="20">
        <v>442</v>
      </c>
      <c r="K7" s="20">
        <v>91</v>
      </c>
      <c r="L7" s="57">
        <f t="shared" si="0"/>
        <v>0.10388127853881278</v>
      </c>
      <c r="M7" s="20">
        <v>109</v>
      </c>
      <c r="N7" s="57">
        <f t="shared" si="1"/>
        <v>0.12442922374429223</v>
      </c>
      <c r="O7" s="46">
        <v>120</v>
      </c>
      <c r="P7" s="46">
        <v>0</v>
      </c>
      <c r="Q7" s="58" t="s">
        <v>51</v>
      </c>
      <c r="R7" s="58">
        <v>2019</v>
      </c>
      <c r="S7" s="58"/>
      <c r="T7" s="58"/>
      <c r="U7" s="58"/>
      <c r="V7" s="58"/>
      <c r="W7" s="58"/>
      <c r="X7" s="58" t="s">
        <v>51</v>
      </c>
      <c r="Y7" s="58"/>
      <c r="Z7" s="58"/>
      <c r="AA7" s="58"/>
      <c r="AB7" s="58"/>
      <c r="AC7" s="58" t="s">
        <v>51</v>
      </c>
      <c r="AD7" s="58"/>
      <c r="AE7" s="58"/>
      <c r="AF7" s="58"/>
      <c r="AG7" s="58"/>
      <c r="AH7" s="58"/>
      <c r="AI7" s="58"/>
    </row>
    <row r="8" spans="1:35" x14ac:dyDescent="0.35">
      <c r="A8" s="17" t="s">
        <v>46</v>
      </c>
      <c r="B8" s="17" t="s">
        <v>2741</v>
      </c>
      <c r="C8" s="28" t="s">
        <v>1784</v>
      </c>
      <c r="D8" s="17" t="s">
        <v>2751</v>
      </c>
      <c r="E8" s="17" t="s">
        <v>2752</v>
      </c>
      <c r="F8" s="20">
        <v>150</v>
      </c>
      <c r="G8" s="20">
        <v>216</v>
      </c>
      <c r="H8" s="19">
        <v>699</v>
      </c>
      <c r="I8" s="20">
        <v>347</v>
      </c>
      <c r="J8" s="20">
        <v>352</v>
      </c>
      <c r="K8" s="20">
        <v>698</v>
      </c>
      <c r="L8" s="57">
        <f t="shared" si="0"/>
        <v>0.9985693848354793</v>
      </c>
      <c r="M8" s="20">
        <v>0</v>
      </c>
      <c r="N8" s="57">
        <f t="shared" si="1"/>
        <v>0</v>
      </c>
      <c r="O8" s="46">
        <v>0</v>
      </c>
      <c r="P8" s="46">
        <v>0</v>
      </c>
      <c r="Q8" s="58" t="s">
        <v>51</v>
      </c>
      <c r="R8" s="58">
        <v>2019</v>
      </c>
      <c r="S8" s="58"/>
      <c r="T8" s="58"/>
      <c r="U8" s="58"/>
      <c r="V8" s="58"/>
      <c r="W8" s="58"/>
      <c r="X8" s="58" t="s">
        <v>51</v>
      </c>
      <c r="Y8" s="58"/>
      <c r="Z8" s="58"/>
      <c r="AA8" s="58"/>
      <c r="AB8" s="58"/>
      <c r="AC8" s="58" t="s">
        <v>51</v>
      </c>
      <c r="AD8" s="58"/>
      <c r="AE8" s="58"/>
      <c r="AF8" s="58"/>
      <c r="AG8" s="58"/>
      <c r="AH8" s="58"/>
      <c r="AI8" s="58"/>
    </row>
    <row r="9" spans="1:35" x14ac:dyDescent="0.35">
      <c r="A9" s="17" t="s">
        <v>46</v>
      </c>
      <c r="B9" s="17" t="s">
        <v>2741</v>
      </c>
      <c r="C9" s="28" t="s">
        <v>1763</v>
      </c>
      <c r="D9" s="17" t="s">
        <v>2753</v>
      </c>
      <c r="E9" s="17" t="s">
        <v>2754</v>
      </c>
      <c r="F9" s="20">
        <v>356</v>
      </c>
      <c r="G9" s="20">
        <v>50</v>
      </c>
      <c r="H9" s="19">
        <v>250</v>
      </c>
      <c r="I9" s="20">
        <v>113</v>
      </c>
      <c r="J9" s="20">
        <v>137</v>
      </c>
      <c r="K9" s="20">
        <v>16</v>
      </c>
      <c r="L9" s="57">
        <f t="shared" si="0"/>
        <v>6.4000000000000001E-2</v>
      </c>
      <c r="M9" s="20">
        <v>115</v>
      </c>
      <c r="N9" s="57">
        <f t="shared" si="1"/>
        <v>0.46</v>
      </c>
      <c r="O9" s="46">
        <v>67</v>
      </c>
      <c r="P9" s="46">
        <v>0</v>
      </c>
      <c r="Q9" s="58" t="s">
        <v>51</v>
      </c>
      <c r="R9" s="58">
        <v>2019</v>
      </c>
      <c r="S9" s="58"/>
      <c r="T9" s="58"/>
      <c r="U9" s="58"/>
      <c r="V9" s="58"/>
      <c r="W9" s="58"/>
      <c r="X9" s="58" t="s">
        <v>51</v>
      </c>
      <c r="Y9" s="58"/>
      <c r="Z9" s="58"/>
      <c r="AA9" s="58"/>
      <c r="AB9" s="58"/>
      <c r="AC9" s="58" t="s">
        <v>51</v>
      </c>
      <c r="AD9" s="58"/>
      <c r="AE9" s="58"/>
      <c r="AF9" s="58"/>
      <c r="AG9" s="58"/>
      <c r="AH9" s="58"/>
      <c r="AI9" s="58"/>
    </row>
    <row r="10" spans="1:35" x14ac:dyDescent="0.35">
      <c r="A10" s="17" t="s">
        <v>46</v>
      </c>
      <c r="B10" s="17" t="s">
        <v>2741</v>
      </c>
      <c r="C10" s="28" t="s">
        <v>1763</v>
      </c>
      <c r="D10" s="17" t="s">
        <v>390</v>
      </c>
      <c r="E10" s="17" t="s">
        <v>2755</v>
      </c>
      <c r="F10" s="20">
        <v>515</v>
      </c>
      <c r="G10" s="20">
        <v>246</v>
      </c>
      <c r="H10" s="19">
        <v>1221</v>
      </c>
      <c r="I10" s="20">
        <v>617</v>
      </c>
      <c r="J10" s="20">
        <v>604</v>
      </c>
      <c r="K10" s="20">
        <v>131</v>
      </c>
      <c r="L10" s="57">
        <f t="shared" si="0"/>
        <v>0.10728910728910729</v>
      </c>
      <c r="M10" s="20">
        <v>31</v>
      </c>
      <c r="N10" s="57">
        <f t="shared" si="1"/>
        <v>2.5389025389025387E-2</v>
      </c>
      <c r="O10" s="46">
        <v>19</v>
      </c>
      <c r="P10" s="46">
        <v>0</v>
      </c>
      <c r="Q10" s="58" t="s">
        <v>51</v>
      </c>
      <c r="R10" s="58">
        <v>2019</v>
      </c>
      <c r="S10" s="58"/>
      <c r="T10" s="58"/>
      <c r="U10" s="58"/>
      <c r="V10" s="58"/>
      <c r="W10" s="58"/>
      <c r="X10" s="58" t="s">
        <v>51</v>
      </c>
      <c r="Y10" s="58"/>
      <c r="Z10" s="58"/>
      <c r="AA10" s="58"/>
      <c r="AB10" s="58"/>
      <c r="AC10" s="58" t="s">
        <v>51</v>
      </c>
      <c r="AD10" s="58"/>
      <c r="AE10" s="58"/>
      <c r="AF10" s="58"/>
      <c r="AG10" s="58"/>
      <c r="AH10" s="58"/>
      <c r="AI10" s="58"/>
    </row>
    <row r="11" spans="1:35" x14ac:dyDescent="0.35">
      <c r="A11" s="17" t="s">
        <v>46</v>
      </c>
      <c r="B11" s="17" t="s">
        <v>2741</v>
      </c>
      <c r="C11" s="28" t="s">
        <v>1763</v>
      </c>
      <c r="D11" s="17" t="s">
        <v>2756</v>
      </c>
      <c r="E11" s="17" t="s">
        <v>2757</v>
      </c>
      <c r="F11" s="20">
        <v>1015</v>
      </c>
      <c r="G11" s="20">
        <v>381</v>
      </c>
      <c r="H11" s="19">
        <v>2019</v>
      </c>
      <c r="I11" s="20">
        <v>1051</v>
      </c>
      <c r="J11" s="20">
        <v>968</v>
      </c>
      <c r="K11" s="20">
        <v>270</v>
      </c>
      <c r="L11" s="57">
        <f t="shared" si="0"/>
        <v>0.1337295690936107</v>
      </c>
      <c r="M11" s="20">
        <v>208</v>
      </c>
      <c r="N11" s="57">
        <f t="shared" si="1"/>
        <v>0.1030212976721149</v>
      </c>
      <c r="O11" s="46">
        <v>119</v>
      </c>
      <c r="P11" s="46">
        <v>0</v>
      </c>
      <c r="Q11" s="58" t="s">
        <v>51</v>
      </c>
      <c r="R11" s="58">
        <v>2019</v>
      </c>
      <c r="S11" s="58"/>
      <c r="T11" s="58"/>
      <c r="U11" s="58"/>
      <c r="V11" s="58"/>
      <c r="W11" s="58"/>
      <c r="X11" s="58" t="s">
        <v>51</v>
      </c>
      <c r="Y11" s="58"/>
      <c r="Z11" s="58"/>
      <c r="AA11" s="58"/>
      <c r="AB11" s="58"/>
      <c r="AC11" s="58" t="s">
        <v>51</v>
      </c>
      <c r="AD11" s="58"/>
      <c r="AE11" s="58"/>
      <c r="AF11" s="58"/>
      <c r="AG11" s="58"/>
      <c r="AH11" s="58"/>
      <c r="AI11" s="58"/>
    </row>
    <row r="12" spans="1:35" x14ac:dyDescent="0.35">
      <c r="A12" s="17" t="s">
        <v>46</v>
      </c>
      <c r="B12" s="17" t="s">
        <v>2741</v>
      </c>
      <c r="C12" s="28" t="s">
        <v>2758</v>
      </c>
      <c r="D12" s="17" t="s">
        <v>2759</v>
      </c>
      <c r="E12" s="17" t="s">
        <v>2760</v>
      </c>
      <c r="F12" s="20">
        <v>841</v>
      </c>
      <c r="G12" s="20">
        <v>246</v>
      </c>
      <c r="H12" s="19">
        <v>1233</v>
      </c>
      <c r="I12" s="20">
        <v>631</v>
      </c>
      <c r="J12" s="20">
        <v>602</v>
      </c>
      <c r="K12" s="20">
        <v>301</v>
      </c>
      <c r="L12" s="57">
        <f t="shared" si="0"/>
        <v>0.24412003244120031</v>
      </c>
      <c r="M12" s="20">
        <v>40</v>
      </c>
      <c r="N12" s="57">
        <f t="shared" si="1"/>
        <v>3.2441200324412001E-2</v>
      </c>
      <c r="O12" s="46">
        <v>75</v>
      </c>
      <c r="P12" s="46">
        <v>0</v>
      </c>
      <c r="Q12" s="58" t="s">
        <v>51</v>
      </c>
      <c r="R12" s="58">
        <v>2019</v>
      </c>
      <c r="S12" s="58"/>
      <c r="T12" s="58"/>
      <c r="U12" s="58"/>
      <c r="V12" s="58"/>
      <c r="W12" s="58"/>
      <c r="X12" s="58" t="s">
        <v>51</v>
      </c>
      <c r="Y12" s="58"/>
      <c r="Z12" s="58"/>
      <c r="AA12" s="58"/>
      <c r="AB12" s="58"/>
      <c r="AC12" s="58" t="s">
        <v>51</v>
      </c>
      <c r="AD12" s="58"/>
      <c r="AE12" s="58"/>
      <c r="AF12" s="58"/>
      <c r="AG12" s="58"/>
      <c r="AH12" s="58"/>
      <c r="AI12" s="58"/>
    </row>
    <row r="13" spans="1:35" x14ac:dyDescent="0.35">
      <c r="A13" s="17" t="s">
        <v>46</v>
      </c>
      <c r="B13" s="17" t="s">
        <v>2741</v>
      </c>
      <c r="C13" s="28" t="s">
        <v>2758</v>
      </c>
      <c r="D13" s="17" t="s">
        <v>2761</v>
      </c>
      <c r="E13" s="17" t="s">
        <v>2762</v>
      </c>
      <c r="F13" s="20">
        <v>146</v>
      </c>
      <c r="G13" s="20">
        <v>109</v>
      </c>
      <c r="H13" s="19">
        <v>515</v>
      </c>
      <c r="I13" s="20">
        <v>257</v>
      </c>
      <c r="J13" s="20">
        <v>258</v>
      </c>
      <c r="K13" s="20">
        <v>57</v>
      </c>
      <c r="L13" s="57">
        <f t="shared" si="0"/>
        <v>0.11067961165048544</v>
      </c>
      <c r="M13" s="20">
        <v>0</v>
      </c>
      <c r="N13" s="57">
        <f t="shared" si="1"/>
        <v>0</v>
      </c>
      <c r="O13" s="46">
        <v>11</v>
      </c>
      <c r="P13" s="46">
        <v>0</v>
      </c>
      <c r="Q13" s="58" t="s">
        <v>51</v>
      </c>
      <c r="R13" s="58">
        <v>2019</v>
      </c>
      <c r="S13" s="58"/>
      <c r="T13" s="58"/>
      <c r="U13" s="58"/>
      <c r="V13" s="58"/>
      <c r="W13" s="58"/>
      <c r="X13" s="58" t="s">
        <v>51</v>
      </c>
      <c r="Y13" s="58"/>
      <c r="Z13" s="58"/>
      <c r="AA13" s="58"/>
      <c r="AB13" s="58"/>
      <c r="AC13" s="58" t="s">
        <v>51</v>
      </c>
      <c r="AD13" s="58"/>
      <c r="AE13" s="58"/>
      <c r="AF13" s="58"/>
      <c r="AG13" s="58"/>
      <c r="AH13" s="58"/>
      <c r="AI13" s="58"/>
    </row>
    <row r="14" spans="1:35" x14ac:dyDescent="0.35">
      <c r="A14" s="17" t="s">
        <v>46</v>
      </c>
      <c r="B14" s="17" t="s">
        <v>2741</v>
      </c>
      <c r="C14" s="28" t="s">
        <v>2763</v>
      </c>
      <c r="D14" s="17" t="s">
        <v>682</v>
      </c>
      <c r="E14" s="17" t="s">
        <v>2764</v>
      </c>
      <c r="F14" s="20">
        <v>455.68</v>
      </c>
      <c r="G14" s="20">
        <v>226</v>
      </c>
      <c r="H14" s="19">
        <v>1055</v>
      </c>
      <c r="I14" s="20">
        <v>505</v>
      </c>
      <c r="J14" s="20">
        <v>550</v>
      </c>
      <c r="K14" s="20">
        <v>93</v>
      </c>
      <c r="L14" s="57">
        <f t="shared" si="0"/>
        <v>8.8151658767772506E-2</v>
      </c>
      <c r="M14" s="20">
        <v>37</v>
      </c>
      <c r="N14" s="57">
        <f t="shared" si="1"/>
        <v>3.5071090047393366E-2</v>
      </c>
      <c r="O14" s="46">
        <v>60</v>
      </c>
      <c r="P14" s="46">
        <v>0</v>
      </c>
      <c r="Q14" s="58" t="s">
        <v>51</v>
      </c>
      <c r="R14" s="58">
        <v>2020</v>
      </c>
      <c r="S14" s="58"/>
      <c r="T14" s="58"/>
      <c r="U14" s="58"/>
      <c r="V14" s="58"/>
      <c r="W14" s="58"/>
      <c r="X14" s="58" t="s">
        <v>51</v>
      </c>
      <c r="Y14" s="58"/>
      <c r="Z14" s="58"/>
      <c r="AA14" s="58"/>
      <c r="AB14" s="58"/>
      <c r="AC14" s="58" t="s">
        <v>51</v>
      </c>
      <c r="AD14" s="58"/>
      <c r="AE14" s="58"/>
      <c r="AF14" s="58"/>
      <c r="AG14" s="58"/>
      <c r="AH14" s="58"/>
      <c r="AI14" s="58"/>
    </row>
    <row r="15" spans="1:35" x14ac:dyDescent="0.35">
      <c r="A15" s="17" t="s">
        <v>46</v>
      </c>
      <c r="B15" s="17" t="s">
        <v>2741</v>
      </c>
      <c r="C15" s="28" t="s">
        <v>2758</v>
      </c>
      <c r="D15" s="17" t="s">
        <v>2765</v>
      </c>
      <c r="E15" s="17" t="s">
        <v>2766</v>
      </c>
      <c r="F15" s="20">
        <v>802</v>
      </c>
      <c r="G15" s="20">
        <v>407</v>
      </c>
      <c r="H15" s="19">
        <v>1892</v>
      </c>
      <c r="I15" s="20">
        <v>962</v>
      </c>
      <c r="J15" s="20">
        <v>930</v>
      </c>
      <c r="K15" s="20">
        <v>286</v>
      </c>
      <c r="L15" s="57">
        <f t="shared" si="0"/>
        <v>0.15116279069767441</v>
      </c>
      <c r="M15" s="20">
        <v>55</v>
      </c>
      <c r="N15" s="57">
        <f t="shared" si="1"/>
        <v>2.9069767441860465E-2</v>
      </c>
      <c r="O15" s="46">
        <v>0</v>
      </c>
      <c r="P15" s="46">
        <v>0</v>
      </c>
      <c r="Q15" s="58" t="s">
        <v>51</v>
      </c>
      <c r="R15" s="58">
        <v>2019</v>
      </c>
      <c r="S15" s="58"/>
      <c r="T15" s="58"/>
      <c r="U15" s="58"/>
      <c r="V15" s="58"/>
      <c r="W15" s="58"/>
      <c r="X15" s="58" t="s">
        <v>51</v>
      </c>
      <c r="Y15" s="58"/>
      <c r="Z15" s="58"/>
      <c r="AA15" s="58"/>
      <c r="AB15" s="58"/>
      <c r="AC15" s="58" t="s">
        <v>51</v>
      </c>
      <c r="AD15" s="58"/>
      <c r="AE15" s="58"/>
      <c r="AF15" s="58"/>
      <c r="AG15" s="58"/>
      <c r="AH15" s="58"/>
      <c r="AI15" s="58"/>
    </row>
    <row r="16" spans="1:35" x14ac:dyDescent="0.35">
      <c r="A16" s="17" t="s">
        <v>46</v>
      </c>
      <c r="B16" s="17" t="s">
        <v>2741</v>
      </c>
      <c r="C16" s="28" t="s">
        <v>1753</v>
      </c>
      <c r="D16" s="17" t="s">
        <v>1764</v>
      </c>
      <c r="E16" s="17" t="s">
        <v>2767</v>
      </c>
      <c r="F16" s="20">
        <v>318</v>
      </c>
      <c r="G16" s="20">
        <v>150</v>
      </c>
      <c r="H16" s="19">
        <v>676</v>
      </c>
      <c r="I16" s="20">
        <v>333</v>
      </c>
      <c r="J16" s="20">
        <v>343</v>
      </c>
      <c r="K16" s="20">
        <v>78</v>
      </c>
      <c r="L16" s="57">
        <f t="shared" si="0"/>
        <v>0.11538461538461539</v>
      </c>
      <c r="M16" s="20">
        <v>273</v>
      </c>
      <c r="N16" s="57">
        <f t="shared" si="1"/>
        <v>0.40384615384615385</v>
      </c>
      <c r="O16" s="46">
        <v>43</v>
      </c>
      <c r="P16" s="46">
        <v>0</v>
      </c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</row>
    <row r="17" spans="1:35" x14ac:dyDescent="0.35">
      <c r="A17" s="17" t="s">
        <v>46</v>
      </c>
      <c r="B17" s="17" t="s">
        <v>2741</v>
      </c>
      <c r="C17" s="28" t="s">
        <v>2768</v>
      </c>
      <c r="D17" s="17" t="s">
        <v>1869</v>
      </c>
      <c r="E17" s="17" t="s">
        <v>2769</v>
      </c>
      <c r="F17" s="20">
        <v>246</v>
      </c>
      <c r="G17" s="20">
        <v>81</v>
      </c>
      <c r="H17" s="19">
        <v>382</v>
      </c>
      <c r="I17" s="20">
        <v>178</v>
      </c>
      <c r="J17" s="20">
        <v>204</v>
      </c>
      <c r="K17" s="20">
        <v>42</v>
      </c>
      <c r="L17" s="57">
        <f t="shared" si="0"/>
        <v>0.1099476439790576</v>
      </c>
      <c r="M17" s="20">
        <v>83</v>
      </c>
      <c r="N17" s="57">
        <f t="shared" si="1"/>
        <v>0.21727748691099477</v>
      </c>
      <c r="O17" s="46">
        <v>30</v>
      </c>
      <c r="P17" s="46">
        <v>0</v>
      </c>
      <c r="Q17" s="58" t="s">
        <v>51</v>
      </c>
      <c r="R17" s="58">
        <v>2019</v>
      </c>
      <c r="S17" s="58"/>
      <c r="T17" s="58"/>
      <c r="U17" s="58"/>
      <c r="V17" s="58"/>
      <c r="W17" s="58"/>
      <c r="X17" s="58" t="s">
        <v>51</v>
      </c>
      <c r="Y17" s="58"/>
      <c r="Z17" s="58"/>
      <c r="AA17" s="58"/>
      <c r="AB17" s="58"/>
      <c r="AC17" s="58" t="s">
        <v>51</v>
      </c>
      <c r="AD17" s="58"/>
      <c r="AE17" s="58"/>
      <c r="AF17" s="58"/>
      <c r="AG17" s="58"/>
      <c r="AH17" s="58"/>
      <c r="AI17" s="58"/>
    </row>
    <row r="18" spans="1:35" x14ac:dyDescent="0.35">
      <c r="A18" s="17" t="s">
        <v>46</v>
      </c>
      <c r="B18" s="17" t="s">
        <v>2741</v>
      </c>
      <c r="C18" s="28" t="s">
        <v>2768</v>
      </c>
      <c r="D18" s="17" t="s">
        <v>2770</v>
      </c>
      <c r="E18" s="17" t="s">
        <v>2771</v>
      </c>
      <c r="F18" s="20">
        <v>159</v>
      </c>
      <c r="G18" s="20">
        <v>115</v>
      </c>
      <c r="H18" s="19">
        <v>500</v>
      </c>
      <c r="I18" s="20">
        <v>249</v>
      </c>
      <c r="J18" s="20">
        <v>251</v>
      </c>
      <c r="K18" s="20">
        <v>30</v>
      </c>
      <c r="L18" s="57">
        <f t="shared" si="0"/>
        <v>0.06</v>
      </c>
      <c r="M18" s="20">
        <v>169</v>
      </c>
      <c r="N18" s="57">
        <f t="shared" si="1"/>
        <v>0.33800000000000002</v>
      </c>
      <c r="O18" s="46">
        <v>24</v>
      </c>
      <c r="P18" s="46">
        <v>0</v>
      </c>
      <c r="Q18" s="58" t="s">
        <v>51</v>
      </c>
      <c r="R18" s="58">
        <v>2019</v>
      </c>
      <c r="S18" s="58"/>
      <c r="T18" s="58"/>
      <c r="U18" s="58"/>
      <c r="V18" s="58"/>
      <c r="W18" s="58"/>
      <c r="X18" s="58" t="s">
        <v>51</v>
      </c>
      <c r="Y18" s="58"/>
      <c r="Z18" s="58"/>
      <c r="AA18" s="58"/>
      <c r="AB18" s="58"/>
      <c r="AC18" s="58" t="s">
        <v>51</v>
      </c>
      <c r="AD18" s="58"/>
      <c r="AE18" s="58"/>
      <c r="AF18" s="58"/>
      <c r="AG18" s="58"/>
      <c r="AH18" s="58"/>
      <c r="AI18" s="58"/>
    </row>
    <row r="19" spans="1:35" x14ac:dyDescent="0.35">
      <c r="A19" s="17" t="s">
        <v>46</v>
      </c>
      <c r="B19" s="17" t="s">
        <v>2741</v>
      </c>
      <c r="C19" s="28" t="s">
        <v>2768</v>
      </c>
      <c r="D19" s="17" t="s">
        <v>2772</v>
      </c>
      <c r="E19" s="17" t="s">
        <v>2773</v>
      </c>
      <c r="F19" s="20">
        <v>434</v>
      </c>
      <c r="G19" s="20">
        <v>277</v>
      </c>
      <c r="H19" s="19">
        <v>1305</v>
      </c>
      <c r="I19" s="20">
        <v>653</v>
      </c>
      <c r="J19" s="20">
        <v>652</v>
      </c>
      <c r="K19" s="20">
        <v>33</v>
      </c>
      <c r="L19" s="57">
        <f t="shared" si="0"/>
        <v>2.528735632183908E-2</v>
      </c>
      <c r="M19" s="20">
        <v>208</v>
      </c>
      <c r="N19" s="57">
        <f t="shared" si="1"/>
        <v>0.15938697318007664</v>
      </c>
      <c r="O19" s="46">
        <v>77</v>
      </c>
      <c r="P19" s="46">
        <v>0</v>
      </c>
      <c r="Q19" s="58" t="s">
        <v>51</v>
      </c>
      <c r="R19" s="58">
        <v>2020</v>
      </c>
      <c r="S19" s="58"/>
      <c r="T19" s="58"/>
      <c r="U19" s="58"/>
      <c r="V19" s="58"/>
      <c r="W19" s="58"/>
      <c r="X19" s="58" t="s">
        <v>51</v>
      </c>
      <c r="Y19" s="58"/>
      <c r="Z19" s="58"/>
      <c r="AA19" s="58"/>
      <c r="AB19" s="58"/>
      <c r="AC19" s="58" t="s">
        <v>51</v>
      </c>
      <c r="AD19" s="58"/>
      <c r="AE19" s="58"/>
      <c r="AF19" s="58"/>
      <c r="AG19" s="58"/>
      <c r="AH19" s="58"/>
      <c r="AI19" s="58"/>
    </row>
    <row r="20" spans="1:35" x14ac:dyDescent="0.35">
      <c r="A20" s="17" t="s">
        <v>46</v>
      </c>
      <c r="B20" s="17" t="s">
        <v>2741</v>
      </c>
      <c r="C20" s="28" t="s">
        <v>2774</v>
      </c>
      <c r="D20" s="17" t="s">
        <v>2775</v>
      </c>
      <c r="E20" s="17" t="s">
        <v>2776</v>
      </c>
      <c r="F20" s="20">
        <v>125</v>
      </c>
      <c r="G20" s="20">
        <v>68</v>
      </c>
      <c r="H20" s="19">
        <v>320</v>
      </c>
      <c r="I20" s="20">
        <v>166</v>
      </c>
      <c r="J20" s="20">
        <v>154</v>
      </c>
      <c r="K20" s="20">
        <v>221</v>
      </c>
      <c r="L20" s="57">
        <f t="shared" si="0"/>
        <v>0.69062500000000004</v>
      </c>
      <c r="M20" s="20">
        <v>32</v>
      </c>
      <c r="N20" s="57">
        <f t="shared" si="1"/>
        <v>0.1</v>
      </c>
      <c r="O20" s="46">
        <v>7</v>
      </c>
      <c r="P20" s="46">
        <v>0</v>
      </c>
      <c r="Q20" s="58" t="s">
        <v>51</v>
      </c>
      <c r="R20" s="58">
        <v>2019</v>
      </c>
      <c r="S20" s="58"/>
      <c r="T20" s="58"/>
      <c r="U20" s="58"/>
      <c r="V20" s="58"/>
      <c r="W20" s="58"/>
      <c r="X20" s="58" t="s">
        <v>51</v>
      </c>
      <c r="Y20" s="58"/>
      <c r="Z20" s="58"/>
      <c r="AA20" s="58"/>
      <c r="AB20" s="58"/>
      <c r="AC20" s="58" t="s">
        <v>51</v>
      </c>
      <c r="AD20" s="58"/>
      <c r="AE20" s="58"/>
      <c r="AF20" s="58"/>
      <c r="AG20" s="58"/>
      <c r="AH20" s="58"/>
      <c r="AI20" s="58"/>
    </row>
    <row r="21" spans="1:35" x14ac:dyDescent="0.35">
      <c r="A21" s="17" t="s">
        <v>46</v>
      </c>
      <c r="B21" s="17" t="s">
        <v>2741</v>
      </c>
      <c r="C21" s="28" t="s">
        <v>2774</v>
      </c>
      <c r="D21" s="17" t="s">
        <v>2777</v>
      </c>
      <c r="E21" s="17" t="s">
        <v>2778</v>
      </c>
      <c r="F21" s="20">
        <v>720</v>
      </c>
      <c r="G21" s="20">
        <v>266</v>
      </c>
      <c r="H21" s="19">
        <v>1299</v>
      </c>
      <c r="I21" s="20">
        <v>667</v>
      </c>
      <c r="J21" s="20">
        <v>632</v>
      </c>
      <c r="K21" s="20">
        <v>173</v>
      </c>
      <c r="L21" s="57">
        <f t="shared" si="0"/>
        <v>0.1331793687451886</v>
      </c>
      <c r="M21" s="20">
        <v>131</v>
      </c>
      <c r="N21" s="57">
        <f t="shared" si="1"/>
        <v>0.100846805234796</v>
      </c>
      <c r="O21" s="46">
        <v>82</v>
      </c>
      <c r="P21" s="46">
        <v>0</v>
      </c>
      <c r="Q21" s="58" t="s">
        <v>51</v>
      </c>
      <c r="R21" s="58">
        <v>2019</v>
      </c>
      <c r="S21" s="58"/>
      <c r="T21" s="58"/>
      <c r="U21" s="58"/>
      <c r="V21" s="58"/>
      <c r="W21" s="58"/>
      <c r="X21" s="58" t="s">
        <v>51</v>
      </c>
      <c r="Y21" s="58"/>
      <c r="Z21" s="58"/>
      <c r="AA21" s="58"/>
      <c r="AB21" s="58"/>
      <c r="AC21" s="58" t="s">
        <v>51</v>
      </c>
      <c r="AD21" s="58"/>
      <c r="AE21" s="58"/>
      <c r="AF21" s="58"/>
      <c r="AG21" s="58"/>
      <c r="AH21" s="58"/>
      <c r="AI21" s="58"/>
    </row>
    <row r="22" spans="1:35" x14ac:dyDescent="0.35">
      <c r="A22" s="17" t="s">
        <v>46</v>
      </c>
      <c r="B22" s="17" t="s">
        <v>2741</v>
      </c>
      <c r="C22" s="28" t="s">
        <v>2768</v>
      </c>
      <c r="D22" s="17" t="s">
        <v>2779</v>
      </c>
      <c r="E22" s="17" t="s">
        <v>2780</v>
      </c>
      <c r="F22" s="20">
        <v>731</v>
      </c>
      <c r="G22" s="20">
        <v>253</v>
      </c>
      <c r="H22" s="19">
        <v>1255</v>
      </c>
      <c r="I22" s="20">
        <v>630</v>
      </c>
      <c r="J22" s="20">
        <v>625</v>
      </c>
      <c r="K22" s="20">
        <v>255</v>
      </c>
      <c r="L22" s="57">
        <f t="shared" si="0"/>
        <v>0.20318725099601595</v>
      </c>
      <c r="M22" s="20">
        <v>123</v>
      </c>
      <c r="N22" s="57">
        <f t="shared" si="1"/>
        <v>9.8007968127490033E-2</v>
      </c>
      <c r="O22" s="46">
        <v>70</v>
      </c>
      <c r="P22" s="46">
        <v>0</v>
      </c>
      <c r="Q22" s="58" t="s">
        <v>51</v>
      </c>
      <c r="R22" s="58">
        <v>2019</v>
      </c>
      <c r="S22" s="58"/>
      <c r="T22" s="58"/>
      <c r="U22" s="58"/>
      <c r="V22" s="58"/>
      <c r="W22" s="58"/>
      <c r="X22" s="58" t="s">
        <v>51</v>
      </c>
      <c r="Y22" s="58"/>
      <c r="Z22" s="58"/>
      <c r="AA22" s="58"/>
      <c r="AB22" s="58"/>
      <c r="AC22" s="58" t="s">
        <v>51</v>
      </c>
      <c r="AD22" s="58"/>
      <c r="AE22" s="58"/>
      <c r="AF22" s="58"/>
      <c r="AG22" s="58"/>
      <c r="AH22" s="58"/>
      <c r="AI22" s="58"/>
    </row>
    <row r="23" spans="1:35" x14ac:dyDescent="0.35">
      <c r="A23" s="17" t="s">
        <v>46</v>
      </c>
      <c r="B23" s="17" t="s">
        <v>2741</v>
      </c>
      <c r="C23" s="28" t="s">
        <v>2781</v>
      </c>
      <c r="D23" s="17" t="s">
        <v>2782</v>
      </c>
      <c r="E23" s="17" t="s">
        <v>2783</v>
      </c>
      <c r="F23" s="20">
        <v>793</v>
      </c>
      <c r="G23" s="20">
        <v>365</v>
      </c>
      <c r="H23" s="19">
        <v>1812</v>
      </c>
      <c r="I23" s="20">
        <v>883</v>
      </c>
      <c r="J23" s="20">
        <v>929</v>
      </c>
      <c r="K23" s="20">
        <v>300</v>
      </c>
      <c r="L23" s="57">
        <f t="shared" si="0"/>
        <v>0.16556291390728478</v>
      </c>
      <c r="M23" s="20">
        <v>4</v>
      </c>
      <c r="N23" s="57">
        <f t="shared" si="1"/>
        <v>2.2075055187637969E-3</v>
      </c>
      <c r="O23" s="46">
        <v>105</v>
      </c>
      <c r="P23" s="46">
        <v>0</v>
      </c>
      <c r="Q23" s="58" t="s">
        <v>51</v>
      </c>
      <c r="R23" s="58">
        <v>2019</v>
      </c>
      <c r="S23" s="58"/>
      <c r="T23" s="58"/>
      <c r="U23" s="58"/>
      <c r="V23" s="58"/>
      <c r="W23" s="58"/>
      <c r="X23" s="58" t="s">
        <v>51</v>
      </c>
      <c r="Y23" s="58"/>
      <c r="Z23" s="58"/>
      <c r="AA23" s="58"/>
      <c r="AB23" s="58"/>
      <c r="AC23" s="58" t="s">
        <v>51</v>
      </c>
      <c r="AD23" s="58"/>
      <c r="AE23" s="58"/>
      <c r="AF23" s="58"/>
      <c r="AG23" s="58"/>
      <c r="AH23" s="58"/>
      <c r="AI23" s="58"/>
    </row>
    <row r="24" spans="1:35" x14ac:dyDescent="0.35">
      <c r="A24" s="17" t="s">
        <v>46</v>
      </c>
      <c r="B24" s="17" t="s">
        <v>2741</v>
      </c>
      <c r="C24" s="28" t="s">
        <v>2774</v>
      </c>
      <c r="D24" s="17" t="s">
        <v>475</v>
      </c>
      <c r="E24" s="17" t="s">
        <v>2784</v>
      </c>
      <c r="F24" s="20">
        <v>473.6</v>
      </c>
      <c r="G24" s="20">
        <v>147</v>
      </c>
      <c r="H24" s="19">
        <v>668</v>
      </c>
      <c r="I24" s="20">
        <v>352</v>
      </c>
      <c r="J24" s="20">
        <v>316</v>
      </c>
      <c r="K24" s="20">
        <v>108</v>
      </c>
      <c r="L24" s="57">
        <f t="shared" si="0"/>
        <v>0.16167664670658682</v>
      </c>
      <c r="M24" s="20">
        <v>35</v>
      </c>
      <c r="N24" s="57">
        <f t="shared" si="1"/>
        <v>5.239520958083832E-2</v>
      </c>
      <c r="O24" s="46">
        <v>0</v>
      </c>
      <c r="P24" s="46">
        <v>0</v>
      </c>
      <c r="Q24" s="58" t="s">
        <v>51</v>
      </c>
      <c r="R24" s="58">
        <v>2021</v>
      </c>
      <c r="S24" s="58"/>
      <c r="T24" s="58"/>
      <c r="U24" s="58"/>
      <c r="V24" s="58"/>
      <c r="W24" s="58"/>
      <c r="X24" s="58" t="s">
        <v>51</v>
      </c>
      <c r="Y24" s="58"/>
      <c r="Z24" s="58"/>
      <c r="AA24" s="58"/>
      <c r="AB24" s="58"/>
      <c r="AC24" s="58" t="s">
        <v>51</v>
      </c>
      <c r="AD24" s="58"/>
      <c r="AE24" s="58"/>
      <c r="AF24" s="58"/>
      <c r="AG24" s="58"/>
      <c r="AH24" s="58"/>
      <c r="AI24" s="58"/>
    </row>
    <row r="25" spans="1:35" x14ac:dyDescent="0.35">
      <c r="A25" s="17" t="s">
        <v>46</v>
      </c>
      <c r="B25" s="17" t="s">
        <v>2741</v>
      </c>
      <c r="C25" s="28" t="s">
        <v>2781</v>
      </c>
      <c r="D25" s="17" t="s">
        <v>2785</v>
      </c>
      <c r="E25" s="17" t="s">
        <v>2786</v>
      </c>
      <c r="F25" s="20">
        <v>623</v>
      </c>
      <c r="G25" s="20">
        <v>246</v>
      </c>
      <c r="H25" s="19">
        <v>1169</v>
      </c>
      <c r="I25" s="20">
        <v>573</v>
      </c>
      <c r="J25" s="20">
        <v>596</v>
      </c>
      <c r="K25" s="20">
        <v>259</v>
      </c>
      <c r="L25" s="57">
        <f t="shared" si="0"/>
        <v>0.22155688622754491</v>
      </c>
      <c r="M25" s="20">
        <v>215</v>
      </c>
      <c r="N25" s="57">
        <f t="shared" si="1"/>
        <v>0.18391787852865696</v>
      </c>
      <c r="O25" s="46">
        <v>64</v>
      </c>
      <c r="P25" s="46">
        <v>0</v>
      </c>
      <c r="Q25" s="58" t="s">
        <v>51</v>
      </c>
      <c r="R25" s="58">
        <v>2019</v>
      </c>
      <c r="S25" s="58"/>
      <c r="T25" s="58"/>
      <c r="U25" s="58"/>
      <c r="V25" s="58"/>
      <c r="W25" s="58"/>
      <c r="X25" s="58" t="s">
        <v>51</v>
      </c>
      <c r="Y25" s="58"/>
      <c r="Z25" s="58"/>
      <c r="AA25" s="58"/>
      <c r="AB25" s="58"/>
      <c r="AC25" s="58" t="s">
        <v>51</v>
      </c>
      <c r="AD25" s="58"/>
      <c r="AE25" s="58"/>
      <c r="AF25" s="58"/>
      <c r="AG25" s="58"/>
      <c r="AH25" s="58"/>
      <c r="AI25" s="58"/>
    </row>
    <row r="26" spans="1:35" x14ac:dyDescent="0.35">
      <c r="A26" s="17" t="s">
        <v>46</v>
      </c>
      <c r="B26" s="17" t="s">
        <v>2741</v>
      </c>
      <c r="C26" s="28" t="s">
        <v>2781</v>
      </c>
      <c r="D26" s="17" t="s">
        <v>2787</v>
      </c>
      <c r="E26" s="17" t="s">
        <v>2788</v>
      </c>
      <c r="F26" s="20">
        <v>408</v>
      </c>
      <c r="G26" s="20">
        <v>161</v>
      </c>
      <c r="H26" s="19">
        <v>870</v>
      </c>
      <c r="I26" s="20">
        <v>428</v>
      </c>
      <c r="J26" s="20">
        <v>442</v>
      </c>
      <c r="K26" s="20">
        <v>177</v>
      </c>
      <c r="L26" s="57">
        <f t="shared" si="0"/>
        <v>0.20344827586206896</v>
      </c>
      <c r="M26" s="20">
        <v>121</v>
      </c>
      <c r="N26" s="57">
        <f t="shared" si="1"/>
        <v>0.13908045977011493</v>
      </c>
      <c r="O26" s="46">
        <v>44</v>
      </c>
      <c r="P26" s="46">
        <v>0</v>
      </c>
      <c r="Q26" s="58" t="s">
        <v>51</v>
      </c>
      <c r="R26" s="58">
        <v>2019</v>
      </c>
      <c r="S26" s="58"/>
      <c r="T26" s="58"/>
      <c r="U26" s="58"/>
      <c r="V26" s="58"/>
      <c r="W26" s="58"/>
      <c r="X26" s="58" t="s">
        <v>51</v>
      </c>
      <c r="Y26" s="58"/>
      <c r="Z26" s="58"/>
      <c r="AA26" s="58"/>
      <c r="AB26" s="58"/>
      <c r="AC26" s="58" t="s">
        <v>51</v>
      </c>
      <c r="AD26" s="58"/>
      <c r="AE26" s="58"/>
      <c r="AF26" s="58"/>
      <c r="AG26" s="58"/>
      <c r="AH26" s="58"/>
      <c r="AI26" s="58"/>
    </row>
    <row r="27" spans="1:35" x14ac:dyDescent="0.35">
      <c r="A27" s="17" t="s">
        <v>46</v>
      </c>
      <c r="B27" s="17" t="s">
        <v>2741</v>
      </c>
      <c r="C27" s="28" t="s">
        <v>2789</v>
      </c>
      <c r="D27" s="17" t="s">
        <v>2790</v>
      </c>
      <c r="E27" s="17" t="s">
        <v>2791</v>
      </c>
      <c r="F27" s="20">
        <v>968</v>
      </c>
      <c r="G27" s="20">
        <v>488</v>
      </c>
      <c r="H27" s="19">
        <v>2515</v>
      </c>
      <c r="I27" s="20">
        <v>1254</v>
      </c>
      <c r="J27" s="20">
        <v>1261</v>
      </c>
      <c r="K27" s="20">
        <v>572</v>
      </c>
      <c r="L27" s="57">
        <f t="shared" si="0"/>
        <v>0.22743538767395627</v>
      </c>
      <c r="M27" s="20">
        <v>109</v>
      </c>
      <c r="N27" s="57">
        <f t="shared" si="1"/>
        <v>4.3339960238568585E-2</v>
      </c>
      <c r="O27" s="46">
        <v>93</v>
      </c>
      <c r="P27" s="46">
        <v>0</v>
      </c>
      <c r="Q27" s="58" t="s">
        <v>51</v>
      </c>
      <c r="R27" s="58">
        <v>2020</v>
      </c>
      <c r="S27" s="58"/>
      <c r="T27" s="58"/>
      <c r="U27" s="58"/>
      <c r="V27" s="58"/>
      <c r="W27" s="58"/>
      <c r="X27" s="58" t="s">
        <v>51</v>
      </c>
      <c r="Y27" s="58"/>
      <c r="Z27" s="58"/>
      <c r="AA27" s="58"/>
      <c r="AB27" s="58"/>
      <c r="AC27" s="58" t="s">
        <v>51</v>
      </c>
      <c r="AD27" s="58"/>
      <c r="AE27" s="58"/>
      <c r="AF27" s="58"/>
      <c r="AG27" s="58"/>
      <c r="AH27" s="58"/>
      <c r="AI27" s="58"/>
    </row>
    <row r="28" spans="1:35" x14ac:dyDescent="0.35">
      <c r="A28" s="17" t="s">
        <v>46</v>
      </c>
      <c r="B28" s="17" t="s">
        <v>2741</v>
      </c>
      <c r="C28" s="28" t="s">
        <v>2789</v>
      </c>
      <c r="D28" s="17" t="s">
        <v>2792</v>
      </c>
      <c r="E28" s="17" t="s">
        <v>2793</v>
      </c>
      <c r="F28" s="20">
        <v>310</v>
      </c>
      <c r="G28" s="20">
        <v>177</v>
      </c>
      <c r="H28" s="19">
        <v>819</v>
      </c>
      <c r="I28" s="20">
        <v>395</v>
      </c>
      <c r="J28" s="20">
        <v>424</v>
      </c>
      <c r="K28" s="20">
        <v>141</v>
      </c>
      <c r="L28" s="57">
        <f t="shared" si="0"/>
        <v>0.17216117216117216</v>
      </c>
      <c r="M28" s="20">
        <v>18</v>
      </c>
      <c r="N28" s="57">
        <f t="shared" si="1"/>
        <v>2.197802197802198E-2</v>
      </c>
      <c r="O28" s="46">
        <v>84</v>
      </c>
      <c r="P28" s="46">
        <v>0</v>
      </c>
      <c r="Q28" s="58" t="s">
        <v>51</v>
      </c>
      <c r="R28" s="58">
        <v>2020</v>
      </c>
      <c r="S28" s="58"/>
      <c r="T28" s="58"/>
      <c r="U28" s="58"/>
      <c r="V28" s="58"/>
      <c r="W28" s="58"/>
      <c r="X28" s="58" t="s">
        <v>51</v>
      </c>
      <c r="Y28" s="58"/>
      <c r="Z28" s="58"/>
      <c r="AA28" s="58"/>
      <c r="AB28" s="58"/>
      <c r="AC28" s="58" t="s">
        <v>51</v>
      </c>
      <c r="AD28" s="58"/>
      <c r="AE28" s="58"/>
      <c r="AF28" s="58"/>
      <c r="AG28" s="58"/>
      <c r="AH28" s="58"/>
      <c r="AI28" s="58"/>
    </row>
    <row r="29" spans="1:35" x14ac:dyDescent="0.35">
      <c r="A29" s="17" t="s">
        <v>46</v>
      </c>
      <c r="B29" s="17" t="s">
        <v>2741</v>
      </c>
      <c r="C29" s="28" t="s">
        <v>2794</v>
      </c>
      <c r="D29" s="17" t="s">
        <v>2795</v>
      </c>
      <c r="E29" s="17" t="s">
        <v>2796</v>
      </c>
      <c r="F29" s="20">
        <v>279</v>
      </c>
      <c r="G29" s="20">
        <v>89</v>
      </c>
      <c r="H29" s="19">
        <v>393</v>
      </c>
      <c r="I29" s="20">
        <v>197</v>
      </c>
      <c r="J29" s="20">
        <v>196</v>
      </c>
      <c r="K29" s="20">
        <v>3</v>
      </c>
      <c r="L29" s="57">
        <f t="shared" si="0"/>
        <v>7.6335877862595417E-3</v>
      </c>
      <c r="M29" s="20">
        <v>10</v>
      </c>
      <c r="N29" s="57">
        <f t="shared" si="1"/>
        <v>2.5445292620865138E-2</v>
      </c>
      <c r="O29" s="46">
        <v>42</v>
      </c>
      <c r="P29" s="46">
        <v>0</v>
      </c>
      <c r="Q29" s="58" t="s">
        <v>51</v>
      </c>
      <c r="R29" s="58">
        <v>2019</v>
      </c>
      <c r="S29" s="58"/>
      <c r="T29" s="58"/>
      <c r="U29" s="58"/>
      <c r="V29" s="58"/>
      <c r="W29" s="58"/>
      <c r="X29" s="58" t="s">
        <v>51</v>
      </c>
      <c r="Y29" s="58"/>
      <c r="Z29" s="58"/>
      <c r="AA29" s="58"/>
      <c r="AB29" s="58"/>
      <c r="AC29" s="58" t="s">
        <v>51</v>
      </c>
      <c r="AD29" s="58"/>
      <c r="AE29" s="58"/>
      <c r="AF29" s="58"/>
      <c r="AG29" s="58"/>
      <c r="AH29" s="58"/>
      <c r="AI29" s="58"/>
    </row>
    <row r="30" spans="1:35" x14ac:dyDescent="0.35">
      <c r="A30" s="17" t="s">
        <v>46</v>
      </c>
      <c r="B30" s="17" t="s">
        <v>2741</v>
      </c>
      <c r="C30" s="28" t="s">
        <v>2794</v>
      </c>
      <c r="D30" s="17" t="s">
        <v>479</v>
      </c>
      <c r="E30" s="17" t="s">
        <v>2797</v>
      </c>
      <c r="F30" s="20">
        <v>1708</v>
      </c>
      <c r="G30" s="20">
        <v>987</v>
      </c>
      <c r="H30" s="19">
        <v>4696</v>
      </c>
      <c r="I30" s="20">
        <v>2342</v>
      </c>
      <c r="J30" s="20">
        <v>2354</v>
      </c>
      <c r="K30" s="20">
        <v>664</v>
      </c>
      <c r="L30" s="57">
        <f t="shared" si="0"/>
        <v>0.141396933560477</v>
      </c>
      <c r="M30" s="20">
        <v>615</v>
      </c>
      <c r="N30" s="57">
        <f t="shared" si="1"/>
        <v>0.13096252129471891</v>
      </c>
      <c r="O30" s="46">
        <v>134</v>
      </c>
      <c r="P30" s="46">
        <v>0</v>
      </c>
      <c r="Q30" s="58" t="s">
        <v>51</v>
      </c>
      <c r="R30" s="58">
        <v>2019</v>
      </c>
      <c r="S30" s="58"/>
      <c r="T30" s="58"/>
      <c r="U30" s="58"/>
      <c r="V30" s="58"/>
      <c r="W30" s="58"/>
      <c r="X30" s="58" t="s">
        <v>51</v>
      </c>
      <c r="Y30" s="58"/>
      <c r="Z30" s="58"/>
      <c r="AA30" s="58"/>
      <c r="AB30" s="58"/>
      <c r="AC30" s="58" t="s">
        <v>51</v>
      </c>
      <c r="AD30" s="58"/>
      <c r="AE30" s="58"/>
      <c r="AF30" s="58"/>
      <c r="AG30" s="58"/>
      <c r="AH30" s="58"/>
      <c r="AI30" s="58"/>
    </row>
    <row r="31" spans="1:35" x14ac:dyDescent="0.35">
      <c r="A31" s="17" t="s">
        <v>46</v>
      </c>
      <c r="B31" s="17" t="s">
        <v>2741</v>
      </c>
      <c r="C31" s="28" t="s">
        <v>2794</v>
      </c>
      <c r="D31" s="17" t="s">
        <v>2798</v>
      </c>
      <c r="E31" s="17" t="s">
        <v>2799</v>
      </c>
      <c r="F31" s="20">
        <v>478</v>
      </c>
      <c r="G31" s="20">
        <v>236</v>
      </c>
      <c r="H31" s="19">
        <v>1006</v>
      </c>
      <c r="I31" s="20">
        <v>510</v>
      </c>
      <c r="J31" s="20">
        <v>496</v>
      </c>
      <c r="K31" s="20">
        <v>51</v>
      </c>
      <c r="L31" s="57">
        <f t="shared" si="0"/>
        <v>5.0695825049701791E-2</v>
      </c>
      <c r="M31" s="20">
        <v>27</v>
      </c>
      <c r="N31" s="57">
        <f t="shared" si="1"/>
        <v>2.6838966202783299E-2</v>
      </c>
      <c r="O31" s="46">
        <v>0</v>
      </c>
      <c r="P31" s="46">
        <v>0</v>
      </c>
      <c r="Q31" s="58" t="s">
        <v>51</v>
      </c>
      <c r="R31" s="58">
        <v>2019</v>
      </c>
      <c r="S31" s="58"/>
      <c r="T31" s="58"/>
      <c r="U31" s="58"/>
      <c r="V31" s="58"/>
      <c r="W31" s="58"/>
      <c r="X31" s="58" t="s">
        <v>51</v>
      </c>
      <c r="Y31" s="58"/>
      <c r="Z31" s="58"/>
      <c r="AA31" s="58"/>
      <c r="AB31" s="58"/>
      <c r="AC31" s="58" t="s">
        <v>51</v>
      </c>
      <c r="AD31" s="58"/>
      <c r="AE31" s="58"/>
      <c r="AF31" s="58"/>
      <c r="AG31" s="58"/>
      <c r="AH31" s="58"/>
      <c r="AI31" s="58"/>
    </row>
    <row r="32" spans="1:35" x14ac:dyDescent="0.35">
      <c r="A32" s="17" t="s">
        <v>46</v>
      </c>
      <c r="B32" s="17" t="s">
        <v>2741</v>
      </c>
      <c r="C32" s="28" t="s">
        <v>2800</v>
      </c>
      <c r="D32" s="17" t="s">
        <v>2801</v>
      </c>
      <c r="E32" s="17" t="s">
        <v>2802</v>
      </c>
      <c r="F32" s="20">
        <v>460</v>
      </c>
      <c r="G32" s="20">
        <v>98</v>
      </c>
      <c r="H32" s="19">
        <v>415</v>
      </c>
      <c r="I32" s="20">
        <v>204</v>
      </c>
      <c r="J32" s="20">
        <v>211</v>
      </c>
      <c r="K32" s="20">
        <v>67</v>
      </c>
      <c r="L32" s="57">
        <f t="shared" si="0"/>
        <v>0.16144578313253011</v>
      </c>
      <c r="M32" s="20">
        <v>69</v>
      </c>
      <c r="N32" s="57">
        <f t="shared" si="1"/>
        <v>0.16626506024096385</v>
      </c>
      <c r="O32" s="46">
        <v>83</v>
      </c>
      <c r="P32" s="46">
        <v>0</v>
      </c>
      <c r="Q32" s="58" t="s">
        <v>51</v>
      </c>
      <c r="R32" s="58">
        <v>2020</v>
      </c>
      <c r="S32" s="58"/>
      <c r="T32" s="58"/>
      <c r="U32" s="58"/>
      <c r="V32" s="58"/>
      <c r="W32" s="58"/>
      <c r="X32" s="58" t="s">
        <v>51</v>
      </c>
      <c r="Y32" s="58"/>
      <c r="Z32" s="58"/>
      <c r="AA32" s="58"/>
      <c r="AB32" s="58"/>
      <c r="AC32" s="58" t="s">
        <v>51</v>
      </c>
      <c r="AD32" s="58"/>
      <c r="AE32" s="58"/>
      <c r="AF32" s="58"/>
      <c r="AG32" s="58"/>
      <c r="AH32" s="58"/>
      <c r="AI32" s="58"/>
    </row>
    <row r="33" spans="1:35" x14ac:dyDescent="0.35">
      <c r="A33" s="17" t="s">
        <v>46</v>
      </c>
      <c r="B33" s="17" t="s">
        <v>2741</v>
      </c>
      <c r="C33" s="28" t="s">
        <v>2800</v>
      </c>
      <c r="D33" s="17" t="s">
        <v>2803</v>
      </c>
      <c r="E33" s="17" t="s">
        <v>2804</v>
      </c>
      <c r="F33" s="20">
        <v>899</v>
      </c>
      <c r="G33" s="20">
        <v>242</v>
      </c>
      <c r="H33" s="19">
        <v>986</v>
      </c>
      <c r="I33" s="20">
        <v>482</v>
      </c>
      <c r="J33" s="20">
        <v>504</v>
      </c>
      <c r="K33" s="20">
        <v>283</v>
      </c>
      <c r="L33" s="57">
        <f t="shared" si="0"/>
        <v>0.2870182555780933</v>
      </c>
      <c r="M33" s="20">
        <v>117</v>
      </c>
      <c r="N33" s="57">
        <f t="shared" si="1"/>
        <v>0.11866125760649088</v>
      </c>
      <c r="O33" s="46">
        <v>181</v>
      </c>
      <c r="P33" s="46">
        <v>0</v>
      </c>
      <c r="Q33" s="58" t="s">
        <v>51</v>
      </c>
      <c r="R33" s="58">
        <v>2020</v>
      </c>
      <c r="S33" s="58"/>
      <c r="T33" s="58"/>
      <c r="U33" s="58"/>
      <c r="V33" s="58"/>
      <c r="W33" s="58"/>
      <c r="X33" s="58" t="s">
        <v>51</v>
      </c>
      <c r="Y33" s="58"/>
      <c r="Z33" s="58"/>
      <c r="AA33" s="58"/>
      <c r="AB33" s="58"/>
      <c r="AC33" s="58" t="s">
        <v>51</v>
      </c>
      <c r="AD33" s="58"/>
      <c r="AE33" s="58"/>
      <c r="AF33" s="58"/>
      <c r="AG33" s="58"/>
      <c r="AH33" s="58"/>
      <c r="AI33" s="58"/>
    </row>
    <row r="34" spans="1:35" x14ac:dyDescent="0.35">
      <c r="A34" s="17" t="s">
        <v>46</v>
      </c>
      <c r="B34" s="17" t="s">
        <v>2741</v>
      </c>
      <c r="C34" s="28" t="s">
        <v>2800</v>
      </c>
      <c r="D34" s="17" t="s">
        <v>2805</v>
      </c>
      <c r="E34" s="17" t="s">
        <v>2806</v>
      </c>
      <c r="F34" s="20">
        <v>264</v>
      </c>
      <c r="G34" s="20">
        <v>204</v>
      </c>
      <c r="H34" s="19">
        <v>890</v>
      </c>
      <c r="I34" s="20">
        <v>443</v>
      </c>
      <c r="J34" s="20">
        <v>447</v>
      </c>
      <c r="K34" s="20">
        <v>267</v>
      </c>
      <c r="L34" s="57">
        <f t="shared" si="0"/>
        <v>0.3</v>
      </c>
      <c r="M34" s="20">
        <v>0</v>
      </c>
      <c r="N34" s="57">
        <f t="shared" si="1"/>
        <v>0</v>
      </c>
      <c r="O34" s="46">
        <v>12</v>
      </c>
      <c r="P34" s="46">
        <v>0</v>
      </c>
      <c r="Q34" s="58" t="s">
        <v>51</v>
      </c>
      <c r="R34" s="58">
        <v>2020</v>
      </c>
      <c r="S34" s="58"/>
      <c r="T34" s="58"/>
      <c r="U34" s="58"/>
      <c r="V34" s="58"/>
      <c r="W34" s="58"/>
      <c r="X34" s="58" t="s">
        <v>51</v>
      </c>
      <c r="Y34" s="58"/>
      <c r="Z34" s="58"/>
      <c r="AA34" s="58"/>
      <c r="AB34" s="58"/>
      <c r="AC34" s="58" t="s">
        <v>51</v>
      </c>
      <c r="AD34" s="58"/>
      <c r="AE34" s="58"/>
      <c r="AF34" s="58"/>
      <c r="AG34" s="58"/>
      <c r="AH34" s="58"/>
      <c r="AI34" s="58"/>
    </row>
    <row r="35" spans="1:35" x14ac:dyDescent="0.35">
      <c r="A35" s="17" t="s">
        <v>46</v>
      </c>
      <c r="B35" s="17" t="s">
        <v>2741</v>
      </c>
      <c r="C35" s="28" t="s">
        <v>2800</v>
      </c>
      <c r="D35" s="17" t="s">
        <v>2807</v>
      </c>
      <c r="E35" s="17" t="s">
        <v>2808</v>
      </c>
      <c r="F35" s="20">
        <v>106</v>
      </c>
      <c r="G35" s="20">
        <v>63</v>
      </c>
      <c r="H35" s="19">
        <v>271</v>
      </c>
      <c r="I35" s="20">
        <v>142</v>
      </c>
      <c r="J35" s="20">
        <v>129</v>
      </c>
      <c r="K35" s="20">
        <v>51</v>
      </c>
      <c r="L35" s="57">
        <f t="shared" si="0"/>
        <v>0.18819188191881919</v>
      </c>
      <c r="M35" s="20">
        <v>0</v>
      </c>
      <c r="N35" s="57">
        <f t="shared" si="1"/>
        <v>0</v>
      </c>
      <c r="O35" s="46">
        <v>4</v>
      </c>
      <c r="P35" s="46">
        <v>0</v>
      </c>
      <c r="Q35" s="58" t="s">
        <v>51</v>
      </c>
      <c r="R35" s="58">
        <v>2020</v>
      </c>
      <c r="S35" s="58"/>
      <c r="T35" s="58"/>
      <c r="U35" s="58"/>
      <c r="V35" s="58"/>
      <c r="W35" s="58"/>
      <c r="X35" s="58" t="s">
        <v>51</v>
      </c>
      <c r="Y35" s="58"/>
      <c r="Z35" s="58"/>
      <c r="AA35" s="58"/>
      <c r="AB35" s="58"/>
      <c r="AC35" s="58" t="s">
        <v>51</v>
      </c>
      <c r="AD35" s="58"/>
      <c r="AE35" s="58"/>
      <c r="AF35" s="58"/>
      <c r="AG35" s="58"/>
      <c r="AH35" s="58"/>
      <c r="AI35" s="58"/>
    </row>
    <row r="36" spans="1:35" x14ac:dyDescent="0.35">
      <c r="A36" s="17" t="s">
        <v>46</v>
      </c>
      <c r="B36" s="17" t="s">
        <v>2741</v>
      </c>
      <c r="C36" s="28" t="s">
        <v>2800</v>
      </c>
      <c r="D36" s="17" t="s">
        <v>2563</v>
      </c>
      <c r="E36" s="17" t="s">
        <v>2809</v>
      </c>
      <c r="F36" s="20">
        <v>363</v>
      </c>
      <c r="G36" s="20">
        <v>192</v>
      </c>
      <c r="H36" s="19">
        <v>831</v>
      </c>
      <c r="I36" s="20">
        <v>419</v>
      </c>
      <c r="J36" s="20">
        <v>412</v>
      </c>
      <c r="K36" s="20">
        <v>176</v>
      </c>
      <c r="L36" s="57">
        <f t="shared" si="0"/>
        <v>0.21179302045728038</v>
      </c>
      <c r="M36" s="20">
        <v>38</v>
      </c>
      <c r="N36" s="57">
        <f t="shared" si="1"/>
        <v>4.5728038507821901E-2</v>
      </c>
      <c r="O36" s="46">
        <v>51</v>
      </c>
      <c r="P36" s="46">
        <v>0</v>
      </c>
      <c r="Q36" s="58" t="s">
        <v>51</v>
      </c>
      <c r="R36" s="58">
        <v>2020</v>
      </c>
      <c r="S36" s="58"/>
      <c r="T36" s="58"/>
      <c r="U36" s="58"/>
      <c r="V36" s="58"/>
      <c r="W36" s="58"/>
      <c r="X36" s="58" t="s">
        <v>51</v>
      </c>
      <c r="Y36" s="58"/>
      <c r="Z36" s="58"/>
      <c r="AA36" s="58"/>
      <c r="AB36" s="58"/>
      <c r="AC36" s="58" t="s">
        <v>51</v>
      </c>
      <c r="AD36" s="58"/>
      <c r="AE36" s="58"/>
      <c r="AF36" s="58"/>
      <c r="AG36" s="58"/>
      <c r="AH36" s="58"/>
      <c r="AI36" s="58"/>
    </row>
    <row r="37" spans="1:35" x14ac:dyDescent="0.35">
      <c r="A37" s="17" t="s">
        <v>46</v>
      </c>
      <c r="B37" s="17" t="s">
        <v>2741</v>
      </c>
      <c r="C37" s="28" t="s">
        <v>2774</v>
      </c>
      <c r="D37" s="17" t="s">
        <v>2810</v>
      </c>
      <c r="E37" s="17" t="s">
        <v>2811</v>
      </c>
      <c r="F37" s="20">
        <v>523</v>
      </c>
      <c r="G37" s="20">
        <v>214</v>
      </c>
      <c r="H37" s="19">
        <v>985</v>
      </c>
      <c r="I37" s="20">
        <v>501</v>
      </c>
      <c r="J37" s="20">
        <v>484</v>
      </c>
      <c r="K37" s="20">
        <v>30</v>
      </c>
      <c r="L37" s="57">
        <f t="shared" si="0"/>
        <v>3.0456852791878174E-2</v>
      </c>
      <c r="M37" s="20">
        <v>186</v>
      </c>
      <c r="N37" s="57">
        <f t="shared" si="1"/>
        <v>0.18883248730964466</v>
      </c>
      <c r="O37" s="46">
        <v>88</v>
      </c>
      <c r="P37" s="46">
        <v>0</v>
      </c>
      <c r="Q37" s="58" t="s">
        <v>51</v>
      </c>
      <c r="R37" s="58">
        <v>2019</v>
      </c>
      <c r="S37" s="58"/>
      <c r="T37" s="58"/>
      <c r="U37" s="58"/>
      <c r="V37" s="58"/>
      <c r="W37" s="58"/>
      <c r="X37" s="58" t="s">
        <v>51</v>
      </c>
      <c r="Y37" s="58"/>
      <c r="Z37" s="58"/>
      <c r="AA37" s="58"/>
      <c r="AB37" s="58"/>
      <c r="AC37" s="58" t="s">
        <v>51</v>
      </c>
      <c r="AD37" s="58"/>
      <c r="AE37" s="58"/>
      <c r="AF37" s="58"/>
      <c r="AG37" s="58"/>
      <c r="AH37" s="58"/>
      <c r="AI37" s="58"/>
    </row>
    <row r="38" spans="1:35" x14ac:dyDescent="0.35">
      <c r="A38" s="17" t="s">
        <v>46</v>
      </c>
      <c r="B38" s="17" t="s">
        <v>2741</v>
      </c>
      <c r="C38" s="28" t="s">
        <v>2774</v>
      </c>
      <c r="D38" s="17" t="s">
        <v>2812</v>
      </c>
      <c r="E38" s="17" t="s">
        <v>2813</v>
      </c>
      <c r="F38" s="20">
        <v>243</v>
      </c>
      <c r="G38" s="20">
        <v>119</v>
      </c>
      <c r="H38" s="19">
        <v>542</v>
      </c>
      <c r="I38" s="20">
        <v>276</v>
      </c>
      <c r="J38" s="20">
        <v>266</v>
      </c>
      <c r="K38" s="20">
        <v>76</v>
      </c>
      <c r="L38" s="57">
        <f t="shared" si="0"/>
        <v>0.14022140221402213</v>
      </c>
      <c r="M38" s="20">
        <v>65</v>
      </c>
      <c r="N38" s="57">
        <f t="shared" si="1"/>
        <v>0.11992619926199262</v>
      </c>
      <c r="O38" s="46">
        <v>18</v>
      </c>
      <c r="P38" s="46">
        <v>0</v>
      </c>
      <c r="Q38" s="58" t="s">
        <v>51</v>
      </c>
      <c r="R38" s="58">
        <v>2019</v>
      </c>
      <c r="S38" s="58"/>
      <c r="T38" s="58"/>
      <c r="U38" s="58"/>
      <c r="V38" s="58"/>
      <c r="W38" s="58"/>
      <c r="X38" s="58" t="s">
        <v>51</v>
      </c>
      <c r="Y38" s="58"/>
      <c r="Z38" s="58"/>
      <c r="AA38" s="58"/>
      <c r="AB38" s="58"/>
      <c r="AC38" s="58" t="s">
        <v>51</v>
      </c>
      <c r="AD38" s="58"/>
      <c r="AE38" s="58"/>
      <c r="AF38" s="58"/>
      <c r="AG38" s="58"/>
      <c r="AH38" s="58"/>
      <c r="AI38" s="58"/>
    </row>
    <row r="39" spans="1:35" x14ac:dyDescent="0.35">
      <c r="A39" s="17" t="s">
        <v>46</v>
      </c>
      <c r="B39" s="17" t="s">
        <v>2741</v>
      </c>
      <c r="C39" s="28" t="s">
        <v>2763</v>
      </c>
      <c r="D39" s="17" t="s">
        <v>2574</v>
      </c>
      <c r="E39" s="17" t="s">
        <v>2814</v>
      </c>
      <c r="F39" s="20">
        <v>1262.95</v>
      </c>
      <c r="G39" s="20">
        <v>603</v>
      </c>
      <c r="H39" s="19">
        <v>2938</v>
      </c>
      <c r="I39" s="20">
        <v>1454</v>
      </c>
      <c r="J39" s="20">
        <v>1484</v>
      </c>
      <c r="K39" s="20">
        <v>378</v>
      </c>
      <c r="L39" s="57">
        <f t="shared" si="0"/>
        <v>0.12865895166780122</v>
      </c>
      <c r="M39" s="20">
        <v>377</v>
      </c>
      <c r="N39" s="57">
        <f t="shared" si="1"/>
        <v>0.12831858407079647</v>
      </c>
      <c r="O39" s="46">
        <v>99</v>
      </c>
      <c r="P39" s="46">
        <v>0</v>
      </c>
      <c r="Q39" s="58" t="s">
        <v>51</v>
      </c>
      <c r="R39" s="58">
        <v>2020</v>
      </c>
      <c r="S39" s="58"/>
      <c r="T39" s="58"/>
      <c r="U39" s="58"/>
      <c r="V39" s="58"/>
      <c r="W39" s="58"/>
      <c r="X39" s="58" t="s">
        <v>51</v>
      </c>
      <c r="Y39" s="58"/>
      <c r="Z39" s="58"/>
      <c r="AA39" s="58"/>
      <c r="AB39" s="58"/>
      <c r="AC39" s="58" t="s">
        <v>51</v>
      </c>
      <c r="AD39" s="58"/>
      <c r="AE39" s="58"/>
      <c r="AF39" s="58"/>
      <c r="AG39" s="58"/>
      <c r="AH39" s="58"/>
      <c r="AI39" s="58"/>
    </row>
    <row r="40" spans="1:35" x14ac:dyDescent="0.35">
      <c r="A40" s="17" t="s">
        <v>46</v>
      </c>
      <c r="B40" s="17" t="s">
        <v>2741</v>
      </c>
      <c r="C40" s="28" t="s">
        <v>2763</v>
      </c>
      <c r="D40" s="17" t="s">
        <v>2815</v>
      </c>
      <c r="E40" s="17" t="s">
        <v>2816</v>
      </c>
      <c r="F40" s="20">
        <v>111.7</v>
      </c>
      <c r="G40" s="20">
        <v>42</v>
      </c>
      <c r="H40" s="19">
        <v>159</v>
      </c>
      <c r="I40" s="20">
        <v>72</v>
      </c>
      <c r="J40" s="20">
        <v>87</v>
      </c>
      <c r="K40" s="20">
        <v>19</v>
      </c>
      <c r="L40" s="57">
        <f t="shared" si="0"/>
        <v>0.11949685534591195</v>
      </c>
      <c r="M40" s="20">
        <v>0</v>
      </c>
      <c r="N40" s="57">
        <f t="shared" si="1"/>
        <v>0</v>
      </c>
      <c r="O40" s="46">
        <v>23</v>
      </c>
      <c r="P40" s="46">
        <v>0</v>
      </c>
      <c r="Q40" s="58" t="s">
        <v>51</v>
      </c>
      <c r="R40" s="58">
        <v>2020</v>
      </c>
      <c r="S40" s="58"/>
      <c r="T40" s="58"/>
      <c r="U40" s="58"/>
      <c r="V40" s="58"/>
      <c r="W40" s="58"/>
      <c r="X40" s="58" t="s">
        <v>51</v>
      </c>
      <c r="Y40" s="58"/>
      <c r="Z40" s="58"/>
      <c r="AA40" s="58"/>
      <c r="AB40" s="58"/>
      <c r="AC40" s="58" t="s">
        <v>51</v>
      </c>
      <c r="AD40" s="58"/>
      <c r="AE40" s="58"/>
      <c r="AF40" s="58"/>
      <c r="AG40" s="58"/>
      <c r="AH40" s="58"/>
      <c r="AI40" s="58"/>
    </row>
    <row r="41" spans="1:35" x14ac:dyDescent="0.35">
      <c r="A41" s="17" t="s">
        <v>46</v>
      </c>
      <c r="B41" s="17" t="s">
        <v>2741</v>
      </c>
      <c r="C41" s="28" t="s">
        <v>2763</v>
      </c>
      <c r="D41" s="17" t="s">
        <v>116</v>
      </c>
      <c r="E41" s="17" t="s">
        <v>2817</v>
      </c>
      <c r="F41" s="20">
        <v>149.1</v>
      </c>
      <c r="G41" s="20">
        <v>52</v>
      </c>
      <c r="H41" s="19">
        <v>212</v>
      </c>
      <c r="I41" s="20">
        <v>108</v>
      </c>
      <c r="J41" s="20">
        <v>104</v>
      </c>
      <c r="K41" s="20">
        <v>53</v>
      </c>
      <c r="L41" s="57">
        <f t="shared" si="0"/>
        <v>0.25</v>
      </c>
      <c r="M41" s="20">
        <v>10</v>
      </c>
      <c r="N41" s="57">
        <f t="shared" si="1"/>
        <v>4.716981132075472E-2</v>
      </c>
      <c r="O41" s="46">
        <v>28.1</v>
      </c>
      <c r="P41" s="46">
        <v>0</v>
      </c>
      <c r="Q41" s="58" t="s">
        <v>51</v>
      </c>
      <c r="R41" s="58">
        <v>2020</v>
      </c>
      <c r="S41" s="58"/>
      <c r="T41" s="58"/>
      <c r="U41" s="58"/>
      <c r="V41" s="58"/>
      <c r="W41" s="58"/>
      <c r="X41" s="58" t="s">
        <v>51</v>
      </c>
      <c r="Y41" s="58"/>
      <c r="Z41" s="58"/>
      <c r="AA41" s="58"/>
      <c r="AB41" s="58"/>
      <c r="AC41" s="58" t="s">
        <v>51</v>
      </c>
      <c r="AD41" s="58"/>
      <c r="AE41" s="58"/>
      <c r="AF41" s="58"/>
      <c r="AG41" s="58"/>
      <c r="AH41" s="58"/>
      <c r="AI41" s="58"/>
    </row>
    <row r="42" spans="1:35" x14ac:dyDescent="0.35">
      <c r="A42" s="17" t="s">
        <v>46</v>
      </c>
      <c r="B42" s="17" t="s">
        <v>2741</v>
      </c>
      <c r="C42" s="28" t="s">
        <v>1838</v>
      </c>
      <c r="D42" s="17" t="s">
        <v>1839</v>
      </c>
      <c r="E42" s="17" t="s">
        <v>2818</v>
      </c>
      <c r="F42" s="20">
        <v>1161.8699999999999</v>
      </c>
      <c r="G42" s="20">
        <v>554</v>
      </c>
      <c r="H42" s="19">
        <v>2330</v>
      </c>
      <c r="I42" s="20">
        <v>1159</v>
      </c>
      <c r="J42" s="20">
        <v>1171</v>
      </c>
      <c r="K42" s="20">
        <v>415</v>
      </c>
      <c r="L42" s="57">
        <f t="shared" si="0"/>
        <v>0.17811158798283261</v>
      </c>
      <c r="M42" s="20">
        <v>144</v>
      </c>
      <c r="N42" s="57">
        <f t="shared" si="1"/>
        <v>6.1802575107296136E-2</v>
      </c>
      <c r="O42" s="46">
        <v>0</v>
      </c>
      <c r="P42" s="46">
        <v>0</v>
      </c>
      <c r="Q42" s="58" t="s">
        <v>51</v>
      </c>
      <c r="R42" s="58">
        <v>2019</v>
      </c>
      <c r="S42" s="58"/>
      <c r="T42" s="58"/>
      <c r="U42" s="58"/>
      <c r="V42" s="58"/>
      <c r="W42" s="58"/>
      <c r="X42" s="58" t="s">
        <v>51</v>
      </c>
      <c r="Y42" s="58"/>
      <c r="Z42" s="58"/>
      <c r="AA42" s="58"/>
      <c r="AB42" s="58"/>
      <c r="AC42" s="58" t="s">
        <v>51</v>
      </c>
      <c r="AD42" s="58"/>
      <c r="AE42" s="58"/>
      <c r="AF42" s="58"/>
      <c r="AG42" s="58"/>
      <c r="AH42" s="58"/>
      <c r="AI42" s="58"/>
    </row>
    <row r="43" spans="1:35" x14ac:dyDescent="0.35">
      <c r="A43" s="17" t="s">
        <v>46</v>
      </c>
      <c r="B43" s="17" t="s">
        <v>2741</v>
      </c>
      <c r="C43" s="28" t="s">
        <v>1838</v>
      </c>
      <c r="D43" s="17" t="s">
        <v>2819</v>
      </c>
      <c r="E43" s="17" t="s">
        <v>2820</v>
      </c>
      <c r="F43" s="20">
        <v>249</v>
      </c>
      <c r="G43" s="20">
        <v>71</v>
      </c>
      <c r="H43" s="19">
        <v>287</v>
      </c>
      <c r="I43" s="20">
        <v>133</v>
      </c>
      <c r="J43" s="20">
        <v>154</v>
      </c>
      <c r="K43" s="20">
        <v>21</v>
      </c>
      <c r="L43" s="57">
        <f t="shared" si="0"/>
        <v>7.3170731707317069E-2</v>
      </c>
      <c r="M43" s="20">
        <v>0</v>
      </c>
      <c r="N43" s="57">
        <f t="shared" si="1"/>
        <v>0</v>
      </c>
      <c r="O43" s="46">
        <v>31</v>
      </c>
      <c r="P43" s="46">
        <v>0</v>
      </c>
      <c r="Q43" s="58" t="s">
        <v>51</v>
      </c>
      <c r="R43" s="58">
        <v>2019</v>
      </c>
      <c r="S43" s="58"/>
      <c r="T43" s="58"/>
      <c r="U43" s="58"/>
      <c r="V43" s="58"/>
      <c r="W43" s="58"/>
      <c r="X43" s="58" t="s">
        <v>51</v>
      </c>
      <c r="Y43" s="58"/>
      <c r="Z43" s="58"/>
      <c r="AA43" s="58"/>
      <c r="AB43" s="58"/>
      <c r="AC43" s="58" t="s">
        <v>51</v>
      </c>
      <c r="AD43" s="58"/>
      <c r="AE43" s="58"/>
      <c r="AF43" s="58"/>
      <c r="AG43" s="58"/>
      <c r="AH43" s="58"/>
      <c r="AI43" s="58"/>
    </row>
    <row r="44" spans="1:35" x14ac:dyDescent="0.35">
      <c r="A44" s="17" t="s">
        <v>46</v>
      </c>
      <c r="B44" s="17" t="s">
        <v>2741</v>
      </c>
      <c r="C44" s="28" t="s">
        <v>2821</v>
      </c>
      <c r="D44" s="17" t="s">
        <v>2822</v>
      </c>
      <c r="E44" s="17" t="s">
        <v>2823</v>
      </c>
      <c r="F44" s="20">
        <v>184</v>
      </c>
      <c r="G44" s="20">
        <v>58</v>
      </c>
      <c r="H44" s="19">
        <v>253</v>
      </c>
      <c r="I44" s="20">
        <v>124</v>
      </c>
      <c r="J44" s="20">
        <v>129</v>
      </c>
      <c r="K44" s="20">
        <v>6</v>
      </c>
      <c r="L44" s="57">
        <f t="shared" si="0"/>
        <v>2.3715415019762844E-2</v>
      </c>
      <c r="M44" s="20">
        <v>108</v>
      </c>
      <c r="N44" s="57">
        <f t="shared" si="1"/>
        <v>0.4268774703557312</v>
      </c>
      <c r="O44" s="46">
        <v>57</v>
      </c>
      <c r="P44" s="46">
        <v>0</v>
      </c>
      <c r="Q44" s="58" t="s">
        <v>51</v>
      </c>
      <c r="R44" s="58">
        <v>2019</v>
      </c>
      <c r="S44" s="58"/>
      <c r="T44" s="58"/>
      <c r="U44" s="58"/>
      <c r="V44" s="58"/>
      <c r="W44" s="58"/>
      <c r="X44" s="58" t="s">
        <v>51</v>
      </c>
      <c r="Y44" s="58"/>
      <c r="Z44" s="58"/>
      <c r="AA44" s="58"/>
      <c r="AB44" s="58"/>
      <c r="AC44" s="58" t="s">
        <v>51</v>
      </c>
      <c r="AD44" s="58"/>
      <c r="AE44" s="58"/>
      <c r="AF44" s="58"/>
      <c r="AG44" s="58"/>
      <c r="AH44" s="58"/>
      <c r="AI44" s="58"/>
    </row>
    <row r="45" spans="1:35" x14ac:dyDescent="0.35">
      <c r="A45" s="17" t="s">
        <v>46</v>
      </c>
      <c r="B45" s="17" t="s">
        <v>2741</v>
      </c>
      <c r="C45" s="28" t="s">
        <v>2763</v>
      </c>
      <c r="D45" s="17" t="s">
        <v>1296</v>
      </c>
      <c r="E45" s="17" t="s">
        <v>2824</v>
      </c>
      <c r="F45" s="20">
        <v>467.97</v>
      </c>
      <c r="G45" s="20">
        <v>165</v>
      </c>
      <c r="H45" s="19">
        <v>692</v>
      </c>
      <c r="I45" s="20">
        <v>336</v>
      </c>
      <c r="J45" s="20">
        <v>356</v>
      </c>
      <c r="K45" s="20">
        <v>21</v>
      </c>
      <c r="L45" s="57">
        <f t="shared" si="0"/>
        <v>3.0346820809248554E-2</v>
      </c>
      <c r="M45" s="20">
        <v>133</v>
      </c>
      <c r="N45" s="57">
        <f t="shared" si="1"/>
        <v>0.19219653179190752</v>
      </c>
      <c r="O45" s="46">
        <v>27</v>
      </c>
      <c r="P45" s="46">
        <v>0</v>
      </c>
      <c r="Q45" s="58" t="s">
        <v>51</v>
      </c>
      <c r="R45" s="58">
        <v>2020</v>
      </c>
      <c r="S45" s="58"/>
      <c r="T45" s="58"/>
      <c r="U45" s="58"/>
      <c r="V45" s="58"/>
      <c r="W45" s="58"/>
      <c r="X45" s="58" t="s">
        <v>51</v>
      </c>
      <c r="Y45" s="58"/>
      <c r="Z45" s="58"/>
      <c r="AA45" s="58"/>
      <c r="AB45" s="58"/>
      <c r="AC45" s="58" t="s">
        <v>51</v>
      </c>
      <c r="AD45" s="58"/>
      <c r="AE45" s="58"/>
      <c r="AF45" s="58"/>
      <c r="AG45" s="58"/>
      <c r="AH45" s="58"/>
      <c r="AI45" s="58"/>
    </row>
    <row r="46" spans="1:35" x14ac:dyDescent="0.35">
      <c r="A46" s="17" t="s">
        <v>46</v>
      </c>
      <c r="B46" s="17" t="s">
        <v>2741</v>
      </c>
      <c r="C46" s="28" t="s">
        <v>2763</v>
      </c>
      <c r="D46" s="17" t="s">
        <v>2825</v>
      </c>
      <c r="E46" s="17" t="s">
        <v>2826</v>
      </c>
      <c r="F46" s="28">
        <v>151.19999999999999</v>
      </c>
      <c r="G46" s="47"/>
      <c r="H46" s="19">
        <v>0</v>
      </c>
      <c r="I46" s="47"/>
      <c r="J46" s="47"/>
      <c r="K46" s="47"/>
      <c r="L46" s="57"/>
      <c r="M46" s="47"/>
      <c r="N46" s="57"/>
      <c r="O46" s="48">
        <v>16.239999999999998</v>
      </c>
      <c r="P46" s="48">
        <v>0</v>
      </c>
      <c r="Q46" s="58" t="s">
        <v>51</v>
      </c>
      <c r="R46" s="58">
        <v>2020</v>
      </c>
      <c r="S46" s="58"/>
      <c r="T46" s="58"/>
      <c r="U46" s="58"/>
      <c r="V46" s="58"/>
      <c r="W46" s="58"/>
      <c r="X46" s="58" t="s">
        <v>51</v>
      </c>
      <c r="Y46" s="58"/>
      <c r="Z46" s="58"/>
      <c r="AA46" s="58"/>
      <c r="AB46" s="58"/>
      <c r="AC46" s="58" t="s">
        <v>51</v>
      </c>
      <c r="AD46" s="58"/>
      <c r="AE46" s="58"/>
      <c r="AF46" s="58"/>
      <c r="AG46" s="58"/>
      <c r="AH46" s="58"/>
      <c r="AI46" s="58"/>
    </row>
    <row r="47" spans="1:35" x14ac:dyDescent="0.35">
      <c r="A47" s="17" t="s">
        <v>46</v>
      </c>
      <c r="B47" s="17" t="s">
        <v>2741</v>
      </c>
      <c r="C47" s="28" t="s">
        <v>2821</v>
      </c>
      <c r="D47" s="17" t="s">
        <v>2827</v>
      </c>
      <c r="E47" s="17" t="s">
        <v>2828</v>
      </c>
      <c r="F47" s="20">
        <v>528</v>
      </c>
      <c r="G47" s="20">
        <v>219</v>
      </c>
      <c r="H47" s="19">
        <v>967</v>
      </c>
      <c r="I47" s="20">
        <v>491</v>
      </c>
      <c r="J47" s="20">
        <v>476</v>
      </c>
      <c r="K47" s="20">
        <v>192</v>
      </c>
      <c r="L47" s="57">
        <f t="shared" ref="L47:L62" si="2">K47/H47</f>
        <v>0.19855222337125128</v>
      </c>
      <c r="M47" s="20">
        <v>196</v>
      </c>
      <c r="N47" s="57">
        <f t="shared" ref="N47:N62" si="3">M47/H47</f>
        <v>0.20268872802481902</v>
      </c>
      <c r="O47" s="46">
        <v>65</v>
      </c>
      <c r="P47" s="46">
        <v>0</v>
      </c>
      <c r="Q47" s="58" t="s">
        <v>51</v>
      </c>
      <c r="R47" s="58">
        <v>2019</v>
      </c>
      <c r="S47" s="58"/>
      <c r="T47" s="58"/>
      <c r="U47" s="58"/>
      <c r="V47" s="58"/>
      <c r="W47" s="58"/>
      <c r="X47" s="58" t="s">
        <v>51</v>
      </c>
      <c r="Y47" s="58"/>
      <c r="Z47" s="58"/>
      <c r="AA47" s="58"/>
      <c r="AB47" s="58"/>
      <c r="AC47" s="58" t="s">
        <v>51</v>
      </c>
      <c r="AD47" s="58"/>
      <c r="AE47" s="58"/>
      <c r="AF47" s="58"/>
      <c r="AG47" s="58"/>
      <c r="AH47" s="58"/>
      <c r="AI47" s="58"/>
    </row>
    <row r="48" spans="1:35" x14ac:dyDescent="0.35">
      <c r="A48" s="17" t="s">
        <v>46</v>
      </c>
      <c r="B48" s="17" t="s">
        <v>2741</v>
      </c>
      <c r="C48" s="28" t="s">
        <v>2821</v>
      </c>
      <c r="D48" s="17" t="s">
        <v>2829</v>
      </c>
      <c r="E48" s="17" t="s">
        <v>2830</v>
      </c>
      <c r="F48" s="20">
        <v>404</v>
      </c>
      <c r="G48" s="20">
        <v>175</v>
      </c>
      <c r="H48" s="19">
        <v>740</v>
      </c>
      <c r="I48" s="20">
        <v>376</v>
      </c>
      <c r="J48" s="20">
        <v>364</v>
      </c>
      <c r="K48" s="20">
        <v>27</v>
      </c>
      <c r="L48" s="57">
        <f t="shared" si="2"/>
        <v>3.6486486486486489E-2</v>
      </c>
      <c r="M48" s="20">
        <v>164</v>
      </c>
      <c r="N48" s="57">
        <f t="shared" si="3"/>
        <v>0.22162162162162163</v>
      </c>
      <c r="O48" s="46">
        <v>64</v>
      </c>
      <c r="P48" s="46">
        <v>0</v>
      </c>
      <c r="Q48" s="58" t="s">
        <v>51</v>
      </c>
      <c r="R48" s="58">
        <v>2019</v>
      </c>
      <c r="S48" s="58"/>
      <c r="T48" s="58"/>
      <c r="U48" s="58"/>
      <c r="V48" s="58"/>
      <c r="W48" s="58"/>
      <c r="X48" s="58" t="s">
        <v>51</v>
      </c>
      <c r="Y48" s="58"/>
      <c r="Z48" s="58"/>
      <c r="AA48" s="58"/>
      <c r="AB48" s="58"/>
      <c r="AC48" s="58" t="s">
        <v>51</v>
      </c>
      <c r="AD48" s="58"/>
      <c r="AE48" s="58"/>
      <c r="AF48" s="58"/>
      <c r="AG48" s="58"/>
      <c r="AH48" s="58"/>
      <c r="AI48" s="58"/>
    </row>
    <row r="49" spans="1:35" x14ac:dyDescent="0.35">
      <c r="A49" s="17" t="s">
        <v>46</v>
      </c>
      <c r="B49" s="17" t="s">
        <v>2741</v>
      </c>
      <c r="C49" s="28" t="s">
        <v>2821</v>
      </c>
      <c r="D49" s="17" t="s">
        <v>2831</v>
      </c>
      <c r="E49" s="17" t="s">
        <v>2832</v>
      </c>
      <c r="F49" s="20">
        <v>119</v>
      </c>
      <c r="G49" s="20">
        <v>79</v>
      </c>
      <c r="H49" s="19">
        <v>359</v>
      </c>
      <c r="I49" s="20">
        <v>183</v>
      </c>
      <c r="J49" s="20">
        <v>176</v>
      </c>
      <c r="K49" s="20">
        <v>102</v>
      </c>
      <c r="L49" s="57">
        <f t="shared" si="2"/>
        <v>0.28412256267409469</v>
      </c>
      <c r="M49" s="20">
        <v>48</v>
      </c>
      <c r="N49" s="57">
        <f t="shared" si="3"/>
        <v>0.13370473537604458</v>
      </c>
      <c r="O49" s="46">
        <v>8</v>
      </c>
      <c r="P49" s="46">
        <v>0</v>
      </c>
      <c r="Q49" s="58" t="s">
        <v>562</v>
      </c>
      <c r="R49" s="58"/>
      <c r="S49" s="58"/>
      <c r="T49" s="58"/>
      <c r="U49" s="58"/>
      <c r="V49" s="58"/>
      <c r="W49" s="58"/>
      <c r="X49" s="58" t="s">
        <v>562</v>
      </c>
      <c r="Y49" s="58"/>
      <c r="Z49" s="58"/>
      <c r="AA49" s="58"/>
      <c r="AB49" s="58"/>
      <c r="AC49" s="58" t="s">
        <v>562</v>
      </c>
      <c r="AD49" s="58"/>
      <c r="AE49" s="58"/>
      <c r="AF49" s="58"/>
      <c r="AG49" s="58"/>
      <c r="AH49" s="58"/>
      <c r="AI49" s="58"/>
    </row>
    <row r="50" spans="1:35" x14ac:dyDescent="0.35">
      <c r="A50" s="17" t="s">
        <v>46</v>
      </c>
      <c r="B50" s="17" t="s">
        <v>2741</v>
      </c>
      <c r="C50" s="28" t="s">
        <v>2821</v>
      </c>
      <c r="D50" s="17" t="s">
        <v>2833</v>
      </c>
      <c r="E50" s="17" t="s">
        <v>2834</v>
      </c>
      <c r="F50" s="20">
        <v>181</v>
      </c>
      <c r="G50" s="20">
        <v>169</v>
      </c>
      <c r="H50" s="19">
        <v>841</v>
      </c>
      <c r="I50" s="20">
        <v>420</v>
      </c>
      <c r="J50" s="20">
        <v>421</v>
      </c>
      <c r="K50" s="20">
        <v>0</v>
      </c>
      <c r="L50" s="57">
        <f t="shared" si="2"/>
        <v>0</v>
      </c>
      <c r="M50" s="20">
        <v>4</v>
      </c>
      <c r="N50" s="57">
        <f t="shared" si="3"/>
        <v>4.7562425683709865E-3</v>
      </c>
      <c r="O50" s="46">
        <v>0</v>
      </c>
      <c r="P50" s="46">
        <v>0</v>
      </c>
      <c r="Q50" s="58" t="s">
        <v>51</v>
      </c>
      <c r="R50" s="58">
        <v>2019</v>
      </c>
      <c r="S50" s="58"/>
      <c r="T50" s="58"/>
      <c r="U50" s="58"/>
      <c r="V50" s="58"/>
      <c r="W50" s="58"/>
      <c r="X50" s="58" t="s">
        <v>51</v>
      </c>
      <c r="Y50" s="58"/>
      <c r="Z50" s="58"/>
      <c r="AA50" s="58"/>
      <c r="AB50" s="58"/>
      <c r="AC50" s="58" t="s">
        <v>51</v>
      </c>
      <c r="AD50" s="58"/>
      <c r="AE50" s="58"/>
      <c r="AF50" s="58"/>
      <c r="AG50" s="58"/>
      <c r="AH50" s="58"/>
      <c r="AI50" s="58"/>
    </row>
    <row r="51" spans="1:35" x14ac:dyDescent="0.35">
      <c r="A51" s="17" t="s">
        <v>46</v>
      </c>
      <c r="B51" s="17" t="s">
        <v>2741</v>
      </c>
      <c r="C51" s="28" t="s">
        <v>2835</v>
      </c>
      <c r="D51" s="17" t="s">
        <v>2836</v>
      </c>
      <c r="E51" s="17" t="s">
        <v>2837</v>
      </c>
      <c r="F51" s="20">
        <v>288</v>
      </c>
      <c r="G51" s="20">
        <v>88</v>
      </c>
      <c r="H51" s="19">
        <v>399</v>
      </c>
      <c r="I51" s="20">
        <v>192</v>
      </c>
      <c r="J51" s="20">
        <v>207</v>
      </c>
      <c r="K51" s="20">
        <v>38</v>
      </c>
      <c r="L51" s="57">
        <f t="shared" si="2"/>
        <v>9.5238095238095233E-2</v>
      </c>
      <c r="M51" s="20">
        <v>47</v>
      </c>
      <c r="N51" s="57">
        <f t="shared" si="3"/>
        <v>0.11779448621553884</v>
      </c>
      <c r="O51" s="46">
        <v>25</v>
      </c>
      <c r="P51" s="46">
        <v>0</v>
      </c>
      <c r="Q51" s="58" t="s">
        <v>51</v>
      </c>
      <c r="R51" s="58">
        <v>2019</v>
      </c>
      <c r="S51" s="58"/>
      <c r="T51" s="58"/>
      <c r="U51" s="58"/>
      <c r="V51" s="58"/>
      <c r="W51" s="58"/>
      <c r="X51" s="58" t="s">
        <v>51</v>
      </c>
      <c r="Y51" s="58"/>
      <c r="Z51" s="58"/>
      <c r="AA51" s="58"/>
      <c r="AB51" s="58"/>
      <c r="AC51" s="58" t="s">
        <v>51</v>
      </c>
      <c r="AD51" s="58"/>
      <c r="AE51" s="58"/>
      <c r="AF51" s="58"/>
      <c r="AG51" s="58"/>
      <c r="AH51" s="58"/>
      <c r="AI51" s="58"/>
    </row>
    <row r="52" spans="1:35" x14ac:dyDescent="0.35">
      <c r="A52" s="17" t="s">
        <v>46</v>
      </c>
      <c r="B52" s="17" t="s">
        <v>2741</v>
      </c>
      <c r="C52" s="28" t="s">
        <v>2838</v>
      </c>
      <c r="D52" s="17" t="s">
        <v>2839</v>
      </c>
      <c r="E52" s="17" t="s">
        <v>2840</v>
      </c>
      <c r="F52" s="20">
        <v>504</v>
      </c>
      <c r="G52" s="20">
        <v>252</v>
      </c>
      <c r="H52" s="19">
        <v>927</v>
      </c>
      <c r="I52" s="20">
        <v>467</v>
      </c>
      <c r="J52" s="20">
        <v>460</v>
      </c>
      <c r="K52" s="20">
        <v>247</v>
      </c>
      <c r="L52" s="57">
        <f t="shared" si="2"/>
        <v>0.26645091693635381</v>
      </c>
      <c r="M52" s="20">
        <v>95</v>
      </c>
      <c r="N52" s="57">
        <f t="shared" si="3"/>
        <v>0.10248112189859762</v>
      </c>
      <c r="O52" s="46">
        <v>81</v>
      </c>
      <c r="P52" s="46">
        <v>0</v>
      </c>
      <c r="Q52" s="58" t="s">
        <v>51</v>
      </c>
      <c r="R52" s="58">
        <v>2019</v>
      </c>
      <c r="S52" s="58"/>
      <c r="T52" s="58"/>
      <c r="U52" s="58"/>
      <c r="V52" s="58"/>
      <c r="W52" s="58"/>
      <c r="X52" s="58" t="s">
        <v>51</v>
      </c>
      <c r="Y52" s="58"/>
      <c r="Z52" s="58"/>
      <c r="AA52" s="58"/>
      <c r="AB52" s="58"/>
      <c r="AC52" s="58" t="s">
        <v>51</v>
      </c>
      <c r="AD52" s="58"/>
      <c r="AE52" s="58"/>
      <c r="AF52" s="58"/>
      <c r="AG52" s="58"/>
      <c r="AH52" s="58"/>
      <c r="AI52" s="58"/>
    </row>
    <row r="53" spans="1:35" x14ac:dyDescent="0.35">
      <c r="A53" s="17" t="s">
        <v>46</v>
      </c>
      <c r="B53" s="17" t="s">
        <v>2741</v>
      </c>
      <c r="C53" s="28" t="s">
        <v>2838</v>
      </c>
      <c r="D53" s="17" t="s">
        <v>2841</v>
      </c>
      <c r="E53" s="17" t="s">
        <v>2842</v>
      </c>
      <c r="F53" s="20">
        <v>287</v>
      </c>
      <c r="G53" s="20">
        <v>137</v>
      </c>
      <c r="H53" s="19">
        <v>590</v>
      </c>
      <c r="I53" s="20">
        <v>316</v>
      </c>
      <c r="J53" s="20">
        <v>274</v>
      </c>
      <c r="K53" s="20">
        <v>89</v>
      </c>
      <c r="L53" s="57">
        <f t="shared" si="2"/>
        <v>0.15084745762711865</v>
      </c>
      <c r="M53" s="20">
        <v>139</v>
      </c>
      <c r="N53" s="57">
        <f t="shared" si="3"/>
        <v>0.23559322033898306</v>
      </c>
      <c r="O53" s="46">
        <v>45</v>
      </c>
      <c r="P53" s="46">
        <v>0</v>
      </c>
      <c r="Q53" s="58" t="s">
        <v>51</v>
      </c>
      <c r="R53" s="58">
        <v>2019</v>
      </c>
      <c r="S53" s="58"/>
      <c r="T53" s="58"/>
      <c r="U53" s="58"/>
      <c r="V53" s="58"/>
      <c r="W53" s="58"/>
      <c r="X53" s="58" t="s">
        <v>51</v>
      </c>
      <c r="Y53" s="58"/>
      <c r="Z53" s="58"/>
      <c r="AA53" s="58"/>
      <c r="AB53" s="58"/>
      <c r="AC53" s="58" t="s">
        <v>51</v>
      </c>
      <c r="AD53" s="58"/>
      <c r="AE53" s="58"/>
      <c r="AF53" s="58"/>
      <c r="AG53" s="58"/>
      <c r="AH53" s="58"/>
      <c r="AI53" s="58"/>
    </row>
    <row r="54" spans="1:35" x14ac:dyDescent="0.35">
      <c r="A54" s="17" t="s">
        <v>46</v>
      </c>
      <c r="B54" s="17" t="s">
        <v>2741</v>
      </c>
      <c r="C54" s="28" t="s">
        <v>2838</v>
      </c>
      <c r="D54" s="17" t="s">
        <v>2843</v>
      </c>
      <c r="E54" s="17" t="s">
        <v>2844</v>
      </c>
      <c r="F54" s="20">
        <v>375</v>
      </c>
      <c r="G54" s="20">
        <v>225</v>
      </c>
      <c r="H54" s="19">
        <v>947</v>
      </c>
      <c r="I54" s="20">
        <v>482</v>
      </c>
      <c r="J54" s="20">
        <v>465</v>
      </c>
      <c r="K54" s="20">
        <v>37</v>
      </c>
      <c r="L54" s="57">
        <f t="shared" si="2"/>
        <v>3.907074973600845E-2</v>
      </c>
      <c r="M54" s="20">
        <v>196</v>
      </c>
      <c r="N54" s="57">
        <f t="shared" si="3"/>
        <v>0.20696937697993664</v>
      </c>
      <c r="O54" s="46">
        <v>54</v>
      </c>
      <c r="P54" s="46">
        <v>0</v>
      </c>
      <c r="Q54" s="58" t="s">
        <v>51</v>
      </c>
      <c r="R54" s="58">
        <v>2019</v>
      </c>
      <c r="S54" s="58"/>
      <c r="T54" s="58"/>
      <c r="U54" s="58"/>
      <c r="V54" s="58"/>
      <c r="W54" s="58"/>
      <c r="X54" s="58" t="s">
        <v>51</v>
      </c>
      <c r="Y54" s="58"/>
      <c r="Z54" s="58"/>
      <c r="AA54" s="58"/>
      <c r="AB54" s="58"/>
      <c r="AC54" s="58" t="s">
        <v>51</v>
      </c>
      <c r="AD54" s="58"/>
      <c r="AE54" s="58"/>
      <c r="AF54" s="58"/>
      <c r="AG54" s="58"/>
      <c r="AH54" s="58"/>
      <c r="AI54" s="58"/>
    </row>
    <row r="55" spans="1:35" x14ac:dyDescent="0.35">
      <c r="A55" s="17" t="s">
        <v>46</v>
      </c>
      <c r="B55" s="17" t="s">
        <v>2741</v>
      </c>
      <c r="C55" s="28" t="s">
        <v>2845</v>
      </c>
      <c r="D55" s="17" t="s">
        <v>2846</v>
      </c>
      <c r="E55" s="17" t="s">
        <v>2847</v>
      </c>
      <c r="F55" s="20">
        <v>159</v>
      </c>
      <c r="G55" s="20">
        <v>56</v>
      </c>
      <c r="H55" s="19">
        <v>223</v>
      </c>
      <c r="I55" s="20">
        <v>112</v>
      </c>
      <c r="J55" s="20">
        <v>111</v>
      </c>
      <c r="K55" s="20">
        <v>0</v>
      </c>
      <c r="L55" s="57">
        <f t="shared" si="2"/>
        <v>0</v>
      </c>
      <c r="M55" s="20">
        <v>37</v>
      </c>
      <c r="N55" s="57">
        <f t="shared" si="3"/>
        <v>0.16591928251121077</v>
      </c>
      <c r="O55" s="46">
        <v>16</v>
      </c>
      <c r="P55" s="46">
        <v>0</v>
      </c>
      <c r="Q55" s="58" t="s">
        <v>51</v>
      </c>
      <c r="R55" s="58">
        <v>2019</v>
      </c>
      <c r="S55" s="58"/>
      <c r="T55" s="58"/>
      <c r="U55" s="58"/>
      <c r="V55" s="58"/>
      <c r="W55" s="58"/>
      <c r="X55" s="58" t="s">
        <v>51</v>
      </c>
      <c r="Y55" s="58"/>
      <c r="Z55" s="58"/>
      <c r="AA55" s="58"/>
      <c r="AB55" s="58"/>
      <c r="AC55" s="58" t="s">
        <v>51</v>
      </c>
      <c r="AD55" s="58"/>
      <c r="AE55" s="58"/>
      <c r="AF55" s="58"/>
      <c r="AG55" s="58"/>
      <c r="AH55" s="58"/>
      <c r="AI55" s="58"/>
    </row>
    <row r="56" spans="1:35" x14ac:dyDescent="0.35">
      <c r="A56" s="17" t="s">
        <v>46</v>
      </c>
      <c r="B56" s="17" t="s">
        <v>2741</v>
      </c>
      <c r="C56" s="28" t="s">
        <v>2838</v>
      </c>
      <c r="D56" s="17" t="s">
        <v>2848</v>
      </c>
      <c r="E56" s="17" t="s">
        <v>2849</v>
      </c>
      <c r="F56" s="20">
        <v>436</v>
      </c>
      <c r="G56" s="20">
        <v>185</v>
      </c>
      <c r="H56" s="19">
        <v>802</v>
      </c>
      <c r="I56" s="20">
        <v>400</v>
      </c>
      <c r="J56" s="20">
        <v>402</v>
      </c>
      <c r="K56" s="20">
        <v>30</v>
      </c>
      <c r="L56" s="57">
        <f t="shared" si="2"/>
        <v>3.7406483790523692E-2</v>
      </c>
      <c r="M56" s="20">
        <v>274</v>
      </c>
      <c r="N56" s="57">
        <f t="shared" si="3"/>
        <v>0.34164588528678302</v>
      </c>
      <c r="O56" s="46">
        <v>81</v>
      </c>
      <c r="P56" s="46">
        <v>0</v>
      </c>
      <c r="Q56" s="58" t="s">
        <v>51</v>
      </c>
      <c r="R56" s="58">
        <v>2019</v>
      </c>
      <c r="S56" s="58"/>
      <c r="T56" s="58"/>
      <c r="U56" s="58"/>
      <c r="V56" s="58"/>
      <c r="W56" s="58"/>
      <c r="X56" s="58" t="s">
        <v>51</v>
      </c>
      <c r="Y56" s="58"/>
      <c r="Z56" s="58"/>
      <c r="AA56" s="58"/>
      <c r="AB56" s="58"/>
      <c r="AC56" s="58" t="s">
        <v>51</v>
      </c>
      <c r="AD56" s="58"/>
      <c r="AE56" s="58"/>
      <c r="AF56" s="58"/>
      <c r="AG56" s="58"/>
      <c r="AH56" s="58"/>
      <c r="AI56" s="58"/>
    </row>
    <row r="57" spans="1:35" x14ac:dyDescent="0.35">
      <c r="A57" s="17" t="s">
        <v>46</v>
      </c>
      <c r="B57" s="17" t="s">
        <v>2741</v>
      </c>
      <c r="C57" s="28" t="s">
        <v>1838</v>
      </c>
      <c r="D57" s="17" t="s">
        <v>465</v>
      </c>
      <c r="E57" s="17" t="s">
        <v>2850</v>
      </c>
      <c r="F57" s="20">
        <v>368</v>
      </c>
      <c r="G57" s="20">
        <v>146</v>
      </c>
      <c r="H57" s="19">
        <v>670</v>
      </c>
      <c r="I57" s="20">
        <v>335</v>
      </c>
      <c r="J57" s="20">
        <v>335</v>
      </c>
      <c r="K57" s="20">
        <v>32</v>
      </c>
      <c r="L57" s="57">
        <f t="shared" si="2"/>
        <v>4.7761194029850747E-2</v>
      </c>
      <c r="M57" s="20">
        <v>129</v>
      </c>
      <c r="N57" s="57">
        <f t="shared" si="3"/>
        <v>0.19253731343283581</v>
      </c>
      <c r="O57" s="46">
        <v>84</v>
      </c>
      <c r="P57" s="46">
        <v>0</v>
      </c>
      <c r="Q57" s="58" t="s">
        <v>51</v>
      </c>
      <c r="R57" s="58">
        <v>2019</v>
      </c>
      <c r="S57" s="58"/>
      <c r="T57" s="58"/>
      <c r="U57" s="58"/>
      <c r="V57" s="58"/>
      <c r="W57" s="58"/>
      <c r="X57" s="58" t="s">
        <v>51</v>
      </c>
      <c r="Y57" s="58"/>
      <c r="Z57" s="58"/>
      <c r="AA57" s="58"/>
      <c r="AB57" s="58"/>
      <c r="AC57" s="58" t="s">
        <v>51</v>
      </c>
      <c r="AD57" s="58"/>
      <c r="AE57" s="58"/>
      <c r="AF57" s="58"/>
      <c r="AG57" s="58"/>
      <c r="AH57" s="58"/>
      <c r="AI57" s="58"/>
    </row>
    <row r="58" spans="1:35" x14ac:dyDescent="0.35">
      <c r="A58" s="17" t="s">
        <v>46</v>
      </c>
      <c r="B58" s="17" t="s">
        <v>2741</v>
      </c>
      <c r="C58" s="28" t="s">
        <v>1784</v>
      </c>
      <c r="D58" s="17" t="s">
        <v>2851</v>
      </c>
      <c r="E58" s="17" t="s">
        <v>2852</v>
      </c>
      <c r="F58" s="20">
        <v>1813</v>
      </c>
      <c r="G58" s="20">
        <v>702</v>
      </c>
      <c r="H58" s="19">
        <v>3127</v>
      </c>
      <c r="I58" s="20">
        <v>1571</v>
      </c>
      <c r="J58" s="20">
        <v>1556</v>
      </c>
      <c r="K58" s="20">
        <v>461</v>
      </c>
      <c r="L58" s="57">
        <f t="shared" si="2"/>
        <v>0.14742564758554524</v>
      </c>
      <c r="M58" s="20">
        <v>599</v>
      </c>
      <c r="N58" s="57">
        <f t="shared" si="3"/>
        <v>0.19155740326191237</v>
      </c>
      <c r="O58" s="46">
        <v>182</v>
      </c>
      <c r="P58" s="46">
        <v>0</v>
      </c>
      <c r="Q58" s="58" t="s">
        <v>51</v>
      </c>
      <c r="R58" s="58">
        <v>2019</v>
      </c>
      <c r="S58" s="58"/>
      <c r="T58" s="58"/>
      <c r="U58" s="58"/>
      <c r="V58" s="58"/>
      <c r="W58" s="58"/>
      <c r="X58" s="58" t="s">
        <v>51</v>
      </c>
      <c r="Y58" s="58"/>
      <c r="Z58" s="58"/>
      <c r="AA58" s="58"/>
      <c r="AB58" s="58"/>
      <c r="AC58" s="58" t="s">
        <v>51</v>
      </c>
      <c r="AD58" s="58"/>
      <c r="AE58" s="58"/>
      <c r="AF58" s="58"/>
      <c r="AG58" s="58"/>
      <c r="AH58" s="58"/>
      <c r="AI58" s="58"/>
    </row>
    <row r="59" spans="1:35" x14ac:dyDescent="0.35">
      <c r="A59" s="17" t="s">
        <v>46</v>
      </c>
      <c r="B59" s="17" t="s">
        <v>2741</v>
      </c>
      <c r="C59" s="28" t="s">
        <v>1618</v>
      </c>
      <c r="D59" s="17" t="s">
        <v>2853</v>
      </c>
      <c r="E59" s="17" t="s">
        <v>2854</v>
      </c>
      <c r="F59" s="20">
        <v>629.49</v>
      </c>
      <c r="G59" s="20">
        <v>288</v>
      </c>
      <c r="H59" s="19">
        <v>1231</v>
      </c>
      <c r="I59" s="20">
        <v>605</v>
      </c>
      <c r="J59" s="20">
        <v>626</v>
      </c>
      <c r="K59" s="20">
        <v>147</v>
      </c>
      <c r="L59" s="57">
        <f t="shared" si="2"/>
        <v>0.11941510966693746</v>
      </c>
      <c r="M59" s="20">
        <v>261</v>
      </c>
      <c r="N59" s="57">
        <f t="shared" si="3"/>
        <v>0.21202274573517466</v>
      </c>
      <c r="O59" s="46">
        <v>77.67</v>
      </c>
      <c r="P59" s="46">
        <v>0</v>
      </c>
      <c r="Q59" s="58" t="s">
        <v>51</v>
      </c>
      <c r="R59" s="58">
        <v>2020</v>
      </c>
      <c r="S59" s="58"/>
      <c r="T59" s="58"/>
      <c r="U59" s="58"/>
      <c r="V59" s="58"/>
      <c r="W59" s="58"/>
      <c r="X59" s="58" t="s">
        <v>51</v>
      </c>
      <c r="Y59" s="58"/>
      <c r="Z59" s="58"/>
      <c r="AA59" s="58"/>
      <c r="AB59" s="58"/>
      <c r="AC59" s="58" t="s">
        <v>51</v>
      </c>
      <c r="AD59" s="58"/>
      <c r="AE59" s="58"/>
      <c r="AF59" s="58"/>
      <c r="AG59" s="58"/>
      <c r="AH59" s="58"/>
      <c r="AI59" s="58"/>
    </row>
    <row r="60" spans="1:35" x14ac:dyDescent="0.35">
      <c r="A60" s="17" t="s">
        <v>46</v>
      </c>
      <c r="B60" s="17" t="s">
        <v>2741</v>
      </c>
      <c r="C60" s="28" t="s">
        <v>2845</v>
      </c>
      <c r="D60" s="17" t="s">
        <v>2855</v>
      </c>
      <c r="E60" s="17" t="s">
        <v>2856</v>
      </c>
      <c r="F60" s="20">
        <v>104</v>
      </c>
      <c r="G60" s="20">
        <v>31</v>
      </c>
      <c r="H60" s="19">
        <v>150</v>
      </c>
      <c r="I60" s="20">
        <v>78</v>
      </c>
      <c r="J60" s="20">
        <v>72</v>
      </c>
      <c r="K60" s="20">
        <v>27</v>
      </c>
      <c r="L60" s="57">
        <f t="shared" si="2"/>
        <v>0.18</v>
      </c>
      <c r="M60" s="20">
        <v>0</v>
      </c>
      <c r="N60" s="57">
        <f t="shared" si="3"/>
        <v>0</v>
      </c>
      <c r="O60" s="46">
        <v>12</v>
      </c>
      <c r="P60" s="46">
        <v>0</v>
      </c>
      <c r="Q60" s="58" t="s">
        <v>51</v>
      </c>
      <c r="R60" s="58">
        <v>2019</v>
      </c>
      <c r="S60" s="58"/>
      <c r="T60" s="58"/>
      <c r="U60" s="58"/>
      <c r="V60" s="58"/>
      <c r="W60" s="58"/>
      <c r="X60" s="58" t="s">
        <v>51</v>
      </c>
      <c r="Y60" s="58"/>
      <c r="Z60" s="58"/>
      <c r="AA60" s="58"/>
      <c r="AB60" s="58"/>
      <c r="AC60" s="58" t="s">
        <v>51</v>
      </c>
      <c r="AD60" s="58"/>
      <c r="AE60" s="58"/>
      <c r="AF60" s="58"/>
      <c r="AG60" s="58"/>
      <c r="AH60" s="58"/>
      <c r="AI60" s="58"/>
    </row>
    <row r="61" spans="1:35" x14ac:dyDescent="0.35">
      <c r="A61" s="17" t="s">
        <v>46</v>
      </c>
      <c r="B61" s="17" t="s">
        <v>2741</v>
      </c>
      <c r="C61" s="28" t="s">
        <v>2845</v>
      </c>
      <c r="D61" s="17" t="s">
        <v>2857</v>
      </c>
      <c r="E61" s="17" t="s">
        <v>2858</v>
      </c>
      <c r="F61" s="20">
        <v>405</v>
      </c>
      <c r="G61" s="20">
        <v>351</v>
      </c>
      <c r="H61" s="19">
        <v>1461</v>
      </c>
      <c r="I61" s="20">
        <v>721</v>
      </c>
      <c r="J61" s="20">
        <v>740</v>
      </c>
      <c r="K61" s="20">
        <v>256</v>
      </c>
      <c r="L61" s="57">
        <f t="shared" si="2"/>
        <v>0.17522245037645448</v>
      </c>
      <c r="M61" s="20">
        <v>184</v>
      </c>
      <c r="N61" s="57">
        <f t="shared" si="3"/>
        <v>0.12594113620807665</v>
      </c>
      <c r="O61" s="46">
        <v>30</v>
      </c>
      <c r="P61" s="46">
        <v>0</v>
      </c>
      <c r="Q61" s="58" t="s">
        <v>51</v>
      </c>
      <c r="R61" s="58">
        <v>2019</v>
      </c>
      <c r="S61" s="58"/>
      <c r="T61" s="58"/>
      <c r="U61" s="58"/>
      <c r="V61" s="58"/>
      <c r="W61" s="58"/>
      <c r="X61" s="58" t="s">
        <v>51</v>
      </c>
      <c r="Y61" s="58"/>
      <c r="Z61" s="58"/>
      <c r="AA61" s="58"/>
      <c r="AB61" s="58"/>
      <c r="AC61" s="58" t="s">
        <v>51</v>
      </c>
      <c r="AD61" s="58"/>
      <c r="AE61" s="58"/>
      <c r="AF61" s="58"/>
      <c r="AG61" s="58"/>
      <c r="AH61" s="58"/>
      <c r="AI61" s="58"/>
    </row>
    <row r="62" spans="1:35" x14ac:dyDescent="0.35">
      <c r="A62" s="17" t="s">
        <v>46</v>
      </c>
      <c r="B62" s="17" t="s">
        <v>2741</v>
      </c>
      <c r="C62" s="28" t="s">
        <v>2845</v>
      </c>
      <c r="D62" s="17" t="s">
        <v>1426</v>
      </c>
      <c r="E62" s="17" t="s">
        <v>2859</v>
      </c>
      <c r="F62" s="20">
        <v>497</v>
      </c>
      <c r="G62" s="20">
        <v>196</v>
      </c>
      <c r="H62" s="19">
        <v>818</v>
      </c>
      <c r="I62" s="20">
        <v>395</v>
      </c>
      <c r="J62" s="20">
        <v>423</v>
      </c>
      <c r="K62" s="20">
        <v>56</v>
      </c>
      <c r="L62" s="57">
        <f t="shared" si="2"/>
        <v>6.8459657701711488E-2</v>
      </c>
      <c r="M62" s="20">
        <v>123</v>
      </c>
      <c r="N62" s="57">
        <f t="shared" si="3"/>
        <v>0.15036674816625917</v>
      </c>
      <c r="O62" s="46">
        <v>35</v>
      </c>
      <c r="P62" s="46">
        <v>0</v>
      </c>
      <c r="Q62" s="58" t="s">
        <v>51</v>
      </c>
      <c r="R62" s="58">
        <v>2019</v>
      </c>
      <c r="S62" s="58"/>
      <c r="T62" s="58"/>
      <c r="U62" s="58"/>
      <c r="V62" s="58"/>
      <c r="W62" s="58"/>
      <c r="X62" s="58" t="s">
        <v>51</v>
      </c>
      <c r="Y62" s="58"/>
      <c r="Z62" s="58"/>
      <c r="AA62" s="58"/>
      <c r="AB62" s="58"/>
      <c r="AC62" s="58" t="s">
        <v>51</v>
      </c>
      <c r="AD62" s="58"/>
      <c r="AE62" s="58"/>
      <c r="AF62" s="58"/>
      <c r="AG62" s="58"/>
      <c r="AH62" s="58"/>
      <c r="AI62" s="58"/>
    </row>
    <row r="63" spans="1:35" x14ac:dyDescent="0.35">
      <c r="A63" s="17" t="s">
        <v>46</v>
      </c>
      <c r="B63" s="17" t="s">
        <v>2741</v>
      </c>
      <c r="C63" s="28" t="s">
        <v>2838</v>
      </c>
      <c r="D63" s="17" t="s">
        <v>2860</v>
      </c>
      <c r="E63" s="17" t="s">
        <v>2861</v>
      </c>
      <c r="F63" s="28">
        <v>103</v>
      </c>
      <c r="G63" s="47"/>
      <c r="H63" s="19">
        <v>0</v>
      </c>
      <c r="I63" s="47"/>
      <c r="J63" s="47"/>
      <c r="K63" s="47"/>
      <c r="L63" s="57"/>
      <c r="M63" s="47"/>
      <c r="N63" s="57"/>
      <c r="O63" s="48">
        <v>0</v>
      </c>
      <c r="P63" s="48">
        <v>0</v>
      </c>
      <c r="Q63" s="58" t="s">
        <v>112</v>
      </c>
      <c r="R63" s="58"/>
      <c r="S63" s="58"/>
      <c r="T63" s="58"/>
      <c r="U63" s="58"/>
      <c r="V63" s="58"/>
      <c r="W63" s="58"/>
      <c r="X63" s="58" t="s">
        <v>112</v>
      </c>
      <c r="Y63" s="58"/>
      <c r="Z63" s="58"/>
      <c r="AA63" s="58"/>
      <c r="AB63" s="58"/>
      <c r="AC63" s="58" t="s">
        <v>112</v>
      </c>
      <c r="AD63" s="58"/>
      <c r="AE63" s="58"/>
      <c r="AF63" s="58"/>
      <c r="AG63" s="58"/>
      <c r="AH63" s="58"/>
      <c r="AI63" s="58"/>
    </row>
    <row r="64" spans="1:35" x14ac:dyDescent="0.35">
      <c r="A64" s="17" t="s">
        <v>46</v>
      </c>
      <c r="B64" s="17" t="s">
        <v>2741</v>
      </c>
      <c r="C64" s="28" t="s">
        <v>2835</v>
      </c>
      <c r="D64" s="17" t="s">
        <v>2862</v>
      </c>
      <c r="E64" s="17" t="s">
        <v>2863</v>
      </c>
      <c r="F64" s="20">
        <v>79</v>
      </c>
      <c r="G64" s="20">
        <v>125</v>
      </c>
      <c r="H64" s="19">
        <v>544</v>
      </c>
      <c r="I64" s="20">
        <v>274</v>
      </c>
      <c r="J64" s="20">
        <v>270</v>
      </c>
      <c r="K64" s="20">
        <v>0</v>
      </c>
      <c r="L64" s="57">
        <f>K64/H64</f>
        <v>0</v>
      </c>
      <c r="M64" s="20">
        <v>7</v>
      </c>
      <c r="N64" s="57">
        <f>M64/H64</f>
        <v>1.2867647058823529E-2</v>
      </c>
      <c r="O64" s="46">
        <v>15</v>
      </c>
      <c r="P64" s="46">
        <v>0</v>
      </c>
      <c r="Q64" s="58" t="s">
        <v>51</v>
      </c>
      <c r="R64" s="58">
        <v>2019</v>
      </c>
      <c r="S64" s="58"/>
      <c r="T64" s="58"/>
      <c r="U64" s="58"/>
      <c r="V64" s="58"/>
      <c r="W64" s="58"/>
      <c r="X64" s="58" t="s">
        <v>51</v>
      </c>
      <c r="Y64" s="58"/>
      <c r="Z64" s="58"/>
      <c r="AA64" s="58"/>
      <c r="AB64" s="58"/>
      <c r="AC64" s="58" t="s">
        <v>51</v>
      </c>
      <c r="AD64" s="58"/>
      <c r="AE64" s="58"/>
      <c r="AF64" s="58"/>
      <c r="AG64" s="58"/>
      <c r="AH64" s="58"/>
      <c r="AI64" s="58"/>
    </row>
    <row r="65" spans="1:35" x14ac:dyDescent="0.35">
      <c r="A65" s="17" t="s">
        <v>46</v>
      </c>
      <c r="B65" s="17" t="s">
        <v>2741</v>
      </c>
      <c r="C65" s="28" t="s">
        <v>2835</v>
      </c>
      <c r="D65" s="17" t="s">
        <v>579</v>
      </c>
      <c r="E65" s="17" t="s">
        <v>2864</v>
      </c>
      <c r="F65" s="20">
        <v>585</v>
      </c>
      <c r="G65" s="20">
        <v>189</v>
      </c>
      <c r="H65" s="19">
        <v>766</v>
      </c>
      <c r="I65" s="20">
        <v>387</v>
      </c>
      <c r="J65" s="20">
        <v>379</v>
      </c>
      <c r="K65" s="20">
        <v>54</v>
      </c>
      <c r="L65" s="57">
        <f>K65/H65</f>
        <v>7.0496083550913843E-2</v>
      </c>
      <c r="M65" s="20">
        <v>98</v>
      </c>
      <c r="N65" s="57">
        <f>M65/H65</f>
        <v>0.12793733681462141</v>
      </c>
      <c r="O65" s="46">
        <v>0</v>
      </c>
      <c r="P65" s="46">
        <v>0</v>
      </c>
      <c r="Q65" s="58" t="s">
        <v>51</v>
      </c>
      <c r="R65" s="58">
        <v>2021</v>
      </c>
      <c r="S65" s="58"/>
      <c r="T65" s="58"/>
      <c r="U65" s="58"/>
      <c r="V65" s="58"/>
      <c r="W65" s="58"/>
      <c r="X65" s="58" t="s">
        <v>51</v>
      </c>
      <c r="Y65" s="58"/>
      <c r="Z65" s="58"/>
      <c r="AA65" s="58"/>
      <c r="AB65" s="58"/>
      <c r="AC65" s="58" t="s">
        <v>51</v>
      </c>
      <c r="AD65" s="58"/>
      <c r="AE65" s="58"/>
      <c r="AF65" s="58"/>
      <c r="AG65" s="58"/>
      <c r="AH65" s="58"/>
      <c r="AI65" s="58"/>
    </row>
    <row r="66" spans="1:35" x14ac:dyDescent="0.35">
      <c r="A66" s="17" t="s">
        <v>46</v>
      </c>
      <c r="B66" s="17" t="s">
        <v>2741</v>
      </c>
      <c r="C66" s="28" t="s">
        <v>2845</v>
      </c>
      <c r="D66" s="17" t="s">
        <v>404</v>
      </c>
      <c r="E66" s="17" t="s">
        <v>2865</v>
      </c>
      <c r="F66" s="28">
        <v>112</v>
      </c>
      <c r="G66" s="47"/>
      <c r="H66" s="19">
        <v>0</v>
      </c>
      <c r="I66" s="47"/>
      <c r="J66" s="47"/>
      <c r="K66" s="47"/>
      <c r="L66" s="57"/>
      <c r="M66" s="47"/>
      <c r="N66" s="57"/>
      <c r="O66" s="48">
        <v>15</v>
      </c>
      <c r="P66" s="48">
        <v>0</v>
      </c>
      <c r="Q66" s="58" t="s">
        <v>51</v>
      </c>
      <c r="R66" s="58">
        <v>2019</v>
      </c>
      <c r="S66" s="58"/>
      <c r="T66" s="58"/>
      <c r="U66" s="58"/>
      <c r="V66" s="58"/>
      <c r="W66" s="58"/>
      <c r="X66" s="58" t="s">
        <v>51</v>
      </c>
      <c r="Y66" s="58"/>
      <c r="Z66" s="58"/>
      <c r="AA66" s="58"/>
      <c r="AB66" s="58"/>
      <c r="AC66" s="58" t="s">
        <v>51</v>
      </c>
      <c r="AD66" s="58"/>
      <c r="AE66" s="58"/>
      <c r="AF66" s="58"/>
      <c r="AG66" s="58"/>
      <c r="AH66" s="58"/>
      <c r="AI66" s="58"/>
    </row>
    <row r="67" spans="1:35" x14ac:dyDescent="0.35">
      <c r="A67" s="17" t="s">
        <v>46</v>
      </c>
      <c r="B67" s="17" t="s">
        <v>2741</v>
      </c>
      <c r="C67" s="28" t="s">
        <v>2835</v>
      </c>
      <c r="D67" s="17" t="s">
        <v>2866</v>
      </c>
      <c r="E67" s="17" t="s">
        <v>2867</v>
      </c>
      <c r="F67" s="20">
        <v>574</v>
      </c>
      <c r="G67" s="20">
        <v>246</v>
      </c>
      <c r="H67" s="19">
        <v>1033</v>
      </c>
      <c r="I67" s="20">
        <v>532</v>
      </c>
      <c r="J67" s="20">
        <v>501</v>
      </c>
      <c r="K67" s="20">
        <v>311</v>
      </c>
      <c r="L67" s="57">
        <f t="shared" ref="L67:L114" si="4">K67/H67</f>
        <v>0.30106485963213941</v>
      </c>
      <c r="M67" s="20">
        <v>4</v>
      </c>
      <c r="N67" s="57">
        <f t="shared" ref="N67:N114" si="5">M67/H67</f>
        <v>3.8722168441432721E-3</v>
      </c>
      <c r="O67" s="46">
        <v>61</v>
      </c>
      <c r="P67" s="46">
        <v>0</v>
      </c>
      <c r="Q67" s="58" t="s">
        <v>51</v>
      </c>
      <c r="R67" s="58">
        <v>2019</v>
      </c>
      <c r="S67" s="58"/>
      <c r="T67" s="58"/>
      <c r="U67" s="58"/>
      <c r="V67" s="58"/>
      <c r="W67" s="58"/>
      <c r="X67" s="58" t="s">
        <v>51</v>
      </c>
      <c r="Y67" s="58"/>
      <c r="Z67" s="58"/>
      <c r="AA67" s="58"/>
      <c r="AB67" s="58"/>
      <c r="AC67" s="58" t="s">
        <v>51</v>
      </c>
      <c r="AD67" s="58"/>
      <c r="AE67" s="58"/>
      <c r="AF67" s="58"/>
      <c r="AG67" s="58"/>
      <c r="AH67" s="58"/>
      <c r="AI67" s="58"/>
    </row>
    <row r="68" spans="1:35" x14ac:dyDescent="0.35">
      <c r="A68" s="17" t="s">
        <v>46</v>
      </c>
      <c r="B68" s="17" t="s">
        <v>2741</v>
      </c>
      <c r="C68" s="28" t="s">
        <v>2821</v>
      </c>
      <c r="D68" s="17" t="s">
        <v>1390</v>
      </c>
      <c r="E68" s="17" t="s">
        <v>2868</v>
      </c>
      <c r="F68" s="20">
        <v>357</v>
      </c>
      <c r="G68" s="20">
        <v>198</v>
      </c>
      <c r="H68" s="19">
        <v>773</v>
      </c>
      <c r="I68" s="20">
        <v>391</v>
      </c>
      <c r="J68" s="20">
        <v>382</v>
      </c>
      <c r="K68" s="20">
        <v>253</v>
      </c>
      <c r="L68" s="57">
        <f t="shared" si="4"/>
        <v>0.32729624838292365</v>
      </c>
      <c r="M68" s="20">
        <v>43</v>
      </c>
      <c r="N68" s="57">
        <f t="shared" si="5"/>
        <v>5.5627425614489003E-2</v>
      </c>
      <c r="O68" s="46">
        <v>36</v>
      </c>
      <c r="P68" s="46">
        <v>0</v>
      </c>
      <c r="Q68" s="58" t="s">
        <v>51</v>
      </c>
      <c r="R68" s="58">
        <v>2020</v>
      </c>
      <c r="S68" s="58"/>
      <c r="T68" s="58"/>
      <c r="U68" s="58"/>
      <c r="V68" s="58"/>
      <c r="W68" s="58"/>
      <c r="X68" s="58" t="s">
        <v>51</v>
      </c>
      <c r="Y68" s="58"/>
      <c r="Z68" s="58"/>
      <c r="AA68" s="58"/>
      <c r="AB68" s="58"/>
      <c r="AC68" s="58" t="s">
        <v>51</v>
      </c>
      <c r="AD68" s="58"/>
      <c r="AE68" s="58"/>
      <c r="AF68" s="58"/>
      <c r="AG68" s="58"/>
      <c r="AH68" s="58"/>
      <c r="AI68" s="58"/>
    </row>
    <row r="69" spans="1:35" x14ac:dyDescent="0.35">
      <c r="A69" s="17" t="s">
        <v>46</v>
      </c>
      <c r="B69" s="17" t="s">
        <v>2741</v>
      </c>
      <c r="C69" s="28" t="s">
        <v>2821</v>
      </c>
      <c r="D69" s="17" t="s">
        <v>2869</v>
      </c>
      <c r="E69" s="17" t="s">
        <v>2870</v>
      </c>
      <c r="F69" s="20">
        <v>218</v>
      </c>
      <c r="G69" s="20">
        <v>62</v>
      </c>
      <c r="H69" s="19">
        <v>292</v>
      </c>
      <c r="I69" s="20">
        <v>137</v>
      </c>
      <c r="J69" s="20">
        <v>155</v>
      </c>
      <c r="K69" s="20">
        <v>36</v>
      </c>
      <c r="L69" s="57">
        <f t="shared" si="4"/>
        <v>0.12328767123287671</v>
      </c>
      <c r="M69" s="20">
        <v>27</v>
      </c>
      <c r="N69" s="57">
        <f t="shared" si="5"/>
        <v>9.2465753424657529E-2</v>
      </c>
      <c r="O69" s="46">
        <v>41</v>
      </c>
      <c r="P69" s="46">
        <v>0</v>
      </c>
      <c r="Q69" s="58" t="s">
        <v>51</v>
      </c>
      <c r="R69" s="58">
        <v>2020</v>
      </c>
      <c r="S69" s="58"/>
      <c r="T69" s="58"/>
      <c r="U69" s="58"/>
      <c r="V69" s="58"/>
      <c r="W69" s="58"/>
      <c r="X69" s="58" t="s">
        <v>51</v>
      </c>
      <c r="Y69" s="58"/>
      <c r="Z69" s="58"/>
      <c r="AA69" s="58"/>
      <c r="AB69" s="58"/>
      <c r="AC69" s="58" t="s">
        <v>51</v>
      </c>
      <c r="AD69" s="58"/>
      <c r="AE69" s="58"/>
      <c r="AF69" s="58"/>
      <c r="AG69" s="58"/>
      <c r="AH69" s="58"/>
      <c r="AI69" s="58"/>
    </row>
    <row r="70" spans="1:35" x14ac:dyDescent="0.35">
      <c r="A70" s="17" t="s">
        <v>46</v>
      </c>
      <c r="B70" s="17" t="s">
        <v>2741</v>
      </c>
      <c r="C70" s="28" t="s">
        <v>1838</v>
      </c>
      <c r="D70" s="17" t="s">
        <v>2871</v>
      </c>
      <c r="E70" s="17" t="s">
        <v>2872</v>
      </c>
      <c r="F70" s="20">
        <v>469</v>
      </c>
      <c r="G70" s="20">
        <v>114</v>
      </c>
      <c r="H70" s="19">
        <v>427</v>
      </c>
      <c r="I70" s="20">
        <v>208</v>
      </c>
      <c r="J70" s="20">
        <v>219</v>
      </c>
      <c r="K70" s="20">
        <v>126</v>
      </c>
      <c r="L70" s="57">
        <f t="shared" si="4"/>
        <v>0.29508196721311475</v>
      </c>
      <c r="M70" s="20">
        <v>30</v>
      </c>
      <c r="N70" s="57">
        <f t="shared" si="5"/>
        <v>7.0257611241217793E-2</v>
      </c>
      <c r="O70" s="46">
        <v>44</v>
      </c>
      <c r="P70" s="46">
        <v>104</v>
      </c>
      <c r="Q70" s="58" t="s">
        <v>51</v>
      </c>
      <c r="R70" s="58">
        <v>2020</v>
      </c>
      <c r="S70" s="58"/>
      <c r="T70" s="58"/>
      <c r="U70" s="58"/>
      <c r="V70" s="58"/>
      <c r="W70" s="58"/>
      <c r="X70" s="58" t="s">
        <v>51</v>
      </c>
      <c r="Y70" s="58"/>
      <c r="Z70" s="58"/>
      <c r="AA70" s="58"/>
      <c r="AB70" s="58"/>
      <c r="AC70" s="58" t="s">
        <v>51</v>
      </c>
      <c r="AD70" s="58"/>
      <c r="AE70" s="58"/>
      <c r="AF70" s="58"/>
      <c r="AG70" s="58"/>
      <c r="AH70" s="58"/>
      <c r="AI70" s="58"/>
    </row>
    <row r="71" spans="1:35" x14ac:dyDescent="0.35">
      <c r="A71" s="17" t="s">
        <v>46</v>
      </c>
      <c r="B71" s="17" t="s">
        <v>2741</v>
      </c>
      <c r="C71" s="28" t="s">
        <v>1779</v>
      </c>
      <c r="D71" s="17" t="s">
        <v>465</v>
      </c>
      <c r="E71" s="17" t="s">
        <v>2873</v>
      </c>
      <c r="F71" s="20">
        <v>320</v>
      </c>
      <c r="G71" s="20">
        <v>104</v>
      </c>
      <c r="H71" s="19">
        <v>467</v>
      </c>
      <c r="I71" s="20">
        <v>256</v>
      </c>
      <c r="J71" s="20">
        <v>211</v>
      </c>
      <c r="K71" s="20">
        <v>113</v>
      </c>
      <c r="L71" s="57">
        <f t="shared" si="4"/>
        <v>0.24197002141327623</v>
      </c>
      <c r="M71" s="20">
        <v>88</v>
      </c>
      <c r="N71" s="57">
        <f t="shared" si="5"/>
        <v>0.18843683083511778</v>
      </c>
      <c r="O71" s="46">
        <v>40</v>
      </c>
      <c r="P71" s="46">
        <v>0</v>
      </c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</row>
    <row r="72" spans="1:35" x14ac:dyDescent="0.35">
      <c r="A72" s="17" t="s">
        <v>46</v>
      </c>
      <c r="B72" s="17" t="s">
        <v>2741</v>
      </c>
      <c r="C72" s="28" t="s">
        <v>1838</v>
      </c>
      <c r="D72" s="17" t="s">
        <v>680</v>
      </c>
      <c r="E72" s="17" t="s">
        <v>2874</v>
      </c>
      <c r="F72" s="20">
        <v>204</v>
      </c>
      <c r="G72" s="20">
        <v>53</v>
      </c>
      <c r="H72" s="19">
        <v>267</v>
      </c>
      <c r="I72" s="20">
        <v>144</v>
      </c>
      <c r="J72" s="20">
        <v>123</v>
      </c>
      <c r="K72" s="20">
        <v>49</v>
      </c>
      <c r="L72" s="57">
        <f t="shared" si="4"/>
        <v>0.18352059925093633</v>
      </c>
      <c r="M72" s="20">
        <v>47</v>
      </c>
      <c r="N72" s="57">
        <f t="shared" si="5"/>
        <v>0.17602996254681649</v>
      </c>
      <c r="O72" s="46">
        <v>32</v>
      </c>
      <c r="P72" s="46">
        <v>0</v>
      </c>
      <c r="Q72" s="58" t="s">
        <v>562</v>
      </c>
      <c r="R72" s="58"/>
      <c r="S72" s="58"/>
      <c r="T72" s="58"/>
      <c r="U72" s="58"/>
      <c r="V72" s="58"/>
      <c r="W72" s="58"/>
      <c r="X72" s="58" t="s">
        <v>562</v>
      </c>
      <c r="Y72" s="58"/>
      <c r="Z72" s="58"/>
      <c r="AA72" s="58"/>
      <c r="AB72" s="58"/>
      <c r="AC72" s="58" t="s">
        <v>562</v>
      </c>
      <c r="AD72" s="58"/>
      <c r="AE72" s="58"/>
      <c r="AF72" s="58"/>
      <c r="AG72" s="58"/>
      <c r="AH72" s="58"/>
      <c r="AI72" s="58"/>
    </row>
    <row r="73" spans="1:35" x14ac:dyDescent="0.35">
      <c r="A73" s="17" t="s">
        <v>46</v>
      </c>
      <c r="B73" s="17" t="s">
        <v>2741</v>
      </c>
      <c r="C73" s="28" t="s">
        <v>2800</v>
      </c>
      <c r="D73" s="17" t="s">
        <v>2875</v>
      </c>
      <c r="E73" s="17" t="s">
        <v>2876</v>
      </c>
      <c r="F73" s="20">
        <v>554</v>
      </c>
      <c r="G73" s="20">
        <v>241</v>
      </c>
      <c r="H73" s="19">
        <v>1143</v>
      </c>
      <c r="I73" s="20">
        <v>562</v>
      </c>
      <c r="J73" s="20">
        <v>581</v>
      </c>
      <c r="K73" s="20">
        <v>360</v>
      </c>
      <c r="L73" s="57">
        <f t="shared" si="4"/>
        <v>0.31496062992125984</v>
      </c>
      <c r="M73" s="20">
        <v>197</v>
      </c>
      <c r="N73" s="57">
        <f t="shared" si="5"/>
        <v>0.17235345581802275</v>
      </c>
      <c r="O73" s="46">
        <v>79</v>
      </c>
      <c r="P73" s="46">
        <v>0</v>
      </c>
      <c r="Q73" s="58" t="s">
        <v>51</v>
      </c>
      <c r="R73" s="58">
        <v>2020</v>
      </c>
      <c r="S73" s="58"/>
      <c r="T73" s="58"/>
      <c r="U73" s="58"/>
      <c r="V73" s="58"/>
      <c r="W73" s="58"/>
      <c r="X73" s="58" t="s">
        <v>51</v>
      </c>
      <c r="Y73" s="58"/>
      <c r="Z73" s="58"/>
      <c r="AA73" s="58"/>
      <c r="AB73" s="58"/>
      <c r="AC73" s="58" t="s">
        <v>51</v>
      </c>
      <c r="AD73" s="58"/>
      <c r="AE73" s="58"/>
      <c r="AF73" s="58"/>
      <c r="AG73" s="58"/>
      <c r="AH73" s="58"/>
      <c r="AI73" s="58"/>
    </row>
    <row r="74" spans="1:35" x14ac:dyDescent="0.35">
      <c r="A74" s="17" t="s">
        <v>46</v>
      </c>
      <c r="B74" s="17" t="s">
        <v>2741</v>
      </c>
      <c r="C74" s="28" t="s">
        <v>2800</v>
      </c>
      <c r="D74" s="17" t="s">
        <v>310</v>
      </c>
      <c r="E74" s="17" t="s">
        <v>2877</v>
      </c>
      <c r="F74" s="20">
        <v>131</v>
      </c>
      <c r="G74" s="20">
        <v>40</v>
      </c>
      <c r="H74" s="19">
        <v>173</v>
      </c>
      <c r="I74" s="20">
        <v>97</v>
      </c>
      <c r="J74" s="20">
        <v>76</v>
      </c>
      <c r="K74" s="20">
        <v>88</v>
      </c>
      <c r="L74" s="57">
        <f t="shared" si="4"/>
        <v>0.50867052023121384</v>
      </c>
      <c r="M74" s="20">
        <v>0</v>
      </c>
      <c r="N74" s="57">
        <f t="shared" si="5"/>
        <v>0</v>
      </c>
      <c r="O74" s="46">
        <v>7</v>
      </c>
      <c r="P74" s="46">
        <v>0</v>
      </c>
      <c r="Q74" s="58" t="s">
        <v>51</v>
      </c>
      <c r="R74" s="58">
        <v>2020</v>
      </c>
      <c r="S74" s="58"/>
      <c r="T74" s="58"/>
      <c r="U74" s="58"/>
      <c r="V74" s="58"/>
      <c r="W74" s="58"/>
      <c r="X74" s="58" t="s">
        <v>51</v>
      </c>
      <c r="Y74" s="58"/>
      <c r="Z74" s="58"/>
      <c r="AA74" s="58"/>
      <c r="AB74" s="58"/>
      <c r="AC74" s="58" t="s">
        <v>51</v>
      </c>
      <c r="AD74" s="58"/>
      <c r="AE74" s="58"/>
      <c r="AF74" s="58"/>
      <c r="AG74" s="58"/>
      <c r="AH74" s="58"/>
      <c r="AI74" s="58"/>
    </row>
    <row r="75" spans="1:35" x14ac:dyDescent="0.35">
      <c r="A75" s="17" t="s">
        <v>46</v>
      </c>
      <c r="B75" s="17" t="s">
        <v>2741</v>
      </c>
      <c r="C75" s="28" t="s">
        <v>1838</v>
      </c>
      <c r="D75" s="17" t="s">
        <v>162</v>
      </c>
      <c r="E75" s="17" t="s">
        <v>2878</v>
      </c>
      <c r="F75" s="20">
        <v>246.47</v>
      </c>
      <c r="G75" s="20">
        <v>99</v>
      </c>
      <c r="H75" s="19">
        <v>409</v>
      </c>
      <c r="I75" s="20">
        <v>197</v>
      </c>
      <c r="J75" s="20">
        <v>212</v>
      </c>
      <c r="K75" s="20">
        <v>117</v>
      </c>
      <c r="L75" s="57">
        <f t="shared" si="4"/>
        <v>0.28606356968215157</v>
      </c>
      <c r="M75" s="20">
        <v>36</v>
      </c>
      <c r="N75" s="57">
        <f t="shared" si="5"/>
        <v>8.8019559902200492E-2</v>
      </c>
      <c r="O75" s="46">
        <v>34.31</v>
      </c>
      <c r="P75" s="46">
        <v>0</v>
      </c>
      <c r="Q75" s="58" t="s">
        <v>51</v>
      </c>
      <c r="R75" s="58">
        <v>2019</v>
      </c>
      <c r="S75" s="58"/>
      <c r="T75" s="58"/>
      <c r="U75" s="58"/>
      <c r="V75" s="58"/>
      <c r="W75" s="58"/>
      <c r="X75" s="58" t="s">
        <v>51</v>
      </c>
      <c r="Y75" s="58"/>
      <c r="Z75" s="58"/>
      <c r="AA75" s="58"/>
      <c r="AB75" s="58"/>
      <c r="AC75" s="58" t="s">
        <v>51</v>
      </c>
      <c r="AD75" s="58"/>
      <c r="AE75" s="58"/>
      <c r="AF75" s="58"/>
      <c r="AG75" s="58"/>
      <c r="AH75" s="58"/>
      <c r="AI75" s="58"/>
    </row>
    <row r="76" spans="1:35" x14ac:dyDescent="0.35">
      <c r="A76" s="17" t="s">
        <v>46</v>
      </c>
      <c r="B76" s="17" t="s">
        <v>2741</v>
      </c>
      <c r="C76" s="28" t="s">
        <v>2879</v>
      </c>
      <c r="D76" s="17" t="s">
        <v>2880</v>
      </c>
      <c r="E76" s="17" t="s">
        <v>2881</v>
      </c>
      <c r="F76" s="20">
        <v>324</v>
      </c>
      <c r="G76" s="20">
        <v>236</v>
      </c>
      <c r="H76" s="19">
        <v>1195</v>
      </c>
      <c r="I76" s="20">
        <v>593</v>
      </c>
      <c r="J76" s="20">
        <v>602</v>
      </c>
      <c r="K76" s="20">
        <v>413</v>
      </c>
      <c r="L76" s="57">
        <f t="shared" si="4"/>
        <v>0.34560669456066945</v>
      </c>
      <c r="M76" s="20">
        <v>54</v>
      </c>
      <c r="N76" s="57">
        <f t="shared" si="5"/>
        <v>4.5188284518828455E-2</v>
      </c>
      <c r="O76" s="46">
        <v>60</v>
      </c>
      <c r="P76" s="46">
        <v>0</v>
      </c>
      <c r="Q76" s="58" t="s">
        <v>51</v>
      </c>
      <c r="R76" s="58">
        <v>2020</v>
      </c>
      <c r="S76" s="58"/>
      <c r="T76" s="58"/>
      <c r="U76" s="58"/>
      <c r="V76" s="58"/>
      <c r="W76" s="58"/>
      <c r="X76" s="58" t="s">
        <v>51</v>
      </c>
      <c r="Y76" s="58"/>
      <c r="Z76" s="58"/>
      <c r="AA76" s="58"/>
      <c r="AB76" s="58"/>
      <c r="AC76" s="58" t="s">
        <v>51</v>
      </c>
      <c r="AD76" s="58"/>
      <c r="AE76" s="58"/>
      <c r="AF76" s="58"/>
      <c r="AG76" s="58"/>
      <c r="AH76" s="58"/>
      <c r="AI76" s="58"/>
    </row>
    <row r="77" spans="1:35" x14ac:dyDescent="0.35">
      <c r="A77" s="17" t="s">
        <v>46</v>
      </c>
      <c r="B77" s="17" t="s">
        <v>2741</v>
      </c>
      <c r="C77" s="28" t="s">
        <v>2879</v>
      </c>
      <c r="D77" s="17" t="s">
        <v>2882</v>
      </c>
      <c r="E77" s="17" t="s">
        <v>2883</v>
      </c>
      <c r="F77" s="20">
        <v>331</v>
      </c>
      <c r="G77" s="20">
        <v>92</v>
      </c>
      <c r="H77" s="19">
        <v>411</v>
      </c>
      <c r="I77" s="20">
        <v>193</v>
      </c>
      <c r="J77" s="20">
        <v>218</v>
      </c>
      <c r="K77" s="20">
        <v>96</v>
      </c>
      <c r="L77" s="57">
        <f t="shared" si="4"/>
        <v>0.23357664233576642</v>
      </c>
      <c r="M77" s="20">
        <v>41</v>
      </c>
      <c r="N77" s="57">
        <f t="shared" si="5"/>
        <v>9.9756690997566913E-2</v>
      </c>
      <c r="O77" s="46">
        <v>63</v>
      </c>
      <c r="P77" s="46">
        <v>0</v>
      </c>
      <c r="Q77" s="58" t="s">
        <v>51</v>
      </c>
      <c r="R77" s="58">
        <v>2020</v>
      </c>
      <c r="S77" s="58"/>
      <c r="T77" s="58"/>
      <c r="U77" s="58"/>
      <c r="V77" s="58"/>
      <c r="W77" s="58"/>
      <c r="X77" s="58" t="s">
        <v>51</v>
      </c>
      <c r="Y77" s="58"/>
      <c r="Z77" s="58"/>
      <c r="AA77" s="58"/>
      <c r="AB77" s="58"/>
      <c r="AC77" s="58" t="s">
        <v>51</v>
      </c>
      <c r="AD77" s="58"/>
      <c r="AE77" s="58"/>
      <c r="AF77" s="58"/>
      <c r="AG77" s="58"/>
      <c r="AH77" s="58"/>
      <c r="AI77" s="58"/>
    </row>
    <row r="78" spans="1:35" x14ac:dyDescent="0.35">
      <c r="A78" s="17" t="s">
        <v>46</v>
      </c>
      <c r="B78" s="17" t="s">
        <v>2741</v>
      </c>
      <c r="C78" s="28" t="s">
        <v>2884</v>
      </c>
      <c r="D78" s="17" t="s">
        <v>151</v>
      </c>
      <c r="E78" s="17" t="s">
        <v>2885</v>
      </c>
      <c r="F78" s="20">
        <v>80</v>
      </c>
      <c r="G78" s="20">
        <v>28</v>
      </c>
      <c r="H78" s="19">
        <v>147</v>
      </c>
      <c r="I78" s="20">
        <v>66</v>
      </c>
      <c r="J78" s="20">
        <v>81</v>
      </c>
      <c r="K78" s="20">
        <v>78</v>
      </c>
      <c r="L78" s="57">
        <f t="shared" si="4"/>
        <v>0.53061224489795922</v>
      </c>
      <c r="M78" s="20">
        <v>0</v>
      </c>
      <c r="N78" s="57">
        <f t="shared" si="5"/>
        <v>0</v>
      </c>
      <c r="O78" s="46">
        <v>8</v>
      </c>
      <c r="P78" s="46">
        <v>0</v>
      </c>
      <c r="Q78" s="58" t="s">
        <v>51</v>
      </c>
      <c r="R78" s="58">
        <v>2020</v>
      </c>
      <c r="S78" s="58"/>
      <c r="T78" s="58"/>
      <c r="U78" s="58"/>
      <c r="V78" s="58"/>
      <c r="W78" s="58"/>
      <c r="X78" s="58" t="s">
        <v>51</v>
      </c>
      <c r="Y78" s="58"/>
      <c r="Z78" s="58"/>
      <c r="AA78" s="58"/>
      <c r="AB78" s="58"/>
      <c r="AC78" s="58" t="s">
        <v>51</v>
      </c>
      <c r="AD78" s="58"/>
      <c r="AE78" s="58"/>
      <c r="AF78" s="58"/>
      <c r="AG78" s="58"/>
      <c r="AH78" s="58"/>
      <c r="AI78" s="58"/>
    </row>
    <row r="79" spans="1:35" x14ac:dyDescent="0.35">
      <c r="A79" s="17" t="s">
        <v>46</v>
      </c>
      <c r="B79" s="17" t="s">
        <v>2741</v>
      </c>
      <c r="C79" s="28" t="s">
        <v>2879</v>
      </c>
      <c r="D79" s="17" t="s">
        <v>2886</v>
      </c>
      <c r="E79" s="17" t="s">
        <v>2887</v>
      </c>
      <c r="F79" s="20">
        <v>658</v>
      </c>
      <c r="G79" s="20">
        <v>371</v>
      </c>
      <c r="H79" s="19">
        <v>1597</v>
      </c>
      <c r="I79" s="20">
        <v>796</v>
      </c>
      <c r="J79" s="20">
        <v>801</v>
      </c>
      <c r="K79" s="20">
        <v>337</v>
      </c>
      <c r="L79" s="57">
        <f t="shared" si="4"/>
        <v>0.21102066374452097</v>
      </c>
      <c r="M79" s="20">
        <v>97</v>
      </c>
      <c r="N79" s="57">
        <f t="shared" si="5"/>
        <v>6.0738885410144022E-2</v>
      </c>
      <c r="O79" s="46">
        <v>60</v>
      </c>
      <c r="P79" s="46">
        <v>0</v>
      </c>
      <c r="Q79" s="58" t="s">
        <v>51</v>
      </c>
      <c r="R79" s="58">
        <v>2020</v>
      </c>
      <c r="S79" s="58"/>
      <c r="T79" s="58"/>
      <c r="U79" s="58"/>
      <c r="V79" s="58"/>
      <c r="W79" s="58"/>
      <c r="X79" s="58" t="s">
        <v>51</v>
      </c>
      <c r="Y79" s="58"/>
      <c r="Z79" s="58"/>
      <c r="AA79" s="58"/>
      <c r="AB79" s="58"/>
      <c r="AC79" s="58" t="s">
        <v>51</v>
      </c>
      <c r="AD79" s="58"/>
      <c r="AE79" s="58"/>
      <c r="AF79" s="58"/>
      <c r="AG79" s="58"/>
      <c r="AH79" s="58"/>
      <c r="AI79" s="58"/>
    </row>
    <row r="80" spans="1:35" x14ac:dyDescent="0.35">
      <c r="A80" s="17" t="s">
        <v>46</v>
      </c>
      <c r="B80" s="17" t="s">
        <v>2741</v>
      </c>
      <c r="C80" s="28" t="s">
        <v>2879</v>
      </c>
      <c r="D80" s="17" t="s">
        <v>2888</v>
      </c>
      <c r="E80" s="17" t="s">
        <v>2889</v>
      </c>
      <c r="F80" s="20">
        <v>374</v>
      </c>
      <c r="G80" s="20">
        <v>188</v>
      </c>
      <c r="H80" s="19">
        <v>802</v>
      </c>
      <c r="I80" s="20">
        <v>410</v>
      </c>
      <c r="J80" s="20">
        <v>392</v>
      </c>
      <c r="K80" s="20">
        <v>187</v>
      </c>
      <c r="L80" s="57">
        <f t="shared" si="4"/>
        <v>0.23316708229426433</v>
      </c>
      <c r="M80" s="20">
        <v>214</v>
      </c>
      <c r="N80" s="57">
        <f t="shared" si="5"/>
        <v>0.26683291770573564</v>
      </c>
      <c r="O80" s="46">
        <v>42</v>
      </c>
      <c r="P80" s="46">
        <v>0</v>
      </c>
      <c r="Q80" s="58" t="s">
        <v>51</v>
      </c>
      <c r="R80" s="58">
        <v>2020</v>
      </c>
      <c r="S80" s="58"/>
      <c r="T80" s="58"/>
      <c r="U80" s="58"/>
      <c r="V80" s="58"/>
      <c r="W80" s="58"/>
      <c r="X80" s="58" t="s">
        <v>51</v>
      </c>
      <c r="Y80" s="58"/>
      <c r="Z80" s="58"/>
      <c r="AA80" s="58"/>
      <c r="AB80" s="58"/>
      <c r="AC80" s="58" t="s">
        <v>51</v>
      </c>
      <c r="AD80" s="58"/>
      <c r="AE80" s="58"/>
      <c r="AF80" s="58"/>
      <c r="AG80" s="58"/>
      <c r="AH80" s="58"/>
      <c r="AI80" s="58"/>
    </row>
    <row r="81" spans="1:35" x14ac:dyDescent="0.35">
      <c r="A81" s="17" t="s">
        <v>46</v>
      </c>
      <c r="B81" s="17" t="s">
        <v>2741</v>
      </c>
      <c r="C81" s="28" t="s">
        <v>2879</v>
      </c>
      <c r="D81" s="17" t="s">
        <v>2890</v>
      </c>
      <c r="E81" s="17" t="s">
        <v>2891</v>
      </c>
      <c r="F81" s="20">
        <v>42</v>
      </c>
      <c r="G81" s="20">
        <v>20</v>
      </c>
      <c r="H81" s="19">
        <v>97</v>
      </c>
      <c r="I81" s="20">
        <v>53</v>
      </c>
      <c r="J81" s="20">
        <v>44</v>
      </c>
      <c r="K81" s="20">
        <v>2</v>
      </c>
      <c r="L81" s="57">
        <f t="shared" si="4"/>
        <v>2.0618556701030927E-2</v>
      </c>
      <c r="M81" s="20">
        <v>0</v>
      </c>
      <c r="N81" s="57">
        <f t="shared" si="5"/>
        <v>0</v>
      </c>
      <c r="O81" s="46">
        <v>0</v>
      </c>
      <c r="P81" s="46">
        <v>0</v>
      </c>
      <c r="Q81" s="58" t="s">
        <v>51</v>
      </c>
      <c r="R81" s="58">
        <v>2020</v>
      </c>
      <c r="S81" s="58"/>
      <c r="T81" s="58"/>
      <c r="U81" s="58"/>
      <c r="V81" s="58"/>
      <c r="W81" s="58"/>
      <c r="X81" s="58" t="s">
        <v>51</v>
      </c>
      <c r="Y81" s="58"/>
      <c r="Z81" s="58"/>
      <c r="AA81" s="58"/>
      <c r="AB81" s="58"/>
      <c r="AC81" s="58" t="s">
        <v>51</v>
      </c>
      <c r="AD81" s="58"/>
      <c r="AE81" s="58"/>
      <c r="AF81" s="58"/>
      <c r="AG81" s="58"/>
      <c r="AH81" s="58"/>
      <c r="AI81" s="58"/>
    </row>
    <row r="82" spans="1:35" x14ac:dyDescent="0.35">
      <c r="A82" s="17" t="s">
        <v>46</v>
      </c>
      <c r="B82" s="17" t="s">
        <v>2741</v>
      </c>
      <c r="C82" s="28" t="s">
        <v>2879</v>
      </c>
      <c r="D82" s="17" t="s">
        <v>2892</v>
      </c>
      <c r="E82" s="17" t="s">
        <v>2893</v>
      </c>
      <c r="F82" s="20">
        <v>577</v>
      </c>
      <c r="G82" s="20">
        <v>180</v>
      </c>
      <c r="H82" s="19">
        <v>799</v>
      </c>
      <c r="I82" s="20">
        <v>389</v>
      </c>
      <c r="J82" s="20">
        <v>410</v>
      </c>
      <c r="K82" s="20">
        <v>142</v>
      </c>
      <c r="L82" s="57">
        <f t="shared" si="4"/>
        <v>0.17772215269086358</v>
      </c>
      <c r="M82" s="20">
        <v>0</v>
      </c>
      <c r="N82" s="57">
        <f t="shared" si="5"/>
        <v>0</v>
      </c>
      <c r="O82" s="46">
        <v>49</v>
      </c>
      <c r="P82" s="46">
        <v>0</v>
      </c>
      <c r="Q82" s="58" t="s">
        <v>51</v>
      </c>
      <c r="R82" s="58">
        <v>2019</v>
      </c>
      <c r="S82" s="58"/>
      <c r="T82" s="58"/>
      <c r="U82" s="58"/>
      <c r="V82" s="58"/>
      <c r="W82" s="58"/>
      <c r="X82" s="58" t="s">
        <v>51</v>
      </c>
      <c r="Y82" s="58"/>
      <c r="Z82" s="58"/>
      <c r="AA82" s="58"/>
      <c r="AB82" s="58"/>
      <c r="AC82" s="58" t="s">
        <v>51</v>
      </c>
      <c r="AD82" s="58"/>
      <c r="AE82" s="58"/>
      <c r="AF82" s="58"/>
      <c r="AG82" s="58"/>
      <c r="AH82" s="58"/>
      <c r="AI82" s="58"/>
    </row>
    <row r="83" spans="1:35" x14ac:dyDescent="0.35">
      <c r="A83" s="17" t="s">
        <v>46</v>
      </c>
      <c r="B83" s="17" t="s">
        <v>2741</v>
      </c>
      <c r="C83" s="28" t="s">
        <v>2879</v>
      </c>
      <c r="D83" s="17" t="s">
        <v>2894</v>
      </c>
      <c r="E83" s="17" t="s">
        <v>2895</v>
      </c>
      <c r="F83" s="20">
        <v>126</v>
      </c>
      <c r="G83" s="20">
        <v>67</v>
      </c>
      <c r="H83" s="19">
        <v>304</v>
      </c>
      <c r="I83" s="20">
        <v>151</v>
      </c>
      <c r="J83" s="20">
        <v>153</v>
      </c>
      <c r="K83" s="20">
        <v>6</v>
      </c>
      <c r="L83" s="57">
        <f t="shared" si="4"/>
        <v>1.9736842105263157E-2</v>
      </c>
      <c r="M83" s="20">
        <v>45</v>
      </c>
      <c r="N83" s="57">
        <f t="shared" si="5"/>
        <v>0.14802631578947367</v>
      </c>
      <c r="O83" s="46">
        <v>20</v>
      </c>
      <c r="P83" s="46">
        <v>0</v>
      </c>
      <c r="Q83" s="58" t="s">
        <v>51</v>
      </c>
      <c r="R83" s="58">
        <v>2019</v>
      </c>
      <c r="S83" s="58"/>
      <c r="T83" s="58"/>
      <c r="U83" s="58"/>
      <c r="V83" s="58"/>
      <c r="W83" s="58"/>
      <c r="X83" s="58" t="s">
        <v>51</v>
      </c>
      <c r="Y83" s="58"/>
      <c r="Z83" s="58"/>
      <c r="AA83" s="58"/>
      <c r="AB83" s="58"/>
      <c r="AC83" s="58" t="s">
        <v>51</v>
      </c>
      <c r="AD83" s="58"/>
      <c r="AE83" s="58"/>
      <c r="AF83" s="58"/>
      <c r="AG83" s="58"/>
      <c r="AH83" s="58"/>
      <c r="AI83" s="58"/>
    </row>
    <row r="84" spans="1:35" x14ac:dyDescent="0.35">
      <c r="A84" s="17" t="s">
        <v>46</v>
      </c>
      <c r="B84" s="17" t="s">
        <v>2741</v>
      </c>
      <c r="C84" s="28" t="s">
        <v>2884</v>
      </c>
      <c r="D84" s="17" t="s">
        <v>2896</v>
      </c>
      <c r="E84" s="17" t="s">
        <v>2897</v>
      </c>
      <c r="F84" s="20">
        <v>490</v>
      </c>
      <c r="G84" s="20">
        <v>350</v>
      </c>
      <c r="H84" s="19">
        <v>1671</v>
      </c>
      <c r="I84" s="20">
        <v>862</v>
      </c>
      <c r="J84" s="20">
        <v>809</v>
      </c>
      <c r="K84" s="20">
        <v>375</v>
      </c>
      <c r="L84" s="57">
        <f t="shared" si="4"/>
        <v>0.2244165170556553</v>
      </c>
      <c r="M84" s="20">
        <v>132</v>
      </c>
      <c r="N84" s="57">
        <f t="shared" si="5"/>
        <v>7.899461400359066E-2</v>
      </c>
      <c r="O84" s="46">
        <v>47</v>
      </c>
      <c r="P84" s="46">
        <v>0</v>
      </c>
      <c r="Q84" s="58" t="s">
        <v>51</v>
      </c>
      <c r="R84" s="58">
        <v>2020</v>
      </c>
      <c r="S84" s="58"/>
      <c r="T84" s="58"/>
      <c r="U84" s="58"/>
      <c r="V84" s="58"/>
      <c r="W84" s="58"/>
      <c r="X84" s="58" t="s">
        <v>51</v>
      </c>
      <c r="Y84" s="58"/>
      <c r="Z84" s="58"/>
      <c r="AA84" s="58"/>
      <c r="AB84" s="58"/>
      <c r="AC84" s="58" t="s">
        <v>51</v>
      </c>
      <c r="AD84" s="58"/>
      <c r="AE84" s="58"/>
      <c r="AF84" s="58"/>
      <c r="AG84" s="58"/>
      <c r="AH84" s="58"/>
      <c r="AI84" s="58"/>
    </row>
    <row r="85" spans="1:35" x14ac:dyDescent="0.35">
      <c r="A85" s="17" t="s">
        <v>46</v>
      </c>
      <c r="B85" s="17" t="s">
        <v>2741</v>
      </c>
      <c r="C85" s="28" t="s">
        <v>1646</v>
      </c>
      <c r="D85" s="17" t="s">
        <v>2898</v>
      </c>
      <c r="E85" s="17" t="s">
        <v>2899</v>
      </c>
      <c r="F85" s="20">
        <v>122</v>
      </c>
      <c r="G85" s="20">
        <v>31</v>
      </c>
      <c r="H85" s="19">
        <v>120</v>
      </c>
      <c r="I85" s="20">
        <v>67</v>
      </c>
      <c r="J85" s="20">
        <v>53</v>
      </c>
      <c r="K85" s="20">
        <v>22</v>
      </c>
      <c r="L85" s="57">
        <f t="shared" si="4"/>
        <v>0.18333333333333332</v>
      </c>
      <c r="M85" s="20">
        <v>5</v>
      </c>
      <c r="N85" s="57">
        <f t="shared" si="5"/>
        <v>4.1666666666666664E-2</v>
      </c>
      <c r="O85" s="46">
        <v>0</v>
      </c>
      <c r="P85" s="46">
        <v>0</v>
      </c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</row>
    <row r="86" spans="1:35" x14ac:dyDescent="0.35">
      <c r="A86" s="17" t="s">
        <v>46</v>
      </c>
      <c r="B86" s="17" t="s">
        <v>2741</v>
      </c>
      <c r="C86" s="28" t="s">
        <v>2884</v>
      </c>
      <c r="D86" s="17" t="s">
        <v>2900</v>
      </c>
      <c r="E86" s="17" t="s">
        <v>2901</v>
      </c>
      <c r="F86" s="20">
        <v>1090</v>
      </c>
      <c r="G86" s="20">
        <v>536</v>
      </c>
      <c r="H86" s="19">
        <v>2735</v>
      </c>
      <c r="I86" s="20">
        <v>1358</v>
      </c>
      <c r="J86" s="20">
        <v>1377</v>
      </c>
      <c r="K86" s="20">
        <v>1123</v>
      </c>
      <c r="L86" s="57">
        <f t="shared" si="4"/>
        <v>0.41060329067641682</v>
      </c>
      <c r="M86" s="20">
        <v>15</v>
      </c>
      <c r="N86" s="57">
        <f t="shared" si="5"/>
        <v>5.4844606946983544E-3</v>
      </c>
      <c r="O86" s="46">
        <v>121</v>
      </c>
      <c r="P86" s="46">
        <v>0</v>
      </c>
      <c r="Q86" s="58" t="s">
        <v>51</v>
      </c>
      <c r="R86" s="58">
        <v>2020</v>
      </c>
      <c r="S86" s="58"/>
      <c r="T86" s="58"/>
      <c r="U86" s="58"/>
      <c r="V86" s="58"/>
      <c r="W86" s="58"/>
      <c r="X86" s="58" t="s">
        <v>51</v>
      </c>
      <c r="Y86" s="58"/>
      <c r="Z86" s="58"/>
      <c r="AA86" s="58"/>
      <c r="AB86" s="58"/>
      <c r="AC86" s="58" t="s">
        <v>51</v>
      </c>
      <c r="AD86" s="58"/>
      <c r="AE86" s="58"/>
      <c r="AF86" s="58"/>
      <c r="AG86" s="58"/>
      <c r="AH86" s="58"/>
      <c r="AI86" s="58"/>
    </row>
    <row r="87" spans="1:35" x14ac:dyDescent="0.35">
      <c r="A87" s="17" t="s">
        <v>46</v>
      </c>
      <c r="B87" s="17" t="s">
        <v>2741</v>
      </c>
      <c r="C87" s="28" t="s">
        <v>2884</v>
      </c>
      <c r="D87" s="17" t="s">
        <v>2902</v>
      </c>
      <c r="E87" s="17" t="s">
        <v>2903</v>
      </c>
      <c r="F87" s="20">
        <v>593</v>
      </c>
      <c r="G87" s="20">
        <v>235</v>
      </c>
      <c r="H87" s="19">
        <v>1067</v>
      </c>
      <c r="I87" s="20">
        <v>515</v>
      </c>
      <c r="J87" s="20">
        <v>552</v>
      </c>
      <c r="K87" s="20">
        <v>246</v>
      </c>
      <c r="L87" s="57">
        <f t="shared" si="4"/>
        <v>0.23055295220243674</v>
      </c>
      <c r="M87" s="20">
        <v>33</v>
      </c>
      <c r="N87" s="57">
        <f t="shared" si="5"/>
        <v>3.0927835051546393E-2</v>
      </c>
      <c r="O87" s="46">
        <v>94</v>
      </c>
      <c r="P87" s="46">
        <v>0</v>
      </c>
      <c r="Q87" s="58" t="s">
        <v>51</v>
      </c>
      <c r="R87" s="58">
        <v>2020</v>
      </c>
      <c r="S87" s="58"/>
      <c r="T87" s="58"/>
      <c r="U87" s="58"/>
      <c r="V87" s="58"/>
      <c r="W87" s="58"/>
      <c r="X87" s="58" t="s">
        <v>51</v>
      </c>
      <c r="Y87" s="58"/>
      <c r="Z87" s="58"/>
      <c r="AA87" s="58"/>
      <c r="AB87" s="58"/>
      <c r="AC87" s="58" t="s">
        <v>51</v>
      </c>
      <c r="AD87" s="58"/>
      <c r="AE87" s="58"/>
      <c r="AF87" s="58"/>
      <c r="AG87" s="58"/>
      <c r="AH87" s="58"/>
      <c r="AI87" s="58"/>
    </row>
    <row r="88" spans="1:35" x14ac:dyDescent="0.35">
      <c r="A88" s="17" t="s">
        <v>46</v>
      </c>
      <c r="B88" s="17" t="s">
        <v>2741</v>
      </c>
      <c r="C88" s="28" t="s">
        <v>2835</v>
      </c>
      <c r="D88" s="17" t="s">
        <v>180</v>
      </c>
      <c r="E88" s="17" t="s">
        <v>2904</v>
      </c>
      <c r="F88" s="20">
        <v>210</v>
      </c>
      <c r="G88" s="20">
        <v>124</v>
      </c>
      <c r="H88" s="19">
        <v>509</v>
      </c>
      <c r="I88" s="20">
        <v>251</v>
      </c>
      <c r="J88" s="20">
        <v>258</v>
      </c>
      <c r="K88" s="20">
        <v>51</v>
      </c>
      <c r="L88" s="57">
        <f t="shared" si="4"/>
        <v>0.10019646365422397</v>
      </c>
      <c r="M88" s="20">
        <v>27</v>
      </c>
      <c r="N88" s="57">
        <f t="shared" si="5"/>
        <v>5.304518664047151E-2</v>
      </c>
      <c r="O88" s="46">
        <v>16</v>
      </c>
      <c r="P88" s="46">
        <v>0</v>
      </c>
      <c r="Q88" s="58" t="s">
        <v>51</v>
      </c>
      <c r="R88" s="58">
        <v>2020</v>
      </c>
      <c r="S88" s="58"/>
      <c r="T88" s="58"/>
      <c r="U88" s="58"/>
      <c r="V88" s="58"/>
      <c r="W88" s="58"/>
      <c r="X88" s="58" t="s">
        <v>51</v>
      </c>
      <c r="Y88" s="58"/>
      <c r="Z88" s="58"/>
      <c r="AA88" s="58"/>
      <c r="AB88" s="58"/>
      <c r="AC88" s="58" t="s">
        <v>51</v>
      </c>
      <c r="AD88" s="58"/>
      <c r="AE88" s="58"/>
      <c r="AF88" s="58"/>
      <c r="AG88" s="58"/>
      <c r="AH88" s="58"/>
      <c r="AI88" s="58"/>
    </row>
    <row r="89" spans="1:35" x14ac:dyDescent="0.35">
      <c r="A89" s="17" t="s">
        <v>46</v>
      </c>
      <c r="B89" s="17" t="s">
        <v>2741</v>
      </c>
      <c r="C89" s="28" t="s">
        <v>1670</v>
      </c>
      <c r="D89" s="17" t="s">
        <v>2905</v>
      </c>
      <c r="E89" s="17" t="s">
        <v>2906</v>
      </c>
      <c r="F89" s="20">
        <v>677</v>
      </c>
      <c r="G89" s="20">
        <v>279</v>
      </c>
      <c r="H89" s="19">
        <v>1187</v>
      </c>
      <c r="I89" s="20">
        <v>588</v>
      </c>
      <c r="J89" s="20">
        <v>599</v>
      </c>
      <c r="K89" s="20">
        <v>271</v>
      </c>
      <c r="L89" s="57">
        <f t="shared" si="4"/>
        <v>0.22830665543386688</v>
      </c>
      <c r="M89" s="20">
        <v>36</v>
      </c>
      <c r="N89" s="57">
        <f t="shared" si="5"/>
        <v>3.0328559393428812E-2</v>
      </c>
      <c r="O89" s="46">
        <v>37</v>
      </c>
      <c r="P89" s="46">
        <v>0</v>
      </c>
      <c r="Q89" s="58" t="s">
        <v>51</v>
      </c>
      <c r="R89" s="58">
        <v>2019</v>
      </c>
      <c r="S89" s="58"/>
      <c r="T89" s="58"/>
      <c r="U89" s="58"/>
      <c r="V89" s="58"/>
      <c r="W89" s="58"/>
      <c r="X89" s="58" t="s">
        <v>51</v>
      </c>
      <c r="Y89" s="58"/>
      <c r="Z89" s="58"/>
      <c r="AA89" s="58"/>
      <c r="AB89" s="58"/>
      <c r="AC89" s="58" t="s">
        <v>51</v>
      </c>
      <c r="AD89" s="58"/>
      <c r="AE89" s="58"/>
      <c r="AF89" s="58"/>
      <c r="AG89" s="58"/>
      <c r="AH89" s="58"/>
      <c r="AI89" s="58"/>
    </row>
    <row r="90" spans="1:35" x14ac:dyDescent="0.35">
      <c r="A90" s="17" t="s">
        <v>46</v>
      </c>
      <c r="B90" s="17" t="s">
        <v>2741</v>
      </c>
      <c r="C90" s="28" t="s">
        <v>2845</v>
      </c>
      <c r="D90" s="17" t="s">
        <v>2461</v>
      </c>
      <c r="E90" s="17" t="s">
        <v>2907</v>
      </c>
      <c r="F90" s="20">
        <v>196</v>
      </c>
      <c r="G90" s="20">
        <v>120</v>
      </c>
      <c r="H90" s="19">
        <v>542</v>
      </c>
      <c r="I90" s="20">
        <v>273</v>
      </c>
      <c r="J90" s="20">
        <v>269</v>
      </c>
      <c r="K90" s="20">
        <v>49</v>
      </c>
      <c r="L90" s="57">
        <f t="shared" si="4"/>
        <v>9.0405904059040587E-2</v>
      </c>
      <c r="M90" s="20">
        <v>116</v>
      </c>
      <c r="N90" s="57">
        <f t="shared" si="5"/>
        <v>0.2140221402214022</v>
      </c>
      <c r="O90" s="46">
        <v>62</v>
      </c>
      <c r="P90" s="46">
        <v>0</v>
      </c>
      <c r="Q90" s="58" t="s">
        <v>51</v>
      </c>
      <c r="R90" s="58">
        <v>2019</v>
      </c>
      <c r="S90" s="58"/>
      <c r="T90" s="58"/>
      <c r="U90" s="58"/>
      <c r="V90" s="58"/>
      <c r="W90" s="58"/>
      <c r="X90" s="58" t="s">
        <v>51</v>
      </c>
      <c r="Y90" s="58"/>
      <c r="Z90" s="58"/>
      <c r="AA90" s="58"/>
      <c r="AB90" s="58"/>
      <c r="AC90" s="58" t="s">
        <v>51</v>
      </c>
      <c r="AD90" s="58"/>
      <c r="AE90" s="58"/>
      <c r="AF90" s="58"/>
      <c r="AG90" s="58"/>
      <c r="AH90" s="58"/>
      <c r="AI90" s="58"/>
    </row>
    <row r="91" spans="1:35" x14ac:dyDescent="0.35">
      <c r="A91" s="17" t="s">
        <v>46</v>
      </c>
      <c r="B91" s="17" t="s">
        <v>2741</v>
      </c>
      <c r="C91" s="28" t="s">
        <v>1670</v>
      </c>
      <c r="D91" s="17" t="s">
        <v>2908</v>
      </c>
      <c r="E91" s="17" t="s">
        <v>2909</v>
      </c>
      <c r="F91" s="20">
        <v>245</v>
      </c>
      <c r="G91" s="20">
        <v>95</v>
      </c>
      <c r="H91" s="19">
        <v>405</v>
      </c>
      <c r="I91" s="20">
        <v>211</v>
      </c>
      <c r="J91" s="20">
        <v>194</v>
      </c>
      <c r="K91" s="20">
        <v>9</v>
      </c>
      <c r="L91" s="57">
        <f t="shared" si="4"/>
        <v>2.2222222222222223E-2</v>
      </c>
      <c r="M91" s="20">
        <v>51</v>
      </c>
      <c r="N91" s="57">
        <f t="shared" si="5"/>
        <v>0.12592592592592591</v>
      </c>
      <c r="O91" s="46">
        <v>42</v>
      </c>
      <c r="P91" s="46">
        <v>0</v>
      </c>
      <c r="Q91" s="58" t="s">
        <v>51</v>
      </c>
      <c r="R91" s="58">
        <v>2020</v>
      </c>
      <c r="S91" s="58"/>
      <c r="T91" s="58"/>
      <c r="U91" s="58"/>
      <c r="V91" s="58"/>
      <c r="W91" s="58"/>
      <c r="X91" s="58" t="s">
        <v>51</v>
      </c>
      <c r="Y91" s="58"/>
      <c r="Z91" s="58"/>
      <c r="AA91" s="58"/>
      <c r="AB91" s="58"/>
      <c r="AC91" s="58" t="s">
        <v>51</v>
      </c>
      <c r="AD91" s="58"/>
      <c r="AE91" s="58"/>
      <c r="AF91" s="58"/>
      <c r="AG91" s="58"/>
      <c r="AH91" s="58"/>
      <c r="AI91" s="58"/>
    </row>
    <row r="92" spans="1:35" x14ac:dyDescent="0.35">
      <c r="A92" s="17" t="s">
        <v>46</v>
      </c>
      <c r="B92" s="17" t="s">
        <v>2741</v>
      </c>
      <c r="C92" s="28" t="s">
        <v>2910</v>
      </c>
      <c r="D92" s="17" t="s">
        <v>91</v>
      </c>
      <c r="E92" s="17" t="s">
        <v>2911</v>
      </c>
      <c r="F92" s="20">
        <v>164</v>
      </c>
      <c r="G92" s="20">
        <v>256</v>
      </c>
      <c r="H92" s="19">
        <v>1235</v>
      </c>
      <c r="I92" s="20">
        <v>625</v>
      </c>
      <c r="J92" s="20">
        <v>610</v>
      </c>
      <c r="K92" s="20">
        <v>67</v>
      </c>
      <c r="L92" s="57">
        <f t="shared" si="4"/>
        <v>5.4251012145748991E-2</v>
      </c>
      <c r="M92" s="20">
        <v>1</v>
      </c>
      <c r="N92" s="57">
        <f t="shared" si="5"/>
        <v>8.0971659919028337E-4</v>
      </c>
      <c r="O92" s="46">
        <v>26</v>
      </c>
      <c r="P92" s="46">
        <v>0</v>
      </c>
      <c r="Q92" s="58" t="s">
        <v>51</v>
      </c>
      <c r="R92" s="58">
        <v>2020</v>
      </c>
      <c r="S92" s="58"/>
      <c r="T92" s="58"/>
      <c r="U92" s="58"/>
      <c r="V92" s="58"/>
      <c r="W92" s="58"/>
      <c r="X92" s="58" t="s">
        <v>51</v>
      </c>
      <c r="Y92" s="58"/>
      <c r="Z92" s="58"/>
      <c r="AA92" s="58"/>
      <c r="AB92" s="58"/>
      <c r="AC92" s="58" t="s">
        <v>51</v>
      </c>
      <c r="AD92" s="58"/>
      <c r="AE92" s="58"/>
      <c r="AF92" s="58"/>
      <c r="AG92" s="58"/>
      <c r="AH92" s="58"/>
      <c r="AI92" s="58"/>
    </row>
    <row r="93" spans="1:35" x14ac:dyDescent="0.35">
      <c r="A93" s="17" t="s">
        <v>46</v>
      </c>
      <c r="B93" s="17" t="s">
        <v>2741</v>
      </c>
      <c r="C93" s="28" t="s">
        <v>1618</v>
      </c>
      <c r="D93" s="17" t="s">
        <v>664</v>
      </c>
      <c r="E93" s="17" t="s">
        <v>2912</v>
      </c>
      <c r="F93" s="20">
        <v>194.19</v>
      </c>
      <c r="G93" s="20">
        <v>122</v>
      </c>
      <c r="H93" s="19">
        <v>546</v>
      </c>
      <c r="I93" s="20">
        <v>264</v>
      </c>
      <c r="J93" s="20">
        <v>282</v>
      </c>
      <c r="K93" s="20">
        <v>160</v>
      </c>
      <c r="L93" s="57">
        <f t="shared" si="4"/>
        <v>0.29304029304029305</v>
      </c>
      <c r="M93" s="20">
        <v>113</v>
      </c>
      <c r="N93" s="57">
        <f t="shared" si="5"/>
        <v>0.20695970695970695</v>
      </c>
      <c r="O93" s="46">
        <v>45.82</v>
      </c>
      <c r="P93" s="46">
        <v>0</v>
      </c>
      <c r="Q93" s="58" t="s">
        <v>51</v>
      </c>
      <c r="R93" s="58">
        <v>2020</v>
      </c>
      <c r="S93" s="58"/>
      <c r="T93" s="58"/>
      <c r="U93" s="58"/>
      <c r="V93" s="58"/>
      <c r="W93" s="58"/>
      <c r="X93" s="58" t="s">
        <v>51</v>
      </c>
      <c r="Y93" s="58"/>
      <c r="Z93" s="58"/>
      <c r="AA93" s="58"/>
      <c r="AB93" s="58"/>
      <c r="AC93" s="58" t="s">
        <v>51</v>
      </c>
      <c r="AD93" s="58"/>
      <c r="AE93" s="58"/>
      <c r="AF93" s="58"/>
      <c r="AG93" s="58"/>
      <c r="AH93" s="58"/>
      <c r="AI93" s="58"/>
    </row>
    <row r="94" spans="1:35" x14ac:dyDescent="0.35">
      <c r="A94" s="17" t="s">
        <v>46</v>
      </c>
      <c r="B94" s="17" t="s">
        <v>2741</v>
      </c>
      <c r="C94" s="28" t="s">
        <v>1618</v>
      </c>
      <c r="D94" s="17" t="s">
        <v>2913</v>
      </c>
      <c r="E94" s="17" t="s">
        <v>2914</v>
      </c>
      <c r="F94" s="20">
        <v>670.9</v>
      </c>
      <c r="G94" s="20">
        <v>257</v>
      </c>
      <c r="H94" s="19">
        <v>1122</v>
      </c>
      <c r="I94" s="20">
        <v>573</v>
      </c>
      <c r="J94" s="20">
        <v>549</v>
      </c>
      <c r="K94" s="20">
        <v>244</v>
      </c>
      <c r="L94" s="57">
        <f t="shared" si="4"/>
        <v>0.21746880570409982</v>
      </c>
      <c r="M94" s="20">
        <v>1</v>
      </c>
      <c r="N94" s="57">
        <f t="shared" si="5"/>
        <v>8.9126559714795004E-4</v>
      </c>
      <c r="O94" s="46">
        <v>104.97</v>
      </c>
      <c r="P94" s="46">
        <v>0</v>
      </c>
      <c r="Q94" s="58" t="s">
        <v>51</v>
      </c>
      <c r="R94" s="58">
        <v>2020</v>
      </c>
      <c r="S94" s="58"/>
      <c r="T94" s="58"/>
      <c r="U94" s="58"/>
      <c r="V94" s="58"/>
      <c r="W94" s="58"/>
      <c r="X94" s="58" t="s">
        <v>51</v>
      </c>
      <c r="Y94" s="58"/>
      <c r="Z94" s="58"/>
      <c r="AA94" s="58"/>
      <c r="AB94" s="58"/>
      <c r="AC94" s="58" t="s">
        <v>51</v>
      </c>
      <c r="AD94" s="58"/>
      <c r="AE94" s="58"/>
      <c r="AF94" s="58"/>
      <c r="AG94" s="58"/>
      <c r="AH94" s="58"/>
      <c r="AI94" s="58"/>
    </row>
    <row r="95" spans="1:35" x14ac:dyDescent="0.35">
      <c r="A95" s="17" t="s">
        <v>46</v>
      </c>
      <c r="B95" s="17" t="s">
        <v>2741</v>
      </c>
      <c r="C95" s="28" t="s">
        <v>1618</v>
      </c>
      <c r="D95" s="17" t="s">
        <v>2590</v>
      </c>
      <c r="E95" s="17" t="s">
        <v>2915</v>
      </c>
      <c r="F95" s="20">
        <v>369.71</v>
      </c>
      <c r="G95" s="20">
        <v>70</v>
      </c>
      <c r="H95" s="19">
        <v>281</v>
      </c>
      <c r="I95" s="20">
        <v>137</v>
      </c>
      <c r="J95" s="20">
        <v>144</v>
      </c>
      <c r="K95" s="20">
        <v>4</v>
      </c>
      <c r="L95" s="57">
        <f t="shared" si="4"/>
        <v>1.4234875444839857E-2</v>
      </c>
      <c r="M95" s="20">
        <v>45</v>
      </c>
      <c r="N95" s="57">
        <f t="shared" si="5"/>
        <v>0.16014234875444841</v>
      </c>
      <c r="O95" s="46">
        <v>42</v>
      </c>
      <c r="P95" s="46">
        <v>0</v>
      </c>
      <c r="Q95" s="58" t="s">
        <v>51</v>
      </c>
      <c r="R95" s="58">
        <v>2020</v>
      </c>
      <c r="S95" s="58"/>
      <c r="T95" s="58"/>
      <c r="U95" s="58"/>
      <c r="V95" s="58"/>
      <c r="W95" s="58"/>
      <c r="X95" s="58" t="s">
        <v>51</v>
      </c>
      <c r="Y95" s="58"/>
      <c r="Z95" s="58"/>
      <c r="AA95" s="58"/>
      <c r="AB95" s="58"/>
      <c r="AC95" s="58" t="s">
        <v>51</v>
      </c>
      <c r="AD95" s="58"/>
      <c r="AE95" s="58"/>
      <c r="AF95" s="58"/>
      <c r="AG95" s="58"/>
      <c r="AH95" s="58"/>
      <c r="AI95" s="58"/>
    </row>
    <row r="96" spans="1:35" x14ac:dyDescent="0.35">
      <c r="A96" s="17" t="s">
        <v>46</v>
      </c>
      <c r="B96" s="17" t="s">
        <v>2741</v>
      </c>
      <c r="C96" s="28" t="s">
        <v>2916</v>
      </c>
      <c r="D96" s="17" t="s">
        <v>2917</v>
      </c>
      <c r="E96" s="17" t="s">
        <v>2918</v>
      </c>
      <c r="F96" s="20">
        <v>347.5</v>
      </c>
      <c r="G96" s="20">
        <v>237</v>
      </c>
      <c r="H96" s="19">
        <v>967</v>
      </c>
      <c r="I96" s="20">
        <v>484</v>
      </c>
      <c r="J96" s="20">
        <v>483</v>
      </c>
      <c r="K96" s="20">
        <v>200</v>
      </c>
      <c r="L96" s="57">
        <f t="shared" si="4"/>
        <v>0.20682523267838676</v>
      </c>
      <c r="M96" s="20">
        <v>100</v>
      </c>
      <c r="N96" s="57">
        <f t="shared" si="5"/>
        <v>0.10341261633919338</v>
      </c>
      <c r="O96" s="46">
        <v>66.400000000000006</v>
      </c>
      <c r="P96" s="46">
        <v>0</v>
      </c>
      <c r="Q96" s="58" t="s">
        <v>51</v>
      </c>
      <c r="R96" s="58">
        <v>2020</v>
      </c>
      <c r="S96" s="58"/>
      <c r="T96" s="58"/>
      <c r="U96" s="58"/>
      <c r="V96" s="58"/>
      <c r="W96" s="58"/>
      <c r="X96" s="58" t="s">
        <v>51</v>
      </c>
      <c r="Y96" s="58"/>
      <c r="Z96" s="58"/>
      <c r="AA96" s="58"/>
      <c r="AB96" s="58"/>
      <c r="AC96" s="58" t="s">
        <v>51</v>
      </c>
      <c r="AD96" s="58"/>
      <c r="AE96" s="58"/>
      <c r="AF96" s="58"/>
      <c r="AG96" s="58"/>
      <c r="AH96" s="58"/>
      <c r="AI96" s="58"/>
    </row>
    <row r="97" spans="1:35" x14ac:dyDescent="0.35">
      <c r="A97" s="17" t="s">
        <v>46</v>
      </c>
      <c r="B97" s="17" t="s">
        <v>2741</v>
      </c>
      <c r="C97" s="28" t="s">
        <v>2919</v>
      </c>
      <c r="D97" s="17" t="s">
        <v>260</v>
      </c>
      <c r="E97" s="17" t="s">
        <v>2920</v>
      </c>
      <c r="F97" s="20">
        <v>157</v>
      </c>
      <c r="G97" s="20">
        <v>105</v>
      </c>
      <c r="H97" s="19">
        <v>375</v>
      </c>
      <c r="I97" s="20">
        <v>189</v>
      </c>
      <c r="J97" s="20">
        <v>186</v>
      </c>
      <c r="K97" s="20">
        <v>107</v>
      </c>
      <c r="L97" s="57">
        <f t="shared" si="4"/>
        <v>0.28533333333333333</v>
      </c>
      <c r="M97" s="20">
        <v>140</v>
      </c>
      <c r="N97" s="57">
        <f t="shared" si="5"/>
        <v>0.37333333333333335</v>
      </c>
      <c r="O97" s="46">
        <v>16</v>
      </c>
      <c r="P97" s="46">
        <v>0</v>
      </c>
      <c r="Q97" s="58" t="s">
        <v>51</v>
      </c>
      <c r="R97" s="58">
        <v>2020</v>
      </c>
      <c r="S97" s="58"/>
      <c r="T97" s="58"/>
      <c r="U97" s="58"/>
      <c r="V97" s="58"/>
      <c r="W97" s="58"/>
      <c r="X97" s="58" t="s">
        <v>51</v>
      </c>
      <c r="Y97" s="58"/>
      <c r="Z97" s="58"/>
      <c r="AA97" s="58"/>
      <c r="AB97" s="58"/>
      <c r="AC97" s="58" t="s">
        <v>51</v>
      </c>
      <c r="AD97" s="58"/>
      <c r="AE97" s="58"/>
      <c r="AF97" s="58"/>
      <c r="AG97" s="58"/>
      <c r="AH97" s="58"/>
      <c r="AI97" s="58"/>
    </row>
    <row r="98" spans="1:35" x14ac:dyDescent="0.35">
      <c r="A98" s="17" t="s">
        <v>46</v>
      </c>
      <c r="B98" s="17" t="s">
        <v>2741</v>
      </c>
      <c r="C98" s="28" t="s">
        <v>2919</v>
      </c>
      <c r="D98" s="17" t="s">
        <v>2921</v>
      </c>
      <c r="E98" s="17" t="s">
        <v>2922</v>
      </c>
      <c r="F98" s="20">
        <v>1447</v>
      </c>
      <c r="G98" s="20">
        <v>542</v>
      </c>
      <c r="H98" s="19">
        <v>2378</v>
      </c>
      <c r="I98" s="20">
        <v>1166</v>
      </c>
      <c r="J98" s="20">
        <v>1212</v>
      </c>
      <c r="K98" s="20">
        <v>393</v>
      </c>
      <c r="L98" s="57">
        <f t="shared" si="4"/>
        <v>0.16526492851135408</v>
      </c>
      <c r="M98" s="20">
        <v>304</v>
      </c>
      <c r="N98" s="57">
        <f t="shared" si="5"/>
        <v>0.127838519764508</v>
      </c>
      <c r="O98" s="46">
        <v>180</v>
      </c>
      <c r="P98" s="46">
        <v>0</v>
      </c>
      <c r="Q98" s="58" t="s">
        <v>51</v>
      </c>
      <c r="R98" s="58">
        <v>2021</v>
      </c>
      <c r="S98" s="58"/>
      <c r="T98" s="58"/>
      <c r="U98" s="58"/>
      <c r="V98" s="58"/>
      <c r="W98" s="58"/>
      <c r="X98" s="58" t="s">
        <v>51</v>
      </c>
      <c r="Y98" s="58"/>
      <c r="Z98" s="58"/>
      <c r="AA98" s="58"/>
      <c r="AB98" s="58"/>
      <c r="AC98" s="58" t="s">
        <v>51</v>
      </c>
      <c r="AD98" s="58"/>
      <c r="AE98" s="58"/>
      <c r="AF98" s="58"/>
      <c r="AG98" s="58"/>
      <c r="AH98" s="58"/>
      <c r="AI98" s="58"/>
    </row>
    <row r="99" spans="1:35" x14ac:dyDescent="0.35">
      <c r="A99" s="17" t="s">
        <v>46</v>
      </c>
      <c r="B99" s="17" t="s">
        <v>2741</v>
      </c>
      <c r="C99" s="28" t="s">
        <v>2919</v>
      </c>
      <c r="D99" s="17" t="s">
        <v>2923</v>
      </c>
      <c r="E99" s="17" t="s">
        <v>2924</v>
      </c>
      <c r="F99" s="20">
        <v>100</v>
      </c>
      <c r="G99" s="20">
        <v>58</v>
      </c>
      <c r="H99" s="19">
        <v>192</v>
      </c>
      <c r="I99" s="20">
        <v>93</v>
      </c>
      <c r="J99" s="20">
        <v>99</v>
      </c>
      <c r="K99" s="20">
        <v>19</v>
      </c>
      <c r="L99" s="57">
        <f t="shared" si="4"/>
        <v>9.8958333333333329E-2</v>
      </c>
      <c r="M99" s="20">
        <v>5</v>
      </c>
      <c r="N99" s="57">
        <f t="shared" si="5"/>
        <v>2.6041666666666668E-2</v>
      </c>
      <c r="O99" s="46">
        <v>17</v>
      </c>
      <c r="P99" s="46">
        <v>0</v>
      </c>
      <c r="Q99" s="58" t="s">
        <v>51</v>
      </c>
      <c r="R99" s="58">
        <v>2020</v>
      </c>
      <c r="S99" s="58"/>
      <c r="T99" s="58"/>
      <c r="U99" s="58"/>
      <c r="V99" s="58"/>
      <c r="W99" s="58"/>
      <c r="X99" s="58" t="s">
        <v>51</v>
      </c>
      <c r="Y99" s="58"/>
      <c r="Z99" s="58"/>
      <c r="AA99" s="58"/>
      <c r="AB99" s="58"/>
      <c r="AC99" s="58" t="s">
        <v>51</v>
      </c>
      <c r="AD99" s="58"/>
      <c r="AE99" s="58"/>
      <c r="AF99" s="58"/>
      <c r="AG99" s="58"/>
      <c r="AH99" s="58"/>
      <c r="AI99" s="58"/>
    </row>
    <row r="100" spans="1:35" x14ac:dyDescent="0.35">
      <c r="A100" s="17" t="s">
        <v>46</v>
      </c>
      <c r="B100" s="17" t="s">
        <v>2741</v>
      </c>
      <c r="C100" s="28" t="s">
        <v>2919</v>
      </c>
      <c r="D100" s="17" t="s">
        <v>2925</v>
      </c>
      <c r="E100" s="17" t="s">
        <v>2926</v>
      </c>
      <c r="F100" s="20">
        <v>301</v>
      </c>
      <c r="G100" s="20">
        <v>93</v>
      </c>
      <c r="H100" s="19">
        <v>375</v>
      </c>
      <c r="I100" s="20">
        <v>192</v>
      </c>
      <c r="J100" s="20">
        <v>183</v>
      </c>
      <c r="K100" s="20">
        <v>0</v>
      </c>
      <c r="L100" s="57">
        <f t="shared" si="4"/>
        <v>0</v>
      </c>
      <c r="M100" s="20">
        <v>106</v>
      </c>
      <c r="N100" s="57">
        <f t="shared" si="5"/>
        <v>0.28266666666666668</v>
      </c>
      <c r="O100" s="46">
        <v>32</v>
      </c>
      <c r="P100" s="46">
        <v>0</v>
      </c>
      <c r="Q100" s="58" t="s">
        <v>51</v>
      </c>
      <c r="R100" s="58">
        <v>2021</v>
      </c>
      <c r="S100" s="58"/>
      <c r="T100" s="58"/>
      <c r="U100" s="58"/>
      <c r="V100" s="58"/>
      <c r="W100" s="58"/>
      <c r="X100" s="58" t="s">
        <v>51</v>
      </c>
      <c r="Y100" s="58"/>
      <c r="Z100" s="58"/>
      <c r="AA100" s="58"/>
      <c r="AB100" s="58"/>
      <c r="AC100" s="58" t="s">
        <v>51</v>
      </c>
      <c r="AD100" s="58"/>
      <c r="AE100" s="58"/>
      <c r="AF100" s="58"/>
      <c r="AG100" s="58"/>
      <c r="AH100" s="58"/>
      <c r="AI100" s="58"/>
    </row>
    <row r="101" spans="1:35" x14ac:dyDescent="0.35">
      <c r="A101" s="17" t="s">
        <v>46</v>
      </c>
      <c r="B101" s="17" t="s">
        <v>2741</v>
      </c>
      <c r="C101" s="28" t="s">
        <v>2916</v>
      </c>
      <c r="D101" s="17" t="s">
        <v>2927</v>
      </c>
      <c r="E101" s="17" t="s">
        <v>2928</v>
      </c>
      <c r="F101" s="20">
        <v>244.11</v>
      </c>
      <c r="G101" s="20">
        <v>142</v>
      </c>
      <c r="H101" s="19">
        <v>635</v>
      </c>
      <c r="I101" s="20">
        <v>312</v>
      </c>
      <c r="J101" s="20">
        <v>323</v>
      </c>
      <c r="K101" s="20">
        <v>265</v>
      </c>
      <c r="L101" s="57">
        <f t="shared" si="4"/>
        <v>0.41732283464566927</v>
      </c>
      <c r="M101" s="20">
        <v>39</v>
      </c>
      <c r="N101" s="57">
        <f t="shared" si="5"/>
        <v>6.1417322834645668E-2</v>
      </c>
      <c r="O101" s="46">
        <v>58.36</v>
      </c>
      <c r="P101" s="46">
        <v>0</v>
      </c>
      <c r="Q101" s="58" t="s">
        <v>51</v>
      </c>
      <c r="R101" s="58">
        <v>2020</v>
      </c>
      <c r="S101" s="58"/>
      <c r="T101" s="58"/>
      <c r="U101" s="58"/>
      <c r="V101" s="58"/>
      <c r="W101" s="58"/>
      <c r="X101" s="58" t="s">
        <v>51</v>
      </c>
      <c r="Y101" s="58"/>
      <c r="Z101" s="58"/>
      <c r="AA101" s="58"/>
      <c r="AB101" s="58"/>
      <c r="AC101" s="58" t="s">
        <v>51</v>
      </c>
      <c r="AD101" s="58"/>
      <c r="AE101" s="58"/>
      <c r="AF101" s="58"/>
      <c r="AG101" s="58"/>
      <c r="AH101" s="58"/>
      <c r="AI101" s="58"/>
    </row>
    <row r="102" spans="1:35" x14ac:dyDescent="0.35">
      <c r="A102" s="17" t="s">
        <v>46</v>
      </c>
      <c r="B102" s="17" t="s">
        <v>2741</v>
      </c>
      <c r="C102" s="28" t="s">
        <v>2919</v>
      </c>
      <c r="D102" s="17" t="s">
        <v>2929</v>
      </c>
      <c r="E102" s="17" t="s">
        <v>2930</v>
      </c>
      <c r="F102" s="20">
        <v>394</v>
      </c>
      <c r="G102" s="20">
        <v>246</v>
      </c>
      <c r="H102" s="19">
        <v>1199</v>
      </c>
      <c r="I102" s="20">
        <v>584</v>
      </c>
      <c r="J102" s="20">
        <v>615</v>
      </c>
      <c r="K102" s="20">
        <v>756</v>
      </c>
      <c r="L102" s="57">
        <f t="shared" si="4"/>
        <v>0.63052543786488746</v>
      </c>
      <c r="M102" s="20">
        <v>9</v>
      </c>
      <c r="N102" s="57">
        <f t="shared" si="5"/>
        <v>7.5062552126772307E-3</v>
      </c>
      <c r="O102" s="46">
        <v>55</v>
      </c>
      <c r="P102" s="46">
        <v>0</v>
      </c>
      <c r="Q102" s="58" t="s">
        <v>51</v>
      </c>
      <c r="R102" s="58">
        <v>2020</v>
      </c>
      <c r="S102" s="58"/>
      <c r="T102" s="58"/>
      <c r="U102" s="58"/>
      <c r="V102" s="58"/>
      <c r="W102" s="58"/>
      <c r="X102" s="58" t="s">
        <v>51</v>
      </c>
      <c r="Y102" s="58"/>
      <c r="Z102" s="58"/>
      <c r="AA102" s="58"/>
      <c r="AB102" s="58"/>
      <c r="AC102" s="58" t="s">
        <v>51</v>
      </c>
      <c r="AD102" s="58"/>
      <c r="AE102" s="58"/>
      <c r="AF102" s="58"/>
      <c r="AG102" s="58"/>
      <c r="AH102" s="58"/>
      <c r="AI102" s="58"/>
    </row>
    <row r="103" spans="1:35" x14ac:dyDescent="0.35">
      <c r="A103" s="17" t="s">
        <v>46</v>
      </c>
      <c r="B103" s="17" t="s">
        <v>2741</v>
      </c>
      <c r="C103" s="28" t="s">
        <v>2916</v>
      </c>
      <c r="D103" s="17" t="s">
        <v>2931</v>
      </c>
      <c r="E103" s="17" t="s">
        <v>2932</v>
      </c>
      <c r="F103" s="20">
        <v>174.45</v>
      </c>
      <c r="G103" s="20">
        <v>64</v>
      </c>
      <c r="H103" s="19">
        <v>269</v>
      </c>
      <c r="I103" s="20">
        <v>140</v>
      </c>
      <c r="J103" s="20">
        <v>129</v>
      </c>
      <c r="K103" s="20">
        <v>14</v>
      </c>
      <c r="L103" s="57">
        <f t="shared" si="4"/>
        <v>5.204460966542751E-2</v>
      </c>
      <c r="M103" s="20">
        <v>97</v>
      </c>
      <c r="N103" s="57">
        <f t="shared" si="5"/>
        <v>0.36059479553903345</v>
      </c>
      <c r="O103" s="46">
        <v>13.47</v>
      </c>
      <c r="P103" s="46">
        <v>0</v>
      </c>
      <c r="Q103" s="58" t="s">
        <v>51</v>
      </c>
      <c r="R103" s="58">
        <v>2020</v>
      </c>
      <c r="S103" s="58"/>
      <c r="T103" s="58"/>
      <c r="U103" s="58"/>
      <c r="V103" s="58"/>
      <c r="W103" s="58"/>
      <c r="X103" s="58" t="s">
        <v>51</v>
      </c>
      <c r="Y103" s="58"/>
      <c r="Z103" s="58"/>
      <c r="AA103" s="58"/>
      <c r="AB103" s="58"/>
      <c r="AC103" s="58" t="s">
        <v>51</v>
      </c>
      <c r="AD103" s="58"/>
      <c r="AE103" s="58"/>
      <c r="AF103" s="58"/>
      <c r="AG103" s="58"/>
      <c r="AH103" s="58"/>
      <c r="AI103" s="58"/>
    </row>
    <row r="104" spans="1:35" x14ac:dyDescent="0.35">
      <c r="A104" s="17" t="s">
        <v>46</v>
      </c>
      <c r="B104" s="17" t="s">
        <v>2741</v>
      </c>
      <c r="C104" s="28" t="s">
        <v>2916</v>
      </c>
      <c r="D104" s="17" t="s">
        <v>2933</v>
      </c>
      <c r="E104" s="17" t="s">
        <v>2934</v>
      </c>
      <c r="F104" s="20">
        <v>253.12</v>
      </c>
      <c r="G104" s="20">
        <v>135</v>
      </c>
      <c r="H104" s="19">
        <v>535</v>
      </c>
      <c r="I104" s="20">
        <v>265</v>
      </c>
      <c r="J104" s="20">
        <v>270</v>
      </c>
      <c r="K104" s="20">
        <v>16</v>
      </c>
      <c r="L104" s="57">
        <f t="shared" si="4"/>
        <v>2.9906542056074768E-2</v>
      </c>
      <c r="M104" s="20">
        <v>15</v>
      </c>
      <c r="N104" s="57">
        <f t="shared" si="5"/>
        <v>2.8037383177570093E-2</v>
      </c>
      <c r="O104" s="46">
        <v>39.229999999999997</v>
      </c>
      <c r="P104" s="46">
        <v>0</v>
      </c>
      <c r="Q104" s="58" t="s">
        <v>51</v>
      </c>
      <c r="R104" s="58">
        <v>2020</v>
      </c>
      <c r="S104" s="58"/>
      <c r="T104" s="58"/>
      <c r="U104" s="58"/>
      <c r="V104" s="58"/>
      <c r="W104" s="58"/>
      <c r="X104" s="58" t="s">
        <v>51</v>
      </c>
      <c r="Y104" s="58"/>
      <c r="Z104" s="58"/>
      <c r="AA104" s="58"/>
      <c r="AB104" s="58"/>
      <c r="AC104" s="58" t="s">
        <v>51</v>
      </c>
      <c r="AD104" s="58"/>
      <c r="AE104" s="58"/>
      <c r="AF104" s="58"/>
      <c r="AG104" s="58"/>
      <c r="AH104" s="58"/>
      <c r="AI104" s="58"/>
    </row>
    <row r="105" spans="1:35" x14ac:dyDescent="0.35">
      <c r="A105" s="17" t="s">
        <v>46</v>
      </c>
      <c r="B105" s="17" t="s">
        <v>2741</v>
      </c>
      <c r="C105" s="28" t="s">
        <v>2916</v>
      </c>
      <c r="D105" s="17" t="s">
        <v>2935</v>
      </c>
      <c r="E105" s="17" t="s">
        <v>2936</v>
      </c>
      <c r="F105" s="20">
        <v>90.52</v>
      </c>
      <c r="G105" s="20">
        <v>97</v>
      </c>
      <c r="H105" s="19">
        <v>359</v>
      </c>
      <c r="I105" s="20">
        <v>177</v>
      </c>
      <c r="J105" s="20">
        <v>182</v>
      </c>
      <c r="K105" s="20">
        <v>0</v>
      </c>
      <c r="L105" s="57">
        <f t="shared" si="4"/>
        <v>0</v>
      </c>
      <c r="M105" s="20">
        <v>0</v>
      </c>
      <c r="N105" s="57">
        <f t="shared" si="5"/>
        <v>0</v>
      </c>
      <c r="O105" s="46">
        <v>7.4</v>
      </c>
      <c r="P105" s="46">
        <v>0</v>
      </c>
      <c r="Q105" s="58" t="s">
        <v>51</v>
      </c>
      <c r="R105" s="58">
        <v>2020</v>
      </c>
      <c r="S105" s="58"/>
      <c r="T105" s="58"/>
      <c r="U105" s="58"/>
      <c r="V105" s="58"/>
      <c r="W105" s="58"/>
      <c r="X105" s="58" t="s">
        <v>51</v>
      </c>
      <c r="Y105" s="58"/>
      <c r="Z105" s="58"/>
      <c r="AA105" s="58"/>
      <c r="AB105" s="58"/>
      <c r="AC105" s="58" t="s">
        <v>51</v>
      </c>
      <c r="AD105" s="58"/>
      <c r="AE105" s="58"/>
      <c r="AF105" s="58"/>
      <c r="AG105" s="58"/>
      <c r="AH105" s="58"/>
      <c r="AI105" s="58"/>
    </row>
    <row r="106" spans="1:35" x14ac:dyDescent="0.35">
      <c r="A106" s="17" t="s">
        <v>46</v>
      </c>
      <c r="B106" s="17" t="s">
        <v>2741</v>
      </c>
      <c r="C106" s="28" t="s">
        <v>2916</v>
      </c>
      <c r="D106" s="17" t="s">
        <v>2937</v>
      </c>
      <c r="E106" s="17" t="s">
        <v>2938</v>
      </c>
      <c r="F106" s="20">
        <v>175.7</v>
      </c>
      <c r="G106" s="20">
        <v>41</v>
      </c>
      <c r="H106" s="19">
        <v>149</v>
      </c>
      <c r="I106" s="20">
        <v>77</v>
      </c>
      <c r="J106" s="20">
        <v>72</v>
      </c>
      <c r="K106" s="20">
        <v>0</v>
      </c>
      <c r="L106" s="57">
        <f t="shared" si="4"/>
        <v>0</v>
      </c>
      <c r="M106" s="20">
        <v>0</v>
      </c>
      <c r="N106" s="57">
        <f t="shared" si="5"/>
        <v>0</v>
      </c>
      <c r="O106" s="46">
        <v>20.34</v>
      </c>
      <c r="P106" s="46">
        <v>0</v>
      </c>
      <c r="Q106" s="58" t="s">
        <v>51</v>
      </c>
      <c r="R106" s="58">
        <v>2020</v>
      </c>
      <c r="S106" s="58"/>
      <c r="T106" s="58"/>
      <c r="U106" s="58"/>
      <c r="V106" s="58"/>
      <c r="W106" s="58"/>
      <c r="X106" s="58" t="s">
        <v>51</v>
      </c>
      <c r="Y106" s="58"/>
      <c r="Z106" s="58"/>
      <c r="AA106" s="58"/>
      <c r="AB106" s="58"/>
      <c r="AC106" s="58" t="s">
        <v>51</v>
      </c>
      <c r="AD106" s="58"/>
      <c r="AE106" s="58"/>
      <c r="AF106" s="58"/>
      <c r="AG106" s="58"/>
      <c r="AH106" s="58"/>
      <c r="AI106" s="58"/>
    </row>
    <row r="107" spans="1:35" x14ac:dyDescent="0.35">
      <c r="A107" s="17" t="s">
        <v>46</v>
      </c>
      <c r="B107" s="17" t="s">
        <v>2741</v>
      </c>
      <c r="C107" s="28" t="s">
        <v>2916</v>
      </c>
      <c r="D107" s="17" t="s">
        <v>2939</v>
      </c>
      <c r="E107" s="17" t="s">
        <v>2940</v>
      </c>
      <c r="F107" s="20">
        <v>148.93</v>
      </c>
      <c r="G107" s="20">
        <v>89</v>
      </c>
      <c r="H107" s="19">
        <v>312</v>
      </c>
      <c r="I107" s="20">
        <v>155</v>
      </c>
      <c r="J107" s="20">
        <v>157</v>
      </c>
      <c r="K107" s="20">
        <v>38</v>
      </c>
      <c r="L107" s="57">
        <f t="shared" si="4"/>
        <v>0.12179487179487179</v>
      </c>
      <c r="M107" s="20">
        <v>0</v>
      </c>
      <c r="N107" s="57">
        <f t="shared" si="5"/>
        <v>0</v>
      </c>
      <c r="O107" s="46">
        <v>25.22</v>
      </c>
      <c r="P107" s="46">
        <v>0</v>
      </c>
      <c r="Q107" s="58" t="s">
        <v>51</v>
      </c>
      <c r="R107" s="58">
        <v>2020</v>
      </c>
      <c r="S107" s="58"/>
      <c r="T107" s="58"/>
      <c r="U107" s="58"/>
      <c r="V107" s="58"/>
      <c r="W107" s="58"/>
      <c r="X107" s="58" t="s">
        <v>51</v>
      </c>
      <c r="Y107" s="58"/>
      <c r="Z107" s="58"/>
      <c r="AA107" s="58"/>
      <c r="AB107" s="58"/>
      <c r="AC107" s="58" t="s">
        <v>51</v>
      </c>
      <c r="AD107" s="58"/>
      <c r="AE107" s="58"/>
      <c r="AF107" s="58"/>
      <c r="AG107" s="58"/>
      <c r="AH107" s="58"/>
      <c r="AI107" s="58"/>
    </row>
    <row r="108" spans="1:35" x14ac:dyDescent="0.35">
      <c r="A108" s="17" t="s">
        <v>46</v>
      </c>
      <c r="B108" s="17" t="s">
        <v>2741</v>
      </c>
      <c r="C108" s="28" t="s">
        <v>2910</v>
      </c>
      <c r="D108" s="17" t="s">
        <v>2941</v>
      </c>
      <c r="E108" s="17" t="s">
        <v>2942</v>
      </c>
      <c r="F108" s="20">
        <v>249</v>
      </c>
      <c r="G108" s="20">
        <v>99</v>
      </c>
      <c r="H108" s="19">
        <v>459</v>
      </c>
      <c r="I108" s="20">
        <v>234</v>
      </c>
      <c r="J108" s="20">
        <v>225</v>
      </c>
      <c r="K108" s="20">
        <v>12</v>
      </c>
      <c r="L108" s="57">
        <f t="shared" si="4"/>
        <v>2.6143790849673203E-2</v>
      </c>
      <c r="M108" s="20">
        <v>146</v>
      </c>
      <c r="N108" s="57">
        <f t="shared" si="5"/>
        <v>0.31808278867102396</v>
      </c>
      <c r="O108" s="46">
        <v>35</v>
      </c>
      <c r="P108" s="46">
        <v>0</v>
      </c>
      <c r="Q108" s="58" t="s">
        <v>51</v>
      </c>
      <c r="R108" s="58">
        <v>2020</v>
      </c>
      <c r="S108" s="58"/>
      <c r="T108" s="58"/>
      <c r="U108" s="58"/>
      <c r="V108" s="58"/>
      <c r="W108" s="58"/>
      <c r="X108" s="58" t="s">
        <v>51</v>
      </c>
      <c r="Y108" s="58"/>
      <c r="Z108" s="58"/>
      <c r="AA108" s="58"/>
      <c r="AB108" s="58"/>
      <c r="AC108" s="58" t="s">
        <v>51</v>
      </c>
      <c r="AD108" s="58"/>
      <c r="AE108" s="58"/>
      <c r="AF108" s="58"/>
      <c r="AG108" s="58"/>
      <c r="AH108" s="58"/>
      <c r="AI108" s="58"/>
    </row>
    <row r="109" spans="1:35" x14ac:dyDescent="0.35">
      <c r="A109" s="17" t="s">
        <v>46</v>
      </c>
      <c r="B109" s="17" t="s">
        <v>2741</v>
      </c>
      <c r="C109" s="28" t="s">
        <v>2910</v>
      </c>
      <c r="D109" s="17" t="s">
        <v>2943</v>
      </c>
      <c r="E109" s="17" t="s">
        <v>2944</v>
      </c>
      <c r="F109" s="20">
        <v>481</v>
      </c>
      <c r="G109" s="20">
        <v>215</v>
      </c>
      <c r="H109" s="19">
        <v>924</v>
      </c>
      <c r="I109" s="20">
        <v>474</v>
      </c>
      <c r="J109" s="20">
        <v>450</v>
      </c>
      <c r="K109" s="20">
        <v>141</v>
      </c>
      <c r="L109" s="57">
        <f t="shared" si="4"/>
        <v>0.15259740259740259</v>
      </c>
      <c r="M109" s="20">
        <v>296</v>
      </c>
      <c r="N109" s="57">
        <f t="shared" si="5"/>
        <v>0.32034632034632032</v>
      </c>
      <c r="O109" s="46">
        <v>65</v>
      </c>
      <c r="P109" s="46">
        <v>0</v>
      </c>
      <c r="Q109" s="58" t="s">
        <v>51</v>
      </c>
      <c r="R109" s="58">
        <v>2020</v>
      </c>
      <c r="S109" s="58"/>
      <c r="T109" s="58"/>
      <c r="U109" s="58"/>
      <c r="V109" s="58"/>
      <c r="W109" s="58"/>
      <c r="X109" s="58" t="s">
        <v>51</v>
      </c>
      <c r="Y109" s="58"/>
      <c r="Z109" s="58"/>
      <c r="AA109" s="58"/>
      <c r="AB109" s="58"/>
      <c r="AC109" s="58" t="s">
        <v>51</v>
      </c>
      <c r="AD109" s="58"/>
      <c r="AE109" s="58"/>
      <c r="AF109" s="58"/>
      <c r="AG109" s="58"/>
      <c r="AH109" s="58"/>
      <c r="AI109" s="58"/>
    </row>
    <row r="110" spans="1:35" x14ac:dyDescent="0.35">
      <c r="A110" s="17" t="s">
        <v>46</v>
      </c>
      <c r="B110" s="17" t="s">
        <v>2741</v>
      </c>
      <c r="C110" s="28" t="s">
        <v>1618</v>
      </c>
      <c r="D110" s="17" t="s">
        <v>1619</v>
      </c>
      <c r="E110" s="17" t="s">
        <v>2945</v>
      </c>
      <c r="F110" s="20">
        <v>336.62</v>
      </c>
      <c r="G110" s="20">
        <v>113</v>
      </c>
      <c r="H110" s="19">
        <v>483</v>
      </c>
      <c r="I110" s="20">
        <v>250</v>
      </c>
      <c r="J110" s="20">
        <v>233</v>
      </c>
      <c r="K110" s="20">
        <v>46</v>
      </c>
      <c r="L110" s="57">
        <f t="shared" si="4"/>
        <v>9.5238095238095233E-2</v>
      </c>
      <c r="M110" s="20">
        <v>92</v>
      </c>
      <c r="N110" s="57">
        <f t="shared" si="5"/>
        <v>0.19047619047619047</v>
      </c>
      <c r="O110" s="46">
        <v>26.51</v>
      </c>
      <c r="P110" s="46">
        <v>0</v>
      </c>
      <c r="Q110" s="58" t="s">
        <v>51</v>
      </c>
      <c r="R110" s="58">
        <v>2020</v>
      </c>
      <c r="S110" s="58"/>
      <c r="T110" s="58"/>
      <c r="U110" s="58"/>
      <c r="V110" s="58"/>
      <c r="W110" s="58"/>
      <c r="X110" s="58" t="s">
        <v>51</v>
      </c>
      <c r="Y110" s="58"/>
      <c r="Z110" s="58"/>
      <c r="AA110" s="58"/>
      <c r="AB110" s="58"/>
      <c r="AC110" s="58" t="s">
        <v>51</v>
      </c>
      <c r="AD110" s="58"/>
      <c r="AE110" s="58"/>
      <c r="AF110" s="58"/>
      <c r="AG110" s="58"/>
      <c r="AH110" s="58"/>
      <c r="AI110" s="58"/>
    </row>
    <row r="111" spans="1:35" x14ac:dyDescent="0.35">
      <c r="A111" s="17" t="s">
        <v>46</v>
      </c>
      <c r="B111" s="17" t="s">
        <v>2741</v>
      </c>
      <c r="C111" s="28" t="s">
        <v>2910</v>
      </c>
      <c r="D111" s="17" t="s">
        <v>2946</v>
      </c>
      <c r="E111" s="17" t="s">
        <v>2947</v>
      </c>
      <c r="F111" s="20">
        <v>808</v>
      </c>
      <c r="G111" s="20">
        <v>368</v>
      </c>
      <c r="H111" s="19">
        <v>1677</v>
      </c>
      <c r="I111" s="20">
        <v>822</v>
      </c>
      <c r="J111" s="20">
        <v>855</v>
      </c>
      <c r="K111" s="20">
        <v>514</v>
      </c>
      <c r="L111" s="57">
        <f t="shared" si="4"/>
        <v>0.30649970184853903</v>
      </c>
      <c r="M111" s="20">
        <v>116</v>
      </c>
      <c r="N111" s="57">
        <f t="shared" si="5"/>
        <v>6.9171138938580803E-2</v>
      </c>
      <c r="O111" s="46">
        <v>118</v>
      </c>
      <c r="P111" s="46">
        <v>0</v>
      </c>
      <c r="Q111" s="58" t="s">
        <v>51</v>
      </c>
      <c r="R111" s="58">
        <v>2021</v>
      </c>
      <c r="S111" s="58"/>
      <c r="T111" s="58"/>
      <c r="U111" s="58"/>
      <c r="V111" s="58"/>
      <c r="W111" s="58"/>
      <c r="X111" s="58" t="s">
        <v>51</v>
      </c>
      <c r="Y111" s="58"/>
      <c r="Z111" s="58"/>
      <c r="AA111" s="58"/>
      <c r="AB111" s="58"/>
      <c r="AC111" s="58" t="s">
        <v>51</v>
      </c>
      <c r="AD111" s="58"/>
      <c r="AE111" s="58"/>
      <c r="AF111" s="58"/>
      <c r="AG111" s="58"/>
      <c r="AH111" s="58"/>
      <c r="AI111" s="58"/>
    </row>
    <row r="112" spans="1:35" x14ac:dyDescent="0.35">
      <c r="A112" s="17" t="s">
        <v>46</v>
      </c>
      <c r="B112" s="17" t="s">
        <v>2741</v>
      </c>
      <c r="C112" s="28" t="s">
        <v>1670</v>
      </c>
      <c r="D112" s="17" t="s">
        <v>2948</v>
      </c>
      <c r="E112" s="17" t="s">
        <v>2949</v>
      </c>
      <c r="F112" s="20">
        <v>27</v>
      </c>
      <c r="G112" s="20">
        <v>49</v>
      </c>
      <c r="H112" s="19">
        <v>231</v>
      </c>
      <c r="I112" s="20">
        <v>113</v>
      </c>
      <c r="J112" s="20">
        <v>118</v>
      </c>
      <c r="K112" s="20">
        <v>21</v>
      </c>
      <c r="L112" s="57">
        <f t="shared" si="4"/>
        <v>9.0909090909090912E-2</v>
      </c>
      <c r="M112" s="20">
        <v>0</v>
      </c>
      <c r="N112" s="57">
        <f t="shared" si="5"/>
        <v>0</v>
      </c>
      <c r="O112" s="46">
        <v>0</v>
      </c>
      <c r="P112" s="46">
        <v>0</v>
      </c>
      <c r="Q112" s="58" t="s">
        <v>51</v>
      </c>
      <c r="R112" s="58">
        <v>2020</v>
      </c>
      <c r="S112" s="58"/>
      <c r="T112" s="58"/>
      <c r="U112" s="58"/>
      <c r="V112" s="58"/>
      <c r="W112" s="58"/>
      <c r="X112" s="58" t="s">
        <v>51</v>
      </c>
      <c r="Y112" s="58"/>
      <c r="Z112" s="58"/>
      <c r="AA112" s="58"/>
      <c r="AB112" s="58"/>
      <c r="AC112" s="58" t="s">
        <v>51</v>
      </c>
      <c r="AD112" s="58"/>
      <c r="AE112" s="58"/>
      <c r="AF112" s="58"/>
      <c r="AG112" s="58"/>
      <c r="AH112" s="58"/>
      <c r="AI112" s="58"/>
    </row>
    <row r="113" spans="1:35" x14ac:dyDescent="0.35">
      <c r="A113" s="17" t="s">
        <v>46</v>
      </c>
      <c r="B113" s="17" t="s">
        <v>2741</v>
      </c>
      <c r="C113" s="28" t="s">
        <v>1670</v>
      </c>
      <c r="D113" s="17" t="s">
        <v>2716</v>
      </c>
      <c r="E113" s="17" t="s">
        <v>2950</v>
      </c>
      <c r="F113" s="20">
        <v>354</v>
      </c>
      <c r="G113" s="20">
        <v>63</v>
      </c>
      <c r="H113" s="19">
        <v>237</v>
      </c>
      <c r="I113" s="20">
        <v>112</v>
      </c>
      <c r="J113" s="20">
        <v>125</v>
      </c>
      <c r="K113" s="20">
        <v>52</v>
      </c>
      <c r="L113" s="57">
        <f t="shared" si="4"/>
        <v>0.21940928270042195</v>
      </c>
      <c r="M113" s="20">
        <v>45</v>
      </c>
      <c r="N113" s="57">
        <f t="shared" si="5"/>
        <v>0.189873417721519</v>
      </c>
      <c r="O113" s="46">
        <v>22</v>
      </c>
      <c r="P113" s="46">
        <v>0</v>
      </c>
      <c r="Q113" s="58" t="s">
        <v>51</v>
      </c>
      <c r="R113" s="58">
        <v>2020</v>
      </c>
      <c r="S113" s="58"/>
      <c r="T113" s="58"/>
      <c r="U113" s="58"/>
      <c r="V113" s="58"/>
      <c r="W113" s="58"/>
      <c r="X113" s="58" t="s">
        <v>51</v>
      </c>
      <c r="Y113" s="58"/>
      <c r="Z113" s="58"/>
      <c r="AA113" s="58"/>
      <c r="AB113" s="58"/>
      <c r="AC113" s="58" t="s">
        <v>51</v>
      </c>
      <c r="AD113" s="58"/>
      <c r="AE113" s="58"/>
      <c r="AF113" s="58"/>
      <c r="AG113" s="58"/>
      <c r="AH113" s="58"/>
      <c r="AI113" s="58"/>
    </row>
    <row r="114" spans="1:35" x14ac:dyDescent="0.35">
      <c r="A114" s="17" t="s">
        <v>46</v>
      </c>
      <c r="B114" s="17" t="s">
        <v>2741</v>
      </c>
      <c r="C114" s="28" t="s">
        <v>1670</v>
      </c>
      <c r="D114" s="17" t="s">
        <v>2951</v>
      </c>
      <c r="E114" s="17" t="s">
        <v>2952</v>
      </c>
      <c r="F114" s="20">
        <v>539</v>
      </c>
      <c r="G114" s="20">
        <v>181</v>
      </c>
      <c r="H114" s="19">
        <v>899</v>
      </c>
      <c r="I114" s="20">
        <v>435</v>
      </c>
      <c r="J114" s="20">
        <v>464</v>
      </c>
      <c r="K114" s="20">
        <v>216</v>
      </c>
      <c r="L114" s="57">
        <f t="shared" si="4"/>
        <v>0.24026696329254726</v>
      </c>
      <c r="M114" s="20">
        <v>9</v>
      </c>
      <c r="N114" s="57">
        <f t="shared" si="5"/>
        <v>1.0011123470522803E-2</v>
      </c>
      <c r="O114" s="46">
        <v>96</v>
      </c>
      <c r="P114" s="46">
        <v>0</v>
      </c>
      <c r="Q114" s="58" t="s">
        <v>51</v>
      </c>
      <c r="R114" s="58">
        <v>2020</v>
      </c>
      <c r="S114" s="58"/>
      <c r="T114" s="58"/>
      <c r="U114" s="58"/>
      <c r="V114" s="58"/>
      <c r="W114" s="58"/>
      <c r="X114" s="58" t="s">
        <v>51</v>
      </c>
      <c r="Y114" s="58"/>
      <c r="Z114" s="58"/>
      <c r="AA114" s="58"/>
      <c r="AB114" s="58"/>
      <c r="AC114" s="58" t="s">
        <v>51</v>
      </c>
      <c r="AD114" s="58"/>
      <c r="AE114" s="58"/>
      <c r="AF114" s="58"/>
      <c r="AG114" s="58"/>
      <c r="AH114" s="58"/>
      <c r="AI114" s="58"/>
    </row>
  </sheetData>
  <autoFilter ref="A2:AI114">
    <filterColumn colId="33" showButton="0"/>
  </autoFilter>
  <mergeCells count="1">
    <mergeCell ref="AH2:AI2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78"/>
  <sheetViews>
    <sheetView topLeftCell="M1" zoomScale="75" zoomScaleNormal="75" workbookViewId="0">
      <selection activeCell="X3" sqref="X3"/>
    </sheetView>
  </sheetViews>
  <sheetFormatPr defaultColWidth="9.1796875" defaultRowHeight="14.5" x14ac:dyDescent="0.35"/>
  <cols>
    <col min="15" max="35" width="16.6328125" customWidth="1"/>
  </cols>
  <sheetData>
    <row r="1" spans="1:35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4"/>
      <c r="P1" s="4"/>
      <c r="Q1" s="38" t="s">
        <v>0</v>
      </c>
      <c r="R1" s="38" t="s">
        <v>0</v>
      </c>
      <c r="S1" s="38" t="s">
        <v>0</v>
      </c>
      <c r="T1" s="39" t="s">
        <v>0</v>
      </c>
      <c r="U1" s="39" t="s">
        <v>0</v>
      </c>
      <c r="V1" s="38" t="s">
        <v>1</v>
      </c>
      <c r="W1" s="38" t="s">
        <v>1</v>
      </c>
      <c r="X1" s="38" t="s">
        <v>1</v>
      </c>
      <c r="Y1" s="38" t="s">
        <v>1</v>
      </c>
      <c r="Z1" s="38" t="s">
        <v>1</v>
      </c>
      <c r="AA1" s="38" t="s">
        <v>1</v>
      </c>
      <c r="AB1" s="38" t="s">
        <v>2</v>
      </c>
      <c r="AC1" s="40" t="s">
        <v>3</v>
      </c>
      <c r="AD1" s="41" t="s">
        <v>3</v>
      </c>
      <c r="AE1" s="40" t="s">
        <v>3</v>
      </c>
      <c r="AF1" s="40" t="s">
        <v>3</v>
      </c>
      <c r="AG1" s="40" t="s">
        <v>3</v>
      </c>
      <c r="AH1" s="40" t="s">
        <v>3</v>
      </c>
      <c r="AI1" s="40" t="s">
        <v>3</v>
      </c>
    </row>
    <row r="2" spans="1:35" ht="136.25" customHeight="1" x14ac:dyDescent="0.3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5" t="s">
        <v>14</v>
      </c>
      <c r="L2" s="5"/>
      <c r="M2" s="5" t="s">
        <v>15</v>
      </c>
      <c r="N2" s="5"/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2" t="s">
        <v>21</v>
      </c>
      <c r="U2" s="42" t="s">
        <v>22</v>
      </c>
      <c r="V2" s="11" t="s">
        <v>23</v>
      </c>
      <c r="W2" s="4" t="s">
        <v>24</v>
      </c>
      <c r="X2" s="11" t="s">
        <v>25</v>
      </c>
      <c r="Y2" s="4" t="s">
        <v>26</v>
      </c>
      <c r="Z2" s="4" t="s">
        <v>27</v>
      </c>
      <c r="AA2" s="11" t="s">
        <v>28</v>
      </c>
      <c r="AB2" s="43" t="s">
        <v>29</v>
      </c>
      <c r="AC2" s="11" t="s">
        <v>30</v>
      </c>
      <c r="AD2" s="43" t="s">
        <v>31</v>
      </c>
      <c r="AE2" s="11" t="s">
        <v>32</v>
      </c>
      <c r="AF2" s="11" t="s">
        <v>33</v>
      </c>
      <c r="AG2" s="11" t="s">
        <v>34</v>
      </c>
      <c r="AH2" s="1" t="s">
        <v>35</v>
      </c>
      <c r="AI2" s="1"/>
    </row>
    <row r="3" spans="1:35" x14ac:dyDescent="0.35">
      <c r="A3" s="17"/>
      <c r="B3" s="17"/>
      <c r="C3" s="5"/>
      <c r="D3" s="5"/>
      <c r="E3" s="5"/>
      <c r="F3" s="5" t="s">
        <v>37</v>
      </c>
      <c r="G3" s="5" t="s">
        <v>38</v>
      </c>
      <c r="H3" s="5" t="s">
        <v>38</v>
      </c>
      <c r="I3" s="5" t="s">
        <v>38</v>
      </c>
      <c r="J3" s="5" t="s">
        <v>38</v>
      </c>
      <c r="K3" s="5" t="s">
        <v>38</v>
      </c>
      <c r="L3" s="5" t="s">
        <v>39</v>
      </c>
      <c r="M3" s="5"/>
      <c r="N3" s="5" t="s">
        <v>39</v>
      </c>
      <c r="O3" s="5" t="s">
        <v>37</v>
      </c>
      <c r="P3" s="5" t="s">
        <v>37</v>
      </c>
      <c r="Q3" s="5" t="s">
        <v>40</v>
      </c>
      <c r="R3" s="5" t="s">
        <v>41</v>
      </c>
      <c r="S3" s="5" t="s">
        <v>37</v>
      </c>
      <c r="T3" s="44"/>
      <c r="U3" s="44"/>
      <c r="V3" s="5" t="s">
        <v>37</v>
      </c>
      <c r="W3" s="5" t="s">
        <v>37</v>
      </c>
      <c r="X3" s="5" t="s">
        <v>40</v>
      </c>
      <c r="Y3" s="5" t="s">
        <v>40</v>
      </c>
      <c r="Z3" s="5" t="s">
        <v>40</v>
      </c>
      <c r="AA3" s="5" t="s">
        <v>37</v>
      </c>
      <c r="AB3" s="45" t="s">
        <v>42</v>
      </c>
      <c r="AC3" s="5" t="s">
        <v>40</v>
      </c>
      <c r="AD3" s="45" t="s">
        <v>40</v>
      </c>
      <c r="AE3" s="5" t="s">
        <v>40</v>
      </c>
      <c r="AF3" s="5" t="s">
        <v>37</v>
      </c>
      <c r="AG3" s="5" t="s">
        <v>43</v>
      </c>
      <c r="AH3" s="5" t="s">
        <v>44</v>
      </c>
      <c r="AI3" s="5" t="s">
        <v>45</v>
      </c>
    </row>
    <row r="4" spans="1:35" x14ac:dyDescent="0.35">
      <c r="A4" s="17" t="s">
        <v>46</v>
      </c>
      <c r="B4" s="17" t="s">
        <v>2574</v>
      </c>
      <c r="C4" s="28" t="s">
        <v>2953</v>
      </c>
      <c r="D4" s="17" t="s">
        <v>2954</v>
      </c>
      <c r="E4" s="17" t="s">
        <v>2955</v>
      </c>
      <c r="F4" s="20">
        <v>92</v>
      </c>
      <c r="G4" s="20">
        <v>6</v>
      </c>
      <c r="H4" s="19">
        <v>30</v>
      </c>
      <c r="I4" s="20">
        <v>13</v>
      </c>
      <c r="J4" s="20">
        <v>17</v>
      </c>
      <c r="K4" s="20">
        <v>0</v>
      </c>
      <c r="L4" s="57">
        <f>K4/H4</f>
        <v>0</v>
      </c>
      <c r="M4" s="20">
        <v>21</v>
      </c>
      <c r="N4" s="57">
        <f>M4/H4</f>
        <v>0.7</v>
      </c>
      <c r="O4" s="46">
        <v>0</v>
      </c>
      <c r="P4" s="46">
        <v>0</v>
      </c>
      <c r="Q4" s="58" t="s">
        <v>562</v>
      </c>
      <c r="R4" s="58"/>
      <c r="S4" s="58"/>
      <c r="T4" s="58"/>
      <c r="U4" s="58"/>
      <c r="V4" s="58"/>
      <c r="W4" s="58"/>
      <c r="X4" s="58" t="s">
        <v>562</v>
      </c>
      <c r="Y4" s="58"/>
      <c r="Z4" s="58"/>
      <c r="AA4" s="58"/>
      <c r="AB4" s="58"/>
      <c r="AC4" s="58" t="s">
        <v>562</v>
      </c>
      <c r="AD4" s="58"/>
      <c r="AE4" s="58"/>
      <c r="AF4" s="58"/>
      <c r="AG4" s="58"/>
      <c r="AH4" s="58"/>
      <c r="AI4" s="58"/>
    </row>
    <row r="5" spans="1:35" x14ac:dyDescent="0.35">
      <c r="A5" s="17" t="s">
        <v>46</v>
      </c>
      <c r="B5" s="17" t="s">
        <v>2574</v>
      </c>
      <c r="C5" s="28" t="s">
        <v>2953</v>
      </c>
      <c r="D5" s="17" t="s">
        <v>2956</v>
      </c>
      <c r="E5" s="17" t="s">
        <v>2957</v>
      </c>
      <c r="F5" s="28">
        <v>30</v>
      </c>
      <c r="G5" s="47"/>
      <c r="H5" s="19">
        <v>0</v>
      </c>
      <c r="I5" s="47"/>
      <c r="J5" s="47"/>
      <c r="K5" s="47"/>
      <c r="L5" s="57"/>
      <c r="M5" s="47"/>
      <c r="N5" s="57"/>
      <c r="O5" s="48">
        <v>0</v>
      </c>
      <c r="P5" s="48">
        <v>0</v>
      </c>
      <c r="Q5" s="58" t="s">
        <v>112</v>
      </c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</row>
    <row r="6" spans="1:35" x14ac:dyDescent="0.35">
      <c r="A6" s="17" t="s">
        <v>46</v>
      </c>
      <c r="B6" s="17" t="s">
        <v>2574</v>
      </c>
      <c r="C6" s="28" t="s">
        <v>2958</v>
      </c>
      <c r="D6" s="17" t="s">
        <v>2959</v>
      </c>
      <c r="E6" s="17" t="s">
        <v>2960</v>
      </c>
      <c r="F6" s="20">
        <v>283</v>
      </c>
      <c r="G6" s="20">
        <v>108</v>
      </c>
      <c r="H6" s="19">
        <v>567</v>
      </c>
      <c r="I6" s="20">
        <v>292</v>
      </c>
      <c r="J6" s="20">
        <v>275</v>
      </c>
      <c r="K6" s="20">
        <v>40</v>
      </c>
      <c r="L6" s="57">
        <f t="shared" ref="L6:L23" si="0">K6/H6</f>
        <v>7.0546737213403876E-2</v>
      </c>
      <c r="M6" s="20">
        <v>41</v>
      </c>
      <c r="N6" s="57">
        <f t="shared" ref="N6:N23" si="1">M6/H6</f>
        <v>7.2310405643738973E-2</v>
      </c>
      <c r="O6" s="46">
        <v>23</v>
      </c>
      <c r="P6" s="46">
        <v>0</v>
      </c>
      <c r="Q6" s="58" t="s">
        <v>51</v>
      </c>
      <c r="R6" s="58">
        <v>2021</v>
      </c>
      <c r="S6" s="58"/>
      <c r="T6" s="58"/>
      <c r="U6" s="58"/>
      <c r="V6" s="58"/>
      <c r="W6" s="58"/>
      <c r="X6" s="58" t="s">
        <v>51</v>
      </c>
      <c r="Y6" s="58"/>
      <c r="Z6" s="58"/>
      <c r="AA6" s="58"/>
      <c r="AB6" s="58"/>
      <c r="AC6" s="58" t="s">
        <v>51</v>
      </c>
      <c r="AD6" s="58"/>
      <c r="AE6" s="58"/>
      <c r="AF6" s="58"/>
      <c r="AG6" s="58"/>
      <c r="AH6" s="58"/>
      <c r="AI6" s="58"/>
    </row>
    <row r="7" spans="1:35" x14ac:dyDescent="0.35">
      <c r="A7" s="17" t="s">
        <v>46</v>
      </c>
      <c r="B7" s="17" t="s">
        <v>2574</v>
      </c>
      <c r="C7" s="28" t="s">
        <v>2958</v>
      </c>
      <c r="D7" s="17" t="s">
        <v>2961</v>
      </c>
      <c r="E7" s="17" t="s">
        <v>2962</v>
      </c>
      <c r="F7" s="20">
        <v>646</v>
      </c>
      <c r="G7" s="20">
        <v>412</v>
      </c>
      <c r="H7" s="19">
        <v>2080</v>
      </c>
      <c r="I7" s="20">
        <v>1062</v>
      </c>
      <c r="J7" s="20">
        <v>1018</v>
      </c>
      <c r="K7" s="20">
        <v>272</v>
      </c>
      <c r="L7" s="57">
        <f t="shared" si="0"/>
        <v>0.13076923076923078</v>
      </c>
      <c r="M7" s="20">
        <v>276</v>
      </c>
      <c r="N7" s="57">
        <f t="shared" si="1"/>
        <v>0.13269230769230769</v>
      </c>
      <c r="O7" s="46">
        <v>48</v>
      </c>
      <c r="P7" s="46">
        <v>0</v>
      </c>
      <c r="Q7" s="58" t="s">
        <v>51</v>
      </c>
      <c r="R7" s="58">
        <v>2021</v>
      </c>
      <c r="S7" s="58"/>
      <c r="T7" s="58"/>
      <c r="U7" s="58"/>
      <c r="V7" s="58"/>
      <c r="W7" s="58"/>
      <c r="X7" s="58" t="s">
        <v>51</v>
      </c>
      <c r="Y7" s="58"/>
      <c r="Z7" s="58"/>
      <c r="AA7" s="58"/>
      <c r="AB7" s="58"/>
      <c r="AC7" s="58" t="s">
        <v>51</v>
      </c>
      <c r="AD7" s="58"/>
      <c r="AE7" s="58"/>
      <c r="AF7" s="58"/>
      <c r="AG7" s="58"/>
      <c r="AH7" s="58"/>
      <c r="AI7" s="58"/>
    </row>
    <row r="8" spans="1:35" x14ac:dyDescent="0.35">
      <c r="A8" s="17" t="s">
        <v>46</v>
      </c>
      <c r="B8" s="17" t="s">
        <v>2574</v>
      </c>
      <c r="C8" s="28" t="s">
        <v>2963</v>
      </c>
      <c r="D8" s="17" t="s">
        <v>2964</v>
      </c>
      <c r="E8" s="17" t="s">
        <v>2965</v>
      </c>
      <c r="F8" s="20">
        <v>146</v>
      </c>
      <c r="G8" s="20">
        <v>87</v>
      </c>
      <c r="H8" s="19">
        <v>436</v>
      </c>
      <c r="I8" s="20">
        <v>210</v>
      </c>
      <c r="J8" s="20">
        <v>226</v>
      </c>
      <c r="K8" s="20">
        <v>44</v>
      </c>
      <c r="L8" s="57">
        <f t="shared" si="0"/>
        <v>0.10091743119266056</v>
      </c>
      <c r="M8" s="20">
        <v>20</v>
      </c>
      <c r="N8" s="57">
        <f t="shared" si="1"/>
        <v>4.5871559633027525E-2</v>
      </c>
      <c r="O8" s="46">
        <v>0</v>
      </c>
      <c r="P8" s="46">
        <v>0</v>
      </c>
      <c r="Q8" s="58" t="s">
        <v>562</v>
      </c>
      <c r="R8" s="58"/>
      <c r="S8" s="58"/>
      <c r="T8" s="58"/>
      <c r="U8" s="58"/>
      <c r="V8" s="58"/>
      <c r="W8" s="58"/>
      <c r="X8" s="58" t="s">
        <v>562</v>
      </c>
      <c r="Y8" s="58"/>
      <c r="Z8" s="58"/>
      <c r="AA8" s="58"/>
      <c r="AB8" s="58"/>
      <c r="AC8" s="58" t="s">
        <v>562</v>
      </c>
      <c r="AD8" s="58"/>
      <c r="AE8" s="58"/>
      <c r="AF8" s="58"/>
      <c r="AG8" s="58"/>
      <c r="AH8" s="58"/>
      <c r="AI8" s="58"/>
    </row>
    <row r="9" spans="1:35" x14ac:dyDescent="0.35">
      <c r="A9" s="17" t="s">
        <v>46</v>
      </c>
      <c r="B9" s="17" t="s">
        <v>2574</v>
      </c>
      <c r="C9" s="28" t="s">
        <v>2963</v>
      </c>
      <c r="D9" s="17" t="s">
        <v>714</v>
      </c>
      <c r="E9" s="17" t="s">
        <v>2966</v>
      </c>
      <c r="F9" s="20">
        <v>274</v>
      </c>
      <c r="G9" s="20">
        <v>140</v>
      </c>
      <c r="H9" s="19">
        <v>625</v>
      </c>
      <c r="I9" s="20">
        <v>319</v>
      </c>
      <c r="J9" s="20">
        <v>306</v>
      </c>
      <c r="K9" s="20">
        <v>25</v>
      </c>
      <c r="L9" s="57">
        <f t="shared" si="0"/>
        <v>0.04</v>
      </c>
      <c r="M9" s="20">
        <v>326</v>
      </c>
      <c r="N9" s="57">
        <f t="shared" si="1"/>
        <v>0.52159999999999995</v>
      </c>
      <c r="O9" s="46">
        <v>35</v>
      </c>
      <c r="P9" s="46">
        <v>45</v>
      </c>
      <c r="Q9" s="58" t="s">
        <v>562</v>
      </c>
      <c r="R9" s="58"/>
      <c r="S9" s="58"/>
      <c r="T9" s="58"/>
      <c r="U9" s="58"/>
      <c r="V9" s="58"/>
      <c r="W9" s="58"/>
      <c r="X9" s="58" t="s">
        <v>562</v>
      </c>
      <c r="Y9" s="58"/>
      <c r="Z9" s="58"/>
      <c r="AA9" s="58"/>
      <c r="AB9" s="58"/>
      <c r="AC9" s="58" t="s">
        <v>562</v>
      </c>
      <c r="AD9" s="58"/>
      <c r="AE9" s="58"/>
      <c r="AF9" s="58"/>
      <c r="AG9" s="58"/>
      <c r="AH9" s="58"/>
      <c r="AI9" s="58"/>
    </row>
    <row r="10" spans="1:35" x14ac:dyDescent="0.35">
      <c r="A10" s="17" t="s">
        <v>46</v>
      </c>
      <c r="B10" s="17" t="s">
        <v>2574</v>
      </c>
      <c r="C10" s="28" t="s">
        <v>2963</v>
      </c>
      <c r="D10" s="17" t="s">
        <v>2967</v>
      </c>
      <c r="E10" s="17" t="s">
        <v>2968</v>
      </c>
      <c r="F10" s="20">
        <v>197</v>
      </c>
      <c r="G10" s="20">
        <v>96</v>
      </c>
      <c r="H10" s="19">
        <v>501</v>
      </c>
      <c r="I10" s="20">
        <v>255</v>
      </c>
      <c r="J10" s="20">
        <v>246</v>
      </c>
      <c r="K10" s="20">
        <v>46</v>
      </c>
      <c r="L10" s="57">
        <f t="shared" si="0"/>
        <v>9.1816367265469059E-2</v>
      </c>
      <c r="M10" s="20">
        <v>56</v>
      </c>
      <c r="N10" s="57">
        <f t="shared" si="1"/>
        <v>0.11177644710578842</v>
      </c>
      <c r="O10" s="46">
        <v>18</v>
      </c>
      <c r="P10" s="46">
        <v>0</v>
      </c>
      <c r="Q10" s="58" t="s">
        <v>51</v>
      </c>
      <c r="R10" s="58">
        <v>2020</v>
      </c>
      <c r="S10" s="58"/>
      <c r="T10" s="58"/>
      <c r="U10" s="58"/>
      <c r="V10" s="58"/>
      <c r="W10" s="58"/>
      <c r="X10" s="58" t="s">
        <v>51</v>
      </c>
      <c r="Y10" s="58"/>
      <c r="Z10" s="58"/>
      <c r="AA10" s="58"/>
      <c r="AB10" s="58"/>
      <c r="AC10" s="58" t="s">
        <v>51</v>
      </c>
      <c r="AD10" s="58"/>
      <c r="AE10" s="58"/>
      <c r="AF10" s="58"/>
      <c r="AG10" s="58"/>
      <c r="AH10" s="58"/>
      <c r="AI10" s="58"/>
    </row>
    <row r="11" spans="1:35" x14ac:dyDescent="0.35">
      <c r="A11" s="17" t="s">
        <v>46</v>
      </c>
      <c r="B11" s="17" t="s">
        <v>2574</v>
      </c>
      <c r="C11" s="28" t="s">
        <v>2963</v>
      </c>
      <c r="D11" s="17" t="s">
        <v>2969</v>
      </c>
      <c r="E11" s="17" t="s">
        <v>2970</v>
      </c>
      <c r="F11" s="20">
        <v>480</v>
      </c>
      <c r="G11" s="20">
        <v>257</v>
      </c>
      <c r="H11" s="19">
        <v>1148</v>
      </c>
      <c r="I11" s="20">
        <v>580</v>
      </c>
      <c r="J11" s="20">
        <v>568</v>
      </c>
      <c r="K11" s="20">
        <v>158</v>
      </c>
      <c r="L11" s="57">
        <f t="shared" si="0"/>
        <v>0.13763066202090593</v>
      </c>
      <c r="M11" s="20">
        <v>255</v>
      </c>
      <c r="N11" s="57">
        <f t="shared" si="1"/>
        <v>0.22212543554006969</v>
      </c>
      <c r="O11" s="46">
        <v>16</v>
      </c>
      <c r="P11" s="46">
        <v>176</v>
      </c>
      <c r="Q11" s="58" t="s">
        <v>51</v>
      </c>
      <c r="R11" s="58">
        <v>2020</v>
      </c>
      <c r="S11" s="58"/>
      <c r="T11" s="58"/>
      <c r="U11" s="58"/>
      <c r="V11" s="58"/>
      <c r="W11" s="58"/>
      <c r="X11" s="58" t="s">
        <v>51</v>
      </c>
      <c r="Y11" s="58"/>
      <c r="Z11" s="58"/>
      <c r="AA11" s="58"/>
      <c r="AB11" s="58"/>
      <c r="AC11" s="58" t="s">
        <v>51</v>
      </c>
      <c r="AD11" s="58"/>
      <c r="AE11" s="58"/>
      <c r="AF11" s="58"/>
      <c r="AG11" s="58"/>
      <c r="AH11" s="58"/>
      <c r="AI11" s="58"/>
    </row>
    <row r="12" spans="1:35" x14ac:dyDescent="0.35">
      <c r="A12" s="17" t="s">
        <v>46</v>
      </c>
      <c r="B12" s="17" t="s">
        <v>2574</v>
      </c>
      <c r="C12" s="28" t="s">
        <v>2971</v>
      </c>
      <c r="D12" s="17" t="s">
        <v>2972</v>
      </c>
      <c r="E12" s="17" t="s">
        <v>2973</v>
      </c>
      <c r="F12" s="20">
        <v>390</v>
      </c>
      <c r="G12" s="20">
        <v>170</v>
      </c>
      <c r="H12" s="19">
        <v>830</v>
      </c>
      <c r="I12" s="20">
        <v>430</v>
      </c>
      <c r="J12" s="20">
        <v>400</v>
      </c>
      <c r="K12" s="20">
        <v>89</v>
      </c>
      <c r="L12" s="57">
        <f t="shared" si="0"/>
        <v>0.10722891566265061</v>
      </c>
      <c r="M12" s="20">
        <v>155</v>
      </c>
      <c r="N12" s="57">
        <f t="shared" si="1"/>
        <v>0.18674698795180722</v>
      </c>
      <c r="O12" s="46">
        <v>47</v>
      </c>
      <c r="P12" s="46">
        <v>0</v>
      </c>
      <c r="Q12" s="58" t="s">
        <v>51</v>
      </c>
      <c r="R12" s="58">
        <v>2021</v>
      </c>
      <c r="S12" s="58"/>
      <c r="T12" s="58"/>
      <c r="U12" s="58"/>
      <c r="V12" s="58"/>
      <c r="W12" s="58"/>
      <c r="X12" s="58" t="s">
        <v>51</v>
      </c>
      <c r="Y12" s="58"/>
      <c r="Z12" s="58"/>
      <c r="AA12" s="58"/>
      <c r="AB12" s="58"/>
      <c r="AC12" s="58" t="s">
        <v>51</v>
      </c>
      <c r="AD12" s="58"/>
      <c r="AE12" s="58"/>
      <c r="AF12" s="58"/>
      <c r="AG12" s="58"/>
      <c r="AH12" s="58"/>
      <c r="AI12" s="58"/>
    </row>
    <row r="13" spans="1:35" x14ac:dyDescent="0.35">
      <c r="A13" s="17" t="s">
        <v>46</v>
      </c>
      <c r="B13" s="17" t="s">
        <v>2574</v>
      </c>
      <c r="C13" s="28" t="s">
        <v>2971</v>
      </c>
      <c r="D13" s="17" t="s">
        <v>2385</v>
      </c>
      <c r="E13" s="17" t="s">
        <v>2974</v>
      </c>
      <c r="F13" s="20">
        <v>441</v>
      </c>
      <c r="G13" s="20">
        <v>88</v>
      </c>
      <c r="H13" s="19">
        <v>439</v>
      </c>
      <c r="I13" s="20">
        <v>213</v>
      </c>
      <c r="J13" s="20">
        <v>226</v>
      </c>
      <c r="K13" s="20">
        <v>18</v>
      </c>
      <c r="L13" s="57">
        <f t="shared" si="0"/>
        <v>4.1002277904328019E-2</v>
      </c>
      <c r="M13" s="20">
        <v>97</v>
      </c>
      <c r="N13" s="57">
        <f t="shared" si="1"/>
        <v>0.22095671981776766</v>
      </c>
      <c r="O13" s="46">
        <v>19</v>
      </c>
      <c r="P13" s="46">
        <v>0</v>
      </c>
      <c r="Q13" s="58" t="s">
        <v>562</v>
      </c>
      <c r="R13" s="58"/>
      <c r="S13" s="58"/>
      <c r="T13" s="58"/>
      <c r="U13" s="58"/>
      <c r="V13" s="58"/>
      <c r="W13" s="58"/>
      <c r="X13" s="58" t="s">
        <v>562</v>
      </c>
      <c r="Y13" s="58"/>
      <c r="Z13" s="58"/>
      <c r="AA13" s="58"/>
      <c r="AB13" s="58"/>
      <c r="AC13" s="58" t="s">
        <v>562</v>
      </c>
      <c r="AD13" s="58"/>
      <c r="AE13" s="58"/>
      <c r="AF13" s="58"/>
      <c r="AG13" s="58"/>
      <c r="AH13" s="58"/>
      <c r="AI13" s="58"/>
    </row>
    <row r="14" spans="1:35" x14ac:dyDescent="0.35">
      <c r="A14" s="17" t="s">
        <v>46</v>
      </c>
      <c r="B14" s="17" t="s">
        <v>2574</v>
      </c>
      <c r="C14" s="28" t="s">
        <v>2975</v>
      </c>
      <c r="D14" s="17" t="s">
        <v>2976</v>
      </c>
      <c r="E14" s="17" t="s">
        <v>2977</v>
      </c>
      <c r="F14" s="20">
        <v>144</v>
      </c>
      <c r="G14" s="20">
        <v>114</v>
      </c>
      <c r="H14" s="19">
        <v>551</v>
      </c>
      <c r="I14" s="20">
        <v>267</v>
      </c>
      <c r="J14" s="20">
        <v>284</v>
      </c>
      <c r="K14" s="20">
        <v>316</v>
      </c>
      <c r="L14" s="57">
        <f t="shared" si="0"/>
        <v>0.573502722323049</v>
      </c>
      <c r="M14" s="20">
        <v>70</v>
      </c>
      <c r="N14" s="57">
        <f t="shared" si="1"/>
        <v>0.12704174228675136</v>
      </c>
      <c r="O14" s="46">
        <v>35</v>
      </c>
      <c r="P14" s="46">
        <v>0</v>
      </c>
      <c r="Q14" s="58" t="s">
        <v>562</v>
      </c>
      <c r="R14" s="58"/>
      <c r="S14" s="58"/>
      <c r="T14" s="58"/>
      <c r="U14" s="58"/>
      <c r="V14" s="58"/>
      <c r="W14" s="58"/>
      <c r="X14" s="58" t="s">
        <v>562</v>
      </c>
      <c r="Y14" s="58"/>
      <c r="Z14" s="58"/>
      <c r="AA14" s="58"/>
      <c r="AB14" s="58"/>
      <c r="AC14" s="58" t="s">
        <v>562</v>
      </c>
      <c r="AD14" s="58"/>
      <c r="AE14" s="58"/>
      <c r="AF14" s="58"/>
      <c r="AG14" s="58"/>
      <c r="AH14" s="58"/>
      <c r="AI14" s="58"/>
    </row>
    <row r="15" spans="1:35" x14ac:dyDescent="0.35">
      <c r="A15" s="17" t="s">
        <v>46</v>
      </c>
      <c r="B15" s="17" t="s">
        <v>2574</v>
      </c>
      <c r="C15" s="28" t="s">
        <v>2975</v>
      </c>
      <c r="D15" s="17" t="s">
        <v>2309</v>
      </c>
      <c r="E15" s="17" t="s">
        <v>2978</v>
      </c>
      <c r="F15" s="20">
        <v>141</v>
      </c>
      <c r="G15" s="20">
        <v>58</v>
      </c>
      <c r="H15" s="19">
        <v>245</v>
      </c>
      <c r="I15" s="20">
        <v>127</v>
      </c>
      <c r="J15" s="20">
        <v>118</v>
      </c>
      <c r="K15" s="20">
        <v>32</v>
      </c>
      <c r="L15" s="57">
        <f t="shared" si="0"/>
        <v>0.1306122448979592</v>
      </c>
      <c r="M15" s="20">
        <v>74</v>
      </c>
      <c r="N15" s="57">
        <f t="shared" si="1"/>
        <v>0.30204081632653063</v>
      </c>
      <c r="O15" s="46">
        <v>8</v>
      </c>
      <c r="P15" s="46">
        <v>0</v>
      </c>
      <c r="Q15" s="58" t="s">
        <v>562</v>
      </c>
      <c r="R15" s="58"/>
      <c r="S15" s="58"/>
      <c r="T15" s="58"/>
      <c r="U15" s="58"/>
      <c r="V15" s="58"/>
      <c r="W15" s="58"/>
      <c r="X15" s="58" t="s">
        <v>562</v>
      </c>
      <c r="Y15" s="58"/>
      <c r="Z15" s="58"/>
      <c r="AA15" s="58"/>
      <c r="AB15" s="58"/>
      <c r="AC15" s="58" t="s">
        <v>562</v>
      </c>
      <c r="AD15" s="58"/>
      <c r="AE15" s="58"/>
      <c r="AF15" s="58"/>
      <c r="AG15" s="58"/>
      <c r="AH15" s="58"/>
      <c r="AI15" s="58"/>
    </row>
    <row r="16" spans="1:35" x14ac:dyDescent="0.35">
      <c r="A16" s="17" t="s">
        <v>46</v>
      </c>
      <c r="B16" s="17" t="s">
        <v>2574</v>
      </c>
      <c r="C16" s="28" t="s">
        <v>2953</v>
      </c>
      <c r="D16" s="17" t="s">
        <v>2979</v>
      </c>
      <c r="E16" s="17" t="s">
        <v>2980</v>
      </c>
      <c r="F16" s="20">
        <v>910</v>
      </c>
      <c r="G16" s="20">
        <v>765</v>
      </c>
      <c r="H16" s="19">
        <v>3827</v>
      </c>
      <c r="I16" s="20">
        <v>1906</v>
      </c>
      <c r="J16" s="20">
        <v>1921</v>
      </c>
      <c r="K16" s="20">
        <v>812</v>
      </c>
      <c r="L16" s="57">
        <f t="shared" si="0"/>
        <v>0.21217663966553435</v>
      </c>
      <c r="M16" s="20">
        <v>13</v>
      </c>
      <c r="N16" s="57">
        <f t="shared" si="1"/>
        <v>3.3969166448915601E-3</v>
      </c>
      <c r="O16" s="46">
        <v>110</v>
      </c>
      <c r="P16" s="46">
        <v>0</v>
      </c>
      <c r="Q16" s="58" t="s">
        <v>51</v>
      </c>
      <c r="R16" s="58">
        <v>2021</v>
      </c>
      <c r="S16" s="58"/>
      <c r="T16" s="58"/>
      <c r="U16" s="58"/>
      <c r="V16" s="58"/>
      <c r="W16" s="58"/>
      <c r="X16" s="58" t="s">
        <v>51</v>
      </c>
      <c r="Y16" s="58"/>
      <c r="Z16" s="58"/>
      <c r="AA16" s="58"/>
      <c r="AB16" s="58"/>
      <c r="AC16" s="58" t="s">
        <v>51</v>
      </c>
      <c r="AD16" s="58"/>
      <c r="AE16" s="58"/>
      <c r="AF16" s="58"/>
      <c r="AG16" s="58"/>
      <c r="AH16" s="58"/>
      <c r="AI16" s="58"/>
    </row>
    <row r="17" spans="1:35" x14ac:dyDescent="0.35">
      <c r="A17" s="17" t="s">
        <v>46</v>
      </c>
      <c r="B17" s="17" t="s">
        <v>2574</v>
      </c>
      <c r="C17" s="28" t="s">
        <v>2953</v>
      </c>
      <c r="D17" s="17" t="s">
        <v>2981</v>
      </c>
      <c r="E17" s="17" t="s">
        <v>2982</v>
      </c>
      <c r="F17" s="20">
        <v>210</v>
      </c>
      <c r="G17" s="20">
        <v>52</v>
      </c>
      <c r="H17" s="19">
        <v>247</v>
      </c>
      <c r="I17" s="20">
        <v>122</v>
      </c>
      <c r="J17" s="20">
        <v>125</v>
      </c>
      <c r="K17" s="20">
        <v>39</v>
      </c>
      <c r="L17" s="57">
        <f t="shared" si="0"/>
        <v>0.15789473684210525</v>
      </c>
      <c r="M17" s="20">
        <v>34</v>
      </c>
      <c r="N17" s="57">
        <f t="shared" si="1"/>
        <v>0.13765182186234817</v>
      </c>
      <c r="O17" s="46">
        <v>18</v>
      </c>
      <c r="P17" s="46">
        <v>0</v>
      </c>
      <c r="Q17" s="58" t="s">
        <v>562</v>
      </c>
      <c r="R17" s="58"/>
      <c r="S17" s="58"/>
      <c r="T17" s="58"/>
      <c r="U17" s="58"/>
      <c r="V17" s="58"/>
      <c r="W17" s="58"/>
      <c r="X17" s="58" t="s">
        <v>562</v>
      </c>
      <c r="Y17" s="58"/>
      <c r="Z17" s="58"/>
      <c r="AA17" s="58"/>
      <c r="AB17" s="58"/>
      <c r="AC17" s="58" t="s">
        <v>562</v>
      </c>
      <c r="AD17" s="58"/>
      <c r="AE17" s="58"/>
      <c r="AF17" s="58"/>
      <c r="AG17" s="58"/>
      <c r="AH17" s="58"/>
      <c r="AI17" s="58"/>
    </row>
    <row r="18" spans="1:35" x14ac:dyDescent="0.35">
      <c r="A18" s="17" t="s">
        <v>46</v>
      </c>
      <c r="B18" s="17" t="s">
        <v>2574</v>
      </c>
      <c r="C18" s="28" t="s">
        <v>2975</v>
      </c>
      <c r="D18" s="17" t="s">
        <v>2983</v>
      </c>
      <c r="E18" s="17" t="s">
        <v>2984</v>
      </c>
      <c r="F18" s="20">
        <v>353</v>
      </c>
      <c r="G18" s="20">
        <v>237</v>
      </c>
      <c r="H18" s="19">
        <v>1168</v>
      </c>
      <c r="I18" s="20">
        <v>576</v>
      </c>
      <c r="J18" s="20">
        <v>592</v>
      </c>
      <c r="K18" s="20">
        <v>285</v>
      </c>
      <c r="L18" s="57">
        <f t="shared" si="0"/>
        <v>0.2440068493150685</v>
      </c>
      <c r="M18" s="20">
        <v>169</v>
      </c>
      <c r="N18" s="57">
        <f t="shared" si="1"/>
        <v>0.1446917808219178</v>
      </c>
      <c r="O18" s="46">
        <v>52</v>
      </c>
      <c r="P18" s="46">
        <v>0</v>
      </c>
      <c r="Q18" s="58" t="s">
        <v>51</v>
      </c>
      <c r="R18" s="58">
        <v>2020</v>
      </c>
      <c r="S18" s="58"/>
      <c r="T18" s="58"/>
      <c r="U18" s="58"/>
      <c r="V18" s="58"/>
      <c r="W18" s="58"/>
      <c r="X18" s="58" t="s">
        <v>51</v>
      </c>
      <c r="Y18" s="58"/>
      <c r="Z18" s="58"/>
      <c r="AA18" s="58"/>
      <c r="AB18" s="58"/>
      <c r="AC18" s="58" t="s">
        <v>51</v>
      </c>
      <c r="AD18" s="58"/>
      <c r="AE18" s="58"/>
      <c r="AF18" s="58"/>
      <c r="AG18" s="58"/>
      <c r="AH18" s="58"/>
      <c r="AI18" s="58"/>
    </row>
    <row r="19" spans="1:35" x14ac:dyDescent="0.35">
      <c r="A19" s="17" t="s">
        <v>46</v>
      </c>
      <c r="B19" s="17" t="s">
        <v>2574</v>
      </c>
      <c r="C19" s="28" t="s">
        <v>2975</v>
      </c>
      <c r="D19" s="17" t="s">
        <v>2985</v>
      </c>
      <c r="E19" s="17" t="s">
        <v>2986</v>
      </c>
      <c r="F19" s="20">
        <v>328</v>
      </c>
      <c r="G19" s="20">
        <v>147</v>
      </c>
      <c r="H19" s="19">
        <v>703</v>
      </c>
      <c r="I19" s="20">
        <v>346</v>
      </c>
      <c r="J19" s="20">
        <v>357</v>
      </c>
      <c r="K19" s="20">
        <v>40</v>
      </c>
      <c r="L19" s="57">
        <f t="shared" si="0"/>
        <v>5.6899004267425321E-2</v>
      </c>
      <c r="M19" s="20">
        <v>0</v>
      </c>
      <c r="N19" s="57">
        <f t="shared" si="1"/>
        <v>0</v>
      </c>
      <c r="O19" s="46">
        <v>0</v>
      </c>
      <c r="P19" s="46">
        <v>0</v>
      </c>
      <c r="Q19" s="58" t="s">
        <v>51</v>
      </c>
      <c r="R19" s="58">
        <v>2020</v>
      </c>
      <c r="S19" s="58"/>
      <c r="T19" s="58"/>
      <c r="U19" s="58"/>
      <c r="V19" s="58"/>
      <c r="W19" s="58"/>
      <c r="X19" s="58" t="s">
        <v>51</v>
      </c>
      <c r="Y19" s="58"/>
      <c r="Z19" s="58"/>
      <c r="AA19" s="58"/>
      <c r="AB19" s="58"/>
      <c r="AC19" s="58" t="s">
        <v>51</v>
      </c>
      <c r="AD19" s="58"/>
      <c r="AE19" s="58"/>
      <c r="AF19" s="58"/>
      <c r="AG19" s="58"/>
      <c r="AH19" s="58"/>
      <c r="AI19" s="58"/>
    </row>
    <row r="20" spans="1:35" x14ac:dyDescent="0.35">
      <c r="A20" s="17" t="s">
        <v>46</v>
      </c>
      <c r="B20" s="17" t="s">
        <v>2574</v>
      </c>
      <c r="C20" s="28" t="s">
        <v>2987</v>
      </c>
      <c r="D20" s="17" t="s">
        <v>2988</v>
      </c>
      <c r="E20" s="17" t="s">
        <v>2989</v>
      </c>
      <c r="F20" s="20">
        <v>662</v>
      </c>
      <c r="G20" s="20">
        <v>226</v>
      </c>
      <c r="H20" s="19">
        <v>1042</v>
      </c>
      <c r="I20" s="20">
        <v>496</v>
      </c>
      <c r="J20" s="20">
        <v>546</v>
      </c>
      <c r="K20" s="20">
        <v>330</v>
      </c>
      <c r="L20" s="57">
        <f t="shared" si="0"/>
        <v>0.31669865642994244</v>
      </c>
      <c r="M20" s="20">
        <v>53</v>
      </c>
      <c r="N20" s="57">
        <f t="shared" si="1"/>
        <v>5.0863723608445301E-2</v>
      </c>
      <c r="O20" s="46">
        <v>102</v>
      </c>
      <c r="P20" s="46">
        <v>49</v>
      </c>
      <c r="Q20" s="58" t="s">
        <v>51</v>
      </c>
      <c r="R20" s="58">
        <v>2021</v>
      </c>
      <c r="S20" s="58"/>
      <c r="T20" s="58"/>
      <c r="U20" s="58"/>
      <c r="V20" s="58"/>
      <c r="W20" s="58"/>
      <c r="X20" s="58" t="s">
        <v>51</v>
      </c>
      <c r="Y20" s="58"/>
      <c r="Z20" s="58"/>
      <c r="AA20" s="58"/>
      <c r="AB20" s="58"/>
      <c r="AC20" s="58" t="s">
        <v>51</v>
      </c>
      <c r="AD20" s="58"/>
      <c r="AE20" s="58"/>
      <c r="AF20" s="58"/>
      <c r="AG20" s="58"/>
      <c r="AH20" s="58"/>
      <c r="AI20" s="58"/>
    </row>
    <row r="21" spans="1:35" x14ac:dyDescent="0.35">
      <c r="A21" s="17" t="s">
        <v>46</v>
      </c>
      <c r="B21" s="17" t="s">
        <v>2574</v>
      </c>
      <c r="C21" s="28" t="s">
        <v>2987</v>
      </c>
      <c r="D21" s="17" t="s">
        <v>2990</v>
      </c>
      <c r="E21" s="17" t="s">
        <v>2991</v>
      </c>
      <c r="F21" s="20">
        <v>57</v>
      </c>
      <c r="G21" s="20">
        <v>27</v>
      </c>
      <c r="H21" s="19">
        <v>107</v>
      </c>
      <c r="I21" s="20">
        <v>52</v>
      </c>
      <c r="J21" s="20">
        <v>55</v>
      </c>
      <c r="K21" s="20">
        <v>2</v>
      </c>
      <c r="L21" s="57">
        <f t="shared" si="0"/>
        <v>1.8691588785046728E-2</v>
      </c>
      <c r="M21" s="20">
        <v>103</v>
      </c>
      <c r="N21" s="57">
        <f t="shared" si="1"/>
        <v>0.96261682242990654</v>
      </c>
      <c r="O21" s="46">
        <v>5</v>
      </c>
      <c r="P21" s="46">
        <v>0</v>
      </c>
      <c r="Q21" s="58" t="s">
        <v>562</v>
      </c>
      <c r="R21" s="58"/>
      <c r="S21" s="58"/>
      <c r="T21" s="58"/>
      <c r="U21" s="58"/>
      <c r="V21" s="58"/>
      <c r="W21" s="58"/>
      <c r="X21" s="58" t="s">
        <v>562</v>
      </c>
      <c r="Y21" s="58"/>
      <c r="Z21" s="58"/>
      <c r="AA21" s="58"/>
      <c r="AB21" s="58"/>
      <c r="AC21" s="58" t="s">
        <v>562</v>
      </c>
      <c r="AD21" s="58"/>
      <c r="AE21" s="58"/>
      <c r="AF21" s="58"/>
      <c r="AG21" s="58"/>
      <c r="AH21" s="58"/>
      <c r="AI21" s="58"/>
    </row>
    <row r="22" spans="1:35" x14ac:dyDescent="0.35">
      <c r="A22" s="17" t="s">
        <v>46</v>
      </c>
      <c r="B22" s="17" t="s">
        <v>2574</v>
      </c>
      <c r="C22" s="28" t="s">
        <v>2987</v>
      </c>
      <c r="D22" s="17" t="s">
        <v>2992</v>
      </c>
      <c r="E22" s="17" t="s">
        <v>2993</v>
      </c>
      <c r="F22" s="20">
        <v>468</v>
      </c>
      <c r="G22" s="20">
        <v>212</v>
      </c>
      <c r="H22" s="19">
        <v>1041</v>
      </c>
      <c r="I22" s="20">
        <v>530</v>
      </c>
      <c r="J22" s="20">
        <v>511</v>
      </c>
      <c r="K22" s="20">
        <v>342</v>
      </c>
      <c r="L22" s="57">
        <f t="shared" si="0"/>
        <v>0.32853025936599423</v>
      </c>
      <c r="M22" s="20">
        <v>128</v>
      </c>
      <c r="N22" s="57">
        <f t="shared" si="1"/>
        <v>0.12295869356388088</v>
      </c>
      <c r="O22" s="46">
        <v>58</v>
      </c>
      <c r="P22" s="46">
        <v>0</v>
      </c>
      <c r="Q22" s="58" t="s">
        <v>51</v>
      </c>
      <c r="R22" s="58">
        <v>2021</v>
      </c>
      <c r="S22" s="58"/>
      <c r="T22" s="58"/>
      <c r="U22" s="58"/>
      <c r="V22" s="58"/>
      <c r="W22" s="58"/>
      <c r="X22" s="58" t="s">
        <v>51</v>
      </c>
      <c r="Y22" s="58"/>
      <c r="Z22" s="58"/>
      <c r="AA22" s="58"/>
      <c r="AB22" s="58"/>
      <c r="AC22" s="58" t="s">
        <v>51</v>
      </c>
      <c r="AD22" s="58"/>
      <c r="AE22" s="58"/>
      <c r="AF22" s="58"/>
      <c r="AG22" s="58"/>
      <c r="AH22" s="58"/>
      <c r="AI22" s="58"/>
    </row>
    <row r="23" spans="1:35" x14ac:dyDescent="0.35">
      <c r="A23" s="17" t="s">
        <v>46</v>
      </c>
      <c r="B23" s="17" t="s">
        <v>2574</v>
      </c>
      <c r="C23" s="28" t="s">
        <v>2987</v>
      </c>
      <c r="D23" s="17" t="s">
        <v>2994</v>
      </c>
      <c r="E23" s="17" t="s">
        <v>2995</v>
      </c>
      <c r="F23" s="20">
        <v>826</v>
      </c>
      <c r="G23" s="20">
        <v>167</v>
      </c>
      <c r="H23" s="19">
        <v>777</v>
      </c>
      <c r="I23" s="20">
        <v>394</v>
      </c>
      <c r="J23" s="20">
        <v>383</v>
      </c>
      <c r="K23" s="20">
        <v>52</v>
      </c>
      <c r="L23" s="57">
        <f t="shared" si="0"/>
        <v>6.6924066924066924E-2</v>
      </c>
      <c r="M23" s="20">
        <v>87</v>
      </c>
      <c r="N23" s="57">
        <f t="shared" si="1"/>
        <v>0.11196911196911197</v>
      </c>
      <c r="O23" s="46">
        <v>109</v>
      </c>
      <c r="P23" s="46">
        <v>193</v>
      </c>
      <c r="Q23" s="58" t="s">
        <v>51</v>
      </c>
      <c r="R23" s="58">
        <v>2021</v>
      </c>
      <c r="S23" s="58"/>
      <c r="T23" s="58"/>
      <c r="U23" s="58"/>
      <c r="V23" s="58"/>
      <c r="W23" s="58"/>
      <c r="X23" s="58" t="s">
        <v>51</v>
      </c>
      <c r="Y23" s="58"/>
      <c r="Z23" s="58"/>
      <c r="AA23" s="58"/>
      <c r="AB23" s="58"/>
      <c r="AC23" s="58" t="s">
        <v>51</v>
      </c>
      <c r="AD23" s="58"/>
      <c r="AE23" s="58"/>
      <c r="AF23" s="58"/>
      <c r="AG23" s="58"/>
      <c r="AH23" s="58"/>
      <c r="AI23" s="58"/>
    </row>
    <row r="24" spans="1:35" x14ac:dyDescent="0.35">
      <c r="A24" s="17" t="s">
        <v>46</v>
      </c>
      <c r="B24" s="17" t="s">
        <v>2574</v>
      </c>
      <c r="C24" s="28" t="s">
        <v>2996</v>
      </c>
      <c r="D24" s="17" t="s">
        <v>2997</v>
      </c>
      <c r="E24" s="17" t="s">
        <v>2998</v>
      </c>
      <c r="F24" s="28">
        <v>209</v>
      </c>
      <c r="G24" s="47"/>
      <c r="H24" s="19">
        <v>0</v>
      </c>
      <c r="I24" s="47"/>
      <c r="J24" s="47"/>
      <c r="K24" s="47"/>
      <c r="L24" s="57"/>
      <c r="M24" s="47"/>
      <c r="N24" s="57"/>
      <c r="O24" s="48">
        <v>8</v>
      </c>
      <c r="P24" s="48">
        <v>104</v>
      </c>
      <c r="Q24" s="58" t="s">
        <v>112</v>
      </c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</row>
    <row r="25" spans="1:35" x14ac:dyDescent="0.35">
      <c r="A25" s="17" t="s">
        <v>46</v>
      </c>
      <c r="B25" s="17" t="s">
        <v>2574</v>
      </c>
      <c r="C25" s="28" t="s">
        <v>2996</v>
      </c>
      <c r="D25" s="17" t="s">
        <v>2999</v>
      </c>
      <c r="E25" s="17" t="s">
        <v>3000</v>
      </c>
      <c r="F25" s="20">
        <v>284</v>
      </c>
      <c r="G25" s="20">
        <v>71</v>
      </c>
      <c r="H25" s="19">
        <v>346</v>
      </c>
      <c r="I25" s="20">
        <v>181</v>
      </c>
      <c r="J25" s="20">
        <v>165</v>
      </c>
      <c r="K25" s="20">
        <v>58</v>
      </c>
      <c r="L25" s="57">
        <f t="shared" ref="L25:L42" si="2">K25/H25</f>
        <v>0.16763005780346821</v>
      </c>
      <c r="M25" s="20">
        <v>75</v>
      </c>
      <c r="N25" s="57">
        <f t="shared" ref="N25:N42" si="3">M25/H25</f>
        <v>0.21676300578034682</v>
      </c>
      <c r="O25" s="46">
        <v>115</v>
      </c>
      <c r="P25" s="46">
        <v>0</v>
      </c>
      <c r="Q25" s="58" t="s">
        <v>51</v>
      </c>
      <c r="R25" s="58">
        <v>2021</v>
      </c>
      <c r="S25" s="58"/>
      <c r="T25" s="58"/>
      <c r="U25" s="58"/>
      <c r="V25" s="58"/>
      <c r="W25" s="58"/>
      <c r="X25" s="58" t="s">
        <v>51</v>
      </c>
      <c r="Y25" s="58"/>
      <c r="Z25" s="58"/>
      <c r="AA25" s="58"/>
      <c r="AB25" s="58"/>
      <c r="AC25" s="58" t="s">
        <v>51</v>
      </c>
      <c r="AD25" s="58"/>
      <c r="AE25" s="58"/>
      <c r="AF25" s="58"/>
      <c r="AG25" s="58"/>
      <c r="AH25" s="58"/>
      <c r="AI25" s="58"/>
    </row>
    <row r="26" spans="1:35" x14ac:dyDescent="0.35">
      <c r="A26" s="17" t="s">
        <v>46</v>
      </c>
      <c r="B26" s="17" t="s">
        <v>2574</v>
      </c>
      <c r="C26" s="28" t="s">
        <v>2996</v>
      </c>
      <c r="D26" s="17" t="s">
        <v>399</v>
      </c>
      <c r="E26" s="17" t="s">
        <v>3001</v>
      </c>
      <c r="F26" s="20">
        <v>653</v>
      </c>
      <c r="G26" s="20">
        <v>322</v>
      </c>
      <c r="H26" s="19">
        <v>1470</v>
      </c>
      <c r="I26" s="20">
        <v>740</v>
      </c>
      <c r="J26" s="20">
        <v>730</v>
      </c>
      <c r="K26" s="20">
        <v>124</v>
      </c>
      <c r="L26" s="57">
        <f t="shared" si="2"/>
        <v>8.4353741496598633E-2</v>
      </c>
      <c r="M26" s="20">
        <v>318</v>
      </c>
      <c r="N26" s="57">
        <f t="shared" si="3"/>
        <v>0.21632653061224491</v>
      </c>
      <c r="O26" s="46">
        <v>144</v>
      </c>
      <c r="P26" s="46">
        <v>0</v>
      </c>
      <c r="Q26" s="58" t="s">
        <v>51</v>
      </c>
      <c r="R26" s="58">
        <v>2021</v>
      </c>
      <c r="S26" s="58"/>
      <c r="T26" s="58"/>
      <c r="U26" s="58"/>
      <c r="V26" s="58"/>
      <c r="W26" s="58"/>
      <c r="X26" s="58" t="s">
        <v>51</v>
      </c>
      <c r="Y26" s="58"/>
      <c r="Z26" s="58"/>
      <c r="AA26" s="58"/>
      <c r="AB26" s="58"/>
      <c r="AC26" s="58" t="s">
        <v>51</v>
      </c>
      <c r="AD26" s="58"/>
      <c r="AE26" s="58"/>
      <c r="AF26" s="58"/>
      <c r="AG26" s="58"/>
      <c r="AH26" s="58"/>
      <c r="AI26" s="58"/>
    </row>
    <row r="27" spans="1:35" x14ac:dyDescent="0.35">
      <c r="A27" s="17" t="s">
        <v>46</v>
      </c>
      <c r="B27" s="17" t="s">
        <v>2574</v>
      </c>
      <c r="C27" s="28" t="s">
        <v>2996</v>
      </c>
      <c r="D27" s="17" t="s">
        <v>3002</v>
      </c>
      <c r="E27" s="17" t="s">
        <v>3003</v>
      </c>
      <c r="F27" s="20">
        <v>268</v>
      </c>
      <c r="G27" s="20">
        <v>96</v>
      </c>
      <c r="H27" s="19">
        <v>450</v>
      </c>
      <c r="I27" s="20">
        <v>238</v>
      </c>
      <c r="J27" s="20">
        <v>212</v>
      </c>
      <c r="K27" s="20">
        <v>91</v>
      </c>
      <c r="L27" s="57">
        <f t="shared" si="2"/>
        <v>0.20222222222222222</v>
      </c>
      <c r="M27" s="20">
        <v>4</v>
      </c>
      <c r="N27" s="57">
        <f t="shared" si="3"/>
        <v>8.8888888888888889E-3</v>
      </c>
      <c r="O27" s="46">
        <v>27</v>
      </c>
      <c r="P27" s="46">
        <v>0</v>
      </c>
      <c r="Q27" s="58" t="s">
        <v>562</v>
      </c>
      <c r="R27" s="58"/>
      <c r="S27" s="58"/>
      <c r="T27" s="58"/>
      <c r="U27" s="58"/>
      <c r="V27" s="58"/>
      <c r="W27" s="58"/>
      <c r="X27" s="58" t="s">
        <v>562</v>
      </c>
      <c r="Y27" s="58"/>
      <c r="Z27" s="58"/>
      <c r="AA27" s="58"/>
      <c r="AB27" s="58"/>
      <c r="AC27" s="58" t="s">
        <v>562</v>
      </c>
      <c r="AD27" s="58"/>
      <c r="AE27" s="58"/>
      <c r="AF27" s="58"/>
      <c r="AG27" s="58"/>
      <c r="AH27" s="58"/>
      <c r="AI27" s="58"/>
    </row>
    <row r="28" spans="1:35" x14ac:dyDescent="0.35">
      <c r="A28" s="17" t="s">
        <v>46</v>
      </c>
      <c r="B28" s="17" t="s">
        <v>2574</v>
      </c>
      <c r="C28" s="28" t="s">
        <v>2987</v>
      </c>
      <c r="D28" s="17" t="s">
        <v>3004</v>
      </c>
      <c r="E28" s="17" t="s">
        <v>3005</v>
      </c>
      <c r="F28" s="20">
        <v>171</v>
      </c>
      <c r="G28" s="20">
        <v>88</v>
      </c>
      <c r="H28" s="19">
        <v>454</v>
      </c>
      <c r="I28" s="20">
        <v>241</v>
      </c>
      <c r="J28" s="20">
        <v>213</v>
      </c>
      <c r="K28" s="20">
        <v>0</v>
      </c>
      <c r="L28" s="57">
        <f t="shared" si="2"/>
        <v>0</v>
      </c>
      <c r="M28" s="20">
        <v>18</v>
      </c>
      <c r="N28" s="57">
        <f t="shared" si="3"/>
        <v>3.9647577092511016E-2</v>
      </c>
      <c r="O28" s="46">
        <v>35</v>
      </c>
      <c r="P28" s="46">
        <v>0</v>
      </c>
      <c r="Q28" s="58" t="s">
        <v>51</v>
      </c>
      <c r="R28" s="58">
        <v>2021</v>
      </c>
      <c r="S28" s="58"/>
      <c r="T28" s="58"/>
      <c r="U28" s="58"/>
      <c r="V28" s="58"/>
      <c r="W28" s="58"/>
      <c r="X28" s="58" t="s">
        <v>51</v>
      </c>
      <c r="Y28" s="58"/>
      <c r="Z28" s="58"/>
      <c r="AA28" s="58"/>
      <c r="AB28" s="58"/>
      <c r="AC28" s="58" t="s">
        <v>51</v>
      </c>
      <c r="AD28" s="58"/>
      <c r="AE28" s="58"/>
      <c r="AF28" s="58"/>
      <c r="AG28" s="58"/>
      <c r="AH28" s="58"/>
      <c r="AI28" s="58"/>
    </row>
    <row r="29" spans="1:35" x14ac:dyDescent="0.35">
      <c r="A29" s="17" t="s">
        <v>46</v>
      </c>
      <c r="B29" s="17" t="s">
        <v>2574</v>
      </c>
      <c r="C29" s="28" t="s">
        <v>3006</v>
      </c>
      <c r="D29" s="17" t="s">
        <v>3007</v>
      </c>
      <c r="E29" s="17" t="s">
        <v>3008</v>
      </c>
      <c r="F29" s="20">
        <v>398</v>
      </c>
      <c r="G29" s="20">
        <v>162</v>
      </c>
      <c r="H29" s="19">
        <v>755</v>
      </c>
      <c r="I29" s="20">
        <v>388</v>
      </c>
      <c r="J29" s="20">
        <v>367</v>
      </c>
      <c r="K29" s="20">
        <v>25</v>
      </c>
      <c r="L29" s="57">
        <f t="shared" si="2"/>
        <v>3.3112582781456956E-2</v>
      </c>
      <c r="M29" s="20">
        <v>27</v>
      </c>
      <c r="N29" s="57">
        <f t="shared" si="3"/>
        <v>3.5761589403973511E-2</v>
      </c>
      <c r="O29" s="46">
        <v>20</v>
      </c>
      <c r="P29" s="46">
        <v>0</v>
      </c>
      <c r="Q29" s="58" t="s">
        <v>562</v>
      </c>
      <c r="R29" s="58"/>
      <c r="S29" s="58"/>
      <c r="T29" s="58"/>
      <c r="U29" s="58"/>
      <c r="V29" s="58"/>
      <c r="W29" s="58"/>
      <c r="X29" s="58" t="s">
        <v>562</v>
      </c>
      <c r="Y29" s="58"/>
      <c r="Z29" s="58"/>
      <c r="AA29" s="58"/>
      <c r="AB29" s="58"/>
      <c r="AC29" s="58" t="s">
        <v>562</v>
      </c>
      <c r="AD29" s="58"/>
      <c r="AE29" s="58"/>
      <c r="AF29" s="58"/>
      <c r="AG29" s="58"/>
      <c r="AH29" s="58"/>
      <c r="AI29" s="58"/>
    </row>
    <row r="30" spans="1:35" x14ac:dyDescent="0.35">
      <c r="A30" s="17" t="s">
        <v>46</v>
      </c>
      <c r="B30" s="17" t="s">
        <v>2574</v>
      </c>
      <c r="C30" s="28" t="s">
        <v>3009</v>
      </c>
      <c r="D30" s="17" t="s">
        <v>589</v>
      </c>
      <c r="E30" s="17" t="s">
        <v>3010</v>
      </c>
      <c r="F30" s="20">
        <v>241</v>
      </c>
      <c r="G30" s="20">
        <v>240</v>
      </c>
      <c r="H30" s="19">
        <v>1175</v>
      </c>
      <c r="I30" s="20">
        <v>620</v>
      </c>
      <c r="J30" s="20">
        <v>555</v>
      </c>
      <c r="K30" s="20">
        <v>312</v>
      </c>
      <c r="L30" s="57">
        <f t="shared" si="2"/>
        <v>0.26553191489361699</v>
      </c>
      <c r="M30" s="20">
        <v>89</v>
      </c>
      <c r="N30" s="57">
        <f t="shared" si="3"/>
        <v>7.5744680851063825E-2</v>
      </c>
      <c r="O30" s="46">
        <v>0</v>
      </c>
      <c r="P30" s="46">
        <v>0</v>
      </c>
      <c r="Q30" s="58" t="s">
        <v>562</v>
      </c>
      <c r="R30" s="58"/>
      <c r="S30" s="58"/>
      <c r="T30" s="58"/>
      <c r="U30" s="58"/>
      <c r="V30" s="58"/>
      <c r="W30" s="58"/>
      <c r="X30" s="58" t="s">
        <v>562</v>
      </c>
      <c r="Y30" s="58"/>
      <c r="Z30" s="58"/>
      <c r="AA30" s="58"/>
      <c r="AB30" s="58"/>
      <c r="AC30" s="58" t="s">
        <v>562</v>
      </c>
      <c r="AD30" s="58"/>
      <c r="AE30" s="58"/>
      <c r="AF30" s="58"/>
      <c r="AG30" s="58"/>
      <c r="AH30" s="58"/>
      <c r="AI30" s="58"/>
    </row>
    <row r="31" spans="1:35" x14ac:dyDescent="0.35">
      <c r="A31" s="17" t="s">
        <v>46</v>
      </c>
      <c r="B31" s="17" t="s">
        <v>2574</v>
      </c>
      <c r="C31" s="28" t="s">
        <v>2975</v>
      </c>
      <c r="D31" s="17" t="s">
        <v>3011</v>
      </c>
      <c r="E31" s="17" t="s">
        <v>3012</v>
      </c>
      <c r="F31" s="20">
        <v>152</v>
      </c>
      <c r="G31" s="20">
        <v>4</v>
      </c>
      <c r="H31" s="19">
        <v>11</v>
      </c>
      <c r="I31" s="20">
        <v>6</v>
      </c>
      <c r="J31" s="20">
        <v>5</v>
      </c>
      <c r="K31" s="20">
        <v>0</v>
      </c>
      <c r="L31" s="57">
        <f t="shared" si="2"/>
        <v>0</v>
      </c>
      <c r="M31" s="20">
        <v>0</v>
      </c>
      <c r="N31" s="57">
        <f t="shared" si="3"/>
        <v>0</v>
      </c>
      <c r="O31" s="46">
        <v>0</v>
      </c>
      <c r="P31" s="46">
        <v>0</v>
      </c>
      <c r="Q31" s="58" t="s">
        <v>112</v>
      </c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</row>
    <row r="32" spans="1:35" x14ac:dyDescent="0.35">
      <c r="A32" s="17" t="s">
        <v>46</v>
      </c>
      <c r="B32" s="17" t="s">
        <v>2574</v>
      </c>
      <c r="C32" s="28" t="s">
        <v>2975</v>
      </c>
      <c r="D32" s="17" t="s">
        <v>3013</v>
      </c>
      <c r="E32" s="17" t="s">
        <v>3014</v>
      </c>
      <c r="F32" s="20">
        <v>600</v>
      </c>
      <c r="G32" s="20">
        <v>324</v>
      </c>
      <c r="H32" s="19">
        <v>1619</v>
      </c>
      <c r="I32" s="20">
        <v>836</v>
      </c>
      <c r="J32" s="20">
        <v>783</v>
      </c>
      <c r="K32" s="20">
        <v>383</v>
      </c>
      <c r="L32" s="57">
        <f t="shared" si="2"/>
        <v>0.23656578134651018</v>
      </c>
      <c r="M32" s="20">
        <v>205</v>
      </c>
      <c r="N32" s="57">
        <f t="shared" si="3"/>
        <v>0.1266213712168005</v>
      </c>
      <c r="O32" s="46">
        <v>41</v>
      </c>
      <c r="P32" s="46">
        <v>0</v>
      </c>
      <c r="Q32" s="58" t="s">
        <v>51</v>
      </c>
      <c r="R32" s="58">
        <v>2020</v>
      </c>
      <c r="S32" s="58"/>
      <c r="T32" s="58"/>
      <c r="U32" s="58"/>
      <c r="V32" s="58"/>
      <c r="W32" s="58"/>
      <c r="X32" s="58" t="s">
        <v>51</v>
      </c>
      <c r="Y32" s="58"/>
      <c r="Z32" s="58"/>
      <c r="AA32" s="58"/>
      <c r="AB32" s="58"/>
      <c r="AC32" s="58" t="s">
        <v>51</v>
      </c>
      <c r="AD32" s="58"/>
      <c r="AE32" s="58"/>
      <c r="AF32" s="58"/>
      <c r="AG32" s="58"/>
      <c r="AH32" s="58"/>
      <c r="AI32" s="58"/>
    </row>
    <row r="33" spans="1:35" x14ac:dyDescent="0.35">
      <c r="A33" s="17" t="s">
        <v>46</v>
      </c>
      <c r="B33" s="17" t="s">
        <v>2574</v>
      </c>
      <c r="C33" s="28" t="s">
        <v>3009</v>
      </c>
      <c r="D33" s="17" t="s">
        <v>3015</v>
      </c>
      <c r="E33" s="17" t="s">
        <v>3016</v>
      </c>
      <c r="F33" s="20">
        <v>1904</v>
      </c>
      <c r="G33" s="20">
        <v>903</v>
      </c>
      <c r="H33" s="19">
        <v>4512</v>
      </c>
      <c r="I33" s="20">
        <v>2284</v>
      </c>
      <c r="J33" s="20">
        <v>2228</v>
      </c>
      <c r="K33" s="20">
        <v>562</v>
      </c>
      <c r="L33" s="57">
        <f t="shared" si="2"/>
        <v>0.12455673758865249</v>
      </c>
      <c r="M33" s="20">
        <v>583</v>
      </c>
      <c r="N33" s="57">
        <f t="shared" si="3"/>
        <v>0.12921099290780141</v>
      </c>
      <c r="O33" s="46">
        <v>87</v>
      </c>
      <c r="P33" s="46">
        <v>0</v>
      </c>
      <c r="Q33" s="58" t="s">
        <v>51</v>
      </c>
      <c r="R33" s="58">
        <v>2021</v>
      </c>
      <c r="S33" s="58"/>
      <c r="T33" s="58"/>
      <c r="U33" s="58"/>
      <c r="V33" s="58"/>
      <c r="W33" s="58"/>
      <c r="X33" s="58" t="s">
        <v>51</v>
      </c>
      <c r="Y33" s="58"/>
      <c r="Z33" s="58"/>
      <c r="AA33" s="58"/>
      <c r="AB33" s="58"/>
      <c r="AC33" s="58" t="s">
        <v>51</v>
      </c>
      <c r="AD33" s="58"/>
      <c r="AE33" s="58"/>
      <c r="AF33" s="58"/>
      <c r="AG33" s="58"/>
      <c r="AH33" s="58"/>
      <c r="AI33" s="58"/>
    </row>
    <row r="34" spans="1:35" x14ac:dyDescent="0.35">
      <c r="A34" s="17" t="s">
        <v>46</v>
      </c>
      <c r="B34" s="17" t="s">
        <v>2574</v>
      </c>
      <c r="C34" s="28" t="s">
        <v>3017</v>
      </c>
      <c r="D34" s="17" t="s">
        <v>3018</v>
      </c>
      <c r="E34" s="17" t="s">
        <v>3019</v>
      </c>
      <c r="F34" s="20">
        <v>70</v>
      </c>
      <c r="G34" s="20">
        <v>27</v>
      </c>
      <c r="H34" s="19">
        <v>120</v>
      </c>
      <c r="I34" s="20">
        <v>66</v>
      </c>
      <c r="J34" s="20">
        <v>54</v>
      </c>
      <c r="K34" s="20">
        <v>8</v>
      </c>
      <c r="L34" s="57">
        <f t="shared" si="2"/>
        <v>6.6666666666666666E-2</v>
      </c>
      <c r="M34" s="20">
        <v>0</v>
      </c>
      <c r="N34" s="57">
        <f t="shared" si="3"/>
        <v>0</v>
      </c>
      <c r="O34" s="46">
        <v>7</v>
      </c>
      <c r="P34" s="46">
        <v>0</v>
      </c>
      <c r="Q34" s="58" t="s">
        <v>562</v>
      </c>
      <c r="R34" s="58"/>
      <c r="S34" s="58"/>
      <c r="T34" s="58"/>
      <c r="U34" s="58"/>
      <c r="V34" s="58"/>
      <c r="W34" s="58"/>
      <c r="X34" s="58" t="s">
        <v>562</v>
      </c>
      <c r="Y34" s="58"/>
      <c r="Z34" s="58"/>
      <c r="AA34" s="58"/>
      <c r="AB34" s="58"/>
      <c r="AC34" s="58" t="s">
        <v>562</v>
      </c>
      <c r="AD34" s="58"/>
      <c r="AE34" s="58"/>
      <c r="AF34" s="58"/>
      <c r="AG34" s="58"/>
      <c r="AH34" s="58"/>
      <c r="AI34" s="58"/>
    </row>
    <row r="35" spans="1:35" x14ac:dyDescent="0.35">
      <c r="A35" s="17" t="s">
        <v>46</v>
      </c>
      <c r="B35" s="17" t="s">
        <v>2574</v>
      </c>
      <c r="C35" s="28" t="s">
        <v>3017</v>
      </c>
      <c r="D35" s="17" t="s">
        <v>3020</v>
      </c>
      <c r="E35" s="17" t="s">
        <v>3021</v>
      </c>
      <c r="F35" s="20">
        <v>145</v>
      </c>
      <c r="G35" s="20">
        <v>90</v>
      </c>
      <c r="H35" s="19">
        <v>379</v>
      </c>
      <c r="I35" s="20">
        <v>190</v>
      </c>
      <c r="J35" s="20">
        <v>189</v>
      </c>
      <c r="K35" s="20">
        <v>104</v>
      </c>
      <c r="L35" s="57">
        <f t="shared" si="2"/>
        <v>0.27440633245382584</v>
      </c>
      <c r="M35" s="20">
        <v>117</v>
      </c>
      <c r="N35" s="57">
        <f t="shared" si="3"/>
        <v>0.30870712401055411</v>
      </c>
      <c r="O35" s="46">
        <v>36</v>
      </c>
      <c r="P35" s="46">
        <v>0</v>
      </c>
      <c r="Q35" s="58" t="s">
        <v>562</v>
      </c>
      <c r="R35" s="58"/>
      <c r="S35" s="58"/>
      <c r="T35" s="58"/>
      <c r="U35" s="58"/>
      <c r="V35" s="58"/>
      <c r="W35" s="58"/>
      <c r="X35" s="58" t="s">
        <v>562</v>
      </c>
      <c r="Y35" s="58"/>
      <c r="Z35" s="58"/>
      <c r="AA35" s="58"/>
      <c r="AB35" s="58"/>
      <c r="AC35" s="58" t="s">
        <v>562</v>
      </c>
      <c r="AD35" s="58"/>
      <c r="AE35" s="58"/>
      <c r="AF35" s="58"/>
      <c r="AG35" s="58"/>
      <c r="AH35" s="58"/>
      <c r="AI35" s="58"/>
    </row>
    <row r="36" spans="1:35" x14ac:dyDescent="0.35">
      <c r="A36" s="17" t="s">
        <v>46</v>
      </c>
      <c r="B36" s="17" t="s">
        <v>2574</v>
      </c>
      <c r="C36" s="28" t="s">
        <v>3017</v>
      </c>
      <c r="D36" s="17" t="s">
        <v>3022</v>
      </c>
      <c r="E36" s="17" t="s">
        <v>3023</v>
      </c>
      <c r="F36" s="20">
        <v>273</v>
      </c>
      <c r="G36" s="20">
        <v>112</v>
      </c>
      <c r="H36" s="19">
        <v>532</v>
      </c>
      <c r="I36" s="20">
        <v>276</v>
      </c>
      <c r="J36" s="20">
        <v>256</v>
      </c>
      <c r="K36" s="20">
        <v>63</v>
      </c>
      <c r="L36" s="57">
        <f t="shared" si="2"/>
        <v>0.11842105263157894</v>
      </c>
      <c r="M36" s="20">
        <v>62</v>
      </c>
      <c r="N36" s="57">
        <f t="shared" si="3"/>
        <v>0.11654135338345864</v>
      </c>
      <c r="O36" s="46">
        <v>45</v>
      </c>
      <c r="P36" s="46">
        <v>0</v>
      </c>
      <c r="Q36" s="58" t="s">
        <v>51</v>
      </c>
      <c r="R36" s="58">
        <v>2021</v>
      </c>
      <c r="S36" s="58"/>
      <c r="T36" s="58"/>
      <c r="U36" s="58"/>
      <c r="V36" s="58"/>
      <c r="W36" s="58"/>
      <c r="X36" s="58" t="s">
        <v>51</v>
      </c>
      <c r="Y36" s="58"/>
      <c r="Z36" s="58"/>
      <c r="AA36" s="58"/>
      <c r="AB36" s="58"/>
      <c r="AC36" s="58" t="s">
        <v>51</v>
      </c>
      <c r="AD36" s="58"/>
      <c r="AE36" s="58"/>
      <c r="AF36" s="58"/>
      <c r="AG36" s="58"/>
      <c r="AH36" s="58"/>
      <c r="AI36" s="58"/>
    </row>
    <row r="37" spans="1:35" x14ac:dyDescent="0.35">
      <c r="A37" s="17" t="s">
        <v>46</v>
      </c>
      <c r="B37" s="17" t="s">
        <v>2574</v>
      </c>
      <c r="C37" s="28" t="s">
        <v>2971</v>
      </c>
      <c r="D37" s="17" t="s">
        <v>3024</v>
      </c>
      <c r="E37" s="17" t="s">
        <v>3025</v>
      </c>
      <c r="F37" s="20">
        <v>620</v>
      </c>
      <c r="G37" s="20">
        <v>207</v>
      </c>
      <c r="H37" s="19">
        <v>998</v>
      </c>
      <c r="I37" s="20">
        <v>511</v>
      </c>
      <c r="J37" s="20">
        <v>487</v>
      </c>
      <c r="K37" s="20">
        <v>340</v>
      </c>
      <c r="L37" s="57">
        <f t="shared" si="2"/>
        <v>0.34068136272545091</v>
      </c>
      <c r="M37" s="20">
        <v>217</v>
      </c>
      <c r="N37" s="57">
        <f t="shared" si="3"/>
        <v>0.21743486973947895</v>
      </c>
      <c r="O37" s="46">
        <v>0</v>
      </c>
      <c r="P37" s="46">
        <v>0</v>
      </c>
      <c r="Q37" s="58" t="s">
        <v>562</v>
      </c>
      <c r="R37" s="58"/>
      <c r="S37" s="58"/>
      <c r="T37" s="58"/>
      <c r="U37" s="58"/>
      <c r="V37" s="58"/>
      <c r="W37" s="58"/>
      <c r="X37" s="58" t="s">
        <v>562</v>
      </c>
      <c r="Y37" s="58"/>
      <c r="Z37" s="58"/>
      <c r="AA37" s="58"/>
      <c r="AB37" s="58"/>
      <c r="AC37" s="58" t="s">
        <v>562</v>
      </c>
      <c r="AD37" s="58"/>
      <c r="AE37" s="58"/>
      <c r="AF37" s="58"/>
      <c r="AG37" s="58"/>
      <c r="AH37" s="58"/>
      <c r="AI37" s="58"/>
    </row>
    <row r="38" spans="1:35" x14ac:dyDescent="0.35">
      <c r="A38" s="17" t="s">
        <v>46</v>
      </c>
      <c r="B38" s="17" t="s">
        <v>2574</v>
      </c>
      <c r="C38" s="28" t="s">
        <v>2971</v>
      </c>
      <c r="D38" s="17" t="s">
        <v>3026</v>
      </c>
      <c r="E38" s="17" t="s">
        <v>3027</v>
      </c>
      <c r="F38" s="20">
        <v>373</v>
      </c>
      <c r="G38" s="20">
        <v>317</v>
      </c>
      <c r="H38" s="19">
        <v>1631</v>
      </c>
      <c r="I38" s="20">
        <v>847</v>
      </c>
      <c r="J38" s="20">
        <v>784</v>
      </c>
      <c r="K38" s="20">
        <v>177</v>
      </c>
      <c r="L38" s="57">
        <f t="shared" si="2"/>
        <v>0.10852237890864501</v>
      </c>
      <c r="M38" s="20">
        <v>322</v>
      </c>
      <c r="N38" s="57">
        <f t="shared" si="3"/>
        <v>0.19742489270386265</v>
      </c>
      <c r="O38" s="46">
        <v>40</v>
      </c>
      <c r="P38" s="46">
        <v>0</v>
      </c>
      <c r="Q38" s="58" t="s">
        <v>51</v>
      </c>
      <c r="R38" s="58">
        <v>2021</v>
      </c>
      <c r="S38" s="58"/>
      <c r="T38" s="58"/>
      <c r="U38" s="58"/>
      <c r="V38" s="58"/>
      <c r="W38" s="58"/>
      <c r="X38" s="58" t="s">
        <v>51</v>
      </c>
      <c r="Y38" s="58"/>
      <c r="Z38" s="58"/>
      <c r="AA38" s="58"/>
      <c r="AB38" s="58"/>
      <c r="AC38" s="58" t="s">
        <v>51</v>
      </c>
      <c r="AD38" s="58"/>
      <c r="AE38" s="58"/>
      <c r="AF38" s="58"/>
      <c r="AG38" s="58"/>
      <c r="AH38" s="58"/>
      <c r="AI38" s="58"/>
    </row>
    <row r="39" spans="1:35" x14ac:dyDescent="0.35">
      <c r="A39" s="17" t="s">
        <v>46</v>
      </c>
      <c r="B39" s="17" t="s">
        <v>2574</v>
      </c>
      <c r="C39" s="28" t="s">
        <v>2971</v>
      </c>
      <c r="D39" s="17" t="s">
        <v>3028</v>
      </c>
      <c r="E39" s="17" t="s">
        <v>3029</v>
      </c>
      <c r="F39" s="20">
        <v>271</v>
      </c>
      <c r="G39" s="20">
        <v>136</v>
      </c>
      <c r="H39" s="19">
        <v>666</v>
      </c>
      <c r="I39" s="20">
        <v>333</v>
      </c>
      <c r="J39" s="20">
        <v>333</v>
      </c>
      <c r="K39" s="20">
        <v>205</v>
      </c>
      <c r="L39" s="57">
        <f t="shared" si="2"/>
        <v>0.30780780780780781</v>
      </c>
      <c r="M39" s="20">
        <v>153</v>
      </c>
      <c r="N39" s="57">
        <f t="shared" si="3"/>
        <v>0.22972972972972974</v>
      </c>
      <c r="O39" s="46">
        <v>0</v>
      </c>
      <c r="P39" s="46">
        <v>0</v>
      </c>
      <c r="Q39" s="58" t="s">
        <v>562</v>
      </c>
      <c r="R39" s="58"/>
      <c r="S39" s="58"/>
      <c r="T39" s="58"/>
      <c r="U39" s="58"/>
      <c r="V39" s="58"/>
      <c r="W39" s="58"/>
      <c r="X39" s="58" t="s">
        <v>562</v>
      </c>
      <c r="Y39" s="58"/>
      <c r="Z39" s="58"/>
      <c r="AA39" s="58"/>
      <c r="AB39" s="58"/>
      <c r="AC39" s="58" t="s">
        <v>562</v>
      </c>
      <c r="AD39" s="58"/>
      <c r="AE39" s="58"/>
      <c r="AF39" s="58"/>
      <c r="AG39" s="58"/>
      <c r="AH39" s="58"/>
      <c r="AI39" s="58"/>
    </row>
    <row r="40" spans="1:35" x14ac:dyDescent="0.35">
      <c r="A40" s="17" t="s">
        <v>46</v>
      </c>
      <c r="B40" s="17" t="s">
        <v>2574</v>
      </c>
      <c r="C40" s="28" t="s">
        <v>2963</v>
      </c>
      <c r="D40" s="17" t="s">
        <v>3030</v>
      </c>
      <c r="E40" s="17" t="s">
        <v>3031</v>
      </c>
      <c r="F40" s="20">
        <v>282</v>
      </c>
      <c r="G40" s="20">
        <v>75</v>
      </c>
      <c r="H40" s="19">
        <v>317</v>
      </c>
      <c r="I40" s="20">
        <v>175</v>
      </c>
      <c r="J40" s="20">
        <v>142</v>
      </c>
      <c r="K40" s="20">
        <v>69</v>
      </c>
      <c r="L40" s="57">
        <f t="shared" si="2"/>
        <v>0.21766561514195584</v>
      </c>
      <c r="M40" s="20">
        <v>0</v>
      </c>
      <c r="N40" s="57">
        <f t="shared" si="3"/>
        <v>0</v>
      </c>
      <c r="O40" s="46">
        <v>10</v>
      </c>
      <c r="P40" s="46">
        <v>63</v>
      </c>
      <c r="Q40" s="58" t="s">
        <v>51</v>
      </c>
      <c r="R40" s="58">
        <v>2020</v>
      </c>
      <c r="S40" s="58"/>
      <c r="T40" s="58"/>
      <c r="U40" s="58"/>
      <c r="V40" s="58"/>
      <c r="W40" s="58"/>
      <c r="X40" s="58" t="s">
        <v>51</v>
      </c>
      <c r="Y40" s="58"/>
      <c r="Z40" s="58"/>
      <c r="AA40" s="58"/>
      <c r="AB40" s="58"/>
      <c r="AC40" s="58" t="s">
        <v>51</v>
      </c>
      <c r="AD40" s="58"/>
      <c r="AE40" s="58"/>
      <c r="AF40" s="58"/>
      <c r="AG40" s="58"/>
      <c r="AH40" s="58"/>
      <c r="AI40" s="58"/>
    </row>
    <row r="41" spans="1:35" x14ac:dyDescent="0.35">
      <c r="A41" s="17" t="s">
        <v>46</v>
      </c>
      <c r="B41" s="17" t="s">
        <v>2574</v>
      </c>
      <c r="C41" s="28" t="s">
        <v>3032</v>
      </c>
      <c r="D41" s="17" t="s">
        <v>1973</v>
      </c>
      <c r="E41" s="17" t="s">
        <v>3033</v>
      </c>
      <c r="F41" s="20">
        <v>811</v>
      </c>
      <c r="G41" s="20">
        <v>208</v>
      </c>
      <c r="H41" s="19">
        <v>1042</v>
      </c>
      <c r="I41" s="20">
        <v>516</v>
      </c>
      <c r="J41" s="20">
        <v>526</v>
      </c>
      <c r="K41" s="20">
        <v>36</v>
      </c>
      <c r="L41" s="57">
        <f t="shared" si="2"/>
        <v>3.4548944337811902E-2</v>
      </c>
      <c r="M41" s="20">
        <v>246</v>
      </c>
      <c r="N41" s="57">
        <f t="shared" si="3"/>
        <v>0.23608445297504799</v>
      </c>
      <c r="O41" s="46">
        <v>66</v>
      </c>
      <c r="P41" s="46">
        <v>374</v>
      </c>
      <c r="Q41" s="58" t="s">
        <v>51</v>
      </c>
      <c r="R41" s="58">
        <v>2020</v>
      </c>
      <c r="S41" s="58"/>
      <c r="T41" s="58"/>
      <c r="U41" s="58"/>
      <c r="V41" s="58"/>
      <c r="W41" s="58"/>
      <c r="X41" s="58" t="s">
        <v>51</v>
      </c>
      <c r="Y41" s="58"/>
      <c r="Z41" s="58"/>
      <c r="AA41" s="58"/>
      <c r="AB41" s="58"/>
      <c r="AC41" s="58" t="s">
        <v>51</v>
      </c>
      <c r="AD41" s="58"/>
      <c r="AE41" s="58"/>
      <c r="AF41" s="58"/>
      <c r="AG41" s="58"/>
      <c r="AH41" s="58"/>
      <c r="AI41" s="58"/>
    </row>
    <row r="42" spans="1:35" x14ac:dyDescent="0.35">
      <c r="A42" s="17" t="s">
        <v>46</v>
      </c>
      <c r="B42" s="17" t="s">
        <v>2574</v>
      </c>
      <c r="C42" s="28" t="s">
        <v>3032</v>
      </c>
      <c r="D42" s="17" t="s">
        <v>809</v>
      </c>
      <c r="E42" s="17" t="s">
        <v>3034</v>
      </c>
      <c r="F42" s="20">
        <v>264</v>
      </c>
      <c r="G42" s="20">
        <v>143</v>
      </c>
      <c r="H42" s="19">
        <v>703</v>
      </c>
      <c r="I42" s="20">
        <v>343</v>
      </c>
      <c r="J42" s="20">
        <v>360</v>
      </c>
      <c r="K42" s="20">
        <v>139</v>
      </c>
      <c r="L42" s="57">
        <f t="shared" si="2"/>
        <v>0.19772403982930298</v>
      </c>
      <c r="M42" s="20">
        <v>178</v>
      </c>
      <c r="N42" s="57">
        <f t="shared" si="3"/>
        <v>0.25320056899004267</v>
      </c>
      <c r="O42" s="46">
        <v>32</v>
      </c>
      <c r="P42" s="46">
        <v>48</v>
      </c>
      <c r="Q42" s="58" t="s">
        <v>51</v>
      </c>
      <c r="R42" s="58">
        <v>2020</v>
      </c>
      <c r="S42" s="58"/>
      <c r="T42" s="58"/>
      <c r="U42" s="58"/>
      <c r="V42" s="58"/>
      <c r="W42" s="58"/>
      <c r="X42" s="58" t="s">
        <v>51</v>
      </c>
      <c r="Y42" s="58"/>
      <c r="Z42" s="58"/>
      <c r="AA42" s="58"/>
      <c r="AB42" s="58"/>
      <c r="AC42" s="58" t="s">
        <v>51</v>
      </c>
      <c r="AD42" s="58"/>
      <c r="AE42" s="58"/>
      <c r="AF42" s="58"/>
      <c r="AG42" s="58"/>
      <c r="AH42" s="58"/>
      <c r="AI42" s="58"/>
    </row>
    <row r="43" spans="1:35" x14ac:dyDescent="0.35">
      <c r="A43" s="17" t="s">
        <v>46</v>
      </c>
      <c r="B43" s="17" t="s">
        <v>2574</v>
      </c>
      <c r="C43" s="28" t="s">
        <v>3032</v>
      </c>
      <c r="D43" s="17" t="s">
        <v>364</v>
      </c>
      <c r="E43" s="17" t="s">
        <v>3035</v>
      </c>
      <c r="F43" s="28">
        <v>158</v>
      </c>
      <c r="G43" s="47"/>
      <c r="H43" s="19">
        <v>0</v>
      </c>
      <c r="I43" s="47"/>
      <c r="J43" s="47"/>
      <c r="K43" s="47"/>
      <c r="L43" s="57"/>
      <c r="M43" s="47"/>
      <c r="N43" s="57"/>
      <c r="O43" s="48">
        <v>3</v>
      </c>
      <c r="P43" s="48">
        <v>0</v>
      </c>
      <c r="Q43" s="58" t="s">
        <v>112</v>
      </c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</row>
    <row r="44" spans="1:35" x14ac:dyDescent="0.35">
      <c r="A44" s="17" t="s">
        <v>46</v>
      </c>
      <c r="B44" s="17" t="s">
        <v>2574</v>
      </c>
      <c r="C44" s="28" t="s">
        <v>3032</v>
      </c>
      <c r="D44" s="17" t="s">
        <v>728</v>
      </c>
      <c r="E44" s="17" t="s">
        <v>3036</v>
      </c>
      <c r="F44" s="20">
        <v>1180</v>
      </c>
      <c r="G44" s="20">
        <v>975</v>
      </c>
      <c r="H44" s="19">
        <v>4599</v>
      </c>
      <c r="I44" s="20">
        <v>2383</v>
      </c>
      <c r="J44" s="20">
        <v>2216</v>
      </c>
      <c r="K44" s="20">
        <v>671</v>
      </c>
      <c r="L44" s="57">
        <f>K44/H44</f>
        <v>0.14590128288758425</v>
      </c>
      <c r="M44" s="20">
        <v>643</v>
      </c>
      <c r="N44" s="57">
        <f>M44/H44</f>
        <v>0.13981300282670145</v>
      </c>
      <c r="O44" s="46">
        <v>19</v>
      </c>
      <c r="P44" s="46">
        <v>330</v>
      </c>
      <c r="Q44" s="58" t="s">
        <v>51</v>
      </c>
      <c r="R44" s="58">
        <v>2020</v>
      </c>
      <c r="S44" s="58"/>
      <c r="T44" s="58"/>
      <c r="U44" s="58"/>
      <c r="V44" s="58"/>
      <c r="W44" s="58"/>
      <c r="X44" s="58" t="s">
        <v>51</v>
      </c>
      <c r="Y44" s="58"/>
      <c r="Z44" s="58"/>
      <c r="AA44" s="58"/>
      <c r="AB44" s="58"/>
      <c r="AC44" s="58" t="s">
        <v>51</v>
      </c>
      <c r="AD44" s="58"/>
      <c r="AE44" s="58"/>
      <c r="AF44" s="58"/>
      <c r="AG44" s="58"/>
      <c r="AH44" s="58"/>
      <c r="AI44" s="58"/>
    </row>
    <row r="45" spans="1:35" x14ac:dyDescent="0.35">
      <c r="A45" s="17" t="s">
        <v>46</v>
      </c>
      <c r="B45" s="17" t="s">
        <v>2574</v>
      </c>
      <c r="C45" s="28" t="s">
        <v>2971</v>
      </c>
      <c r="D45" s="17" t="s">
        <v>3037</v>
      </c>
      <c r="E45" s="17" t="s">
        <v>3038</v>
      </c>
      <c r="F45" s="20">
        <v>208</v>
      </c>
      <c r="G45" s="20">
        <v>25</v>
      </c>
      <c r="H45" s="19">
        <v>106</v>
      </c>
      <c r="I45" s="20">
        <v>52</v>
      </c>
      <c r="J45" s="20">
        <v>54</v>
      </c>
      <c r="K45" s="20">
        <v>87</v>
      </c>
      <c r="L45" s="57">
        <f>K45/H45</f>
        <v>0.82075471698113212</v>
      </c>
      <c r="M45" s="20">
        <v>0</v>
      </c>
      <c r="N45" s="57">
        <f>M45/H45</f>
        <v>0</v>
      </c>
      <c r="O45" s="46">
        <v>0</v>
      </c>
      <c r="P45" s="46">
        <v>0</v>
      </c>
      <c r="Q45" s="58" t="s">
        <v>562</v>
      </c>
      <c r="R45" s="58"/>
      <c r="S45" s="58"/>
      <c r="T45" s="58"/>
      <c r="U45" s="58"/>
      <c r="V45" s="58"/>
      <c r="W45" s="58"/>
      <c r="X45" s="58" t="s">
        <v>562</v>
      </c>
      <c r="Y45" s="58"/>
      <c r="Z45" s="58"/>
      <c r="AA45" s="58"/>
      <c r="AB45" s="58"/>
      <c r="AC45" s="58" t="s">
        <v>562</v>
      </c>
      <c r="AD45" s="58"/>
      <c r="AE45" s="58"/>
      <c r="AF45" s="58"/>
      <c r="AG45" s="58"/>
      <c r="AH45" s="58"/>
      <c r="AI45" s="58"/>
    </row>
    <row r="46" spans="1:35" x14ac:dyDescent="0.35">
      <c r="A46" s="17" t="s">
        <v>46</v>
      </c>
      <c r="B46" s="17" t="s">
        <v>2574</v>
      </c>
      <c r="C46" s="28" t="s">
        <v>2971</v>
      </c>
      <c r="D46" s="17" t="s">
        <v>160</v>
      </c>
      <c r="E46" s="17" t="s">
        <v>3039</v>
      </c>
      <c r="F46" s="28">
        <v>133</v>
      </c>
      <c r="G46" s="47"/>
      <c r="H46" s="19">
        <v>0</v>
      </c>
      <c r="I46" s="47"/>
      <c r="J46" s="47"/>
      <c r="K46" s="47"/>
      <c r="L46" s="57"/>
      <c r="M46" s="47"/>
      <c r="N46" s="57"/>
      <c r="O46" s="48">
        <v>0</v>
      </c>
      <c r="P46" s="48">
        <v>0</v>
      </c>
      <c r="Q46" s="58" t="s">
        <v>112</v>
      </c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</row>
    <row r="47" spans="1:35" x14ac:dyDescent="0.35">
      <c r="A47" s="17" t="s">
        <v>46</v>
      </c>
      <c r="B47" s="17" t="s">
        <v>2574</v>
      </c>
      <c r="C47" s="28" t="s">
        <v>3017</v>
      </c>
      <c r="D47" s="17" t="s">
        <v>3040</v>
      </c>
      <c r="E47" s="17" t="s">
        <v>3041</v>
      </c>
      <c r="F47" s="28">
        <v>168</v>
      </c>
      <c r="G47" s="47"/>
      <c r="H47" s="19">
        <v>0</v>
      </c>
      <c r="I47" s="47"/>
      <c r="J47" s="47"/>
      <c r="K47" s="47"/>
      <c r="L47" s="57"/>
      <c r="M47" s="47"/>
      <c r="N47" s="57"/>
      <c r="O47" s="48">
        <v>0</v>
      </c>
      <c r="P47" s="48">
        <v>0</v>
      </c>
      <c r="Q47" s="58" t="s">
        <v>112</v>
      </c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</row>
    <row r="48" spans="1:35" x14ac:dyDescent="0.35">
      <c r="A48" s="17" t="s">
        <v>46</v>
      </c>
      <c r="B48" s="17" t="s">
        <v>2574</v>
      </c>
      <c r="C48" s="28" t="s">
        <v>3032</v>
      </c>
      <c r="D48" s="17" t="s">
        <v>232</v>
      </c>
      <c r="E48" s="17" t="s">
        <v>3042</v>
      </c>
      <c r="F48" s="28">
        <v>44</v>
      </c>
      <c r="G48" s="47"/>
      <c r="H48" s="19">
        <v>0</v>
      </c>
      <c r="I48" s="47"/>
      <c r="J48" s="47"/>
      <c r="K48" s="47"/>
      <c r="L48" s="57"/>
      <c r="M48" s="47"/>
      <c r="N48" s="57"/>
      <c r="O48" s="48">
        <v>0</v>
      </c>
      <c r="P48" s="48">
        <v>0</v>
      </c>
      <c r="Q48" s="58" t="s">
        <v>112</v>
      </c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</row>
    <row r="49" spans="1:35" x14ac:dyDescent="0.35">
      <c r="A49" s="17" t="s">
        <v>46</v>
      </c>
      <c r="B49" s="17" t="s">
        <v>2574</v>
      </c>
      <c r="C49" s="28" t="s">
        <v>3032</v>
      </c>
      <c r="D49" s="17" t="s">
        <v>3043</v>
      </c>
      <c r="E49" s="17" t="s">
        <v>3044</v>
      </c>
      <c r="F49" s="28">
        <v>32</v>
      </c>
      <c r="G49" s="47"/>
      <c r="H49" s="19">
        <v>0</v>
      </c>
      <c r="I49" s="47"/>
      <c r="J49" s="47"/>
      <c r="K49" s="47"/>
      <c r="L49" s="57"/>
      <c r="M49" s="47"/>
      <c r="N49" s="57"/>
      <c r="O49" s="48">
        <v>0</v>
      </c>
      <c r="P49" s="48">
        <v>0</v>
      </c>
      <c r="Q49" s="58" t="s">
        <v>112</v>
      </c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</row>
    <row r="50" spans="1:35" x14ac:dyDescent="0.35">
      <c r="A50" s="17" t="s">
        <v>46</v>
      </c>
      <c r="B50" s="17" t="s">
        <v>2574</v>
      </c>
      <c r="C50" s="28" t="s">
        <v>3017</v>
      </c>
      <c r="D50" s="17" t="s">
        <v>2258</v>
      </c>
      <c r="E50" s="17" t="s">
        <v>3045</v>
      </c>
      <c r="F50" s="28">
        <v>117</v>
      </c>
      <c r="G50" s="47"/>
      <c r="H50" s="19">
        <v>0</v>
      </c>
      <c r="I50" s="47"/>
      <c r="J50" s="47"/>
      <c r="K50" s="47"/>
      <c r="L50" s="57"/>
      <c r="M50" s="47"/>
      <c r="N50" s="57"/>
      <c r="O50" s="48">
        <v>0</v>
      </c>
      <c r="P50" s="48">
        <v>0</v>
      </c>
      <c r="Q50" s="58" t="s">
        <v>112</v>
      </c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</row>
    <row r="51" spans="1:35" x14ac:dyDescent="0.35">
      <c r="A51" s="17" t="s">
        <v>46</v>
      </c>
      <c r="B51" s="17" t="s">
        <v>2574</v>
      </c>
      <c r="C51" s="28" t="s">
        <v>3017</v>
      </c>
      <c r="D51" s="17" t="s">
        <v>3046</v>
      </c>
      <c r="E51" s="17" t="s">
        <v>3047</v>
      </c>
      <c r="F51" s="28">
        <v>54</v>
      </c>
      <c r="G51" s="47"/>
      <c r="H51" s="19">
        <v>0</v>
      </c>
      <c r="I51" s="47"/>
      <c r="J51" s="47"/>
      <c r="K51" s="47"/>
      <c r="L51" s="57"/>
      <c r="M51" s="47"/>
      <c r="N51" s="57"/>
      <c r="O51" s="48">
        <v>0</v>
      </c>
      <c r="P51" s="48">
        <v>0</v>
      </c>
      <c r="Q51" s="58" t="s">
        <v>112</v>
      </c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</row>
    <row r="52" spans="1:35" x14ac:dyDescent="0.35">
      <c r="A52" s="17" t="s">
        <v>46</v>
      </c>
      <c r="B52" s="17" t="s">
        <v>2574</v>
      </c>
      <c r="C52" s="28" t="s">
        <v>3048</v>
      </c>
      <c r="D52" s="17" t="s">
        <v>3049</v>
      </c>
      <c r="E52" s="17" t="s">
        <v>3050</v>
      </c>
      <c r="F52" s="20">
        <v>277</v>
      </c>
      <c r="G52" s="20">
        <v>16</v>
      </c>
      <c r="H52" s="19">
        <v>68</v>
      </c>
      <c r="I52" s="20">
        <v>37</v>
      </c>
      <c r="J52" s="20">
        <v>31</v>
      </c>
      <c r="K52" s="20">
        <v>1</v>
      </c>
      <c r="L52" s="57">
        <f t="shared" ref="L52:L82" si="4">K52/H52</f>
        <v>1.4705882352941176E-2</v>
      </c>
      <c r="M52" s="20">
        <v>18</v>
      </c>
      <c r="N52" s="57">
        <f t="shared" ref="N52:N82" si="5">M52/H52</f>
        <v>0.26470588235294118</v>
      </c>
      <c r="O52" s="46">
        <v>0</v>
      </c>
      <c r="P52" s="46">
        <v>0</v>
      </c>
      <c r="Q52" s="58" t="s">
        <v>562</v>
      </c>
      <c r="R52" s="58"/>
      <c r="S52" s="58"/>
      <c r="T52" s="58"/>
      <c r="U52" s="58"/>
      <c r="V52" s="58"/>
      <c r="W52" s="58"/>
      <c r="X52" s="58" t="s">
        <v>562</v>
      </c>
      <c r="Y52" s="58"/>
      <c r="Z52" s="58"/>
      <c r="AA52" s="58"/>
      <c r="AB52" s="58"/>
      <c r="AC52" s="58" t="s">
        <v>562</v>
      </c>
      <c r="AD52" s="58"/>
      <c r="AE52" s="58"/>
      <c r="AF52" s="58"/>
      <c r="AG52" s="58"/>
      <c r="AH52" s="58"/>
      <c r="AI52" s="58"/>
    </row>
    <row r="53" spans="1:35" x14ac:dyDescent="0.35">
      <c r="A53" s="17" t="s">
        <v>46</v>
      </c>
      <c r="B53" s="17" t="s">
        <v>2574</v>
      </c>
      <c r="C53" s="28" t="s">
        <v>3051</v>
      </c>
      <c r="D53" s="17" t="s">
        <v>3052</v>
      </c>
      <c r="E53" s="17" t="s">
        <v>3053</v>
      </c>
      <c r="F53" s="20">
        <v>945</v>
      </c>
      <c r="G53" s="20">
        <v>251</v>
      </c>
      <c r="H53" s="19">
        <v>1388</v>
      </c>
      <c r="I53" s="20">
        <v>701</v>
      </c>
      <c r="J53" s="20">
        <v>687</v>
      </c>
      <c r="K53" s="20">
        <v>209</v>
      </c>
      <c r="L53" s="57">
        <f t="shared" si="4"/>
        <v>0.1505763688760807</v>
      </c>
      <c r="M53" s="20">
        <v>264</v>
      </c>
      <c r="N53" s="57">
        <f t="shared" si="5"/>
        <v>0.19020172910662825</v>
      </c>
      <c r="O53" s="46">
        <v>0</v>
      </c>
      <c r="P53" s="46">
        <v>0</v>
      </c>
      <c r="Q53" s="58" t="s">
        <v>51</v>
      </c>
      <c r="R53" s="58">
        <v>2021</v>
      </c>
      <c r="S53" s="58"/>
      <c r="T53" s="58"/>
      <c r="U53" s="58"/>
      <c r="V53" s="58"/>
      <c r="W53" s="58"/>
      <c r="X53" s="58" t="s">
        <v>51</v>
      </c>
      <c r="Y53" s="58"/>
      <c r="Z53" s="58"/>
      <c r="AA53" s="58"/>
      <c r="AB53" s="58"/>
      <c r="AC53" s="58" t="s">
        <v>51</v>
      </c>
      <c r="AD53" s="58"/>
      <c r="AE53" s="58"/>
      <c r="AF53" s="58"/>
      <c r="AG53" s="58"/>
      <c r="AH53" s="58"/>
      <c r="AI53" s="58"/>
    </row>
    <row r="54" spans="1:35" x14ac:dyDescent="0.35">
      <c r="A54" s="17" t="s">
        <v>46</v>
      </c>
      <c r="B54" s="17" t="s">
        <v>2574</v>
      </c>
      <c r="C54" s="28" t="s">
        <v>3051</v>
      </c>
      <c r="D54" s="17" t="s">
        <v>3054</v>
      </c>
      <c r="E54" s="17" t="s">
        <v>3055</v>
      </c>
      <c r="F54" s="20">
        <v>386</v>
      </c>
      <c r="G54" s="20">
        <v>134</v>
      </c>
      <c r="H54" s="19">
        <v>641</v>
      </c>
      <c r="I54" s="20">
        <v>323</v>
      </c>
      <c r="J54" s="20">
        <v>318</v>
      </c>
      <c r="K54" s="20">
        <v>217</v>
      </c>
      <c r="L54" s="57">
        <f t="shared" si="4"/>
        <v>0.33853354134165364</v>
      </c>
      <c r="M54" s="20">
        <v>97</v>
      </c>
      <c r="N54" s="57">
        <f t="shared" si="5"/>
        <v>0.15132605304212168</v>
      </c>
      <c r="O54" s="46">
        <v>25</v>
      </c>
      <c r="P54" s="46">
        <v>0</v>
      </c>
      <c r="Q54" s="58" t="s">
        <v>562</v>
      </c>
      <c r="R54" s="58"/>
      <c r="S54" s="58"/>
      <c r="T54" s="58"/>
      <c r="U54" s="58"/>
      <c r="V54" s="58"/>
      <c r="W54" s="58"/>
      <c r="X54" s="58" t="s">
        <v>562</v>
      </c>
      <c r="Y54" s="58"/>
      <c r="Z54" s="58"/>
      <c r="AA54" s="58"/>
      <c r="AB54" s="58"/>
      <c r="AC54" s="58" t="s">
        <v>562</v>
      </c>
      <c r="AD54" s="58"/>
      <c r="AE54" s="58"/>
      <c r="AF54" s="58"/>
      <c r="AG54" s="58"/>
      <c r="AH54" s="58"/>
      <c r="AI54" s="58"/>
    </row>
    <row r="55" spans="1:35" x14ac:dyDescent="0.35">
      <c r="A55" s="17" t="s">
        <v>46</v>
      </c>
      <c r="B55" s="17" t="s">
        <v>2574</v>
      </c>
      <c r="C55" s="28" t="s">
        <v>3048</v>
      </c>
      <c r="D55" s="17" t="s">
        <v>3056</v>
      </c>
      <c r="E55" s="17" t="s">
        <v>3057</v>
      </c>
      <c r="F55" s="20">
        <v>636.23</v>
      </c>
      <c r="G55" s="20">
        <v>125</v>
      </c>
      <c r="H55" s="19">
        <v>626</v>
      </c>
      <c r="I55" s="20">
        <v>306</v>
      </c>
      <c r="J55" s="20">
        <v>320</v>
      </c>
      <c r="K55" s="20">
        <v>4</v>
      </c>
      <c r="L55" s="57">
        <f t="shared" si="4"/>
        <v>6.3897763578274758E-3</v>
      </c>
      <c r="M55" s="20">
        <v>217</v>
      </c>
      <c r="N55" s="57">
        <f t="shared" si="5"/>
        <v>0.34664536741214058</v>
      </c>
      <c r="O55" s="46">
        <v>32</v>
      </c>
      <c r="P55" s="46">
        <v>0</v>
      </c>
      <c r="Q55" s="58" t="s">
        <v>51</v>
      </c>
      <c r="R55" s="58">
        <v>2020</v>
      </c>
      <c r="S55" s="58"/>
      <c r="T55" s="58"/>
      <c r="U55" s="58"/>
      <c r="V55" s="58"/>
      <c r="W55" s="58"/>
      <c r="X55" s="58" t="s">
        <v>51</v>
      </c>
      <c r="Y55" s="58"/>
      <c r="Z55" s="58"/>
      <c r="AA55" s="58"/>
      <c r="AB55" s="58"/>
      <c r="AC55" s="58" t="s">
        <v>51</v>
      </c>
      <c r="AD55" s="58"/>
      <c r="AE55" s="58"/>
      <c r="AF55" s="58"/>
      <c r="AG55" s="58"/>
      <c r="AH55" s="58"/>
      <c r="AI55" s="58"/>
    </row>
    <row r="56" spans="1:35" x14ac:dyDescent="0.35">
      <c r="A56" s="17" t="s">
        <v>46</v>
      </c>
      <c r="B56" s="17" t="s">
        <v>2574</v>
      </c>
      <c r="C56" s="28" t="s">
        <v>3017</v>
      </c>
      <c r="D56" s="17" t="s">
        <v>3058</v>
      </c>
      <c r="E56" s="17" t="s">
        <v>3059</v>
      </c>
      <c r="F56" s="20">
        <v>963</v>
      </c>
      <c r="G56" s="20">
        <v>340</v>
      </c>
      <c r="H56" s="19">
        <v>1499</v>
      </c>
      <c r="I56" s="20">
        <v>758</v>
      </c>
      <c r="J56" s="20">
        <v>741</v>
      </c>
      <c r="K56" s="20">
        <v>289</v>
      </c>
      <c r="L56" s="57">
        <f t="shared" si="4"/>
        <v>0.19279519679786525</v>
      </c>
      <c r="M56" s="20">
        <v>203</v>
      </c>
      <c r="N56" s="57">
        <f t="shared" si="5"/>
        <v>0.13542361574382922</v>
      </c>
      <c r="O56" s="46">
        <v>25</v>
      </c>
      <c r="P56" s="46">
        <v>0</v>
      </c>
      <c r="Q56" s="58" t="s">
        <v>51</v>
      </c>
      <c r="R56" s="58">
        <v>2020</v>
      </c>
      <c r="S56" s="58"/>
      <c r="T56" s="58"/>
      <c r="U56" s="58"/>
      <c r="V56" s="58"/>
      <c r="W56" s="58"/>
      <c r="X56" s="58" t="s">
        <v>51</v>
      </c>
      <c r="Y56" s="58"/>
      <c r="Z56" s="58"/>
      <c r="AA56" s="58"/>
      <c r="AB56" s="58"/>
      <c r="AC56" s="58" t="s">
        <v>51</v>
      </c>
      <c r="AD56" s="58"/>
      <c r="AE56" s="58"/>
      <c r="AF56" s="58"/>
      <c r="AG56" s="58"/>
      <c r="AH56" s="58"/>
      <c r="AI56" s="58"/>
    </row>
    <row r="57" spans="1:35" x14ac:dyDescent="0.35">
      <c r="A57" s="17" t="s">
        <v>46</v>
      </c>
      <c r="B57" s="17" t="s">
        <v>2574</v>
      </c>
      <c r="C57" s="28" t="s">
        <v>3017</v>
      </c>
      <c r="D57" s="17" t="s">
        <v>3060</v>
      </c>
      <c r="E57" s="17" t="s">
        <v>3061</v>
      </c>
      <c r="F57" s="20">
        <v>530</v>
      </c>
      <c r="G57" s="20">
        <v>323</v>
      </c>
      <c r="H57" s="19">
        <v>1481</v>
      </c>
      <c r="I57" s="20">
        <v>748</v>
      </c>
      <c r="J57" s="20">
        <v>733</v>
      </c>
      <c r="K57" s="20">
        <v>52</v>
      </c>
      <c r="L57" s="57">
        <f t="shared" si="4"/>
        <v>3.5111411208642807E-2</v>
      </c>
      <c r="M57" s="20">
        <v>930</v>
      </c>
      <c r="N57" s="57">
        <f t="shared" si="5"/>
        <v>0.62795408507765027</v>
      </c>
      <c r="O57" s="46">
        <v>38</v>
      </c>
      <c r="P57" s="46">
        <v>0</v>
      </c>
      <c r="Q57" s="58" t="s">
        <v>51</v>
      </c>
      <c r="R57" s="58">
        <v>2020</v>
      </c>
      <c r="S57" s="58"/>
      <c r="T57" s="58"/>
      <c r="U57" s="58"/>
      <c r="V57" s="58"/>
      <c r="W57" s="58"/>
      <c r="X57" s="58" t="s">
        <v>51</v>
      </c>
      <c r="Y57" s="58"/>
      <c r="Z57" s="58"/>
      <c r="AA57" s="58"/>
      <c r="AB57" s="58"/>
      <c r="AC57" s="58" t="s">
        <v>51</v>
      </c>
      <c r="AD57" s="58"/>
      <c r="AE57" s="58"/>
      <c r="AF57" s="58"/>
      <c r="AG57" s="58"/>
      <c r="AH57" s="58"/>
      <c r="AI57" s="58"/>
    </row>
    <row r="58" spans="1:35" x14ac:dyDescent="0.35">
      <c r="A58" s="17" t="s">
        <v>46</v>
      </c>
      <c r="B58" s="17" t="s">
        <v>2574</v>
      </c>
      <c r="C58" s="28" t="s">
        <v>3006</v>
      </c>
      <c r="D58" s="17" t="s">
        <v>3062</v>
      </c>
      <c r="E58" s="17" t="s">
        <v>3063</v>
      </c>
      <c r="F58" s="20">
        <v>257</v>
      </c>
      <c r="G58" s="20">
        <v>136</v>
      </c>
      <c r="H58" s="19">
        <v>645</v>
      </c>
      <c r="I58" s="20">
        <v>338</v>
      </c>
      <c r="J58" s="20">
        <v>307</v>
      </c>
      <c r="K58" s="20">
        <v>133</v>
      </c>
      <c r="L58" s="57">
        <f t="shared" si="4"/>
        <v>0.20620155038759691</v>
      </c>
      <c r="M58" s="20">
        <v>0</v>
      </c>
      <c r="N58" s="57">
        <f t="shared" si="5"/>
        <v>0</v>
      </c>
      <c r="O58" s="46">
        <v>22</v>
      </c>
      <c r="P58" s="46">
        <v>0</v>
      </c>
      <c r="Q58" s="58" t="s">
        <v>562</v>
      </c>
      <c r="R58" s="58"/>
      <c r="S58" s="58"/>
      <c r="T58" s="58"/>
      <c r="U58" s="58"/>
      <c r="V58" s="58"/>
      <c r="W58" s="58"/>
      <c r="X58" s="58" t="s">
        <v>562</v>
      </c>
      <c r="Y58" s="58"/>
      <c r="Z58" s="58"/>
      <c r="AA58" s="58"/>
      <c r="AB58" s="58"/>
      <c r="AC58" s="58" t="s">
        <v>562</v>
      </c>
      <c r="AD58" s="58"/>
      <c r="AE58" s="58"/>
      <c r="AF58" s="58"/>
      <c r="AG58" s="58"/>
      <c r="AH58" s="58"/>
      <c r="AI58" s="58"/>
    </row>
    <row r="59" spans="1:35" x14ac:dyDescent="0.35">
      <c r="A59" s="17" t="s">
        <v>46</v>
      </c>
      <c r="B59" s="17" t="s">
        <v>2574</v>
      </c>
      <c r="C59" s="28" t="s">
        <v>3006</v>
      </c>
      <c r="D59" s="17" t="s">
        <v>167</v>
      </c>
      <c r="E59" s="17" t="s">
        <v>3064</v>
      </c>
      <c r="F59" s="20">
        <v>197</v>
      </c>
      <c r="G59" s="20">
        <v>129</v>
      </c>
      <c r="H59" s="19">
        <v>573</v>
      </c>
      <c r="I59" s="20">
        <v>296</v>
      </c>
      <c r="J59" s="20">
        <v>277</v>
      </c>
      <c r="K59" s="20">
        <v>157</v>
      </c>
      <c r="L59" s="57">
        <f t="shared" si="4"/>
        <v>0.27399650959860383</v>
      </c>
      <c r="M59" s="20">
        <v>194</v>
      </c>
      <c r="N59" s="57">
        <f t="shared" si="5"/>
        <v>0.33856893542757416</v>
      </c>
      <c r="O59" s="46">
        <v>19</v>
      </c>
      <c r="P59" s="46">
        <v>0</v>
      </c>
      <c r="Q59" s="58" t="s">
        <v>562</v>
      </c>
      <c r="R59" s="58"/>
      <c r="S59" s="58"/>
      <c r="T59" s="58"/>
      <c r="U59" s="58"/>
      <c r="V59" s="58"/>
      <c r="W59" s="58"/>
      <c r="X59" s="58" t="s">
        <v>562</v>
      </c>
      <c r="Y59" s="58"/>
      <c r="Z59" s="58"/>
      <c r="AA59" s="58"/>
      <c r="AB59" s="58"/>
      <c r="AC59" s="58" t="s">
        <v>562</v>
      </c>
      <c r="AD59" s="58"/>
      <c r="AE59" s="58"/>
      <c r="AF59" s="58"/>
      <c r="AG59" s="58"/>
      <c r="AH59" s="58"/>
      <c r="AI59" s="58"/>
    </row>
    <row r="60" spans="1:35" x14ac:dyDescent="0.35">
      <c r="A60" s="17" t="s">
        <v>46</v>
      </c>
      <c r="B60" s="17" t="s">
        <v>2574</v>
      </c>
      <c r="C60" s="28" t="s">
        <v>3006</v>
      </c>
      <c r="D60" s="17" t="s">
        <v>3065</v>
      </c>
      <c r="E60" s="17" t="s">
        <v>3066</v>
      </c>
      <c r="F60" s="20">
        <v>482</v>
      </c>
      <c r="G60" s="20">
        <v>293</v>
      </c>
      <c r="H60" s="19">
        <v>1562</v>
      </c>
      <c r="I60" s="20">
        <v>798</v>
      </c>
      <c r="J60" s="20">
        <v>764</v>
      </c>
      <c r="K60" s="20">
        <v>181</v>
      </c>
      <c r="L60" s="57">
        <f t="shared" si="4"/>
        <v>0.11587708066581306</v>
      </c>
      <c r="M60" s="20">
        <v>241</v>
      </c>
      <c r="N60" s="57">
        <f t="shared" si="5"/>
        <v>0.15428937259923176</v>
      </c>
      <c r="O60" s="46">
        <v>69</v>
      </c>
      <c r="P60" s="46">
        <v>0</v>
      </c>
      <c r="Q60" s="58" t="s">
        <v>51</v>
      </c>
      <c r="R60" s="58">
        <v>2021</v>
      </c>
      <c r="S60" s="58"/>
      <c r="T60" s="58"/>
      <c r="U60" s="58"/>
      <c r="V60" s="58"/>
      <c r="W60" s="58"/>
      <c r="X60" s="58" t="s">
        <v>51</v>
      </c>
      <c r="Y60" s="58"/>
      <c r="Z60" s="58"/>
      <c r="AA60" s="58"/>
      <c r="AB60" s="58"/>
      <c r="AC60" s="58" t="s">
        <v>51</v>
      </c>
      <c r="AD60" s="58"/>
      <c r="AE60" s="58"/>
      <c r="AF60" s="58"/>
      <c r="AG60" s="58"/>
      <c r="AH60" s="58"/>
      <c r="AI60" s="58"/>
    </row>
    <row r="61" spans="1:35" x14ac:dyDescent="0.35">
      <c r="A61" s="17" t="s">
        <v>46</v>
      </c>
      <c r="B61" s="17" t="s">
        <v>2574</v>
      </c>
      <c r="C61" s="28" t="s">
        <v>3006</v>
      </c>
      <c r="D61" s="17" t="s">
        <v>3067</v>
      </c>
      <c r="E61" s="17" t="s">
        <v>3068</v>
      </c>
      <c r="F61" s="20">
        <v>80</v>
      </c>
      <c r="G61" s="20">
        <v>66</v>
      </c>
      <c r="H61" s="19">
        <v>325</v>
      </c>
      <c r="I61" s="20">
        <v>157</v>
      </c>
      <c r="J61" s="20">
        <v>168</v>
      </c>
      <c r="K61" s="20">
        <v>0</v>
      </c>
      <c r="L61" s="57">
        <f t="shared" si="4"/>
        <v>0</v>
      </c>
      <c r="M61" s="20">
        <v>322</v>
      </c>
      <c r="N61" s="57">
        <f t="shared" si="5"/>
        <v>0.99076923076923074</v>
      </c>
      <c r="O61" s="46">
        <v>7</v>
      </c>
      <c r="P61" s="46">
        <v>0</v>
      </c>
      <c r="Q61" s="58" t="s">
        <v>562</v>
      </c>
      <c r="R61" s="58"/>
      <c r="S61" s="58"/>
      <c r="T61" s="58"/>
      <c r="U61" s="58"/>
      <c r="V61" s="58"/>
      <c r="W61" s="58"/>
      <c r="X61" s="58" t="s">
        <v>562</v>
      </c>
      <c r="Y61" s="58"/>
      <c r="Z61" s="58"/>
      <c r="AA61" s="58"/>
      <c r="AB61" s="58"/>
      <c r="AC61" s="58" t="s">
        <v>562</v>
      </c>
      <c r="AD61" s="58"/>
      <c r="AE61" s="58"/>
      <c r="AF61" s="58"/>
      <c r="AG61" s="58"/>
      <c r="AH61" s="58"/>
      <c r="AI61" s="58"/>
    </row>
    <row r="62" spans="1:35" x14ac:dyDescent="0.35">
      <c r="A62" s="17" t="s">
        <v>46</v>
      </c>
      <c r="B62" s="17" t="s">
        <v>2574</v>
      </c>
      <c r="C62" s="28" t="s">
        <v>3006</v>
      </c>
      <c r="D62" s="17" t="s">
        <v>3069</v>
      </c>
      <c r="E62" s="17" t="s">
        <v>3070</v>
      </c>
      <c r="F62" s="20">
        <v>324</v>
      </c>
      <c r="G62" s="20">
        <v>153</v>
      </c>
      <c r="H62" s="19">
        <v>662</v>
      </c>
      <c r="I62" s="20">
        <v>316</v>
      </c>
      <c r="J62" s="20">
        <v>346</v>
      </c>
      <c r="K62" s="20">
        <v>629</v>
      </c>
      <c r="L62" s="57">
        <f t="shared" si="4"/>
        <v>0.95015105740181272</v>
      </c>
      <c r="M62" s="20">
        <v>2</v>
      </c>
      <c r="N62" s="57">
        <f t="shared" si="5"/>
        <v>3.0211480362537764E-3</v>
      </c>
      <c r="O62" s="46">
        <v>22</v>
      </c>
      <c r="P62" s="46">
        <v>0</v>
      </c>
      <c r="Q62" s="58" t="s">
        <v>51</v>
      </c>
      <c r="R62" s="58">
        <v>2021</v>
      </c>
      <c r="S62" s="58"/>
      <c r="T62" s="58"/>
      <c r="U62" s="58"/>
      <c r="V62" s="58"/>
      <c r="W62" s="58"/>
      <c r="X62" s="58" t="s">
        <v>51</v>
      </c>
      <c r="Y62" s="58"/>
      <c r="Z62" s="58"/>
      <c r="AA62" s="58"/>
      <c r="AB62" s="58"/>
      <c r="AC62" s="58" t="s">
        <v>51</v>
      </c>
      <c r="AD62" s="58"/>
      <c r="AE62" s="58"/>
      <c r="AF62" s="58"/>
      <c r="AG62" s="58"/>
      <c r="AH62" s="58"/>
      <c r="AI62" s="58"/>
    </row>
    <row r="63" spans="1:35" x14ac:dyDescent="0.35">
      <c r="A63" s="17" t="s">
        <v>46</v>
      </c>
      <c r="B63" s="17" t="s">
        <v>2574</v>
      </c>
      <c r="C63" s="28" t="s">
        <v>1375</v>
      </c>
      <c r="D63" s="17" t="s">
        <v>966</v>
      </c>
      <c r="E63" s="17" t="s">
        <v>3071</v>
      </c>
      <c r="F63" s="20">
        <v>216</v>
      </c>
      <c r="G63" s="20">
        <v>119</v>
      </c>
      <c r="H63" s="19">
        <v>592</v>
      </c>
      <c r="I63" s="20">
        <v>287</v>
      </c>
      <c r="J63" s="20">
        <v>305</v>
      </c>
      <c r="K63" s="20">
        <v>13</v>
      </c>
      <c r="L63" s="57">
        <f t="shared" si="4"/>
        <v>2.1959459459459461E-2</v>
      </c>
      <c r="M63" s="20">
        <v>102</v>
      </c>
      <c r="N63" s="57">
        <f t="shared" si="5"/>
        <v>0.17229729729729729</v>
      </c>
      <c r="O63" s="46">
        <v>21</v>
      </c>
      <c r="P63" s="46">
        <v>0</v>
      </c>
      <c r="Q63" s="58" t="s">
        <v>51</v>
      </c>
      <c r="R63" s="58">
        <v>2021</v>
      </c>
      <c r="S63" s="58"/>
      <c r="T63" s="58"/>
      <c r="U63" s="58"/>
      <c r="V63" s="58"/>
      <c r="W63" s="58"/>
      <c r="X63" s="58" t="s">
        <v>51</v>
      </c>
      <c r="Y63" s="58"/>
      <c r="Z63" s="58"/>
      <c r="AA63" s="58"/>
      <c r="AB63" s="58"/>
      <c r="AC63" s="58" t="s">
        <v>51</v>
      </c>
      <c r="AD63" s="58"/>
      <c r="AE63" s="58"/>
      <c r="AF63" s="58"/>
      <c r="AG63" s="58"/>
      <c r="AH63" s="58"/>
      <c r="AI63" s="58"/>
    </row>
    <row r="64" spans="1:35" x14ac:dyDescent="0.35">
      <c r="A64" s="17" t="s">
        <v>46</v>
      </c>
      <c r="B64" s="17" t="s">
        <v>2574</v>
      </c>
      <c r="C64" s="28" t="s">
        <v>1375</v>
      </c>
      <c r="D64" s="17" t="s">
        <v>3072</v>
      </c>
      <c r="E64" s="17" t="s">
        <v>3073</v>
      </c>
      <c r="F64" s="20">
        <v>593</v>
      </c>
      <c r="G64" s="20">
        <v>186</v>
      </c>
      <c r="H64" s="19">
        <v>988</v>
      </c>
      <c r="I64" s="20">
        <v>481</v>
      </c>
      <c r="J64" s="20">
        <v>507</v>
      </c>
      <c r="K64" s="20">
        <v>236</v>
      </c>
      <c r="L64" s="57">
        <f t="shared" si="4"/>
        <v>0.23886639676113361</v>
      </c>
      <c r="M64" s="20">
        <v>211</v>
      </c>
      <c r="N64" s="57">
        <f t="shared" si="5"/>
        <v>0.21356275303643724</v>
      </c>
      <c r="O64" s="46">
        <v>51</v>
      </c>
      <c r="P64" s="46">
        <v>0</v>
      </c>
      <c r="Q64" s="58" t="s">
        <v>51</v>
      </c>
      <c r="R64" s="58">
        <v>2021</v>
      </c>
      <c r="S64" s="58"/>
      <c r="T64" s="58"/>
      <c r="U64" s="58"/>
      <c r="V64" s="58"/>
      <c r="W64" s="58"/>
      <c r="X64" s="58" t="s">
        <v>51</v>
      </c>
      <c r="Y64" s="58"/>
      <c r="Z64" s="58"/>
      <c r="AA64" s="58"/>
      <c r="AB64" s="58"/>
      <c r="AC64" s="58" t="s">
        <v>51</v>
      </c>
      <c r="AD64" s="58"/>
      <c r="AE64" s="58"/>
      <c r="AF64" s="58"/>
      <c r="AG64" s="58"/>
      <c r="AH64" s="58"/>
      <c r="AI64" s="58"/>
    </row>
    <row r="65" spans="1:35" x14ac:dyDescent="0.35">
      <c r="A65" s="17" t="s">
        <v>46</v>
      </c>
      <c r="B65" s="17" t="s">
        <v>2574</v>
      </c>
      <c r="C65" s="28" t="s">
        <v>2996</v>
      </c>
      <c r="D65" s="17" t="s">
        <v>3074</v>
      </c>
      <c r="E65" s="17" t="s">
        <v>3075</v>
      </c>
      <c r="F65" s="20">
        <v>628</v>
      </c>
      <c r="G65" s="20">
        <v>394</v>
      </c>
      <c r="H65" s="19">
        <v>1881</v>
      </c>
      <c r="I65" s="20">
        <v>943</v>
      </c>
      <c r="J65" s="20">
        <v>938</v>
      </c>
      <c r="K65" s="20">
        <v>541</v>
      </c>
      <c r="L65" s="57">
        <f t="shared" si="4"/>
        <v>0.28761297182349815</v>
      </c>
      <c r="M65" s="20">
        <v>148</v>
      </c>
      <c r="N65" s="57">
        <f t="shared" si="5"/>
        <v>7.8681552365762894E-2</v>
      </c>
      <c r="O65" s="46">
        <v>90</v>
      </c>
      <c r="P65" s="46">
        <v>0</v>
      </c>
      <c r="Q65" s="58" t="s">
        <v>51</v>
      </c>
      <c r="R65" s="58">
        <v>2021</v>
      </c>
      <c r="S65" s="58"/>
      <c r="T65" s="58"/>
      <c r="U65" s="58"/>
      <c r="V65" s="58"/>
      <c r="W65" s="58"/>
      <c r="X65" s="58" t="s">
        <v>51</v>
      </c>
      <c r="Y65" s="58"/>
      <c r="Z65" s="58"/>
      <c r="AA65" s="58"/>
      <c r="AB65" s="58"/>
      <c r="AC65" s="58" t="s">
        <v>51</v>
      </c>
      <c r="AD65" s="58"/>
      <c r="AE65" s="58"/>
      <c r="AF65" s="58"/>
      <c r="AG65" s="58"/>
      <c r="AH65" s="58"/>
      <c r="AI65" s="58"/>
    </row>
    <row r="66" spans="1:35" x14ac:dyDescent="0.35">
      <c r="A66" s="17" t="s">
        <v>46</v>
      </c>
      <c r="B66" s="17" t="s">
        <v>2574</v>
      </c>
      <c r="C66" s="28" t="s">
        <v>3076</v>
      </c>
      <c r="D66" s="17" t="s">
        <v>3077</v>
      </c>
      <c r="E66" s="17" t="s">
        <v>3078</v>
      </c>
      <c r="F66" s="20">
        <v>1534</v>
      </c>
      <c r="G66" s="20">
        <v>687</v>
      </c>
      <c r="H66" s="19">
        <v>3267</v>
      </c>
      <c r="I66" s="20">
        <v>1661</v>
      </c>
      <c r="J66" s="20">
        <v>1606</v>
      </c>
      <c r="K66" s="20">
        <v>912</v>
      </c>
      <c r="L66" s="57">
        <f t="shared" si="4"/>
        <v>0.27915518824609736</v>
      </c>
      <c r="M66" s="20">
        <v>92</v>
      </c>
      <c r="N66" s="57">
        <f t="shared" si="5"/>
        <v>2.8160391796755432E-2</v>
      </c>
      <c r="O66" s="46">
        <v>273</v>
      </c>
      <c r="P66" s="46">
        <v>73</v>
      </c>
      <c r="Q66" s="58" t="s">
        <v>51</v>
      </c>
      <c r="R66" s="58">
        <v>2021</v>
      </c>
      <c r="S66" s="58"/>
      <c r="T66" s="58"/>
      <c r="U66" s="58"/>
      <c r="V66" s="58"/>
      <c r="W66" s="58"/>
      <c r="X66" s="58" t="s">
        <v>51</v>
      </c>
      <c r="Y66" s="58"/>
      <c r="Z66" s="58"/>
      <c r="AA66" s="58"/>
      <c r="AB66" s="58"/>
      <c r="AC66" s="58" t="s">
        <v>51</v>
      </c>
      <c r="AD66" s="58"/>
      <c r="AE66" s="58"/>
      <c r="AF66" s="58"/>
      <c r="AG66" s="58"/>
      <c r="AH66" s="58"/>
      <c r="AI66" s="58"/>
    </row>
    <row r="67" spans="1:35" x14ac:dyDescent="0.35">
      <c r="A67" s="17" t="s">
        <v>46</v>
      </c>
      <c r="B67" s="17" t="s">
        <v>2574</v>
      </c>
      <c r="C67" s="28" t="s">
        <v>3076</v>
      </c>
      <c r="D67" s="17" t="s">
        <v>501</v>
      </c>
      <c r="E67" s="17" t="s">
        <v>3079</v>
      </c>
      <c r="F67" s="20">
        <v>260</v>
      </c>
      <c r="G67" s="20">
        <v>82</v>
      </c>
      <c r="H67" s="19">
        <v>402</v>
      </c>
      <c r="I67" s="20">
        <v>192</v>
      </c>
      <c r="J67" s="20">
        <v>210</v>
      </c>
      <c r="K67" s="20">
        <v>53</v>
      </c>
      <c r="L67" s="57">
        <f t="shared" si="4"/>
        <v>0.13184079601990051</v>
      </c>
      <c r="M67" s="20">
        <v>0</v>
      </c>
      <c r="N67" s="57">
        <f t="shared" si="5"/>
        <v>0</v>
      </c>
      <c r="O67" s="46">
        <v>87</v>
      </c>
      <c r="P67" s="46">
        <v>0</v>
      </c>
      <c r="Q67" s="58" t="s">
        <v>51</v>
      </c>
      <c r="R67" s="58">
        <v>2021</v>
      </c>
      <c r="S67" s="58"/>
      <c r="T67" s="58"/>
      <c r="U67" s="58"/>
      <c r="V67" s="58"/>
      <c r="W67" s="58"/>
      <c r="X67" s="58" t="s">
        <v>51</v>
      </c>
      <c r="Y67" s="58"/>
      <c r="Z67" s="58"/>
      <c r="AA67" s="58"/>
      <c r="AB67" s="58"/>
      <c r="AC67" s="58" t="s">
        <v>51</v>
      </c>
      <c r="AD67" s="58"/>
      <c r="AE67" s="58"/>
      <c r="AF67" s="58"/>
      <c r="AG67" s="58"/>
      <c r="AH67" s="58"/>
      <c r="AI67" s="58"/>
    </row>
    <row r="68" spans="1:35" x14ac:dyDescent="0.35">
      <c r="A68" s="17" t="s">
        <v>46</v>
      </c>
      <c r="B68" s="17" t="s">
        <v>2574</v>
      </c>
      <c r="C68" s="28" t="s">
        <v>3076</v>
      </c>
      <c r="D68" s="17" t="s">
        <v>3080</v>
      </c>
      <c r="E68" s="17" t="s">
        <v>3081</v>
      </c>
      <c r="F68" s="20">
        <v>300</v>
      </c>
      <c r="G68" s="20">
        <v>140</v>
      </c>
      <c r="H68" s="19">
        <v>638</v>
      </c>
      <c r="I68" s="20">
        <v>330</v>
      </c>
      <c r="J68" s="20">
        <v>308</v>
      </c>
      <c r="K68" s="20">
        <v>372</v>
      </c>
      <c r="L68" s="57">
        <f t="shared" si="4"/>
        <v>0.58307210031347967</v>
      </c>
      <c r="M68" s="20">
        <v>27</v>
      </c>
      <c r="N68" s="57">
        <f t="shared" si="5"/>
        <v>4.2319749216300939E-2</v>
      </c>
      <c r="O68" s="46">
        <v>30</v>
      </c>
      <c r="P68" s="46">
        <v>0</v>
      </c>
      <c r="Q68" s="58" t="s">
        <v>51</v>
      </c>
      <c r="R68" s="58">
        <v>2021</v>
      </c>
      <c r="S68" s="58"/>
      <c r="T68" s="58"/>
      <c r="U68" s="58"/>
      <c r="V68" s="58"/>
      <c r="W68" s="58"/>
      <c r="X68" s="58" t="s">
        <v>51</v>
      </c>
      <c r="Y68" s="58"/>
      <c r="Z68" s="58"/>
      <c r="AA68" s="58"/>
      <c r="AB68" s="58"/>
      <c r="AC68" s="58" t="s">
        <v>51</v>
      </c>
      <c r="AD68" s="58"/>
      <c r="AE68" s="58"/>
      <c r="AF68" s="58"/>
      <c r="AG68" s="58"/>
      <c r="AH68" s="58"/>
      <c r="AI68" s="58"/>
    </row>
    <row r="69" spans="1:35" x14ac:dyDescent="0.35">
      <c r="A69" s="17" t="s">
        <v>46</v>
      </c>
      <c r="B69" s="17" t="s">
        <v>2574</v>
      </c>
      <c r="C69" s="28" t="s">
        <v>3082</v>
      </c>
      <c r="D69" s="17" t="s">
        <v>3083</v>
      </c>
      <c r="E69" s="17" t="s">
        <v>3084</v>
      </c>
      <c r="F69" s="20">
        <v>580</v>
      </c>
      <c r="G69" s="20">
        <v>249</v>
      </c>
      <c r="H69" s="19">
        <v>1147</v>
      </c>
      <c r="I69" s="20">
        <v>552</v>
      </c>
      <c r="J69" s="20">
        <v>595</v>
      </c>
      <c r="K69" s="20">
        <v>287</v>
      </c>
      <c r="L69" s="57">
        <f t="shared" si="4"/>
        <v>0.25021795989537926</v>
      </c>
      <c r="M69" s="20">
        <v>16</v>
      </c>
      <c r="N69" s="57">
        <f t="shared" si="5"/>
        <v>1.3949433304272014E-2</v>
      </c>
      <c r="O69" s="46">
        <v>67</v>
      </c>
      <c r="P69" s="46">
        <v>0</v>
      </c>
      <c r="Q69" s="58" t="s">
        <v>51</v>
      </c>
      <c r="R69" s="58">
        <v>2021</v>
      </c>
      <c r="S69" s="58"/>
      <c r="T69" s="58"/>
      <c r="U69" s="58"/>
      <c r="V69" s="58"/>
      <c r="W69" s="58"/>
      <c r="X69" s="58" t="s">
        <v>51</v>
      </c>
      <c r="Y69" s="58"/>
      <c r="Z69" s="58"/>
      <c r="AA69" s="58"/>
      <c r="AB69" s="58"/>
      <c r="AC69" s="58" t="s">
        <v>51</v>
      </c>
      <c r="AD69" s="58"/>
      <c r="AE69" s="58"/>
      <c r="AF69" s="58"/>
      <c r="AG69" s="58"/>
      <c r="AH69" s="58"/>
      <c r="AI69" s="58"/>
    </row>
    <row r="70" spans="1:35" x14ac:dyDescent="0.35">
      <c r="A70" s="17" t="s">
        <v>46</v>
      </c>
      <c r="B70" s="17" t="s">
        <v>2574</v>
      </c>
      <c r="C70" s="28" t="s">
        <v>3082</v>
      </c>
      <c r="D70" s="17" t="s">
        <v>3085</v>
      </c>
      <c r="E70" s="17" t="s">
        <v>3086</v>
      </c>
      <c r="F70" s="20">
        <v>211</v>
      </c>
      <c r="G70" s="20">
        <v>111</v>
      </c>
      <c r="H70" s="19">
        <v>557</v>
      </c>
      <c r="I70" s="20">
        <v>284</v>
      </c>
      <c r="J70" s="20">
        <v>273</v>
      </c>
      <c r="K70" s="20">
        <v>127</v>
      </c>
      <c r="L70" s="57">
        <f t="shared" si="4"/>
        <v>0.22800718132854578</v>
      </c>
      <c r="M70" s="20">
        <v>16</v>
      </c>
      <c r="N70" s="57">
        <f t="shared" si="5"/>
        <v>2.8725314183123879E-2</v>
      </c>
      <c r="O70" s="46">
        <v>31</v>
      </c>
      <c r="P70" s="46">
        <v>0</v>
      </c>
      <c r="Q70" s="58" t="s">
        <v>51</v>
      </c>
      <c r="R70" s="58">
        <v>2021</v>
      </c>
      <c r="S70" s="58"/>
      <c r="T70" s="58"/>
      <c r="U70" s="58"/>
      <c r="V70" s="58"/>
      <c r="W70" s="58"/>
      <c r="X70" s="58" t="s">
        <v>51</v>
      </c>
      <c r="Y70" s="58"/>
      <c r="Z70" s="58"/>
      <c r="AA70" s="58"/>
      <c r="AB70" s="58"/>
      <c r="AC70" s="58" t="s">
        <v>51</v>
      </c>
      <c r="AD70" s="58"/>
      <c r="AE70" s="58"/>
      <c r="AF70" s="58"/>
      <c r="AG70" s="58"/>
      <c r="AH70" s="58"/>
      <c r="AI70" s="58"/>
    </row>
    <row r="71" spans="1:35" x14ac:dyDescent="0.35">
      <c r="A71" s="17" t="s">
        <v>46</v>
      </c>
      <c r="B71" s="17" t="s">
        <v>2574</v>
      </c>
      <c r="C71" s="28" t="s">
        <v>3082</v>
      </c>
      <c r="D71" s="17" t="s">
        <v>1625</v>
      </c>
      <c r="E71" s="17" t="s">
        <v>3087</v>
      </c>
      <c r="F71" s="20">
        <v>59</v>
      </c>
      <c r="G71" s="20">
        <v>38</v>
      </c>
      <c r="H71" s="19">
        <v>173</v>
      </c>
      <c r="I71" s="20">
        <v>95</v>
      </c>
      <c r="J71" s="20">
        <v>78</v>
      </c>
      <c r="K71" s="20">
        <v>173</v>
      </c>
      <c r="L71" s="57">
        <f t="shared" si="4"/>
        <v>1</v>
      </c>
      <c r="M71" s="20">
        <v>0</v>
      </c>
      <c r="N71" s="57">
        <f t="shared" si="5"/>
        <v>0</v>
      </c>
      <c r="O71" s="46">
        <v>10</v>
      </c>
      <c r="P71" s="46">
        <v>0</v>
      </c>
      <c r="Q71" s="58" t="s">
        <v>562</v>
      </c>
      <c r="R71" s="58"/>
      <c r="S71" s="58"/>
      <c r="T71" s="58"/>
      <c r="U71" s="58"/>
      <c r="V71" s="58"/>
      <c r="W71" s="58"/>
      <c r="X71" s="58" t="s">
        <v>562</v>
      </c>
      <c r="Y71" s="58"/>
      <c r="Z71" s="58"/>
      <c r="AA71" s="58"/>
      <c r="AB71" s="58"/>
      <c r="AC71" s="58" t="s">
        <v>562</v>
      </c>
      <c r="AD71" s="58"/>
      <c r="AE71" s="58"/>
      <c r="AF71" s="58"/>
      <c r="AG71" s="58"/>
      <c r="AH71" s="58"/>
      <c r="AI71" s="58"/>
    </row>
    <row r="72" spans="1:35" x14ac:dyDescent="0.35">
      <c r="A72" s="17" t="s">
        <v>46</v>
      </c>
      <c r="B72" s="17" t="s">
        <v>2574</v>
      </c>
      <c r="C72" s="28" t="s">
        <v>3082</v>
      </c>
      <c r="D72" s="17" t="s">
        <v>3088</v>
      </c>
      <c r="E72" s="17" t="s">
        <v>3089</v>
      </c>
      <c r="F72" s="20">
        <v>551</v>
      </c>
      <c r="G72" s="20">
        <v>502</v>
      </c>
      <c r="H72" s="19">
        <v>2270</v>
      </c>
      <c r="I72" s="20">
        <v>1126</v>
      </c>
      <c r="J72" s="20">
        <v>1144</v>
      </c>
      <c r="K72" s="20">
        <v>584</v>
      </c>
      <c r="L72" s="57">
        <f t="shared" si="4"/>
        <v>0.25726872246696036</v>
      </c>
      <c r="M72" s="20">
        <v>131</v>
      </c>
      <c r="N72" s="57">
        <f t="shared" si="5"/>
        <v>5.7709251101321586E-2</v>
      </c>
      <c r="O72" s="46">
        <v>75</v>
      </c>
      <c r="P72" s="46">
        <v>0</v>
      </c>
      <c r="Q72" s="58" t="s">
        <v>51</v>
      </c>
      <c r="R72" s="58">
        <v>2021</v>
      </c>
      <c r="S72" s="58"/>
      <c r="T72" s="58"/>
      <c r="U72" s="58"/>
      <c r="V72" s="58"/>
      <c r="W72" s="58"/>
      <c r="X72" s="58" t="s">
        <v>51</v>
      </c>
      <c r="Y72" s="58"/>
      <c r="Z72" s="58"/>
      <c r="AA72" s="58"/>
      <c r="AB72" s="58"/>
      <c r="AC72" s="58" t="s">
        <v>51</v>
      </c>
      <c r="AD72" s="58"/>
      <c r="AE72" s="58"/>
      <c r="AF72" s="58"/>
      <c r="AG72" s="58"/>
      <c r="AH72" s="58"/>
      <c r="AI72" s="58"/>
    </row>
    <row r="73" spans="1:35" x14ac:dyDescent="0.35">
      <c r="A73" s="17" t="s">
        <v>46</v>
      </c>
      <c r="B73" s="17" t="s">
        <v>2574</v>
      </c>
      <c r="C73" s="28" t="s">
        <v>3082</v>
      </c>
      <c r="D73" s="17" t="s">
        <v>3090</v>
      </c>
      <c r="E73" s="17" t="s">
        <v>3091</v>
      </c>
      <c r="F73" s="20">
        <v>540</v>
      </c>
      <c r="G73" s="20">
        <v>171</v>
      </c>
      <c r="H73" s="19">
        <v>800</v>
      </c>
      <c r="I73" s="20">
        <v>411</v>
      </c>
      <c r="J73" s="20">
        <v>389</v>
      </c>
      <c r="K73" s="20">
        <v>414</v>
      </c>
      <c r="L73" s="57">
        <f t="shared" si="4"/>
        <v>0.51749999999999996</v>
      </c>
      <c r="M73" s="20">
        <v>22</v>
      </c>
      <c r="N73" s="57">
        <f t="shared" si="5"/>
        <v>2.75E-2</v>
      </c>
      <c r="O73" s="46">
        <v>25</v>
      </c>
      <c r="P73" s="46">
        <v>0</v>
      </c>
      <c r="Q73" s="58" t="s">
        <v>51</v>
      </c>
      <c r="R73" s="58">
        <v>2021</v>
      </c>
      <c r="S73" s="58"/>
      <c r="T73" s="58"/>
      <c r="U73" s="58"/>
      <c r="V73" s="58"/>
      <c r="W73" s="58"/>
      <c r="X73" s="58" t="s">
        <v>51</v>
      </c>
      <c r="Y73" s="58"/>
      <c r="Z73" s="58"/>
      <c r="AA73" s="58"/>
      <c r="AB73" s="58"/>
      <c r="AC73" s="58" t="s">
        <v>51</v>
      </c>
      <c r="AD73" s="58"/>
      <c r="AE73" s="58"/>
      <c r="AF73" s="58"/>
      <c r="AG73" s="58"/>
      <c r="AH73" s="58"/>
      <c r="AI73" s="58"/>
    </row>
    <row r="74" spans="1:35" x14ac:dyDescent="0.35">
      <c r="A74" s="17" t="s">
        <v>46</v>
      </c>
      <c r="B74" s="17" t="s">
        <v>2574</v>
      </c>
      <c r="C74" s="28" t="s">
        <v>1367</v>
      </c>
      <c r="D74" s="17" t="s">
        <v>1368</v>
      </c>
      <c r="E74" s="17" t="s">
        <v>3092</v>
      </c>
      <c r="F74" s="20">
        <v>1036</v>
      </c>
      <c r="G74" s="20">
        <v>434</v>
      </c>
      <c r="H74" s="19">
        <v>2171</v>
      </c>
      <c r="I74" s="20">
        <v>1093</v>
      </c>
      <c r="J74" s="20">
        <v>1078</v>
      </c>
      <c r="K74" s="20">
        <v>310</v>
      </c>
      <c r="L74" s="57">
        <f t="shared" si="4"/>
        <v>0.14279134039613081</v>
      </c>
      <c r="M74" s="20">
        <v>112</v>
      </c>
      <c r="N74" s="57">
        <f t="shared" si="5"/>
        <v>5.1589129433440808E-2</v>
      </c>
      <c r="O74" s="46">
        <v>153</v>
      </c>
      <c r="P74" s="46">
        <v>0</v>
      </c>
      <c r="Q74" s="58" t="s">
        <v>51</v>
      </c>
      <c r="R74" s="58">
        <v>2020</v>
      </c>
      <c r="S74" s="58"/>
      <c r="T74" s="58"/>
      <c r="U74" s="58"/>
      <c r="V74" s="58"/>
      <c r="W74" s="58"/>
      <c r="X74" s="58" t="s">
        <v>51</v>
      </c>
      <c r="Y74" s="58"/>
      <c r="Z74" s="58"/>
      <c r="AA74" s="58"/>
      <c r="AB74" s="58"/>
      <c r="AC74" s="58" t="s">
        <v>51</v>
      </c>
      <c r="AD74" s="58"/>
      <c r="AE74" s="58"/>
      <c r="AF74" s="58"/>
      <c r="AG74" s="58"/>
      <c r="AH74" s="58"/>
      <c r="AI74" s="58"/>
    </row>
    <row r="75" spans="1:35" x14ac:dyDescent="0.35">
      <c r="A75" s="17" t="s">
        <v>46</v>
      </c>
      <c r="B75" s="17" t="s">
        <v>2574</v>
      </c>
      <c r="C75" s="28" t="s">
        <v>1375</v>
      </c>
      <c r="D75" s="17" t="s">
        <v>3093</v>
      </c>
      <c r="E75" s="17" t="s">
        <v>3094</v>
      </c>
      <c r="F75" s="20">
        <v>825</v>
      </c>
      <c r="G75" s="20">
        <v>430</v>
      </c>
      <c r="H75" s="19">
        <v>1967</v>
      </c>
      <c r="I75" s="20">
        <v>984</v>
      </c>
      <c r="J75" s="20">
        <v>983</v>
      </c>
      <c r="K75" s="20">
        <v>252</v>
      </c>
      <c r="L75" s="57">
        <f t="shared" si="4"/>
        <v>0.12811387900355872</v>
      </c>
      <c r="M75" s="20">
        <v>129</v>
      </c>
      <c r="N75" s="57">
        <f t="shared" si="5"/>
        <v>6.5582104728012208E-2</v>
      </c>
      <c r="O75" s="46">
        <v>83</v>
      </c>
      <c r="P75" s="46">
        <v>0</v>
      </c>
      <c r="Q75" s="58" t="s">
        <v>51</v>
      </c>
      <c r="R75" s="58">
        <v>2021</v>
      </c>
      <c r="S75" s="58"/>
      <c r="T75" s="58"/>
      <c r="U75" s="58"/>
      <c r="V75" s="58"/>
      <c r="W75" s="58"/>
      <c r="X75" s="58" t="s">
        <v>51</v>
      </c>
      <c r="Y75" s="58"/>
      <c r="Z75" s="58"/>
      <c r="AA75" s="58"/>
      <c r="AB75" s="58"/>
      <c r="AC75" s="58" t="s">
        <v>51</v>
      </c>
      <c r="AD75" s="58"/>
      <c r="AE75" s="58"/>
      <c r="AF75" s="58"/>
      <c r="AG75" s="58"/>
      <c r="AH75" s="58"/>
      <c r="AI75" s="58"/>
    </row>
    <row r="76" spans="1:35" x14ac:dyDescent="0.35">
      <c r="A76" s="17" t="s">
        <v>46</v>
      </c>
      <c r="B76" s="17" t="s">
        <v>2574</v>
      </c>
      <c r="C76" s="28" t="s">
        <v>1375</v>
      </c>
      <c r="D76" s="17" t="s">
        <v>3095</v>
      </c>
      <c r="E76" s="17" t="s">
        <v>3096</v>
      </c>
      <c r="F76" s="20">
        <v>475</v>
      </c>
      <c r="G76" s="20">
        <v>165</v>
      </c>
      <c r="H76" s="19">
        <v>835</v>
      </c>
      <c r="I76" s="20">
        <v>449</v>
      </c>
      <c r="J76" s="20">
        <v>386</v>
      </c>
      <c r="K76" s="20">
        <v>80</v>
      </c>
      <c r="L76" s="57">
        <f t="shared" si="4"/>
        <v>9.580838323353294E-2</v>
      </c>
      <c r="M76" s="20">
        <v>126</v>
      </c>
      <c r="N76" s="57">
        <f t="shared" si="5"/>
        <v>0.15089820359281436</v>
      </c>
      <c r="O76" s="46">
        <v>42</v>
      </c>
      <c r="P76" s="46">
        <v>0</v>
      </c>
      <c r="Q76" s="58" t="s">
        <v>51</v>
      </c>
      <c r="R76" s="58">
        <v>2021</v>
      </c>
      <c r="S76" s="58"/>
      <c r="T76" s="58"/>
      <c r="U76" s="58"/>
      <c r="V76" s="58"/>
      <c r="W76" s="58"/>
      <c r="X76" s="58" t="s">
        <v>51</v>
      </c>
      <c r="Y76" s="58"/>
      <c r="Z76" s="58"/>
      <c r="AA76" s="58"/>
      <c r="AB76" s="58"/>
      <c r="AC76" s="58" t="s">
        <v>51</v>
      </c>
      <c r="AD76" s="58"/>
      <c r="AE76" s="58"/>
      <c r="AF76" s="58"/>
      <c r="AG76" s="58"/>
      <c r="AH76" s="58"/>
      <c r="AI76" s="58"/>
    </row>
    <row r="77" spans="1:35" x14ac:dyDescent="0.35">
      <c r="A77" s="17" t="s">
        <v>46</v>
      </c>
      <c r="B77" s="17" t="s">
        <v>2574</v>
      </c>
      <c r="C77" s="28" t="s">
        <v>3097</v>
      </c>
      <c r="D77" s="17" t="s">
        <v>3098</v>
      </c>
      <c r="E77" s="17" t="s">
        <v>3099</v>
      </c>
      <c r="F77" s="20">
        <v>521</v>
      </c>
      <c r="G77" s="20">
        <v>287</v>
      </c>
      <c r="H77" s="19">
        <v>1388</v>
      </c>
      <c r="I77" s="20">
        <v>711</v>
      </c>
      <c r="J77" s="20">
        <v>677</v>
      </c>
      <c r="K77" s="20">
        <v>197</v>
      </c>
      <c r="L77" s="57">
        <f t="shared" si="4"/>
        <v>0.14193083573487031</v>
      </c>
      <c r="M77" s="20">
        <v>162</v>
      </c>
      <c r="N77" s="57">
        <f t="shared" si="5"/>
        <v>0.11671469740634005</v>
      </c>
      <c r="O77" s="46">
        <v>66</v>
      </c>
      <c r="P77" s="46">
        <v>0</v>
      </c>
      <c r="Q77" s="58" t="s">
        <v>51</v>
      </c>
      <c r="R77" s="58">
        <v>2021</v>
      </c>
      <c r="S77" s="58"/>
      <c r="T77" s="58"/>
      <c r="U77" s="58"/>
      <c r="V77" s="58"/>
      <c r="W77" s="58"/>
      <c r="X77" s="58" t="s">
        <v>51</v>
      </c>
      <c r="Y77" s="58"/>
      <c r="Z77" s="58"/>
      <c r="AA77" s="58"/>
      <c r="AB77" s="58"/>
      <c r="AC77" s="58" t="s">
        <v>51</v>
      </c>
      <c r="AD77" s="58"/>
      <c r="AE77" s="58"/>
      <c r="AF77" s="58"/>
      <c r="AG77" s="58"/>
      <c r="AH77" s="58"/>
      <c r="AI77" s="58"/>
    </row>
    <row r="78" spans="1:35" x14ac:dyDescent="0.35">
      <c r="A78" s="17" t="s">
        <v>46</v>
      </c>
      <c r="B78" s="17" t="s">
        <v>2574</v>
      </c>
      <c r="C78" s="28" t="s">
        <v>1367</v>
      </c>
      <c r="D78" s="17" t="s">
        <v>3100</v>
      </c>
      <c r="E78" s="17" t="s">
        <v>3101</v>
      </c>
      <c r="F78" s="20">
        <v>463</v>
      </c>
      <c r="G78" s="20">
        <v>293</v>
      </c>
      <c r="H78" s="19">
        <v>1477</v>
      </c>
      <c r="I78" s="20">
        <v>716</v>
      </c>
      <c r="J78" s="20">
        <v>761</v>
      </c>
      <c r="K78" s="20">
        <v>89</v>
      </c>
      <c r="L78" s="57">
        <f t="shared" si="4"/>
        <v>6.025727826675694E-2</v>
      </c>
      <c r="M78" s="20">
        <v>9</v>
      </c>
      <c r="N78" s="57">
        <f t="shared" si="5"/>
        <v>6.093432633716994E-3</v>
      </c>
      <c r="O78" s="46">
        <v>72</v>
      </c>
      <c r="P78" s="46">
        <v>0</v>
      </c>
      <c r="Q78" s="58" t="s">
        <v>51</v>
      </c>
      <c r="R78" s="58">
        <v>2020</v>
      </c>
      <c r="S78" s="58"/>
      <c r="T78" s="58"/>
      <c r="U78" s="58"/>
      <c r="V78" s="58"/>
      <c r="W78" s="58"/>
      <c r="X78" s="58" t="s">
        <v>51</v>
      </c>
      <c r="Y78" s="58"/>
      <c r="Z78" s="58"/>
      <c r="AA78" s="58"/>
      <c r="AB78" s="58"/>
      <c r="AC78" s="58" t="s">
        <v>51</v>
      </c>
      <c r="AD78" s="58"/>
      <c r="AE78" s="58"/>
      <c r="AF78" s="58"/>
      <c r="AG78" s="58"/>
      <c r="AH78" s="58"/>
      <c r="AI78" s="58"/>
    </row>
    <row r="79" spans="1:35" x14ac:dyDescent="0.35">
      <c r="A79" s="17" t="s">
        <v>46</v>
      </c>
      <c r="B79" s="17" t="s">
        <v>2574</v>
      </c>
      <c r="C79" s="28" t="s">
        <v>1367</v>
      </c>
      <c r="D79" s="17" t="s">
        <v>3102</v>
      </c>
      <c r="E79" s="17" t="s">
        <v>3103</v>
      </c>
      <c r="F79" s="20">
        <v>256</v>
      </c>
      <c r="G79" s="20">
        <v>84</v>
      </c>
      <c r="H79" s="19">
        <v>399</v>
      </c>
      <c r="I79" s="20">
        <v>190</v>
      </c>
      <c r="J79" s="20">
        <v>209</v>
      </c>
      <c r="K79" s="20">
        <v>0</v>
      </c>
      <c r="L79" s="57">
        <f t="shared" si="4"/>
        <v>0</v>
      </c>
      <c r="M79" s="20">
        <v>296</v>
      </c>
      <c r="N79" s="57">
        <f t="shared" si="5"/>
        <v>0.74185463659147866</v>
      </c>
      <c r="O79" s="46">
        <v>12</v>
      </c>
      <c r="P79" s="46">
        <v>0</v>
      </c>
      <c r="Q79" s="58" t="s">
        <v>51</v>
      </c>
      <c r="R79" s="58">
        <v>2020</v>
      </c>
      <c r="S79" s="58"/>
      <c r="T79" s="58"/>
      <c r="U79" s="58"/>
      <c r="V79" s="58"/>
      <c r="W79" s="58"/>
      <c r="X79" s="58" t="s">
        <v>51</v>
      </c>
      <c r="Y79" s="58"/>
      <c r="Z79" s="58"/>
      <c r="AA79" s="58"/>
      <c r="AB79" s="58"/>
      <c r="AC79" s="58" t="s">
        <v>51</v>
      </c>
      <c r="AD79" s="58"/>
      <c r="AE79" s="58"/>
      <c r="AF79" s="58"/>
      <c r="AG79" s="58"/>
      <c r="AH79" s="58"/>
      <c r="AI79" s="58"/>
    </row>
    <row r="80" spans="1:35" x14ac:dyDescent="0.35">
      <c r="A80" s="17" t="s">
        <v>46</v>
      </c>
      <c r="B80" s="17" t="s">
        <v>2574</v>
      </c>
      <c r="C80" s="28" t="s">
        <v>1367</v>
      </c>
      <c r="D80" s="17" t="s">
        <v>3104</v>
      </c>
      <c r="E80" s="17" t="s">
        <v>3105</v>
      </c>
      <c r="F80" s="20">
        <v>307</v>
      </c>
      <c r="G80" s="20">
        <v>129</v>
      </c>
      <c r="H80" s="19">
        <v>672</v>
      </c>
      <c r="I80" s="20">
        <v>350</v>
      </c>
      <c r="J80" s="20">
        <v>322</v>
      </c>
      <c r="K80" s="20">
        <v>9</v>
      </c>
      <c r="L80" s="57">
        <f t="shared" si="4"/>
        <v>1.3392857142857142E-2</v>
      </c>
      <c r="M80" s="20">
        <v>100</v>
      </c>
      <c r="N80" s="57">
        <f t="shared" si="5"/>
        <v>0.14880952380952381</v>
      </c>
      <c r="O80" s="46">
        <v>21</v>
      </c>
      <c r="P80" s="46">
        <v>0</v>
      </c>
      <c r="Q80" s="58" t="s">
        <v>562</v>
      </c>
      <c r="R80" s="58"/>
      <c r="S80" s="58"/>
      <c r="T80" s="58"/>
      <c r="U80" s="58"/>
      <c r="V80" s="58"/>
      <c r="W80" s="58"/>
      <c r="X80" s="58" t="s">
        <v>562</v>
      </c>
      <c r="Y80" s="58"/>
      <c r="Z80" s="58"/>
      <c r="AA80" s="58"/>
      <c r="AB80" s="58"/>
      <c r="AC80" s="58" t="s">
        <v>562</v>
      </c>
      <c r="AD80" s="58"/>
      <c r="AE80" s="58"/>
      <c r="AF80" s="58"/>
      <c r="AG80" s="58"/>
      <c r="AH80" s="58"/>
      <c r="AI80" s="58"/>
    </row>
    <row r="81" spans="1:35" x14ac:dyDescent="0.35">
      <c r="A81" s="17" t="s">
        <v>46</v>
      </c>
      <c r="B81" s="17" t="s">
        <v>2574</v>
      </c>
      <c r="C81" s="28" t="s">
        <v>3106</v>
      </c>
      <c r="D81" s="17" t="s">
        <v>2819</v>
      </c>
      <c r="E81" s="17" t="s">
        <v>3107</v>
      </c>
      <c r="F81" s="20">
        <v>256</v>
      </c>
      <c r="G81" s="20">
        <v>91</v>
      </c>
      <c r="H81" s="19">
        <v>439</v>
      </c>
      <c r="I81" s="20">
        <v>215</v>
      </c>
      <c r="J81" s="20">
        <v>224</v>
      </c>
      <c r="K81" s="20">
        <v>0</v>
      </c>
      <c r="L81" s="57">
        <f t="shared" si="4"/>
        <v>0</v>
      </c>
      <c r="M81" s="20">
        <v>0</v>
      </c>
      <c r="N81" s="57">
        <f t="shared" si="5"/>
        <v>0</v>
      </c>
      <c r="O81" s="46">
        <v>22</v>
      </c>
      <c r="P81" s="46">
        <v>0</v>
      </c>
      <c r="Q81" s="58" t="s">
        <v>562</v>
      </c>
      <c r="R81" s="58"/>
      <c r="S81" s="58"/>
      <c r="T81" s="58"/>
      <c r="U81" s="58"/>
      <c r="V81" s="58"/>
      <c r="W81" s="58"/>
      <c r="X81" s="58" t="s">
        <v>562</v>
      </c>
      <c r="Y81" s="58"/>
      <c r="Z81" s="58"/>
      <c r="AA81" s="58"/>
      <c r="AB81" s="58"/>
      <c r="AC81" s="58" t="s">
        <v>562</v>
      </c>
      <c r="AD81" s="58"/>
      <c r="AE81" s="58"/>
      <c r="AF81" s="58"/>
      <c r="AG81" s="58"/>
      <c r="AH81" s="58"/>
      <c r="AI81" s="58"/>
    </row>
    <row r="82" spans="1:35" x14ac:dyDescent="0.35">
      <c r="A82" s="17" t="s">
        <v>46</v>
      </c>
      <c r="B82" s="17" t="s">
        <v>2574</v>
      </c>
      <c r="C82" s="28" t="s">
        <v>3106</v>
      </c>
      <c r="D82" s="17" t="s">
        <v>3108</v>
      </c>
      <c r="E82" s="17" t="s">
        <v>3109</v>
      </c>
      <c r="F82" s="20">
        <v>164</v>
      </c>
      <c r="G82" s="20">
        <v>154</v>
      </c>
      <c r="H82" s="19">
        <v>704</v>
      </c>
      <c r="I82" s="20">
        <v>378</v>
      </c>
      <c r="J82" s="20">
        <v>326</v>
      </c>
      <c r="K82" s="20">
        <v>82</v>
      </c>
      <c r="L82" s="57">
        <f t="shared" si="4"/>
        <v>0.11647727272727272</v>
      </c>
      <c r="M82" s="20">
        <v>566</v>
      </c>
      <c r="N82" s="57">
        <f t="shared" si="5"/>
        <v>0.80397727272727271</v>
      </c>
      <c r="O82" s="46">
        <v>35</v>
      </c>
      <c r="P82" s="46">
        <v>0</v>
      </c>
      <c r="Q82" s="58" t="s">
        <v>51</v>
      </c>
      <c r="R82" s="58">
        <v>2021</v>
      </c>
      <c r="S82" s="58"/>
      <c r="T82" s="58"/>
      <c r="U82" s="58"/>
      <c r="V82" s="58"/>
      <c r="W82" s="58"/>
      <c r="X82" s="58" t="s">
        <v>51</v>
      </c>
      <c r="Y82" s="58"/>
      <c r="Z82" s="58"/>
      <c r="AA82" s="58"/>
      <c r="AB82" s="58"/>
      <c r="AC82" s="58" t="s">
        <v>51</v>
      </c>
      <c r="AD82" s="58"/>
      <c r="AE82" s="58"/>
      <c r="AF82" s="58"/>
      <c r="AG82" s="58"/>
      <c r="AH82" s="58"/>
      <c r="AI82" s="58"/>
    </row>
    <row r="83" spans="1:35" x14ac:dyDescent="0.35">
      <c r="A83" s="17" t="s">
        <v>46</v>
      </c>
      <c r="B83" s="17" t="s">
        <v>2574</v>
      </c>
      <c r="C83" s="28" t="s">
        <v>3106</v>
      </c>
      <c r="D83" s="17" t="s">
        <v>3110</v>
      </c>
      <c r="E83" s="17" t="s">
        <v>3111</v>
      </c>
      <c r="F83" s="28">
        <v>54</v>
      </c>
      <c r="G83" s="47"/>
      <c r="H83" s="19">
        <v>0</v>
      </c>
      <c r="I83" s="47"/>
      <c r="J83" s="47"/>
      <c r="K83" s="47"/>
      <c r="L83" s="57"/>
      <c r="M83" s="47"/>
      <c r="N83" s="57"/>
      <c r="O83" s="48">
        <v>0</v>
      </c>
      <c r="P83" s="48">
        <v>0</v>
      </c>
      <c r="Q83" s="58" t="s">
        <v>112</v>
      </c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</row>
    <row r="84" spans="1:35" x14ac:dyDescent="0.35">
      <c r="A84" s="17" t="s">
        <v>46</v>
      </c>
      <c r="B84" s="17" t="s">
        <v>2574</v>
      </c>
      <c r="C84" s="28" t="s">
        <v>3106</v>
      </c>
      <c r="D84" s="17" t="s">
        <v>3112</v>
      </c>
      <c r="E84" s="17" t="s">
        <v>3113</v>
      </c>
      <c r="F84" s="20">
        <v>221</v>
      </c>
      <c r="G84" s="20">
        <v>35</v>
      </c>
      <c r="H84" s="19">
        <v>157</v>
      </c>
      <c r="I84" s="20">
        <v>76</v>
      </c>
      <c r="J84" s="20">
        <v>81</v>
      </c>
      <c r="K84" s="20">
        <v>0</v>
      </c>
      <c r="L84" s="57">
        <f t="shared" ref="L84:L89" si="6">K84/H84</f>
        <v>0</v>
      </c>
      <c r="M84" s="20">
        <v>0</v>
      </c>
      <c r="N84" s="57">
        <f t="shared" ref="N84:N89" si="7">M84/H84</f>
        <v>0</v>
      </c>
      <c r="O84" s="46">
        <v>33</v>
      </c>
      <c r="P84" s="46">
        <v>76</v>
      </c>
      <c r="Q84" s="58" t="s">
        <v>562</v>
      </c>
      <c r="R84" s="58"/>
      <c r="S84" s="58"/>
      <c r="T84" s="58"/>
      <c r="U84" s="58"/>
      <c r="V84" s="58"/>
      <c r="W84" s="58"/>
      <c r="X84" s="58" t="s">
        <v>562</v>
      </c>
      <c r="Y84" s="58"/>
      <c r="Z84" s="58"/>
      <c r="AA84" s="58"/>
      <c r="AB84" s="58"/>
      <c r="AC84" s="58" t="s">
        <v>562</v>
      </c>
      <c r="AD84" s="58"/>
      <c r="AE84" s="58"/>
      <c r="AF84" s="58"/>
      <c r="AG84" s="58"/>
      <c r="AH84" s="58"/>
      <c r="AI84" s="58"/>
    </row>
    <row r="85" spans="1:35" x14ac:dyDescent="0.35">
      <c r="A85" s="17" t="s">
        <v>46</v>
      </c>
      <c r="B85" s="17" t="s">
        <v>2574</v>
      </c>
      <c r="C85" s="28" t="s">
        <v>3106</v>
      </c>
      <c r="D85" s="17" t="s">
        <v>3114</v>
      </c>
      <c r="E85" s="17" t="s">
        <v>3115</v>
      </c>
      <c r="F85" s="20">
        <v>386</v>
      </c>
      <c r="G85" s="20">
        <v>103</v>
      </c>
      <c r="H85" s="19">
        <v>503</v>
      </c>
      <c r="I85" s="20">
        <v>248</v>
      </c>
      <c r="J85" s="20">
        <v>255</v>
      </c>
      <c r="K85" s="20">
        <v>4</v>
      </c>
      <c r="L85" s="57">
        <f t="shared" si="6"/>
        <v>7.9522862823061622E-3</v>
      </c>
      <c r="M85" s="20">
        <v>76</v>
      </c>
      <c r="N85" s="57">
        <f t="shared" si="7"/>
        <v>0.15109343936381708</v>
      </c>
      <c r="O85" s="46">
        <v>30</v>
      </c>
      <c r="P85" s="46">
        <v>12</v>
      </c>
      <c r="Q85" s="58" t="s">
        <v>562</v>
      </c>
      <c r="R85" s="58"/>
      <c r="S85" s="58"/>
      <c r="T85" s="58"/>
      <c r="U85" s="58"/>
      <c r="V85" s="58"/>
      <c r="W85" s="58"/>
      <c r="X85" s="58" t="s">
        <v>562</v>
      </c>
      <c r="Y85" s="58"/>
      <c r="Z85" s="58"/>
      <c r="AA85" s="58"/>
      <c r="AB85" s="58"/>
      <c r="AC85" s="58" t="s">
        <v>562</v>
      </c>
      <c r="AD85" s="58"/>
      <c r="AE85" s="58"/>
      <c r="AF85" s="58"/>
      <c r="AG85" s="58"/>
      <c r="AH85" s="58"/>
      <c r="AI85" s="58"/>
    </row>
    <row r="86" spans="1:35" x14ac:dyDescent="0.35">
      <c r="A86" s="17" t="s">
        <v>46</v>
      </c>
      <c r="B86" s="17" t="s">
        <v>2574</v>
      </c>
      <c r="C86" s="28" t="s">
        <v>3106</v>
      </c>
      <c r="D86" s="17" t="s">
        <v>3116</v>
      </c>
      <c r="E86" s="17" t="s">
        <v>3117</v>
      </c>
      <c r="F86" s="20">
        <v>118</v>
      </c>
      <c r="G86" s="20">
        <v>6</v>
      </c>
      <c r="H86" s="19">
        <v>34</v>
      </c>
      <c r="I86" s="20">
        <v>13</v>
      </c>
      <c r="J86" s="20">
        <v>21</v>
      </c>
      <c r="K86" s="20">
        <v>30</v>
      </c>
      <c r="L86" s="57">
        <f t="shared" si="6"/>
        <v>0.88235294117647056</v>
      </c>
      <c r="M86" s="20">
        <v>0</v>
      </c>
      <c r="N86" s="57">
        <f t="shared" si="7"/>
        <v>0</v>
      </c>
      <c r="O86" s="46">
        <v>13</v>
      </c>
      <c r="P86" s="46">
        <v>0</v>
      </c>
      <c r="Q86" s="58" t="s">
        <v>562</v>
      </c>
      <c r="R86" s="58"/>
      <c r="S86" s="58"/>
      <c r="T86" s="58"/>
      <c r="U86" s="58"/>
      <c r="V86" s="58"/>
      <c r="W86" s="58"/>
      <c r="X86" s="58" t="s">
        <v>562</v>
      </c>
      <c r="Y86" s="58"/>
      <c r="Z86" s="58"/>
      <c r="AA86" s="58"/>
      <c r="AB86" s="58"/>
      <c r="AC86" s="58" t="s">
        <v>562</v>
      </c>
      <c r="AD86" s="58"/>
      <c r="AE86" s="58"/>
      <c r="AF86" s="58"/>
      <c r="AG86" s="58"/>
      <c r="AH86" s="58"/>
      <c r="AI86" s="58"/>
    </row>
    <row r="87" spans="1:35" x14ac:dyDescent="0.35">
      <c r="A87" s="17" t="s">
        <v>46</v>
      </c>
      <c r="B87" s="17" t="s">
        <v>2574</v>
      </c>
      <c r="C87" s="28" t="s">
        <v>1367</v>
      </c>
      <c r="D87" s="17" t="s">
        <v>3118</v>
      </c>
      <c r="E87" s="17" t="s">
        <v>3119</v>
      </c>
      <c r="F87" s="20">
        <v>58</v>
      </c>
      <c r="G87" s="20">
        <v>60</v>
      </c>
      <c r="H87" s="19">
        <v>306</v>
      </c>
      <c r="I87" s="20">
        <v>148</v>
      </c>
      <c r="J87" s="20">
        <v>158</v>
      </c>
      <c r="K87" s="20">
        <v>240</v>
      </c>
      <c r="L87" s="57">
        <f t="shared" si="6"/>
        <v>0.78431372549019607</v>
      </c>
      <c r="M87" s="20">
        <v>0</v>
      </c>
      <c r="N87" s="57">
        <f t="shared" si="7"/>
        <v>0</v>
      </c>
      <c r="O87" s="46">
        <v>4</v>
      </c>
      <c r="P87" s="46">
        <v>0</v>
      </c>
      <c r="Q87" s="58" t="s">
        <v>51</v>
      </c>
      <c r="R87" s="58">
        <v>2020</v>
      </c>
      <c r="S87" s="58"/>
      <c r="T87" s="58"/>
      <c r="U87" s="58"/>
      <c r="V87" s="58"/>
      <c r="W87" s="58"/>
      <c r="X87" s="58" t="s">
        <v>51</v>
      </c>
      <c r="Y87" s="58"/>
      <c r="Z87" s="58"/>
      <c r="AA87" s="58"/>
      <c r="AB87" s="58"/>
      <c r="AC87" s="58" t="s">
        <v>51</v>
      </c>
      <c r="AD87" s="58"/>
      <c r="AE87" s="58"/>
      <c r="AF87" s="58"/>
      <c r="AG87" s="58"/>
      <c r="AH87" s="58"/>
      <c r="AI87" s="58"/>
    </row>
    <row r="88" spans="1:35" x14ac:dyDescent="0.35">
      <c r="A88" s="17" t="s">
        <v>46</v>
      </c>
      <c r="B88" s="17" t="s">
        <v>2574</v>
      </c>
      <c r="C88" s="28" t="s">
        <v>3097</v>
      </c>
      <c r="D88" s="17" t="s">
        <v>3120</v>
      </c>
      <c r="E88" s="17" t="s">
        <v>3121</v>
      </c>
      <c r="F88" s="20">
        <v>476</v>
      </c>
      <c r="G88" s="20">
        <v>952</v>
      </c>
      <c r="H88" s="19">
        <v>4809</v>
      </c>
      <c r="I88" s="20">
        <v>2428</v>
      </c>
      <c r="J88" s="20">
        <v>2381</v>
      </c>
      <c r="K88" s="20">
        <v>675</v>
      </c>
      <c r="L88" s="57">
        <f t="shared" si="6"/>
        <v>0.14036182158452901</v>
      </c>
      <c r="M88" s="20">
        <v>70</v>
      </c>
      <c r="N88" s="57">
        <f t="shared" si="7"/>
        <v>1.4556040756914119E-2</v>
      </c>
      <c r="O88" s="46">
        <v>46</v>
      </c>
      <c r="P88" s="46">
        <v>0</v>
      </c>
      <c r="Q88" s="58" t="s">
        <v>562</v>
      </c>
      <c r="R88" s="58"/>
      <c r="S88" s="58"/>
      <c r="T88" s="58"/>
      <c r="U88" s="58"/>
      <c r="V88" s="58"/>
      <c r="W88" s="58"/>
      <c r="X88" s="58" t="s">
        <v>562</v>
      </c>
      <c r="Y88" s="58"/>
      <c r="Z88" s="58"/>
      <c r="AA88" s="58"/>
      <c r="AB88" s="58"/>
      <c r="AC88" s="58" t="s">
        <v>562</v>
      </c>
      <c r="AD88" s="58"/>
      <c r="AE88" s="58"/>
      <c r="AF88" s="58"/>
      <c r="AG88" s="58"/>
      <c r="AH88" s="58"/>
      <c r="AI88" s="58"/>
    </row>
    <row r="89" spans="1:35" x14ac:dyDescent="0.35">
      <c r="A89" s="17" t="s">
        <v>46</v>
      </c>
      <c r="B89" s="17" t="s">
        <v>2574</v>
      </c>
      <c r="C89" s="28" t="s">
        <v>3097</v>
      </c>
      <c r="D89" s="17" t="s">
        <v>3122</v>
      </c>
      <c r="E89" s="17" t="s">
        <v>3123</v>
      </c>
      <c r="F89" s="20">
        <v>202</v>
      </c>
      <c r="G89" s="20">
        <v>118</v>
      </c>
      <c r="H89" s="19">
        <v>576</v>
      </c>
      <c r="I89" s="20">
        <v>295</v>
      </c>
      <c r="J89" s="20">
        <v>281</v>
      </c>
      <c r="K89" s="20">
        <v>0</v>
      </c>
      <c r="L89" s="57">
        <f t="shared" si="6"/>
        <v>0</v>
      </c>
      <c r="M89" s="20">
        <v>443</v>
      </c>
      <c r="N89" s="57">
        <f t="shared" si="7"/>
        <v>0.76909722222222221</v>
      </c>
      <c r="O89" s="46">
        <v>22</v>
      </c>
      <c r="P89" s="46">
        <v>0</v>
      </c>
      <c r="Q89" s="58" t="s">
        <v>562</v>
      </c>
      <c r="R89" s="58"/>
      <c r="S89" s="58"/>
      <c r="T89" s="58"/>
      <c r="U89" s="58"/>
      <c r="V89" s="58"/>
      <c r="W89" s="58"/>
      <c r="X89" s="58" t="s">
        <v>562</v>
      </c>
      <c r="Y89" s="58"/>
      <c r="Z89" s="58"/>
      <c r="AA89" s="58"/>
      <c r="AB89" s="58"/>
      <c r="AC89" s="58" t="s">
        <v>562</v>
      </c>
      <c r="AD89" s="58"/>
      <c r="AE89" s="58"/>
      <c r="AF89" s="58"/>
      <c r="AG89" s="58"/>
      <c r="AH89" s="58"/>
      <c r="AI89" s="58"/>
    </row>
    <row r="90" spans="1:35" x14ac:dyDescent="0.35">
      <c r="A90" s="17" t="s">
        <v>46</v>
      </c>
      <c r="B90" s="17" t="s">
        <v>2574</v>
      </c>
      <c r="C90" s="28" t="s">
        <v>3124</v>
      </c>
      <c r="D90" s="17" t="s">
        <v>3125</v>
      </c>
      <c r="E90" s="17" t="s">
        <v>3126</v>
      </c>
      <c r="F90" s="28">
        <v>138</v>
      </c>
      <c r="G90" s="47"/>
      <c r="H90" s="19">
        <v>0</v>
      </c>
      <c r="I90" s="47"/>
      <c r="J90" s="47"/>
      <c r="K90" s="47"/>
      <c r="L90" s="57"/>
      <c r="M90" s="47"/>
      <c r="N90" s="57"/>
      <c r="O90" s="48">
        <v>0</v>
      </c>
      <c r="P90" s="48">
        <v>0</v>
      </c>
      <c r="Q90" s="58" t="s">
        <v>112</v>
      </c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</row>
    <row r="91" spans="1:35" x14ac:dyDescent="0.35">
      <c r="A91" s="17" t="s">
        <v>46</v>
      </c>
      <c r="B91" s="17" t="s">
        <v>2574</v>
      </c>
      <c r="C91" s="28" t="s">
        <v>3097</v>
      </c>
      <c r="D91" s="17" t="s">
        <v>3127</v>
      </c>
      <c r="E91" s="17" t="s">
        <v>3128</v>
      </c>
      <c r="F91" s="20">
        <v>540</v>
      </c>
      <c r="G91" s="20">
        <v>241</v>
      </c>
      <c r="H91" s="19">
        <v>1073</v>
      </c>
      <c r="I91" s="20">
        <v>554</v>
      </c>
      <c r="J91" s="20">
        <v>519</v>
      </c>
      <c r="K91" s="20">
        <v>121</v>
      </c>
      <c r="L91" s="57">
        <f t="shared" ref="L91:L106" si="8">K91/H91</f>
        <v>0.11276794035414725</v>
      </c>
      <c r="M91" s="20">
        <v>92</v>
      </c>
      <c r="N91" s="57">
        <f t="shared" ref="N91:N106" si="9">M91/H91</f>
        <v>8.5740913327120222E-2</v>
      </c>
      <c r="O91" s="46">
        <v>34</v>
      </c>
      <c r="P91" s="46">
        <v>0</v>
      </c>
      <c r="Q91" s="58" t="s">
        <v>562</v>
      </c>
      <c r="R91" s="58"/>
      <c r="S91" s="58"/>
      <c r="T91" s="58"/>
      <c r="U91" s="58"/>
      <c r="V91" s="58"/>
      <c r="W91" s="58"/>
      <c r="X91" s="58" t="s">
        <v>562</v>
      </c>
      <c r="Y91" s="58"/>
      <c r="Z91" s="58"/>
      <c r="AA91" s="58"/>
      <c r="AB91" s="58"/>
      <c r="AC91" s="58" t="s">
        <v>562</v>
      </c>
      <c r="AD91" s="58"/>
      <c r="AE91" s="58"/>
      <c r="AF91" s="58"/>
      <c r="AG91" s="58"/>
      <c r="AH91" s="58"/>
      <c r="AI91" s="58"/>
    </row>
    <row r="92" spans="1:35" x14ac:dyDescent="0.35">
      <c r="A92" s="17" t="s">
        <v>46</v>
      </c>
      <c r="B92" s="17" t="s">
        <v>2574</v>
      </c>
      <c r="C92" s="28" t="s">
        <v>3129</v>
      </c>
      <c r="D92" s="17" t="s">
        <v>3130</v>
      </c>
      <c r="E92" s="17" t="s">
        <v>3131</v>
      </c>
      <c r="F92" s="20">
        <v>260</v>
      </c>
      <c r="G92" s="20">
        <v>208</v>
      </c>
      <c r="H92" s="19">
        <v>1087</v>
      </c>
      <c r="I92" s="20">
        <v>550</v>
      </c>
      <c r="J92" s="20">
        <v>537</v>
      </c>
      <c r="K92" s="20">
        <v>129</v>
      </c>
      <c r="L92" s="57">
        <f t="shared" si="8"/>
        <v>0.11867525298988041</v>
      </c>
      <c r="M92" s="20">
        <v>42</v>
      </c>
      <c r="N92" s="57">
        <f t="shared" si="9"/>
        <v>3.8638454461821528E-2</v>
      </c>
      <c r="O92" s="46">
        <v>72</v>
      </c>
      <c r="P92" s="46">
        <v>0</v>
      </c>
      <c r="Q92" s="58" t="s">
        <v>562</v>
      </c>
      <c r="R92" s="58"/>
      <c r="S92" s="58"/>
      <c r="T92" s="58"/>
      <c r="U92" s="58"/>
      <c r="V92" s="58"/>
      <c r="W92" s="58"/>
      <c r="X92" s="58" t="s">
        <v>562</v>
      </c>
      <c r="Y92" s="58"/>
      <c r="Z92" s="58"/>
      <c r="AA92" s="58"/>
      <c r="AB92" s="58"/>
      <c r="AC92" s="58" t="s">
        <v>562</v>
      </c>
      <c r="AD92" s="58"/>
      <c r="AE92" s="58"/>
      <c r="AF92" s="58"/>
      <c r="AG92" s="58"/>
      <c r="AH92" s="58"/>
      <c r="AI92" s="58"/>
    </row>
    <row r="93" spans="1:35" x14ac:dyDescent="0.35">
      <c r="A93" s="17" t="s">
        <v>46</v>
      </c>
      <c r="B93" s="17" t="s">
        <v>2574</v>
      </c>
      <c r="C93" s="28" t="s">
        <v>3132</v>
      </c>
      <c r="D93" s="17" t="s">
        <v>3133</v>
      </c>
      <c r="E93" s="17" t="s">
        <v>3134</v>
      </c>
      <c r="F93" s="20">
        <v>282</v>
      </c>
      <c r="G93" s="20">
        <v>181</v>
      </c>
      <c r="H93" s="19">
        <v>763</v>
      </c>
      <c r="I93" s="20">
        <v>417</v>
      </c>
      <c r="J93" s="20">
        <v>346</v>
      </c>
      <c r="K93" s="20">
        <v>193</v>
      </c>
      <c r="L93" s="57">
        <f t="shared" si="8"/>
        <v>0.25294888597640891</v>
      </c>
      <c r="M93" s="20">
        <v>177</v>
      </c>
      <c r="N93" s="57">
        <f t="shared" si="9"/>
        <v>0.23197903014416776</v>
      </c>
      <c r="O93" s="46">
        <v>79</v>
      </c>
      <c r="P93" s="46">
        <v>0</v>
      </c>
      <c r="Q93" s="58" t="s">
        <v>51</v>
      </c>
      <c r="R93" s="58">
        <v>2021</v>
      </c>
      <c r="S93" s="58"/>
      <c r="T93" s="58"/>
      <c r="U93" s="58"/>
      <c r="V93" s="58"/>
      <c r="W93" s="58"/>
      <c r="X93" s="58" t="s">
        <v>51</v>
      </c>
      <c r="Y93" s="58"/>
      <c r="Z93" s="58"/>
      <c r="AA93" s="58"/>
      <c r="AB93" s="58"/>
      <c r="AC93" s="58" t="s">
        <v>51</v>
      </c>
      <c r="AD93" s="58"/>
      <c r="AE93" s="58"/>
      <c r="AF93" s="58"/>
      <c r="AG93" s="58"/>
      <c r="AH93" s="58"/>
      <c r="AI93" s="58"/>
    </row>
    <row r="94" spans="1:35" x14ac:dyDescent="0.35">
      <c r="A94" s="17" t="s">
        <v>46</v>
      </c>
      <c r="B94" s="17" t="s">
        <v>2574</v>
      </c>
      <c r="C94" s="28" t="s">
        <v>3132</v>
      </c>
      <c r="D94" s="17" t="s">
        <v>3135</v>
      </c>
      <c r="E94" s="17" t="s">
        <v>3136</v>
      </c>
      <c r="F94" s="20">
        <v>446</v>
      </c>
      <c r="G94" s="20">
        <v>405</v>
      </c>
      <c r="H94" s="19">
        <v>2027</v>
      </c>
      <c r="I94" s="20">
        <v>1023</v>
      </c>
      <c r="J94" s="20">
        <v>1004</v>
      </c>
      <c r="K94" s="20">
        <v>471</v>
      </c>
      <c r="L94" s="57">
        <f t="shared" si="8"/>
        <v>0.23236309817464232</v>
      </c>
      <c r="M94" s="20">
        <v>683</v>
      </c>
      <c r="N94" s="57">
        <f t="shared" si="9"/>
        <v>0.33695115934879133</v>
      </c>
      <c r="O94" s="46">
        <v>39</v>
      </c>
      <c r="P94" s="46">
        <v>0</v>
      </c>
      <c r="Q94" s="58" t="s">
        <v>51</v>
      </c>
      <c r="R94" s="58">
        <v>2021</v>
      </c>
      <c r="S94" s="58"/>
      <c r="T94" s="58"/>
      <c r="U94" s="58"/>
      <c r="V94" s="58"/>
      <c r="W94" s="58"/>
      <c r="X94" s="58" t="s">
        <v>51</v>
      </c>
      <c r="Y94" s="58"/>
      <c r="Z94" s="58"/>
      <c r="AA94" s="58"/>
      <c r="AB94" s="58"/>
      <c r="AC94" s="58" t="s">
        <v>51</v>
      </c>
      <c r="AD94" s="58"/>
      <c r="AE94" s="58"/>
      <c r="AF94" s="58"/>
      <c r="AG94" s="58"/>
      <c r="AH94" s="58"/>
      <c r="AI94" s="58"/>
    </row>
    <row r="95" spans="1:35" x14ac:dyDescent="0.35">
      <c r="A95" s="17" t="s">
        <v>46</v>
      </c>
      <c r="B95" s="17" t="s">
        <v>2574</v>
      </c>
      <c r="C95" s="28" t="s">
        <v>3132</v>
      </c>
      <c r="D95" s="17" t="s">
        <v>465</v>
      </c>
      <c r="E95" s="17" t="s">
        <v>3137</v>
      </c>
      <c r="F95" s="20">
        <v>57</v>
      </c>
      <c r="G95" s="20">
        <v>176</v>
      </c>
      <c r="H95" s="19">
        <v>702</v>
      </c>
      <c r="I95" s="20">
        <v>337</v>
      </c>
      <c r="J95" s="20">
        <v>365</v>
      </c>
      <c r="K95" s="20">
        <v>99</v>
      </c>
      <c r="L95" s="57">
        <f t="shared" si="8"/>
        <v>0.14102564102564102</v>
      </c>
      <c r="M95" s="20">
        <v>0</v>
      </c>
      <c r="N95" s="57">
        <f t="shared" si="9"/>
        <v>0</v>
      </c>
      <c r="O95" s="46">
        <v>5</v>
      </c>
      <c r="P95" s="46">
        <v>0</v>
      </c>
      <c r="Q95" s="58" t="s">
        <v>51</v>
      </c>
      <c r="R95" s="58">
        <v>2021</v>
      </c>
      <c r="S95" s="58"/>
      <c r="T95" s="58"/>
      <c r="U95" s="58"/>
      <c r="V95" s="58"/>
      <c r="W95" s="58"/>
      <c r="X95" s="58" t="s">
        <v>51</v>
      </c>
      <c r="Y95" s="58"/>
      <c r="Z95" s="58"/>
      <c r="AA95" s="58"/>
      <c r="AB95" s="58"/>
      <c r="AC95" s="58" t="s">
        <v>51</v>
      </c>
      <c r="AD95" s="58"/>
      <c r="AE95" s="58"/>
      <c r="AF95" s="58"/>
      <c r="AG95" s="58"/>
      <c r="AH95" s="58"/>
      <c r="AI95" s="58"/>
    </row>
    <row r="96" spans="1:35" x14ac:dyDescent="0.35">
      <c r="A96" s="17" t="s">
        <v>46</v>
      </c>
      <c r="B96" s="17" t="s">
        <v>2574</v>
      </c>
      <c r="C96" s="28" t="s">
        <v>3138</v>
      </c>
      <c r="D96" s="17" t="s">
        <v>752</v>
      </c>
      <c r="E96" s="17" t="s">
        <v>3139</v>
      </c>
      <c r="F96" s="20">
        <v>282.92</v>
      </c>
      <c r="G96" s="20">
        <v>204</v>
      </c>
      <c r="H96" s="19">
        <v>1012</v>
      </c>
      <c r="I96" s="20">
        <v>513</v>
      </c>
      <c r="J96" s="20">
        <v>499</v>
      </c>
      <c r="K96" s="20">
        <v>333</v>
      </c>
      <c r="L96" s="57">
        <f t="shared" si="8"/>
        <v>0.32905138339920947</v>
      </c>
      <c r="M96" s="20">
        <v>562</v>
      </c>
      <c r="N96" s="57">
        <f t="shared" si="9"/>
        <v>0.55533596837944665</v>
      </c>
      <c r="O96" s="46">
        <v>31</v>
      </c>
      <c r="P96" s="46">
        <v>0</v>
      </c>
      <c r="Q96" s="58" t="s">
        <v>51</v>
      </c>
      <c r="R96" s="58">
        <v>2021</v>
      </c>
      <c r="S96" s="58"/>
      <c r="T96" s="58"/>
      <c r="U96" s="58"/>
      <c r="V96" s="58"/>
      <c r="W96" s="58"/>
      <c r="X96" s="58" t="s">
        <v>51</v>
      </c>
      <c r="Y96" s="58"/>
      <c r="Z96" s="58"/>
      <c r="AA96" s="58"/>
      <c r="AB96" s="58"/>
      <c r="AC96" s="58" t="s">
        <v>51</v>
      </c>
      <c r="AD96" s="58"/>
      <c r="AE96" s="58"/>
      <c r="AF96" s="58"/>
      <c r="AG96" s="58"/>
      <c r="AH96" s="58"/>
      <c r="AI96" s="58"/>
    </row>
    <row r="97" spans="1:35" x14ac:dyDescent="0.35">
      <c r="A97" s="17" t="s">
        <v>46</v>
      </c>
      <c r="B97" s="17" t="s">
        <v>2574</v>
      </c>
      <c r="C97" s="28" t="s">
        <v>3048</v>
      </c>
      <c r="D97" s="17" t="s">
        <v>3140</v>
      </c>
      <c r="E97" s="17" t="s">
        <v>3141</v>
      </c>
      <c r="F97" s="20">
        <v>256.29000000000002</v>
      </c>
      <c r="G97" s="20">
        <v>314</v>
      </c>
      <c r="H97" s="19">
        <v>1452</v>
      </c>
      <c r="I97" s="20">
        <v>724</v>
      </c>
      <c r="J97" s="20">
        <v>728</v>
      </c>
      <c r="K97" s="20">
        <v>784</v>
      </c>
      <c r="L97" s="57">
        <f t="shared" si="8"/>
        <v>0.53994490358126723</v>
      </c>
      <c r="M97" s="20">
        <v>144</v>
      </c>
      <c r="N97" s="57">
        <f t="shared" si="9"/>
        <v>9.9173553719008267E-2</v>
      </c>
      <c r="O97" s="46">
        <v>31</v>
      </c>
      <c r="P97" s="46">
        <v>0</v>
      </c>
      <c r="Q97" s="58" t="s">
        <v>51</v>
      </c>
      <c r="R97" s="58">
        <v>2021</v>
      </c>
      <c r="S97" s="58"/>
      <c r="T97" s="58"/>
      <c r="U97" s="58"/>
      <c r="V97" s="58"/>
      <c r="W97" s="58"/>
      <c r="X97" s="58" t="s">
        <v>51</v>
      </c>
      <c r="Y97" s="58"/>
      <c r="Z97" s="58"/>
      <c r="AA97" s="58"/>
      <c r="AB97" s="58"/>
      <c r="AC97" s="58" t="s">
        <v>51</v>
      </c>
      <c r="AD97" s="58"/>
      <c r="AE97" s="58"/>
      <c r="AF97" s="58"/>
      <c r="AG97" s="58"/>
      <c r="AH97" s="58"/>
      <c r="AI97" s="58"/>
    </row>
    <row r="98" spans="1:35" x14ac:dyDescent="0.35">
      <c r="A98" s="17" t="s">
        <v>46</v>
      </c>
      <c r="B98" s="17" t="s">
        <v>2574</v>
      </c>
      <c r="C98" s="28" t="s">
        <v>3048</v>
      </c>
      <c r="D98" s="17" t="s">
        <v>3142</v>
      </c>
      <c r="E98" s="17" t="s">
        <v>3143</v>
      </c>
      <c r="F98" s="20">
        <v>310.75</v>
      </c>
      <c r="G98" s="20">
        <v>473</v>
      </c>
      <c r="H98" s="19">
        <v>2295</v>
      </c>
      <c r="I98" s="20">
        <v>1117</v>
      </c>
      <c r="J98" s="20">
        <v>1178</v>
      </c>
      <c r="K98" s="20">
        <v>994</v>
      </c>
      <c r="L98" s="57">
        <f t="shared" si="8"/>
        <v>0.43311546840958604</v>
      </c>
      <c r="M98" s="20">
        <v>167</v>
      </c>
      <c r="N98" s="57">
        <f t="shared" si="9"/>
        <v>7.2766884531590414E-2</v>
      </c>
      <c r="O98" s="46">
        <v>37</v>
      </c>
      <c r="P98" s="46">
        <v>0</v>
      </c>
      <c r="Q98" s="58" t="s">
        <v>562</v>
      </c>
      <c r="R98" s="58"/>
      <c r="S98" s="58"/>
      <c r="T98" s="58"/>
      <c r="U98" s="58"/>
      <c r="V98" s="58"/>
      <c r="W98" s="58"/>
      <c r="X98" s="58" t="s">
        <v>562</v>
      </c>
      <c r="Y98" s="58"/>
      <c r="Z98" s="58"/>
      <c r="AA98" s="58"/>
      <c r="AB98" s="58"/>
      <c r="AC98" s="58" t="s">
        <v>562</v>
      </c>
      <c r="AD98" s="58"/>
      <c r="AE98" s="58"/>
      <c r="AF98" s="58"/>
      <c r="AG98" s="58"/>
      <c r="AH98" s="58"/>
      <c r="AI98" s="58"/>
    </row>
    <row r="99" spans="1:35" x14ac:dyDescent="0.35">
      <c r="A99" s="17" t="s">
        <v>46</v>
      </c>
      <c r="B99" s="17" t="s">
        <v>2574</v>
      </c>
      <c r="C99" s="28" t="s">
        <v>3138</v>
      </c>
      <c r="D99" s="17" t="s">
        <v>3144</v>
      </c>
      <c r="E99" s="17" t="s">
        <v>3145</v>
      </c>
      <c r="F99" s="20">
        <v>1141.8800000000001</v>
      </c>
      <c r="G99" s="20">
        <v>578</v>
      </c>
      <c r="H99" s="19">
        <v>2782</v>
      </c>
      <c r="I99" s="20">
        <v>1421</v>
      </c>
      <c r="J99" s="20">
        <v>1361</v>
      </c>
      <c r="K99" s="20">
        <v>674</v>
      </c>
      <c r="L99" s="57">
        <f t="shared" si="8"/>
        <v>0.24227174694464415</v>
      </c>
      <c r="M99" s="20">
        <v>867</v>
      </c>
      <c r="N99" s="57">
        <f t="shared" si="9"/>
        <v>0.31164629762760604</v>
      </c>
      <c r="O99" s="46">
        <v>70</v>
      </c>
      <c r="P99" s="46">
        <v>0</v>
      </c>
      <c r="Q99" s="58" t="s">
        <v>51</v>
      </c>
      <c r="R99" s="58">
        <v>2020</v>
      </c>
      <c r="S99" s="58"/>
      <c r="T99" s="58"/>
      <c r="U99" s="58"/>
      <c r="V99" s="58"/>
      <c r="W99" s="58"/>
      <c r="X99" s="58" t="s">
        <v>51</v>
      </c>
      <c r="Y99" s="58"/>
      <c r="Z99" s="58"/>
      <c r="AA99" s="58"/>
      <c r="AB99" s="58"/>
      <c r="AC99" s="58" t="s">
        <v>51</v>
      </c>
      <c r="AD99" s="58"/>
      <c r="AE99" s="58"/>
      <c r="AF99" s="58"/>
      <c r="AG99" s="58"/>
      <c r="AH99" s="58"/>
      <c r="AI99" s="58"/>
    </row>
    <row r="100" spans="1:35" x14ac:dyDescent="0.35">
      <c r="A100" s="17" t="s">
        <v>46</v>
      </c>
      <c r="B100" s="17" t="s">
        <v>2574</v>
      </c>
      <c r="C100" s="28" t="s">
        <v>3132</v>
      </c>
      <c r="D100" s="17" t="s">
        <v>3146</v>
      </c>
      <c r="E100" s="17" t="s">
        <v>3147</v>
      </c>
      <c r="F100" s="20">
        <v>498</v>
      </c>
      <c r="G100" s="20">
        <v>298</v>
      </c>
      <c r="H100" s="19">
        <v>1351</v>
      </c>
      <c r="I100" s="20">
        <v>685</v>
      </c>
      <c r="J100" s="20">
        <v>666</v>
      </c>
      <c r="K100" s="20">
        <v>406</v>
      </c>
      <c r="L100" s="57">
        <f t="shared" si="8"/>
        <v>0.30051813471502592</v>
      </c>
      <c r="M100" s="20">
        <v>583</v>
      </c>
      <c r="N100" s="57">
        <f t="shared" si="9"/>
        <v>0.43153219837157664</v>
      </c>
      <c r="O100" s="46">
        <v>42</v>
      </c>
      <c r="P100" s="46">
        <v>0</v>
      </c>
      <c r="Q100" s="58" t="s">
        <v>51</v>
      </c>
      <c r="R100" s="58">
        <v>2020</v>
      </c>
      <c r="S100" s="58"/>
      <c r="T100" s="58"/>
      <c r="U100" s="58"/>
      <c r="V100" s="58"/>
      <c r="W100" s="58"/>
      <c r="X100" s="58" t="s">
        <v>51</v>
      </c>
      <c r="Y100" s="58"/>
      <c r="Z100" s="58"/>
      <c r="AA100" s="58"/>
      <c r="AB100" s="58"/>
      <c r="AC100" s="58" t="s">
        <v>51</v>
      </c>
      <c r="AD100" s="58"/>
      <c r="AE100" s="58"/>
      <c r="AF100" s="58"/>
      <c r="AG100" s="58"/>
      <c r="AH100" s="58"/>
      <c r="AI100" s="58"/>
    </row>
    <row r="101" spans="1:35" x14ac:dyDescent="0.35">
      <c r="A101" s="17" t="s">
        <v>46</v>
      </c>
      <c r="B101" s="17" t="s">
        <v>2574</v>
      </c>
      <c r="C101" s="28" t="s">
        <v>3148</v>
      </c>
      <c r="D101" s="17" t="s">
        <v>3149</v>
      </c>
      <c r="E101" s="17" t="s">
        <v>3150</v>
      </c>
      <c r="F101" s="20">
        <v>565</v>
      </c>
      <c r="G101" s="20">
        <v>322</v>
      </c>
      <c r="H101" s="19">
        <v>1481</v>
      </c>
      <c r="I101" s="20">
        <v>763</v>
      </c>
      <c r="J101" s="20">
        <v>718</v>
      </c>
      <c r="K101" s="20">
        <v>191</v>
      </c>
      <c r="L101" s="57">
        <f t="shared" si="8"/>
        <v>0.1289669142471303</v>
      </c>
      <c r="M101" s="20">
        <v>99</v>
      </c>
      <c r="N101" s="57">
        <f t="shared" si="9"/>
        <v>6.6846725185685352E-2</v>
      </c>
      <c r="O101" s="46">
        <v>87</v>
      </c>
      <c r="P101" s="46">
        <v>0</v>
      </c>
      <c r="Q101" s="58" t="s">
        <v>51</v>
      </c>
      <c r="R101" s="58">
        <v>2021</v>
      </c>
      <c r="S101" s="58"/>
      <c r="T101" s="58"/>
      <c r="U101" s="58"/>
      <c r="V101" s="58"/>
      <c r="W101" s="58"/>
      <c r="X101" s="58" t="s">
        <v>51</v>
      </c>
      <c r="Y101" s="58"/>
      <c r="Z101" s="58"/>
      <c r="AA101" s="58"/>
      <c r="AB101" s="58"/>
      <c r="AC101" s="58" t="s">
        <v>51</v>
      </c>
      <c r="AD101" s="58"/>
      <c r="AE101" s="58"/>
      <c r="AF101" s="58"/>
      <c r="AG101" s="58"/>
      <c r="AH101" s="58"/>
      <c r="AI101" s="58"/>
    </row>
    <row r="102" spans="1:35" x14ac:dyDescent="0.35">
      <c r="A102" s="17" t="s">
        <v>46</v>
      </c>
      <c r="B102" s="17" t="s">
        <v>2574</v>
      </c>
      <c r="C102" s="28" t="s">
        <v>3129</v>
      </c>
      <c r="D102" s="17" t="s">
        <v>741</v>
      </c>
      <c r="E102" s="17" t="s">
        <v>3151</v>
      </c>
      <c r="F102" s="20">
        <v>297.13</v>
      </c>
      <c r="G102" s="20">
        <v>82</v>
      </c>
      <c r="H102" s="19">
        <v>413</v>
      </c>
      <c r="I102" s="20">
        <v>213</v>
      </c>
      <c r="J102" s="20">
        <v>200</v>
      </c>
      <c r="K102" s="20">
        <v>0</v>
      </c>
      <c r="L102" s="57">
        <f t="shared" si="8"/>
        <v>0</v>
      </c>
      <c r="M102" s="20">
        <v>2</v>
      </c>
      <c r="N102" s="57">
        <f t="shared" si="9"/>
        <v>4.8426150121065378E-3</v>
      </c>
      <c r="O102" s="46">
        <v>29</v>
      </c>
      <c r="P102" s="46">
        <v>0</v>
      </c>
      <c r="Q102" s="58" t="s">
        <v>562</v>
      </c>
      <c r="R102" s="58"/>
      <c r="S102" s="58"/>
      <c r="T102" s="58"/>
      <c r="U102" s="58"/>
      <c r="V102" s="58"/>
      <c r="W102" s="58"/>
      <c r="X102" s="58" t="s">
        <v>562</v>
      </c>
      <c r="Y102" s="58"/>
      <c r="Z102" s="58"/>
      <c r="AA102" s="58"/>
      <c r="AB102" s="58"/>
      <c r="AC102" s="58" t="s">
        <v>562</v>
      </c>
      <c r="AD102" s="58"/>
      <c r="AE102" s="58"/>
      <c r="AF102" s="58"/>
      <c r="AG102" s="58"/>
      <c r="AH102" s="58"/>
      <c r="AI102" s="58"/>
    </row>
    <row r="103" spans="1:35" x14ac:dyDescent="0.35">
      <c r="A103" s="17" t="s">
        <v>46</v>
      </c>
      <c r="B103" s="17" t="s">
        <v>2574</v>
      </c>
      <c r="C103" s="28" t="s">
        <v>3129</v>
      </c>
      <c r="D103" s="17" t="s">
        <v>459</v>
      </c>
      <c r="E103" s="17" t="s">
        <v>3152</v>
      </c>
      <c r="F103" s="20">
        <v>349.15</v>
      </c>
      <c r="G103" s="20">
        <v>188</v>
      </c>
      <c r="H103" s="19">
        <v>955</v>
      </c>
      <c r="I103" s="20">
        <v>486</v>
      </c>
      <c r="J103" s="20">
        <v>469</v>
      </c>
      <c r="K103" s="20">
        <v>269</v>
      </c>
      <c r="L103" s="57">
        <f t="shared" si="8"/>
        <v>0.28167539267015707</v>
      </c>
      <c r="M103" s="20">
        <v>132</v>
      </c>
      <c r="N103" s="57">
        <f t="shared" si="9"/>
        <v>0.13821989528795811</v>
      </c>
      <c r="O103" s="46">
        <v>31</v>
      </c>
      <c r="P103" s="46">
        <v>0</v>
      </c>
      <c r="Q103" s="58" t="s">
        <v>562</v>
      </c>
      <c r="R103" s="58"/>
      <c r="S103" s="58"/>
      <c r="T103" s="58"/>
      <c r="U103" s="58"/>
      <c r="V103" s="58"/>
      <c r="W103" s="58"/>
      <c r="X103" s="58" t="s">
        <v>562</v>
      </c>
      <c r="Y103" s="58"/>
      <c r="Z103" s="58"/>
      <c r="AA103" s="58"/>
      <c r="AB103" s="58"/>
      <c r="AC103" s="58" t="s">
        <v>562</v>
      </c>
      <c r="AD103" s="58"/>
      <c r="AE103" s="58"/>
      <c r="AF103" s="58"/>
      <c r="AG103" s="58"/>
      <c r="AH103" s="58"/>
      <c r="AI103" s="58"/>
    </row>
    <row r="104" spans="1:35" x14ac:dyDescent="0.35">
      <c r="A104" s="17" t="s">
        <v>46</v>
      </c>
      <c r="B104" s="17" t="s">
        <v>2574</v>
      </c>
      <c r="C104" s="28" t="s">
        <v>3129</v>
      </c>
      <c r="D104" s="17" t="s">
        <v>3153</v>
      </c>
      <c r="E104" s="17" t="s">
        <v>3154</v>
      </c>
      <c r="F104" s="20">
        <v>114.52</v>
      </c>
      <c r="G104" s="20">
        <v>42</v>
      </c>
      <c r="H104" s="19">
        <v>253</v>
      </c>
      <c r="I104" s="20">
        <v>119</v>
      </c>
      <c r="J104" s="20">
        <v>134</v>
      </c>
      <c r="K104" s="20">
        <v>24</v>
      </c>
      <c r="L104" s="57">
        <f t="shared" si="8"/>
        <v>9.4861660079051377E-2</v>
      </c>
      <c r="M104" s="20">
        <v>119</v>
      </c>
      <c r="N104" s="57">
        <f t="shared" si="9"/>
        <v>0.47035573122529645</v>
      </c>
      <c r="O104" s="46">
        <v>11</v>
      </c>
      <c r="P104" s="46">
        <v>0</v>
      </c>
      <c r="Q104" s="58" t="s">
        <v>562</v>
      </c>
      <c r="R104" s="58"/>
      <c r="S104" s="58"/>
      <c r="T104" s="58"/>
      <c r="U104" s="58"/>
      <c r="V104" s="58"/>
      <c r="W104" s="58"/>
      <c r="X104" s="58" t="s">
        <v>562</v>
      </c>
      <c r="Y104" s="58"/>
      <c r="Z104" s="58"/>
      <c r="AA104" s="58"/>
      <c r="AB104" s="58"/>
      <c r="AC104" s="58" t="s">
        <v>562</v>
      </c>
      <c r="AD104" s="58"/>
      <c r="AE104" s="58"/>
      <c r="AF104" s="58"/>
      <c r="AG104" s="58"/>
      <c r="AH104" s="58"/>
      <c r="AI104" s="58"/>
    </row>
    <row r="105" spans="1:35" x14ac:dyDescent="0.35">
      <c r="A105" s="17" t="s">
        <v>46</v>
      </c>
      <c r="B105" s="17" t="s">
        <v>2574</v>
      </c>
      <c r="C105" s="28" t="s">
        <v>3155</v>
      </c>
      <c r="D105" s="17" t="s">
        <v>3156</v>
      </c>
      <c r="E105" s="17" t="s">
        <v>3157</v>
      </c>
      <c r="F105" s="20">
        <v>327.17</v>
      </c>
      <c r="G105" s="20">
        <v>117</v>
      </c>
      <c r="H105" s="19">
        <v>643</v>
      </c>
      <c r="I105" s="20">
        <v>324</v>
      </c>
      <c r="J105" s="20">
        <v>319</v>
      </c>
      <c r="K105" s="20">
        <v>13</v>
      </c>
      <c r="L105" s="57">
        <f t="shared" si="8"/>
        <v>2.0217729393468119E-2</v>
      </c>
      <c r="M105" s="20">
        <v>123</v>
      </c>
      <c r="N105" s="57">
        <f t="shared" si="9"/>
        <v>0.19129082426127528</v>
      </c>
      <c r="O105" s="46">
        <v>29</v>
      </c>
      <c r="P105" s="46">
        <v>0</v>
      </c>
      <c r="Q105" s="58" t="s">
        <v>51</v>
      </c>
      <c r="R105" s="58">
        <v>2021</v>
      </c>
      <c r="S105" s="58"/>
      <c r="T105" s="58"/>
      <c r="U105" s="58"/>
      <c r="V105" s="58"/>
      <c r="W105" s="58"/>
      <c r="X105" s="58" t="s">
        <v>51</v>
      </c>
      <c r="Y105" s="58"/>
      <c r="Z105" s="58"/>
      <c r="AA105" s="58"/>
      <c r="AB105" s="58"/>
      <c r="AC105" s="58" t="s">
        <v>51</v>
      </c>
      <c r="AD105" s="58"/>
      <c r="AE105" s="58"/>
      <c r="AF105" s="58"/>
      <c r="AG105" s="58"/>
      <c r="AH105" s="58"/>
      <c r="AI105" s="58"/>
    </row>
    <row r="106" spans="1:35" x14ac:dyDescent="0.35">
      <c r="A106" s="17" t="s">
        <v>46</v>
      </c>
      <c r="B106" s="17" t="s">
        <v>2574</v>
      </c>
      <c r="C106" s="28" t="s">
        <v>3155</v>
      </c>
      <c r="D106" s="17" t="s">
        <v>3158</v>
      </c>
      <c r="E106" s="17" t="s">
        <v>3159</v>
      </c>
      <c r="F106" s="20">
        <v>182.23</v>
      </c>
      <c r="G106" s="20">
        <v>80</v>
      </c>
      <c r="H106" s="19">
        <v>385</v>
      </c>
      <c r="I106" s="20">
        <v>196</v>
      </c>
      <c r="J106" s="20">
        <v>189</v>
      </c>
      <c r="K106" s="20">
        <v>0</v>
      </c>
      <c r="L106" s="57">
        <f t="shared" si="8"/>
        <v>0</v>
      </c>
      <c r="M106" s="20">
        <v>24</v>
      </c>
      <c r="N106" s="57">
        <f t="shared" si="9"/>
        <v>6.2337662337662338E-2</v>
      </c>
      <c r="O106" s="46">
        <v>20</v>
      </c>
      <c r="P106" s="46">
        <v>0</v>
      </c>
      <c r="Q106" s="58" t="s">
        <v>562</v>
      </c>
      <c r="R106" s="58"/>
      <c r="S106" s="58"/>
      <c r="T106" s="58"/>
      <c r="U106" s="58"/>
      <c r="V106" s="58"/>
      <c r="W106" s="58"/>
      <c r="X106" s="58" t="s">
        <v>562</v>
      </c>
      <c r="Y106" s="58"/>
      <c r="Z106" s="58"/>
      <c r="AA106" s="58"/>
      <c r="AB106" s="58"/>
      <c r="AC106" s="58" t="s">
        <v>562</v>
      </c>
      <c r="AD106" s="58"/>
      <c r="AE106" s="58"/>
      <c r="AF106" s="58"/>
      <c r="AG106" s="58"/>
      <c r="AH106" s="58"/>
      <c r="AI106" s="58"/>
    </row>
    <row r="107" spans="1:35" x14ac:dyDescent="0.35">
      <c r="A107" s="17" t="s">
        <v>46</v>
      </c>
      <c r="B107" s="17" t="s">
        <v>2574</v>
      </c>
      <c r="C107" s="28" t="s">
        <v>3160</v>
      </c>
      <c r="D107" s="17" t="s">
        <v>3161</v>
      </c>
      <c r="E107" s="17" t="s">
        <v>3162</v>
      </c>
      <c r="F107" s="28">
        <v>82</v>
      </c>
      <c r="G107" s="47"/>
      <c r="H107" s="19">
        <v>0</v>
      </c>
      <c r="I107" s="47"/>
      <c r="J107" s="47"/>
      <c r="K107" s="47"/>
      <c r="L107" s="57"/>
      <c r="M107" s="47"/>
      <c r="N107" s="57"/>
      <c r="O107" s="48">
        <v>0</v>
      </c>
      <c r="P107" s="48">
        <v>0</v>
      </c>
      <c r="Q107" s="58" t="s">
        <v>112</v>
      </c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</row>
    <row r="108" spans="1:35" x14ac:dyDescent="0.35">
      <c r="A108" s="17" t="s">
        <v>46</v>
      </c>
      <c r="B108" s="17" t="s">
        <v>2574</v>
      </c>
      <c r="C108" s="28" t="s">
        <v>3124</v>
      </c>
      <c r="D108" s="17" t="s">
        <v>604</v>
      </c>
      <c r="E108" s="17" t="s">
        <v>3163</v>
      </c>
      <c r="F108" s="20">
        <v>383</v>
      </c>
      <c r="G108" s="20">
        <v>136</v>
      </c>
      <c r="H108" s="19">
        <v>670</v>
      </c>
      <c r="I108" s="20">
        <v>351</v>
      </c>
      <c r="J108" s="20">
        <v>319</v>
      </c>
      <c r="K108" s="20">
        <v>0</v>
      </c>
      <c r="L108" s="57">
        <f>K108/H108</f>
        <v>0</v>
      </c>
      <c r="M108" s="20">
        <v>657</v>
      </c>
      <c r="N108" s="57">
        <f>M108/H108</f>
        <v>0.9805970149253731</v>
      </c>
      <c r="O108" s="46">
        <v>62</v>
      </c>
      <c r="P108" s="46">
        <v>8</v>
      </c>
      <c r="Q108" s="58" t="s">
        <v>51</v>
      </c>
      <c r="R108" s="58">
        <v>2020</v>
      </c>
      <c r="S108" s="58"/>
      <c r="T108" s="58"/>
      <c r="U108" s="58"/>
      <c r="V108" s="58"/>
      <c r="W108" s="58"/>
      <c r="X108" s="58" t="s">
        <v>51</v>
      </c>
      <c r="Y108" s="58"/>
      <c r="Z108" s="58"/>
      <c r="AA108" s="58"/>
      <c r="AB108" s="58"/>
      <c r="AC108" s="58" t="s">
        <v>51</v>
      </c>
      <c r="AD108" s="58"/>
      <c r="AE108" s="58"/>
      <c r="AF108" s="58"/>
      <c r="AG108" s="58"/>
      <c r="AH108" s="58"/>
      <c r="AI108" s="58"/>
    </row>
    <row r="109" spans="1:35" x14ac:dyDescent="0.35">
      <c r="A109" s="17" t="s">
        <v>46</v>
      </c>
      <c r="B109" s="17" t="s">
        <v>2574</v>
      </c>
      <c r="C109" s="28" t="s">
        <v>3124</v>
      </c>
      <c r="D109" s="17" t="s">
        <v>3164</v>
      </c>
      <c r="E109" s="17" t="s">
        <v>3165</v>
      </c>
      <c r="F109" s="20">
        <v>222</v>
      </c>
      <c r="G109" s="20">
        <v>33</v>
      </c>
      <c r="H109" s="19">
        <v>202</v>
      </c>
      <c r="I109" s="20">
        <v>102</v>
      </c>
      <c r="J109" s="20">
        <v>100</v>
      </c>
      <c r="K109" s="20">
        <v>0</v>
      </c>
      <c r="L109" s="57">
        <f>K109/H109</f>
        <v>0</v>
      </c>
      <c r="M109" s="20">
        <v>0</v>
      </c>
      <c r="N109" s="57">
        <f>M109/H109</f>
        <v>0</v>
      </c>
      <c r="O109" s="46">
        <v>10</v>
      </c>
      <c r="P109" s="46">
        <v>0</v>
      </c>
      <c r="Q109" s="58" t="s">
        <v>51</v>
      </c>
      <c r="R109" s="58">
        <v>2020</v>
      </c>
      <c r="S109" s="58"/>
      <c r="T109" s="58"/>
      <c r="U109" s="58"/>
      <c r="V109" s="58"/>
      <c r="W109" s="58"/>
      <c r="X109" s="58" t="s">
        <v>51</v>
      </c>
      <c r="Y109" s="58"/>
      <c r="Z109" s="58"/>
      <c r="AA109" s="58"/>
      <c r="AB109" s="58"/>
      <c r="AC109" s="58" t="s">
        <v>51</v>
      </c>
      <c r="AD109" s="58"/>
      <c r="AE109" s="58"/>
      <c r="AF109" s="58"/>
      <c r="AG109" s="58"/>
      <c r="AH109" s="58"/>
      <c r="AI109" s="58"/>
    </row>
    <row r="110" spans="1:35" x14ac:dyDescent="0.35">
      <c r="A110" s="17" t="s">
        <v>46</v>
      </c>
      <c r="B110" s="17" t="s">
        <v>2574</v>
      </c>
      <c r="C110" s="28" t="s">
        <v>3166</v>
      </c>
      <c r="D110" s="17" t="s">
        <v>3167</v>
      </c>
      <c r="E110" s="17" t="s">
        <v>3168</v>
      </c>
      <c r="F110" s="28">
        <v>533</v>
      </c>
      <c r="G110" s="47"/>
      <c r="H110" s="19">
        <v>0</v>
      </c>
      <c r="I110" s="47"/>
      <c r="J110" s="47"/>
      <c r="K110" s="47"/>
      <c r="L110" s="57"/>
      <c r="M110" s="47"/>
      <c r="N110" s="57"/>
      <c r="O110" s="48">
        <v>0</v>
      </c>
      <c r="P110" s="48">
        <v>3</v>
      </c>
      <c r="Q110" s="58" t="s">
        <v>112</v>
      </c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</row>
    <row r="111" spans="1:35" x14ac:dyDescent="0.35">
      <c r="A111" s="17" t="s">
        <v>46</v>
      </c>
      <c r="B111" s="17" t="s">
        <v>2574</v>
      </c>
      <c r="C111" s="28" t="s">
        <v>3106</v>
      </c>
      <c r="D111" s="17" t="s">
        <v>3169</v>
      </c>
      <c r="E111" s="17" t="s">
        <v>3170</v>
      </c>
      <c r="F111" s="20">
        <v>1394</v>
      </c>
      <c r="G111" s="20">
        <v>573</v>
      </c>
      <c r="H111" s="19">
        <v>2967</v>
      </c>
      <c r="I111" s="20">
        <v>1513</v>
      </c>
      <c r="J111" s="20">
        <v>1454</v>
      </c>
      <c r="K111" s="20">
        <v>492</v>
      </c>
      <c r="L111" s="57">
        <f t="shared" ref="L111:L140" si="10">K111/H111</f>
        <v>0.16582406471183014</v>
      </c>
      <c r="M111" s="20">
        <v>37</v>
      </c>
      <c r="N111" s="57">
        <f t="shared" ref="N111:N140" si="11">M111/H111</f>
        <v>1.247050893158072E-2</v>
      </c>
      <c r="O111" s="46">
        <v>473</v>
      </c>
      <c r="P111" s="46">
        <v>286</v>
      </c>
      <c r="Q111" s="58" t="s">
        <v>51</v>
      </c>
      <c r="R111" s="58">
        <v>2021</v>
      </c>
      <c r="S111" s="58"/>
      <c r="T111" s="58"/>
      <c r="U111" s="58"/>
      <c r="V111" s="58"/>
      <c r="W111" s="58"/>
      <c r="X111" s="58" t="s">
        <v>51</v>
      </c>
      <c r="Y111" s="58"/>
      <c r="Z111" s="58"/>
      <c r="AA111" s="58"/>
      <c r="AB111" s="58"/>
      <c r="AC111" s="58" t="s">
        <v>51</v>
      </c>
      <c r="AD111" s="58"/>
      <c r="AE111" s="58"/>
      <c r="AF111" s="58"/>
      <c r="AG111" s="58"/>
      <c r="AH111" s="58"/>
      <c r="AI111" s="58"/>
    </row>
    <row r="112" spans="1:35" x14ac:dyDescent="0.35">
      <c r="A112" s="17" t="s">
        <v>46</v>
      </c>
      <c r="B112" s="17" t="s">
        <v>2574</v>
      </c>
      <c r="C112" s="28" t="s">
        <v>3171</v>
      </c>
      <c r="D112" s="17" t="s">
        <v>3172</v>
      </c>
      <c r="E112" s="17" t="s">
        <v>3173</v>
      </c>
      <c r="F112" s="20">
        <v>282</v>
      </c>
      <c r="G112" s="20">
        <v>178</v>
      </c>
      <c r="H112" s="19">
        <v>900</v>
      </c>
      <c r="I112" s="20">
        <v>464</v>
      </c>
      <c r="J112" s="20">
        <v>436</v>
      </c>
      <c r="K112" s="20">
        <v>68</v>
      </c>
      <c r="L112" s="57">
        <f t="shared" si="10"/>
        <v>7.5555555555555556E-2</v>
      </c>
      <c r="M112" s="20">
        <v>310</v>
      </c>
      <c r="N112" s="57">
        <f t="shared" si="11"/>
        <v>0.34444444444444444</v>
      </c>
      <c r="O112" s="46">
        <v>28</v>
      </c>
      <c r="P112" s="46">
        <v>0</v>
      </c>
      <c r="Q112" s="58" t="s">
        <v>51</v>
      </c>
      <c r="R112" s="58">
        <v>2021</v>
      </c>
      <c r="S112" s="58"/>
      <c r="T112" s="58"/>
      <c r="U112" s="58"/>
      <c r="V112" s="58"/>
      <c r="W112" s="58"/>
      <c r="X112" s="58" t="s">
        <v>51</v>
      </c>
      <c r="Y112" s="58"/>
      <c r="Z112" s="58"/>
      <c r="AA112" s="58"/>
      <c r="AB112" s="58"/>
      <c r="AC112" s="58" t="s">
        <v>51</v>
      </c>
      <c r="AD112" s="58"/>
      <c r="AE112" s="58"/>
      <c r="AF112" s="58"/>
      <c r="AG112" s="58"/>
      <c r="AH112" s="58"/>
      <c r="AI112" s="58"/>
    </row>
    <row r="113" spans="1:35" x14ac:dyDescent="0.35">
      <c r="A113" s="17" t="s">
        <v>46</v>
      </c>
      <c r="B113" s="17" t="s">
        <v>2574</v>
      </c>
      <c r="C113" s="28" t="s">
        <v>3171</v>
      </c>
      <c r="D113" s="17" t="s">
        <v>3174</v>
      </c>
      <c r="E113" s="17" t="s">
        <v>3175</v>
      </c>
      <c r="F113" s="20">
        <v>139</v>
      </c>
      <c r="G113" s="20">
        <v>60</v>
      </c>
      <c r="H113" s="19">
        <v>319</v>
      </c>
      <c r="I113" s="20">
        <v>174</v>
      </c>
      <c r="J113" s="20">
        <v>145</v>
      </c>
      <c r="K113" s="20">
        <v>312</v>
      </c>
      <c r="L113" s="57">
        <f t="shared" si="10"/>
        <v>0.9780564263322884</v>
      </c>
      <c r="M113" s="20">
        <v>0</v>
      </c>
      <c r="N113" s="57">
        <f t="shared" si="11"/>
        <v>0</v>
      </c>
      <c r="O113" s="46">
        <v>20</v>
      </c>
      <c r="P113" s="46">
        <v>0</v>
      </c>
      <c r="Q113" s="58" t="s">
        <v>562</v>
      </c>
      <c r="R113" s="58"/>
      <c r="S113" s="58"/>
      <c r="T113" s="58"/>
      <c r="U113" s="58"/>
      <c r="V113" s="58"/>
      <c r="W113" s="58"/>
      <c r="X113" s="58" t="s">
        <v>562</v>
      </c>
      <c r="Y113" s="58"/>
      <c r="Z113" s="58"/>
      <c r="AA113" s="58"/>
      <c r="AB113" s="58"/>
      <c r="AC113" s="58" t="s">
        <v>562</v>
      </c>
      <c r="AD113" s="58"/>
      <c r="AE113" s="58"/>
      <c r="AF113" s="58"/>
      <c r="AG113" s="58"/>
      <c r="AH113" s="58"/>
      <c r="AI113" s="58"/>
    </row>
    <row r="114" spans="1:35" x14ac:dyDescent="0.35">
      <c r="A114" s="17" t="s">
        <v>46</v>
      </c>
      <c r="B114" s="17" t="s">
        <v>2574</v>
      </c>
      <c r="C114" s="28" t="s">
        <v>3171</v>
      </c>
      <c r="D114" s="17" t="s">
        <v>3176</v>
      </c>
      <c r="E114" s="17" t="s">
        <v>3177</v>
      </c>
      <c r="F114" s="20">
        <v>575</v>
      </c>
      <c r="G114" s="20">
        <v>352</v>
      </c>
      <c r="H114" s="19">
        <v>1797</v>
      </c>
      <c r="I114" s="20">
        <v>897</v>
      </c>
      <c r="J114" s="20">
        <v>900</v>
      </c>
      <c r="K114" s="20">
        <v>315</v>
      </c>
      <c r="L114" s="57">
        <f t="shared" si="10"/>
        <v>0.17529215358931552</v>
      </c>
      <c r="M114" s="20">
        <v>23</v>
      </c>
      <c r="N114" s="57">
        <f t="shared" si="11"/>
        <v>1.2799109627156371E-2</v>
      </c>
      <c r="O114" s="46">
        <v>74</v>
      </c>
      <c r="P114" s="46">
        <v>0</v>
      </c>
      <c r="Q114" s="58" t="s">
        <v>51</v>
      </c>
      <c r="R114" s="58">
        <v>2021</v>
      </c>
      <c r="S114" s="58"/>
      <c r="T114" s="58"/>
      <c r="U114" s="58"/>
      <c r="V114" s="58"/>
      <c r="W114" s="58"/>
      <c r="X114" s="58" t="s">
        <v>51</v>
      </c>
      <c r="Y114" s="58"/>
      <c r="Z114" s="58"/>
      <c r="AA114" s="58"/>
      <c r="AB114" s="58"/>
      <c r="AC114" s="58" t="s">
        <v>51</v>
      </c>
      <c r="AD114" s="58"/>
      <c r="AE114" s="58"/>
      <c r="AF114" s="58"/>
      <c r="AG114" s="58"/>
      <c r="AH114" s="58"/>
      <c r="AI114" s="58"/>
    </row>
    <row r="115" spans="1:35" x14ac:dyDescent="0.35">
      <c r="A115" s="17" t="s">
        <v>46</v>
      </c>
      <c r="B115" s="17" t="s">
        <v>2574</v>
      </c>
      <c r="C115" s="28" t="s">
        <v>3178</v>
      </c>
      <c r="D115" s="17" t="s">
        <v>807</v>
      </c>
      <c r="E115" s="17" t="s">
        <v>3179</v>
      </c>
      <c r="F115" s="20">
        <v>92</v>
      </c>
      <c r="G115" s="20">
        <v>40</v>
      </c>
      <c r="H115" s="19">
        <v>184</v>
      </c>
      <c r="I115" s="20">
        <v>99</v>
      </c>
      <c r="J115" s="20">
        <v>85</v>
      </c>
      <c r="K115" s="20">
        <v>0</v>
      </c>
      <c r="L115" s="57">
        <f t="shared" si="10"/>
        <v>0</v>
      </c>
      <c r="M115" s="20">
        <v>142</v>
      </c>
      <c r="N115" s="57">
        <f t="shared" si="11"/>
        <v>0.77173913043478259</v>
      </c>
      <c r="O115" s="46">
        <v>3</v>
      </c>
      <c r="P115" s="46">
        <v>0</v>
      </c>
      <c r="Q115" s="58" t="s">
        <v>562</v>
      </c>
      <c r="R115" s="58"/>
      <c r="S115" s="58"/>
      <c r="T115" s="58"/>
      <c r="U115" s="58"/>
      <c r="V115" s="58"/>
      <c r="W115" s="58"/>
      <c r="X115" s="58" t="s">
        <v>562</v>
      </c>
      <c r="Y115" s="58"/>
      <c r="Z115" s="58"/>
      <c r="AA115" s="58"/>
      <c r="AB115" s="58"/>
      <c r="AC115" s="58" t="s">
        <v>562</v>
      </c>
      <c r="AD115" s="58"/>
      <c r="AE115" s="58"/>
      <c r="AF115" s="58"/>
      <c r="AG115" s="58"/>
      <c r="AH115" s="58"/>
      <c r="AI115" s="58"/>
    </row>
    <row r="116" spans="1:35" x14ac:dyDescent="0.35">
      <c r="A116" s="17" t="s">
        <v>46</v>
      </c>
      <c r="B116" s="17" t="s">
        <v>2574</v>
      </c>
      <c r="C116" s="28" t="s">
        <v>3178</v>
      </c>
      <c r="D116" s="17" t="s">
        <v>3180</v>
      </c>
      <c r="E116" s="17" t="s">
        <v>3181</v>
      </c>
      <c r="F116" s="20">
        <v>1920</v>
      </c>
      <c r="G116" s="20">
        <v>1234</v>
      </c>
      <c r="H116" s="19">
        <v>5868</v>
      </c>
      <c r="I116" s="20">
        <v>3016</v>
      </c>
      <c r="J116" s="20">
        <v>2852</v>
      </c>
      <c r="K116" s="20">
        <v>923</v>
      </c>
      <c r="L116" s="57">
        <f t="shared" si="10"/>
        <v>0.15729379686434902</v>
      </c>
      <c r="M116" s="20">
        <v>408</v>
      </c>
      <c r="N116" s="57">
        <f t="shared" si="11"/>
        <v>6.9529652351738247E-2</v>
      </c>
      <c r="O116" s="46">
        <v>227</v>
      </c>
      <c r="P116" s="46">
        <v>35</v>
      </c>
      <c r="Q116" s="58" t="s">
        <v>562</v>
      </c>
      <c r="R116" s="58"/>
      <c r="S116" s="58"/>
      <c r="T116" s="58"/>
      <c r="U116" s="58"/>
      <c r="V116" s="58"/>
      <c r="W116" s="58"/>
      <c r="X116" s="58" t="s">
        <v>562</v>
      </c>
      <c r="Y116" s="58"/>
      <c r="Z116" s="58"/>
      <c r="AA116" s="58"/>
      <c r="AB116" s="58"/>
      <c r="AC116" s="58" t="s">
        <v>562</v>
      </c>
      <c r="AD116" s="58"/>
      <c r="AE116" s="58"/>
      <c r="AF116" s="58"/>
      <c r="AG116" s="58"/>
      <c r="AH116" s="58"/>
      <c r="AI116" s="58"/>
    </row>
    <row r="117" spans="1:35" x14ac:dyDescent="0.35">
      <c r="A117" s="17" t="s">
        <v>46</v>
      </c>
      <c r="B117" s="17" t="s">
        <v>2574</v>
      </c>
      <c r="C117" s="28" t="s">
        <v>3182</v>
      </c>
      <c r="D117" s="17" t="s">
        <v>404</v>
      </c>
      <c r="E117" s="17" t="s">
        <v>3183</v>
      </c>
      <c r="F117" s="20">
        <v>625</v>
      </c>
      <c r="G117" s="20">
        <v>363</v>
      </c>
      <c r="H117" s="19">
        <v>1812</v>
      </c>
      <c r="I117" s="20">
        <v>924</v>
      </c>
      <c r="J117" s="20">
        <v>888</v>
      </c>
      <c r="K117" s="20">
        <v>126</v>
      </c>
      <c r="L117" s="57">
        <f t="shared" si="10"/>
        <v>6.9536423841059597E-2</v>
      </c>
      <c r="M117" s="20">
        <v>52</v>
      </c>
      <c r="N117" s="57">
        <f t="shared" si="11"/>
        <v>2.8697571743929361E-2</v>
      </c>
      <c r="O117" s="46">
        <v>26</v>
      </c>
      <c r="P117" s="46">
        <v>12</v>
      </c>
      <c r="Q117" s="58" t="s">
        <v>51</v>
      </c>
      <c r="R117" s="58">
        <v>2020</v>
      </c>
      <c r="S117" s="58"/>
      <c r="T117" s="58"/>
      <c r="U117" s="58"/>
      <c r="V117" s="58"/>
      <c r="W117" s="58"/>
      <c r="X117" s="58" t="s">
        <v>51</v>
      </c>
      <c r="Y117" s="58"/>
      <c r="Z117" s="58"/>
      <c r="AA117" s="58"/>
      <c r="AB117" s="58"/>
      <c r="AC117" s="58" t="s">
        <v>51</v>
      </c>
      <c r="AD117" s="58"/>
      <c r="AE117" s="58"/>
      <c r="AF117" s="58"/>
      <c r="AG117" s="58"/>
      <c r="AH117" s="58"/>
      <c r="AI117" s="58"/>
    </row>
    <row r="118" spans="1:35" x14ac:dyDescent="0.35">
      <c r="A118" s="17" t="s">
        <v>46</v>
      </c>
      <c r="B118" s="17" t="s">
        <v>2574</v>
      </c>
      <c r="C118" s="28" t="s">
        <v>3182</v>
      </c>
      <c r="D118" s="17" t="s">
        <v>2258</v>
      </c>
      <c r="E118" s="17" t="s">
        <v>3184</v>
      </c>
      <c r="F118" s="20">
        <v>164</v>
      </c>
      <c r="G118" s="20">
        <v>41</v>
      </c>
      <c r="H118" s="19">
        <v>187</v>
      </c>
      <c r="I118" s="20">
        <v>96</v>
      </c>
      <c r="J118" s="20">
        <v>91</v>
      </c>
      <c r="K118" s="20">
        <v>6</v>
      </c>
      <c r="L118" s="57">
        <f t="shared" si="10"/>
        <v>3.2085561497326207E-2</v>
      </c>
      <c r="M118" s="20">
        <v>14</v>
      </c>
      <c r="N118" s="57">
        <f t="shared" si="11"/>
        <v>7.4866310160427801E-2</v>
      </c>
      <c r="O118" s="46">
        <v>7</v>
      </c>
      <c r="P118" s="46">
        <v>0</v>
      </c>
      <c r="Q118" s="58" t="s">
        <v>562</v>
      </c>
      <c r="R118" s="58"/>
      <c r="S118" s="58"/>
      <c r="T118" s="58"/>
      <c r="U118" s="58"/>
      <c r="V118" s="58"/>
      <c r="W118" s="58"/>
      <c r="X118" s="58" t="s">
        <v>562</v>
      </c>
      <c r="Y118" s="58"/>
      <c r="Z118" s="58"/>
      <c r="AA118" s="58"/>
      <c r="AB118" s="58"/>
      <c r="AC118" s="58" t="s">
        <v>562</v>
      </c>
      <c r="AD118" s="58"/>
      <c r="AE118" s="58"/>
      <c r="AF118" s="58"/>
      <c r="AG118" s="58"/>
      <c r="AH118" s="58"/>
      <c r="AI118" s="58"/>
    </row>
    <row r="119" spans="1:35" x14ac:dyDescent="0.35">
      <c r="A119" s="17" t="s">
        <v>46</v>
      </c>
      <c r="B119" s="17" t="s">
        <v>2574</v>
      </c>
      <c r="C119" s="28" t="s">
        <v>3182</v>
      </c>
      <c r="D119" s="17" t="s">
        <v>3185</v>
      </c>
      <c r="E119" s="17" t="s">
        <v>3186</v>
      </c>
      <c r="F119" s="20">
        <v>310</v>
      </c>
      <c r="G119" s="20">
        <v>55</v>
      </c>
      <c r="H119" s="19">
        <v>261</v>
      </c>
      <c r="I119" s="20">
        <v>134</v>
      </c>
      <c r="J119" s="20">
        <v>127</v>
      </c>
      <c r="K119" s="20">
        <v>261</v>
      </c>
      <c r="L119" s="57">
        <f t="shared" si="10"/>
        <v>1</v>
      </c>
      <c r="M119" s="20">
        <v>0</v>
      </c>
      <c r="N119" s="57">
        <f t="shared" si="11"/>
        <v>0</v>
      </c>
      <c r="O119" s="46">
        <v>91</v>
      </c>
      <c r="P119" s="46">
        <v>0</v>
      </c>
      <c r="Q119" s="58" t="s">
        <v>51</v>
      </c>
      <c r="R119" s="58">
        <v>2020</v>
      </c>
      <c r="S119" s="58"/>
      <c r="T119" s="58"/>
      <c r="U119" s="58"/>
      <c r="V119" s="58"/>
      <c r="W119" s="58"/>
      <c r="X119" s="58" t="s">
        <v>51</v>
      </c>
      <c r="Y119" s="58"/>
      <c r="Z119" s="58"/>
      <c r="AA119" s="58"/>
      <c r="AB119" s="58"/>
      <c r="AC119" s="58" t="s">
        <v>51</v>
      </c>
      <c r="AD119" s="58"/>
      <c r="AE119" s="58"/>
      <c r="AF119" s="58"/>
      <c r="AG119" s="58"/>
      <c r="AH119" s="58"/>
      <c r="AI119" s="58"/>
    </row>
    <row r="120" spans="1:35" x14ac:dyDescent="0.35">
      <c r="A120" s="17" t="s">
        <v>46</v>
      </c>
      <c r="B120" s="17" t="s">
        <v>2574</v>
      </c>
      <c r="C120" s="28" t="s">
        <v>3182</v>
      </c>
      <c r="D120" s="17" t="s">
        <v>3187</v>
      </c>
      <c r="E120" s="17" t="s">
        <v>3188</v>
      </c>
      <c r="F120" s="20">
        <v>277</v>
      </c>
      <c r="G120" s="20">
        <v>27</v>
      </c>
      <c r="H120" s="19">
        <v>115</v>
      </c>
      <c r="I120" s="20">
        <v>63</v>
      </c>
      <c r="J120" s="20">
        <v>52</v>
      </c>
      <c r="K120" s="20">
        <v>31</v>
      </c>
      <c r="L120" s="57">
        <f t="shared" si="10"/>
        <v>0.26956521739130435</v>
      </c>
      <c r="M120" s="20">
        <v>9</v>
      </c>
      <c r="N120" s="57">
        <f t="shared" si="11"/>
        <v>7.8260869565217397E-2</v>
      </c>
      <c r="O120" s="46">
        <v>0</v>
      </c>
      <c r="P120" s="46">
        <v>0</v>
      </c>
      <c r="Q120" s="58" t="s">
        <v>562</v>
      </c>
      <c r="R120" s="58"/>
      <c r="S120" s="58"/>
      <c r="T120" s="58"/>
      <c r="U120" s="58"/>
      <c r="V120" s="58"/>
      <c r="W120" s="58"/>
      <c r="X120" s="58" t="s">
        <v>562</v>
      </c>
      <c r="Y120" s="58"/>
      <c r="Z120" s="58"/>
      <c r="AA120" s="58"/>
      <c r="AB120" s="58"/>
      <c r="AC120" s="58" t="s">
        <v>562</v>
      </c>
      <c r="AD120" s="58"/>
      <c r="AE120" s="58"/>
      <c r="AF120" s="58"/>
      <c r="AG120" s="58"/>
      <c r="AH120" s="58"/>
      <c r="AI120" s="58"/>
    </row>
    <row r="121" spans="1:35" x14ac:dyDescent="0.35">
      <c r="A121" s="17" t="s">
        <v>46</v>
      </c>
      <c r="B121" s="17" t="s">
        <v>2574</v>
      </c>
      <c r="C121" s="28" t="s">
        <v>3166</v>
      </c>
      <c r="D121" s="17" t="s">
        <v>3189</v>
      </c>
      <c r="E121" s="17" t="s">
        <v>3190</v>
      </c>
      <c r="F121" s="20">
        <v>150</v>
      </c>
      <c r="G121" s="20">
        <v>82</v>
      </c>
      <c r="H121" s="19">
        <v>382</v>
      </c>
      <c r="I121" s="20">
        <v>206</v>
      </c>
      <c r="J121" s="20">
        <v>176</v>
      </c>
      <c r="K121" s="20">
        <v>0</v>
      </c>
      <c r="L121" s="57">
        <f t="shared" si="10"/>
        <v>0</v>
      </c>
      <c r="M121" s="20">
        <v>151</v>
      </c>
      <c r="N121" s="57">
        <f t="shared" si="11"/>
        <v>0.39528795811518325</v>
      </c>
      <c r="O121" s="46">
        <v>29</v>
      </c>
      <c r="P121" s="46">
        <v>30</v>
      </c>
      <c r="Q121" s="58" t="s">
        <v>51</v>
      </c>
      <c r="R121" s="58">
        <v>2020</v>
      </c>
      <c r="S121" s="58"/>
      <c r="T121" s="58"/>
      <c r="U121" s="58"/>
      <c r="V121" s="58"/>
      <c r="W121" s="58"/>
      <c r="X121" s="58" t="s">
        <v>51</v>
      </c>
      <c r="Y121" s="58"/>
      <c r="Z121" s="58"/>
      <c r="AA121" s="58"/>
      <c r="AB121" s="58"/>
      <c r="AC121" s="58" t="s">
        <v>51</v>
      </c>
      <c r="AD121" s="58"/>
      <c r="AE121" s="58"/>
      <c r="AF121" s="58"/>
      <c r="AG121" s="58"/>
      <c r="AH121" s="58"/>
      <c r="AI121" s="58"/>
    </row>
    <row r="122" spans="1:35" x14ac:dyDescent="0.35">
      <c r="A122" s="17" t="s">
        <v>46</v>
      </c>
      <c r="B122" s="17" t="s">
        <v>2574</v>
      </c>
      <c r="C122" s="28" t="s">
        <v>3166</v>
      </c>
      <c r="D122" s="17" t="s">
        <v>3191</v>
      </c>
      <c r="E122" s="17" t="s">
        <v>3192</v>
      </c>
      <c r="F122" s="20">
        <v>357</v>
      </c>
      <c r="G122" s="20">
        <v>154</v>
      </c>
      <c r="H122" s="19">
        <v>739</v>
      </c>
      <c r="I122" s="20">
        <v>388</v>
      </c>
      <c r="J122" s="20">
        <v>351</v>
      </c>
      <c r="K122" s="20">
        <v>19</v>
      </c>
      <c r="L122" s="57">
        <f t="shared" si="10"/>
        <v>2.571041948579161E-2</v>
      </c>
      <c r="M122" s="20">
        <v>65</v>
      </c>
      <c r="N122" s="57">
        <f t="shared" si="11"/>
        <v>8.7956698240866035E-2</v>
      </c>
      <c r="O122" s="46">
        <v>30</v>
      </c>
      <c r="P122" s="46">
        <v>108</v>
      </c>
      <c r="Q122" s="58" t="s">
        <v>51</v>
      </c>
      <c r="R122" s="58">
        <v>2021</v>
      </c>
      <c r="S122" s="58"/>
      <c r="T122" s="58"/>
      <c r="U122" s="58"/>
      <c r="V122" s="58"/>
      <c r="W122" s="58"/>
      <c r="X122" s="58" t="s">
        <v>51</v>
      </c>
      <c r="Y122" s="58"/>
      <c r="Z122" s="58"/>
      <c r="AA122" s="58"/>
      <c r="AB122" s="58"/>
      <c r="AC122" s="58" t="s">
        <v>51</v>
      </c>
      <c r="AD122" s="58"/>
      <c r="AE122" s="58"/>
      <c r="AF122" s="58"/>
      <c r="AG122" s="58"/>
      <c r="AH122" s="58"/>
      <c r="AI122" s="58"/>
    </row>
    <row r="123" spans="1:35" x14ac:dyDescent="0.35">
      <c r="A123" s="17" t="s">
        <v>46</v>
      </c>
      <c r="B123" s="17" t="s">
        <v>2574</v>
      </c>
      <c r="C123" s="28" t="s">
        <v>3182</v>
      </c>
      <c r="D123" s="17" t="s">
        <v>3193</v>
      </c>
      <c r="E123" s="17" t="s">
        <v>3194</v>
      </c>
      <c r="F123" s="20">
        <v>337</v>
      </c>
      <c r="G123" s="20">
        <v>110</v>
      </c>
      <c r="H123" s="19">
        <v>501</v>
      </c>
      <c r="I123" s="20">
        <v>261</v>
      </c>
      <c r="J123" s="20">
        <v>240</v>
      </c>
      <c r="K123" s="20">
        <v>0</v>
      </c>
      <c r="L123" s="57">
        <f t="shared" si="10"/>
        <v>0</v>
      </c>
      <c r="M123" s="20">
        <v>13</v>
      </c>
      <c r="N123" s="57">
        <f t="shared" si="11"/>
        <v>2.5948103792415168E-2</v>
      </c>
      <c r="O123" s="46">
        <v>29</v>
      </c>
      <c r="P123" s="46">
        <v>0</v>
      </c>
      <c r="Q123" s="58" t="s">
        <v>51</v>
      </c>
      <c r="R123" s="58">
        <v>2020</v>
      </c>
      <c r="S123" s="58"/>
      <c r="T123" s="58"/>
      <c r="U123" s="58"/>
      <c r="V123" s="58"/>
      <c r="W123" s="58"/>
      <c r="X123" s="58" t="s">
        <v>51</v>
      </c>
      <c r="Y123" s="58"/>
      <c r="Z123" s="58"/>
      <c r="AA123" s="58"/>
      <c r="AB123" s="58"/>
      <c r="AC123" s="58" t="s">
        <v>51</v>
      </c>
      <c r="AD123" s="58"/>
      <c r="AE123" s="58"/>
      <c r="AF123" s="58"/>
      <c r="AG123" s="58"/>
      <c r="AH123" s="58"/>
      <c r="AI123" s="58"/>
    </row>
    <row r="124" spans="1:35" x14ac:dyDescent="0.35">
      <c r="A124" s="17" t="s">
        <v>46</v>
      </c>
      <c r="B124" s="17" t="s">
        <v>2574</v>
      </c>
      <c r="C124" s="28" t="s">
        <v>3166</v>
      </c>
      <c r="D124" s="17" t="s">
        <v>3195</v>
      </c>
      <c r="E124" s="17" t="s">
        <v>3196</v>
      </c>
      <c r="F124" s="20">
        <v>539</v>
      </c>
      <c r="G124" s="20">
        <v>262</v>
      </c>
      <c r="H124" s="19">
        <v>1024</v>
      </c>
      <c r="I124" s="20">
        <v>501</v>
      </c>
      <c r="J124" s="20">
        <v>523</v>
      </c>
      <c r="K124" s="20">
        <v>195</v>
      </c>
      <c r="L124" s="57">
        <f t="shared" si="10"/>
        <v>0.1904296875</v>
      </c>
      <c r="M124" s="20">
        <v>221</v>
      </c>
      <c r="N124" s="57">
        <f t="shared" si="11"/>
        <v>0.2158203125</v>
      </c>
      <c r="O124" s="46">
        <v>194</v>
      </c>
      <c r="P124" s="46">
        <v>0</v>
      </c>
      <c r="Q124" s="58" t="s">
        <v>51</v>
      </c>
      <c r="R124" s="58">
        <v>2020</v>
      </c>
      <c r="S124" s="58"/>
      <c r="T124" s="58"/>
      <c r="U124" s="58"/>
      <c r="V124" s="58"/>
      <c r="W124" s="58"/>
      <c r="X124" s="58" t="s">
        <v>51</v>
      </c>
      <c r="Y124" s="58"/>
      <c r="Z124" s="58"/>
      <c r="AA124" s="58"/>
      <c r="AB124" s="58"/>
      <c r="AC124" s="58" t="s">
        <v>51</v>
      </c>
      <c r="AD124" s="58"/>
      <c r="AE124" s="58"/>
      <c r="AF124" s="58"/>
      <c r="AG124" s="58"/>
      <c r="AH124" s="58"/>
      <c r="AI124" s="58"/>
    </row>
    <row r="125" spans="1:35" x14ac:dyDescent="0.35">
      <c r="A125" s="17" t="s">
        <v>46</v>
      </c>
      <c r="B125" s="17" t="s">
        <v>2574</v>
      </c>
      <c r="C125" s="28" t="s">
        <v>3166</v>
      </c>
      <c r="D125" s="17" t="s">
        <v>227</v>
      </c>
      <c r="E125" s="17" t="s">
        <v>3197</v>
      </c>
      <c r="F125" s="20">
        <v>418</v>
      </c>
      <c r="G125" s="20">
        <v>121</v>
      </c>
      <c r="H125" s="19">
        <v>493</v>
      </c>
      <c r="I125" s="20">
        <v>243</v>
      </c>
      <c r="J125" s="20">
        <v>250</v>
      </c>
      <c r="K125" s="20">
        <v>15</v>
      </c>
      <c r="L125" s="57">
        <f t="shared" si="10"/>
        <v>3.0425963488843813E-2</v>
      </c>
      <c r="M125" s="20">
        <v>96</v>
      </c>
      <c r="N125" s="57">
        <f t="shared" si="11"/>
        <v>0.1947261663286004</v>
      </c>
      <c r="O125" s="46">
        <v>40</v>
      </c>
      <c r="P125" s="46">
        <v>142</v>
      </c>
      <c r="Q125" s="58" t="s">
        <v>51</v>
      </c>
      <c r="R125" s="58">
        <v>2021</v>
      </c>
      <c r="S125" s="58"/>
      <c r="T125" s="58"/>
      <c r="U125" s="58"/>
      <c r="V125" s="58"/>
      <c r="W125" s="58"/>
      <c r="X125" s="58" t="s">
        <v>51</v>
      </c>
      <c r="Y125" s="58"/>
      <c r="Z125" s="58"/>
      <c r="AA125" s="58"/>
      <c r="AB125" s="58"/>
      <c r="AC125" s="58" t="s">
        <v>51</v>
      </c>
      <c r="AD125" s="58"/>
      <c r="AE125" s="58"/>
      <c r="AF125" s="58"/>
      <c r="AG125" s="58"/>
      <c r="AH125" s="58"/>
      <c r="AI125" s="58"/>
    </row>
    <row r="126" spans="1:35" x14ac:dyDescent="0.35">
      <c r="A126" s="17" t="s">
        <v>46</v>
      </c>
      <c r="B126" s="17" t="s">
        <v>2574</v>
      </c>
      <c r="C126" s="28" t="s">
        <v>3166</v>
      </c>
      <c r="D126" s="17" t="s">
        <v>3198</v>
      </c>
      <c r="E126" s="17" t="s">
        <v>3199</v>
      </c>
      <c r="F126" s="20">
        <v>336</v>
      </c>
      <c r="G126" s="20">
        <v>110</v>
      </c>
      <c r="H126" s="19">
        <v>478</v>
      </c>
      <c r="I126" s="20">
        <v>244</v>
      </c>
      <c r="J126" s="20">
        <v>234</v>
      </c>
      <c r="K126" s="20">
        <v>114</v>
      </c>
      <c r="L126" s="57">
        <f t="shared" si="10"/>
        <v>0.2384937238493724</v>
      </c>
      <c r="M126" s="20">
        <v>35</v>
      </c>
      <c r="N126" s="57">
        <f t="shared" si="11"/>
        <v>7.3221757322175729E-2</v>
      </c>
      <c r="O126" s="46">
        <v>23</v>
      </c>
      <c r="P126" s="46">
        <v>118</v>
      </c>
      <c r="Q126" s="58" t="s">
        <v>51</v>
      </c>
      <c r="R126" s="58">
        <v>2021</v>
      </c>
      <c r="S126" s="58"/>
      <c r="T126" s="58"/>
      <c r="U126" s="58"/>
      <c r="V126" s="58"/>
      <c r="W126" s="58"/>
      <c r="X126" s="58" t="s">
        <v>51</v>
      </c>
      <c r="Y126" s="58"/>
      <c r="Z126" s="58"/>
      <c r="AA126" s="58"/>
      <c r="AB126" s="58"/>
      <c r="AC126" s="58" t="s">
        <v>51</v>
      </c>
      <c r="AD126" s="58"/>
      <c r="AE126" s="58"/>
      <c r="AF126" s="58"/>
      <c r="AG126" s="58"/>
      <c r="AH126" s="58"/>
      <c r="AI126" s="58"/>
    </row>
    <row r="127" spans="1:35" x14ac:dyDescent="0.35">
      <c r="A127" s="17" t="s">
        <v>46</v>
      </c>
      <c r="B127" s="17" t="s">
        <v>2574</v>
      </c>
      <c r="C127" s="28" t="s">
        <v>3124</v>
      </c>
      <c r="D127" s="17" t="s">
        <v>3200</v>
      </c>
      <c r="E127" s="17" t="s">
        <v>3201</v>
      </c>
      <c r="F127" s="20">
        <v>530</v>
      </c>
      <c r="G127" s="20">
        <v>174</v>
      </c>
      <c r="H127" s="19">
        <v>904</v>
      </c>
      <c r="I127" s="20">
        <v>470</v>
      </c>
      <c r="J127" s="20">
        <v>434</v>
      </c>
      <c r="K127" s="20">
        <v>106</v>
      </c>
      <c r="L127" s="57">
        <f t="shared" si="10"/>
        <v>0.11725663716814159</v>
      </c>
      <c r="M127" s="20">
        <v>421</v>
      </c>
      <c r="N127" s="57">
        <f t="shared" si="11"/>
        <v>0.46570796460176989</v>
      </c>
      <c r="O127" s="46">
        <v>62</v>
      </c>
      <c r="P127" s="46">
        <v>2</v>
      </c>
      <c r="Q127" s="58" t="s">
        <v>562</v>
      </c>
      <c r="R127" s="58"/>
      <c r="S127" s="58"/>
      <c r="T127" s="58"/>
      <c r="U127" s="58"/>
      <c r="V127" s="58"/>
      <c r="W127" s="58"/>
      <c r="X127" s="58" t="s">
        <v>562</v>
      </c>
      <c r="Y127" s="58"/>
      <c r="Z127" s="58"/>
      <c r="AA127" s="58"/>
      <c r="AB127" s="58"/>
      <c r="AC127" s="58" t="s">
        <v>562</v>
      </c>
      <c r="AD127" s="58"/>
      <c r="AE127" s="58"/>
      <c r="AF127" s="58"/>
      <c r="AG127" s="58"/>
      <c r="AH127" s="58"/>
      <c r="AI127" s="58"/>
    </row>
    <row r="128" spans="1:35" x14ac:dyDescent="0.35">
      <c r="A128" s="17" t="s">
        <v>46</v>
      </c>
      <c r="B128" s="17" t="s">
        <v>2574</v>
      </c>
      <c r="C128" s="28" t="s">
        <v>3160</v>
      </c>
      <c r="D128" s="17" t="s">
        <v>1687</v>
      </c>
      <c r="E128" s="17" t="s">
        <v>3202</v>
      </c>
      <c r="F128" s="20">
        <v>1124</v>
      </c>
      <c r="G128" s="20">
        <v>831</v>
      </c>
      <c r="H128" s="19">
        <v>3877</v>
      </c>
      <c r="I128" s="20">
        <v>1936</v>
      </c>
      <c r="J128" s="20">
        <v>1941</v>
      </c>
      <c r="K128" s="20">
        <v>1547</v>
      </c>
      <c r="L128" s="57">
        <f t="shared" si="10"/>
        <v>0.39901986071704926</v>
      </c>
      <c r="M128" s="20">
        <v>99</v>
      </c>
      <c r="N128" s="57">
        <f t="shared" si="11"/>
        <v>2.5535207634769151E-2</v>
      </c>
      <c r="O128" s="46">
        <v>42</v>
      </c>
      <c r="P128" s="46">
        <v>399</v>
      </c>
      <c r="Q128" s="58" t="s">
        <v>51</v>
      </c>
      <c r="R128" s="58">
        <v>2020</v>
      </c>
      <c r="S128" s="58"/>
      <c r="T128" s="58"/>
      <c r="U128" s="58"/>
      <c r="V128" s="58"/>
      <c r="W128" s="58"/>
      <c r="X128" s="58" t="s">
        <v>51</v>
      </c>
      <c r="Y128" s="58"/>
      <c r="Z128" s="58"/>
      <c r="AA128" s="58"/>
      <c r="AB128" s="58"/>
      <c r="AC128" s="58" t="s">
        <v>51</v>
      </c>
      <c r="AD128" s="58"/>
      <c r="AE128" s="58"/>
      <c r="AF128" s="58"/>
      <c r="AG128" s="58"/>
      <c r="AH128" s="58"/>
      <c r="AI128" s="58"/>
    </row>
    <row r="129" spans="1:35" x14ac:dyDescent="0.35">
      <c r="A129" s="17" t="s">
        <v>46</v>
      </c>
      <c r="B129" s="17" t="s">
        <v>2574</v>
      </c>
      <c r="C129" s="28" t="s">
        <v>3160</v>
      </c>
      <c r="D129" s="17" t="s">
        <v>3203</v>
      </c>
      <c r="E129" s="17" t="s">
        <v>3204</v>
      </c>
      <c r="F129" s="20">
        <v>456</v>
      </c>
      <c r="G129" s="20">
        <v>158</v>
      </c>
      <c r="H129" s="19">
        <v>690</v>
      </c>
      <c r="I129" s="20">
        <v>362</v>
      </c>
      <c r="J129" s="20">
        <v>328</v>
      </c>
      <c r="K129" s="20">
        <v>211</v>
      </c>
      <c r="L129" s="57">
        <f t="shared" si="10"/>
        <v>0.30579710144927535</v>
      </c>
      <c r="M129" s="20">
        <v>230</v>
      </c>
      <c r="N129" s="57">
        <f t="shared" si="11"/>
        <v>0.33333333333333331</v>
      </c>
      <c r="O129" s="46">
        <v>80</v>
      </c>
      <c r="P129" s="46">
        <v>0</v>
      </c>
      <c r="Q129" s="58" t="s">
        <v>562</v>
      </c>
      <c r="R129" s="58"/>
      <c r="S129" s="58"/>
      <c r="T129" s="58"/>
      <c r="U129" s="58"/>
      <c r="V129" s="58"/>
      <c r="W129" s="58"/>
      <c r="X129" s="58" t="s">
        <v>562</v>
      </c>
      <c r="Y129" s="58"/>
      <c r="Z129" s="58"/>
      <c r="AA129" s="58"/>
      <c r="AB129" s="58"/>
      <c r="AC129" s="58" t="s">
        <v>562</v>
      </c>
      <c r="AD129" s="58"/>
      <c r="AE129" s="58"/>
      <c r="AF129" s="58"/>
      <c r="AG129" s="58"/>
      <c r="AH129" s="58"/>
      <c r="AI129" s="58"/>
    </row>
    <row r="130" spans="1:35" x14ac:dyDescent="0.35">
      <c r="A130" s="17" t="s">
        <v>46</v>
      </c>
      <c r="B130" s="17" t="s">
        <v>2574</v>
      </c>
      <c r="C130" s="28" t="s">
        <v>3160</v>
      </c>
      <c r="D130" s="17" t="s">
        <v>3205</v>
      </c>
      <c r="E130" s="17" t="s">
        <v>3206</v>
      </c>
      <c r="F130" s="20">
        <v>103</v>
      </c>
      <c r="G130" s="20">
        <v>4</v>
      </c>
      <c r="H130" s="19">
        <v>21</v>
      </c>
      <c r="I130" s="20">
        <v>10</v>
      </c>
      <c r="J130" s="20">
        <v>11</v>
      </c>
      <c r="K130" s="20">
        <v>0</v>
      </c>
      <c r="L130" s="57">
        <f t="shared" si="10"/>
        <v>0</v>
      </c>
      <c r="M130" s="20">
        <v>21</v>
      </c>
      <c r="N130" s="57">
        <f t="shared" si="11"/>
        <v>1</v>
      </c>
      <c r="O130" s="46">
        <v>0</v>
      </c>
      <c r="P130" s="46">
        <v>13</v>
      </c>
      <c r="Q130" s="58" t="s">
        <v>112</v>
      </c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</row>
    <row r="131" spans="1:35" x14ac:dyDescent="0.35">
      <c r="A131" s="17" t="s">
        <v>46</v>
      </c>
      <c r="B131" s="17" t="s">
        <v>2574</v>
      </c>
      <c r="C131" s="28" t="s">
        <v>3124</v>
      </c>
      <c r="D131" s="17" t="s">
        <v>3207</v>
      </c>
      <c r="E131" s="17" t="s">
        <v>3208</v>
      </c>
      <c r="F131" s="20">
        <v>168</v>
      </c>
      <c r="G131" s="20">
        <v>91</v>
      </c>
      <c r="H131" s="19">
        <v>429</v>
      </c>
      <c r="I131" s="20">
        <v>245</v>
      </c>
      <c r="J131" s="20">
        <v>184</v>
      </c>
      <c r="K131" s="20">
        <v>0</v>
      </c>
      <c r="L131" s="57">
        <f t="shared" si="10"/>
        <v>0</v>
      </c>
      <c r="M131" s="20">
        <v>20</v>
      </c>
      <c r="N131" s="57">
        <f t="shared" si="11"/>
        <v>4.6620046620046623E-2</v>
      </c>
      <c r="O131" s="46">
        <v>14</v>
      </c>
      <c r="P131" s="46">
        <v>0</v>
      </c>
      <c r="Q131" s="58" t="s">
        <v>51</v>
      </c>
      <c r="R131" s="58">
        <v>2020</v>
      </c>
      <c r="S131" s="58"/>
      <c r="T131" s="58"/>
      <c r="U131" s="58"/>
      <c r="V131" s="58"/>
      <c r="W131" s="58"/>
      <c r="X131" s="58" t="s">
        <v>51</v>
      </c>
      <c r="Y131" s="58"/>
      <c r="Z131" s="58"/>
      <c r="AA131" s="58"/>
      <c r="AB131" s="58"/>
      <c r="AC131" s="58" t="s">
        <v>51</v>
      </c>
      <c r="AD131" s="58"/>
      <c r="AE131" s="58"/>
      <c r="AF131" s="58"/>
      <c r="AG131" s="58"/>
      <c r="AH131" s="58"/>
      <c r="AI131" s="58"/>
    </row>
    <row r="132" spans="1:35" x14ac:dyDescent="0.35">
      <c r="A132" s="17" t="s">
        <v>46</v>
      </c>
      <c r="B132" s="17" t="s">
        <v>2574</v>
      </c>
      <c r="C132" s="28" t="s">
        <v>3124</v>
      </c>
      <c r="D132" s="17" t="s">
        <v>314</v>
      </c>
      <c r="E132" s="17" t="s">
        <v>3209</v>
      </c>
      <c r="F132" s="20">
        <v>772</v>
      </c>
      <c r="G132" s="20">
        <v>367</v>
      </c>
      <c r="H132" s="19">
        <v>1708</v>
      </c>
      <c r="I132" s="20">
        <v>853</v>
      </c>
      <c r="J132" s="20">
        <v>855</v>
      </c>
      <c r="K132" s="20">
        <v>34</v>
      </c>
      <c r="L132" s="57">
        <f t="shared" si="10"/>
        <v>1.9906323185011711E-2</v>
      </c>
      <c r="M132" s="20">
        <v>173</v>
      </c>
      <c r="N132" s="57">
        <f t="shared" si="11"/>
        <v>0.10128805620608899</v>
      </c>
      <c r="O132" s="46">
        <v>109</v>
      </c>
      <c r="P132" s="46">
        <v>0</v>
      </c>
      <c r="Q132" s="58" t="s">
        <v>562</v>
      </c>
      <c r="R132" s="58"/>
      <c r="S132" s="58"/>
      <c r="T132" s="58"/>
      <c r="U132" s="58"/>
      <c r="V132" s="58"/>
      <c r="W132" s="58"/>
      <c r="X132" s="58" t="s">
        <v>562</v>
      </c>
      <c r="Y132" s="58"/>
      <c r="Z132" s="58"/>
      <c r="AA132" s="58"/>
      <c r="AB132" s="58"/>
      <c r="AC132" s="58" t="s">
        <v>562</v>
      </c>
      <c r="AD132" s="58"/>
      <c r="AE132" s="58"/>
      <c r="AF132" s="58"/>
      <c r="AG132" s="58"/>
      <c r="AH132" s="58"/>
      <c r="AI132" s="58"/>
    </row>
    <row r="133" spans="1:35" x14ac:dyDescent="0.35">
      <c r="A133" s="17" t="s">
        <v>46</v>
      </c>
      <c r="B133" s="17" t="s">
        <v>2574</v>
      </c>
      <c r="C133" s="28" t="s">
        <v>3155</v>
      </c>
      <c r="D133" s="17" t="s">
        <v>3210</v>
      </c>
      <c r="E133" s="17" t="s">
        <v>3211</v>
      </c>
      <c r="F133" s="20">
        <v>1404</v>
      </c>
      <c r="G133" s="20">
        <v>422</v>
      </c>
      <c r="H133" s="19">
        <v>1988</v>
      </c>
      <c r="I133" s="20">
        <v>982</v>
      </c>
      <c r="J133" s="20">
        <v>1006</v>
      </c>
      <c r="K133" s="20">
        <v>307</v>
      </c>
      <c r="L133" s="57">
        <f t="shared" si="10"/>
        <v>0.15442655935613683</v>
      </c>
      <c r="M133" s="20">
        <v>415</v>
      </c>
      <c r="N133" s="57">
        <f t="shared" si="11"/>
        <v>0.20875251509054327</v>
      </c>
      <c r="O133" s="46">
        <v>397</v>
      </c>
      <c r="P133" s="46">
        <v>0</v>
      </c>
      <c r="Q133" s="58" t="s">
        <v>51</v>
      </c>
      <c r="R133" s="58">
        <v>2021</v>
      </c>
      <c r="S133" s="58"/>
      <c r="T133" s="58"/>
      <c r="U133" s="58"/>
      <c r="V133" s="58"/>
      <c r="W133" s="58"/>
      <c r="X133" s="58" t="s">
        <v>51</v>
      </c>
      <c r="Y133" s="58"/>
      <c r="Z133" s="58"/>
      <c r="AA133" s="58"/>
      <c r="AB133" s="58"/>
      <c r="AC133" s="58" t="s">
        <v>51</v>
      </c>
      <c r="AD133" s="58"/>
      <c r="AE133" s="58"/>
      <c r="AF133" s="58"/>
      <c r="AG133" s="58"/>
      <c r="AH133" s="58"/>
      <c r="AI133" s="58"/>
    </row>
    <row r="134" spans="1:35" x14ac:dyDescent="0.35">
      <c r="A134" s="17" t="s">
        <v>46</v>
      </c>
      <c r="B134" s="17" t="s">
        <v>2574</v>
      </c>
      <c r="C134" s="28" t="s">
        <v>3212</v>
      </c>
      <c r="D134" s="17" t="s">
        <v>609</v>
      </c>
      <c r="E134" s="17" t="s">
        <v>3213</v>
      </c>
      <c r="F134" s="20">
        <v>477</v>
      </c>
      <c r="G134" s="20">
        <v>201</v>
      </c>
      <c r="H134" s="19">
        <v>1017</v>
      </c>
      <c r="I134" s="20">
        <v>531</v>
      </c>
      <c r="J134" s="20">
        <v>486</v>
      </c>
      <c r="K134" s="20">
        <v>70</v>
      </c>
      <c r="L134" s="57">
        <f t="shared" si="10"/>
        <v>6.88298918387414E-2</v>
      </c>
      <c r="M134" s="20">
        <v>234</v>
      </c>
      <c r="N134" s="57">
        <f t="shared" si="11"/>
        <v>0.23008849557522124</v>
      </c>
      <c r="O134" s="46">
        <v>96</v>
      </c>
      <c r="P134" s="46">
        <v>0</v>
      </c>
      <c r="Q134" s="58" t="s">
        <v>51</v>
      </c>
      <c r="R134" s="58">
        <v>2021</v>
      </c>
      <c r="S134" s="58"/>
      <c r="T134" s="58"/>
      <c r="U134" s="58"/>
      <c r="V134" s="58"/>
      <c r="W134" s="58"/>
      <c r="X134" s="58" t="s">
        <v>51</v>
      </c>
      <c r="Y134" s="58"/>
      <c r="Z134" s="58"/>
      <c r="AA134" s="58"/>
      <c r="AB134" s="58"/>
      <c r="AC134" s="58" t="s">
        <v>51</v>
      </c>
      <c r="AD134" s="58"/>
      <c r="AE134" s="58"/>
      <c r="AF134" s="58"/>
      <c r="AG134" s="58"/>
      <c r="AH134" s="58"/>
      <c r="AI134" s="58"/>
    </row>
    <row r="135" spans="1:35" x14ac:dyDescent="0.35">
      <c r="A135" s="17" t="s">
        <v>46</v>
      </c>
      <c r="B135" s="17" t="s">
        <v>2574</v>
      </c>
      <c r="C135" s="28" t="s">
        <v>3212</v>
      </c>
      <c r="D135" s="17" t="s">
        <v>3214</v>
      </c>
      <c r="E135" s="17" t="s">
        <v>3215</v>
      </c>
      <c r="F135" s="20">
        <v>387</v>
      </c>
      <c r="G135" s="20">
        <v>199</v>
      </c>
      <c r="H135" s="19">
        <v>915</v>
      </c>
      <c r="I135" s="20">
        <v>462</v>
      </c>
      <c r="J135" s="20">
        <v>453</v>
      </c>
      <c r="K135" s="20">
        <v>236</v>
      </c>
      <c r="L135" s="57">
        <f t="shared" si="10"/>
        <v>0.25792349726775954</v>
      </c>
      <c r="M135" s="20">
        <v>100</v>
      </c>
      <c r="N135" s="57">
        <f t="shared" si="11"/>
        <v>0.10928961748633879</v>
      </c>
      <c r="O135" s="46">
        <v>74</v>
      </c>
      <c r="P135" s="46">
        <v>0</v>
      </c>
      <c r="Q135" s="58" t="s">
        <v>51</v>
      </c>
      <c r="R135" s="58">
        <v>2021</v>
      </c>
      <c r="S135" s="58"/>
      <c r="T135" s="58"/>
      <c r="U135" s="58"/>
      <c r="V135" s="58"/>
      <c r="W135" s="58"/>
      <c r="X135" s="58" t="s">
        <v>51</v>
      </c>
      <c r="Y135" s="58"/>
      <c r="Z135" s="58"/>
      <c r="AA135" s="58"/>
      <c r="AB135" s="58"/>
      <c r="AC135" s="58" t="s">
        <v>51</v>
      </c>
      <c r="AD135" s="58"/>
      <c r="AE135" s="58"/>
      <c r="AF135" s="58"/>
      <c r="AG135" s="58"/>
      <c r="AH135" s="58"/>
      <c r="AI135" s="58"/>
    </row>
    <row r="136" spans="1:35" x14ac:dyDescent="0.35">
      <c r="A136" s="17" t="s">
        <v>46</v>
      </c>
      <c r="B136" s="17" t="s">
        <v>2574</v>
      </c>
      <c r="C136" s="28" t="s">
        <v>3212</v>
      </c>
      <c r="D136" s="17" t="s">
        <v>3216</v>
      </c>
      <c r="E136" s="17" t="s">
        <v>3217</v>
      </c>
      <c r="F136" s="20">
        <v>573</v>
      </c>
      <c r="G136" s="20">
        <v>355</v>
      </c>
      <c r="H136" s="19">
        <v>1711</v>
      </c>
      <c r="I136" s="20">
        <v>864</v>
      </c>
      <c r="J136" s="20">
        <v>847</v>
      </c>
      <c r="K136" s="20">
        <v>441</v>
      </c>
      <c r="L136" s="57">
        <f t="shared" si="10"/>
        <v>0.25774400935125658</v>
      </c>
      <c r="M136" s="20">
        <v>527</v>
      </c>
      <c r="N136" s="57">
        <f t="shared" si="11"/>
        <v>0.30800701344243131</v>
      </c>
      <c r="O136" s="46">
        <v>120</v>
      </c>
      <c r="P136" s="46">
        <v>0</v>
      </c>
      <c r="Q136" s="58" t="s">
        <v>51</v>
      </c>
      <c r="R136" s="58">
        <v>2021</v>
      </c>
      <c r="S136" s="58"/>
      <c r="T136" s="58"/>
      <c r="U136" s="58"/>
      <c r="V136" s="58"/>
      <c r="W136" s="58"/>
      <c r="X136" s="58" t="s">
        <v>51</v>
      </c>
      <c r="Y136" s="58"/>
      <c r="Z136" s="58"/>
      <c r="AA136" s="58"/>
      <c r="AB136" s="58"/>
      <c r="AC136" s="58" t="s">
        <v>51</v>
      </c>
      <c r="AD136" s="58"/>
      <c r="AE136" s="58"/>
      <c r="AF136" s="58"/>
      <c r="AG136" s="58"/>
      <c r="AH136" s="58"/>
      <c r="AI136" s="58"/>
    </row>
    <row r="137" spans="1:35" x14ac:dyDescent="0.35">
      <c r="A137" s="17" t="s">
        <v>46</v>
      </c>
      <c r="B137" s="17" t="s">
        <v>2574</v>
      </c>
      <c r="C137" s="28" t="s">
        <v>3155</v>
      </c>
      <c r="D137" s="17" t="s">
        <v>3218</v>
      </c>
      <c r="E137" s="17" t="s">
        <v>3219</v>
      </c>
      <c r="F137" s="20">
        <v>238.3</v>
      </c>
      <c r="G137" s="20">
        <v>83</v>
      </c>
      <c r="H137" s="19">
        <v>431</v>
      </c>
      <c r="I137" s="20">
        <v>227</v>
      </c>
      <c r="J137" s="20">
        <v>204</v>
      </c>
      <c r="K137" s="20">
        <v>45</v>
      </c>
      <c r="L137" s="57">
        <f t="shared" si="10"/>
        <v>0.10440835266821345</v>
      </c>
      <c r="M137" s="20">
        <v>24</v>
      </c>
      <c r="N137" s="57">
        <f t="shared" si="11"/>
        <v>5.5684454756380508E-2</v>
      </c>
      <c r="O137" s="46">
        <v>31</v>
      </c>
      <c r="P137" s="46">
        <v>0</v>
      </c>
      <c r="Q137" s="58" t="s">
        <v>51</v>
      </c>
      <c r="R137" s="58">
        <v>2021</v>
      </c>
      <c r="S137" s="58"/>
      <c r="T137" s="58"/>
      <c r="U137" s="58"/>
      <c r="V137" s="58"/>
      <c r="W137" s="58"/>
      <c r="X137" s="58" t="s">
        <v>51</v>
      </c>
      <c r="Y137" s="58"/>
      <c r="Z137" s="58"/>
      <c r="AA137" s="58"/>
      <c r="AB137" s="58"/>
      <c r="AC137" s="58" t="s">
        <v>51</v>
      </c>
      <c r="AD137" s="58"/>
      <c r="AE137" s="58"/>
      <c r="AF137" s="58"/>
      <c r="AG137" s="58"/>
      <c r="AH137" s="58"/>
      <c r="AI137" s="58"/>
    </row>
    <row r="138" spans="1:35" x14ac:dyDescent="0.35">
      <c r="A138" s="17" t="s">
        <v>46</v>
      </c>
      <c r="B138" s="17" t="s">
        <v>2574</v>
      </c>
      <c r="C138" s="28" t="s">
        <v>3155</v>
      </c>
      <c r="D138" s="17" t="s">
        <v>3220</v>
      </c>
      <c r="E138" s="17" t="s">
        <v>3221</v>
      </c>
      <c r="F138" s="20">
        <v>202.27</v>
      </c>
      <c r="G138" s="20">
        <v>42</v>
      </c>
      <c r="H138" s="19">
        <v>199</v>
      </c>
      <c r="I138" s="20">
        <v>97</v>
      </c>
      <c r="J138" s="20">
        <v>102</v>
      </c>
      <c r="K138" s="20">
        <v>16</v>
      </c>
      <c r="L138" s="57">
        <f t="shared" si="10"/>
        <v>8.0402010050251257E-2</v>
      </c>
      <c r="M138" s="20">
        <v>6</v>
      </c>
      <c r="N138" s="57">
        <f t="shared" si="11"/>
        <v>3.015075376884422E-2</v>
      </c>
      <c r="O138" s="46">
        <v>29</v>
      </c>
      <c r="P138" s="46">
        <v>0</v>
      </c>
      <c r="Q138" s="58" t="s">
        <v>51</v>
      </c>
      <c r="R138" s="58">
        <v>2021</v>
      </c>
      <c r="S138" s="58"/>
      <c r="T138" s="58"/>
      <c r="U138" s="58"/>
      <c r="V138" s="58"/>
      <c r="W138" s="58"/>
      <c r="X138" s="58" t="s">
        <v>51</v>
      </c>
      <c r="Y138" s="58"/>
      <c r="Z138" s="58"/>
      <c r="AA138" s="58"/>
      <c r="AB138" s="58"/>
      <c r="AC138" s="58" t="s">
        <v>51</v>
      </c>
      <c r="AD138" s="58"/>
      <c r="AE138" s="58"/>
      <c r="AF138" s="58"/>
      <c r="AG138" s="58"/>
      <c r="AH138" s="58"/>
      <c r="AI138" s="58"/>
    </row>
    <row r="139" spans="1:35" x14ac:dyDescent="0.35">
      <c r="A139" s="17" t="s">
        <v>46</v>
      </c>
      <c r="B139" s="17" t="s">
        <v>2574</v>
      </c>
      <c r="C139" s="28" t="s">
        <v>3129</v>
      </c>
      <c r="D139" s="17" t="s">
        <v>3222</v>
      </c>
      <c r="E139" s="17" t="s">
        <v>3223</v>
      </c>
      <c r="F139" s="20">
        <v>244.18</v>
      </c>
      <c r="G139" s="20">
        <v>118</v>
      </c>
      <c r="H139" s="19">
        <v>643</v>
      </c>
      <c r="I139" s="20">
        <v>330</v>
      </c>
      <c r="J139" s="20">
        <v>313</v>
      </c>
      <c r="K139" s="20">
        <v>26</v>
      </c>
      <c r="L139" s="57">
        <f t="shared" si="10"/>
        <v>4.0435458786936239E-2</v>
      </c>
      <c r="M139" s="20">
        <v>305</v>
      </c>
      <c r="N139" s="57">
        <f t="shared" si="11"/>
        <v>0.47433903576982894</v>
      </c>
      <c r="O139" s="46">
        <v>44</v>
      </c>
      <c r="P139" s="46">
        <v>0</v>
      </c>
      <c r="Q139" s="58" t="s">
        <v>562</v>
      </c>
      <c r="R139" s="58"/>
      <c r="S139" s="58"/>
      <c r="T139" s="58"/>
      <c r="U139" s="58"/>
      <c r="V139" s="58"/>
      <c r="W139" s="58"/>
      <c r="X139" s="58" t="s">
        <v>562</v>
      </c>
      <c r="Y139" s="58"/>
      <c r="Z139" s="58"/>
      <c r="AA139" s="58"/>
      <c r="AB139" s="58"/>
      <c r="AC139" s="58" t="s">
        <v>562</v>
      </c>
      <c r="AD139" s="58"/>
      <c r="AE139" s="58"/>
      <c r="AF139" s="58"/>
      <c r="AG139" s="58"/>
      <c r="AH139" s="58"/>
      <c r="AI139" s="58"/>
    </row>
    <row r="140" spans="1:35" x14ac:dyDescent="0.35">
      <c r="A140" s="17" t="s">
        <v>46</v>
      </c>
      <c r="B140" s="17" t="s">
        <v>2574</v>
      </c>
      <c r="C140" s="28" t="s">
        <v>3212</v>
      </c>
      <c r="D140" s="17" t="s">
        <v>3224</v>
      </c>
      <c r="E140" s="17" t="s">
        <v>3225</v>
      </c>
      <c r="F140" s="20">
        <v>202</v>
      </c>
      <c r="G140" s="20">
        <v>2</v>
      </c>
      <c r="H140" s="19">
        <v>13</v>
      </c>
      <c r="I140" s="20">
        <v>5</v>
      </c>
      <c r="J140" s="20">
        <v>8</v>
      </c>
      <c r="K140" s="20">
        <v>0</v>
      </c>
      <c r="L140" s="57">
        <f t="shared" si="10"/>
        <v>0</v>
      </c>
      <c r="M140" s="20">
        <v>0</v>
      </c>
      <c r="N140" s="57">
        <f t="shared" si="11"/>
        <v>0</v>
      </c>
      <c r="O140" s="46">
        <v>0</v>
      </c>
      <c r="P140" s="46">
        <v>0</v>
      </c>
      <c r="Q140" s="58" t="s">
        <v>112</v>
      </c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</row>
    <row r="141" spans="1:35" x14ac:dyDescent="0.35">
      <c r="A141" s="17" t="s">
        <v>46</v>
      </c>
      <c r="B141" s="17" t="s">
        <v>2574</v>
      </c>
      <c r="C141" s="28" t="s">
        <v>3212</v>
      </c>
      <c r="D141" s="17" t="s">
        <v>1071</v>
      </c>
      <c r="E141" s="17" t="s">
        <v>3226</v>
      </c>
      <c r="F141" s="28">
        <v>48</v>
      </c>
      <c r="G141" s="47"/>
      <c r="H141" s="19">
        <v>0</v>
      </c>
      <c r="I141" s="47"/>
      <c r="J141" s="47"/>
      <c r="K141" s="47"/>
      <c r="L141" s="57"/>
      <c r="M141" s="47"/>
      <c r="N141" s="57"/>
      <c r="O141" s="48">
        <v>0</v>
      </c>
      <c r="P141" s="48">
        <v>0</v>
      </c>
      <c r="Q141" s="58" t="s">
        <v>112</v>
      </c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</row>
    <row r="142" spans="1:35" x14ac:dyDescent="0.35">
      <c r="A142" s="17" t="s">
        <v>46</v>
      </c>
      <c r="B142" s="17" t="s">
        <v>2574</v>
      </c>
      <c r="C142" s="28" t="s">
        <v>3148</v>
      </c>
      <c r="D142" s="17" t="s">
        <v>3227</v>
      </c>
      <c r="E142" s="17" t="s">
        <v>3228</v>
      </c>
      <c r="F142" s="20">
        <v>1076</v>
      </c>
      <c r="G142" s="20">
        <v>408</v>
      </c>
      <c r="H142" s="19">
        <v>2041</v>
      </c>
      <c r="I142" s="20">
        <v>1007</v>
      </c>
      <c r="J142" s="20">
        <v>1034</v>
      </c>
      <c r="K142" s="20">
        <v>682</v>
      </c>
      <c r="L142" s="57">
        <f t="shared" ref="L142:L149" si="12">K142/H142</f>
        <v>0.3341499265066144</v>
      </c>
      <c r="M142" s="20">
        <v>229</v>
      </c>
      <c r="N142" s="57">
        <f t="shared" ref="N142:N149" si="13">M142/H142</f>
        <v>0.1121999020088192</v>
      </c>
      <c r="O142" s="46">
        <v>40</v>
      </c>
      <c r="P142" s="46">
        <v>0</v>
      </c>
      <c r="Q142" s="58" t="s">
        <v>51</v>
      </c>
      <c r="R142" s="58">
        <v>2020</v>
      </c>
      <c r="S142" s="58"/>
      <c r="T142" s="58"/>
      <c r="U142" s="58"/>
      <c r="V142" s="58"/>
      <c r="W142" s="58"/>
      <c r="X142" s="58" t="s">
        <v>51</v>
      </c>
      <c r="Y142" s="58"/>
      <c r="Z142" s="58"/>
      <c r="AA142" s="58"/>
      <c r="AB142" s="58"/>
      <c r="AC142" s="58" t="s">
        <v>51</v>
      </c>
      <c r="AD142" s="58"/>
      <c r="AE142" s="58"/>
      <c r="AF142" s="58"/>
      <c r="AG142" s="58"/>
      <c r="AH142" s="58"/>
      <c r="AI142" s="58"/>
    </row>
    <row r="143" spans="1:35" x14ac:dyDescent="0.35">
      <c r="A143" s="17" t="s">
        <v>46</v>
      </c>
      <c r="B143" s="17" t="s">
        <v>2574</v>
      </c>
      <c r="C143" s="28" t="s">
        <v>3051</v>
      </c>
      <c r="D143" s="17" t="s">
        <v>3229</v>
      </c>
      <c r="E143" s="17" t="s">
        <v>3230</v>
      </c>
      <c r="F143" s="20">
        <v>1584</v>
      </c>
      <c r="G143" s="20">
        <v>860</v>
      </c>
      <c r="H143" s="19">
        <v>3673</v>
      </c>
      <c r="I143" s="20">
        <v>1889</v>
      </c>
      <c r="J143" s="20">
        <v>1784</v>
      </c>
      <c r="K143" s="20">
        <v>443</v>
      </c>
      <c r="L143" s="57">
        <f t="shared" si="12"/>
        <v>0.12060985570378437</v>
      </c>
      <c r="M143" s="20">
        <v>497</v>
      </c>
      <c r="N143" s="57">
        <f t="shared" si="13"/>
        <v>0.13531173427715765</v>
      </c>
      <c r="O143" s="46">
        <v>158</v>
      </c>
      <c r="P143" s="46">
        <v>0</v>
      </c>
      <c r="Q143" s="58" t="s">
        <v>51</v>
      </c>
      <c r="R143" s="58">
        <v>2021</v>
      </c>
      <c r="S143" s="58"/>
      <c r="T143" s="58"/>
      <c r="U143" s="58"/>
      <c r="V143" s="58"/>
      <c r="W143" s="58"/>
      <c r="X143" s="58" t="s">
        <v>51</v>
      </c>
      <c r="Y143" s="58"/>
      <c r="Z143" s="58"/>
      <c r="AA143" s="58"/>
      <c r="AB143" s="58"/>
      <c r="AC143" s="58" t="s">
        <v>51</v>
      </c>
      <c r="AD143" s="58"/>
      <c r="AE143" s="58"/>
      <c r="AF143" s="58"/>
      <c r="AG143" s="58"/>
      <c r="AH143" s="58"/>
      <c r="AI143" s="58"/>
    </row>
    <row r="144" spans="1:35" x14ac:dyDescent="0.35">
      <c r="A144" s="17" t="s">
        <v>46</v>
      </c>
      <c r="B144" s="17" t="s">
        <v>2574</v>
      </c>
      <c r="C144" s="28" t="s">
        <v>3231</v>
      </c>
      <c r="D144" s="17" t="s">
        <v>1184</v>
      </c>
      <c r="E144" s="17" t="s">
        <v>3232</v>
      </c>
      <c r="F144" s="20">
        <v>744</v>
      </c>
      <c r="G144" s="20">
        <v>17</v>
      </c>
      <c r="H144" s="19">
        <v>70</v>
      </c>
      <c r="I144" s="20">
        <v>36</v>
      </c>
      <c r="J144" s="20">
        <v>34</v>
      </c>
      <c r="K144" s="20">
        <v>35</v>
      </c>
      <c r="L144" s="57">
        <f t="shared" si="12"/>
        <v>0.5</v>
      </c>
      <c r="M144" s="20">
        <v>0</v>
      </c>
      <c r="N144" s="57">
        <f t="shared" si="13"/>
        <v>0</v>
      </c>
      <c r="O144" s="46">
        <v>136</v>
      </c>
      <c r="P144" s="46">
        <v>170</v>
      </c>
      <c r="Q144" s="58" t="s">
        <v>562</v>
      </c>
      <c r="R144" s="58"/>
      <c r="S144" s="58"/>
      <c r="T144" s="58"/>
      <c r="U144" s="58"/>
      <c r="V144" s="58"/>
      <c r="W144" s="58"/>
      <c r="X144" s="58" t="s">
        <v>562</v>
      </c>
      <c r="Y144" s="58"/>
      <c r="Z144" s="58"/>
      <c r="AA144" s="58"/>
      <c r="AB144" s="58"/>
      <c r="AC144" s="58" t="s">
        <v>562</v>
      </c>
      <c r="AD144" s="58"/>
      <c r="AE144" s="58"/>
      <c r="AF144" s="58"/>
      <c r="AG144" s="58"/>
      <c r="AH144" s="58"/>
      <c r="AI144" s="58"/>
    </row>
    <row r="145" spans="1:35" x14ac:dyDescent="0.35">
      <c r="A145" s="17" t="s">
        <v>46</v>
      </c>
      <c r="B145" s="17" t="s">
        <v>2574</v>
      </c>
      <c r="C145" s="28" t="s">
        <v>3233</v>
      </c>
      <c r="D145" s="17" t="s">
        <v>312</v>
      </c>
      <c r="E145" s="17" t="s">
        <v>3234</v>
      </c>
      <c r="F145" s="20">
        <v>229</v>
      </c>
      <c r="G145" s="20">
        <v>29</v>
      </c>
      <c r="H145" s="19">
        <v>109</v>
      </c>
      <c r="I145" s="20">
        <v>54</v>
      </c>
      <c r="J145" s="20">
        <v>55</v>
      </c>
      <c r="K145" s="20">
        <v>0</v>
      </c>
      <c r="L145" s="57">
        <f t="shared" si="12"/>
        <v>0</v>
      </c>
      <c r="M145" s="20">
        <v>14</v>
      </c>
      <c r="N145" s="57">
        <f t="shared" si="13"/>
        <v>0.12844036697247707</v>
      </c>
      <c r="O145" s="46">
        <v>59</v>
      </c>
      <c r="P145" s="46">
        <v>0</v>
      </c>
      <c r="Q145" s="58" t="s">
        <v>562</v>
      </c>
      <c r="R145" s="58"/>
      <c r="S145" s="58"/>
      <c r="T145" s="58"/>
      <c r="U145" s="58"/>
      <c r="V145" s="58"/>
      <c r="W145" s="58"/>
      <c r="X145" s="58" t="s">
        <v>562</v>
      </c>
      <c r="Y145" s="58"/>
      <c r="Z145" s="58"/>
      <c r="AA145" s="58"/>
      <c r="AB145" s="58"/>
      <c r="AC145" s="58" t="s">
        <v>562</v>
      </c>
      <c r="AD145" s="58"/>
      <c r="AE145" s="58"/>
      <c r="AF145" s="58"/>
      <c r="AG145" s="58"/>
      <c r="AH145" s="58"/>
      <c r="AI145" s="58"/>
    </row>
    <row r="146" spans="1:35" x14ac:dyDescent="0.35">
      <c r="A146" s="17" t="s">
        <v>46</v>
      </c>
      <c r="B146" s="17" t="s">
        <v>2574</v>
      </c>
      <c r="C146" s="28" t="s">
        <v>3233</v>
      </c>
      <c r="D146" s="17" t="s">
        <v>3235</v>
      </c>
      <c r="E146" s="17" t="s">
        <v>3236</v>
      </c>
      <c r="F146" s="20">
        <v>675</v>
      </c>
      <c r="G146" s="20">
        <v>218</v>
      </c>
      <c r="H146" s="19">
        <v>1048</v>
      </c>
      <c r="I146" s="20">
        <v>527</v>
      </c>
      <c r="J146" s="20">
        <v>521</v>
      </c>
      <c r="K146" s="20">
        <v>134</v>
      </c>
      <c r="L146" s="57">
        <f t="shared" si="12"/>
        <v>0.12786259541984732</v>
      </c>
      <c r="M146" s="20">
        <v>207</v>
      </c>
      <c r="N146" s="57">
        <f t="shared" si="13"/>
        <v>0.19751908396946566</v>
      </c>
      <c r="O146" s="46">
        <v>268</v>
      </c>
      <c r="P146" s="46">
        <v>0</v>
      </c>
      <c r="Q146" s="58" t="s">
        <v>51</v>
      </c>
      <c r="R146" s="58">
        <v>2020</v>
      </c>
      <c r="S146" s="58"/>
      <c r="T146" s="58"/>
      <c r="U146" s="58"/>
      <c r="V146" s="58"/>
      <c r="W146" s="58"/>
      <c r="X146" s="58" t="s">
        <v>51</v>
      </c>
      <c r="Y146" s="58"/>
      <c r="Z146" s="58"/>
      <c r="AA146" s="58"/>
      <c r="AB146" s="58"/>
      <c r="AC146" s="58" t="s">
        <v>51</v>
      </c>
      <c r="AD146" s="58"/>
      <c r="AE146" s="58"/>
      <c r="AF146" s="58"/>
      <c r="AG146" s="58"/>
      <c r="AH146" s="58"/>
      <c r="AI146" s="58"/>
    </row>
    <row r="147" spans="1:35" x14ac:dyDescent="0.35">
      <c r="A147" s="17" t="s">
        <v>46</v>
      </c>
      <c r="B147" s="17" t="s">
        <v>2574</v>
      </c>
      <c r="C147" s="28" t="s">
        <v>3233</v>
      </c>
      <c r="D147" s="17" t="s">
        <v>3237</v>
      </c>
      <c r="E147" s="17" t="s">
        <v>3238</v>
      </c>
      <c r="F147" s="20">
        <v>959</v>
      </c>
      <c r="G147" s="20">
        <v>286</v>
      </c>
      <c r="H147" s="19">
        <v>1352</v>
      </c>
      <c r="I147" s="20">
        <v>684</v>
      </c>
      <c r="J147" s="20">
        <v>668</v>
      </c>
      <c r="K147" s="20">
        <v>272</v>
      </c>
      <c r="L147" s="57">
        <f t="shared" si="12"/>
        <v>0.20118343195266272</v>
      </c>
      <c r="M147" s="20">
        <v>197</v>
      </c>
      <c r="N147" s="57">
        <f t="shared" si="13"/>
        <v>0.14571005917159763</v>
      </c>
      <c r="O147" s="46">
        <v>332</v>
      </c>
      <c r="P147" s="46">
        <v>0</v>
      </c>
      <c r="Q147" s="58" t="s">
        <v>51</v>
      </c>
      <c r="R147" s="58">
        <v>2020</v>
      </c>
      <c r="S147" s="58"/>
      <c r="T147" s="58"/>
      <c r="U147" s="58"/>
      <c r="V147" s="58"/>
      <c r="W147" s="58"/>
      <c r="X147" s="58" t="s">
        <v>51</v>
      </c>
      <c r="Y147" s="58"/>
      <c r="Z147" s="58"/>
      <c r="AA147" s="58"/>
      <c r="AB147" s="58"/>
      <c r="AC147" s="58" t="s">
        <v>51</v>
      </c>
      <c r="AD147" s="58"/>
      <c r="AE147" s="58"/>
      <c r="AF147" s="58"/>
      <c r="AG147" s="58"/>
      <c r="AH147" s="58"/>
      <c r="AI147" s="58"/>
    </row>
    <row r="148" spans="1:35" x14ac:dyDescent="0.35">
      <c r="A148" s="17" t="s">
        <v>46</v>
      </c>
      <c r="B148" s="17" t="s">
        <v>2574</v>
      </c>
      <c r="C148" s="28" t="s">
        <v>3233</v>
      </c>
      <c r="D148" s="17" t="s">
        <v>3239</v>
      </c>
      <c r="E148" s="17" t="s">
        <v>3240</v>
      </c>
      <c r="F148" s="20">
        <v>500</v>
      </c>
      <c r="G148" s="20">
        <v>82</v>
      </c>
      <c r="H148" s="19">
        <v>373</v>
      </c>
      <c r="I148" s="20">
        <v>189</v>
      </c>
      <c r="J148" s="20">
        <v>184</v>
      </c>
      <c r="K148" s="20">
        <v>0</v>
      </c>
      <c r="L148" s="57">
        <f t="shared" si="12"/>
        <v>0</v>
      </c>
      <c r="M148" s="20">
        <v>13</v>
      </c>
      <c r="N148" s="57">
        <f t="shared" si="13"/>
        <v>3.4852546916890083E-2</v>
      </c>
      <c r="O148" s="46">
        <v>128</v>
      </c>
      <c r="P148" s="46">
        <v>0</v>
      </c>
      <c r="Q148" s="58" t="s">
        <v>51</v>
      </c>
      <c r="R148" s="58">
        <v>2020</v>
      </c>
      <c r="S148" s="58"/>
      <c r="T148" s="58"/>
      <c r="U148" s="58"/>
      <c r="V148" s="58"/>
      <c r="W148" s="58"/>
      <c r="X148" s="58" t="s">
        <v>51</v>
      </c>
      <c r="Y148" s="58"/>
      <c r="Z148" s="58"/>
      <c r="AA148" s="58"/>
      <c r="AB148" s="58"/>
      <c r="AC148" s="58" t="s">
        <v>51</v>
      </c>
      <c r="AD148" s="58"/>
      <c r="AE148" s="58"/>
      <c r="AF148" s="58"/>
      <c r="AG148" s="58"/>
      <c r="AH148" s="58"/>
      <c r="AI148" s="58"/>
    </row>
    <row r="149" spans="1:35" x14ac:dyDescent="0.35">
      <c r="A149" s="17" t="s">
        <v>46</v>
      </c>
      <c r="B149" s="17" t="s">
        <v>2574</v>
      </c>
      <c r="C149" s="28" t="s">
        <v>3233</v>
      </c>
      <c r="D149" s="17" t="s">
        <v>449</v>
      </c>
      <c r="E149" s="17" t="s">
        <v>3241</v>
      </c>
      <c r="F149" s="20">
        <v>533</v>
      </c>
      <c r="G149" s="20">
        <v>73</v>
      </c>
      <c r="H149" s="19">
        <v>329</v>
      </c>
      <c r="I149" s="20">
        <v>175</v>
      </c>
      <c r="J149" s="20">
        <v>154</v>
      </c>
      <c r="K149" s="20">
        <v>0</v>
      </c>
      <c r="L149" s="57">
        <f t="shared" si="12"/>
        <v>0</v>
      </c>
      <c r="M149" s="20">
        <v>89</v>
      </c>
      <c r="N149" s="57">
        <f t="shared" si="13"/>
        <v>0.27051671732522797</v>
      </c>
      <c r="O149" s="46">
        <v>227</v>
      </c>
      <c r="P149" s="46">
        <v>0</v>
      </c>
      <c r="Q149" s="58" t="s">
        <v>51</v>
      </c>
      <c r="R149" s="58">
        <v>2020</v>
      </c>
      <c r="S149" s="58"/>
      <c r="T149" s="58"/>
      <c r="U149" s="58"/>
      <c r="V149" s="58"/>
      <c r="W149" s="58"/>
      <c r="X149" s="58" t="s">
        <v>51</v>
      </c>
      <c r="Y149" s="58"/>
      <c r="Z149" s="58"/>
      <c r="AA149" s="58"/>
      <c r="AB149" s="58"/>
      <c r="AC149" s="58" t="s">
        <v>51</v>
      </c>
      <c r="AD149" s="58"/>
      <c r="AE149" s="58"/>
      <c r="AF149" s="58"/>
      <c r="AG149" s="58"/>
      <c r="AH149" s="58"/>
      <c r="AI149" s="58"/>
    </row>
    <row r="150" spans="1:35" x14ac:dyDescent="0.35">
      <c r="A150" s="17" t="s">
        <v>46</v>
      </c>
      <c r="B150" s="17" t="s">
        <v>2574</v>
      </c>
      <c r="C150" s="28" t="s">
        <v>3242</v>
      </c>
      <c r="D150" s="17" t="s">
        <v>3243</v>
      </c>
      <c r="E150" s="17" t="s">
        <v>3244</v>
      </c>
      <c r="F150" s="28">
        <v>128</v>
      </c>
      <c r="G150" s="47"/>
      <c r="H150" s="19">
        <v>0</v>
      </c>
      <c r="I150" s="47"/>
      <c r="J150" s="47"/>
      <c r="K150" s="47"/>
      <c r="L150" s="57"/>
      <c r="M150" s="47"/>
      <c r="N150" s="57"/>
      <c r="O150" s="48">
        <v>58</v>
      </c>
      <c r="P150" s="48">
        <v>0</v>
      </c>
      <c r="Q150" s="58" t="s">
        <v>112</v>
      </c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</row>
    <row r="151" spans="1:35" x14ac:dyDescent="0.35">
      <c r="A151" s="17" t="s">
        <v>46</v>
      </c>
      <c r="B151" s="17" t="s">
        <v>2574</v>
      </c>
      <c r="C151" s="28" t="s">
        <v>3242</v>
      </c>
      <c r="D151" s="17" t="s">
        <v>1510</v>
      </c>
      <c r="E151" s="17" t="s">
        <v>3245</v>
      </c>
      <c r="F151" s="20">
        <v>855</v>
      </c>
      <c r="G151" s="20">
        <v>82</v>
      </c>
      <c r="H151" s="19">
        <v>352</v>
      </c>
      <c r="I151" s="20">
        <v>176</v>
      </c>
      <c r="J151" s="20">
        <v>176</v>
      </c>
      <c r="K151" s="20">
        <v>0</v>
      </c>
      <c r="L151" s="57">
        <f t="shared" ref="L151:L160" si="14">K151/H151</f>
        <v>0</v>
      </c>
      <c r="M151" s="20">
        <v>194</v>
      </c>
      <c r="N151" s="57">
        <f t="shared" ref="N151:N160" si="15">M151/H151</f>
        <v>0.55113636363636365</v>
      </c>
      <c r="O151" s="46">
        <v>280</v>
      </c>
      <c r="P151" s="46">
        <v>289</v>
      </c>
      <c r="Q151" s="58" t="s">
        <v>562</v>
      </c>
      <c r="R151" s="58"/>
      <c r="S151" s="58"/>
      <c r="T151" s="58"/>
      <c r="U151" s="58"/>
      <c r="V151" s="58"/>
      <c r="W151" s="58"/>
      <c r="X151" s="58" t="s">
        <v>562</v>
      </c>
      <c r="Y151" s="58"/>
      <c r="Z151" s="58"/>
      <c r="AA151" s="58"/>
      <c r="AB151" s="58"/>
      <c r="AC151" s="58" t="s">
        <v>562</v>
      </c>
      <c r="AD151" s="58"/>
      <c r="AE151" s="58"/>
      <c r="AF151" s="58"/>
      <c r="AG151" s="58"/>
      <c r="AH151" s="58"/>
      <c r="AI151" s="58"/>
    </row>
    <row r="152" spans="1:35" x14ac:dyDescent="0.35">
      <c r="A152" s="17" t="s">
        <v>46</v>
      </c>
      <c r="B152" s="17" t="s">
        <v>2574</v>
      </c>
      <c r="C152" s="28" t="s">
        <v>3242</v>
      </c>
      <c r="D152" s="17" t="s">
        <v>3246</v>
      </c>
      <c r="E152" s="17" t="s">
        <v>3247</v>
      </c>
      <c r="F152" s="20">
        <v>338</v>
      </c>
      <c r="G152" s="20">
        <v>9</v>
      </c>
      <c r="H152" s="19">
        <v>46</v>
      </c>
      <c r="I152" s="20">
        <v>26</v>
      </c>
      <c r="J152" s="20">
        <v>20</v>
      </c>
      <c r="K152" s="20">
        <v>7</v>
      </c>
      <c r="L152" s="57">
        <f t="shared" si="14"/>
        <v>0.15217391304347827</v>
      </c>
      <c r="M152" s="20">
        <v>39</v>
      </c>
      <c r="N152" s="57">
        <f t="shared" si="15"/>
        <v>0.84782608695652173</v>
      </c>
      <c r="O152" s="46">
        <v>21</v>
      </c>
      <c r="P152" s="46">
        <v>165</v>
      </c>
      <c r="Q152" s="58" t="s">
        <v>562</v>
      </c>
      <c r="R152" s="58"/>
      <c r="S152" s="58"/>
      <c r="T152" s="58"/>
      <c r="U152" s="58"/>
      <c r="V152" s="58"/>
      <c r="W152" s="58"/>
      <c r="X152" s="58" t="s">
        <v>562</v>
      </c>
      <c r="Y152" s="58"/>
      <c r="Z152" s="58"/>
      <c r="AA152" s="58"/>
      <c r="AB152" s="58"/>
      <c r="AC152" s="58" t="s">
        <v>562</v>
      </c>
      <c r="AD152" s="58"/>
      <c r="AE152" s="58"/>
      <c r="AF152" s="58"/>
      <c r="AG152" s="58"/>
      <c r="AH152" s="58"/>
      <c r="AI152" s="58"/>
    </row>
    <row r="153" spans="1:35" x14ac:dyDescent="0.35">
      <c r="A153" s="17" t="s">
        <v>46</v>
      </c>
      <c r="B153" s="17" t="s">
        <v>2574</v>
      </c>
      <c r="C153" s="28" t="s">
        <v>3242</v>
      </c>
      <c r="D153" s="17" t="s">
        <v>1636</v>
      </c>
      <c r="E153" s="17" t="s">
        <v>3248</v>
      </c>
      <c r="F153" s="20">
        <v>492</v>
      </c>
      <c r="G153" s="20">
        <v>201</v>
      </c>
      <c r="H153" s="19">
        <v>886</v>
      </c>
      <c r="I153" s="20">
        <v>447</v>
      </c>
      <c r="J153" s="20">
        <v>439</v>
      </c>
      <c r="K153" s="20">
        <v>88</v>
      </c>
      <c r="L153" s="57">
        <f t="shared" si="14"/>
        <v>9.9322799097065456E-2</v>
      </c>
      <c r="M153" s="20">
        <v>350</v>
      </c>
      <c r="N153" s="57">
        <f t="shared" si="15"/>
        <v>0.39503386004514673</v>
      </c>
      <c r="O153" s="46">
        <v>141</v>
      </c>
      <c r="P153" s="46">
        <v>49</v>
      </c>
      <c r="Q153" s="58" t="s">
        <v>562</v>
      </c>
      <c r="R153" s="58"/>
      <c r="S153" s="58"/>
      <c r="T153" s="58"/>
      <c r="U153" s="58"/>
      <c r="V153" s="58"/>
      <c r="W153" s="58"/>
      <c r="X153" s="58" t="s">
        <v>562</v>
      </c>
      <c r="Y153" s="58"/>
      <c r="Z153" s="58"/>
      <c r="AA153" s="58"/>
      <c r="AB153" s="58"/>
      <c r="AC153" s="58" t="s">
        <v>562</v>
      </c>
      <c r="AD153" s="58"/>
      <c r="AE153" s="58"/>
      <c r="AF153" s="58"/>
      <c r="AG153" s="58"/>
      <c r="AH153" s="58"/>
      <c r="AI153" s="58"/>
    </row>
    <row r="154" spans="1:35" x14ac:dyDescent="0.35">
      <c r="A154" s="17" t="s">
        <v>46</v>
      </c>
      <c r="B154" s="17" t="s">
        <v>2574</v>
      </c>
      <c r="C154" s="28" t="s">
        <v>3242</v>
      </c>
      <c r="D154" s="17" t="s">
        <v>3249</v>
      </c>
      <c r="E154" s="17" t="s">
        <v>3250</v>
      </c>
      <c r="F154" s="20">
        <v>363</v>
      </c>
      <c r="G154" s="20">
        <v>29</v>
      </c>
      <c r="H154" s="19">
        <v>130</v>
      </c>
      <c r="I154" s="20">
        <v>70</v>
      </c>
      <c r="J154" s="20">
        <v>60</v>
      </c>
      <c r="K154" s="20">
        <v>10</v>
      </c>
      <c r="L154" s="57">
        <f t="shared" si="14"/>
        <v>7.6923076923076927E-2</v>
      </c>
      <c r="M154" s="20">
        <v>20</v>
      </c>
      <c r="N154" s="57">
        <f t="shared" si="15"/>
        <v>0.15384615384615385</v>
      </c>
      <c r="O154" s="46">
        <v>134</v>
      </c>
      <c r="P154" s="46">
        <v>0</v>
      </c>
      <c r="Q154" s="58" t="s">
        <v>562</v>
      </c>
      <c r="R154" s="58"/>
      <c r="S154" s="58"/>
      <c r="T154" s="58"/>
      <c r="U154" s="58"/>
      <c r="V154" s="58"/>
      <c r="W154" s="58"/>
      <c r="X154" s="58" t="s">
        <v>562</v>
      </c>
      <c r="Y154" s="58"/>
      <c r="Z154" s="58"/>
      <c r="AA154" s="58"/>
      <c r="AB154" s="58"/>
      <c r="AC154" s="58" t="s">
        <v>562</v>
      </c>
      <c r="AD154" s="58"/>
      <c r="AE154" s="58"/>
      <c r="AF154" s="58"/>
      <c r="AG154" s="58"/>
      <c r="AH154" s="58"/>
      <c r="AI154" s="58"/>
    </row>
    <row r="155" spans="1:35" x14ac:dyDescent="0.35">
      <c r="A155" s="17" t="s">
        <v>46</v>
      </c>
      <c r="B155" s="17" t="s">
        <v>2574</v>
      </c>
      <c r="C155" s="28" t="s">
        <v>3242</v>
      </c>
      <c r="D155" s="17" t="s">
        <v>3251</v>
      </c>
      <c r="E155" s="17" t="s">
        <v>3252</v>
      </c>
      <c r="F155" s="20">
        <v>1307</v>
      </c>
      <c r="G155" s="20">
        <v>376</v>
      </c>
      <c r="H155" s="19">
        <v>1729</v>
      </c>
      <c r="I155" s="20">
        <v>835</v>
      </c>
      <c r="J155" s="20">
        <v>894</v>
      </c>
      <c r="K155" s="20">
        <v>578</v>
      </c>
      <c r="L155" s="57">
        <f t="shared" si="14"/>
        <v>0.33429728166570272</v>
      </c>
      <c r="M155" s="20">
        <v>209</v>
      </c>
      <c r="N155" s="57">
        <f t="shared" si="15"/>
        <v>0.12087912087912088</v>
      </c>
      <c r="O155" s="46">
        <v>321</v>
      </c>
      <c r="P155" s="46">
        <v>0</v>
      </c>
      <c r="Q155" s="58" t="s">
        <v>562</v>
      </c>
      <c r="R155" s="58"/>
      <c r="S155" s="58"/>
      <c r="T155" s="58"/>
      <c r="U155" s="58"/>
      <c r="V155" s="58"/>
      <c r="W155" s="58"/>
      <c r="X155" s="58" t="s">
        <v>562</v>
      </c>
      <c r="Y155" s="58"/>
      <c r="Z155" s="58"/>
      <c r="AA155" s="58"/>
      <c r="AB155" s="58"/>
      <c r="AC155" s="58" t="s">
        <v>562</v>
      </c>
      <c r="AD155" s="58"/>
      <c r="AE155" s="58"/>
      <c r="AF155" s="58"/>
      <c r="AG155" s="58"/>
      <c r="AH155" s="58"/>
      <c r="AI155" s="58"/>
    </row>
    <row r="156" spans="1:35" x14ac:dyDescent="0.35">
      <c r="A156" s="17" t="s">
        <v>46</v>
      </c>
      <c r="B156" s="17" t="s">
        <v>2574</v>
      </c>
      <c r="C156" s="28" t="s">
        <v>3242</v>
      </c>
      <c r="D156" s="17" t="s">
        <v>3253</v>
      </c>
      <c r="E156" s="17" t="s">
        <v>3254</v>
      </c>
      <c r="F156" s="20">
        <v>295</v>
      </c>
      <c r="G156" s="20">
        <v>61</v>
      </c>
      <c r="H156" s="19">
        <v>273</v>
      </c>
      <c r="I156" s="20">
        <v>136</v>
      </c>
      <c r="J156" s="20">
        <v>137</v>
      </c>
      <c r="K156" s="20">
        <v>0</v>
      </c>
      <c r="L156" s="57">
        <f t="shared" si="14"/>
        <v>0</v>
      </c>
      <c r="M156" s="20">
        <v>107</v>
      </c>
      <c r="N156" s="57">
        <f t="shared" si="15"/>
        <v>0.39194139194139194</v>
      </c>
      <c r="O156" s="46">
        <v>25</v>
      </c>
      <c r="P156" s="46">
        <v>0</v>
      </c>
      <c r="Q156" s="58" t="s">
        <v>562</v>
      </c>
      <c r="R156" s="58"/>
      <c r="S156" s="58"/>
      <c r="T156" s="58"/>
      <c r="U156" s="58"/>
      <c r="V156" s="58"/>
      <c r="W156" s="58"/>
      <c r="X156" s="58" t="s">
        <v>562</v>
      </c>
      <c r="Y156" s="58"/>
      <c r="Z156" s="58"/>
      <c r="AA156" s="58"/>
      <c r="AB156" s="58"/>
      <c r="AC156" s="58" t="s">
        <v>562</v>
      </c>
      <c r="AD156" s="58"/>
      <c r="AE156" s="58"/>
      <c r="AF156" s="58"/>
      <c r="AG156" s="58"/>
      <c r="AH156" s="58"/>
      <c r="AI156" s="58"/>
    </row>
    <row r="157" spans="1:35" x14ac:dyDescent="0.35">
      <c r="A157" s="17" t="s">
        <v>46</v>
      </c>
      <c r="B157" s="17" t="s">
        <v>2574</v>
      </c>
      <c r="C157" s="28" t="s">
        <v>3231</v>
      </c>
      <c r="D157" s="17" t="s">
        <v>3255</v>
      </c>
      <c r="E157" s="17" t="s">
        <v>3256</v>
      </c>
      <c r="F157" s="20">
        <v>507</v>
      </c>
      <c r="G157" s="20">
        <v>240</v>
      </c>
      <c r="H157" s="19">
        <v>1150</v>
      </c>
      <c r="I157" s="20">
        <v>578</v>
      </c>
      <c r="J157" s="20">
        <v>572</v>
      </c>
      <c r="K157" s="20">
        <v>62</v>
      </c>
      <c r="L157" s="57">
        <f t="shared" si="14"/>
        <v>5.3913043478260869E-2</v>
      </c>
      <c r="M157" s="20">
        <v>386</v>
      </c>
      <c r="N157" s="57">
        <f t="shared" si="15"/>
        <v>0.33565217391304347</v>
      </c>
      <c r="O157" s="46">
        <v>181</v>
      </c>
      <c r="P157" s="46">
        <v>0</v>
      </c>
      <c r="Q157" s="58" t="s">
        <v>562</v>
      </c>
      <c r="R157" s="58"/>
      <c r="S157" s="58"/>
      <c r="T157" s="58"/>
      <c r="U157" s="58"/>
      <c r="V157" s="58"/>
      <c r="W157" s="58"/>
      <c r="X157" s="58" t="s">
        <v>562</v>
      </c>
      <c r="Y157" s="58"/>
      <c r="Z157" s="58"/>
      <c r="AA157" s="58"/>
      <c r="AB157" s="58"/>
      <c r="AC157" s="58" t="s">
        <v>562</v>
      </c>
      <c r="AD157" s="58"/>
      <c r="AE157" s="58"/>
      <c r="AF157" s="58"/>
      <c r="AG157" s="58"/>
      <c r="AH157" s="58"/>
      <c r="AI157" s="58"/>
    </row>
    <row r="158" spans="1:35" x14ac:dyDescent="0.35">
      <c r="A158" s="17" t="s">
        <v>46</v>
      </c>
      <c r="B158" s="17" t="s">
        <v>2574</v>
      </c>
      <c r="C158" s="28" t="s">
        <v>3257</v>
      </c>
      <c r="D158" s="17" t="s">
        <v>3258</v>
      </c>
      <c r="E158" s="17" t="s">
        <v>3259</v>
      </c>
      <c r="F158" s="20">
        <v>502</v>
      </c>
      <c r="G158" s="20">
        <v>127</v>
      </c>
      <c r="H158" s="19">
        <v>600</v>
      </c>
      <c r="I158" s="20">
        <v>310</v>
      </c>
      <c r="J158" s="20">
        <v>290</v>
      </c>
      <c r="K158" s="20">
        <v>1</v>
      </c>
      <c r="L158" s="57">
        <f t="shared" si="14"/>
        <v>1.6666666666666668E-3</v>
      </c>
      <c r="M158" s="20">
        <v>128</v>
      </c>
      <c r="N158" s="57">
        <f t="shared" si="15"/>
        <v>0.21333333333333335</v>
      </c>
      <c r="O158" s="46">
        <v>0</v>
      </c>
      <c r="P158" s="46">
        <v>62</v>
      </c>
      <c r="Q158" s="58" t="s">
        <v>562</v>
      </c>
      <c r="R158" s="58"/>
      <c r="S158" s="58"/>
      <c r="T158" s="58"/>
      <c r="U158" s="58"/>
      <c r="V158" s="58"/>
      <c r="W158" s="58"/>
      <c r="X158" s="58" t="s">
        <v>562</v>
      </c>
      <c r="Y158" s="58"/>
      <c r="Z158" s="58"/>
      <c r="AA158" s="58"/>
      <c r="AB158" s="58"/>
      <c r="AC158" s="58" t="s">
        <v>562</v>
      </c>
      <c r="AD158" s="58"/>
      <c r="AE158" s="58"/>
      <c r="AF158" s="58"/>
      <c r="AG158" s="58"/>
      <c r="AH158" s="58"/>
      <c r="AI158" s="58"/>
    </row>
    <row r="159" spans="1:35" x14ac:dyDescent="0.35">
      <c r="A159" s="17" t="s">
        <v>46</v>
      </c>
      <c r="B159" s="17" t="s">
        <v>2574</v>
      </c>
      <c r="C159" s="28" t="s">
        <v>3260</v>
      </c>
      <c r="D159" s="17" t="s">
        <v>3261</v>
      </c>
      <c r="E159" s="17" t="s">
        <v>3262</v>
      </c>
      <c r="F159" s="20">
        <v>1266</v>
      </c>
      <c r="G159" s="20">
        <v>1258</v>
      </c>
      <c r="H159" s="19">
        <v>5957</v>
      </c>
      <c r="I159" s="20">
        <v>2993</v>
      </c>
      <c r="J159" s="20">
        <v>2964</v>
      </c>
      <c r="K159" s="20">
        <v>616</v>
      </c>
      <c r="L159" s="57">
        <f t="shared" si="14"/>
        <v>0.10340775558166862</v>
      </c>
      <c r="M159" s="20">
        <v>198</v>
      </c>
      <c r="N159" s="57">
        <f t="shared" si="15"/>
        <v>3.3238207151250629E-2</v>
      </c>
      <c r="O159" s="46">
        <v>287</v>
      </c>
      <c r="P159" s="46">
        <v>75</v>
      </c>
      <c r="Q159" s="58" t="s">
        <v>562</v>
      </c>
      <c r="R159" s="58"/>
      <c r="S159" s="58"/>
      <c r="T159" s="58"/>
      <c r="U159" s="58"/>
      <c r="V159" s="58"/>
      <c r="W159" s="58"/>
      <c r="X159" s="58" t="s">
        <v>562</v>
      </c>
      <c r="Y159" s="58"/>
      <c r="Z159" s="58"/>
      <c r="AA159" s="58"/>
      <c r="AB159" s="58"/>
      <c r="AC159" s="58" t="s">
        <v>562</v>
      </c>
      <c r="AD159" s="58"/>
      <c r="AE159" s="58"/>
      <c r="AF159" s="58"/>
      <c r="AG159" s="58"/>
      <c r="AH159" s="58"/>
      <c r="AI159" s="58"/>
    </row>
    <row r="160" spans="1:35" x14ac:dyDescent="0.35">
      <c r="A160" s="17" t="s">
        <v>46</v>
      </c>
      <c r="B160" s="17" t="s">
        <v>2574</v>
      </c>
      <c r="C160" s="28" t="s">
        <v>3260</v>
      </c>
      <c r="D160" s="17" t="s">
        <v>3263</v>
      </c>
      <c r="E160" s="17" t="s">
        <v>3264</v>
      </c>
      <c r="F160" s="20">
        <v>718</v>
      </c>
      <c r="G160" s="20">
        <v>57</v>
      </c>
      <c r="H160" s="19">
        <v>235</v>
      </c>
      <c r="I160" s="20">
        <v>120</v>
      </c>
      <c r="J160" s="20">
        <v>115</v>
      </c>
      <c r="K160" s="20">
        <v>0</v>
      </c>
      <c r="L160" s="57">
        <f t="shared" si="14"/>
        <v>0</v>
      </c>
      <c r="M160" s="20">
        <v>235</v>
      </c>
      <c r="N160" s="57">
        <f t="shared" si="15"/>
        <v>1</v>
      </c>
      <c r="O160" s="46">
        <v>200</v>
      </c>
      <c r="P160" s="46">
        <v>70</v>
      </c>
      <c r="Q160" s="58" t="s">
        <v>562</v>
      </c>
      <c r="R160" s="58"/>
      <c r="S160" s="58"/>
      <c r="T160" s="58"/>
      <c r="U160" s="58"/>
      <c r="V160" s="58"/>
      <c r="W160" s="58"/>
      <c r="X160" s="58" t="s">
        <v>562</v>
      </c>
      <c r="Y160" s="58"/>
      <c r="Z160" s="58"/>
      <c r="AA160" s="58"/>
      <c r="AB160" s="58"/>
      <c r="AC160" s="58" t="s">
        <v>562</v>
      </c>
      <c r="AD160" s="58"/>
      <c r="AE160" s="58"/>
      <c r="AF160" s="58"/>
      <c r="AG160" s="58"/>
      <c r="AH160" s="58"/>
      <c r="AI160" s="58"/>
    </row>
    <row r="161" spans="1:35" x14ac:dyDescent="0.35">
      <c r="A161" s="17" t="s">
        <v>46</v>
      </c>
      <c r="B161" s="17" t="s">
        <v>2574</v>
      </c>
      <c r="C161" s="28" t="s">
        <v>3260</v>
      </c>
      <c r="D161" s="17" t="s">
        <v>351</v>
      </c>
      <c r="E161" s="17" t="s">
        <v>3265</v>
      </c>
      <c r="F161" s="28">
        <v>165</v>
      </c>
      <c r="G161" s="47"/>
      <c r="H161" s="19">
        <v>0</v>
      </c>
      <c r="I161" s="47"/>
      <c r="J161" s="47"/>
      <c r="K161" s="47"/>
      <c r="L161" s="57"/>
      <c r="M161" s="47"/>
      <c r="N161" s="57"/>
      <c r="O161" s="48">
        <v>62</v>
      </c>
      <c r="P161" s="48">
        <v>0</v>
      </c>
      <c r="Q161" s="58" t="s">
        <v>112</v>
      </c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</row>
    <row r="162" spans="1:35" x14ac:dyDescent="0.35">
      <c r="A162" s="17" t="s">
        <v>46</v>
      </c>
      <c r="B162" s="17" t="s">
        <v>2574</v>
      </c>
      <c r="C162" s="28" t="s">
        <v>3260</v>
      </c>
      <c r="D162" s="17" t="s">
        <v>459</v>
      </c>
      <c r="E162" s="17" t="s">
        <v>3266</v>
      </c>
      <c r="F162" s="20">
        <v>279</v>
      </c>
      <c r="G162" s="20">
        <v>12</v>
      </c>
      <c r="H162" s="19">
        <v>50</v>
      </c>
      <c r="I162" s="20">
        <v>29</v>
      </c>
      <c r="J162" s="20">
        <v>21</v>
      </c>
      <c r="K162" s="20">
        <v>0</v>
      </c>
      <c r="L162" s="57">
        <f>K162/H162</f>
        <v>0</v>
      </c>
      <c r="M162" s="20">
        <v>0</v>
      </c>
      <c r="N162" s="57">
        <f>M162/H162</f>
        <v>0</v>
      </c>
      <c r="O162" s="46">
        <v>68</v>
      </c>
      <c r="P162" s="46">
        <v>0</v>
      </c>
      <c r="Q162" s="58" t="s">
        <v>562</v>
      </c>
      <c r="R162" s="58"/>
      <c r="S162" s="58"/>
      <c r="T162" s="58"/>
      <c r="U162" s="58"/>
      <c r="V162" s="58"/>
      <c r="W162" s="58"/>
      <c r="X162" s="58" t="s">
        <v>562</v>
      </c>
      <c r="Y162" s="58"/>
      <c r="Z162" s="58"/>
      <c r="AA162" s="58"/>
      <c r="AB162" s="58"/>
      <c r="AC162" s="58" t="s">
        <v>562</v>
      </c>
      <c r="AD162" s="58"/>
      <c r="AE162" s="58"/>
      <c r="AF162" s="58"/>
      <c r="AG162" s="58"/>
      <c r="AH162" s="58"/>
      <c r="AI162" s="58"/>
    </row>
    <row r="163" spans="1:35" x14ac:dyDescent="0.35">
      <c r="A163" s="17" t="s">
        <v>46</v>
      </c>
      <c r="B163" s="17" t="s">
        <v>2574</v>
      </c>
      <c r="C163" s="28" t="s">
        <v>3009</v>
      </c>
      <c r="D163" s="17" t="s">
        <v>3013</v>
      </c>
      <c r="E163" s="17" t="s">
        <v>3267</v>
      </c>
      <c r="F163" s="28">
        <v>318</v>
      </c>
      <c r="G163" s="47"/>
      <c r="H163" s="19">
        <v>0</v>
      </c>
      <c r="I163" s="47"/>
      <c r="J163" s="47"/>
      <c r="K163" s="47"/>
      <c r="L163" s="57"/>
      <c r="M163" s="47"/>
      <c r="N163" s="57"/>
      <c r="O163" s="48">
        <v>203</v>
      </c>
      <c r="P163" s="48">
        <v>80</v>
      </c>
      <c r="Q163" s="58" t="s">
        <v>112</v>
      </c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</row>
    <row r="164" spans="1:35" x14ac:dyDescent="0.35">
      <c r="A164" s="17" t="s">
        <v>46</v>
      </c>
      <c r="B164" s="17" t="s">
        <v>2574</v>
      </c>
      <c r="C164" s="28" t="s">
        <v>3257</v>
      </c>
      <c r="D164" s="17" t="s">
        <v>3268</v>
      </c>
      <c r="E164" s="17" t="s">
        <v>3269</v>
      </c>
      <c r="F164" s="20">
        <v>276</v>
      </c>
      <c r="G164" s="20">
        <v>25</v>
      </c>
      <c r="H164" s="19">
        <v>82</v>
      </c>
      <c r="I164" s="20">
        <v>40</v>
      </c>
      <c r="J164" s="20">
        <v>42</v>
      </c>
      <c r="K164" s="20">
        <v>0</v>
      </c>
      <c r="L164" s="57">
        <f t="shared" ref="L164:L178" si="16">K164/H164</f>
        <v>0</v>
      </c>
      <c r="M164" s="20">
        <v>82</v>
      </c>
      <c r="N164" s="57">
        <f t="shared" ref="N164:N178" si="17">M164/H164</f>
        <v>1</v>
      </c>
      <c r="O164" s="46">
        <v>271</v>
      </c>
      <c r="P164" s="46">
        <v>0</v>
      </c>
      <c r="Q164" s="58" t="s">
        <v>562</v>
      </c>
      <c r="R164" s="58"/>
      <c r="S164" s="58"/>
      <c r="T164" s="58"/>
      <c r="U164" s="58"/>
      <c r="V164" s="58"/>
      <c r="W164" s="58"/>
      <c r="X164" s="58" t="s">
        <v>562</v>
      </c>
      <c r="Y164" s="58"/>
      <c r="Z164" s="58"/>
      <c r="AA164" s="58"/>
      <c r="AB164" s="58"/>
      <c r="AC164" s="58" t="s">
        <v>562</v>
      </c>
      <c r="AD164" s="58"/>
      <c r="AE164" s="58"/>
      <c r="AF164" s="58"/>
      <c r="AG164" s="58"/>
      <c r="AH164" s="58"/>
      <c r="AI164" s="58"/>
    </row>
    <row r="165" spans="1:35" x14ac:dyDescent="0.35">
      <c r="A165" s="17" t="s">
        <v>46</v>
      </c>
      <c r="B165" s="17" t="s">
        <v>2574</v>
      </c>
      <c r="C165" s="28" t="s">
        <v>3270</v>
      </c>
      <c r="D165" s="17" t="s">
        <v>167</v>
      </c>
      <c r="E165" s="17" t="s">
        <v>3271</v>
      </c>
      <c r="F165" s="20">
        <v>102</v>
      </c>
      <c r="G165" s="20">
        <v>58</v>
      </c>
      <c r="H165" s="19">
        <v>306</v>
      </c>
      <c r="I165" s="20">
        <v>160</v>
      </c>
      <c r="J165" s="20">
        <v>146</v>
      </c>
      <c r="K165" s="20">
        <v>0</v>
      </c>
      <c r="L165" s="57">
        <f t="shared" si="16"/>
        <v>0</v>
      </c>
      <c r="M165" s="20">
        <v>85</v>
      </c>
      <c r="N165" s="57">
        <f t="shared" si="17"/>
        <v>0.27777777777777779</v>
      </c>
      <c r="O165" s="46">
        <v>52</v>
      </c>
      <c r="P165" s="46">
        <v>0</v>
      </c>
      <c r="Q165" s="58" t="s">
        <v>562</v>
      </c>
      <c r="R165" s="58"/>
      <c r="S165" s="58"/>
      <c r="T165" s="58"/>
      <c r="U165" s="58"/>
      <c r="V165" s="58"/>
      <c r="W165" s="58"/>
      <c r="X165" s="58" t="s">
        <v>562</v>
      </c>
      <c r="Y165" s="58"/>
      <c r="Z165" s="58"/>
      <c r="AA165" s="58"/>
      <c r="AB165" s="58"/>
      <c r="AC165" s="58" t="s">
        <v>562</v>
      </c>
      <c r="AD165" s="58"/>
      <c r="AE165" s="58"/>
      <c r="AF165" s="58"/>
      <c r="AG165" s="58"/>
      <c r="AH165" s="58"/>
      <c r="AI165" s="58"/>
    </row>
    <row r="166" spans="1:35" x14ac:dyDescent="0.35">
      <c r="A166" s="17" t="s">
        <v>46</v>
      </c>
      <c r="B166" s="17" t="s">
        <v>2574</v>
      </c>
      <c r="C166" s="28" t="s">
        <v>3270</v>
      </c>
      <c r="D166" s="17" t="s">
        <v>3272</v>
      </c>
      <c r="E166" s="17" t="s">
        <v>3273</v>
      </c>
      <c r="F166" s="20">
        <v>446</v>
      </c>
      <c r="G166" s="20">
        <v>82</v>
      </c>
      <c r="H166" s="19">
        <v>322</v>
      </c>
      <c r="I166" s="20">
        <v>163</v>
      </c>
      <c r="J166" s="20">
        <v>159</v>
      </c>
      <c r="K166" s="20">
        <v>0</v>
      </c>
      <c r="L166" s="57">
        <f t="shared" si="16"/>
        <v>0</v>
      </c>
      <c r="M166" s="20">
        <v>30</v>
      </c>
      <c r="N166" s="57">
        <f t="shared" si="17"/>
        <v>9.3167701863354033E-2</v>
      </c>
      <c r="O166" s="46">
        <v>121</v>
      </c>
      <c r="P166" s="46">
        <v>120</v>
      </c>
      <c r="Q166" s="58" t="s">
        <v>562</v>
      </c>
      <c r="R166" s="58"/>
      <c r="S166" s="58"/>
      <c r="T166" s="58"/>
      <c r="U166" s="58"/>
      <c r="V166" s="58"/>
      <c r="W166" s="58"/>
      <c r="X166" s="58" t="s">
        <v>562</v>
      </c>
      <c r="Y166" s="58"/>
      <c r="Z166" s="58"/>
      <c r="AA166" s="58"/>
      <c r="AB166" s="58"/>
      <c r="AC166" s="58" t="s">
        <v>562</v>
      </c>
      <c r="AD166" s="58"/>
      <c r="AE166" s="58"/>
      <c r="AF166" s="58"/>
      <c r="AG166" s="58"/>
      <c r="AH166" s="58"/>
      <c r="AI166" s="58"/>
    </row>
    <row r="167" spans="1:35" x14ac:dyDescent="0.35">
      <c r="A167" s="17" t="s">
        <v>46</v>
      </c>
      <c r="B167" s="17" t="s">
        <v>2574</v>
      </c>
      <c r="C167" s="28" t="s">
        <v>3270</v>
      </c>
      <c r="D167" s="17" t="s">
        <v>2929</v>
      </c>
      <c r="E167" s="17" t="s">
        <v>3274</v>
      </c>
      <c r="F167" s="20">
        <v>546</v>
      </c>
      <c r="G167" s="20">
        <v>103</v>
      </c>
      <c r="H167" s="19">
        <v>519</v>
      </c>
      <c r="I167" s="20">
        <v>246</v>
      </c>
      <c r="J167" s="20">
        <v>273</v>
      </c>
      <c r="K167" s="20">
        <v>32</v>
      </c>
      <c r="L167" s="57">
        <f t="shared" si="16"/>
        <v>6.1657032755298651E-2</v>
      </c>
      <c r="M167" s="20">
        <v>72</v>
      </c>
      <c r="N167" s="57">
        <f t="shared" si="17"/>
        <v>0.13872832369942195</v>
      </c>
      <c r="O167" s="46">
        <v>221</v>
      </c>
      <c r="P167" s="46">
        <v>140</v>
      </c>
      <c r="Q167" s="58" t="s">
        <v>562</v>
      </c>
      <c r="R167" s="58"/>
      <c r="S167" s="58"/>
      <c r="T167" s="58"/>
      <c r="U167" s="58"/>
      <c r="V167" s="58"/>
      <c r="W167" s="58"/>
      <c r="X167" s="58" t="s">
        <v>562</v>
      </c>
      <c r="Y167" s="58"/>
      <c r="Z167" s="58"/>
      <c r="AA167" s="58"/>
      <c r="AB167" s="58"/>
      <c r="AC167" s="58" t="s">
        <v>562</v>
      </c>
      <c r="AD167" s="58"/>
      <c r="AE167" s="58"/>
      <c r="AF167" s="58"/>
      <c r="AG167" s="58"/>
      <c r="AH167" s="58"/>
      <c r="AI167" s="58"/>
    </row>
    <row r="168" spans="1:35" x14ac:dyDescent="0.35">
      <c r="A168" s="17" t="s">
        <v>46</v>
      </c>
      <c r="B168" s="17" t="s">
        <v>2574</v>
      </c>
      <c r="C168" s="28" t="s">
        <v>3270</v>
      </c>
      <c r="D168" s="17" t="s">
        <v>3275</v>
      </c>
      <c r="E168" s="17" t="s">
        <v>3276</v>
      </c>
      <c r="F168" s="20">
        <v>1866</v>
      </c>
      <c r="G168" s="20">
        <v>112</v>
      </c>
      <c r="H168" s="19">
        <v>428</v>
      </c>
      <c r="I168" s="20">
        <v>210</v>
      </c>
      <c r="J168" s="20">
        <v>218</v>
      </c>
      <c r="K168" s="20">
        <v>27</v>
      </c>
      <c r="L168" s="57">
        <f t="shared" si="16"/>
        <v>6.3084112149532703E-2</v>
      </c>
      <c r="M168" s="20">
        <v>108</v>
      </c>
      <c r="N168" s="57">
        <f t="shared" si="17"/>
        <v>0.25233644859813081</v>
      </c>
      <c r="O168" s="46">
        <v>577</v>
      </c>
      <c r="P168" s="46">
        <v>1178</v>
      </c>
      <c r="Q168" s="58" t="s">
        <v>562</v>
      </c>
      <c r="R168" s="58"/>
      <c r="S168" s="58"/>
      <c r="T168" s="58"/>
      <c r="U168" s="58"/>
      <c r="V168" s="58"/>
      <c r="W168" s="58"/>
      <c r="X168" s="58" t="s">
        <v>562</v>
      </c>
      <c r="Y168" s="58"/>
      <c r="Z168" s="58"/>
      <c r="AA168" s="58"/>
      <c r="AB168" s="58"/>
      <c r="AC168" s="58" t="s">
        <v>562</v>
      </c>
      <c r="AD168" s="58"/>
      <c r="AE168" s="58"/>
      <c r="AF168" s="58"/>
      <c r="AG168" s="58"/>
      <c r="AH168" s="58"/>
      <c r="AI168" s="58"/>
    </row>
    <row r="169" spans="1:35" x14ac:dyDescent="0.35">
      <c r="A169" s="17" t="s">
        <v>46</v>
      </c>
      <c r="B169" s="17" t="s">
        <v>2574</v>
      </c>
      <c r="C169" s="28" t="s">
        <v>3270</v>
      </c>
      <c r="D169" s="17" t="s">
        <v>287</v>
      </c>
      <c r="E169" s="17" t="s">
        <v>3277</v>
      </c>
      <c r="F169" s="20">
        <v>250</v>
      </c>
      <c r="G169" s="20">
        <v>44</v>
      </c>
      <c r="H169" s="19">
        <v>206</v>
      </c>
      <c r="I169" s="20">
        <v>105</v>
      </c>
      <c r="J169" s="20">
        <v>101</v>
      </c>
      <c r="K169" s="20">
        <v>4</v>
      </c>
      <c r="L169" s="57">
        <f t="shared" si="16"/>
        <v>1.9417475728155338E-2</v>
      </c>
      <c r="M169" s="20">
        <v>109</v>
      </c>
      <c r="N169" s="57">
        <f t="shared" si="17"/>
        <v>0.529126213592233</v>
      </c>
      <c r="O169" s="46">
        <v>161</v>
      </c>
      <c r="P169" s="46">
        <v>0</v>
      </c>
      <c r="Q169" s="58" t="s">
        <v>562</v>
      </c>
      <c r="R169" s="58"/>
      <c r="S169" s="58"/>
      <c r="T169" s="58"/>
      <c r="U169" s="58"/>
      <c r="V169" s="58"/>
      <c r="W169" s="58"/>
      <c r="X169" s="58" t="s">
        <v>562</v>
      </c>
      <c r="Y169" s="58"/>
      <c r="Z169" s="58"/>
      <c r="AA169" s="58"/>
      <c r="AB169" s="58"/>
      <c r="AC169" s="58" t="s">
        <v>562</v>
      </c>
      <c r="AD169" s="58"/>
      <c r="AE169" s="58"/>
      <c r="AF169" s="58"/>
      <c r="AG169" s="58"/>
      <c r="AH169" s="58"/>
      <c r="AI169" s="58"/>
    </row>
    <row r="170" spans="1:35" x14ac:dyDescent="0.35">
      <c r="A170" s="17" t="s">
        <v>46</v>
      </c>
      <c r="B170" s="17" t="s">
        <v>2574</v>
      </c>
      <c r="C170" s="28" t="s">
        <v>3270</v>
      </c>
      <c r="D170" s="17" t="s">
        <v>2983</v>
      </c>
      <c r="E170" s="17" t="s">
        <v>3278</v>
      </c>
      <c r="F170" s="20">
        <v>390</v>
      </c>
      <c r="G170" s="20">
        <v>89</v>
      </c>
      <c r="H170" s="19">
        <v>368</v>
      </c>
      <c r="I170" s="20">
        <v>172</v>
      </c>
      <c r="J170" s="20">
        <v>196</v>
      </c>
      <c r="K170" s="20">
        <v>22</v>
      </c>
      <c r="L170" s="57">
        <f t="shared" si="16"/>
        <v>5.9782608695652176E-2</v>
      </c>
      <c r="M170" s="20">
        <v>224</v>
      </c>
      <c r="N170" s="57">
        <f t="shared" si="17"/>
        <v>0.60869565217391308</v>
      </c>
      <c r="O170" s="46">
        <v>178</v>
      </c>
      <c r="P170" s="46">
        <v>0</v>
      </c>
      <c r="Q170" s="58" t="s">
        <v>562</v>
      </c>
      <c r="R170" s="58"/>
      <c r="S170" s="58"/>
      <c r="T170" s="58"/>
      <c r="U170" s="58"/>
      <c r="V170" s="58"/>
      <c r="W170" s="58"/>
      <c r="X170" s="58" t="s">
        <v>562</v>
      </c>
      <c r="Y170" s="58"/>
      <c r="Z170" s="58"/>
      <c r="AA170" s="58"/>
      <c r="AB170" s="58"/>
      <c r="AC170" s="58" t="s">
        <v>562</v>
      </c>
      <c r="AD170" s="58"/>
      <c r="AE170" s="58"/>
      <c r="AF170" s="58"/>
      <c r="AG170" s="58"/>
      <c r="AH170" s="58"/>
      <c r="AI170" s="58"/>
    </row>
    <row r="171" spans="1:35" x14ac:dyDescent="0.35">
      <c r="A171" s="17" t="s">
        <v>46</v>
      </c>
      <c r="B171" s="17" t="s">
        <v>2574</v>
      </c>
      <c r="C171" s="28" t="s">
        <v>3257</v>
      </c>
      <c r="D171" s="17" t="s">
        <v>2812</v>
      </c>
      <c r="E171" s="17" t="s">
        <v>3279</v>
      </c>
      <c r="F171" s="20">
        <v>252</v>
      </c>
      <c r="G171" s="20">
        <v>86</v>
      </c>
      <c r="H171" s="19">
        <v>375</v>
      </c>
      <c r="I171" s="20">
        <v>193</v>
      </c>
      <c r="J171" s="20">
        <v>182</v>
      </c>
      <c r="K171" s="20">
        <v>48</v>
      </c>
      <c r="L171" s="57">
        <f t="shared" si="16"/>
        <v>0.128</v>
      </c>
      <c r="M171" s="20">
        <v>20</v>
      </c>
      <c r="N171" s="57">
        <f t="shared" si="17"/>
        <v>5.3333333333333337E-2</v>
      </c>
      <c r="O171" s="46">
        <v>81</v>
      </c>
      <c r="P171" s="46">
        <v>29</v>
      </c>
      <c r="Q171" s="58" t="s">
        <v>562</v>
      </c>
      <c r="R171" s="58"/>
      <c r="S171" s="58"/>
      <c r="T171" s="58"/>
      <c r="U171" s="58"/>
      <c r="V171" s="58"/>
      <c r="W171" s="58"/>
      <c r="X171" s="58" t="s">
        <v>562</v>
      </c>
      <c r="Y171" s="58"/>
      <c r="Z171" s="58"/>
      <c r="AA171" s="58"/>
      <c r="AB171" s="58"/>
      <c r="AC171" s="58" t="s">
        <v>562</v>
      </c>
      <c r="AD171" s="58"/>
      <c r="AE171" s="58"/>
      <c r="AF171" s="58"/>
      <c r="AG171" s="58"/>
      <c r="AH171" s="58"/>
      <c r="AI171" s="58"/>
    </row>
    <row r="172" spans="1:35" x14ac:dyDescent="0.35">
      <c r="A172" s="17" t="s">
        <v>46</v>
      </c>
      <c r="B172" s="17" t="s">
        <v>2574</v>
      </c>
      <c r="C172" s="28" t="s">
        <v>3257</v>
      </c>
      <c r="D172" s="17" t="s">
        <v>1257</v>
      </c>
      <c r="E172" s="17" t="s">
        <v>3280</v>
      </c>
      <c r="F172" s="20">
        <v>208</v>
      </c>
      <c r="G172" s="20">
        <v>122</v>
      </c>
      <c r="H172" s="19">
        <v>500</v>
      </c>
      <c r="I172" s="20">
        <v>260</v>
      </c>
      <c r="J172" s="20">
        <v>240</v>
      </c>
      <c r="K172" s="20">
        <v>234</v>
      </c>
      <c r="L172" s="57">
        <f t="shared" si="16"/>
        <v>0.46800000000000003</v>
      </c>
      <c r="M172" s="20">
        <v>56</v>
      </c>
      <c r="N172" s="57">
        <f t="shared" si="17"/>
        <v>0.112</v>
      </c>
      <c r="O172" s="46">
        <v>98</v>
      </c>
      <c r="P172" s="46">
        <v>8</v>
      </c>
      <c r="Q172" s="58" t="s">
        <v>562</v>
      </c>
      <c r="R172" s="58"/>
      <c r="S172" s="58"/>
      <c r="T172" s="58"/>
      <c r="U172" s="58"/>
      <c r="V172" s="58"/>
      <c r="W172" s="58"/>
      <c r="X172" s="58" t="s">
        <v>562</v>
      </c>
      <c r="Y172" s="58"/>
      <c r="Z172" s="58"/>
      <c r="AA172" s="58"/>
      <c r="AB172" s="58"/>
      <c r="AC172" s="58" t="s">
        <v>562</v>
      </c>
      <c r="AD172" s="58"/>
      <c r="AE172" s="58"/>
      <c r="AF172" s="58"/>
      <c r="AG172" s="58"/>
      <c r="AH172" s="58"/>
      <c r="AI172" s="58"/>
    </row>
    <row r="173" spans="1:35" x14ac:dyDescent="0.35">
      <c r="A173" s="17" t="s">
        <v>46</v>
      </c>
      <c r="B173" s="17" t="s">
        <v>2574</v>
      </c>
      <c r="C173" s="28" t="s">
        <v>3257</v>
      </c>
      <c r="D173" s="17" t="s">
        <v>1303</v>
      </c>
      <c r="E173" s="17" t="s">
        <v>3281</v>
      </c>
      <c r="F173" s="20">
        <v>272</v>
      </c>
      <c r="G173" s="20">
        <v>28</v>
      </c>
      <c r="H173" s="19">
        <v>116</v>
      </c>
      <c r="I173" s="20">
        <v>64</v>
      </c>
      <c r="J173" s="20">
        <v>52</v>
      </c>
      <c r="K173" s="20">
        <v>0</v>
      </c>
      <c r="L173" s="57">
        <f t="shared" si="16"/>
        <v>0</v>
      </c>
      <c r="M173" s="20">
        <v>58</v>
      </c>
      <c r="N173" s="57">
        <f t="shared" si="17"/>
        <v>0.5</v>
      </c>
      <c r="O173" s="46">
        <v>83</v>
      </c>
      <c r="P173" s="46">
        <v>19</v>
      </c>
      <c r="Q173" s="58" t="s">
        <v>562</v>
      </c>
      <c r="R173" s="58"/>
      <c r="S173" s="58"/>
      <c r="T173" s="58"/>
      <c r="U173" s="58"/>
      <c r="V173" s="58"/>
      <c r="W173" s="58"/>
      <c r="X173" s="58" t="s">
        <v>562</v>
      </c>
      <c r="Y173" s="58"/>
      <c r="Z173" s="58"/>
      <c r="AA173" s="58"/>
      <c r="AB173" s="58"/>
      <c r="AC173" s="58" t="s">
        <v>562</v>
      </c>
      <c r="AD173" s="58"/>
      <c r="AE173" s="58"/>
      <c r="AF173" s="58"/>
      <c r="AG173" s="58"/>
      <c r="AH173" s="58"/>
      <c r="AI173" s="58"/>
    </row>
    <row r="174" spans="1:35" x14ac:dyDescent="0.35">
      <c r="A174" s="17" t="s">
        <v>46</v>
      </c>
      <c r="B174" s="17" t="s">
        <v>2574</v>
      </c>
      <c r="C174" s="28" t="s">
        <v>3257</v>
      </c>
      <c r="D174" s="17" t="s">
        <v>3282</v>
      </c>
      <c r="E174" s="17" t="s">
        <v>3283</v>
      </c>
      <c r="F174" s="20">
        <v>753</v>
      </c>
      <c r="G174" s="20">
        <v>303</v>
      </c>
      <c r="H174" s="19">
        <v>1375</v>
      </c>
      <c r="I174" s="20">
        <v>702</v>
      </c>
      <c r="J174" s="20">
        <v>673</v>
      </c>
      <c r="K174" s="20">
        <v>87</v>
      </c>
      <c r="L174" s="57">
        <f t="shared" si="16"/>
        <v>6.3272727272727272E-2</v>
      </c>
      <c r="M174" s="20">
        <v>109</v>
      </c>
      <c r="N174" s="57">
        <f t="shared" si="17"/>
        <v>7.9272727272727272E-2</v>
      </c>
      <c r="O174" s="46">
        <v>181</v>
      </c>
      <c r="P174" s="46">
        <v>65</v>
      </c>
      <c r="Q174" s="58" t="s">
        <v>562</v>
      </c>
      <c r="R174" s="58"/>
      <c r="S174" s="58"/>
      <c r="T174" s="58"/>
      <c r="U174" s="58"/>
      <c r="V174" s="58"/>
      <c r="W174" s="58"/>
      <c r="X174" s="58" t="s">
        <v>562</v>
      </c>
      <c r="Y174" s="58"/>
      <c r="Z174" s="58"/>
      <c r="AA174" s="58"/>
      <c r="AB174" s="58"/>
      <c r="AC174" s="58" t="s">
        <v>562</v>
      </c>
      <c r="AD174" s="58"/>
      <c r="AE174" s="58"/>
      <c r="AF174" s="58"/>
      <c r="AG174" s="58"/>
      <c r="AH174" s="58"/>
      <c r="AI174" s="58"/>
    </row>
    <row r="175" spans="1:35" x14ac:dyDescent="0.35">
      <c r="A175" s="17" t="s">
        <v>46</v>
      </c>
      <c r="B175" s="17" t="s">
        <v>2574</v>
      </c>
      <c r="C175" s="28" t="s">
        <v>3231</v>
      </c>
      <c r="D175" s="17" t="s">
        <v>3284</v>
      </c>
      <c r="E175" s="17" t="s">
        <v>3285</v>
      </c>
      <c r="F175" s="20">
        <v>3241</v>
      </c>
      <c r="G175" s="20">
        <v>448</v>
      </c>
      <c r="H175" s="19">
        <v>2164</v>
      </c>
      <c r="I175" s="20">
        <v>1093</v>
      </c>
      <c r="J175" s="20">
        <v>1071</v>
      </c>
      <c r="K175" s="20">
        <v>280</v>
      </c>
      <c r="L175" s="57">
        <f t="shared" si="16"/>
        <v>0.12939001848428835</v>
      </c>
      <c r="M175" s="20">
        <v>287</v>
      </c>
      <c r="N175" s="57">
        <f t="shared" si="17"/>
        <v>0.13262476894639558</v>
      </c>
      <c r="O175" s="46">
        <v>535</v>
      </c>
      <c r="P175" s="46">
        <v>1311</v>
      </c>
      <c r="Q175" s="58" t="s">
        <v>562</v>
      </c>
      <c r="R175" s="58"/>
      <c r="S175" s="58"/>
      <c r="T175" s="58"/>
      <c r="U175" s="58"/>
      <c r="V175" s="58"/>
      <c r="W175" s="58"/>
      <c r="X175" s="58" t="s">
        <v>562</v>
      </c>
      <c r="Y175" s="58"/>
      <c r="Z175" s="58"/>
      <c r="AA175" s="58"/>
      <c r="AB175" s="58"/>
      <c r="AC175" s="58" t="s">
        <v>562</v>
      </c>
      <c r="AD175" s="58"/>
      <c r="AE175" s="58"/>
      <c r="AF175" s="58"/>
      <c r="AG175" s="58"/>
      <c r="AH175" s="58"/>
      <c r="AI175" s="58"/>
    </row>
    <row r="176" spans="1:35" x14ac:dyDescent="0.35">
      <c r="A176" s="17" t="s">
        <v>46</v>
      </c>
      <c r="B176" s="17" t="s">
        <v>2574</v>
      </c>
      <c r="C176" s="28" t="s">
        <v>3257</v>
      </c>
      <c r="D176" s="17" t="s">
        <v>3286</v>
      </c>
      <c r="E176" s="17" t="s">
        <v>3287</v>
      </c>
      <c r="F176" s="20">
        <v>589</v>
      </c>
      <c r="G176" s="20">
        <v>53</v>
      </c>
      <c r="H176" s="19">
        <v>209</v>
      </c>
      <c r="I176" s="20">
        <v>109</v>
      </c>
      <c r="J176" s="20">
        <v>100</v>
      </c>
      <c r="K176" s="20">
        <v>2</v>
      </c>
      <c r="L176" s="57">
        <f t="shared" si="16"/>
        <v>9.5693779904306216E-3</v>
      </c>
      <c r="M176" s="20">
        <v>207</v>
      </c>
      <c r="N176" s="57">
        <f t="shared" si="17"/>
        <v>0.99043062200956933</v>
      </c>
      <c r="O176" s="46">
        <v>231</v>
      </c>
      <c r="P176" s="46">
        <v>250</v>
      </c>
      <c r="Q176" s="58" t="s">
        <v>562</v>
      </c>
      <c r="R176" s="58"/>
      <c r="S176" s="58"/>
      <c r="T176" s="58"/>
      <c r="U176" s="58"/>
      <c r="V176" s="58"/>
      <c r="W176" s="58"/>
      <c r="X176" s="58" t="s">
        <v>562</v>
      </c>
      <c r="Y176" s="58"/>
      <c r="Z176" s="58"/>
      <c r="AA176" s="58"/>
      <c r="AB176" s="58"/>
      <c r="AC176" s="58" t="s">
        <v>562</v>
      </c>
      <c r="AD176" s="58"/>
      <c r="AE176" s="58"/>
      <c r="AF176" s="58"/>
      <c r="AG176" s="58"/>
      <c r="AH176" s="58"/>
      <c r="AI176" s="58"/>
    </row>
    <row r="177" spans="1:35" x14ac:dyDescent="0.35">
      <c r="A177" s="17" t="s">
        <v>46</v>
      </c>
      <c r="B177" s="17" t="s">
        <v>2574</v>
      </c>
      <c r="C177" s="28" t="s">
        <v>3270</v>
      </c>
      <c r="D177" s="17" t="s">
        <v>3288</v>
      </c>
      <c r="E177" s="17" t="s">
        <v>3289</v>
      </c>
      <c r="F177" s="20">
        <v>1353</v>
      </c>
      <c r="G177" s="20">
        <v>182</v>
      </c>
      <c r="H177" s="19">
        <v>873</v>
      </c>
      <c r="I177" s="20">
        <v>447</v>
      </c>
      <c r="J177" s="20">
        <v>426</v>
      </c>
      <c r="K177" s="20">
        <v>0</v>
      </c>
      <c r="L177" s="57">
        <f t="shared" si="16"/>
        <v>0</v>
      </c>
      <c r="M177" s="20">
        <v>23</v>
      </c>
      <c r="N177" s="57">
        <f t="shared" si="17"/>
        <v>2.6345933562428408E-2</v>
      </c>
      <c r="O177" s="46">
        <v>893</v>
      </c>
      <c r="P177" s="46">
        <v>0</v>
      </c>
      <c r="Q177" s="58" t="s">
        <v>562</v>
      </c>
      <c r="R177" s="58"/>
      <c r="S177" s="58"/>
      <c r="T177" s="58"/>
      <c r="U177" s="58"/>
      <c r="V177" s="58"/>
      <c r="W177" s="58"/>
      <c r="X177" s="58" t="s">
        <v>562</v>
      </c>
      <c r="Y177" s="58"/>
      <c r="Z177" s="58"/>
      <c r="AA177" s="58"/>
      <c r="AB177" s="58"/>
      <c r="AC177" s="58" t="s">
        <v>562</v>
      </c>
      <c r="AD177" s="58"/>
      <c r="AE177" s="58"/>
      <c r="AF177" s="58"/>
      <c r="AG177" s="58"/>
      <c r="AH177" s="58"/>
      <c r="AI177" s="58"/>
    </row>
    <row r="178" spans="1:35" x14ac:dyDescent="0.35">
      <c r="A178" s="17" t="s">
        <v>46</v>
      </c>
      <c r="B178" s="17" t="s">
        <v>2574</v>
      </c>
      <c r="C178" s="28" t="s">
        <v>3270</v>
      </c>
      <c r="D178" s="17" t="s">
        <v>3290</v>
      </c>
      <c r="E178" s="17" t="s">
        <v>3291</v>
      </c>
      <c r="F178" s="20">
        <v>1046</v>
      </c>
      <c r="G178" s="20">
        <v>132</v>
      </c>
      <c r="H178" s="19">
        <v>605</v>
      </c>
      <c r="I178" s="20">
        <v>308</v>
      </c>
      <c r="J178" s="20">
        <v>297</v>
      </c>
      <c r="K178" s="20">
        <v>0</v>
      </c>
      <c r="L178" s="57">
        <f t="shared" si="16"/>
        <v>0</v>
      </c>
      <c r="M178" s="20">
        <v>2</v>
      </c>
      <c r="N178" s="57">
        <f t="shared" si="17"/>
        <v>3.3057851239669421E-3</v>
      </c>
      <c r="O178" s="46">
        <v>324</v>
      </c>
      <c r="P178" s="46">
        <v>546</v>
      </c>
      <c r="Q178" s="58" t="s">
        <v>562</v>
      </c>
      <c r="R178" s="58"/>
      <c r="S178" s="58"/>
      <c r="T178" s="58"/>
      <c r="U178" s="58"/>
      <c r="V178" s="58"/>
      <c r="W178" s="58"/>
      <c r="X178" s="58" t="s">
        <v>562</v>
      </c>
      <c r="Y178" s="58"/>
      <c r="Z178" s="58"/>
      <c r="AA178" s="58"/>
      <c r="AB178" s="58"/>
      <c r="AC178" s="58" t="s">
        <v>562</v>
      </c>
      <c r="AD178" s="58"/>
      <c r="AE178" s="58"/>
      <c r="AF178" s="58"/>
      <c r="AG178" s="58"/>
      <c r="AH178" s="58"/>
      <c r="AI178" s="58"/>
    </row>
  </sheetData>
  <autoFilter ref="A2:AI178">
    <filterColumn colId="33" showButton="0"/>
  </autoFilter>
  <mergeCells count="1">
    <mergeCell ref="AH2:AI2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7"/>
  <sheetViews>
    <sheetView zoomScale="75" zoomScaleNormal="75" workbookViewId="0">
      <pane xSplit="5" ySplit="3" topLeftCell="O39" activePane="bottomRight" state="frozen"/>
      <selection pane="topRight" activeCell="AB1" sqref="AB1"/>
      <selection pane="bottomLeft" activeCell="A4" sqref="A4"/>
      <selection pane="bottomRight" activeCell="Q46" sqref="Q46"/>
    </sheetView>
  </sheetViews>
  <sheetFormatPr defaultColWidth="9.1796875" defaultRowHeight="14.5" x14ac:dyDescent="0.35"/>
  <cols>
    <col min="3" max="3" width="19.90625" customWidth="1"/>
    <col min="4" max="4" width="15.453125" customWidth="1"/>
    <col min="6" max="14" width="0" hidden="1" customWidth="1"/>
    <col min="15" max="35" width="15.81640625" customWidth="1"/>
  </cols>
  <sheetData>
    <row r="1" spans="1:35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4"/>
      <c r="P1" s="4"/>
      <c r="Q1" s="38" t="s">
        <v>0</v>
      </c>
      <c r="R1" s="38" t="s">
        <v>0</v>
      </c>
      <c r="S1" s="38" t="s">
        <v>0</v>
      </c>
      <c r="T1" s="39" t="s">
        <v>0</v>
      </c>
      <c r="U1" s="39" t="s">
        <v>0</v>
      </c>
      <c r="V1" s="38" t="s">
        <v>1</v>
      </c>
      <c r="W1" s="38" t="s">
        <v>1</v>
      </c>
      <c r="X1" s="38" t="s">
        <v>1</v>
      </c>
      <c r="Y1" s="38" t="s">
        <v>1</v>
      </c>
      <c r="Z1" s="38" t="s">
        <v>1</v>
      </c>
      <c r="AA1" s="38" t="s">
        <v>1</v>
      </c>
      <c r="AB1" s="38" t="s">
        <v>2</v>
      </c>
      <c r="AC1" s="40" t="s">
        <v>3</v>
      </c>
      <c r="AD1" s="41" t="s">
        <v>3</v>
      </c>
      <c r="AE1" s="40" t="s">
        <v>3</v>
      </c>
      <c r="AF1" s="40" t="s">
        <v>3</v>
      </c>
      <c r="AG1" s="40" t="s">
        <v>3</v>
      </c>
      <c r="AH1" s="40" t="s">
        <v>3</v>
      </c>
      <c r="AI1" s="40" t="s">
        <v>3</v>
      </c>
    </row>
    <row r="2" spans="1:35" ht="117.4" customHeight="1" x14ac:dyDescent="0.3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5" t="s">
        <v>14</v>
      </c>
      <c r="L2" s="5"/>
      <c r="M2" s="5" t="s">
        <v>15</v>
      </c>
      <c r="N2" s="5"/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2" t="s">
        <v>21</v>
      </c>
      <c r="U2" s="42" t="s">
        <v>22</v>
      </c>
      <c r="V2" s="11" t="s">
        <v>23</v>
      </c>
      <c r="W2" s="4" t="s">
        <v>24</v>
      </c>
      <c r="X2" s="11" t="s">
        <v>25</v>
      </c>
      <c r="Y2" s="4" t="s">
        <v>26</v>
      </c>
      <c r="Z2" s="4" t="s">
        <v>27</v>
      </c>
      <c r="AA2" s="11" t="s">
        <v>28</v>
      </c>
      <c r="AB2" s="43" t="s">
        <v>29</v>
      </c>
      <c r="AC2" s="11" t="s">
        <v>30</v>
      </c>
      <c r="AD2" s="43" t="s">
        <v>31</v>
      </c>
      <c r="AE2" s="11" t="s">
        <v>32</v>
      </c>
      <c r="AF2" s="11" t="s">
        <v>33</v>
      </c>
      <c r="AG2" s="11" t="s">
        <v>34</v>
      </c>
      <c r="AH2" s="1" t="s">
        <v>35</v>
      </c>
      <c r="AI2" s="1"/>
    </row>
    <row r="3" spans="1:35" ht="33.75" customHeight="1" x14ac:dyDescent="0.35">
      <c r="A3" s="17"/>
      <c r="B3" s="17"/>
      <c r="C3" s="5"/>
      <c r="D3" s="5"/>
      <c r="E3" s="5"/>
      <c r="F3" s="5" t="s">
        <v>37</v>
      </c>
      <c r="G3" s="5" t="s">
        <v>38</v>
      </c>
      <c r="H3" s="5" t="s">
        <v>38</v>
      </c>
      <c r="I3" s="5" t="s">
        <v>38</v>
      </c>
      <c r="J3" s="5" t="s">
        <v>38</v>
      </c>
      <c r="K3" s="5" t="s">
        <v>38</v>
      </c>
      <c r="L3" s="5" t="s">
        <v>39</v>
      </c>
      <c r="M3" s="5"/>
      <c r="N3" s="5" t="s">
        <v>39</v>
      </c>
      <c r="O3" s="5" t="s">
        <v>37</v>
      </c>
      <c r="P3" s="5" t="s">
        <v>37</v>
      </c>
      <c r="Q3" s="5" t="s">
        <v>40</v>
      </c>
      <c r="R3" s="5" t="s">
        <v>41</v>
      </c>
      <c r="S3" s="5" t="s">
        <v>37</v>
      </c>
      <c r="T3" s="44"/>
      <c r="U3" s="44"/>
      <c r="V3" s="5" t="s">
        <v>37</v>
      </c>
      <c r="W3" s="5" t="s">
        <v>37</v>
      </c>
      <c r="X3" s="5" t="s">
        <v>40</v>
      </c>
      <c r="Y3" s="5" t="s">
        <v>40</v>
      </c>
      <c r="Z3" s="5" t="s">
        <v>40</v>
      </c>
      <c r="AA3" s="5" t="s">
        <v>37</v>
      </c>
      <c r="AB3" s="45" t="s">
        <v>42</v>
      </c>
      <c r="AC3" s="5" t="s">
        <v>40</v>
      </c>
      <c r="AD3" s="45" t="s">
        <v>40</v>
      </c>
      <c r="AE3" s="5" t="s">
        <v>40</v>
      </c>
      <c r="AF3" s="5" t="s">
        <v>37</v>
      </c>
      <c r="AG3" s="5" t="s">
        <v>43</v>
      </c>
      <c r="AH3" s="5" t="s">
        <v>44</v>
      </c>
      <c r="AI3" s="5" t="s">
        <v>45</v>
      </c>
    </row>
    <row r="4" spans="1:35" x14ac:dyDescent="0.35">
      <c r="A4" s="17" t="s">
        <v>46</v>
      </c>
      <c r="B4" s="17" t="s">
        <v>3292</v>
      </c>
      <c r="C4" s="28" t="s">
        <v>3293</v>
      </c>
      <c r="D4" s="17" t="s">
        <v>3294</v>
      </c>
      <c r="E4" s="17" t="s">
        <v>3295</v>
      </c>
      <c r="F4" s="20">
        <v>110.6</v>
      </c>
      <c r="G4" s="20">
        <v>61</v>
      </c>
      <c r="H4" s="19">
        <v>216</v>
      </c>
      <c r="I4" s="20">
        <v>115</v>
      </c>
      <c r="J4" s="20">
        <v>101</v>
      </c>
      <c r="K4" s="20">
        <v>36</v>
      </c>
      <c r="L4" s="57">
        <f t="shared" ref="L4:L38" si="0">K4/H4</f>
        <v>0.16666666666666666</v>
      </c>
      <c r="M4" s="20">
        <v>78</v>
      </c>
      <c r="N4" s="57">
        <f t="shared" ref="N4:N38" si="1">M4/H4</f>
        <v>0.3611111111111111</v>
      </c>
      <c r="O4" s="46">
        <v>0</v>
      </c>
      <c r="P4" s="46">
        <v>0</v>
      </c>
      <c r="Q4" s="58" t="s">
        <v>51</v>
      </c>
      <c r="R4" s="58">
        <v>2019</v>
      </c>
      <c r="S4" s="58"/>
      <c r="T4" s="58"/>
      <c r="U4" s="58"/>
      <c r="V4" s="58"/>
      <c r="W4" s="58"/>
      <c r="X4" s="58" t="s">
        <v>51</v>
      </c>
      <c r="Y4" s="58"/>
      <c r="Z4" s="58"/>
      <c r="AA4" s="58"/>
      <c r="AB4" s="58"/>
      <c r="AC4" s="58" t="s">
        <v>51</v>
      </c>
      <c r="AD4" s="58"/>
      <c r="AE4" s="58"/>
      <c r="AF4" s="58"/>
      <c r="AG4" s="58"/>
      <c r="AH4" s="58"/>
      <c r="AI4" s="58"/>
    </row>
    <row r="5" spans="1:35" x14ac:dyDescent="0.35">
      <c r="A5" s="17" t="s">
        <v>46</v>
      </c>
      <c r="B5" s="17" t="s">
        <v>3292</v>
      </c>
      <c r="C5" s="28" t="s">
        <v>3296</v>
      </c>
      <c r="D5" s="17" t="s">
        <v>3297</v>
      </c>
      <c r="E5" s="17" t="s">
        <v>3298</v>
      </c>
      <c r="F5" s="20">
        <v>1270</v>
      </c>
      <c r="G5" s="20">
        <v>390</v>
      </c>
      <c r="H5" s="19">
        <v>2108</v>
      </c>
      <c r="I5" s="20">
        <v>1034</v>
      </c>
      <c r="J5" s="20">
        <v>1074</v>
      </c>
      <c r="K5" s="20">
        <v>418</v>
      </c>
      <c r="L5" s="57">
        <f t="shared" si="0"/>
        <v>0.198292220113852</v>
      </c>
      <c r="M5" s="20">
        <v>45</v>
      </c>
      <c r="N5" s="57">
        <f t="shared" si="1"/>
        <v>2.1347248576850095E-2</v>
      </c>
      <c r="O5" s="46">
        <v>158</v>
      </c>
      <c r="P5" s="46">
        <v>0</v>
      </c>
      <c r="Q5" s="58" t="s">
        <v>51</v>
      </c>
      <c r="R5" s="58">
        <v>2019</v>
      </c>
      <c r="S5" s="58"/>
      <c r="T5" s="58"/>
      <c r="U5" s="58"/>
      <c r="V5" s="58"/>
      <c r="W5" s="58"/>
      <c r="X5" s="58" t="s">
        <v>51</v>
      </c>
      <c r="Y5" s="58"/>
      <c r="Z5" s="58"/>
      <c r="AA5" s="58"/>
      <c r="AB5" s="58"/>
      <c r="AC5" s="58" t="s">
        <v>51</v>
      </c>
      <c r="AD5" s="58"/>
      <c r="AE5" s="58"/>
      <c r="AF5" s="58"/>
      <c r="AG5" s="58"/>
      <c r="AH5" s="58"/>
      <c r="AI5" s="58"/>
    </row>
    <row r="6" spans="1:35" x14ac:dyDescent="0.35">
      <c r="A6" s="17" t="s">
        <v>46</v>
      </c>
      <c r="B6" s="17" t="s">
        <v>3292</v>
      </c>
      <c r="C6" s="28" t="s">
        <v>3299</v>
      </c>
      <c r="D6" s="17" t="s">
        <v>3300</v>
      </c>
      <c r="E6" s="17" t="s">
        <v>3301</v>
      </c>
      <c r="F6" s="20">
        <v>318.60000000000002</v>
      </c>
      <c r="G6" s="20">
        <v>67</v>
      </c>
      <c r="H6" s="19">
        <v>370</v>
      </c>
      <c r="I6" s="20">
        <v>182</v>
      </c>
      <c r="J6" s="20">
        <v>188</v>
      </c>
      <c r="K6" s="20">
        <v>196</v>
      </c>
      <c r="L6" s="57">
        <f t="shared" si="0"/>
        <v>0.52972972972972976</v>
      </c>
      <c r="M6" s="20">
        <v>10</v>
      </c>
      <c r="N6" s="57">
        <f t="shared" si="1"/>
        <v>2.7027027027027029E-2</v>
      </c>
      <c r="O6" s="46">
        <v>56.7</v>
      </c>
      <c r="P6" s="46">
        <v>0</v>
      </c>
      <c r="Q6" s="58" t="s">
        <v>51</v>
      </c>
      <c r="R6" s="58">
        <v>2020</v>
      </c>
      <c r="S6" s="58"/>
      <c r="T6" s="58"/>
      <c r="U6" s="58"/>
      <c r="V6" s="58"/>
      <c r="W6" s="58"/>
      <c r="X6" s="58" t="s">
        <v>51</v>
      </c>
      <c r="Y6" s="58"/>
      <c r="Z6" s="58"/>
      <c r="AA6" s="58"/>
      <c r="AB6" s="58"/>
      <c r="AC6" s="58" t="s">
        <v>51</v>
      </c>
      <c r="AD6" s="58"/>
      <c r="AE6" s="58"/>
      <c r="AF6" s="58"/>
      <c r="AG6" s="58"/>
      <c r="AH6" s="58"/>
      <c r="AI6" s="58"/>
    </row>
    <row r="7" spans="1:35" x14ac:dyDescent="0.35">
      <c r="A7" s="17" t="s">
        <v>46</v>
      </c>
      <c r="B7" s="17" t="s">
        <v>3292</v>
      </c>
      <c r="C7" s="28" t="s">
        <v>3293</v>
      </c>
      <c r="D7" s="17" t="s">
        <v>89</v>
      </c>
      <c r="E7" s="17" t="s">
        <v>3302</v>
      </c>
      <c r="F7" s="20">
        <v>240.1</v>
      </c>
      <c r="G7" s="20">
        <v>62</v>
      </c>
      <c r="H7" s="19">
        <v>310</v>
      </c>
      <c r="I7" s="20">
        <v>152</v>
      </c>
      <c r="J7" s="20">
        <v>158</v>
      </c>
      <c r="K7" s="20">
        <v>78</v>
      </c>
      <c r="L7" s="57">
        <f t="shared" si="0"/>
        <v>0.25161290322580643</v>
      </c>
      <c r="M7" s="20">
        <v>35</v>
      </c>
      <c r="N7" s="57">
        <f t="shared" si="1"/>
        <v>0.11290322580645161</v>
      </c>
      <c r="O7" s="46">
        <v>32.4</v>
      </c>
      <c r="P7" s="46">
        <v>0</v>
      </c>
      <c r="Q7" s="58" t="s">
        <v>51</v>
      </c>
      <c r="R7" s="58">
        <v>2019</v>
      </c>
      <c r="S7" s="58"/>
      <c r="T7" s="58"/>
      <c r="U7" s="58"/>
      <c r="V7" s="58"/>
      <c r="W7" s="58"/>
      <c r="X7" s="58" t="s">
        <v>51</v>
      </c>
      <c r="Y7" s="58"/>
      <c r="Z7" s="58"/>
      <c r="AA7" s="58"/>
      <c r="AB7" s="58"/>
      <c r="AC7" s="58" t="s">
        <v>51</v>
      </c>
      <c r="AD7" s="58"/>
      <c r="AE7" s="58"/>
      <c r="AF7" s="58"/>
      <c r="AG7" s="58"/>
      <c r="AH7" s="58"/>
      <c r="AI7" s="58"/>
    </row>
    <row r="8" spans="1:35" x14ac:dyDescent="0.35">
      <c r="A8" s="17" t="s">
        <v>46</v>
      </c>
      <c r="B8" s="17" t="s">
        <v>3292</v>
      </c>
      <c r="C8" s="28" t="s">
        <v>3293</v>
      </c>
      <c r="D8" s="17" t="s">
        <v>3303</v>
      </c>
      <c r="E8" s="17" t="s">
        <v>3304</v>
      </c>
      <c r="F8" s="20">
        <v>1012.97</v>
      </c>
      <c r="G8" s="20">
        <v>279</v>
      </c>
      <c r="H8" s="19">
        <v>1492</v>
      </c>
      <c r="I8" s="20">
        <v>744</v>
      </c>
      <c r="J8" s="20">
        <v>748</v>
      </c>
      <c r="K8" s="20">
        <v>334</v>
      </c>
      <c r="L8" s="57">
        <f t="shared" si="0"/>
        <v>0.22386058981233245</v>
      </c>
      <c r="M8" s="20">
        <v>12</v>
      </c>
      <c r="N8" s="57">
        <f t="shared" si="1"/>
        <v>8.0428954423592495E-3</v>
      </c>
      <c r="O8" s="46">
        <v>49.2</v>
      </c>
      <c r="P8" s="46">
        <v>0</v>
      </c>
      <c r="Q8" s="58" t="s">
        <v>51</v>
      </c>
      <c r="R8" s="58">
        <v>2019</v>
      </c>
      <c r="S8" s="58"/>
      <c r="T8" s="58"/>
      <c r="U8" s="58"/>
      <c r="V8" s="58"/>
      <c r="W8" s="58"/>
      <c r="X8" s="58" t="s">
        <v>51</v>
      </c>
      <c r="Y8" s="58"/>
      <c r="Z8" s="58"/>
      <c r="AA8" s="58"/>
      <c r="AB8" s="58"/>
      <c r="AC8" s="58" t="s">
        <v>51</v>
      </c>
      <c r="AD8" s="58"/>
      <c r="AE8" s="58"/>
      <c r="AF8" s="58"/>
      <c r="AG8" s="58"/>
      <c r="AH8" s="58"/>
      <c r="AI8" s="58"/>
    </row>
    <row r="9" spans="1:35" x14ac:dyDescent="0.35">
      <c r="A9" s="17" t="s">
        <v>46</v>
      </c>
      <c r="B9" s="17" t="s">
        <v>3292</v>
      </c>
      <c r="C9" s="28" t="s">
        <v>3293</v>
      </c>
      <c r="D9" s="17" t="s">
        <v>3305</v>
      </c>
      <c r="E9" s="17" t="s">
        <v>3306</v>
      </c>
      <c r="F9" s="20">
        <v>277.05</v>
      </c>
      <c r="G9" s="20">
        <v>139</v>
      </c>
      <c r="H9" s="19">
        <v>776</v>
      </c>
      <c r="I9" s="20">
        <v>380</v>
      </c>
      <c r="J9" s="20">
        <v>396</v>
      </c>
      <c r="K9" s="20">
        <v>322</v>
      </c>
      <c r="L9" s="57">
        <f t="shared" si="0"/>
        <v>0.41494845360824745</v>
      </c>
      <c r="M9" s="20">
        <v>5</v>
      </c>
      <c r="N9" s="57">
        <f t="shared" si="1"/>
        <v>6.4432989690721646E-3</v>
      </c>
      <c r="O9" s="46">
        <v>15</v>
      </c>
      <c r="P9" s="46">
        <v>0</v>
      </c>
      <c r="Q9" s="58" t="s">
        <v>51</v>
      </c>
      <c r="R9" s="58">
        <v>2019</v>
      </c>
      <c r="S9" s="58"/>
      <c r="T9" s="58"/>
      <c r="U9" s="58"/>
      <c r="V9" s="58"/>
      <c r="W9" s="58"/>
      <c r="X9" s="58" t="s">
        <v>51</v>
      </c>
      <c r="Y9" s="58"/>
      <c r="Z9" s="58"/>
      <c r="AA9" s="58"/>
      <c r="AB9" s="58"/>
      <c r="AC9" s="58" t="s">
        <v>51</v>
      </c>
      <c r="AD9" s="58"/>
      <c r="AE9" s="58"/>
      <c r="AF9" s="58"/>
      <c r="AG9" s="58"/>
      <c r="AH9" s="58"/>
      <c r="AI9" s="58"/>
    </row>
    <row r="10" spans="1:35" x14ac:dyDescent="0.35">
      <c r="A10" s="17" t="s">
        <v>46</v>
      </c>
      <c r="B10" s="17" t="s">
        <v>3292</v>
      </c>
      <c r="C10" s="28" t="s">
        <v>3307</v>
      </c>
      <c r="D10" s="17" t="s">
        <v>3308</v>
      </c>
      <c r="E10" s="17" t="s">
        <v>3309</v>
      </c>
      <c r="F10" s="20">
        <v>133.4</v>
      </c>
      <c r="G10" s="20">
        <v>15</v>
      </c>
      <c r="H10" s="19">
        <v>94</v>
      </c>
      <c r="I10" s="20">
        <v>41</v>
      </c>
      <c r="J10" s="20">
        <v>53</v>
      </c>
      <c r="K10" s="20">
        <v>0</v>
      </c>
      <c r="L10" s="57">
        <f t="shared" si="0"/>
        <v>0</v>
      </c>
      <c r="M10" s="20">
        <v>0</v>
      </c>
      <c r="N10" s="57">
        <f t="shared" si="1"/>
        <v>0</v>
      </c>
      <c r="O10" s="46">
        <v>30.2</v>
      </c>
      <c r="P10" s="46">
        <v>0</v>
      </c>
      <c r="Q10" s="58" t="s">
        <v>51</v>
      </c>
      <c r="R10" s="58">
        <v>2019</v>
      </c>
      <c r="S10" s="58"/>
      <c r="T10" s="58"/>
      <c r="U10" s="58"/>
      <c r="V10" s="58"/>
      <c r="W10" s="58"/>
      <c r="X10" s="58" t="s">
        <v>51</v>
      </c>
      <c r="Y10" s="58"/>
      <c r="Z10" s="58"/>
      <c r="AA10" s="58"/>
      <c r="AB10" s="58"/>
      <c r="AC10" s="58" t="s">
        <v>51</v>
      </c>
      <c r="AD10" s="58"/>
      <c r="AE10" s="58"/>
      <c r="AF10" s="58"/>
      <c r="AG10" s="58"/>
      <c r="AH10" s="58"/>
      <c r="AI10" s="58"/>
    </row>
    <row r="11" spans="1:35" x14ac:dyDescent="0.35">
      <c r="A11" s="17" t="s">
        <v>46</v>
      </c>
      <c r="B11" s="17" t="s">
        <v>3292</v>
      </c>
      <c r="C11" s="28" t="s">
        <v>3293</v>
      </c>
      <c r="D11" s="17" t="s">
        <v>1346</v>
      </c>
      <c r="E11" s="17" t="s">
        <v>3310</v>
      </c>
      <c r="F11" s="20">
        <v>254.7</v>
      </c>
      <c r="G11" s="20">
        <v>130</v>
      </c>
      <c r="H11" s="19">
        <v>663</v>
      </c>
      <c r="I11" s="20">
        <v>341</v>
      </c>
      <c r="J11" s="20">
        <v>322</v>
      </c>
      <c r="K11" s="20">
        <v>82</v>
      </c>
      <c r="L11" s="57">
        <f t="shared" si="0"/>
        <v>0.12368024132730016</v>
      </c>
      <c r="M11" s="20">
        <v>48</v>
      </c>
      <c r="N11" s="57">
        <f t="shared" si="1"/>
        <v>7.2398190045248875E-2</v>
      </c>
      <c r="O11" s="46">
        <v>30.6</v>
      </c>
      <c r="P11" s="46">
        <v>0</v>
      </c>
      <c r="Q11" s="58" t="s">
        <v>51</v>
      </c>
      <c r="R11" s="58">
        <v>2019</v>
      </c>
      <c r="S11" s="58"/>
      <c r="T11" s="58"/>
      <c r="U11" s="58"/>
      <c r="V11" s="58"/>
      <c r="W11" s="58"/>
      <c r="X11" s="58" t="s">
        <v>51</v>
      </c>
      <c r="Y11" s="58"/>
      <c r="Z11" s="58"/>
      <c r="AA11" s="58"/>
      <c r="AB11" s="58"/>
      <c r="AC11" s="58" t="s">
        <v>51</v>
      </c>
      <c r="AD11" s="58"/>
      <c r="AE11" s="58"/>
      <c r="AF11" s="58"/>
      <c r="AG11" s="58"/>
      <c r="AH11" s="58"/>
      <c r="AI11" s="58"/>
    </row>
    <row r="12" spans="1:35" x14ac:dyDescent="0.35">
      <c r="A12" s="17" t="s">
        <v>46</v>
      </c>
      <c r="B12" s="17" t="s">
        <v>3292</v>
      </c>
      <c r="C12" s="28" t="s">
        <v>3293</v>
      </c>
      <c r="D12" s="17" t="s">
        <v>151</v>
      </c>
      <c r="E12" s="17" t="s">
        <v>3311</v>
      </c>
      <c r="F12" s="20">
        <v>208.8</v>
      </c>
      <c r="G12" s="20">
        <v>27</v>
      </c>
      <c r="H12" s="19">
        <v>132</v>
      </c>
      <c r="I12" s="20">
        <v>61</v>
      </c>
      <c r="J12" s="20">
        <v>71</v>
      </c>
      <c r="K12" s="20">
        <v>57</v>
      </c>
      <c r="L12" s="57">
        <f t="shared" si="0"/>
        <v>0.43181818181818182</v>
      </c>
      <c r="M12" s="20">
        <v>21</v>
      </c>
      <c r="N12" s="57">
        <f t="shared" si="1"/>
        <v>0.15909090909090909</v>
      </c>
      <c r="O12" s="46">
        <v>10.6</v>
      </c>
      <c r="P12" s="46">
        <v>0</v>
      </c>
      <c r="Q12" s="58" t="s">
        <v>51</v>
      </c>
      <c r="R12" s="58">
        <v>2019</v>
      </c>
      <c r="S12" s="58"/>
      <c r="T12" s="58"/>
      <c r="U12" s="58"/>
      <c r="V12" s="58"/>
      <c r="W12" s="58"/>
      <c r="X12" s="58" t="s">
        <v>51</v>
      </c>
      <c r="Y12" s="58"/>
      <c r="Z12" s="58"/>
      <c r="AA12" s="58"/>
      <c r="AB12" s="58"/>
      <c r="AC12" s="58" t="s">
        <v>51</v>
      </c>
      <c r="AD12" s="58"/>
      <c r="AE12" s="58"/>
      <c r="AF12" s="58"/>
      <c r="AG12" s="58"/>
      <c r="AH12" s="58"/>
      <c r="AI12" s="58"/>
    </row>
    <row r="13" spans="1:35" x14ac:dyDescent="0.35">
      <c r="A13" s="17" t="s">
        <v>46</v>
      </c>
      <c r="B13" s="17" t="s">
        <v>3292</v>
      </c>
      <c r="C13" s="28" t="s">
        <v>3312</v>
      </c>
      <c r="D13" s="17" t="s">
        <v>3313</v>
      </c>
      <c r="E13" s="17" t="s">
        <v>3314</v>
      </c>
      <c r="F13" s="20">
        <v>573</v>
      </c>
      <c r="G13" s="20">
        <v>233</v>
      </c>
      <c r="H13" s="19">
        <v>1234</v>
      </c>
      <c r="I13" s="20">
        <v>615</v>
      </c>
      <c r="J13" s="20">
        <v>619</v>
      </c>
      <c r="K13" s="20">
        <v>186</v>
      </c>
      <c r="L13" s="57">
        <f t="shared" si="0"/>
        <v>0.1507293354943274</v>
      </c>
      <c r="M13" s="20">
        <v>21</v>
      </c>
      <c r="N13" s="57">
        <f t="shared" si="1"/>
        <v>1.7017828200972446E-2</v>
      </c>
      <c r="O13" s="46">
        <v>106</v>
      </c>
      <c r="P13" s="46">
        <v>0</v>
      </c>
      <c r="Q13" s="58" t="s">
        <v>51</v>
      </c>
      <c r="R13" s="58">
        <v>2020</v>
      </c>
      <c r="S13" s="58"/>
      <c r="T13" s="58"/>
      <c r="U13" s="58"/>
      <c r="V13" s="58"/>
      <c r="W13" s="58"/>
      <c r="X13" s="58" t="s">
        <v>51</v>
      </c>
      <c r="Y13" s="58"/>
      <c r="Z13" s="58"/>
      <c r="AA13" s="58"/>
      <c r="AB13" s="58"/>
      <c r="AC13" s="58" t="s">
        <v>51</v>
      </c>
      <c r="AD13" s="58"/>
      <c r="AE13" s="58"/>
      <c r="AF13" s="58"/>
      <c r="AG13" s="58"/>
      <c r="AH13" s="58"/>
      <c r="AI13" s="58"/>
    </row>
    <row r="14" spans="1:35" x14ac:dyDescent="0.35">
      <c r="A14" s="17" t="s">
        <v>46</v>
      </c>
      <c r="B14" s="17" t="s">
        <v>3292</v>
      </c>
      <c r="C14" s="28" t="s">
        <v>3312</v>
      </c>
      <c r="D14" s="17" t="s">
        <v>3315</v>
      </c>
      <c r="E14" s="17" t="s">
        <v>3316</v>
      </c>
      <c r="F14" s="20">
        <v>411</v>
      </c>
      <c r="G14" s="20">
        <v>138</v>
      </c>
      <c r="H14" s="19">
        <v>717</v>
      </c>
      <c r="I14" s="20">
        <v>364</v>
      </c>
      <c r="J14" s="20">
        <v>353</v>
      </c>
      <c r="K14" s="20">
        <v>150</v>
      </c>
      <c r="L14" s="57">
        <f t="shared" si="0"/>
        <v>0.20920502092050208</v>
      </c>
      <c r="M14" s="20">
        <v>60</v>
      </c>
      <c r="N14" s="57">
        <f t="shared" si="1"/>
        <v>8.3682008368200833E-2</v>
      </c>
      <c r="O14" s="46">
        <v>88</v>
      </c>
      <c r="P14" s="46">
        <v>0</v>
      </c>
      <c r="Q14" s="58" t="s">
        <v>51</v>
      </c>
      <c r="R14" s="58">
        <v>2019</v>
      </c>
      <c r="S14" s="58"/>
      <c r="T14" s="58"/>
      <c r="U14" s="58"/>
      <c r="V14" s="58"/>
      <c r="W14" s="58"/>
      <c r="X14" s="58" t="s">
        <v>51</v>
      </c>
      <c r="Y14" s="58"/>
      <c r="Z14" s="58"/>
      <c r="AA14" s="58"/>
      <c r="AB14" s="58"/>
      <c r="AC14" s="58" t="s">
        <v>51</v>
      </c>
      <c r="AD14" s="58"/>
      <c r="AE14" s="58"/>
      <c r="AF14" s="58"/>
      <c r="AG14" s="58"/>
      <c r="AH14" s="58"/>
      <c r="AI14" s="58"/>
    </row>
    <row r="15" spans="1:35" x14ac:dyDescent="0.35">
      <c r="A15" s="17" t="s">
        <v>46</v>
      </c>
      <c r="B15" s="17" t="s">
        <v>3292</v>
      </c>
      <c r="C15" s="28" t="s">
        <v>3312</v>
      </c>
      <c r="D15" s="17" t="s">
        <v>3104</v>
      </c>
      <c r="E15" s="17" t="s">
        <v>3317</v>
      </c>
      <c r="F15" s="20">
        <v>962</v>
      </c>
      <c r="G15" s="20">
        <v>379</v>
      </c>
      <c r="H15" s="19">
        <v>1732</v>
      </c>
      <c r="I15" s="20">
        <v>875</v>
      </c>
      <c r="J15" s="20">
        <v>857</v>
      </c>
      <c r="K15" s="20">
        <v>388</v>
      </c>
      <c r="L15" s="57">
        <f t="shared" si="0"/>
        <v>0.22401847575057737</v>
      </c>
      <c r="M15" s="20">
        <v>37</v>
      </c>
      <c r="N15" s="57">
        <f t="shared" si="1"/>
        <v>2.1362586605080832E-2</v>
      </c>
      <c r="O15" s="46">
        <v>95</v>
      </c>
      <c r="P15" s="46">
        <v>0</v>
      </c>
      <c r="Q15" s="58" t="s">
        <v>51</v>
      </c>
      <c r="R15" s="58">
        <v>2019</v>
      </c>
      <c r="S15" s="58"/>
      <c r="T15" s="58"/>
      <c r="U15" s="58"/>
      <c r="V15" s="58"/>
      <c r="W15" s="58"/>
      <c r="X15" s="58" t="s">
        <v>51</v>
      </c>
      <c r="Y15" s="58"/>
      <c r="Z15" s="58"/>
      <c r="AA15" s="58"/>
      <c r="AB15" s="58"/>
      <c r="AC15" s="58" t="s">
        <v>51</v>
      </c>
      <c r="AD15" s="58"/>
      <c r="AE15" s="58"/>
      <c r="AF15" s="58"/>
      <c r="AG15" s="58"/>
      <c r="AH15" s="58"/>
      <c r="AI15" s="58"/>
    </row>
    <row r="16" spans="1:35" x14ac:dyDescent="0.35">
      <c r="A16" s="17" t="s">
        <v>46</v>
      </c>
      <c r="B16" s="17" t="s">
        <v>3292</v>
      </c>
      <c r="C16" s="28" t="s">
        <v>3318</v>
      </c>
      <c r="D16" s="17" t="s">
        <v>3319</v>
      </c>
      <c r="E16" s="17" t="s">
        <v>3320</v>
      </c>
      <c r="F16" s="20">
        <v>1631</v>
      </c>
      <c r="G16" s="20">
        <v>579</v>
      </c>
      <c r="H16" s="19">
        <v>2914</v>
      </c>
      <c r="I16" s="20">
        <v>1442</v>
      </c>
      <c r="J16" s="20">
        <v>1472</v>
      </c>
      <c r="K16" s="20">
        <v>356</v>
      </c>
      <c r="L16" s="57">
        <f t="shared" si="0"/>
        <v>0.12216884008236102</v>
      </c>
      <c r="M16" s="20">
        <v>257</v>
      </c>
      <c r="N16" s="57">
        <f t="shared" si="1"/>
        <v>8.8194921070693211E-2</v>
      </c>
      <c r="O16" s="46">
        <v>199</v>
      </c>
      <c r="P16" s="46">
        <v>0</v>
      </c>
      <c r="Q16" s="58" t="s">
        <v>51</v>
      </c>
      <c r="R16" s="58">
        <v>2019</v>
      </c>
      <c r="S16" s="58"/>
      <c r="T16" s="58"/>
      <c r="U16" s="58"/>
      <c r="V16" s="58"/>
      <c r="W16" s="58"/>
      <c r="X16" s="58" t="s">
        <v>51</v>
      </c>
      <c r="Y16" s="58"/>
      <c r="Z16" s="58"/>
      <c r="AA16" s="58"/>
      <c r="AB16" s="58"/>
      <c r="AC16" s="58" t="s">
        <v>51</v>
      </c>
      <c r="AD16" s="58"/>
      <c r="AE16" s="58"/>
      <c r="AF16" s="58"/>
      <c r="AG16" s="58"/>
      <c r="AH16" s="58"/>
      <c r="AI16" s="58"/>
    </row>
    <row r="17" spans="1:35" x14ac:dyDescent="0.35">
      <c r="A17" s="17" t="s">
        <v>46</v>
      </c>
      <c r="B17" s="17" t="s">
        <v>3292</v>
      </c>
      <c r="C17" s="28" t="s">
        <v>3318</v>
      </c>
      <c r="D17" s="17" t="s">
        <v>3321</v>
      </c>
      <c r="E17" s="17" t="s">
        <v>3322</v>
      </c>
      <c r="F17" s="20">
        <v>446</v>
      </c>
      <c r="G17" s="20">
        <v>199</v>
      </c>
      <c r="H17" s="19">
        <v>926</v>
      </c>
      <c r="I17" s="20">
        <v>465</v>
      </c>
      <c r="J17" s="20">
        <v>461</v>
      </c>
      <c r="K17" s="20">
        <v>447</v>
      </c>
      <c r="L17" s="57">
        <f t="shared" si="0"/>
        <v>0.48272138228941686</v>
      </c>
      <c r="M17" s="20">
        <v>61</v>
      </c>
      <c r="N17" s="57">
        <f t="shared" si="1"/>
        <v>6.5874730021598271E-2</v>
      </c>
      <c r="O17" s="46">
        <v>69</v>
      </c>
      <c r="P17" s="46">
        <v>0</v>
      </c>
      <c r="Q17" s="58" t="s">
        <v>51</v>
      </c>
      <c r="R17" s="58">
        <v>2019</v>
      </c>
      <c r="S17" s="58"/>
      <c r="T17" s="58"/>
      <c r="U17" s="58"/>
      <c r="V17" s="58"/>
      <c r="W17" s="58"/>
      <c r="X17" s="58" t="s">
        <v>51</v>
      </c>
      <c r="Y17" s="58"/>
      <c r="Z17" s="58"/>
      <c r="AA17" s="58"/>
      <c r="AB17" s="58"/>
      <c r="AC17" s="58" t="s">
        <v>51</v>
      </c>
      <c r="AD17" s="58"/>
      <c r="AE17" s="58"/>
      <c r="AF17" s="58"/>
      <c r="AG17" s="58"/>
      <c r="AH17" s="58"/>
      <c r="AI17" s="58"/>
    </row>
    <row r="18" spans="1:35" x14ac:dyDescent="0.35">
      <c r="A18" s="17" t="s">
        <v>46</v>
      </c>
      <c r="B18" s="17" t="s">
        <v>3292</v>
      </c>
      <c r="C18" s="28" t="s">
        <v>3323</v>
      </c>
      <c r="D18" s="17" t="s">
        <v>3324</v>
      </c>
      <c r="E18" s="17" t="s">
        <v>3325</v>
      </c>
      <c r="F18" s="20">
        <v>1273.1300000000001</v>
      </c>
      <c r="G18" s="20">
        <v>557</v>
      </c>
      <c r="H18" s="19">
        <v>2826</v>
      </c>
      <c r="I18" s="20">
        <v>1390</v>
      </c>
      <c r="J18" s="20">
        <v>1436</v>
      </c>
      <c r="K18" s="20">
        <v>892</v>
      </c>
      <c r="L18" s="57">
        <f t="shared" si="0"/>
        <v>0.31564048124557681</v>
      </c>
      <c r="M18" s="20">
        <v>8</v>
      </c>
      <c r="N18" s="57">
        <f t="shared" si="1"/>
        <v>2.8308563340410475E-3</v>
      </c>
      <c r="O18" s="46">
        <v>227.01</v>
      </c>
      <c r="P18" s="46">
        <v>0</v>
      </c>
      <c r="Q18" s="58" t="s">
        <v>51</v>
      </c>
      <c r="R18" s="58">
        <v>2021</v>
      </c>
      <c r="S18" s="58"/>
      <c r="T18" s="58"/>
      <c r="U18" s="58"/>
      <c r="V18" s="58"/>
      <c r="W18" s="58"/>
      <c r="X18" s="58" t="s">
        <v>51</v>
      </c>
      <c r="Y18" s="58"/>
      <c r="Z18" s="58"/>
      <c r="AA18" s="58"/>
      <c r="AB18" s="58"/>
      <c r="AC18" s="58" t="s">
        <v>51</v>
      </c>
      <c r="AD18" s="58"/>
      <c r="AE18" s="58"/>
      <c r="AF18" s="58"/>
      <c r="AG18" s="58"/>
      <c r="AH18" s="58"/>
      <c r="AI18" s="58"/>
    </row>
    <row r="19" spans="1:35" x14ac:dyDescent="0.35">
      <c r="A19" s="17" t="s">
        <v>46</v>
      </c>
      <c r="B19" s="17" t="s">
        <v>3292</v>
      </c>
      <c r="C19" s="28" t="s">
        <v>3323</v>
      </c>
      <c r="D19" s="17" t="s">
        <v>3326</v>
      </c>
      <c r="E19" s="17" t="s">
        <v>3327</v>
      </c>
      <c r="F19" s="20">
        <v>116.21</v>
      </c>
      <c r="G19" s="20">
        <v>10</v>
      </c>
      <c r="H19" s="19">
        <v>50</v>
      </c>
      <c r="I19" s="20">
        <v>24</v>
      </c>
      <c r="J19" s="20">
        <v>26</v>
      </c>
      <c r="K19" s="20">
        <v>0</v>
      </c>
      <c r="L19" s="57">
        <f t="shared" si="0"/>
        <v>0</v>
      </c>
      <c r="M19" s="20">
        <v>0</v>
      </c>
      <c r="N19" s="57">
        <f t="shared" si="1"/>
        <v>0</v>
      </c>
      <c r="O19" s="46">
        <v>4.05</v>
      </c>
      <c r="P19" s="46">
        <v>0</v>
      </c>
      <c r="Q19" s="58" t="s">
        <v>51</v>
      </c>
      <c r="R19" s="58">
        <v>2020</v>
      </c>
      <c r="S19" s="58"/>
      <c r="T19" s="58"/>
      <c r="U19" s="58"/>
      <c r="V19" s="58"/>
      <c r="W19" s="58"/>
      <c r="X19" s="58" t="s">
        <v>51</v>
      </c>
      <c r="Y19" s="58"/>
      <c r="Z19" s="58"/>
      <c r="AA19" s="58"/>
      <c r="AB19" s="58"/>
      <c r="AC19" s="58" t="s">
        <v>51</v>
      </c>
      <c r="AD19" s="58"/>
      <c r="AE19" s="58"/>
      <c r="AF19" s="58"/>
      <c r="AG19" s="58"/>
      <c r="AH19" s="58"/>
      <c r="AI19" s="58"/>
    </row>
    <row r="20" spans="1:35" x14ac:dyDescent="0.35">
      <c r="A20" s="17" t="s">
        <v>46</v>
      </c>
      <c r="B20" s="17" t="s">
        <v>3292</v>
      </c>
      <c r="C20" s="28" t="s">
        <v>3323</v>
      </c>
      <c r="D20" s="17" t="s">
        <v>3328</v>
      </c>
      <c r="E20" s="17" t="s">
        <v>3329</v>
      </c>
      <c r="F20" s="20">
        <v>182.29</v>
      </c>
      <c r="G20" s="20">
        <v>93</v>
      </c>
      <c r="H20" s="19">
        <v>384</v>
      </c>
      <c r="I20" s="20">
        <v>203</v>
      </c>
      <c r="J20" s="20">
        <v>181</v>
      </c>
      <c r="K20" s="20">
        <v>69</v>
      </c>
      <c r="L20" s="57">
        <f t="shared" si="0"/>
        <v>0.1796875</v>
      </c>
      <c r="M20" s="20">
        <v>12</v>
      </c>
      <c r="N20" s="57">
        <f t="shared" si="1"/>
        <v>3.125E-2</v>
      </c>
      <c r="O20" s="46">
        <v>23.05</v>
      </c>
      <c r="P20" s="46">
        <v>0</v>
      </c>
      <c r="Q20" s="58" t="s">
        <v>51</v>
      </c>
      <c r="R20" s="58">
        <v>2019</v>
      </c>
      <c r="S20" s="58"/>
      <c r="T20" s="58"/>
      <c r="U20" s="58"/>
      <c r="V20" s="58"/>
      <c r="W20" s="58"/>
      <c r="X20" s="58" t="s">
        <v>51</v>
      </c>
      <c r="Y20" s="58"/>
      <c r="Z20" s="58"/>
      <c r="AA20" s="58"/>
      <c r="AB20" s="58"/>
      <c r="AC20" s="58" t="s">
        <v>51</v>
      </c>
      <c r="AD20" s="58"/>
      <c r="AE20" s="58"/>
      <c r="AF20" s="58"/>
      <c r="AG20" s="58"/>
      <c r="AH20" s="58"/>
      <c r="AI20" s="58"/>
    </row>
    <row r="21" spans="1:35" x14ac:dyDescent="0.35">
      <c r="A21" s="17" t="s">
        <v>46</v>
      </c>
      <c r="B21" s="17" t="s">
        <v>3292</v>
      </c>
      <c r="C21" s="28" t="s">
        <v>3323</v>
      </c>
      <c r="D21" s="17" t="s">
        <v>3330</v>
      </c>
      <c r="E21" s="17" t="s">
        <v>3331</v>
      </c>
      <c r="F21" s="20">
        <v>168.27</v>
      </c>
      <c r="G21" s="20">
        <v>104</v>
      </c>
      <c r="H21" s="19">
        <v>461</v>
      </c>
      <c r="I21" s="20">
        <v>246</v>
      </c>
      <c r="J21" s="20">
        <v>215</v>
      </c>
      <c r="K21" s="20">
        <v>204</v>
      </c>
      <c r="L21" s="57">
        <f t="shared" si="0"/>
        <v>0.44251626898047725</v>
      </c>
      <c r="M21" s="20">
        <v>11</v>
      </c>
      <c r="N21" s="57">
        <f t="shared" si="1"/>
        <v>2.3861171366594359E-2</v>
      </c>
      <c r="O21" s="46">
        <v>21.06</v>
      </c>
      <c r="P21" s="46">
        <v>0</v>
      </c>
      <c r="Q21" s="58" t="s">
        <v>51</v>
      </c>
      <c r="R21" s="58">
        <v>2020</v>
      </c>
      <c r="S21" s="58"/>
      <c r="T21" s="58"/>
      <c r="U21" s="58"/>
      <c r="V21" s="58"/>
      <c r="W21" s="58"/>
      <c r="X21" s="58" t="s">
        <v>51</v>
      </c>
      <c r="Y21" s="58"/>
      <c r="Z21" s="58"/>
      <c r="AA21" s="58"/>
      <c r="AB21" s="58"/>
      <c r="AC21" s="58" t="s">
        <v>51</v>
      </c>
      <c r="AD21" s="58"/>
      <c r="AE21" s="58"/>
      <c r="AF21" s="58"/>
      <c r="AG21" s="58"/>
      <c r="AH21" s="58"/>
      <c r="AI21" s="58"/>
    </row>
    <row r="22" spans="1:35" x14ac:dyDescent="0.35">
      <c r="A22" s="17" t="s">
        <v>46</v>
      </c>
      <c r="B22" s="17" t="s">
        <v>3292</v>
      </c>
      <c r="C22" s="28" t="s">
        <v>3332</v>
      </c>
      <c r="D22" s="17" t="s">
        <v>364</v>
      </c>
      <c r="E22" s="17" t="s">
        <v>3333</v>
      </c>
      <c r="F22" s="20">
        <v>180.27</v>
      </c>
      <c r="G22" s="20">
        <v>94</v>
      </c>
      <c r="H22" s="19">
        <v>463</v>
      </c>
      <c r="I22" s="20">
        <v>236</v>
      </c>
      <c r="J22" s="20">
        <v>227</v>
      </c>
      <c r="K22" s="20">
        <v>31</v>
      </c>
      <c r="L22" s="57">
        <f t="shared" si="0"/>
        <v>6.6954643628509725E-2</v>
      </c>
      <c r="M22" s="20">
        <v>87</v>
      </c>
      <c r="N22" s="57">
        <f t="shared" si="1"/>
        <v>0.18790496760259179</v>
      </c>
      <c r="O22" s="46">
        <v>0</v>
      </c>
      <c r="P22" s="46">
        <v>0</v>
      </c>
      <c r="Q22" s="58" t="s">
        <v>51</v>
      </c>
      <c r="R22" s="58">
        <v>2019</v>
      </c>
      <c r="S22" s="58"/>
      <c r="T22" s="58"/>
      <c r="U22" s="58"/>
      <c r="V22" s="58"/>
      <c r="W22" s="58"/>
      <c r="X22" s="58" t="s">
        <v>51</v>
      </c>
      <c r="Y22" s="58"/>
      <c r="Z22" s="58"/>
      <c r="AA22" s="58"/>
      <c r="AB22" s="58"/>
      <c r="AC22" s="58" t="s">
        <v>51</v>
      </c>
      <c r="AD22" s="58"/>
      <c r="AE22" s="58"/>
      <c r="AF22" s="58"/>
      <c r="AG22" s="58"/>
      <c r="AH22" s="58"/>
      <c r="AI22" s="58"/>
    </row>
    <row r="23" spans="1:35" x14ac:dyDescent="0.35">
      <c r="A23" s="17" t="s">
        <v>46</v>
      </c>
      <c r="B23" s="17" t="s">
        <v>3292</v>
      </c>
      <c r="C23" s="28" t="s">
        <v>3334</v>
      </c>
      <c r="D23" s="17" t="s">
        <v>3335</v>
      </c>
      <c r="E23" s="17" t="s">
        <v>3336</v>
      </c>
      <c r="F23" s="20">
        <v>150.27000000000001</v>
      </c>
      <c r="G23" s="20">
        <v>47</v>
      </c>
      <c r="H23" s="19">
        <v>221</v>
      </c>
      <c r="I23" s="20">
        <v>120</v>
      </c>
      <c r="J23" s="20">
        <v>101</v>
      </c>
      <c r="K23" s="20">
        <v>14</v>
      </c>
      <c r="L23" s="57">
        <f t="shared" si="0"/>
        <v>6.3348416289592757E-2</v>
      </c>
      <c r="M23" s="20">
        <v>40</v>
      </c>
      <c r="N23" s="57">
        <f t="shared" si="1"/>
        <v>0.18099547511312217</v>
      </c>
      <c r="O23" s="46">
        <v>15.06</v>
      </c>
      <c r="P23" s="46">
        <v>0</v>
      </c>
      <c r="Q23" s="58" t="s">
        <v>51</v>
      </c>
      <c r="R23" s="58">
        <v>2019</v>
      </c>
      <c r="S23" s="58"/>
      <c r="T23" s="58"/>
      <c r="U23" s="58"/>
      <c r="V23" s="58"/>
      <c r="W23" s="58"/>
      <c r="X23" s="58" t="s">
        <v>51</v>
      </c>
      <c r="Y23" s="58"/>
      <c r="Z23" s="58"/>
      <c r="AA23" s="58"/>
      <c r="AB23" s="58"/>
      <c r="AC23" s="58" t="s">
        <v>51</v>
      </c>
      <c r="AD23" s="58"/>
      <c r="AE23" s="58"/>
      <c r="AF23" s="58"/>
      <c r="AG23" s="58"/>
      <c r="AH23" s="58"/>
      <c r="AI23" s="58"/>
    </row>
    <row r="24" spans="1:35" x14ac:dyDescent="0.35">
      <c r="A24" s="17" t="s">
        <v>46</v>
      </c>
      <c r="B24" s="17" t="s">
        <v>3292</v>
      </c>
      <c r="C24" s="28" t="s">
        <v>3334</v>
      </c>
      <c r="D24" s="17" t="s">
        <v>3337</v>
      </c>
      <c r="E24" s="17" t="s">
        <v>3338</v>
      </c>
      <c r="F24" s="20">
        <v>1349.31</v>
      </c>
      <c r="G24" s="20">
        <v>347</v>
      </c>
      <c r="H24" s="19">
        <v>1660</v>
      </c>
      <c r="I24" s="20">
        <v>832</v>
      </c>
      <c r="J24" s="20">
        <v>828</v>
      </c>
      <c r="K24" s="20">
        <v>187</v>
      </c>
      <c r="L24" s="57">
        <f t="shared" si="0"/>
        <v>0.11265060240963855</v>
      </c>
      <c r="M24" s="20">
        <v>0</v>
      </c>
      <c r="N24" s="57">
        <f t="shared" si="1"/>
        <v>0</v>
      </c>
      <c r="O24" s="46">
        <v>124.06</v>
      </c>
      <c r="P24" s="46">
        <v>0</v>
      </c>
      <c r="Q24" s="58" t="s">
        <v>51</v>
      </c>
      <c r="R24" s="58">
        <v>2019</v>
      </c>
      <c r="S24" s="58"/>
      <c r="T24" s="58"/>
      <c r="U24" s="58"/>
      <c r="V24" s="58"/>
      <c r="W24" s="58"/>
      <c r="X24" s="58" t="s">
        <v>51</v>
      </c>
      <c r="Y24" s="58"/>
      <c r="Z24" s="58"/>
      <c r="AA24" s="58"/>
      <c r="AB24" s="58"/>
      <c r="AC24" s="58" t="s">
        <v>51</v>
      </c>
      <c r="AD24" s="58"/>
      <c r="AE24" s="58"/>
      <c r="AF24" s="58"/>
      <c r="AG24" s="58"/>
      <c r="AH24" s="58"/>
      <c r="AI24" s="58"/>
    </row>
    <row r="25" spans="1:35" x14ac:dyDescent="0.35">
      <c r="A25" s="17" t="s">
        <v>46</v>
      </c>
      <c r="B25" s="17" t="s">
        <v>3292</v>
      </c>
      <c r="C25" s="28" t="s">
        <v>3334</v>
      </c>
      <c r="D25" s="17" t="s">
        <v>3339</v>
      </c>
      <c r="E25" s="17" t="s">
        <v>3340</v>
      </c>
      <c r="F25" s="20">
        <v>685.36</v>
      </c>
      <c r="G25" s="20">
        <v>220</v>
      </c>
      <c r="H25" s="19">
        <v>1045</v>
      </c>
      <c r="I25" s="20">
        <v>517</v>
      </c>
      <c r="J25" s="20">
        <v>528</v>
      </c>
      <c r="K25" s="20">
        <v>115</v>
      </c>
      <c r="L25" s="57">
        <f t="shared" si="0"/>
        <v>0.11004784688995216</v>
      </c>
      <c r="M25" s="20">
        <v>0</v>
      </c>
      <c r="N25" s="57">
        <f t="shared" si="1"/>
        <v>0</v>
      </c>
      <c r="O25" s="46">
        <v>0</v>
      </c>
      <c r="P25" s="46">
        <v>0</v>
      </c>
      <c r="Q25" s="58" t="s">
        <v>51</v>
      </c>
      <c r="R25" s="58">
        <v>2019</v>
      </c>
      <c r="S25" s="58"/>
      <c r="T25" s="58"/>
      <c r="U25" s="58"/>
      <c r="V25" s="58"/>
      <c r="W25" s="58"/>
      <c r="X25" s="58" t="s">
        <v>51</v>
      </c>
      <c r="Y25" s="58"/>
      <c r="Z25" s="58"/>
      <c r="AA25" s="58"/>
      <c r="AB25" s="58"/>
      <c r="AC25" s="58" t="s">
        <v>51</v>
      </c>
      <c r="AD25" s="58"/>
      <c r="AE25" s="58"/>
      <c r="AF25" s="58"/>
      <c r="AG25" s="58"/>
      <c r="AH25" s="58"/>
      <c r="AI25" s="58"/>
    </row>
    <row r="26" spans="1:35" x14ac:dyDescent="0.35">
      <c r="A26" s="17" t="s">
        <v>46</v>
      </c>
      <c r="B26" s="17" t="s">
        <v>3292</v>
      </c>
      <c r="C26" s="28" t="s">
        <v>3341</v>
      </c>
      <c r="D26" s="17" t="s">
        <v>3342</v>
      </c>
      <c r="E26" s="17" t="s">
        <v>3343</v>
      </c>
      <c r="F26" s="20">
        <v>1480</v>
      </c>
      <c r="G26" s="20">
        <v>459</v>
      </c>
      <c r="H26" s="19">
        <v>2181</v>
      </c>
      <c r="I26" s="20">
        <v>1097</v>
      </c>
      <c r="J26" s="20">
        <v>1084</v>
      </c>
      <c r="K26" s="20">
        <v>457</v>
      </c>
      <c r="L26" s="57">
        <f t="shared" si="0"/>
        <v>0.20953690967446126</v>
      </c>
      <c r="M26" s="20">
        <v>2</v>
      </c>
      <c r="N26" s="57">
        <f t="shared" si="1"/>
        <v>9.1701054562127462E-4</v>
      </c>
      <c r="O26" s="46">
        <v>121</v>
      </c>
      <c r="P26" s="46">
        <v>0</v>
      </c>
      <c r="Q26" s="58" t="s">
        <v>51</v>
      </c>
      <c r="R26" s="58">
        <v>2019</v>
      </c>
      <c r="S26" s="58"/>
      <c r="T26" s="58"/>
      <c r="U26" s="58"/>
      <c r="V26" s="58"/>
      <c r="W26" s="58"/>
      <c r="X26" s="58" t="s">
        <v>51</v>
      </c>
      <c r="Y26" s="58"/>
      <c r="Z26" s="58"/>
      <c r="AA26" s="58"/>
      <c r="AB26" s="58"/>
      <c r="AC26" s="58" t="s">
        <v>51</v>
      </c>
      <c r="AD26" s="58"/>
      <c r="AE26" s="58"/>
      <c r="AF26" s="58"/>
      <c r="AG26" s="58"/>
      <c r="AH26" s="58"/>
      <c r="AI26" s="58"/>
    </row>
    <row r="27" spans="1:35" x14ac:dyDescent="0.35">
      <c r="A27" s="17" t="s">
        <v>46</v>
      </c>
      <c r="B27" s="17" t="s">
        <v>3292</v>
      </c>
      <c r="C27" s="28" t="s">
        <v>3341</v>
      </c>
      <c r="D27" s="17" t="s">
        <v>3344</v>
      </c>
      <c r="E27" s="17" t="s">
        <v>3345</v>
      </c>
      <c r="F27" s="20">
        <v>261</v>
      </c>
      <c r="G27" s="20">
        <v>120</v>
      </c>
      <c r="H27" s="19">
        <v>496</v>
      </c>
      <c r="I27" s="20">
        <v>250</v>
      </c>
      <c r="J27" s="20">
        <v>246</v>
      </c>
      <c r="K27" s="20">
        <v>185</v>
      </c>
      <c r="L27" s="57">
        <f t="shared" si="0"/>
        <v>0.37298387096774194</v>
      </c>
      <c r="M27" s="20">
        <v>93</v>
      </c>
      <c r="N27" s="57">
        <f t="shared" si="1"/>
        <v>0.1875</v>
      </c>
      <c r="O27" s="46">
        <v>49</v>
      </c>
      <c r="P27" s="46">
        <v>0</v>
      </c>
      <c r="Q27" s="58" t="s">
        <v>51</v>
      </c>
      <c r="R27" s="58">
        <v>2019</v>
      </c>
      <c r="S27" s="58"/>
      <c r="T27" s="58"/>
      <c r="U27" s="58"/>
      <c r="V27" s="58"/>
      <c r="W27" s="58"/>
      <c r="X27" s="58" t="s">
        <v>51</v>
      </c>
      <c r="Y27" s="58"/>
      <c r="Z27" s="58"/>
      <c r="AA27" s="58"/>
      <c r="AB27" s="58"/>
      <c r="AC27" s="58" t="s">
        <v>51</v>
      </c>
      <c r="AD27" s="58"/>
      <c r="AE27" s="58"/>
      <c r="AF27" s="58"/>
      <c r="AG27" s="58"/>
      <c r="AH27" s="58"/>
      <c r="AI27" s="58"/>
    </row>
    <row r="28" spans="1:35" x14ac:dyDescent="0.35">
      <c r="A28" s="17" t="s">
        <v>46</v>
      </c>
      <c r="B28" s="17" t="s">
        <v>3292</v>
      </c>
      <c r="C28" s="28" t="s">
        <v>1454</v>
      </c>
      <c r="D28" s="17" t="s">
        <v>3346</v>
      </c>
      <c r="E28" s="17" t="s">
        <v>3347</v>
      </c>
      <c r="F28" s="20">
        <v>1346.24</v>
      </c>
      <c r="G28" s="20">
        <v>903</v>
      </c>
      <c r="H28" s="19">
        <v>4833</v>
      </c>
      <c r="I28" s="20">
        <v>2375</v>
      </c>
      <c r="J28" s="20">
        <v>2458</v>
      </c>
      <c r="K28" s="20">
        <v>962</v>
      </c>
      <c r="L28" s="57">
        <f t="shared" si="0"/>
        <v>0.19904821022139457</v>
      </c>
      <c r="M28" s="20">
        <v>52</v>
      </c>
      <c r="N28" s="57">
        <f t="shared" si="1"/>
        <v>1.0759362714669977E-2</v>
      </c>
      <c r="O28" s="46">
        <v>148</v>
      </c>
      <c r="P28" s="46">
        <v>0</v>
      </c>
      <c r="Q28" s="58" t="s">
        <v>51</v>
      </c>
      <c r="R28" s="58">
        <v>2020</v>
      </c>
      <c r="S28" s="58"/>
      <c r="T28" s="58"/>
      <c r="U28" s="58"/>
      <c r="V28" s="58"/>
      <c r="W28" s="58"/>
      <c r="X28" s="58" t="s">
        <v>51</v>
      </c>
      <c r="Y28" s="58"/>
      <c r="Z28" s="58"/>
      <c r="AA28" s="58"/>
      <c r="AB28" s="58"/>
      <c r="AC28" s="58" t="s">
        <v>51</v>
      </c>
      <c r="AD28" s="58"/>
      <c r="AE28" s="58"/>
      <c r="AF28" s="58"/>
      <c r="AG28" s="58"/>
      <c r="AH28" s="58"/>
      <c r="AI28" s="58"/>
    </row>
    <row r="29" spans="1:35" x14ac:dyDescent="0.35">
      <c r="A29" s="17" t="s">
        <v>46</v>
      </c>
      <c r="B29" s="17" t="s">
        <v>3292</v>
      </c>
      <c r="C29" s="28">
        <v>0</v>
      </c>
      <c r="D29" s="17" t="s">
        <v>364</v>
      </c>
      <c r="E29" s="17" t="s">
        <v>3348</v>
      </c>
      <c r="F29" s="20">
        <v>331.75</v>
      </c>
      <c r="G29" s="20">
        <v>118</v>
      </c>
      <c r="H29" s="19">
        <v>621</v>
      </c>
      <c r="I29" s="20">
        <v>307</v>
      </c>
      <c r="J29" s="20">
        <v>314</v>
      </c>
      <c r="K29" s="20">
        <v>203</v>
      </c>
      <c r="L29" s="57">
        <f t="shared" si="0"/>
        <v>0.32689210950080516</v>
      </c>
      <c r="M29" s="20">
        <v>40</v>
      </c>
      <c r="N29" s="57">
        <f t="shared" si="1"/>
        <v>6.4412238325281798E-2</v>
      </c>
      <c r="O29" s="46">
        <v>25</v>
      </c>
      <c r="P29" s="46">
        <v>0</v>
      </c>
      <c r="Q29" s="58"/>
      <c r="R29" s="58"/>
      <c r="S29" s="58"/>
      <c r="T29" s="58"/>
      <c r="U29" s="58"/>
      <c r="V29" s="58"/>
      <c r="W29" s="58"/>
      <c r="X29" s="58" t="s">
        <v>51</v>
      </c>
      <c r="Y29" s="58"/>
      <c r="Z29" s="58"/>
      <c r="AA29" s="58"/>
      <c r="AB29" s="58"/>
      <c r="AC29" s="58" t="s">
        <v>51</v>
      </c>
      <c r="AD29" s="58"/>
      <c r="AE29" s="58"/>
      <c r="AF29" s="58"/>
      <c r="AG29" s="58"/>
      <c r="AH29" s="58"/>
      <c r="AI29" s="58"/>
    </row>
    <row r="30" spans="1:35" x14ac:dyDescent="0.35">
      <c r="A30" s="17" t="s">
        <v>46</v>
      </c>
      <c r="B30" s="17" t="s">
        <v>3292</v>
      </c>
      <c r="C30" s="28" t="s">
        <v>1454</v>
      </c>
      <c r="D30" s="17" t="s">
        <v>3349</v>
      </c>
      <c r="E30" s="17" t="s">
        <v>3350</v>
      </c>
      <c r="F30" s="20">
        <v>217.04</v>
      </c>
      <c r="G30" s="20">
        <v>119</v>
      </c>
      <c r="H30" s="19">
        <v>583</v>
      </c>
      <c r="I30" s="20">
        <v>281</v>
      </c>
      <c r="J30" s="20">
        <v>302</v>
      </c>
      <c r="K30" s="20">
        <v>41</v>
      </c>
      <c r="L30" s="57">
        <f t="shared" si="0"/>
        <v>7.0325900514579764E-2</v>
      </c>
      <c r="M30" s="20">
        <v>266</v>
      </c>
      <c r="N30" s="57">
        <f t="shared" si="1"/>
        <v>0.45626072041166382</v>
      </c>
      <c r="O30" s="46">
        <v>28</v>
      </c>
      <c r="P30" s="46">
        <v>0</v>
      </c>
      <c r="Q30" s="58" t="s">
        <v>51</v>
      </c>
      <c r="R30" s="58">
        <v>2020</v>
      </c>
      <c r="S30" s="58"/>
      <c r="T30" s="58"/>
      <c r="U30" s="58"/>
      <c r="V30" s="58"/>
      <c r="W30" s="58"/>
      <c r="X30" s="58" t="s">
        <v>51</v>
      </c>
      <c r="Y30" s="58"/>
      <c r="Z30" s="58"/>
      <c r="AA30" s="58"/>
      <c r="AB30" s="58"/>
      <c r="AC30" s="58" t="s">
        <v>51</v>
      </c>
      <c r="AD30" s="58"/>
      <c r="AE30" s="58"/>
      <c r="AF30" s="58"/>
      <c r="AG30" s="58"/>
      <c r="AH30" s="58"/>
      <c r="AI30" s="58"/>
    </row>
    <row r="31" spans="1:35" x14ac:dyDescent="0.35">
      <c r="A31" s="17" t="s">
        <v>46</v>
      </c>
      <c r="B31" s="17" t="s">
        <v>3292</v>
      </c>
      <c r="C31" s="28" t="s">
        <v>3299</v>
      </c>
      <c r="D31" s="17" t="s">
        <v>1212</v>
      </c>
      <c r="E31" s="17" t="s">
        <v>3351</v>
      </c>
      <c r="F31" s="20">
        <v>515.4</v>
      </c>
      <c r="G31" s="20">
        <v>222</v>
      </c>
      <c r="H31" s="19">
        <v>1158</v>
      </c>
      <c r="I31" s="20">
        <v>558</v>
      </c>
      <c r="J31" s="20">
        <v>600</v>
      </c>
      <c r="K31" s="20">
        <v>370</v>
      </c>
      <c r="L31" s="57">
        <f t="shared" si="0"/>
        <v>0.31951640759930916</v>
      </c>
      <c r="M31" s="20">
        <v>47</v>
      </c>
      <c r="N31" s="57">
        <f t="shared" si="1"/>
        <v>4.0587219343696031E-2</v>
      </c>
      <c r="O31" s="46">
        <v>48.2</v>
      </c>
      <c r="P31" s="46">
        <v>0</v>
      </c>
      <c r="Q31" s="58" t="s">
        <v>51</v>
      </c>
      <c r="R31" s="58">
        <v>2020</v>
      </c>
      <c r="S31" s="58"/>
      <c r="T31" s="58"/>
      <c r="U31" s="58"/>
      <c r="V31" s="58"/>
      <c r="W31" s="58"/>
      <c r="X31" s="58" t="s">
        <v>51</v>
      </c>
      <c r="Y31" s="58"/>
      <c r="Z31" s="58"/>
      <c r="AA31" s="58"/>
      <c r="AB31" s="58"/>
      <c r="AC31" s="58" t="s">
        <v>51</v>
      </c>
      <c r="AD31" s="58"/>
      <c r="AE31" s="58"/>
      <c r="AF31" s="58"/>
      <c r="AG31" s="58"/>
      <c r="AH31" s="58"/>
      <c r="AI31" s="58"/>
    </row>
    <row r="32" spans="1:35" x14ac:dyDescent="0.35">
      <c r="A32" s="17" t="s">
        <v>46</v>
      </c>
      <c r="B32" s="17" t="s">
        <v>3292</v>
      </c>
      <c r="C32" s="28" t="s">
        <v>3299</v>
      </c>
      <c r="D32" s="17" t="s">
        <v>3352</v>
      </c>
      <c r="E32" s="17" t="s">
        <v>3353</v>
      </c>
      <c r="F32" s="20">
        <v>537.9</v>
      </c>
      <c r="G32" s="20">
        <v>218</v>
      </c>
      <c r="H32" s="19">
        <v>1001</v>
      </c>
      <c r="I32" s="20">
        <v>496</v>
      </c>
      <c r="J32" s="20">
        <v>505</v>
      </c>
      <c r="K32" s="20">
        <v>180</v>
      </c>
      <c r="L32" s="57">
        <f t="shared" si="0"/>
        <v>0.17982017982017981</v>
      </c>
      <c r="M32" s="20">
        <v>60</v>
      </c>
      <c r="N32" s="57">
        <f t="shared" si="1"/>
        <v>5.9940059940059943E-2</v>
      </c>
      <c r="O32" s="46">
        <v>46.3</v>
      </c>
      <c r="P32" s="46">
        <v>0</v>
      </c>
      <c r="Q32" s="58" t="s">
        <v>562</v>
      </c>
      <c r="R32" s="58"/>
      <c r="S32" s="58"/>
      <c r="T32" s="58"/>
      <c r="U32" s="58"/>
      <c r="V32" s="58"/>
      <c r="W32" s="58"/>
      <c r="X32" s="58" t="s">
        <v>562</v>
      </c>
      <c r="Y32" s="58"/>
      <c r="Z32" s="58"/>
      <c r="AA32" s="58"/>
      <c r="AB32" s="58"/>
      <c r="AC32" s="58" t="s">
        <v>562</v>
      </c>
      <c r="AD32" s="58"/>
      <c r="AE32" s="58"/>
      <c r="AF32" s="58"/>
      <c r="AG32" s="58"/>
      <c r="AH32" s="58"/>
      <c r="AI32" s="58"/>
    </row>
    <row r="33" spans="1:35" x14ac:dyDescent="0.35">
      <c r="A33" s="17" t="s">
        <v>46</v>
      </c>
      <c r="B33" s="17" t="s">
        <v>3292</v>
      </c>
      <c r="C33" s="28" t="s">
        <v>3299</v>
      </c>
      <c r="D33" s="17" t="s">
        <v>3354</v>
      </c>
      <c r="E33" s="17" t="s">
        <v>3355</v>
      </c>
      <c r="F33" s="20">
        <v>692.3</v>
      </c>
      <c r="G33" s="20">
        <v>192</v>
      </c>
      <c r="H33" s="19">
        <v>905</v>
      </c>
      <c r="I33" s="20">
        <v>454</v>
      </c>
      <c r="J33" s="20">
        <v>451</v>
      </c>
      <c r="K33" s="20">
        <v>327</v>
      </c>
      <c r="L33" s="57">
        <f t="shared" si="0"/>
        <v>0.36132596685082874</v>
      </c>
      <c r="M33" s="20">
        <v>50</v>
      </c>
      <c r="N33" s="57">
        <f t="shared" si="1"/>
        <v>5.5248618784530384E-2</v>
      </c>
      <c r="O33" s="46">
        <v>18.100000000000001</v>
      </c>
      <c r="P33" s="46">
        <v>0</v>
      </c>
      <c r="Q33" s="58" t="s">
        <v>51</v>
      </c>
      <c r="R33" s="58">
        <v>2020</v>
      </c>
      <c r="S33" s="58"/>
      <c r="T33" s="58"/>
      <c r="U33" s="58"/>
      <c r="V33" s="58"/>
      <c r="W33" s="58"/>
      <c r="X33" s="58" t="s">
        <v>51</v>
      </c>
      <c r="Y33" s="58"/>
      <c r="Z33" s="58"/>
      <c r="AA33" s="58"/>
      <c r="AB33" s="58"/>
      <c r="AC33" s="58" t="s">
        <v>51</v>
      </c>
      <c r="AD33" s="58"/>
      <c r="AE33" s="58"/>
      <c r="AF33" s="58"/>
      <c r="AG33" s="58"/>
      <c r="AH33" s="58"/>
      <c r="AI33" s="58"/>
    </row>
    <row r="34" spans="1:35" x14ac:dyDescent="0.35">
      <c r="A34" s="17" t="s">
        <v>46</v>
      </c>
      <c r="B34" s="17" t="s">
        <v>3292</v>
      </c>
      <c r="C34" s="28" t="s">
        <v>3356</v>
      </c>
      <c r="D34" s="17" t="s">
        <v>2403</v>
      </c>
      <c r="E34" s="17" t="s">
        <v>3357</v>
      </c>
      <c r="F34" s="20">
        <v>217</v>
      </c>
      <c r="G34" s="20">
        <v>91</v>
      </c>
      <c r="H34" s="19">
        <v>456</v>
      </c>
      <c r="I34" s="20">
        <v>226</v>
      </c>
      <c r="J34" s="20">
        <v>230</v>
      </c>
      <c r="K34" s="20">
        <v>87</v>
      </c>
      <c r="L34" s="57">
        <f t="shared" si="0"/>
        <v>0.19078947368421054</v>
      </c>
      <c r="M34" s="20">
        <v>1</v>
      </c>
      <c r="N34" s="57">
        <f t="shared" si="1"/>
        <v>2.1929824561403508E-3</v>
      </c>
      <c r="O34" s="46">
        <v>0</v>
      </c>
      <c r="P34" s="46">
        <v>0</v>
      </c>
      <c r="Q34" s="58" t="s">
        <v>51</v>
      </c>
      <c r="R34" s="58">
        <v>2021</v>
      </c>
      <c r="S34" s="58"/>
      <c r="T34" s="58"/>
      <c r="U34" s="58"/>
      <c r="V34" s="58"/>
      <c r="W34" s="58"/>
      <c r="X34" s="58" t="s">
        <v>51</v>
      </c>
      <c r="Y34" s="58"/>
      <c r="Z34" s="58"/>
      <c r="AA34" s="58"/>
      <c r="AB34" s="58"/>
      <c r="AC34" s="58" t="s">
        <v>51</v>
      </c>
      <c r="AD34" s="58"/>
      <c r="AE34" s="58"/>
      <c r="AF34" s="58"/>
      <c r="AG34" s="58"/>
      <c r="AH34" s="58"/>
      <c r="AI34" s="58"/>
    </row>
    <row r="35" spans="1:35" x14ac:dyDescent="0.35">
      <c r="A35" s="17" t="s">
        <v>46</v>
      </c>
      <c r="B35" s="17" t="s">
        <v>3292</v>
      </c>
      <c r="C35" s="28" t="s">
        <v>3307</v>
      </c>
      <c r="D35" s="17" t="s">
        <v>3358</v>
      </c>
      <c r="E35" s="17" t="s">
        <v>3359</v>
      </c>
      <c r="F35" s="20">
        <v>131</v>
      </c>
      <c r="G35" s="20">
        <v>86</v>
      </c>
      <c r="H35" s="19">
        <v>428</v>
      </c>
      <c r="I35" s="20">
        <v>213</v>
      </c>
      <c r="J35" s="20">
        <v>215</v>
      </c>
      <c r="K35" s="20">
        <v>22</v>
      </c>
      <c r="L35" s="57">
        <f t="shared" si="0"/>
        <v>5.1401869158878503E-2</v>
      </c>
      <c r="M35" s="20">
        <v>7</v>
      </c>
      <c r="N35" s="57">
        <f t="shared" si="1"/>
        <v>1.6355140186915886E-2</v>
      </c>
      <c r="O35" s="46">
        <v>0</v>
      </c>
      <c r="P35" s="46">
        <v>0</v>
      </c>
      <c r="Q35" s="58" t="s">
        <v>51</v>
      </c>
      <c r="R35" s="58">
        <v>2019</v>
      </c>
      <c r="S35" s="58"/>
      <c r="T35" s="58"/>
      <c r="U35" s="58"/>
      <c r="V35" s="58"/>
      <c r="W35" s="58"/>
      <c r="X35" s="58" t="s">
        <v>51</v>
      </c>
      <c r="Y35" s="58"/>
      <c r="Z35" s="58"/>
      <c r="AA35" s="58"/>
      <c r="AB35" s="58"/>
      <c r="AC35" s="58" t="s">
        <v>51</v>
      </c>
      <c r="AD35" s="58"/>
      <c r="AE35" s="58"/>
      <c r="AF35" s="58"/>
      <c r="AG35" s="58"/>
      <c r="AH35" s="58"/>
      <c r="AI35" s="58"/>
    </row>
    <row r="36" spans="1:35" x14ac:dyDescent="0.35">
      <c r="A36" s="17" t="s">
        <v>46</v>
      </c>
      <c r="B36" s="17" t="s">
        <v>3292</v>
      </c>
      <c r="C36" s="28" t="s">
        <v>3296</v>
      </c>
      <c r="D36" s="17" t="s">
        <v>3360</v>
      </c>
      <c r="E36" s="17" t="s">
        <v>3361</v>
      </c>
      <c r="F36" s="20">
        <v>382</v>
      </c>
      <c r="G36" s="20">
        <v>61</v>
      </c>
      <c r="H36" s="19">
        <v>333</v>
      </c>
      <c r="I36" s="20">
        <v>165</v>
      </c>
      <c r="J36" s="20">
        <v>168</v>
      </c>
      <c r="K36" s="20">
        <v>16</v>
      </c>
      <c r="L36" s="57">
        <f t="shared" si="0"/>
        <v>4.8048048048048048E-2</v>
      </c>
      <c r="M36" s="20">
        <v>16</v>
      </c>
      <c r="N36" s="57">
        <f t="shared" si="1"/>
        <v>4.8048048048048048E-2</v>
      </c>
      <c r="O36" s="46">
        <v>54</v>
      </c>
      <c r="P36" s="46">
        <v>0</v>
      </c>
      <c r="Q36" s="58" t="s">
        <v>51</v>
      </c>
      <c r="R36" s="58">
        <v>2019</v>
      </c>
      <c r="S36" s="58"/>
      <c r="T36" s="58"/>
      <c r="U36" s="58"/>
      <c r="V36" s="58"/>
      <c r="W36" s="58"/>
      <c r="X36" s="58" t="s">
        <v>51</v>
      </c>
      <c r="Y36" s="58"/>
      <c r="Z36" s="58"/>
      <c r="AA36" s="58"/>
      <c r="AB36" s="58"/>
      <c r="AC36" s="58" t="s">
        <v>51</v>
      </c>
      <c r="AD36" s="58"/>
      <c r="AE36" s="58"/>
      <c r="AF36" s="58"/>
      <c r="AG36" s="58"/>
      <c r="AH36" s="58"/>
      <c r="AI36" s="58"/>
    </row>
    <row r="37" spans="1:35" x14ac:dyDescent="0.35">
      <c r="A37" s="17" t="s">
        <v>46</v>
      </c>
      <c r="B37" s="17" t="s">
        <v>3292</v>
      </c>
      <c r="C37" s="28" t="s">
        <v>3296</v>
      </c>
      <c r="D37" s="17" t="s">
        <v>3362</v>
      </c>
      <c r="E37" s="17" t="s">
        <v>3363</v>
      </c>
      <c r="F37" s="20">
        <v>469</v>
      </c>
      <c r="G37" s="20">
        <v>227</v>
      </c>
      <c r="H37" s="19">
        <v>949</v>
      </c>
      <c r="I37" s="20">
        <v>488</v>
      </c>
      <c r="J37" s="20">
        <v>461</v>
      </c>
      <c r="K37" s="20">
        <v>114</v>
      </c>
      <c r="L37" s="57">
        <f t="shared" si="0"/>
        <v>0.12012644889357219</v>
      </c>
      <c r="M37" s="20">
        <v>144</v>
      </c>
      <c r="N37" s="57">
        <f t="shared" si="1"/>
        <v>0.1517386722866175</v>
      </c>
      <c r="O37" s="46">
        <v>70</v>
      </c>
      <c r="P37" s="46">
        <v>22</v>
      </c>
      <c r="Q37" s="58" t="s">
        <v>51</v>
      </c>
      <c r="R37" s="58">
        <v>2019</v>
      </c>
      <c r="S37" s="58"/>
      <c r="T37" s="58"/>
      <c r="U37" s="58"/>
      <c r="V37" s="58"/>
      <c r="W37" s="58"/>
      <c r="X37" s="58" t="s">
        <v>51</v>
      </c>
      <c r="Y37" s="58"/>
      <c r="Z37" s="58"/>
      <c r="AA37" s="58"/>
      <c r="AB37" s="58"/>
      <c r="AC37" s="58" t="s">
        <v>51</v>
      </c>
      <c r="AD37" s="58"/>
      <c r="AE37" s="58"/>
      <c r="AF37" s="58"/>
      <c r="AG37" s="58"/>
      <c r="AH37" s="58"/>
      <c r="AI37" s="58"/>
    </row>
    <row r="38" spans="1:35" x14ac:dyDescent="0.35">
      <c r="A38" s="17" t="s">
        <v>46</v>
      </c>
      <c r="B38" s="17" t="s">
        <v>3292</v>
      </c>
      <c r="C38" s="28" t="s">
        <v>3364</v>
      </c>
      <c r="D38" s="17" t="s">
        <v>3365</v>
      </c>
      <c r="E38" s="17" t="s">
        <v>3366</v>
      </c>
      <c r="F38" s="20">
        <v>270.39999999999998</v>
      </c>
      <c r="G38" s="20">
        <v>180</v>
      </c>
      <c r="H38" s="19">
        <v>808</v>
      </c>
      <c r="I38" s="20">
        <v>400</v>
      </c>
      <c r="J38" s="20">
        <v>408</v>
      </c>
      <c r="K38" s="20">
        <v>148</v>
      </c>
      <c r="L38" s="57">
        <f t="shared" si="0"/>
        <v>0.18316831683168316</v>
      </c>
      <c r="M38" s="20">
        <v>35</v>
      </c>
      <c r="N38" s="57">
        <f t="shared" si="1"/>
        <v>4.3316831683168314E-2</v>
      </c>
      <c r="O38" s="46">
        <v>46.1</v>
      </c>
      <c r="P38" s="46">
        <v>0</v>
      </c>
      <c r="Q38" s="58" t="s">
        <v>51</v>
      </c>
      <c r="R38" s="58">
        <v>2019</v>
      </c>
      <c r="S38" s="58"/>
      <c r="T38" s="58"/>
      <c r="U38" s="58"/>
      <c r="V38" s="58"/>
      <c r="W38" s="58"/>
      <c r="X38" s="58" t="s">
        <v>51</v>
      </c>
      <c r="Y38" s="58"/>
      <c r="Z38" s="58"/>
      <c r="AA38" s="58"/>
      <c r="AB38" s="58"/>
      <c r="AC38" s="58" t="s">
        <v>51</v>
      </c>
      <c r="AD38" s="58"/>
      <c r="AE38" s="58"/>
      <c r="AF38" s="58"/>
      <c r="AG38" s="58"/>
      <c r="AH38" s="58"/>
      <c r="AI38" s="58"/>
    </row>
    <row r="39" spans="1:35" x14ac:dyDescent="0.35">
      <c r="A39" s="17" t="s">
        <v>46</v>
      </c>
      <c r="B39" s="17" t="s">
        <v>3292</v>
      </c>
      <c r="C39" s="28" t="s">
        <v>3364</v>
      </c>
      <c r="D39" s="17" t="s">
        <v>3367</v>
      </c>
      <c r="E39" s="17" t="s">
        <v>3368</v>
      </c>
      <c r="F39" s="28">
        <v>87.3</v>
      </c>
      <c r="G39" s="47"/>
      <c r="H39" s="19">
        <v>0</v>
      </c>
      <c r="I39" s="47"/>
      <c r="J39" s="47"/>
      <c r="K39" s="47"/>
      <c r="L39" s="57"/>
      <c r="M39" s="47"/>
      <c r="N39" s="57"/>
      <c r="O39" s="48">
        <v>0</v>
      </c>
      <c r="P39" s="48">
        <v>0</v>
      </c>
      <c r="Q39" s="58" t="s">
        <v>112</v>
      </c>
      <c r="R39" s="58"/>
      <c r="S39" s="58"/>
      <c r="T39" s="58"/>
      <c r="U39" s="58"/>
      <c r="V39" s="58"/>
      <c r="W39" s="58"/>
      <c r="X39" s="58" t="s">
        <v>112</v>
      </c>
      <c r="Y39" s="58"/>
      <c r="Z39" s="58"/>
      <c r="AA39" s="58"/>
      <c r="AB39" s="58"/>
      <c r="AC39" s="58" t="s">
        <v>112</v>
      </c>
      <c r="AD39" s="58"/>
      <c r="AE39" s="58"/>
      <c r="AF39" s="58"/>
      <c r="AG39" s="58"/>
      <c r="AH39" s="58"/>
      <c r="AI39" s="58"/>
    </row>
    <row r="40" spans="1:35" x14ac:dyDescent="0.35">
      <c r="A40" s="17" t="s">
        <v>46</v>
      </c>
      <c r="B40" s="17" t="s">
        <v>3292</v>
      </c>
      <c r="C40" s="28" t="s">
        <v>3369</v>
      </c>
      <c r="D40" s="17" t="s">
        <v>2486</v>
      </c>
      <c r="E40" s="17" t="s">
        <v>3370</v>
      </c>
      <c r="F40" s="20">
        <v>351.6</v>
      </c>
      <c r="G40" s="20">
        <v>251</v>
      </c>
      <c r="H40" s="19">
        <v>1273</v>
      </c>
      <c r="I40" s="20">
        <v>606</v>
      </c>
      <c r="J40" s="20">
        <v>667</v>
      </c>
      <c r="K40" s="20">
        <v>232</v>
      </c>
      <c r="L40" s="57">
        <f>K40/H40</f>
        <v>0.18224666142969365</v>
      </c>
      <c r="M40" s="20">
        <v>158</v>
      </c>
      <c r="N40" s="57">
        <f>M40/H40</f>
        <v>0.12411626080125687</v>
      </c>
      <c r="O40" s="46">
        <v>56</v>
      </c>
      <c r="P40" s="46">
        <v>0</v>
      </c>
      <c r="Q40" s="58" t="s">
        <v>51</v>
      </c>
      <c r="R40" s="58">
        <v>2019</v>
      </c>
      <c r="S40" s="58"/>
      <c r="T40" s="58"/>
      <c r="U40" s="58"/>
      <c r="V40" s="58"/>
      <c r="W40" s="58"/>
      <c r="X40" s="58" t="s">
        <v>51</v>
      </c>
      <c r="Y40" s="58"/>
      <c r="Z40" s="58"/>
      <c r="AA40" s="58"/>
      <c r="AB40" s="58"/>
      <c r="AC40" s="58" t="s">
        <v>51</v>
      </c>
      <c r="AD40" s="58"/>
      <c r="AE40" s="58"/>
      <c r="AF40" s="58"/>
      <c r="AG40" s="58"/>
      <c r="AH40" s="58"/>
      <c r="AI40" s="58"/>
    </row>
    <row r="41" spans="1:35" x14ac:dyDescent="0.35">
      <c r="A41" s="17" t="s">
        <v>46</v>
      </c>
      <c r="B41" s="17" t="s">
        <v>3292</v>
      </c>
      <c r="C41" s="28" t="s">
        <v>3369</v>
      </c>
      <c r="D41" s="17" t="s">
        <v>3371</v>
      </c>
      <c r="E41" s="17" t="s">
        <v>3372</v>
      </c>
      <c r="F41" s="20">
        <v>156.4</v>
      </c>
      <c r="G41" s="20">
        <v>108</v>
      </c>
      <c r="H41" s="19">
        <v>491</v>
      </c>
      <c r="I41" s="20">
        <v>246</v>
      </c>
      <c r="J41" s="20">
        <v>245</v>
      </c>
      <c r="K41" s="20">
        <v>121</v>
      </c>
      <c r="L41" s="57">
        <f>K41/H41</f>
        <v>0.24643584521384929</v>
      </c>
      <c r="M41" s="20">
        <v>0</v>
      </c>
      <c r="N41" s="57">
        <f>M41/H41</f>
        <v>0</v>
      </c>
      <c r="O41" s="46">
        <v>0</v>
      </c>
      <c r="P41" s="46">
        <v>0</v>
      </c>
      <c r="Q41" s="58" t="s">
        <v>562</v>
      </c>
      <c r="R41" s="58"/>
      <c r="S41" s="58"/>
      <c r="T41" s="58"/>
      <c r="U41" s="58"/>
      <c r="V41" s="58"/>
      <c r="W41" s="58"/>
      <c r="X41" s="58" t="s">
        <v>562</v>
      </c>
      <c r="Y41" s="58"/>
      <c r="Z41" s="58"/>
      <c r="AA41" s="58"/>
      <c r="AB41" s="58"/>
      <c r="AC41" s="58" t="s">
        <v>562</v>
      </c>
      <c r="AD41" s="58"/>
      <c r="AE41" s="58"/>
      <c r="AF41" s="58"/>
      <c r="AG41" s="58"/>
      <c r="AH41" s="58"/>
      <c r="AI41" s="58"/>
    </row>
    <row r="42" spans="1:35" x14ac:dyDescent="0.35">
      <c r="A42" s="17" t="s">
        <v>46</v>
      </c>
      <c r="B42" s="17" t="s">
        <v>3292</v>
      </c>
      <c r="C42" s="28" t="s">
        <v>3364</v>
      </c>
      <c r="D42" s="17" t="s">
        <v>3373</v>
      </c>
      <c r="E42" s="17" t="s">
        <v>3374</v>
      </c>
      <c r="F42" s="20">
        <v>1841.3</v>
      </c>
      <c r="G42" s="20">
        <v>786</v>
      </c>
      <c r="H42" s="19">
        <v>3599</v>
      </c>
      <c r="I42" s="20">
        <v>1791</v>
      </c>
      <c r="J42" s="20">
        <v>1808</v>
      </c>
      <c r="K42" s="20">
        <v>784</v>
      </c>
      <c r="L42" s="57">
        <f>K42/H42</f>
        <v>0.21783828841344818</v>
      </c>
      <c r="M42" s="20">
        <v>139</v>
      </c>
      <c r="N42" s="57">
        <f>M42/H42</f>
        <v>3.862183939983329E-2</v>
      </c>
      <c r="O42" s="46">
        <v>198.07</v>
      </c>
      <c r="P42" s="46">
        <v>69.05</v>
      </c>
      <c r="Q42" s="58" t="s">
        <v>51</v>
      </c>
      <c r="R42" s="58">
        <v>2019</v>
      </c>
      <c r="S42" s="58"/>
      <c r="T42" s="58"/>
      <c r="U42" s="58"/>
      <c r="V42" s="58"/>
      <c r="W42" s="58"/>
      <c r="X42" s="58" t="s">
        <v>51</v>
      </c>
      <c r="Y42" s="58"/>
      <c r="Z42" s="58"/>
      <c r="AA42" s="58"/>
      <c r="AB42" s="58"/>
      <c r="AC42" s="58" t="s">
        <v>51</v>
      </c>
      <c r="AD42" s="58"/>
      <c r="AE42" s="58"/>
      <c r="AF42" s="58"/>
      <c r="AG42" s="58"/>
      <c r="AH42" s="58"/>
      <c r="AI42" s="58"/>
    </row>
    <row r="43" spans="1:35" x14ac:dyDescent="0.35">
      <c r="A43" s="17" t="s">
        <v>46</v>
      </c>
      <c r="B43" s="17" t="s">
        <v>3292</v>
      </c>
      <c r="C43" s="28" t="s">
        <v>3364</v>
      </c>
      <c r="D43" s="17" t="s">
        <v>3375</v>
      </c>
      <c r="E43" s="17" t="s">
        <v>3376</v>
      </c>
      <c r="F43" s="28">
        <v>237.4</v>
      </c>
      <c r="G43" s="47"/>
      <c r="H43" s="19">
        <v>0</v>
      </c>
      <c r="I43" s="47"/>
      <c r="J43" s="47"/>
      <c r="K43" s="47"/>
      <c r="L43" s="57"/>
      <c r="M43" s="47"/>
      <c r="N43" s="57"/>
      <c r="O43" s="48">
        <v>23.05</v>
      </c>
      <c r="P43" s="48">
        <v>0</v>
      </c>
      <c r="Q43" s="58" t="s">
        <v>112</v>
      </c>
      <c r="R43" s="58"/>
      <c r="S43" s="58"/>
      <c r="T43" s="58"/>
      <c r="U43" s="58"/>
      <c r="V43" s="58"/>
      <c r="W43" s="58"/>
      <c r="X43" s="58" t="s">
        <v>112</v>
      </c>
      <c r="Y43" s="58"/>
      <c r="Z43" s="58"/>
      <c r="AA43" s="58"/>
      <c r="AB43" s="58"/>
      <c r="AC43" s="58" t="s">
        <v>112</v>
      </c>
      <c r="AD43" s="58"/>
      <c r="AE43" s="58"/>
      <c r="AF43" s="58"/>
      <c r="AG43" s="58"/>
      <c r="AH43" s="58"/>
      <c r="AI43" s="58"/>
    </row>
    <row r="44" spans="1:35" x14ac:dyDescent="0.35">
      <c r="A44" s="17" t="s">
        <v>46</v>
      </c>
      <c r="B44" s="17" t="s">
        <v>3292</v>
      </c>
      <c r="C44" s="28" t="s">
        <v>3364</v>
      </c>
      <c r="D44" s="17" t="s">
        <v>3377</v>
      </c>
      <c r="E44" s="17" t="s">
        <v>3378</v>
      </c>
      <c r="F44" s="20">
        <v>231.4</v>
      </c>
      <c r="G44" s="20">
        <v>63</v>
      </c>
      <c r="H44" s="19">
        <v>293</v>
      </c>
      <c r="I44" s="20">
        <v>141</v>
      </c>
      <c r="J44" s="20">
        <v>152</v>
      </c>
      <c r="K44" s="20">
        <v>293</v>
      </c>
      <c r="L44" s="57">
        <f t="shared" ref="L44:L68" si="2">K44/H44</f>
        <v>1</v>
      </c>
      <c r="M44" s="20">
        <v>0</v>
      </c>
      <c r="N44" s="57">
        <f t="shared" ref="N44:N68" si="3">M44/H44</f>
        <v>0</v>
      </c>
      <c r="O44" s="46">
        <v>0</v>
      </c>
      <c r="P44" s="46">
        <v>0</v>
      </c>
      <c r="Q44" s="58" t="s">
        <v>51</v>
      </c>
      <c r="R44" s="58">
        <v>2019</v>
      </c>
      <c r="S44" s="58"/>
      <c r="T44" s="58"/>
      <c r="U44" s="58"/>
      <c r="V44" s="58"/>
      <c r="W44" s="58"/>
      <c r="X44" s="58" t="s">
        <v>51</v>
      </c>
      <c r="Y44" s="58"/>
      <c r="Z44" s="58"/>
      <c r="AA44" s="58"/>
      <c r="AB44" s="58"/>
      <c r="AC44" s="58" t="s">
        <v>51</v>
      </c>
      <c r="AD44" s="58"/>
      <c r="AE44" s="58"/>
      <c r="AF44" s="58"/>
      <c r="AG44" s="58"/>
      <c r="AH44" s="58"/>
      <c r="AI44" s="58"/>
    </row>
    <row r="45" spans="1:35" x14ac:dyDescent="0.35">
      <c r="A45" s="17" t="s">
        <v>46</v>
      </c>
      <c r="B45" s="17" t="s">
        <v>3292</v>
      </c>
      <c r="C45" s="28" t="s">
        <v>3296</v>
      </c>
      <c r="D45" s="17" t="s">
        <v>3379</v>
      </c>
      <c r="E45" s="17" t="s">
        <v>3380</v>
      </c>
      <c r="F45" s="20">
        <v>372</v>
      </c>
      <c r="G45" s="20">
        <v>64</v>
      </c>
      <c r="H45" s="19">
        <v>327</v>
      </c>
      <c r="I45" s="20">
        <v>154</v>
      </c>
      <c r="J45" s="20">
        <v>173</v>
      </c>
      <c r="K45" s="20">
        <v>232</v>
      </c>
      <c r="L45" s="57">
        <f t="shared" si="2"/>
        <v>0.70948012232415902</v>
      </c>
      <c r="M45" s="20">
        <v>39</v>
      </c>
      <c r="N45" s="57">
        <f t="shared" si="3"/>
        <v>0.11926605504587157</v>
      </c>
      <c r="O45" s="46">
        <v>15</v>
      </c>
      <c r="P45" s="46">
        <v>0</v>
      </c>
      <c r="Q45" s="58" t="s">
        <v>51</v>
      </c>
      <c r="R45" s="58">
        <v>2019</v>
      </c>
      <c r="S45" s="58"/>
      <c r="T45" s="58"/>
      <c r="U45" s="58"/>
      <c r="V45" s="58"/>
      <c r="W45" s="58"/>
      <c r="X45" s="58" t="s">
        <v>51</v>
      </c>
      <c r="Y45" s="58"/>
      <c r="Z45" s="58"/>
      <c r="AA45" s="58"/>
      <c r="AB45" s="58"/>
      <c r="AC45" s="58" t="s">
        <v>51</v>
      </c>
      <c r="AD45" s="58"/>
      <c r="AE45" s="58"/>
      <c r="AF45" s="58"/>
      <c r="AG45" s="58"/>
      <c r="AH45" s="58"/>
      <c r="AI45" s="58"/>
    </row>
    <row r="46" spans="1:35" x14ac:dyDescent="0.35">
      <c r="A46" s="17" t="s">
        <v>46</v>
      </c>
      <c r="B46" s="17" t="s">
        <v>3292</v>
      </c>
      <c r="C46" s="28" t="s">
        <v>3307</v>
      </c>
      <c r="D46" s="17" t="s">
        <v>3381</v>
      </c>
      <c r="E46" s="17" t="s">
        <v>3382</v>
      </c>
      <c r="F46" s="20">
        <v>125</v>
      </c>
      <c r="G46" s="20">
        <v>73</v>
      </c>
      <c r="H46" s="19">
        <v>360</v>
      </c>
      <c r="I46" s="20">
        <v>167</v>
      </c>
      <c r="J46" s="20">
        <v>193</v>
      </c>
      <c r="K46" s="20">
        <v>73</v>
      </c>
      <c r="L46" s="57">
        <f t="shared" si="2"/>
        <v>0.20277777777777778</v>
      </c>
      <c r="M46" s="20">
        <v>36</v>
      </c>
      <c r="N46" s="57">
        <f t="shared" si="3"/>
        <v>0.1</v>
      </c>
      <c r="O46" s="46">
        <v>0</v>
      </c>
      <c r="P46" s="46">
        <v>0</v>
      </c>
      <c r="Q46" s="58" t="s">
        <v>51</v>
      </c>
      <c r="R46" s="58">
        <v>2019</v>
      </c>
      <c r="S46" s="58"/>
      <c r="T46" s="58"/>
      <c r="U46" s="58"/>
      <c r="V46" s="58"/>
      <c r="W46" s="58"/>
      <c r="X46" s="58" t="s">
        <v>51</v>
      </c>
      <c r="Y46" s="58"/>
      <c r="Z46" s="58"/>
      <c r="AA46" s="58"/>
      <c r="AB46" s="58"/>
      <c r="AC46" s="58" t="s">
        <v>51</v>
      </c>
      <c r="AD46" s="58"/>
      <c r="AE46" s="58"/>
      <c r="AF46" s="58"/>
      <c r="AG46" s="58"/>
      <c r="AH46" s="58"/>
      <c r="AI46" s="58"/>
    </row>
    <row r="47" spans="1:35" x14ac:dyDescent="0.35">
      <c r="A47" s="17" t="s">
        <v>46</v>
      </c>
      <c r="B47" s="17" t="s">
        <v>3292</v>
      </c>
      <c r="C47" s="28" t="s">
        <v>3307</v>
      </c>
      <c r="D47" s="17" t="s">
        <v>3383</v>
      </c>
      <c r="E47" s="17" t="s">
        <v>3384</v>
      </c>
      <c r="F47" s="20">
        <v>1195</v>
      </c>
      <c r="G47" s="20">
        <v>354</v>
      </c>
      <c r="H47" s="19">
        <v>1528</v>
      </c>
      <c r="I47" s="20">
        <v>763</v>
      </c>
      <c r="J47" s="20">
        <v>765</v>
      </c>
      <c r="K47" s="20">
        <v>497</v>
      </c>
      <c r="L47" s="57">
        <f t="shared" si="2"/>
        <v>0.32526178010471202</v>
      </c>
      <c r="M47" s="20">
        <v>4</v>
      </c>
      <c r="N47" s="57">
        <f t="shared" si="3"/>
        <v>2.617801047120419E-3</v>
      </c>
      <c r="O47" s="46">
        <v>199</v>
      </c>
      <c r="P47" s="46">
        <v>0</v>
      </c>
      <c r="Q47" s="58" t="s">
        <v>51</v>
      </c>
      <c r="R47" s="58">
        <v>2020</v>
      </c>
      <c r="S47" s="58"/>
      <c r="T47" s="58"/>
      <c r="U47" s="58"/>
      <c r="V47" s="58"/>
      <c r="W47" s="58"/>
      <c r="X47" s="58" t="s">
        <v>51</v>
      </c>
      <c r="Y47" s="58"/>
      <c r="Z47" s="58"/>
      <c r="AA47" s="58"/>
      <c r="AB47" s="58"/>
      <c r="AC47" s="58" t="s">
        <v>51</v>
      </c>
      <c r="AD47" s="58"/>
      <c r="AE47" s="58"/>
      <c r="AF47" s="58"/>
      <c r="AG47" s="58"/>
      <c r="AH47" s="58"/>
      <c r="AI47" s="58"/>
    </row>
    <row r="48" spans="1:35" x14ac:dyDescent="0.35">
      <c r="A48" s="17" t="s">
        <v>46</v>
      </c>
      <c r="B48" s="17" t="s">
        <v>3292</v>
      </c>
      <c r="C48" s="28" t="s">
        <v>3385</v>
      </c>
      <c r="D48" s="17" t="s">
        <v>899</v>
      </c>
      <c r="E48" s="17" t="s">
        <v>3386</v>
      </c>
      <c r="F48" s="20">
        <v>812</v>
      </c>
      <c r="G48" s="20">
        <v>484</v>
      </c>
      <c r="H48" s="19">
        <v>2155</v>
      </c>
      <c r="I48" s="20">
        <v>1050</v>
      </c>
      <c r="J48" s="20">
        <v>1105</v>
      </c>
      <c r="K48" s="20">
        <v>271</v>
      </c>
      <c r="L48" s="57">
        <f t="shared" si="2"/>
        <v>0.12575406032482597</v>
      </c>
      <c r="M48" s="20">
        <v>197</v>
      </c>
      <c r="N48" s="57">
        <f t="shared" si="3"/>
        <v>9.1415313225057998E-2</v>
      </c>
      <c r="O48" s="46">
        <v>114</v>
      </c>
      <c r="P48" s="46">
        <v>55</v>
      </c>
      <c r="Q48" s="58" t="s">
        <v>51</v>
      </c>
      <c r="R48" s="58">
        <v>2020</v>
      </c>
      <c r="S48" s="58"/>
      <c r="T48" s="58"/>
      <c r="U48" s="58"/>
      <c r="V48" s="58"/>
      <c r="W48" s="58"/>
      <c r="X48" s="58" t="s">
        <v>51</v>
      </c>
      <c r="Y48" s="58"/>
      <c r="Z48" s="58"/>
      <c r="AA48" s="58"/>
      <c r="AB48" s="58"/>
      <c r="AC48" s="58" t="s">
        <v>51</v>
      </c>
      <c r="AD48" s="58"/>
      <c r="AE48" s="58"/>
      <c r="AF48" s="58"/>
      <c r="AG48" s="58"/>
      <c r="AH48" s="58"/>
      <c r="AI48" s="58"/>
    </row>
    <row r="49" spans="1:35" x14ac:dyDescent="0.35">
      <c r="A49" s="17" t="s">
        <v>46</v>
      </c>
      <c r="B49" s="17" t="s">
        <v>3292</v>
      </c>
      <c r="C49" s="28" t="s">
        <v>3385</v>
      </c>
      <c r="D49" s="17" t="s">
        <v>203</v>
      </c>
      <c r="E49" s="17" t="s">
        <v>3387</v>
      </c>
      <c r="F49" s="20">
        <v>855</v>
      </c>
      <c r="G49" s="20">
        <v>407</v>
      </c>
      <c r="H49" s="19">
        <v>1854</v>
      </c>
      <c r="I49" s="20">
        <v>928</v>
      </c>
      <c r="J49" s="20">
        <v>926</v>
      </c>
      <c r="K49" s="20">
        <v>423</v>
      </c>
      <c r="L49" s="57">
        <f t="shared" si="2"/>
        <v>0.22815533980582525</v>
      </c>
      <c r="M49" s="20">
        <v>75</v>
      </c>
      <c r="N49" s="57">
        <f t="shared" si="3"/>
        <v>4.0453074433656956E-2</v>
      </c>
      <c r="O49" s="46">
        <v>110</v>
      </c>
      <c r="P49" s="46">
        <v>0</v>
      </c>
      <c r="Q49" s="58" t="s">
        <v>51</v>
      </c>
      <c r="R49" s="58">
        <v>2020</v>
      </c>
      <c r="S49" s="58"/>
      <c r="T49" s="58"/>
      <c r="U49" s="58"/>
      <c r="V49" s="58"/>
      <c r="W49" s="58"/>
      <c r="X49" s="58" t="s">
        <v>51</v>
      </c>
      <c r="Y49" s="58"/>
      <c r="Z49" s="58"/>
      <c r="AA49" s="58"/>
      <c r="AB49" s="58"/>
      <c r="AC49" s="58" t="s">
        <v>51</v>
      </c>
      <c r="AD49" s="58"/>
      <c r="AE49" s="58"/>
      <c r="AF49" s="58"/>
      <c r="AG49" s="58"/>
      <c r="AH49" s="58"/>
      <c r="AI49" s="58"/>
    </row>
    <row r="50" spans="1:35" x14ac:dyDescent="0.35">
      <c r="A50" s="17" t="s">
        <v>46</v>
      </c>
      <c r="B50" s="17" t="s">
        <v>3292</v>
      </c>
      <c r="C50" s="28" t="s">
        <v>3388</v>
      </c>
      <c r="D50" s="17" t="s">
        <v>3389</v>
      </c>
      <c r="E50" s="17" t="s">
        <v>3390</v>
      </c>
      <c r="F50" s="20">
        <v>919</v>
      </c>
      <c r="G50" s="20">
        <v>386</v>
      </c>
      <c r="H50" s="19">
        <v>1765</v>
      </c>
      <c r="I50" s="20">
        <v>862</v>
      </c>
      <c r="J50" s="20">
        <v>903</v>
      </c>
      <c r="K50" s="20">
        <v>283</v>
      </c>
      <c r="L50" s="57">
        <f t="shared" si="2"/>
        <v>0.16033994334277621</v>
      </c>
      <c r="M50" s="20">
        <v>155</v>
      </c>
      <c r="N50" s="57">
        <f t="shared" si="3"/>
        <v>8.7818696883852687E-2</v>
      </c>
      <c r="O50" s="46">
        <v>126</v>
      </c>
      <c r="P50" s="46">
        <v>0</v>
      </c>
      <c r="Q50" s="58" t="s">
        <v>51</v>
      </c>
      <c r="R50" s="58">
        <v>2020</v>
      </c>
      <c r="S50" s="58"/>
      <c r="T50" s="58"/>
      <c r="U50" s="58"/>
      <c r="V50" s="58"/>
      <c r="W50" s="58"/>
      <c r="X50" s="58" t="s">
        <v>51</v>
      </c>
      <c r="Y50" s="58"/>
      <c r="Z50" s="58"/>
      <c r="AA50" s="58"/>
      <c r="AB50" s="58"/>
      <c r="AC50" s="58" t="s">
        <v>51</v>
      </c>
      <c r="AD50" s="58"/>
      <c r="AE50" s="58"/>
      <c r="AF50" s="58"/>
      <c r="AG50" s="58"/>
      <c r="AH50" s="58"/>
      <c r="AI50" s="58"/>
    </row>
    <row r="51" spans="1:35" x14ac:dyDescent="0.35">
      <c r="A51" s="17" t="s">
        <v>46</v>
      </c>
      <c r="B51" s="17" t="s">
        <v>3292</v>
      </c>
      <c r="C51" s="28" t="s">
        <v>3388</v>
      </c>
      <c r="D51" s="17" t="s">
        <v>3391</v>
      </c>
      <c r="E51" s="17" t="s">
        <v>3392</v>
      </c>
      <c r="F51" s="20">
        <v>116</v>
      </c>
      <c r="G51" s="20">
        <v>42</v>
      </c>
      <c r="H51" s="19">
        <v>159</v>
      </c>
      <c r="I51" s="20">
        <v>83</v>
      </c>
      <c r="J51" s="20">
        <v>76</v>
      </c>
      <c r="K51" s="20">
        <v>8</v>
      </c>
      <c r="L51" s="57">
        <f t="shared" si="2"/>
        <v>5.0314465408805034E-2</v>
      </c>
      <c r="M51" s="20">
        <v>0</v>
      </c>
      <c r="N51" s="57">
        <f t="shared" si="3"/>
        <v>0</v>
      </c>
      <c r="O51" s="46">
        <v>15</v>
      </c>
      <c r="P51" s="46">
        <v>0</v>
      </c>
      <c r="Q51" s="58" t="s">
        <v>51</v>
      </c>
      <c r="R51" s="58">
        <v>2020</v>
      </c>
      <c r="S51" s="58"/>
      <c r="T51" s="58"/>
      <c r="U51" s="58"/>
      <c r="V51" s="58"/>
      <c r="W51" s="58"/>
      <c r="X51" s="58" t="s">
        <v>51</v>
      </c>
      <c r="Y51" s="58"/>
      <c r="Z51" s="58"/>
      <c r="AA51" s="58"/>
      <c r="AB51" s="58"/>
      <c r="AC51" s="58" t="s">
        <v>51</v>
      </c>
      <c r="AD51" s="58"/>
      <c r="AE51" s="58"/>
      <c r="AF51" s="58"/>
      <c r="AG51" s="58"/>
      <c r="AH51" s="58"/>
      <c r="AI51" s="58"/>
    </row>
    <row r="52" spans="1:35" x14ac:dyDescent="0.35">
      <c r="A52" s="17" t="s">
        <v>46</v>
      </c>
      <c r="B52" s="17" t="s">
        <v>3292</v>
      </c>
      <c r="C52" s="28" t="s">
        <v>3388</v>
      </c>
      <c r="D52" s="17" t="s">
        <v>2590</v>
      </c>
      <c r="E52" s="17" t="s">
        <v>3393</v>
      </c>
      <c r="F52" s="20">
        <v>79</v>
      </c>
      <c r="G52" s="20">
        <v>5</v>
      </c>
      <c r="H52" s="19">
        <v>15</v>
      </c>
      <c r="I52" s="20">
        <v>6</v>
      </c>
      <c r="J52" s="20">
        <v>9</v>
      </c>
      <c r="K52" s="20">
        <v>0</v>
      </c>
      <c r="L52" s="57">
        <f t="shared" si="2"/>
        <v>0</v>
      </c>
      <c r="M52" s="20">
        <v>7</v>
      </c>
      <c r="N52" s="57">
        <f t="shared" si="3"/>
        <v>0.46666666666666667</v>
      </c>
      <c r="O52" s="46">
        <v>3</v>
      </c>
      <c r="P52" s="46">
        <v>0</v>
      </c>
      <c r="Q52" s="58" t="s">
        <v>112</v>
      </c>
      <c r="R52" s="58"/>
      <c r="S52" s="58"/>
      <c r="T52" s="58"/>
      <c r="U52" s="58"/>
      <c r="V52" s="58"/>
      <c r="W52" s="58"/>
      <c r="X52" s="58" t="s">
        <v>112</v>
      </c>
      <c r="Y52" s="58"/>
      <c r="Z52" s="58"/>
      <c r="AA52" s="58"/>
      <c r="AB52" s="58"/>
      <c r="AC52" s="58" t="s">
        <v>112</v>
      </c>
      <c r="AD52" s="58"/>
      <c r="AE52" s="58"/>
      <c r="AF52" s="58"/>
      <c r="AG52" s="58"/>
      <c r="AH52" s="58"/>
      <c r="AI52" s="58"/>
    </row>
    <row r="53" spans="1:35" x14ac:dyDescent="0.35">
      <c r="A53" s="17" t="s">
        <v>46</v>
      </c>
      <c r="B53" s="17" t="s">
        <v>3292</v>
      </c>
      <c r="C53" s="28" t="s">
        <v>3388</v>
      </c>
      <c r="D53" s="17" t="s">
        <v>310</v>
      </c>
      <c r="E53" s="17" t="s">
        <v>3394</v>
      </c>
      <c r="F53" s="20">
        <v>407</v>
      </c>
      <c r="G53" s="20">
        <v>279</v>
      </c>
      <c r="H53" s="19">
        <v>1256</v>
      </c>
      <c r="I53" s="20">
        <v>632</v>
      </c>
      <c r="J53" s="20">
        <v>624</v>
      </c>
      <c r="K53" s="20">
        <v>326</v>
      </c>
      <c r="L53" s="57">
        <f t="shared" si="2"/>
        <v>0.25955414012738853</v>
      </c>
      <c r="M53" s="20">
        <v>42</v>
      </c>
      <c r="N53" s="57">
        <f t="shared" si="3"/>
        <v>3.3439490445859872E-2</v>
      </c>
      <c r="O53" s="46">
        <v>0</v>
      </c>
      <c r="P53" s="46">
        <v>0</v>
      </c>
      <c r="Q53" s="58" t="s">
        <v>51</v>
      </c>
      <c r="R53" s="58">
        <v>2020</v>
      </c>
      <c r="S53" s="58"/>
      <c r="T53" s="58"/>
      <c r="U53" s="58"/>
      <c r="V53" s="58"/>
      <c r="W53" s="58"/>
      <c r="X53" s="58" t="s">
        <v>51</v>
      </c>
      <c r="Y53" s="58"/>
      <c r="Z53" s="58"/>
      <c r="AA53" s="58"/>
      <c r="AB53" s="58"/>
      <c r="AC53" s="58" t="s">
        <v>51</v>
      </c>
      <c r="AD53" s="58"/>
      <c r="AE53" s="58"/>
      <c r="AF53" s="58"/>
      <c r="AG53" s="58"/>
      <c r="AH53" s="58"/>
      <c r="AI53" s="58"/>
    </row>
    <row r="54" spans="1:35" x14ac:dyDescent="0.35">
      <c r="A54" s="17" t="s">
        <v>46</v>
      </c>
      <c r="B54" s="17" t="s">
        <v>3292</v>
      </c>
      <c r="C54" s="28" t="s">
        <v>3341</v>
      </c>
      <c r="D54" s="17" t="s">
        <v>3395</v>
      </c>
      <c r="E54" s="17" t="s">
        <v>3396</v>
      </c>
      <c r="F54" s="20">
        <v>293</v>
      </c>
      <c r="G54" s="20">
        <v>85</v>
      </c>
      <c r="H54" s="19">
        <v>420</v>
      </c>
      <c r="I54" s="20">
        <v>202</v>
      </c>
      <c r="J54" s="20">
        <v>218</v>
      </c>
      <c r="K54" s="20">
        <v>20</v>
      </c>
      <c r="L54" s="57">
        <f t="shared" si="2"/>
        <v>4.7619047619047616E-2</v>
      </c>
      <c r="M54" s="20">
        <v>21</v>
      </c>
      <c r="N54" s="57">
        <f t="shared" si="3"/>
        <v>0.05</v>
      </c>
      <c r="O54" s="46">
        <v>31</v>
      </c>
      <c r="P54" s="46">
        <v>0</v>
      </c>
      <c r="Q54" s="58" t="s">
        <v>51</v>
      </c>
      <c r="R54" s="58">
        <v>2019</v>
      </c>
      <c r="S54" s="58"/>
      <c r="T54" s="58"/>
      <c r="U54" s="58"/>
      <c r="V54" s="58"/>
      <c r="W54" s="58"/>
      <c r="X54" s="58" t="s">
        <v>51</v>
      </c>
      <c r="Y54" s="58"/>
      <c r="Z54" s="58"/>
      <c r="AA54" s="58"/>
      <c r="AB54" s="58"/>
      <c r="AC54" s="58" t="s">
        <v>51</v>
      </c>
      <c r="AD54" s="58"/>
      <c r="AE54" s="58"/>
      <c r="AF54" s="58"/>
      <c r="AG54" s="58"/>
      <c r="AH54" s="58"/>
      <c r="AI54" s="58"/>
    </row>
    <row r="55" spans="1:35" x14ac:dyDescent="0.35">
      <c r="A55" s="17" t="s">
        <v>46</v>
      </c>
      <c r="B55" s="17" t="s">
        <v>3292</v>
      </c>
      <c r="C55" s="28" t="s">
        <v>3341</v>
      </c>
      <c r="D55" s="17" t="s">
        <v>3397</v>
      </c>
      <c r="E55" s="17" t="s">
        <v>3398</v>
      </c>
      <c r="F55" s="20">
        <v>105</v>
      </c>
      <c r="G55" s="20">
        <v>26</v>
      </c>
      <c r="H55" s="19">
        <v>134</v>
      </c>
      <c r="I55" s="20">
        <v>67</v>
      </c>
      <c r="J55" s="20">
        <v>67</v>
      </c>
      <c r="K55" s="20">
        <v>75</v>
      </c>
      <c r="L55" s="57">
        <f t="shared" si="2"/>
        <v>0.55970149253731338</v>
      </c>
      <c r="M55" s="20">
        <v>0</v>
      </c>
      <c r="N55" s="57">
        <f t="shared" si="3"/>
        <v>0</v>
      </c>
      <c r="O55" s="46">
        <v>9</v>
      </c>
      <c r="P55" s="46">
        <v>0</v>
      </c>
      <c r="Q55" s="58" t="s">
        <v>51</v>
      </c>
      <c r="R55" s="58">
        <v>2019</v>
      </c>
      <c r="S55" s="58"/>
      <c r="T55" s="58"/>
      <c r="U55" s="58"/>
      <c r="V55" s="58"/>
      <c r="W55" s="58"/>
      <c r="X55" s="58" t="s">
        <v>51</v>
      </c>
      <c r="Y55" s="58"/>
      <c r="Z55" s="58"/>
      <c r="AA55" s="58"/>
      <c r="AB55" s="58"/>
      <c r="AC55" s="58" t="s">
        <v>51</v>
      </c>
      <c r="AD55" s="58"/>
      <c r="AE55" s="58"/>
      <c r="AF55" s="58"/>
      <c r="AG55" s="58"/>
      <c r="AH55" s="58"/>
      <c r="AI55" s="58"/>
    </row>
    <row r="56" spans="1:35" x14ac:dyDescent="0.35">
      <c r="A56" s="17" t="s">
        <v>46</v>
      </c>
      <c r="B56" s="17" t="s">
        <v>3292</v>
      </c>
      <c r="C56" s="28" t="s">
        <v>3399</v>
      </c>
      <c r="D56" s="17" t="s">
        <v>1280</v>
      </c>
      <c r="E56" s="17" t="s">
        <v>3400</v>
      </c>
      <c r="F56" s="20">
        <v>309</v>
      </c>
      <c r="G56" s="20">
        <v>228</v>
      </c>
      <c r="H56" s="19">
        <v>1046</v>
      </c>
      <c r="I56" s="20">
        <v>506</v>
      </c>
      <c r="J56" s="20">
        <v>540</v>
      </c>
      <c r="K56" s="20">
        <v>204</v>
      </c>
      <c r="L56" s="57">
        <f t="shared" si="2"/>
        <v>0.19502868068833651</v>
      </c>
      <c r="M56" s="20">
        <v>43</v>
      </c>
      <c r="N56" s="57">
        <f t="shared" si="3"/>
        <v>4.1108986615678779E-2</v>
      </c>
      <c r="O56" s="46">
        <v>24</v>
      </c>
      <c r="P56" s="46">
        <v>0</v>
      </c>
      <c r="Q56" s="58" t="s">
        <v>51</v>
      </c>
      <c r="R56" s="58">
        <v>2020</v>
      </c>
      <c r="S56" s="58"/>
      <c r="T56" s="58"/>
      <c r="U56" s="58"/>
      <c r="V56" s="58"/>
      <c r="W56" s="58"/>
      <c r="X56" s="58" t="s">
        <v>51</v>
      </c>
      <c r="Y56" s="58"/>
      <c r="Z56" s="58"/>
      <c r="AA56" s="58"/>
      <c r="AB56" s="58"/>
      <c r="AC56" s="58" t="s">
        <v>51</v>
      </c>
      <c r="AD56" s="58"/>
      <c r="AE56" s="58"/>
      <c r="AF56" s="58"/>
      <c r="AG56" s="58"/>
      <c r="AH56" s="58"/>
      <c r="AI56" s="58"/>
    </row>
    <row r="57" spans="1:35" x14ac:dyDescent="0.35">
      <c r="A57" s="17" t="s">
        <v>46</v>
      </c>
      <c r="B57" s="17" t="s">
        <v>3292</v>
      </c>
      <c r="C57" s="28" t="s">
        <v>3399</v>
      </c>
      <c r="D57" s="17" t="s">
        <v>3401</v>
      </c>
      <c r="E57" s="17" t="s">
        <v>3402</v>
      </c>
      <c r="F57" s="20">
        <v>1227</v>
      </c>
      <c r="G57" s="20">
        <v>584</v>
      </c>
      <c r="H57" s="19">
        <v>2794</v>
      </c>
      <c r="I57" s="20">
        <v>1375</v>
      </c>
      <c r="J57" s="20">
        <v>1419</v>
      </c>
      <c r="K57" s="20">
        <v>535</v>
      </c>
      <c r="L57" s="57">
        <f t="shared" si="2"/>
        <v>0.19148174659985684</v>
      </c>
      <c r="M57" s="20">
        <v>104</v>
      </c>
      <c r="N57" s="57">
        <f t="shared" si="3"/>
        <v>3.7222619899785252E-2</v>
      </c>
      <c r="O57" s="46">
        <v>164</v>
      </c>
      <c r="P57" s="46">
        <v>0</v>
      </c>
      <c r="Q57" s="58" t="s">
        <v>51</v>
      </c>
      <c r="R57" s="58">
        <v>2020</v>
      </c>
      <c r="S57" s="58"/>
      <c r="T57" s="58"/>
      <c r="U57" s="58"/>
      <c r="V57" s="58"/>
      <c r="W57" s="58"/>
      <c r="X57" s="58" t="s">
        <v>51</v>
      </c>
      <c r="Y57" s="58"/>
      <c r="Z57" s="58"/>
      <c r="AA57" s="58"/>
      <c r="AB57" s="58"/>
      <c r="AC57" s="58" t="s">
        <v>51</v>
      </c>
      <c r="AD57" s="58"/>
      <c r="AE57" s="58"/>
      <c r="AF57" s="58"/>
      <c r="AG57" s="58"/>
      <c r="AH57" s="58"/>
      <c r="AI57" s="58"/>
    </row>
    <row r="58" spans="1:35" x14ac:dyDescent="0.35">
      <c r="A58" s="17" t="s">
        <v>46</v>
      </c>
      <c r="B58" s="17" t="s">
        <v>3292</v>
      </c>
      <c r="C58" s="28" t="s">
        <v>3403</v>
      </c>
      <c r="D58" s="17" t="s">
        <v>3404</v>
      </c>
      <c r="E58" s="17" t="s">
        <v>3405</v>
      </c>
      <c r="F58" s="20">
        <v>904</v>
      </c>
      <c r="G58" s="20">
        <v>322</v>
      </c>
      <c r="H58" s="19">
        <v>1540</v>
      </c>
      <c r="I58" s="20">
        <v>764</v>
      </c>
      <c r="J58" s="20">
        <v>776</v>
      </c>
      <c r="K58" s="20">
        <v>217</v>
      </c>
      <c r="L58" s="57">
        <f t="shared" si="2"/>
        <v>0.1409090909090909</v>
      </c>
      <c r="M58" s="20">
        <v>0</v>
      </c>
      <c r="N58" s="57">
        <f t="shared" si="3"/>
        <v>0</v>
      </c>
      <c r="O58" s="46">
        <v>95</v>
      </c>
      <c r="P58" s="46">
        <v>0</v>
      </c>
      <c r="Q58" s="58" t="s">
        <v>51</v>
      </c>
      <c r="R58" s="58">
        <v>2019</v>
      </c>
      <c r="S58" s="58"/>
      <c r="T58" s="58"/>
      <c r="U58" s="58"/>
      <c r="V58" s="58"/>
      <c r="W58" s="58"/>
      <c r="X58" s="58" t="s">
        <v>51</v>
      </c>
      <c r="Y58" s="58"/>
      <c r="Z58" s="58"/>
      <c r="AA58" s="58"/>
      <c r="AB58" s="58"/>
      <c r="AC58" s="58" t="s">
        <v>51</v>
      </c>
      <c r="AD58" s="58"/>
      <c r="AE58" s="58"/>
      <c r="AF58" s="58"/>
      <c r="AG58" s="58"/>
      <c r="AH58" s="58"/>
      <c r="AI58" s="58"/>
    </row>
    <row r="59" spans="1:35" x14ac:dyDescent="0.35">
      <c r="A59" s="17" t="s">
        <v>46</v>
      </c>
      <c r="B59" s="17" t="s">
        <v>3292</v>
      </c>
      <c r="C59" s="28" t="s">
        <v>3403</v>
      </c>
      <c r="D59" s="17" t="s">
        <v>3406</v>
      </c>
      <c r="E59" s="17" t="s">
        <v>3407</v>
      </c>
      <c r="F59" s="20">
        <v>785</v>
      </c>
      <c r="G59" s="20">
        <v>507</v>
      </c>
      <c r="H59" s="19">
        <v>2444</v>
      </c>
      <c r="I59" s="20">
        <v>1217</v>
      </c>
      <c r="J59" s="20">
        <v>1227</v>
      </c>
      <c r="K59" s="20">
        <v>276</v>
      </c>
      <c r="L59" s="57">
        <f t="shared" si="2"/>
        <v>0.11292962356792144</v>
      </c>
      <c r="M59" s="20">
        <v>286</v>
      </c>
      <c r="N59" s="57">
        <f t="shared" si="3"/>
        <v>0.11702127659574468</v>
      </c>
      <c r="O59" s="46">
        <v>81</v>
      </c>
      <c r="P59" s="46">
        <v>0</v>
      </c>
      <c r="Q59" s="58" t="s">
        <v>51</v>
      </c>
      <c r="R59" s="58">
        <v>2020</v>
      </c>
      <c r="S59" s="58"/>
      <c r="T59" s="58"/>
      <c r="U59" s="58"/>
      <c r="V59" s="58"/>
      <c r="W59" s="58"/>
      <c r="X59" s="58" t="s">
        <v>51</v>
      </c>
      <c r="Y59" s="58"/>
      <c r="Z59" s="58"/>
      <c r="AA59" s="58"/>
      <c r="AB59" s="58"/>
      <c r="AC59" s="58" t="s">
        <v>51</v>
      </c>
      <c r="AD59" s="58"/>
      <c r="AE59" s="58"/>
      <c r="AF59" s="58"/>
      <c r="AG59" s="58"/>
      <c r="AH59" s="58"/>
      <c r="AI59" s="58"/>
    </row>
    <row r="60" spans="1:35" x14ac:dyDescent="0.35">
      <c r="A60" s="17" t="s">
        <v>46</v>
      </c>
      <c r="B60" s="17" t="s">
        <v>3292</v>
      </c>
      <c r="C60" s="28" t="s">
        <v>3385</v>
      </c>
      <c r="D60" s="17" t="s">
        <v>3408</v>
      </c>
      <c r="E60" s="17" t="s">
        <v>3409</v>
      </c>
      <c r="F60" s="20">
        <v>410</v>
      </c>
      <c r="G60" s="20">
        <v>41</v>
      </c>
      <c r="H60" s="19">
        <v>216</v>
      </c>
      <c r="I60" s="20">
        <v>107</v>
      </c>
      <c r="J60" s="20">
        <v>109</v>
      </c>
      <c r="K60" s="20">
        <v>0</v>
      </c>
      <c r="L60" s="57">
        <f t="shared" si="2"/>
        <v>0</v>
      </c>
      <c r="M60" s="20">
        <v>14</v>
      </c>
      <c r="N60" s="57">
        <f t="shared" si="3"/>
        <v>6.4814814814814811E-2</v>
      </c>
      <c r="O60" s="46">
        <v>21</v>
      </c>
      <c r="P60" s="46">
        <v>0</v>
      </c>
      <c r="Q60" s="58" t="s">
        <v>51</v>
      </c>
      <c r="R60" s="58">
        <v>2020</v>
      </c>
      <c r="S60" s="58"/>
      <c r="T60" s="58"/>
      <c r="U60" s="58"/>
      <c r="V60" s="58"/>
      <c r="W60" s="58"/>
      <c r="X60" s="58" t="s">
        <v>51</v>
      </c>
      <c r="Y60" s="58"/>
      <c r="Z60" s="58"/>
      <c r="AA60" s="58"/>
      <c r="AB60" s="58"/>
      <c r="AC60" s="58" t="s">
        <v>51</v>
      </c>
      <c r="AD60" s="58"/>
      <c r="AE60" s="58"/>
      <c r="AF60" s="58"/>
      <c r="AG60" s="58"/>
      <c r="AH60" s="58"/>
      <c r="AI60" s="58"/>
    </row>
    <row r="61" spans="1:35" x14ac:dyDescent="0.35">
      <c r="A61" s="17" t="s">
        <v>46</v>
      </c>
      <c r="B61" s="17" t="s">
        <v>3292</v>
      </c>
      <c r="C61" s="28" t="s">
        <v>3385</v>
      </c>
      <c r="D61" s="17" t="s">
        <v>3410</v>
      </c>
      <c r="E61" s="17" t="s">
        <v>3411</v>
      </c>
      <c r="F61" s="20">
        <v>325</v>
      </c>
      <c r="G61" s="20">
        <v>126</v>
      </c>
      <c r="H61" s="19">
        <v>554</v>
      </c>
      <c r="I61" s="20">
        <v>269</v>
      </c>
      <c r="J61" s="20">
        <v>285</v>
      </c>
      <c r="K61" s="20">
        <v>193</v>
      </c>
      <c r="L61" s="57">
        <f t="shared" si="2"/>
        <v>0.34837545126353792</v>
      </c>
      <c r="M61" s="20">
        <v>0</v>
      </c>
      <c r="N61" s="57">
        <f t="shared" si="3"/>
        <v>0</v>
      </c>
      <c r="O61" s="46">
        <v>60</v>
      </c>
      <c r="P61" s="46">
        <v>6</v>
      </c>
      <c r="Q61" s="58" t="s">
        <v>51</v>
      </c>
      <c r="R61" s="58">
        <v>2020</v>
      </c>
      <c r="S61" s="58"/>
      <c r="T61" s="58"/>
      <c r="U61" s="58"/>
      <c r="V61" s="58"/>
      <c r="W61" s="58"/>
      <c r="X61" s="58" t="s">
        <v>51</v>
      </c>
      <c r="Y61" s="58"/>
      <c r="Z61" s="58"/>
      <c r="AA61" s="58"/>
      <c r="AB61" s="58"/>
      <c r="AC61" s="58" t="s">
        <v>51</v>
      </c>
      <c r="AD61" s="58"/>
      <c r="AE61" s="58"/>
      <c r="AF61" s="58"/>
      <c r="AG61" s="58"/>
      <c r="AH61" s="58"/>
      <c r="AI61" s="58"/>
    </row>
    <row r="62" spans="1:35" x14ac:dyDescent="0.35">
      <c r="A62" s="17" t="s">
        <v>46</v>
      </c>
      <c r="B62" s="17" t="s">
        <v>3292</v>
      </c>
      <c r="C62" s="28" t="s">
        <v>3412</v>
      </c>
      <c r="D62" s="17" t="s">
        <v>3292</v>
      </c>
      <c r="E62" s="17" t="s">
        <v>3413</v>
      </c>
      <c r="F62" s="20">
        <v>876</v>
      </c>
      <c r="G62" s="20">
        <v>1022</v>
      </c>
      <c r="H62" s="19">
        <v>4923</v>
      </c>
      <c r="I62" s="20">
        <v>2482</v>
      </c>
      <c r="J62" s="20">
        <v>2441</v>
      </c>
      <c r="K62" s="20">
        <v>1357</v>
      </c>
      <c r="L62" s="57">
        <f t="shared" si="2"/>
        <v>0.27564493195206174</v>
      </c>
      <c r="M62" s="20">
        <v>184</v>
      </c>
      <c r="N62" s="57">
        <f t="shared" si="3"/>
        <v>3.7375583993499897E-2</v>
      </c>
      <c r="O62" s="46">
        <v>40</v>
      </c>
      <c r="P62" s="46">
        <v>105</v>
      </c>
      <c r="Q62" s="58" t="s">
        <v>562</v>
      </c>
      <c r="R62" s="58"/>
      <c r="S62" s="58"/>
      <c r="T62" s="58"/>
      <c r="U62" s="58"/>
      <c r="V62" s="58"/>
      <c r="W62" s="58"/>
      <c r="X62" s="58" t="s">
        <v>562</v>
      </c>
      <c r="Y62" s="58"/>
      <c r="Z62" s="58"/>
      <c r="AA62" s="58"/>
      <c r="AB62" s="58"/>
      <c r="AC62" s="58" t="s">
        <v>562</v>
      </c>
      <c r="AD62" s="58"/>
      <c r="AE62" s="58"/>
      <c r="AF62" s="58"/>
      <c r="AG62" s="58"/>
      <c r="AH62" s="58"/>
      <c r="AI62" s="58"/>
    </row>
    <row r="63" spans="1:35" x14ac:dyDescent="0.35">
      <c r="A63" s="17" t="s">
        <v>46</v>
      </c>
      <c r="B63" s="17" t="s">
        <v>3292</v>
      </c>
      <c r="C63" s="28" t="s">
        <v>3307</v>
      </c>
      <c r="D63" s="17" t="s">
        <v>3414</v>
      </c>
      <c r="E63" s="17" t="s">
        <v>3415</v>
      </c>
      <c r="F63" s="20">
        <v>328</v>
      </c>
      <c r="G63" s="20">
        <v>150</v>
      </c>
      <c r="H63" s="19">
        <v>612</v>
      </c>
      <c r="I63" s="20">
        <v>306</v>
      </c>
      <c r="J63" s="20">
        <v>306</v>
      </c>
      <c r="K63" s="20">
        <v>47</v>
      </c>
      <c r="L63" s="57">
        <f t="shared" si="2"/>
        <v>7.6797385620915037E-2</v>
      </c>
      <c r="M63" s="20">
        <v>20</v>
      </c>
      <c r="N63" s="57">
        <f t="shared" si="3"/>
        <v>3.2679738562091505E-2</v>
      </c>
      <c r="O63" s="46">
        <v>52</v>
      </c>
      <c r="P63" s="46">
        <v>0</v>
      </c>
      <c r="Q63" s="58" t="s">
        <v>51</v>
      </c>
      <c r="R63" s="58">
        <v>2020</v>
      </c>
      <c r="S63" s="58"/>
      <c r="T63" s="58"/>
      <c r="U63" s="58"/>
      <c r="V63" s="58"/>
      <c r="W63" s="58"/>
      <c r="X63" s="58" t="s">
        <v>51</v>
      </c>
      <c r="Y63" s="58"/>
      <c r="Z63" s="58"/>
      <c r="AA63" s="58"/>
      <c r="AB63" s="58"/>
      <c r="AC63" s="58" t="s">
        <v>51</v>
      </c>
      <c r="AD63" s="58"/>
      <c r="AE63" s="58"/>
      <c r="AF63" s="58"/>
      <c r="AG63" s="58"/>
      <c r="AH63" s="58"/>
      <c r="AI63" s="58"/>
    </row>
    <row r="64" spans="1:35" x14ac:dyDescent="0.35">
      <c r="A64" s="17" t="s">
        <v>46</v>
      </c>
      <c r="B64" s="17" t="s">
        <v>3292</v>
      </c>
      <c r="C64" s="28" t="s">
        <v>3307</v>
      </c>
      <c r="D64" s="17" t="s">
        <v>3416</v>
      </c>
      <c r="E64" s="17" t="s">
        <v>3417</v>
      </c>
      <c r="F64" s="20">
        <v>196</v>
      </c>
      <c r="G64" s="20">
        <v>119</v>
      </c>
      <c r="H64" s="19">
        <v>642</v>
      </c>
      <c r="I64" s="20">
        <v>315</v>
      </c>
      <c r="J64" s="20">
        <v>327</v>
      </c>
      <c r="K64" s="20">
        <v>74</v>
      </c>
      <c r="L64" s="57">
        <f t="shared" si="2"/>
        <v>0.11526479750778816</v>
      </c>
      <c r="M64" s="20">
        <v>181</v>
      </c>
      <c r="N64" s="57">
        <f t="shared" si="3"/>
        <v>0.2819314641744548</v>
      </c>
      <c r="O64" s="46">
        <v>18</v>
      </c>
      <c r="P64" s="46">
        <v>0</v>
      </c>
      <c r="Q64" s="58" t="s">
        <v>51</v>
      </c>
      <c r="R64" s="58">
        <v>2020</v>
      </c>
      <c r="S64" s="58"/>
      <c r="T64" s="58"/>
      <c r="U64" s="58"/>
      <c r="V64" s="58"/>
      <c r="W64" s="58"/>
      <c r="X64" s="58" t="s">
        <v>51</v>
      </c>
      <c r="Y64" s="58"/>
      <c r="Z64" s="58"/>
      <c r="AA64" s="58"/>
      <c r="AB64" s="58"/>
      <c r="AC64" s="58" t="s">
        <v>51</v>
      </c>
      <c r="AD64" s="58"/>
      <c r="AE64" s="58"/>
      <c r="AF64" s="58"/>
      <c r="AG64" s="58"/>
      <c r="AH64" s="58"/>
      <c r="AI64" s="58"/>
    </row>
    <row r="65" spans="1:35" x14ac:dyDescent="0.35">
      <c r="A65" s="17" t="s">
        <v>46</v>
      </c>
      <c r="B65" s="17" t="s">
        <v>3292</v>
      </c>
      <c r="C65" s="28" t="s">
        <v>3369</v>
      </c>
      <c r="D65" s="17" t="s">
        <v>3418</v>
      </c>
      <c r="E65" s="17" t="s">
        <v>3419</v>
      </c>
      <c r="F65" s="20">
        <v>179</v>
      </c>
      <c r="G65" s="20">
        <v>130</v>
      </c>
      <c r="H65" s="19">
        <v>690</v>
      </c>
      <c r="I65" s="20">
        <v>333</v>
      </c>
      <c r="J65" s="20">
        <v>357</v>
      </c>
      <c r="K65" s="20">
        <v>65</v>
      </c>
      <c r="L65" s="57">
        <f t="shared" si="2"/>
        <v>9.420289855072464E-2</v>
      </c>
      <c r="M65" s="20">
        <v>128</v>
      </c>
      <c r="N65" s="57">
        <f t="shared" si="3"/>
        <v>0.1855072463768116</v>
      </c>
      <c r="O65" s="46">
        <v>38</v>
      </c>
      <c r="P65" s="46">
        <v>0</v>
      </c>
      <c r="Q65" s="58" t="s">
        <v>51</v>
      </c>
      <c r="R65" s="58">
        <v>2019</v>
      </c>
      <c r="S65" s="58"/>
      <c r="T65" s="58"/>
      <c r="U65" s="58"/>
      <c r="V65" s="58"/>
      <c r="W65" s="58"/>
      <c r="X65" s="58" t="s">
        <v>51</v>
      </c>
      <c r="Y65" s="58"/>
      <c r="Z65" s="58"/>
      <c r="AA65" s="58"/>
      <c r="AB65" s="58"/>
      <c r="AC65" s="58" t="s">
        <v>51</v>
      </c>
      <c r="AD65" s="58"/>
      <c r="AE65" s="58"/>
      <c r="AF65" s="58"/>
      <c r="AG65" s="58"/>
      <c r="AH65" s="58"/>
      <c r="AI65" s="58"/>
    </row>
    <row r="66" spans="1:35" x14ac:dyDescent="0.35">
      <c r="A66" s="17" t="s">
        <v>46</v>
      </c>
      <c r="B66" s="17" t="s">
        <v>3292</v>
      </c>
      <c r="C66" s="28" t="s">
        <v>3369</v>
      </c>
      <c r="D66" s="17" t="s">
        <v>3420</v>
      </c>
      <c r="E66" s="17" t="s">
        <v>3421</v>
      </c>
      <c r="F66" s="20">
        <v>487</v>
      </c>
      <c r="G66" s="20">
        <v>223</v>
      </c>
      <c r="H66" s="19">
        <v>1048</v>
      </c>
      <c r="I66" s="20">
        <v>520</v>
      </c>
      <c r="J66" s="20">
        <v>528</v>
      </c>
      <c r="K66" s="20">
        <v>361</v>
      </c>
      <c r="L66" s="57">
        <f t="shared" si="2"/>
        <v>0.34446564885496184</v>
      </c>
      <c r="M66" s="20">
        <v>7</v>
      </c>
      <c r="N66" s="57">
        <f t="shared" si="3"/>
        <v>6.6793893129770991E-3</v>
      </c>
      <c r="O66" s="46">
        <v>77</v>
      </c>
      <c r="P66" s="46">
        <v>0</v>
      </c>
      <c r="Q66" s="58" t="s">
        <v>51</v>
      </c>
      <c r="R66" s="58">
        <v>2019</v>
      </c>
      <c r="S66" s="58"/>
      <c r="T66" s="58"/>
      <c r="U66" s="58"/>
      <c r="V66" s="58"/>
      <c r="W66" s="58"/>
      <c r="X66" s="58" t="s">
        <v>51</v>
      </c>
      <c r="Y66" s="58"/>
      <c r="Z66" s="58"/>
      <c r="AA66" s="58"/>
      <c r="AB66" s="58"/>
      <c r="AC66" s="58" t="s">
        <v>51</v>
      </c>
      <c r="AD66" s="58"/>
      <c r="AE66" s="58"/>
      <c r="AF66" s="58"/>
      <c r="AG66" s="58"/>
      <c r="AH66" s="58"/>
      <c r="AI66" s="58"/>
    </row>
    <row r="67" spans="1:35" x14ac:dyDescent="0.35">
      <c r="A67" s="17" t="s">
        <v>46</v>
      </c>
      <c r="B67" s="17" t="s">
        <v>3292</v>
      </c>
      <c r="C67" s="28" t="s">
        <v>3369</v>
      </c>
      <c r="D67" s="17" t="s">
        <v>3422</v>
      </c>
      <c r="E67" s="17" t="s">
        <v>3423</v>
      </c>
      <c r="F67" s="20">
        <v>237</v>
      </c>
      <c r="G67" s="20">
        <v>76</v>
      </c>
      <c r="H67" s="19">
        <v>361</v>
      </c>
      <c r="I67" s="20">
        <v>180</v>
      </c>
      <c r="J67" s="20">
        <v>181</v>
      </c>
      <c r="K67" s="20">
        <v>105</v>
      </c>
      <c r="L67" s="57">
        <f t="shared" si="2"/>
        <v>0.29085872576177285</v>
      </c>
      <c r="M67" s="20">
        <v>24</v>
      </c>
      <c r="N67" s="57">
        <f t="shared" si="3"/>
        <v>6.6481994459833799E-2</v>
      </c>
      <c r="O67" s="46">
        <v>30</v>
      </c>
      <c r="P67" s="46">
        <v>38</v>
      </c>
      <c r="Q67" s="58" t="s">
        <v>51</v>
      </c>
      <c r="R67" s="58">
        <v>2019</v>
      </c>
      <c r="S67" s="58"/>
      <c r="T67" s="58"/>
      <c r="U67" s="58"/>
      <c r="V67" s="58"/>
      <c r="W67" s="58"/>
      <c r="X67" s="58" t="s">
        <v>51</v>
      </c>
      <c r="Y67" s="58"/>
      <c r="Z67" s="58"/>
      <c r="AA67" s="58"/>
      <c r="AB67" s="58"/>
      <c r="AC67" s="58" t="s">
        <v>51</v>
      </c>
      <c r="AD67" s="58"/>
      <c r="AE67" s="58"/>
      <c r="AF67" s="58"/>
      <c r="AG67" s="58"/>
      <c r="AH67" s="58"/>
      <c r="AI67" s="58"/>
    </row>
    <row r="68" spans="1:35" x14ac:dyDescent="0.35">
      <c r="A68" s="17" t="s">
        <v>46</v>
      </c>
      <c r="B68" s="17" t="s">
        <v>3292</v>
      </c>
      <c r="C68" s="28" t="s">
        <v>3424</v>
      </c>
      <c r="D68" s="17" t="s">
        <v>3425</v>
      </c>
      <c r="E68" s="17" t="s">
        <v>3426</v>
      </c>
      <c r="F68" s="20">
        <v>263</v>
      </c>
      <c r="G68" s="20">
        <v>93</v>
      </c>
      <c r="H68" s="19">
        <v>414</v>
      </c>
      <c r="I68" s="20">
        <v>206</v>
      </c>
      <c r="J68" s="20">
        <v>208</v>
      </c>
      <c r="K68" s="20">
        <v>96</v>
      </c>
      <c r="L68" s="57">
        <f t="shared" si="2"/>
        <v>0.2318840579710145</v>
      </c>
      <c r="M68" s="20">
        <v>0</v>
      </c>
      <c r="N68" s="57">
        <f t="shared" si="3"/>
        <v>0</v>
      </c>
      <c r="O68" s="46">
        <v>19</v>
      </c>
      <c r="P68" s="46">
        <v>0</v>
      </c>
      <c r="Q68" s="58" t="s">
        <v>51</v>
      </c>
      <c r="R68" s="58">
        <v>2019</v>
      </c>
      <c r="S68" s="58"/>
      <c r="T68" s="58"/>
      <c r="U68" s="58"/>
      <c r="V68" s="58"/>
      <c r="W68" s="58"/>
      <c r="X68" s="58" t="s">
        <v>51</v>
      </c>
      <c r="Y68" s="58"/>
      <c r="Z68" s="58"/>
      <c r="AA68" s="58"/>
      <c r="AB68" s="58"/>
      <c r="AC68" s="58" t="s">
        <v>51</v>
      </c>
      <c r="AD68" s="58"/>
      <c r="AE68" s="58"/>
      <c r="AF68" s="58"/>
      <c r="AG68" s="58"/>
      <c r="AH68" s="58"/>
      <c r="AI68" s="58"/>
    </row>
    <row r="69" spans="1:35" x14ac:dyDescent="0.35">
      <c r="A69" s="17" t="s">
        <v>46</v>
      </c>
      <c r="B69" s="17" t="s">
        <v>3292</v>
      </c>
      <c r="C69" s="28" t="s">
        <v>3427</v>
      </c>
      <c r="D69" s="17" t="s">
        <v>3428</v>
      </c>
      <c r="E69" s="17" t="s">
        <v>3429</v>
      </c>
      <c r="F69" s="28">
        <v>142</v>
      </c>
      <c r="G69" s="47"/>
      <c r="H69" s="19">
        <v>0</v>
      </c>
      <c r="I69" s="47"/>
      <c r="J69" s="47"/>
      <c r="K69" s="47"/>
      <c r="L69" s="57"/>
      <c r="M69" s="47"/>
      <c r="N69" s="57"/>
      <c r="O69" s="48">
        <v>48</v>
      </c>
      <c r="P69" s="48">
        <v>23</v>
      </c>
      <c r="Q69" s="58" t="s">
        <v>112</v>
      </c>
      <c r="R69" s="58"/>
      <c r="S69" s="58"/>
      <c r="T69" s="58"/>
      <c r="U69" s="58"/>
      <c r="V69" s="58"/>
      <c r="W69" s="58"/>
      <c r="X69" s="58" t="s">
        <v>112</v>
      </c>
      <c r="Y69" s="58"/>
      <c r="Z69" s="58"/>
      <c r="AA69" s="58"/>
      <c r="AB69" s="58"/>
      <c r="AC69" s="58" t="s">
        <v>112</v>
      </c>
      <c r="AD69" s="58"/>
      <c r="AE69" s="58"/>
      <c r="AF69" s="58"/>
      <c r="AG69" s="58"/>
      <c r="AH69" s="58"/>
      <c r="AI69" s="58"/>
    </row>
    <row r="70" spans="1:35" x14ac:dyDescent="0.35">
      <c r="A70" s="17" t="s">
        <v>46</v>
      </c>
      <c r="B70" s="17" t="s">
        <v>3292</v>
      </c>
      <c r="C70" s="28" t="s">
        <v>3369</v>
      </c>
      <c r="D70" s="17" t="s">
        <v>705</v>
      </c>
      <c r="E70" s="17" t="s">
        <v>3430</v>
      </c>
      <c r="F70" s="28">
        <v>143</v>
      </c>
      <c r="G70" s="47"/>
      <c r="H70" s="19">
        <v>0</v>
      </c>
      <c r="I70" s="47"/>
      <c r="J70" s="47"/>
      <c r="K70" s="47"/>
      <c r="L70" s="57"/>
      <c r="M70" s="47"/>
      <c r="N70" s="57"/>
      <c r="O70" s="48">
        <v>2</v>
      </c>
      <c r="P70" s="48">
        <v>0</v>
      </c>
      <c r="Q70" s="58" t="s">
        <v>112</v>
      </c>
      <c r="R70" s="58"/>
      <c r="S70" s="58"/>
      <c r="T70" s="58"/>
      <c r="U70" s="58"/>
      <c r="V70" s="58"/>
      <c r="W70" s="58"/>
      <c r="X70" s="58" t="s">
        <v>112</v>
      </c>
      <c r="Y70" s="58"/>
      <c r="Z70" s="58"/>
      <c r="AA70" s="58"/>
      <c r="AB70" s="58"/>
      <c r="AC70" s="58" t="s">
        <v>112</v>
      </c>
      <c r="AD70" s="58"/>
      <c r="AE70" s="58"/>
      <c r="AF70" s="58"/>
      <c r="AG70" s="58"/>
      <c r="AH70" s="58"/>
      <c r="AI70" s="58"/>
    </row>
    <row r="71" spans="1:35" x14ac:dyDescent="0.35">
      <c r="A71" s="17" t="s">
        <v>46</v>
      </c>
      <c r="B71" s="17" t="s">
        <v>3292</v>
      </c>
      <c r="C71" s="28" t="s">
        <v>3369</v>
      </c>
      <c r="D71" s="17" t="s">
        <v>1798</v>
      </c>
      <c r="E71" s="17" t="s">
        <v>3431</v>
      </c>
      <c r="F71" s="20">
        <v>187</v>
      </c>
      <c r="G71" s="20">
        <v>11</v>
      </c>
      <c r="H71" s="19">
        <v>53</v>
      </c>
      <c r="I71" s="20">
        <v>27</v>
      </c>
      <c r="J71" s="20">
        <v>26</v>
      </c>
      <c r="K71" s="20">
        <v>1</v>
      </c>
      <c r="L71" s="57">
        <f t="shared" ref="L71:L82" si="4">K71/H71</f>
        <v>1.8867924528301886E-2</v>
      </c>
      <c r="M71" s="20">
        <v>0</v>
      </c>
      <c r="N71" s="57">
        <f t="shared" ref="N71:N82" si="5">M71/H71</f>
        <v>0</v>
      </c>
      <c r="O71" s="46">
        <v>2</v>
      </c>
      <c r="P71" s="46">
        <v>0</v>
      </c>
      <c r="Q71" s="58" t="s">
        <v>562</v>
      </c>
      <c r="R71" s="58"/>
      <c r="S71" s="58"/>
      <c r="T71" s="58"/>
      <c r="U71" s="58"/>
      <c r="V71" s="58"/>
      <c r="W71" s="58"/>
      <c r="X71" s="58" t="s">
        <v>562</v>
      </c>
      <c r="Y71" s="58"/>
      <c r="Z71" s="58"/>
      <c r="AA71" s="58"/>
      <c r="AB71" s="58"/>
      <c r="AC71" s="58" t="s">
        <v>562</v>
      </c>
      <c r="AD71" s="58"/>
      <c r="AE71" s="58"/>
      <c r="AF71" s="58"/>
      <c r="AG71" s="58"/>
      <c r="AH71" s="58"/>
      <c r="AI71" s="58"/>
    </row>
    <row r="72" spans="1:35" x14ac:dyDescent="0.35">
      <c r="A72" s="17" t="s">
        <v>46</v>
      </c>
      <c r="B72" s="17" t="s">
        <v>3292</v>
      </c>
      <c r="C72" s="28" t="s">
        <v>3356</v>
      </c>
      <c r="D72" s="17" t="s">
        <v>3432</v>
      </c>
      <c r="E72" s="17" t="s">
        <v>3433</v>
      </c>
      <c r="F72" s="20">
        <v>115</v>
      </c>
      <c r="G72" s="20">
        <v>82</v>
      </c>
      <c r="H72" s="19">
        <v>381</v>
      </c>
      <c r="I72" s="20">
        <v>193</v>
      </c>
      <c r="J72" s="20">
        <v>188</v>
      </c>
      <c r="K72" s="20">
        <v>93</v>
      </c>
      <c r="L72" s="57">
        <f t="shared" si="4"/>
        <v>0.24409448818897639</v>
      </c>
      <c r="M72" s="20">
        <v>99</v>
      </c>
      <c r="N72" s="57">
        <f t="shared" si="5"/>
        <v>0.25984251968503935</v>
      </c>
      <c r="O72" s="46">
        <v>15</v>
      </c>
      <c r="P72" s="46">
        <v>0</v>
      </c>
      <c r="Q72" s="58" t="s">
        <v>51</v>
      </c>
      <c r="R72" s="58">
        <v>2021</v>
      </c>
      <c r="S72" s="58"/>
      <c r="T72" s="58"/>
      <c r="U72" s="58"/>
      <c r="V72" s="58"/>
      <c r="W72" s="58"/>
      <c r="X72" s="58" t="s">
        <v>51</v>
      </c>
      <c r="Y72" s="58"/>
      <c r="Z72" s="58"/>
      <c r="AA72" s="58"/>
      <c r="AB72" s="58"/>
      <c r="AC72" s="58" t="s">
        <v>51</v>
      </c>
      <c r="AD72" s="58"/>
      <c r="AE72" s="58"/>
      <c r="AF72" s="58"/>
      <c r="AG72" s="58"/>
      <c r="AH72" s="58"/>
      <c r="AI72" s="58"/>
    </row>
    <row r="73" spans="1:35" x14ac:dyDescent="0.35">
      <c r="A73" s="17" t="s">
        <v>46</v>
      </c>
      <c r="B73" s="17" t="s">
        <v>3292</v>
      </c>
      <c r="C73" s="28" t="s">
        <v>3356</v>
      </c>
      <c r="D73" s="17" t="s">
        <v>3434</v>
      </c>
      <c r="E73" s="17" t="s">
        <v>3435</v>
      </c>
      <c r="F73" s="20">
        <v>519</v>
      </c>
      <c r="G73" s="20">
        <v>163</v>
      </c>
      <c r="H73" s="19">
        <v>811</v>
      </c>
      <c r="I73" s="20">
        <v>415</v>
      </c>
      <c r="J73" s="20">
        <v>396</v>
      </c>
      <c r="K73" s="20">
        <v>190</v>
      </c>
      <c r="L73" s="57">
        <f t="shared" si="4"/>
        <v>0.23427866831072749</v>
      </c>
      <c r="M73" s="20">
        <v>114</v>
      </c>
      <c r="N73" s="57">
        <f t="shared" si="5"/>
        <v>0.14056720098643649</v>
      </c>
      <c r="O73" s="46">
        <v>77</v>
      </c>
      <c r="P73" s="46">
        <v>0</v>
      </c>
      <c r="Q73" s="58" t="s">
        <v>51</v>
      </c>
      <c r="R73" s="58">
        <v>2021</v>
      </c>
      <c r="S73" s="58"/>
      <c r="T73" s="58"/>
      <c r="U73" s="58"/>
      <c r="V73" s="58"/>
      <c r="W73" s="58"/>
      <c r="X73" s="58" t="s">
        <v>51</v>
      </c>
      <c r="Y73" s="58"/>
      <c r="Z73" s="58"/>
      <c r="AA73" s="58"/>
      <c r="AB73" s="58"/>
      <c r="AC73" s="58" t="s">
        <v>51</v>
      </c>
      <c r="AD73" s="58"/>
      <c r="AE73" s="58"/>
      <c r="AF73" s="58"/>
      <c r="AG73" s="58"/>
      <c r="AH73" s="58"/>
      <c r="AI73" s="58"/>
    </row>
    <row r="74" spans="1:35" x14ac:dyDescent="0.35">
      <c r="A74" s="17" t="s">
        <v>46</v>
      </c>
      <c r="B74" s="17" t="s">
        <v>3292</v>
      </c>
      <c r="C74" s="28" t="s">
        <v>3356</v>
      </c>
      <c r="D74" s="17" t="s">
        <v>2258</v>
      </c>
      <c r="E74" s="17" t="s">
        <v>3436</v>
      </c>
      <c r="F74" s="20">
        <v>191</v>
      </c>
      <c r="G74" s="20">
        <v>115</v>
      </c>
      <c r="H74" s="19">
        <v>512</v>
      </c>
      <c r="I74" s="20">
        <v>254</v>
      </c>
      <c r="J74" s="20">
        <v>258</v>
      </c>
      <c r="K74" s="20">
        <v>90</v>
      </c>
      <c r="L74" s="57">
        <f t="shared" si="4"/>
        <v>0.17578125</v>
      </c>
      <c r="M74" s="20">
        <v>165</v>
      </c>
      <c r="N74" s="57">
        <f t="shared" si="5"/>
        <v>0.322265625</v>
      </c>
      <c r="O74" s="46">
        <v>3</v>
      </c>
      <c r="P74" s="46">
        <v>0</v>
      </c>
      <c r="Q74" s="58" t="s">
        <v>51</v>
      </c>
      <c r="R74" s="58">
        <v>2021</v>
      </c>
      <c r="S74" s="58"/>
      <c r="T74" s="58"/>
      <c r="U74" s="58"/>
      <c r="V74" s="58"/>
      <c r="W74" s="58"/>
      <c r="X74" s="58" t="s">
        <v>51</v>
      </c>
      <c r="Y74" s="58"/>
      <c r="Z74" s="58"/>
      <c r="AA74" s="58"/>
      <c r="AB74" s="58"/>
      <c r="AC74" s="58" t="s">
        <v>51</v>
      </c>
      <c r="AD74" s="58"/>
      <c r="AE74" s="58"/>
      <c r="AF74" s="58"/>
      <c r="AG74" s="58"/>
      <c r="AH74" s="58"/>
      <c r="AI74" s="58"/>
    </row>
    <row r="75" spans="1:35" x14ac:dyDescent="0.35">
      <c r="A75" s="17" t="s">
        <v>46</v>
      </c>
      <c r="B75" s="17" t="s">
        <v>3292</v>
      </c>
      <c r="C75" s="28" t="s">
        <v>3293</v>
      </c>
      <c r="D75" s="17" t="s">
        <v>3437</v>
      </c>
      <c r="E75" s="17" t="s">
        <v>3438</v>
      </c>
      <c r="F75" s="20">
        <v>352</v>
      </c>
      <c r="G75" s="20">
        <v>80</v>
      </c>
      <c r="H75" s="19">
        <v>357</v>
      </c>
      <c r="I75" s="20">
        <v>191</v>
      </c>
      <c r="J75" s="20">
        <v>166</v>
      </c>
      <c r="K75" s="20">
        <v>123</v>
      </c>
      <c r="L75" s="57">
        <f t="shared" si="4"/>
        <v>0.34453781512605042</v>
      </c>
      <c r="M75" s="20">
        <v>33</v>
      </c>
      <c r="N75" s="57">
        <f t="shared" si="5"/>
        <v>9.2436974789915971E-2</v>
      </c>
      <c r="O75" s="46">
        <v>37</v>
      </c>
      <c r="P75" s="46">
        <v>0</v>
      </c>
      <c r="Q75" s="58" t="s">
        <v>51</v>
      </c>
      <c r="R75" s="58">
        <v>2019</v>
      </c>
      <c r="S75" s="58"/>
      <c r="T75" s="58"/>
      <c r="U75" s="58"/>
      <c r="V75" s="58"/>
      <c r="W75" s="58"/>
      <c r="X75" s="58" t="s">
        <v>51</v>
      </c>
      <c r="Y75" s="58"/>
      <c r="Z75" s="58"/>
      <c r="AA75" s="58"/>
      <c r="AB75" s="58"/>
      <c r="AC75" s="58" t="s">
        <v>51</v>
      </c>
      <c r="AD75" s="58"/>
      <c r="AE75" s="58"/>
      <c r="AF75" s="58"/>
      <c r="AG75" s="58"/>
      <c r="AH75" s="58"/>
      <c r="AI75" s="58"/>
    </row>
    <row r="76" spans="1:35" x14ac:dyDescent="0.35">
      <c r="A76" s="17" t="s">
        <v>46</v>
      </c>
      <c r="B76" s="17" t="s">
        <v>3292</v>
      </c>
      <c r="C76" s="28" t="s">
        <v>3356</v>
      </c>
      <c r="D76" s="17" t="s">
        <v>2311</v>
      </c>
      <c r="E76" s="17" t="s">
        <v>3439</v>
      </c>
      <c r="F76" s="20">
        <v>222</v>
      </c>
      <c r="G76" s="20">
        <v>96</v>
      </c>
      <c r="H76" s="19">
        <v>457</v>
      </c>
      <c r="I76" s="20">
        <v>231</v>
      </c>
      <c r="J76" s="20">
        <v>226</v>
      </c>
      <c r="K76" s="20">
        <v>28</v>
      </c>
      <c r="L76" s="57">
        <f t="shared" si="4"/>
        <v>6.1269146608315096E-2</v>
      </c>
      <c r="M76" s="20">
        <v>127</v>
      </c>
      <c r="N76" s="57">
        <f t="shared" si="5"/>
        <v>0.27789934354485779</v>
      </c>
      <c r="O76" s="46">
        <v>24</v>
      </c>
      <c r="P76" s="46">
        <v>0</v>
      </c>
      <c r="Q76" s="58" t="s">
        <v>51</v>
      </c>
      <c r="R76" s="58">
        <v>2021</v>
      </c>
      <c r="S76" s="58"/>
      <c r="T76" s="58"/>
      <c r="U76" s="58"/>
      <c r="V76" s="58"/>
      <c r="W76" s="58"/>
      <c r="X76" s="58" t="s">
        <v>51</v>
      </c>
      <c r="Y76" s="58"/>
      <c r="Z76" s="58"/>
      <c r="AA76" s="58"/>
      <c r="AB76" s="58"/>
      <c r="AC76" s="58" t="s">
        <v>51</v>
      </c>
      <c r="AD76" s="58"/>
      <c r="AE76" s="58"/>
      <c r="AF76" s="58"/>
      <c r="AG76" s="58"/>
      <c r="AH76" s="58"/>
      <c r="AI76" s="58"/>
    </row>
    <row r="77" spans="1:35" x14ac:dyDescent="0.35">
      <c r="A77" s="17" t="s">
        <v>46</v>
      </c>
      <c r="B77" s="17" t="s">
        <v>3292</v>
      </c>
      <c r="C77" s="28" t="s">
        <v>3332</v>
      </c>
      <c r="D77" s="17" t="s">
        <v>3440</v>
      </c>
      <c r="E77" s="17" t="s">
        <v>3441</v>
      </c>
      <c r="F77" s="20">
        <v>1334</v>
      </c>
      <c r="G77" s="20">
        <v>527</v>
      </c>
      <c r="H77" s="19">
        <v>2469</v>
      </c>
      <c r="I77" s="20">
        <v>1242</v>
      </c>
      <c r="J77" s="20">
        <v>1227</v>
      </c>
      <c r="K77" s="20">
        <v>208</v>
      </c>
      <c r="L77" s="57">
        <f t="shared" si="4"/>
        <v>8.4244633454840012E-2</v>
      </c>
      <c r="M77" s="20">
        <v>332</v>
      </c>
      <c r="N77" s="57">
        <f t="shared" si="5"/>
        <v>0.13446739570676386</v>
      </c>
      <c r="O77" s="46">
        <v>175</v>
      </c>
      <c r="P77" s="46">
        <v>0</v>
      </c>
      <c r="Q77" s="58" t="s">
        <v>51</v>
      </c>
      <c r="R77" s="58">
        <v>2019</v>
      </c>
      <c r="S77" s="58"/>
      <c r="T77" s="58"/>
      <c r="U77" s="58"/>
      <c r="V77" s="58"/>
      <c r="W77" s="58"/>
      <c r="X77" s="58" t="s">
        <v>51</v>
      </c>
      <c r="Y77" s="58"/>
      <c r="Z77" s="58"/>
      <c r="AA77" s="58"/>
      <c r="AB77" s="58"/>
      <c r="AC77" s="58" t="s">
        <v>51</v>
      </c>
      <c r="AD77" s="58"/>
      <c r="AE77" s="58"/>
      <c r="AF77" s="58"/>
      <c r="AG77" s="58"/>
      <c r="AH77" s="58"/>
      <c r="AI77" s="58"/>
    </row>
    <row r="78" spans="1:35" x14ac:dyDescent="0.35">
      <c r="A78" s="17" t="s">
        <v>46</v>
      </c>
      <c r="B78" s="17" t="s">
        <v>3292</v>
      </c>
      <c r="C78" s="28" t="s">
        <v>3332</v>
      </c>
      <c r="D78" s="17" t="s">
        <v>2249</v>
      </c>
      <c r="E78" s="17" t="s">
        <v>3442</v>
      </c>
      <c r="F78" s="20">
        <v>190</v>
      </c>
      <c r="G78" s="20">
        <v>99</v>
      </c>
      <c r="H78" s="19">
        <v>488</v>
      </c>
      <c r="I78" s="20">
        <v>223</v>
      </c>
      <c r="J78" s="20">
        <v>265</v>
      </c>
      <c r="K78" s="20">
        <v>451</v>
      </c>
      <c r="L78" s="57">
        <f t="shared" si="4"/>
        <v>0.92418032786885251</v>
      </c>
      <c r="M78" s="20">
        <v>0</v>
      </c>
      <c r="N78" s="57">
        <f t="shared" si="5"/>
        <v>0</v>
      </c>
      <c r="O78" s="46">
        <v>52</v>
      </c>
      <c r="P78" s="46">
        <v>0</v>
      </c>
      <c r="Q78" s="58" t="s">
        <v>51</v>
      </c>
      <c r="R78" s="58">
        <v>2019</v>
      </c>
      <c r="S78" s="58"/>
      <c r="T78" s="58"/>
      <c r="U78" s="58"/>
      <c r="V78" s="58"/>
      <c r="W78" s="58"/>
      <c r="X78" s="58" t="s">
        <v>51</v>
      </c>
      <c r="Y78" s="58"/>
      <c r="Z78" s="58"/>
      <c r="AA78" s="58"/>
      <c r="AB78" s="58"/>
      <c r="AC78" s="58" t="s">
        <v>51</v>
      </c>
      <c r="AD78" s="58"/>
      <c r="AE78" s="58"/>
      <c r="AF78" s="58"/>
      <c r="AG78" s="58"/>
      <c r="AH78" s="58"/>
      <c r="AI78" s="58"/>
    </row>
    <row r="79" spans="1:35" x14ac:dyDescent="0.35">
      <c r="A79" s="17" t="s">
        <v>46</v>
      </c>
      <c r="B79" s="17" t="s">
        <v>3292</v>
      </c>
      <c r="C79" s="28" t="s">
        <v>3334</v>
      </c>
      <c r="D79" s="17" t="s">
        <v>364</v>
      </c>
      <c r="E79" s="17" t="s">
        <v>3443</v>
      </c>
      <c r="F79" s="20">
        <v>204</v>
      </c>
      <c r="G79" s="20">
        <v>75</v>
      </c>
      <c r="H79" s="19">
        <v>348</v>
      </c>
      <c r="I79" s="20">
        <v>186</v>
      </c>
      <c r="J79" s="20">
        <v>162</v>
      </c>
      <c r="K79" s="20">
        <v>11</v>
      </c>
      <c r="L79" s="57">
        <f t="shared" si="4"/>
        <v>3.1609195402298854E-2</v>
      </c>
      <c r="M79" s="20">
        <v>44</v>
      </c>
      <c r="N79" s="57">
        <f t="shared" si="5"/>
        <v>0.12643678160919541</v>
      </c>
      <c r="O79" s="46">
        <v>25</v>
      </c>
      <c r="P79" s="46">
        <v>0</v>
      </c>
      <c r="Q79" s="58" t="s">
        <v>51</v>
      </c>
      <c r="R79" s="58">
        <v>2019</v>
      </c>
      <c r="S79" s="58"/>
      <c r="T79" s="58"/>
      <c r="U79" s="58"/>
      <c r="V79" s="58"/>
      <c r="W79" s="58"/>
      <c r="X79" s="58" t="s">
        <v>51</v>
      </c>
      <c r="Y79" s="58"/>
      <c r="Z79" s="58"/>
      <c r="AA79" s="58"/>
      <c r="AB79" s="58"/>
      <c r="AC79" s="58" t="s">
        <v>51</v>
      </c>
      <c r="AD79" s="58"/>
      <c r="AE79" s="58"/>
      <c r="AF79" s="58"/>
      <c r="AG79" s="58"/>
      <c r="AH79" s="58"/>
      <c r="AI79" s="58"/>
    </row>
    <row r="80" spans="1:35" x14ac:dyDescent="0.35">
      <c r="A80" s="17" t="s">
        <v>46</v>
      </c>
      <c r="B80" s="17" t="s">
        <v>3292</v>
      </c>
      <c r="C80" s="28" t="s">
        <v>3356</v>
      </c>
      <c r="D80" s="17" t="s">
        <v>1609</v>
      </c>
      <c r="E80" s="17" t="s">
        <v>3444</v>
      </c>
      <c r="F80" s="20">
        <v>400</v>
      </c>
      <c r="G80" s="20">
        <v>151</v>
      </c>
      <c r="H80" s="19">
        <v>621</v>
      </c>
      <c r="I80" s="20">
        <v>294</v>
      </c>
      <c r="J80" s="20">
        <v>327</v>
      </c>
      <c r="K80" s="20">
        <v>173</v>
      </c>
      <c r="L80" s="57">
        <f t="shared" si="4"/>
        <v>0.27858293075684382</v>
      </c>
      <c r="M80" s="20">
        <v>184</v>
      </c>
      <c r="N80" s="57">
        <f t="shared" si="5"/>
        <v>0.29629629629629628</v>
      </c>
      <c r="O80" s="46">
        <v>66</v>
      </c>
      <c r="P80" s="46">
        <v>0</v>
      </c>
      <c r="Q80" s="58" t="s">
        <v>51</v>
      </c>
      <c r="R80" s="58">
        <v>2021</v>
      </c>
      <c r="S80" s="58"/>
      <c r="T80" s="58"/>
      <c r="U80" s="58"/>
      <c r="V80" s="58"/>
      <c r="W80" s="58"/>
      <c r="X80" s="58" t="s">
        <v>51</v>
      </c>
      <c r="Y80" s="58"/>
      <c r="Z80" s="58"/>
      <c r="AA80" s="58"/>
      <c r="AB80" s="58"/>
      <c r="AC80" s="58" t="s">
        <v>51</v>
      </c>
      <c r="AD80" s="58"/>
      <c r="AE80" s="58"/>
      <c r="AF80" s="58"/>
      <c r="AG80" s="58"/>
      <c r="AH80" s="58"/>
      <c r="AI80" s="58"/>
    </row>
    <row r="81" spans="1:35" x14ac:dyDescent="0.35">
      <c r="A81" s="17" t="s">
        <v>46</v>
      </c>
      <c r="B81" s="17" t="s">
        <v>3292</v>
      </c>
      <c r="C81" s="28" t="s">
        <v>3427</v>
      </c>
      <c r="D81" s="17" t="s">
        <v>126</v>
      </c>
      <c r="E81" s="17" t="s">
        <v>3445</v>
      </c>
      <c r="F81" s="20">
        <v>215</v>
      </c>
      <c r="G81" s="20">
        <v>9</v>
      </c>
      <c r="H81" s="19">
        <v>39</v>
      </c>
      <c r="I81" s="20">
        <v>19</v>
      </c>
      <c r="J81" s="20">
        <v>20</v>
      </c>
      <c r="K81" s="20">
        <v>39</v>
      </c>
      <c r="L81" s="57">
        <f t="shared" si="4"/>
        <v>1</v>
      </c>
      <c r="M81" s="20">
        <v>0</v>
      </c>
      <c r="N81" s="57">
        <f t="shared" si="5"/>
        <v>0</v>
      </c>
      <c r="O81" s="46">
        <v>0</v>
      </c>
      <c r="P81" s="46">
        <v>0</v>
      </c>
      <c r="Q81" s="58" t="s">
        <v>562</v>
      </c>
      <c r="R81" s="58"/>
      <c r="S81" s="58"/>
      <c r="T81" s="58"/>
      <c r="U81" s="58"/>
      <c r="V81" s="58"/>
      <c r="W81" s="58"/>
      <c r="X81" s="58" t="s">
        <v>562</v>
      </c>
      <c r="Y81" s="58"/>
      <c r="Z81" s="58"/>
      <c r="AA81" s="58"/>
      <c r="AB81" s="58"/>
      <c r="AC81" s="58" t="s">
        <v>562</v>
      </c>
      <c r="AD81" s="58"/>
      <c r="AE81" s="58"/>
      <c r="AF81" s="58"/>
      <c r="AG81" s="58"/>
      <c r="AH81" s="58"/>
      <c r="AI81" s="58"/>
    </row>
    <row r="82" spans="1:35" x14ac:dyDescent="0.35">
      <c r="A82" s="17" t="s">
        <v>46</v>
      </c>
      <c r="B82" s="17" t="s">
        <v>3292</v>
      </c>
      <c r="C82" s="28" t="s">
        <v>3427</v>
      </c>
      <c r="D82" s="17" t="s">
        <v>3446</v>
      </c>
      <c r="E82" s="17" t="s">
        <v>3447</v>
      </c>
      <c r="F82" s="20">
        <v>160</v>
      </c>
      <c r="G82" s="20">
        <v>173</v>
      </c>
      <c r="H82" s="19">
        <v>869</v>
      </c>
      <c r="I82" s="20">
        <v>437</v>
      </c>
      <c r="J82" s="20">
        <v>432</v>
      </c>
      <c r="K82" s="20">
        <v>107</v>
      </c>
      <c r="L82" s="57">
        <f t="shared" si="4"/>
        <v>0.12313003452243959</v>
      </c>
      <c r="M82" s="20">
        <v>121</v>
      </c>
      <c r="N82" s="57">
        <f t="shared" si="5"/>
        <v>0.13924050632911392</v>
      </c>
      <c r="O82" s="46">
        <v>22</v>
      </c>
      <c r="P82" s="46">
        <v>0</v>
      </c>
      <c r="Q82" s="58" t="s">
        <v>51</v>
      </c>
      <c r="R82" s="58">
        <v>2021</v>
      </c>
      <c r="S82" s="58"/>
      <c r="T82" s="58"/>
      <c r="U82" s="58"/>
      <c r="V82" s="58"/>
      <c r="W82" s="58"/>
      <c r="X82" s="58" t="s">
        <v>51</v>
      </c>
      <c r="Y82" s="58"/>
      <c r="Z82" s="58"/>
      <c r="AA82" s="58"/>
      <c r="AB82" s="58"/>
      <c r="AC82" s="58" t="s">
        <v>51</v>
      </c>
      <c r="AD82" s="58"/>
      <c r="AE82" s="58"/>
      <c r="AF82" s="58"/>
      <c r="AG82" s="58"/>
      <c r="AH82" s="58"/>
      <c r="AI82" s="58"/>
    </row>
    <row r="83" spans="1:35" x14ac:dyDescent="0.35">
      <c r="A83" s="17" t="s">
        <v>46</v>
      </c>
      <c r="B83" s="17" t="s">
        <v>3292</v>
      </c>
      <c r="C83" s="28" t="s">
        <v>3427</v>
      </c>
      <c r="D83" s="17" t="s">
        <v>3448</v>
      </c>
      <c r="E83" s="17" t="s">
        <v>3449</v>
      </c>
      <c r="F83" s="28">
        <v>8</v>
      </c>
      <c r="G83" s="47"/>
      <c r="H83" s="19">
        <v>0</v>
      </c>
      <c r="I83" s="47"/>
      <c r="J83" s="47"/>
      <c r="K83" s="47"/>
      <c r="L83" s="57"/>
      <c r="M83" s="47"/>
      <c r="N83" s="57"/>
      <c r="O83" s="48">
        <v>0</v>
      </c>
      <c r="P83" s="48">
        <v>0</v>
      </c>
      <c r="Q83" s="58" t="s">
        <v>112</v>
      </c>
      <c r="R83" s="58"/>
      <c r="S83" s="58"/>
      <c r="T83" s="58"/>
      <c r="U83" s="58"/>
      <c r="V83" s="58"/>
      <c r="W83" s="58"/>
      <c r="X83" s="58" t="s">
        <v>112</v>
      </c>
      <c r="Y83" s="58"/>
      <c r="Z83" s="58"/>
      <c r="AA83" s="58"/>
      <c r="AB83" s="58"/>
      <c r="AC83" s="58" t="s">
        <v>112</v>
      </c>
      <c r="AD83" s="58"/>
      <c r="AE83" s="58"/>
      <c r="AF83" s="58"/>
      <c r="AG83" s="58"/>
      <c r="AH83" s="58"/>
      <c r="AI83" s="58"/>
    </row>
    <row r="84" spans="1:35" x14ac:dyDescent="0.35">
      <c r="A84" s="17" t="s">
        <v>46</v>
      </c>
      <c r="B84" s="17" t="s">
        <v>3292</v>
      </c>
      <c r="C84" s="28" t="s">
        <v>3427</v>
      </c>
      <c r="D84" s="17" t="s">
        <v>91</v>
      </c>
      <c r="E84" s="17" t="s">
        <v>3450</v>
      </c>
      <c r="F84" s="20">
        <v>356</v>
      </c>
      <c r="G84" s="20">
        <v>132</v>
      </c>
      <c r="H84" s="19">
        <v>567</v>
      </c>
      <c r="I84" s="20">
        <v>257</v>
      </c>
      <c r="J84" s="20">
        <v>310</v>
      </c>
      <c r="K84" s="20">
        <v>125</v>
      </c>
      <c r="L84" s="57">
        <f>K84/H84</f>
        <v>0.22045855379188711</v>
      </c>
      <c r="M84" s="20">
        <v>39</v>
      </c>
      <c r="N84" s="57">
        <f>M84/H84</f>
        <v>6.8783068783068779E-2</v>
      </c>
      <c r="O84" s="46">
        <v>2</v>
      </c>
      <c r="P84" s="46">
        <v>45</v>
      </c>
      <c r="Q84" s="58" t="s">
        <v>51</v>
      </c>
      <c r="R84" s="58">
        <v>2021</v>
      </c>
      <c r="S84" s="58"/>
      <c r="T84" s="58"/>
      <c r="U84" s="58"/>
      <c r="V84" s="58"/>
      <c r="W84" s="58"/>
      <c r="X84" s="58" t="s">
        <v>51</v>
      </c>
      <c r="Y84" s="58"/>
      <c r="Z84" s="58"/>
      <c r="AA84" s="58"/>
      <c r="AB84" s="58"/>
      <c r="AC84" s="58" t="s">
        <v>51</v>
      </c>
      <c r="AD84" s="58"/>
      <c r="AE84" s="58"/>
      <c r="AF84" s="58"/>
      <c r="AG84" s="58"/>
      <c r="AH84" s="58"/>
      <c r="AI84" s="58"/>
    </row>
    <row r="85" spans="1:35" x14ac:dyDescent="0.35">
      <c r="A85" s="17" t="s">
        <v>46</v>
      </c>
      <c r="B85" s="17" t="s">
        <v>3292</v>
      </c>
      <c r="C85" s="28" t="s">
        <v>3427</v>
      </c>
      <c r="D85" s="17" t="s">
        <v>3451</v>
      </c>
      <c r="E85" s="17" t="s">
        <v>3452</v>
      </c>
      <c r="F85" s="28">
        <v>14</v>
      </c>
      <c r="G85" s="47"/>
      <c r="H85" s="19">
        <v>0</v>
      </c>
      <c r="I85" s="47"/>
      <c r="J85" s="47"/>
      <c r="K85" s="47"/>
      <c r="L85" s="57"/>
      <c r="M85" s="47"/>
      <c r="N85" s="57"/>
      <c r="O85" s="48">
        <v>0</v>
      </c>
      <c r="P85" s="48">
        <v>0</v>
      </c>
      <c r="Q85" s="58" t="s">
        <v>112</v>
      </c>
      <c r="R85" s="58"/>
      <c r="S85" s="58"/>
      <c r="T85" s="58"/>
      <c r="U85" s="58"/>
      <c r="V85" s="58"/>
      <c r="W85" s="58"/>
      <c r="X85" s="58" t="s">
        <v>112</v>
      </c>
      <c r="Y85" s="58"/>
      <c r="Z85" s="58"/>
      <c r="AA85" s="58"/>
      <c r="AB85" s="58"/>
      <c r="AC85" s="58" t="s">
        <v>112</v>
      </c>
      <c r="AD85" s="58"/>
      <c r="AE85" s="58"/>
      <c r="AF85" s="58"/>
      <c r="AG85" s="58"/>
      <c r="AH85" s="58"/>
      <c r="AI85" s="58"/>
    </row>
    <row r="86" spans="1:35" x14ac:dyDescent="0.35">
      <c r="A86" s="17" t="s">
        <v>46</v>
      </c>
      <c r="B86" s="17" t="s">
        <v>3292</v>
      </c>
      <c r="C86" s="28" t="s">
        <v>3427</v>
      </c>
      <c r="D86" s="17" t="s">
        <v>3453</v>
      </c>
      <c r="E86" s="17" t="s">
        <v>3454</v>
      </c>
      <c r="F86" s="28">
        <v>132</v>
      </c>
      <c r="G86" s="47"/>
      <c r="H86" s="19">
        <v>0</v>
      </c>
      <c r="I86" s="47"/>
      <c r="J86" s="47"/>
      <c r="K86" s="47"/>
      <c r="L86" s="57"/>
      <c r="M86" s="47"/>
      <c r="N86" s="57"/>
      <c r="O86" s="48">
        <v>0</v>
      </c>
      <c r="P86" s="48">
        <v>0</v>
      </c>
      <c r="Q86" s="58" t="s">
        <v>112</v>
      </c>
      <c r="S86" s="58"/>
      <c r="T86" s="58"/>
      <c r="U86" s="58"/>
      <c r="V86" s="58"/>
      <c r="W86" s="58"/>
      <c r="X86" s="58" t="s">
        <v>112</v>
      </c>
      <c r="Y86" s="58"/>
      <c r="Z86" s="58"/>
      <c r="AA86" s="58"/>
      <c r="AB86" s="58"/>
      <c r="AC86" s="58" t="s">
        <v>112</v>
      </c>
      <c r="AD86" s="58"/>
      <c r="AE86" s="58"/>
      <c r="AF86" s="58"/>
      <c r="AG86" s="58"/>
      <c r="AH86" s="58"/>
      <c r="AI86" s="58"/>
    </row>
    <row r="87" spans="1:35" x14ac:dyDescent="0.35">
      <c r="A87" s="17" t="s">
        <v>46</v>
      </c>
      <c r="B87" s="17" t="s">
        <v>3292</v>
      </c>
      <c r="C87" s="28" t="s">
        <v>3427</v>
      </c>
      <c r="D87" s="17" t="s">
        <v>2908</v>
      </c>
      <c r="E87" s="17" t="s">
        <v>3455</v>
      </c>
      <c r="F87" s="20">
        <v>166</v>
      </c>
      <c r="G87" s="20">
        <v>94</v>
      </c>
      <c r="H87" s="19">
        <v>425</v>
      </c>
      <c r="I87" s="20">
        <v>196</v>
      </c>
      <c r="J87" s="20">
        <v>229</v>
      </c>
      <c r="K87" s="20">
        <v>222</v>
      </c>
      <c r="L87" s="57">
        <f t="shared" ref="L87:L97" si="6">K87/H87</f>
        <v>0.52235294117647058</v>
      </c>
      <c r="M87" s="20">
        <v>1</v>
      </c>
      <c r="N87" s="57">
        <f t="shared" ref="N87:N97" si="7">M87/H87</f>
        <v>2.352941176470588E-3</v>
      </c>
      <c r="O87" s="46">
        <v>16</v>
      </c>
      <c r="P87" s="46">
        <v>0</v>
      </c>
      <c r="Q87" s="58" t="s">
        <v>51</v>
      </c>
      <c r="R87" s="58">
        <v>2021</v>
      </c>
      <c r="S87" s="58"/>
      <c r="T87" s="58"/>
      <c r="U87" s="58"/>
      <c r="V87" s="58"/>
      <c r="W87" s="58"/>
      <c r="X87" s="58" t="s">
        <v>51</v>
      </c>
      <c r="Y87" s="58"/>
      <c r="Z87" s="58"/>
      <c r="AA87" s="58"/>
      <c r="AB87" s="58"/>
      <c r="AC87" s="58" t="s">
        <v>51</v>
      </c>
      <c r="AD87" s="58"/>
      <c r="AE87" s="58"/>
      <c r="AF87" s="58"/>
      <c r="AG87" s="58"/>
      <c r="AH87" s="58"/>
      <c r="AI87" s="58"/>
    </row>
    <row r="88" spans="1:35" x14ac:dyDescent="0.35">
      <c r="A88" s="17" t="s">
        <v>46</v>
      </c>
      <c r="B88" s="17" t="s">
        <v>3292</v>
      </c>
      <c r="C88" s="28" t="s">
        <v>3427</v>
      </c>
      <c r="D88" s="17" t="s">
        <v>3456</v>
      </c>
      <c r="E88" s="17" t="s">
        <v>3457</v>
      </c>
      <c r="F88" s="20">
        <v>666</v>
      </c>
      <c r="G88" s="20">
        <v>321</v>
      </c>
      <c r="H88" s="19">
        <v>1512</v>
      </c>
      <c r="I88" s="20">
        <v>754</v>
      </c>
      <c r="J88" s="20">
        <v>758</v>
      </c>
      <c r="K88" s="20">
        <v>166</v>
      </c>
      <c r="L88" s="57">
        <f t="shared" si="6"/>
        <v>0.10978835978835978</v>
      </c>
      <c r="M88" s="20">
        <v>111</v>
      </c>
      <c r="N88" s="57">
        <f t="shared" si="7"/>
        <v>7.3412698412698416E-2</v>
      </c>
      <c r="O88" s="46">
        <v>41</v>
      </c>
      <c r="P88" s="46">
        <v>0</v>
      </c>
      <c r="Q88" s="58" t="s">
        <v>51</v>
      </c>
      <c r="R88" s="58">
        <v>2021</v>
      </c>
      <c r="S88" s="58"/>
      <c r="T88" s="58"/>
      <c r="U88" s="58"/>
      <c r="V88" s="58"/>
      <c r="W88" s="58"/>
      <c r="X88" s="58" t="s">
        <v>51</v>
      </c>
      <c r="Y88" s="58"/>
      <c r="Z88" s="58"/>
      <c r="AA88" s="58"/>
      <c r="AB88" s="58"/>
      <c r="AC88" s="58" t="s">
        <v>51</v>
      </c>
      <c r="AD88" s="58"/>
      <c r="AE88" s="58"/>
      <c r="AF88" s="58"/>
      <c r="AG88" s="58"/>
      <c r="AH88" s="58"/>
      <c r="AI88" s="58"/>
    </row>
    <row r="89" spans="1:35" x14ac:dyDescent="0.35">
      <c r="A89" s="17" t="s">
        <v>46</v>
      </c>
      <c r="B89" s="17" t="s">
        <v>3292</v>
      </c>
      <c r="C89" s="28" t="s">
        <v>3424</v>
      </c>
      <c r="D89" s="17" t="s">
        <v>3458</v>
      </c>
      <c r="E89" s="17" t="s">
        <v>3459</v>
      </c>
      <c r="F89" s="20">
        <v>597</v>
      </c>
      <c r="G89" s="20">
        <v>197</v>
      </c>
      <c r="H89" s="19">
        <v>854</v>
      </c>
      <c r="I89" s="20">
        <v>393</v>
      </c>
      <c r="J89" s="20">
        <v>461</v>
      </c>
      <c r="K89" s="20">
        <v>259</v>
      </c>
      <c r="L89" s="57">
        <f t="shared" si="6"/>
        <v>0.30327868852459017</v>
      </c>
      <c r="M89" s="20">
        <v>30</v>
      </c>
      <c r="N89" s="57">
        <f t="shared" si="7"/>
        <v>3.5128805620608897E-2</v>
      </c>
      <c r="O89" s="46">
        <v>78</v>
      </c>
      <c r="P89" s="46">
        <v>0</v>
      </c>
      <c r="Q89" s="58" t="s">
        <v>51</v>
      </c>
      <c r="R89" s="58">
        <v>2019</v>
      </c>
      <c r="S89" s="58"/>
      <c r="T89" s="58"/>
      <c r="U89" s="58"/>
      <c r="V89" s="58"/>
      <c r="W89" s="58"/>
      <c r="X89" s="58" t="s">
        <v>51</v>
      </c>
      <c r="Y89" s="58"/>
      <c r="Z89" s="58"/>
      <c r="AA89" s="58"/>
      <c r="AB89" s="58"/>
      <c r="AC89" s="58" t="s">
        <v>51</v>
      </c>
      <c r="AD89" s="58"/>
      <c r="AE89" s="58"/>
      <c r="AF89" s="58"/>
      <c r="AG89" s="58"/>
      <c r="AH89" s="58"/>
      <c r="AI89" s="58"/>
    </row>
    <row r="90" spans="1:35" x14ac:dyDescent="0.35">
      <c r="A90" s="17" t="s">
        <v>46</v>
      </c>
      <c r="B90" s="17" t="s">
        <v>3292</v>
      </c>
      <c r="C90" s="28" t="s">
        <v>3460</v>
      </c>
      <c r="D90" s="17" t="s">
        <v>3461</v>
      </c>
      <c r="E90" s="17" t="s">
        <v>3462</v>
      </c>
      <c r="F90" s="20">
        <v>1701</v>
      </c>
      <c r="G90" s="20">
        <v>757</v>
      </c>
      <c r="H90" s="19">
        <v>4099</v>
      </c>
      <c r="I90" s="20">
        <v>2025</v>
      </c>
      <c r="J90" s="20">
        <v>2074</v>
      </c>
      <c r="K90" s="20">
        <v>878</v>
      </c>
      <c r="L90" s="57">
        <f t="shared" si="6"/>
        <v>0.21419858502073677</v>
      </c>
      <c r="M90" s="20">
        <v>60</v>
      </c>
      <c r="N90" s="57">
        <f t="shared" si="7"/>
        <v>1.4637716516223469E-2</v>
      </c>
      <c r="O90" s="46">
        <v>151</v>
      </c>
      <c r="P90" s="46">
        <v>0</v>
      </c>
      <c r="Q90" s="58" t="s">
        <v>51</v>
      </c>
      <c r="R90" s="58">
        <v>2019</v>
      </c>
      <c r="S90" s="58"/>
      <c r="T90" s="58"/>
      <c r="U90" s="58"/>
      <c r="V90" s="58"/>
      <c r="W90" s="58"/>
      <c r="X90" s="58" t="s">
        <v>51</v>
      </c>
      <c r="Y90" s="58"/>
      <c r="Z90" s="58"/>
      <c r="AA90" s="58"/>
      <c r="AB90" s="58"/>
      <c r="AC90" s="58" t="s">
        <v>51</v>
      </c>
      <c r="AD90" s="58"/>
      <c r="AE90" s="58"/>
      <c r="AF90" s="58"/>
      <c r="AG90" s="58"/>
      <c r="AH90" s="58"/>
      <c r="AI90" s="58"/>
    </row>
    <row r="91" spans="1:35" x14ac:dyDescent="0.35">
      <c r="A91" s="17" t="s">
        <v>46</v>
      </c>
      <c r="B91" s="17" t="s">
        <v>3292</v>
      </c>
      <c r="C91" s="28" t="s">
        <v>3460</v>
      </c>
      <c r="D91" s="17" t="s">
        <v>128</v>
      </c>
      <c r="E91" s="17" t="s">
        <v>3463</v>
      </c>
      <c r="F91" s="20">
        <v>248</v>
      </c>
      <c r="G91" s="20">
        <v>2</v>
      </c>
      <c r="H91" s="19">
        <v>8</v>
      </c>
      <c r="I91" s="20">
        <v>5</v>
      </c>
      <c r="J91" s="20">
        <v>3</v>
      </c>
      <c r="K91" s="20">
        <v>0</v>
      </c>
      <c r="L91" s="57">
        <f t="shared" si="6"/>
        <v>0</v>
      </c>
      <c r="M91" s="20">
        <v>8</v>
      </c>
      <c r="N91" s="57">
        <f t="shared" si="7"/>
        <v>1</v>
      </c>
      <c r="O91" s="46">
        <v>0</v>
      </c>
      <c r="P91" s="46">
        <v>0</v>
      </c>
      <c r="Q91" s="58" t="s">
        <v>112</v>
      </c>
      <c r="R91" s="58"/>
      <c r="S91" s="58"/>
      <c r="T91" s="58"/>
      <c r="U91" s="58"/>
      <c r="V91" s="58"/>
      <c r="W91" s="58"/>
      <c r="X91" s="58" t="s">
        <v>112</v>
      </c>
      <c r="Y91" s="58"/>
      <c r="Z91" s="58"/>
      <c r="AA91" s="58"/>
      <c r="AB91" s="58"/>
      <c r="AC91" s="58" t="s">
        <v>112</v>
      </c>
      <c r="AD91" s="58"/>
      <c r="AE91" s="58"/>
      <c r="AF91" s="58"/>
      <c r="AG91" s="58"/>
      <c r="AH91" s="58"/>
      <c r="AI91" s="58"/>
    </row>
    <row r="92" spans="1:35" x14ac:dyDescent="0.35">
      <c r="A92" s="17" t="s">
        <v>46</v>
      </c>
      <c r="B92" s="17" t="s">
        <v>3292</v>
      </c>
      <c r="C92" s="28" t="s">
        <v>3424</v>
      </c>
      <c r="D92" s="17" t="s">
        <v>3464</v>
      </c>
      <c r="E92" s="17" t="s">
        <v>3465</v>
      </c>
      <c r="F92" s="20">
        <v>691</v>
      </c>
      <c r="G92" s="20">
        <v>327</v>
      </c>
      <c r="H92" s="19">
        <v>1429</v>
      </c>
      <c r="I92" s="20">
        <v>693</v>
      </c>
      <c r="J92" s="20">
        <v>736</v>
      </c>
      <c r="K92" s="20">
        <v>545</v>
      </c>
      <c r="L92" s="57">
        <f t="shared" si="6"/>
        <v>0.3813855843247026</v>
      </c>
      <c r="M92" s="20">
        <v>181</v>
      </c>
      <c r="N92" s="57">
        <f t="shared" si="7"/>
        <v>0.12666200139958012</v>
      </c>
      <c r="O92" s="46">
        <v>59</v>
      </c>
      <c r="P92" s="46">
        <v>0</v>
      </c>
      <c r="Q92" s="58" t="s">
        <v>51</v>
      </c>
      <c r="R92" s="58">
        <v>2019</v>
      </c>
      <c r="S92" s="58"/>
      <c r="T92" s="58"/>
      <c r="U92" s="58"/>
      <c r="V92" s="58"/>
      <c r="W92" s="58"/>
      <c r="X92" s="58" t="s">
        <v>51</v>
      </c>
      <c r="Y92" s="58"/>
      <c r="Z92" s="58"/>
      <c r="AA92" s="58"/>
      <c r="AB92" s="58"/>
      <c r="AC92" s="58" t="s">
        <v>51</v>
      </c>
      <c r="AD92" s="58"/>
      <c r="AE92" s="58"/>
      <c r="AF92" s="58"/>
      <c r="AG92" s="58"/>
      <c r="AH92" s="58"/>
      <c r="AI92" s="58"/>
    </row>
    <row r="93" spans="1:35" x14ac:dyDescent="0.35">
      <c r="A93" s="17" t="s">
        <v>46</v>
      </c>
      <c r="B93" s="17" t="s">
        <v>3292</v>
      </c>
      <c r="C93" s="28" t="s">
        <v>3424</v>
      </c>
      <c r="D93" s="17" t="s">
        <v>1438</v>
      </c>
      <c r="E93" s="17" t="s">
        <v>3466</v>
      </c>
      <c r="F93" s="20">
        <v>455</v>
      </c>
      <c r="G93" s="20">
        <v>124</v>
      </c>
      <c r="H93" s="19">
        <v>623</v>
      </c>
      <c r="I93" s="20">
        <v>309</v>
      </c>
      <c r="J93" s="20">
        <v>314</v>
      </c>
      <c r="K93" s="20">
        <v>229</v>
      </c>
      <c r="L93" s="57">
        <f t="shared" si="6"/>
        <v>0.36757624398073835</v>
      </c>
      <c r="M93" s="20">
        <v>89</v>
      </c>
      <c r="N93" s="57">
        <f t="shared" si="7"/>
        <v>0.14285714285714285</v>
      </c>
      <c r="O93" s="46">
        <v>52</v>
      </c>
      <c r="P93" s="46">
        <v>0</v>
      </c>
      <c r="Q93" s="58" t="s">
        <v>51</v>
      </c>
      <c r="R93" s="58">
        <v>2019</v>
      </c>
      <c r="S93" s="58"/>
      <c r="T93" s="58"/>
      <c r="U93" s="58"/>
      <c r="V93" s="58"/>
      <c r="W93" s="58"/>
      <c r="X93" s="58" t="s">
        <v>51</v>
      </c>
      <c r="Y93" s="58"/>
      <c r="Z93" s="58"/>
      <c r="AA93" s="58"/>
      <c r="AB93" s="58"/>
      <c r="AC93" s="58" t="s">
        <v>51</v>
      </c>
      <c r="AD93" s="58"/>
      <c r="AE93" s="58"/>
      <c r="AF93" s="58"/>
      <c r="AG93" s="58"/>
      <c r="AH93" s="58"/>
      <c r="AI93" s="58"/>
    </row>
    <row r="94" spans="1:35" x14ac:dyDescent="0.35">
      <c r="A94" s="17" t="s">
        <v>46</v>
      </c>
      <c r="B94" s="17" t="s">
        <v>3292</v>
      </c>
      <c r="C94" s="28" t="s">
        <v>3467</v>
      </c>
      <c r="D94" s="17" t="s">
        <v>3468</v>
      </c>
      <c r="E94" s="17" t="s">
        <v>3469</v>
      </c>
      <c r="F94" s="20">
        <v>1372</v>
      </c>
      <c r="G94" s="20">
        <v>472</v>
      </c>
      <c r="H94" s="19">
        <v>2167</v>
      </c>
      <c r="I94" s="20">
        <v>1093</v>
      </c>
      <c r="J94" s="20">
        <v>1074</v>
      </c>
      <c r="K94" s="20">
        <v>372</v>
      </c>
      <c r="L94" s="57">
        <f t="shared" si="6"/>
        <v>0.17166589755422243</v>
      </c>
      <c r="M94" s="20">
        <v>292</v>
      </c>
      <c r="N94" s="57">
        <f t="shared" si="7"/>
        <v>0.13474850023073373</v>
      </c>
      <c r="O94" s="46">
        <v>179</v>
      </c>
      <c r="P94" s="46">
        <v>0</v>
      </c>
      <c r="Q94" s="58" t="s">
        <v>51</v>
      </c>
      <c r="R94" s="58">
        <v>2019</v>
      </c>
      <c r="S94" s="58"/>
      <c r="T94" s="58"/>
      <c r="U94" s="58"/>
      <c r="V94" s="58"/>
      <c r="W94" s="58"/>
      <c r="X94" s="58" t="s">
        <v>51</v>
      </c>
      <c r="Y94" s="58"/>
      <c r="Z94" s="58"/>
      <c r="AA94" s="58"/>
      <c r="AB94" s="58"/>
      <c r="AC94" s="58" t="s">
        <v>51</v>
      </c>
      <c r="AD94" s="58"/>
      <c r="AE94" s="58"/>
      <c r="AF94" s="58"/>
      <c r="AG94" s="58"/>
      <c r="AH94" s="58"/>
      <c r="AI94" s="58"/>
    </row>
    <row r="95" spans="1:35" x14ac:dyDescent="0.35">
      <c r="A95" s="17" t="s">
        <v>46</v>
      </c>
      <c r="B95" s="17" t="s">
        <v>3292</v>
      </c>
      <c r="C95" s="28" t="s">
        <v>3467</v>
      </c>
      <c r="D95" s="17" t="s">
        <v>3470</v>
      </c>
      <c r="E95" s="17" t="s">
        <v>3471</v>
      </c>
      <c r="F95" s="20">
        <v>192</v>
      </c>
      <c r="G95" s="20">
        <v>50</v>
      </c>
      <c r="H95" s="19">
        <v>265</v>
      </c>
      <c r="I95" s="20">
        <v>128</v>
      </c>
      <c r="J95" s="20">
        <v>137</v>
      </c>
      <c r="K95" s="20">
        <v>45</v>
      </c>
      <c r="L95" s="57">
        <f t="shared" si="6"/>
        <v>0.16981132075471697</v>
      </c>
      <c r="M95" s="20">
        <v>141</v>
      </c>
      <c r="N95" s="57">
        <f t="shared" si="7"/>
        <v>0.5320754716981132</v>
      </c>
      <c r="O95" s="46">
        <v>15</v>
      </c>
      <c r="P95" s="46">
        <v>0</v>
      </c>
      <c r="Q95" s="58" t="s">
        <v>51</v>
      </c>
      <c r="R95" s="58">
        <v>2019</v>
      </c>
      <c r="S95" s="58"/>
      <c r="T95" s="58"/>
      <c r="U95" s="58"/>
      <c r="V95" s="58"/>
      <c r="W95" s="58"/>
      <c r="X95" s="58" t="s">
        <v>51</v>
      </c>
      <c r="Y95" s="58"/>
      <c r="Z95" s="58"/>
      <c r="AA95" s="58"/>
      <c r="AB95" s="58"/>
      <c r="AC95" s="58" t="s">
        <v>51</v>
      </c>
      <c r="AD95" s="58"/>
      <c r="AE95" s="58"/>
      <c r="AF95" s="58"/>
      <c r="AG95" s="58"/>
      <c r="AH95" s="58"/>
      <c r="AI95" s="58"/>
    </row>
    <row r="96" spans="1:35" x14ac:dyDescent="0.35">
      <c r="A96" s="17" t="s">
        <v>46</v>
      </c>
      <c r="B96" s="17" t="s">
        <v>3292</v>
      </c>
      <c r="C96" s="28" t="s">
        <v>3467</v>
      </c>
      <c r="D96" s="17" t="s">
        <v>3472</v>
      </c>
      <c r="E96" s="17" t="s">
        <v>3473</v>
      </c>
      <c r="F96" s="20">
        <v>325.2</v>
      </c>
      <c r="G96" s="20">
        <v>133</v>
      </c>
      <c r="H96" s="19">
        <v>623</v>
      </c>
      <c r="I96" s="20">
        <v>304</v>
      </c>
      <c r="J96" s="20">
        <v>319</v>
      </c>
      <c r="K96" s="20">
        <v>16</v>
      </c>
      <c r="L96" s="57">
        <f t="shared" si="6"/>
        <v>2.5682182985553772E-2</v>
      </c>
      <c r="M96" s="20">
        <v>0</v>
      </c>
      <c r="N96" s="57">
        <f t="shared" si="7"/>
        <v>0</v>
      </c>
      <c r="O96" s="46">
        <v>38</v>
      </c>
      <c r="P96" s="46">
        <v>0</v>
      </c>
      <c r="Q96" s="58" t="s">
        <v>51</v>
      </c>
      <c r="R96" s="58">
        <v>2019</v>
      </c>
      <c r="S96" s="58"/>
      <c r="T96" s="58"/>
      <c r="U96" s="58"/>
      <c r="V96" s="58"/>
      <c r="W96" s="58"/>
      <c r="X96" s="58" t="s">
        <v>51</v>
      </c>
      <c r="Y96" s="58"/>
      <c r="Z96" s="58"/>
      <c r="AA96" s="58"/>
      <c r="AB96" s="58"/>
      <c r="AC96" s="58" t="s">
        <v>51</v>
      </c>
      <c r="AD96" s="58"/>
      <c r="AE96" s="58"/>
      <c r="AF96" s="58"/>
      <c r="AG96" s="58"/>
      <c r="AH96" s="58"/>
      <c r="AI96" s="58"/>
    </row>
    <row r="97" spans="1:35" x14ac:dyDescent="0.35">
      <c r="A97" s="17" t="s">
        <v>46</v>
      </c>
      <c r="B97" s="17" t="s">
        <v>3292</v>
      </c>
      <c r="C97" s="28" t="s">
        <v>3467</v>
      </c>
      <c r="D97" s="17" t="s">
        <v>2040</v>
      </c>
      <c r="E97" s="17" t="s">
        <v>3474</v>
      </c>
      <c r="F97" s="20">
        <v>117</v>
      </c>
      <c r="G97" s="20">
        <v>44</v>
      </c>
      <c r="H97" s="19">
        <v>234</v>
      </c>
      <c r="I97" s="20">
        <v>118</v>
      </c>
      <c r="J97" s="20">
        <v>116</v>
      </c>
      <c r="K97" s="20">
        <v>36</v>
      </c>
      <c r="L97" s="57">
        <f t="shared" si="6"/>
        <v>0.15384615384615385</v>
      </c>
      <c r="M97" s="20">
        <v>0</v>
      </c>
      <c r="N97" s="57">
        <f t="shared" si="7"/>
        <v>0</v>
      </c>
      <c r="O97" s="46">
        <v>27</v>
      </c>
      <c r="P97" s="46">
        <v>0</v>
      </c>
      <c r="Q97" s="58" t="s">
        <v>51</v>
      </c>
      <c r="R97" s="58">
        <v>2019</v>
      </c>
      <c r="S97" s="58"/>
      <c r="T97" s="58"/>
      <c r="U97" s="58"/>
      <c r="V97" s="58"/>
      <c r="W97" s="58"/>
      <c r="X97" s="58" t="s">
        <v>51</v>
      </c>
      <c r="Y97" s="58"/>
      <c r="Z97" s="58"/>
      <c r="AA97" s="58"/>
      <c r="AB97" s="58"/>
      <c r="AC97" s="58" t="s">
        <v>51</v>
      </c>
      <c r="AD97" s="58"/>
      <c r="AE97" s="58"/>
      <c r="AF97" s="58"/>
      <c r="AG97" s="58"/>
      <c r="AH97" s="58"/>
      <c r="AI97" s="58"/>
    </row>
  </sheetData>
  <autoFilter ref="A2:AI97">
    <filterColumn colId="33" showButton="0"/>
  </autoFilter>
  <mergeCells count="1">
    <mergeCell ref="AH2:AI2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716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Begun Block </vt:lpstr>
      <vt:lpstr>Bhadesar</vt:lpstr>
      <vt:lpstr>Barisadri</vt:lpstr>
      <vt:lpstr>Bhainsrorgarh</vt:lpstr>
      <vt:lpstr>Bhopalsagar</vt:lpstr>
      <vt:lpstr>Chittaurgarh</vt:lpstr>
      <vt:lpstr>Dungla</vt:lpstr>
      <vt:lpstr>Gangrar</vt:lpstr>
      <vt:lpstr>Kapasan</vt:lpstr>
      <vt:lpstr>Nimbahera</vt:lpstr>
      <vt:lpstr>Rashmi</vt:lpstr>
      <vt:lpstr>'Begun Block '!_FilterDatabase_0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fes pk</dc:creator>
  <dc:description/>
  <cp:lastModifiedBy>Fes-admin</cp:lastModifiedBy>
  <cp:revision>160</cp:revision>
  <dcterms:created xsi:type="dcterms:W3CDTF">2021-01-13T10:03:28Z</dcterms:created>
  <dcterms:modified xsi:type="dcterms:W3CDTF">2026-10-12T06:23:44Z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